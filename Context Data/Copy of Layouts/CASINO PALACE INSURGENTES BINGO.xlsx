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B17F568B-7352-4EEC-9448-1130A5A5C49B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05" i="51" l="1"/>
  <c r="AO403" i="51"/>
  <c r="AX399" i="51"/>
  <c r="AO399" i="51"/>
  <c r="AX398" i="51"/>
  <c r="AO398" i="51"/>
  <c r="AX397" i="51"/>
  <c r="AO397" i="51"/>
  <c r="AX396" i="51"/>
  <c r="AO396" i="51"/>
  <c r="AX395" i="51"/>
  <c r="AO395" i="51"/>
  <c r="AO394" i="51"/>
  <c r="AO393" i="51"/>
  <c r="AO400" i="51" s="1"/>
  <c r="AE243" i="51" s="1"/>
  <c r="AF243" i="51" s="1"/>
  <c r="AX392" i="51"/>
  <c r="AO392" i="51"/>
  <c r="AX391" i="51"/>
  <c r="AO391" i="51"/>
  <c r="AO390" i="51"/>
  <c r="AX388" i="51"/>
  <c r="AX387" i="51"/>
  <c r="AO386" i="51"/>
  <c r="AO385" i="51"/>
  <c r="AO387" i="51" s="1"/>
  <c r="AE239" i="51" s="1"/>
  <c r="AF239" i="51" s="1"/>
  <c r="AX384" i="51"/>
  <c r="AX383" i="51"/>
  <c r="AO382" i="51"/>
  <c r="AO381" i="51"/>
  <c r="AX380" i="51"/>
  <c r="AO380" i="51"/>
  <c r="AX379" i="51"/>
  <c r="AO379" i="51"/>
  <c r="AO378" i="51"/>
  <c r="AO377" i="51"/>
  <c r="T376" i="51"/>
  <c r="G376" i="51"/>
  <c r="G377" i="51" s="1"/>
  <c r="AX375" i="51"/>
  <c r="T375" i="51"/>
  <c r="T377" i="51" s="1"/>
  <c r="G375" i="51"/>
  <c r="AX374" i="51"/>
  <c r="AX373" i="51"/>
  <c r="AX372" i="51"/>
  <c r="T372" i="51"/>
  <c r="G372" i="51"/>
  <c r="G373" i="51" s="1"/>
  <c r="AX371" i="51"/>
  <c r="T371" i="51"/>
  <c r="T373" i="51" s="1"/>
  <c r="G371" i="51"/>
  <c r="AX370" i="51"/>
  <c r="AX376" i="51" s="1"/>
  <c r="AO368" i="51"/>
  <c r="T368" i="51"/>
  <c r="G368" i="51"/>
  <c r="AX367" i="51"/>
  <c r="AO367" i="51"/>
  <c r="T367" i="51"/>
  <c r="G367" i="51"/>
  <c r="AX366" i="51"/>
  <c r="AO366" i="51"/>
  <c r="T366" i="51"/>
  <c r="G366" i="51"/>
  <c r="AX365" i="51"/>
  <c r="AO365" i="51"/>
  <c r="T365" i="51"/>
  <c r="G365" i="51"/>
  <c r="AO364" i="51"/>
  <c r="T364" i="51"/>
  <c r="T369" i="51" s="1"/>
  <c r="G364" i="51"/>
  <c r="AO363" i="51"/>
  <c r="T363" i="51"/>
  <c r="G363" i="51"/>
  <c r="G369" i="51" s="1"/>
  <c r="AO362" i="51"/>
  <c r="AX361" i="51"/>
  <c r="AO361" i="51"/>
  <c r="AX360" i="51"/>
  <c r="AO360" i="51"/>
  <c r="T360" i="51"/>
  <c r="G360" i="51"/>
  <c r="AX359" i="51"/>
  <c r="AO359" i="51"/>
  <c r="T359" i="51"/>
  <c r="G359" i="51"/>
  <c r="AX358" i="51"/>
  <c r="AO358" i="51"/>
  <c r="T358" i="51"/>
  <c r="G358" i="51"/>
  <c r="AX357" i="51"/>
  <c r="AO357" i="51"/>
  <c r="T357" i="51"/>
  <c r="G357" i="51"/>
  <c r="AX356" i="51"/>
  <c r="AO356" i="51"/>
  <c r="T356" i="51"/>
  <c r="G356" i="51"/>
  <c r="AX355" i="51"/>
  <c r="AO355" i="51"/>
  <c r="T355" i="51"/>
  <c r="G355" i="51"/>
  <c r="AX354" i="51"/>
  <c r="AO354" i="51"/>
  <c r="T354" i="51"/>
  <c r="G354" i="51"/>
  <c r="AX353" i="51"/>
  <c r="AO353" i="51"/>
  <c r="AO369" i="51" s="1"/>
  <c r="AE233" i="51" s="1"/>
  <c r="AF233" i="51" s="1"/>
  <c r="T353" i="51"/>
  <c r="G353" i="51"/>
  <c r="AX352" i="51"/>
  <c r="T352" i="51"/>
  <c r="G352" i="51"/>
  <c r="AX351" i="51"/>
  <c r="T351" i="51"/>
  <c r="G351" i="51"/>
  <c r="AX350" i="51"/>
  <c r="T350" i="51"/>
  <c r="G350" i="51"/>
  <c r="AX349" i="51"/>
  <c r="T349" i="51"/>
  <c r="G349" i="51"/>
  <c r="AX348" i="51"/>
  <c r="AO348" i="51"/>
  <c r="T348" i="51"/>
  <c r="T361" i="51" s="1"/>
  <c r="G348" i="51"/>
  <c r="G361" i="51" s="1"/>
  <c r="AX347" i="51"/>
  <c r="AO347" i="51"/>
  <c r="AX346" i="51"/>
  <c r="AO346" i="51"/>
  <c r="AX345" i="51"/>
  <c r="AO345" i="51"/>
  <c r="T345" i="51"/>
  <c r="G345" i="51"/>
  <c r="AX344" i="51"/>
  <c r="AO344" i="51"/>
  <c r="AO349" i="51" s="1"/>
  <c r="AE231" i="51" s="1"/>
  <c r="AF231" i="51" s="1"/>
  <c r="T344" i="51"/>
  <c r="G344" i="51"/>
  <c r="AX343" i="51"/>
  <c r="AO343" i="51"/>
  <c r="AA343" i="51"/>
  <c r="T343" i="51"/>
  <c r="G343" i="51"/>
  <c r="AX342" i="51"/>
  <c r="AO342" i="51"/>
  <c r="T342" i="51"/>
  <c r="G342" i="51"/>
  <c r="AX341" i="51"/>
  <c r="T341" i="51"/>
  <c r="T346" i="51" s="1"/>
  <c r="G341" i="51"/>
  <c r="AX340" i="51"/>
  <c r="T340" i="51"/>
  <c r="G340" i="51"/>
  <c r="G346" i="51" s="1"/>
  <c r="AX339" i="51"/>
  <c r="AA339" i="51"/>
  <c r="AX338" i="51"/>
  <c r="AA338" i="51"/>
  <c r="AX337" i="51"/>
  <c r="AO337" i="51"/>
  <c r="AO338" i="51" s="1"/>
  <c r="AE230" i="51" s="1"/>
  <c r="AF230" i="51" s="1"/>
  <c r="AX336" i="51"/>
  <c r="AO336" i="51"/>
  <c r="AX335" i="51"/>
  <c r="AX334" i="51"/>
  <c r="AX333" i="51"/>
  <c r="AX332" i="51"/>
  <c r="AX331" i="51"/>
  <c r="AO331" i="51"/>
  <c r="AA331" i="51"/>
  <c r="AX330" i="51"/>
  <c r="AO330" i="51"/>
  <c r="AA330" i="51"/>
  <c r="AX329" i="51"/>
  <c r="AO329" i="51"/>
  <c r="AX328" i="51"/>
  <c r="AO328" i="51"/>
  <c r="AX327" i="51"/>
  <c r="AO327" i="51"/>
  <c r="K327" i="51"/>
  <c r="AX326" i="51"/>
  <c r="AO326" i="51"/>
  <c r="X326" i="51"/>
  <c r="X327" i="51" s="1"/>
  <c r="K326" i="51"/>
  <c r="AX325" i="51"/>
  <c r="AO325" i="51"/>
  <c r="Z325" i="51"/>
  <c r="W325" i="51"/>
  <c r="T325" i="51"/>
  <c r="G325" i="51"/>
  <c r="J325" i="51" s="1"/>
  <c r="AX324" i="51"/>
  <c r="AX362" i="51" s="1"/>
  <c r="AE234" i="51" s="1"/>
  <c r="AF234" i="51" s="1"/>
  <c r="AO324" i="51"/>
  <c r="T324" i="51"/>
  <c r="Z324" i="51" s="1"/>
  <c r="G324" i="51"/>
  <c r="J324" i="51" s="1"/>
  <c r="AO323" i="51"/>
  <c r="Z323" i="51"/>
  <c r="T323" i="51"/>
  <c r="W323" i="51" s="1"/>
  <c r="G323" i="51"/>
  <c r="J323" i="51" s="1"/>
  <c r="AO322" i="51"/>
  <c r="AO321" i="51"/>
  <c r="AE321" i="51"/>
  <c r="AF321" i="51" s="1"/>
  <c r="AX320" i="51"/>
  <c r="AO320" i="51"/>
  <c r="AF320" i="51"/>
  <c r="AE320" i="51"/>
  <c r="AX319" i="51"/>
  <c r="AO319" i="51"/>
  <c r="AE319" i="51"/>
  <c r="AF319" i="51" s="1"/>
  <c r="X319" i="51"/>
  <c r="K319" i="51"/>
  <c r="AX318" i="51"/>
  <c r="AO318" i="51"/>
  <c r="AE318" i="51"/>
  <c r="AF318" i="51" s="1"/>
  <c r="X318" i="51"/>
  <c r="K318" i="51"/>
  <c r="AX317" i="51"/>
  <c r="AO317" i="51"/>
  <c r="AE317" i="51"/>
  <c r="AF317" i="51" s="1"/>
  <c r="Z317" i="51"/>
  <c r="W317" i="51"/>
  <c r="T317" i="51"/>
  <c r="G317" i="51"/>
  <c r="J317" i="51" s="1"/>
  <c r="AX316" i="51"/>
  <c r="AO316" i="51"/>
  <c r="AE316" i="51"/>
  <c r="AF316" i="51" s="1"/>
  <c r="T316" i="51"/>
  <c r="Z316" i="51" s="1"/>
  <c r="G316" i="51"/>
  <c r="J316" i="51" s="1"/>
  <c r="AX315" i="51"/>
  <c r="AO315" i="51"/>
  <c r="AE315" i="51"/>
  <c r="AF315" i="51" s="1"/>
  <c r="T315" i="51"/>
  <c r="W315" i="51" s="1"/>
  <c r="G315" i="51"/>
  <c r="J315" i="51" s="1"/>
  <c r="AX314" i="51"/>
  <c r="AO314" i="51"/>
  <c r="AF314" i="51"/>
  <c r="AE314" i="51"/>
  <c r="T314" i="51"/>
  <c r="Z314" i="51" s="1"/>
  <c r="J314" i="51"/>
  <c r="G314" i="51"/>
  <c r="G318" i="51" s="1"/>
  <c r="G319" i="51" s="1"/>
  <c r="AX313" i="51"/>
  <c r="AO313" i="51"/>
  <c r="AE313" i="51"/>
  <c r="AF313" i="51" s="1"/>
  <c r="AX312" i="51"/>
  <c r="AO312" i="51"/>
  <c r="AE312" i="51"/>
  <c r="AF312" i="51" s="1"/>
  <c r="AX311" i="51"/>
  <c r="AO311" i="51"/>
  <c r="AF311" i="51"/>
  <c r="AE311" i="51"/>
  <c r="AX310" i="51"/>
  <c r="AO310" i="51"/>
  <c r="AE310" i="51"/>
  <c r="AF310" i="51" s="1"/>
  <c r="X310" i="51"/>
  <c r="G310" i="51"/>
  <c r="AX309" i="51"/>
  <c r="AO309" i="51"/>
  <c r="AE309" i="51"/>
  <c r="AF309" i="51" s="1"/>
  <c r="X309" i="51"/>
  <c r="K309" i="51"/>
  <c r="K310" i="51" s="1"/>
  <c r="K328" i="51" s="1"/>
  <c r="G309" i="51"/>
  <c r="AX308" i="51"/>
  <c r="AO308" i="51"/>
  <c r="AF308" i="51"/>
  <c r="AE308" i="51"/>
  <c r="W308" i="51"/>
  <c r="T308" i="51"/>
  <c r="Z308" i="51" s="1"/>
  <c r="J308" i="51"/>
  <c r="G308" i="51"/>
  <c r="AX307" i="51"/>
  <c r="AO307" i="51"/>
  <c r="AE307" i="51"/>
  <c r="AF307" i="51" s="1"/>
  <c r="AA307" i="51"/>
  <c r="Z307" i="51"/>
  <c r="T307" i="51"/>
  <c r="W307" i="51" s="1"/>
  <c r="G307" i="51"/>
  <c r="J307" i="51" s="1"/>
  <c r="AX306" i="51"/>
  <c r="AO306" i="51"/>
  <c r="AE306" i="51"/>
  <c r="AF306" i="51" s="1"/>
  <c r="Z306" i="51"/>
  <c r="W306" i="51"/>
  <c r="W309" i="51" s="1"/>
  <c r="W310" i="51" s="1"/>
  <c r="T306" i="51"/>
  <c r="T309" i="51" s="1"/>
  <c r="J306" i="51"/>
  <c r="G306" i="51"/>
  <c r="AX305" i="51"/>
  <c r="AO305" i="51"/>
  <c r="AE305" i="51"/>
  <c r="AF305" i="51" s="1"/>
  <c r="AX304" i="51"/>
  <c r="AO304" i="51"/>
  <c r="AE304" i="51"/>
  <c r="AF304" i="51" s="1"/>
  <c r="AX303" i="51"/>
  <c r="AO303" i="51"/>
  <c r="AO332" i="51" s="1"/>
  <c r="AE227" i="51" s="1"/>
  <c r="AF227" i="51" s="1"/>
  <c r="AF303" i="51"/>
  <c r="AE303" i="51"/>
  <c r="AX302" i="51"/>
  <c r="AE302" i="51"/>
  <c r="AF302" i="51" s="1"/>
  <c r="K302" i="51"/>
  <c r="AX301" i="51"/>
  <c r="AE301" i="51"/>
  <c r="AF301" i="51" s="1"/>
  <c r="X301" i="51"/>
  <c r="X302" i="51" s="1"/>
  <c r="K301" i="51"/>
  <c r="AX300" i="51"/>
  <c r="AO300" i="51"/>
  <c r="AF300" i="51"/>
  <c r="AE300" i="51"/>
  <c r="T300" i="51"/>
  <c r="Z300" i="51" s="1"/>
  <c r="J300" i="51"/>
  <c r="G300" i="51"/>
  <c r="AX299" i="51"/>
  <c r="AE299" i="51"/>
  <c r="AF299" i="51" s="1"/>
  <c r="W299" i="51"/>
  <c r="T299" i="51"/>
  <c r="G299" i="51"/>
  <c r="Z299" i="51" s="1"/>
  <c r="AX298" i="51"/>
  <c r="AO298" i="51"/>
  <c r="AE298" i="51"/>
  <c r="AF298" i="51" s="1"/>
  <c r="T298" i="51"/>
  <c r="W298" i="51" s="1"/>
  <c r="G298" i="51"/>
  <c r="J298" i="51" s="1"/>
  <c r="AX297" i="51"/>
  <c r="AO297" i="51"/>
  <c r="AE297" i="51"/>
  <c r="AF297" i="51" s="1"/>
  <c r="T297" i="51"/>
  <c r="Z297" i="51" s="1"/>
  <c r="G297" i="51"/>
  <c r="G301" i="51" s="1"/>
  <c r="G302" i="51" s="1"/>
  <c r="AX296" i="51"/>
  <c r="AO296" i="51"/>
  <c r="AF296" i="51"/>
  <c r="AE296" i="51"/>
  <c r="AX295" i="51"/>
  <c r="AO295" i="51"/>
  <c r="AF295" i="51"/>
  <c r="AE295" i="51"/>
  <c r="AX294" i="51"/>
  <c r="AO294" i="51"/>
  <c r="AE294" i="51"/>
  <c r="AF294" i="51" s="1"/>
  <c r="AX293" i="51"/>
  <c r="AO293" i="51"/>
  <c r="AF293" i="51"/>
  <c r="AE293" i="51"/>
  <c r="X293" i="51"/>
  <c r="X328" i="51" s="1"/>
  <c r="W293" i="51"/>
  <c r="K293" i="51"/>
  <c r="J293" i="51"/>
  <c r="AX292" i="51"/>
  <c r="AO292" i="51"/>
  <c r="AF292" i="51"/>
  <c r="AE292" i="51"/>
  <c r="Y292" i="51"/>
  <c r="T292" i="51"/>
  <c r="Z292" i="51" s="1"/>
  <c r="G292" i="51"/>
  <c r="L292" i="51" s="1"/>
  <c r="AX291" i="51"/>
  <c r="AO291" i="51"/>
  <c r="AF291" i="51"/>
  <c r="AE291" i="51"/>
  <c r="Z291" i="51"/>
  <c r="Y291" i="51"/>
  <c r="T291" i="51"/>
  <c r="G291" i="51"/>
  <c r="L291" i="51" s="1"/>
  <c r="AX290" i="51"/>
  <c r="AO290" i="51"/>
  <c r="AF290" i="51"/>
  <c r="AE290" i="51"/>
  <c r="Z290" i="51"/>
  <c r="Y290" i="51"/>
  <c r="T290" i="51"/>
  <c r="L290" i="51"/>
  <c r="G290" i="51"/>
  <c r="AX289" i="51"/>
  <c r="AO289" i="51"/>
  <c r="AF289" i="51"/>
  <c r="AE289" i="51"/>
  <c r="Y289" i="51"/>
  <c r="T289" i="51"/>
  <c r="Z289" i="51" s="1"/>
  <c r="G289" i="51"/>
  <c r="L289" i="51" s="1"/>
  <c r="AX288" i="51"/>
  <c r="AO288" i="51"/>
  <c r="AE288" i="51"/>
  <c r="AF288" i="51" s="1"/>
  <c r="Y288" i="51"/>
  <c r="T288" i="51"/>
  <c r="Z288" i="51" s="1"/>
  <c r="G288" i="51"/>
  <c r="L288" i="51" s="1"/>
  <c r="AX287" i="51"/>
  <c r="AO287" i="51"/>
  <c r="AF287" i="51"/>
  <c r="AE287" i="51"/>
  <c r="Z287" i="51"/>
  <c r="T287" i="51"/>
  <c r="Y287" i="51" s="1"/>
  <c r="G287" i="51"/>
  <c r="L287" i="51" s="1"/>
  <c r="AX286" i="51"/>
  <c r="AO286" i="51"/>
  <c r="AF286" i="51"/>
  <c r="AE286" i="51"/>
  <c r="Z286" i="51"/>
  <c r="Y286" i="51"/>
  <c r="T286" i="51"/>
  <c r="L286" i="51"/>
  <c r="G286" i="51"/>
  <c r="AX285" i="51"/>
  <c r="AO285" i="51"/>
  <c r="AE285" i="51"/>
  <c r="AF285" i="51" s="1"/>
  <c r="Y285" i="51"/>
  <c r="T285" i="51"/>
  <c r="Z285" i="51" s="1"/>
  <c r="G285" i="51"/>
  <c r="L285" i="51" s="1"/>
  <c r="AX284" i="51"/>
  <c r="AO284" i="51"/>
  <c r="AE284" i="51"/>
  <c r="AF284" i="51" s="1"/>
  <c r="T284" i="51"/>
  <c r="Z284" i="51" s="1"/>
  <c r="G284" i="51"/>
  <c r="L284" i="51" s="1"/>
  <c r="AX283" i="51"/>
  <c r="AO283" i="51"/>
  <c r="AF283" i="51"/>
  <c r="AE283" i="51"/>
  <c r="Z283" i="51"/>
  <c r="T283" i="51"/>
  <c r="Y283" i="51" s="1"/>
  <c r="G283" i="51"/>
  <c r="L283" i="51" s="1"/>
  <c r="AX282" i="51"/>
  <c r="AO282" i="51"/>
  <c r="AF282" i="51"/>
  <c r="AE282" i="51"/>
  <c r="Z282" i="51"/>
  <c r="Y282" i="51"/>
  <c r="T282" i="51"/>
  <c r="L282" i="51"/>
  <c r="G282" i="51"/>
  <c r="AX281" i="51"/>
  <c r="AO281" i="51"/>
  <c r="AE281" i="51"/>
  <c r="AF281" i="51" s="1"/>
  <c r="Y281" i="51"/>
  <c r="T281" i="51"/>
  <c r="Z281" i="51" s="1"/>
  <c r="G281" i="51"/>
  <c r="L281" i="51" s="1"/>
  <c r="AX280" i="51"/>
  <c r="AO280" i="51"/>
  <c r="AE280" i="51"/>
  <c r="AF280" i="51" s="1"/>
  <c r="T280" i="51"/>
  <c r="Z280" i="51" s="1"/>
  <c r="G280" i="51"/>
  <c r="L280" i="51" s="1"/>
  <c r="AX279" i="51"/>
  <c r="AO279" i="51"/>
  <c r="AF279" i="51"/>
  <c r="AE279" i="51"/>
  <c r="Z279" i="51"/>
  <c r="T279" i="51"/>
  <c r="Y279" i="51" s="1"/>
  <c r="G279" i="51"/>
  <c r="L279" i="51" s="1"/>
  <c r="AX278" i="51"/>
  <c r="AO278" i="51"/>
  <c r="AE278" i="51"/>
  <c r="AF278" i="51" s="1"/>
  <c r="Z278" i="51"/>
  <c r="Y278" i="51"/>
  <c r="T278" i="51"/>
  <c r="L278" i="51"/>
  <c r="G278" i="51"/>
  <c r="AX277" i="51"/>
  <c r="AO277" i="51"/>
  <c r="AE277" i="51"/>
  <c r="AF277" i="51" s="1"/>
  <c r="T277" i="51"/>
  <c r="Z277" i="51" s="1"/>
  <c r="G277" i="51"/>
  <c r="L277" i="51" s="1"/>
  <c r="AX276" i="51"/>
  <c r="AO276" i="51"/>
  <c r="AE276" i="51"/>
  <c r="AF276" i="51" s="1"/>
  <c r="T276" i="51"/>
  <c r="Z276" i="51" s="1"/>
  <c r="G276" i="51"/>
  <c r="L276" i="51" s="1"/>
  <c r="AX275" i="51"/>
  <c r="AO275" i="51"/>
  <c r="AF275" i="51"/>
  <c r="AE275" i="51"/>
  <c r="AA275" i="51"/>
  <c r="AX274" i="51"/>
  <c r="AO274" i="51"/>
  <c r="AE274" i="51"/>
  <c r="AF274" i="51" s="1"/>
  <c r="X274" i="51"/>
  <c r="W274" i="51"/>
  <c r="K274" i="51"/>
  <c r="J274" i="51"/>
  <c r="AX273" i="51"/>
  <c r="AO273" i="51"/>
  <c r="AE273" i="51"/>
  <c r="AF273" i="51" s="1"/>
  <c r="T273" i="51"/>
  <c r="Z273" i="51" s="1"/>
  <c r="G273" i="51"/>
  <c r="L273" i="51" s="1"/>
  <c r="AX272" i="51"/>
  <c r="AO272" i="51"/>
  <c r="AE272" i="51"/>
  <c r="AF272" i="51" s="1"/>
  <c r="T272" i="51"/>
  <c r="T274" i="51" s="1"/>
  <c r="G272" i="51"/>
  <c r="G274" i="51" s="1"/>
  <c r="I224" i="51" s="1"/>
  <c r="AX271" i="51"/>
  <c r="AO271" i="51"/>
  <c r="AF271" i="51"/>
  <c r="AE271" i="51"/>
  <c r="AX270" i="51"/>
  <c r="AO270" i="51"/>
  <c r="AF270" i="51"/>
  <c r="AE270" i="51"/>
  <c r="X270" i="51"/>
  <c r="W270" i="51"/>
  <c r="K270" i="51"/>
  <c r="J270" i="51"/>
  <c r="AX269" i="51"/>
  <c r="AO269" i="51"/>
  <c r="AE269" i="51"/>
  <c r="AF269" i="51" s="1"/>
  <c r="T269" i="51"/>
  <c r="Y269" i="51" s="1"/>
  <c r="G269" i="51"/>
  <c r="Z269" i="51" s="1"/>
  <c r="AX268" i="51"/>
  <c r="AO268" i="51"/>
  <c r="AF268" i="51"/>
  <c r="AE268" i="51"/>
  <c r="Z268" i="51"/>
  <c r="T268" i="51"/>
  <c r="Y268" i="51" s="1"/>
  <c r="L268" i="51"/>
  <c r="G268" i="51"/>
  <c r="AX267" i="51"/>
  <c r="AX321" i="51" s="1"/>
  <c r="AE229" i="51" s="1"/>
  <c r="AF229" i="51" s="1"/>
  <c r="AO267" i="51"/>
  <c r="AE267" i="51"/>
  <c r="AF267" i="51" s="1"/>
  <c r="Z267" i="51"/>
  <c r="Y267" i="51"/>
  <c r="T267" i="51"/>
  <c r="L267" i="51"/>
  <c r="G267" i="51"/>
  <c r="AO266" i="51"/>
  <c r="AF266" i="51"/>
  <c r="AE266" i="51"/>
  <c r="T266" i="51"/>
  <c r="Z266" i="51" s="1"/>
  <c r="L266" i="51"/>
  <c r="G266" i="51"/>
  <c r="AO265" i="51"/>
  <c r="AE265" i="51"/>
  <c r="AF265" i="51" s="1"/>
  <c r="T265" i="51"/>
  <c r="Z265" i="51" s="1"/>
  <c r="G265" i="51"/>
  <c r="L265" i="51" s="1"/>
  <c r="AO264" i="51"/>
  <c r="AF264" i="51"/>
  <c r="AE264" i="51"/>
  <c r="Z264" i="51"/>
  <c r="T264" i="51"/>
  <c r="Y264" i="51" s="1"/>
  <c r="G264" i="51"/>
  <c r="L264" i="51" s="1"/>
  <c r="AX263" i="51"/>
  <c r="AO263" i="51"/>
  <c r="AE263" i="51"/>
  <c r="AF263" i="51" s="1"/>
  <c r="Z263" i="51"/>
  <c r="Y263" i="51"/>
  <c r="T263" i="51"/>
  <c r="L263" i="51"/>
  <c r="G263" i="51"/>
  <c r="AX262" i="51"/>
  <c r="AO262" i="51"/>
  <c r="AE262" i="51"/>
  <c r="AF262" i="51" s="1"/>
  <c r="T262" i="51"/>
  <c r="Z262" i="51" s="1"/>
  <c r="G262" i="51"/>
  <c r="L262" i="51" s="1"/>
  <c r="AX261" i="51"/>
  <c r="AO261" i="51"/>
  <c r="AE261" i="51"/>
  <c r="AF261" i="51" s="1"/>
  <c r="T261" i="51"/>
  <c r="Z261" i="51" s="1"/>
  <c r="G261" i="51"/>
  <c r="L261" i="51" s="1"/>
  <c r="AX260" i="51"/>
  <c r="AO260" i="51"/>
  <c r="AF260" i="51"/>
  <c r="AE260" i="51"/>
  <c r="Z260" i="51"/>
  <c r="T260" i="51"/>
  <c r="Y260" i="51" s="1"/>
  <c r="G260" i="51"/>
  <c r="L260" i="51" s="1"/>
  <c r="AX259" i="51"/>
  <c r="AO259" i="51"/>
  <c r="AE259" i="51"/>
  <c r="AF259" i="51" s="1"/>
  <c r="Y259" i="51"/>
  <c r="T259" i="51"/>
  <c r="Z259" i="51" s="1"/>
  <c r="L259" i="51"/>
  <c r="G259" i="51"/>
  <c r="AX258" i="51"/>
  <c r="AO258" i="51"/>
  <c r="AE258" i="51"/>
  <c r="AF258" i="51" s="1"/>
  <c r="T258" i="51"/>
  <c r="Z258" i="51" s="1"/>
  <c r="G258" i="51"/>
  <c r="L258" i="51" s="1"/>
  <c r="AX257" i="51"/>
  <c r="AO257" i="51"/>
  <c r="AE257" i="51"/>
  <c r="AF257" i="51" s="1"/>
  <c r="T257" i="51"/>
  <c r="Z257" i="51" s="1"/>
  <c r="G257" i="51"/>
  <c r="L257" i="51" s="1"/>
  <c r="AX256" i="51"/>
  <c r="AO256" i="51"/>
  <c r="AE256" i="51"/>
  <c r="AF256" i="51" s="1"/>
  <c r="Z256" i="51"/>
  <c r="T256" i="51"/>
  <c r="Y256" i="51" s="1"/>
  <c r="G256" i="51"/>
  <c r="L256" i="51" s="1"/>
  <c r="AX255" i="51"/>
  <c r="AO255" i="51"/>
  <c r="AE255" i="51"/>
  <c r="AF255" i="51" s="1"/>
  <c r="T255" i="51"/>
  <c r="Y255" i="51" s="1"/>
  <c r="G255" i="51"/>
  <c r="G270" i="51" s="1"/>
  <c r="AX254" i="51"/>
  <c r="AO254" i="51"/>
  <c r="AE254" i="51"/>
  <c r="AF254" i="51" s="1"/>
  <c r="T254" i="51"/>
  <c r="Y254" i="51" s="1"/>
  <c r="G254" i="51"/>
  <c r="Z254" i="51" s="1"/>
  <c r="AX253" i="51"/>
  <c r="AO253" i="51"/>
  <c r="AE253" i="51"/>
  <c r="AF253" i="51" s="1"/>
  <c r="Y253" i="51"/>
  <c r="T253" i="51"/>
  <c r="G253" i="51"/>
  <c r="Z253" i="51" s="1"/>
  <c r="AX252" i="51"/>
  <c r="AO252" i="51"/>
  <c r="AE252" i="51"/>
  <c r="AF252" i="51" s="1"/>
  <c r="T252" i="51"/>
  <c r="Z252" i="51" s="1"/>
  <c r="G252" i="51"/>
  <c r="L252" i="51" s="1"/>
  <c r="AX251" i="51"/>
  <c r="AO251" i="51"/>
  <c r="AF251" i="51"/>
  <c r="AE251" i="51"/>
  <c r="AX250" i="51"/>
  <c r="AO250" i="51"/>
  <c r="AE250" i="51"/>
  <c r="AF250" i="51" s="1"/>
  <c r="X250" i="51"/>
  <c r="W250" i="51"/>
  <c r="K250" i="51"/>
  <c r="J250" i="51"/>
  <c r="AX249" i="51"/>
  <c r="AO249" i="51"/>
  <c r="AE249" i="51"/>
  <c r="AF249" i="51" s="1"/>
  <c r="Z249" i="51"/>
  <c r="T249" i="51"/>
  <c r="Y249" i="51" s="1"/>
  <c r="G249" i="51"/>
  <c r="L249" i="51" s="1"/>
  <c r="AX248" i="51"/>
  <c r="AO248" i="51"/>
  <c r="T248" i="51"/>
  <c r="Z248" i="51" s="1"/>
  <c r="G248" i="51"/>
  <c r="L248" i="51" s="1"/>
  <c r="AX247" i="51"/>
  <c r="AO247" i="51"/>
  <c r="AF247" i="51"/>
  <c r="AE247" i="51"/>
  <c r="Y247" i="51"/>
  <c r="T247" i="51"/>
  <c r="G247" i="51"/>
  <c r="Z247" i="51" s="1"/>
  <c r="AX246" i="51"/>
  <c r="AO246" i="51"/>
  <c r="AE246" i="51"/>
  <c r="AF246" i="51" s="1"/>
  <c r="Y246" i="51"/>
  <c r="T246" i="51"/>
  <c r="G246" i="51"/>
  <c r="Z246" i="51" s="1"/>
  <c r="AX245" i="51"/>
  <c r="AO245" i="51"/>
  <c r="AE245" i="51"/>
  <c r="AF245" i="51" s="1"/>
  <c r="T245" i="51"/>
  <c r="Y245" i="51" s="1"/>
  <c r="G245" i="51"/>
  <c r="L245" i="51" s="1"/>
  <c r="AX244" i="51"/>
  <c r="AO244" i="51"/>
  <c r="AF244" i="51"/>
  <c r="AE244" i="51"/>
  <c r="T244" i="51"/>
  <c r="Z244" i="51" s="1"/>
  <c r="G244" i="51"/>
  <c r="L244" i="51" s="1"/>
  <c r="AX243" i="51"/>
  <c r="AO243" i="51"/>
  <c r="Y243" i="51"/>
  <c r="T243" i="51"/>
  <c r="G243" i="51"/>
  <c r="Z243" i="51" s="1"/>
  <c r="AX242" i="51"/>
  <c r="AO242" i="51"/>
  <c r="AE242" i="51"/>
  <c r="AF242" i="51" s="1"/>
  <c r="Y242" i="51"/>
  <c r="T242" i="51"/>
  <c r="G242" i="51"/>
  <c r="Z242" i="51" s="1"/>
  <c r="AX241" i="51"/>
  <c r="AO241" i="51"/>
  <c r="AE241" i="51"/>
  <c r="AF241" i="51" s="1"/>
  <c r="T241" i="51"/>
  <c r="Y241" i="51" s="1"/>
  <c r="G241" i="51"/>
  <c r="L241" i="51" s="1"/>
  <c r="AX240" i="51"/>
  <c r="AO240" i="51"/>
  <c r="T240" i="51"/>
  <c r="Z240" i="51" s="1"/>
  <c r="G240" i="51"/>
  <c r="L240" i="51" s="1"/>
  <c r="AX239" i="51"/>
  <c r="AO239" i="51"/>
  <c r="Y239" i="51"/>
  <c r="T239" i="51"/>
  <c r="G239" i="51"/>
  <c r="Z239" i="51" s="1"/>
  <c r="AX238" i="51"/>
  <c r="AO238" i="51"/>
  <c r="AE238" i="51"/>
  <c r="AF238" i="51" s="1"/>
  <c r="Y238" i="51"/>
  <c r="T238" i="51"/>
  <c r="G238" i="51"/>
  <c r="Z238" i="51" s="1"/>
  <c r="AX237" i="51"/>
  <c r="AO237" i="51"/>
  <c r="AF237" i="51"/>
  <c r="T237" i="51"/>
  <c r="Z237" i="51" s="1"/>
  <c r="L237" i="51"/>
  <c r="G237" i="51"/>
  <c r="AX236" i="51"/>
  <c r="AO236" i="51"/>
  <c r="AE236" i="51"/>
  <c r="AF236" i="51" s="1"/>
  <c r="T236" i="51"/>
  <c r="Z236" i="51" s="1"/>
  <c r="G236" i="51"/>
  <c r="L236" i="51" s="1"/>
  <c r="AX235" i="51"/>
  <c r="AO235" i="51"/>
  <c r="AE235" i="51"/>
  <c r="AF235" i="51" s="1"/>
  <c r="T235" i="51"/>
  <c r="Z235" i="51" s="1"/>
  <c r="G235" i="51"/>
  <c r="L235" i="51" s="1"/>
  <c r="AX234" i="51"/>
  <c r="AO234" i="51"/>
  <c r="Z234" i="51"/>
  <c r="T234" i="51"/>
  <c r="Y234" i="51" s="1"/>
  <c r="G234" i="51"/>
  <c r="L234" i="51" s="1"/>
  <c r="AX233" i="51"/>
  <c r="AO233" i="51"/>
  <c r="AA233" i="51"/>
  <c r="T233" i="51"/>
  <c r="Z233" i="51" s="1"/>
  <c r="G233" i="51"/>
  <c r="L233" i="51" s="1"/>
  <c r="AX232" i="51"/>
  <c r="AO232" i="51"/>
  <c r="AF232" i="51"/>
  <c r="AE232" i="51"/>
  <c r="T232" i="51"/>
  <c r="Z232" i="51" s="1"/>
  <c r="G232" i="51"/>
  <c r="L232" i="51" s="1"/>
  <c r="AX231" i="51"/>
  <c r="AO231" i="51"/>
  <c r="T231" i="51"/>
  <c r="Y231" i="51" s="1"/>
  <c r="G231" i="51"/>
  <c r="Z231" i="51" s="1"/>
  <c r="AX230" i="51"/>
  <c r="AO230" i="51"/>
  <c r="Z230" i="51"/>
  <c r="T230" i="51"/>
  <c r="Y230" i="51" s="1"/>
  <c r="L230" i="51"/>
  <c r="G230" i="51"/>
  <c r="AX229" i="51"/>
  <c r="AO229" i="51"/>
  <c r="Z229" i="51"/>
  <c r="Y229" i="51"/>
  <c r="T229" i="51"/>
  <c r="L229" i="51"/>
  <c r="G229" i="51"/>
  <c r="AX228" i="51"/>
  <c r="AO228" i="51"/>
  <c r="AE228" i="51"/>
  <c r="AF228" i="51" s="1"/>
  <c r="T228" i="51"/>
  <c r="T250" i="51" s="1"/>
  <c r="G228" i="51"/>
  <c r="G250" i="51" s="1"/>
  <c r="I223" i="51" s="1"/>
  <c r="AX227" i="51"/>
  <c r="AO227" i="51"/>
  <c r="AX226" i="51"/>
  <c r="AO226" i="51"/>
  <c r="AE226" i="51"/>
  <c r="AF226" i="51" s="1"/>
  <c r="AX225" i="51"/>
  <c r="AO225" i="51"/>
  <c r="AX224" i="51"/>
  <c r="AO224" i="51"/>
  <c r="AX223" i="51"/>
  <c r="AX264" i="51" s="1"/>
  <c r="AE240" i="51" s="1"/>
  <c r="AF240" i="51" s="1"/>
  <c r="AO223" i="51"/>
  <c r="AO299" i="51" s="1"/>
  <c r="AE225" i="51" s="1"/>
  <c r="AF225" i="51" s="1"/>
  <c r="V222" i="51"/>
  <c r="I222" i="51"/>
  <c r="E213" i="51" s="1"/>
  <c r="V221" i="51"/>
  <c r="I221" i="51"/>
  <c r="E212" i="51" s="1"/>
  <c r="E215" i="51" l="1"/>
  <c r="S337" i="51"/>
  <c r="V223" i="51"/>
  <c r="Z250" i="51"/>
  <c r="J309" i="51"/>
  <c r="J310" i="51" s="1"/>
  <c r="J326" i="51"/>
  <c r="J327" i="51" s="1"/>
  <c r="J328" i="51" s="1"/>
  <c r="E217" i="51" s="1"/>
  <c r="Z309" i="51"/>
  <c r="T310" i="51"/>
  <c r="Z310" i="51" s="1"/>
  <c r="W326" i="51"/>
  <c r="W327" i="51" s="1"/>
  <c r="L293" i="51"/>
  <c r="F337" i="51"/>
  <c r="Z274" i="51"/>
  <c r="V224" i="51"/>
  <c r="J318" i="51"/>
  <c r="J319" i="51" s="1"/>
  <c r="L228" i="51"/>
  <c r="L250" i="51" s="1"/>
  <c r="Y233" i="51"/>
  <c r="Y237" i="51"/>
  <c r="Z241" i="51"/>
  <c r="Z245" i="51"/>
  <c r="Y244" i="51"/>
  <c r="Y266" i="51"/>
  <c r="L269" i="51"/>
  <c r="T270" i="51"/>
  <c r="Z270" i="51" s="1"/>
  <c r="J297" i="51"/>
  <c r="J301" i="51" s="1"/>
  <c r="J302" i="51" s="1"/>
  <c r="Z298" i="51"/>
  <c r="W314" i="51"/>
  <c r="W318" i="51" s="1"/>
  <c r="W319" i="51" s="1"/>
  <c r="W328" i="51" s="1"/>
  <c r="T318" i="51"/>
  <c r="G326" i="51"/>
  <c r="G327" i="51" s="1"/>
  <c r="W324" i="51"/>
  <c r="Y240" i="51"/>
  <c r="Y248" i="51"/>
  <c r="AA232" i="51"/>
  <c r="Y236" i="51"/>
  <c r="L239" i="51"/>
  <c r="L243" i="51"/>
  <c r="L247" i="51"/>
  <c r="Y258" i="51"/>
  <c r="Y262" i="51"/>
  <c r="Y273" i="51"/>
  <c r="Y277" i="51"/>
  <c r="L272" i="51"/>
  <c r="L274" i="51" s="1"/>
  <c r="T293" i="51"/>
  <c r="W297" i="51"/>
  <c r="W301" i="51" s="1"/>
  <c r="W302" i="51" s="1"/>
  <c r="T301" i="51"/>
  <c r="G293" i="51"/>
  <c r="Y232" i="51"/>
  <c r="Z228" i="51"/>
  <c r="L231" i="51"/>
  <c r="T326" i="51"/>
  <c r="Z255" i="51"/>
  <c r="Y235" i="51"/>
  <c r="L238" i="51"/>
  <c r="L242" i="51"/>
  <c r="L246" i="51"/>
  <c r="Y261" i="51"/>
  <c r="Y265" i="51"/>
  <c r="Y276" i="51"/>
  <c r="Y284" i="51"/>
  <c r="Y252" i="51"/>
  <c r="Y228" i="51"/>
  <c r="L253" i="51"/>
  <c r="L270" i="51" s="1"/>
  <c r="Y257" i="51"/>
  <c r="Y272" i="51"/>
  <c r="Y274" i="51" s="1"/>
  <c r="Y280" i="51"/>
  <c r="Z272" i="51"/>
  <c r="W300" i="51"/>
  <c r="Z315" i="51"/>
  <c r="J299" i="51"/>
  <c r="W316" i="51"/>
  <c r="Z301" i="51" l="1"/>
  <c r="T302" i="51"/>
  <c r="Z302" i="51" s="1"/>
  <c r="H335" i="51"/>
  <c r="G328" i="51"/>
  <c r="I225" i="51" s="1"/>
  <c r="Y250" i="51"/>
  <c r="Y293" i="51"/>
  <c r="Y328" i="51" s="1"/>
  <c r="T328" i="51"/>
  <c r="Z293" i="51"/>
  <c r="Y270" i="51"/>
  <c r="L328" i="51"/>
  <c r="T319" i="51"/>
  <c r="Z319" i="51" s="1"/>
  <c r="Z318" i="51"/>
  <c r="Z326" i="51"/>
  <c r="T327" i="51"/>
  <c r="Z327" i="51" s="1"/>
  <c r="V225" i="51" l="1"/>
  <c r="Z328" i="51"/>
  <c r="E216" i="51"/>
  <c r="G210" i="51"/>
  <c r="J208" i="51" s="1"/>
</calcChain>
</file>

<file path=xl/sharedStrings.xml><?xml version="1.0" encoding="utf-8"?>
<sst xmlns="http://schemas.openxmlformats.org/spreadsheetml/2006/main" count="2286" uniqueCount="1112">
  <si>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</si>
  <si>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</si>
  <si>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</si>
  <si>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</si>
  <si>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</si>
  <si>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</si>
  <si>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</si>
  <si>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</si>
  <si>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</si>
  <si>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</si>
  <si>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</si>
  <si>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</si>
  <si>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</si>
  <si>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</si>
  <si>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</si>
  <si>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</si>
  <si>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</si>
  <si>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</si>
  <si>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</si>
  <si>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</si>
  <si>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</si>
  <si>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</si>
  <si>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DOBLE BONUS</t>
  </si>
  <si>
    <t>SPIN BINGO</t>
  </si>
  <si>
    <t>HALLO</t>
  </si>
  <si>
    <t>TOP3</t>
  </si>
  <si>
    <t>BOBBY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</si>
  <si>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</si>
  <si>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</si>
  <si>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</si>
  <si>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</si>
  <si>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</si>
  <si>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</si>
  <si>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</si>
  <si>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</si>
  <si>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</si>
  <si>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</si>
  <si>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</si>
  <si>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</si>
  <si>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</si>
  <si>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</si>
  <si>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</si>
  <si>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</si>
  <si>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</si>
  <si>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</si>
  <si>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</si>
  <si>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</si>
  <si>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</si>
  <si>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BRYKE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</si>
  <si>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</si>
  <si>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</si>
  <si>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</si>
  <si>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</si>
  <si>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</si>
  <si>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</si>
  <si>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</si>
  <si>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</si>
  <si>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</si>
  <si>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</si>
  <si>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</si>
  <si>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</si>
  <si>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</si>
  <si>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</si>
  <si>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</si>
  <si>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ELK P4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</si>
  <si>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</si>
  <si>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</si>
  <si>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</si>
  <si>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</si>
  <si>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</si>
  <si>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</si>
  <si>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</si>
  <si>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</si>
  <si>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</si>
  <si>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</si>
  <si>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</si>
  <si>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</si>
  <si>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</si>
  <si>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</si>
  <si>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</si>
  <si>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</si>
  <si>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</si>
  <si>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</si>
  <si>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</si>
  <si>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</si>
  <si>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</si>
  <si>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</si>
  <si>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</si>
  <si>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</si>
  <si>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</si>
  <si>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</si>
  <si>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</si>
  <si>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</si>
  <si>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</si>
  <si>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</si>
  <si>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</si>
  <si>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</si>
  <si>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</si>
  <si>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</si>
  <si>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</si>
  <si>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</si>
  <si>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</si>
  <si>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</si>
  <si>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</si>
  <si>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</si>
  <si>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</si>
  <si>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</si>
  <si>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</si>
  <si>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</si>
  <si>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</si>
  <si>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</si>
  <si>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</si>
  <si>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</si>
  <si>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</si>
  <si>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</si>
  <si>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</si>
  <si>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MAORIS</t>
  </si>
  <si>
    <t>BLAZING PEARLS</t>
  </si>
  <si>
    <t>KST</t>
  </si>
  <si>
    <t>EK MEX</t>
  </si>
  <si>
    <t>EK WST</t>
  </si>
  <si>
    <t>PZUPDB</t>
  </si>
  <si>
    <t>PZUPGDICE</t>
  </si>
  <si>
    <t>TB</t>
  </si>
  <si>
    <t>ENERGY LINK DOBLE BONUS</t>
  </si>
  <si>
    <t>ENERGY LINK P4 BONUS</t>
  </si>
  <si>
    <t>ENERGY KING TOP</t>
  </si>
  <si>
    <t>EK TOP</t>
  </si>
  <si>
    <t>ENERGY KING AQUA</t>
  </si>
  <si>
    <t>EK AQUA</t>
  </si>
  <si>
    <t>ENERGY KING MEX</t>
  </si>
  <si>
    <t>ENERGY KING WEST</t>
  </si>
  <si>
    <t>EGYTRE</t>
  </si>
  <si>
    <t>MWPANDA</t>
  </si>
  <si>
    <t>FRPIZZA</t>
  </si>
  <si>
    <t>TGREATW</t>
  </si>
  <si>
    <t>TBD2</t>
  </si>
  <si>
    <t>EGYPT TREASURES</t>
  </si>
  <si>
    <t>FRATELLI PIZZA</t>
  </si>
  <si>
    <t>MONEY WISE PANDA</t>
  </si>
  <si>
    <t>KINGO STORY</t>
  </si>
  <si>
    <t>THE GREAT WEALTH</t>
  </si>
  <si>
    <t>PRIZE UP DOBLE BONUS</t>
  </si>
  <si>
    <t>PRIZE UP GO DICE</t>
  </si>
  <si>
    <t>BEETLE JEWELS RED</t>
  </si>
  <si>
    <t>BEJR</t>
  </si>
  <si>
    <t>FIREWORKS FU RED</t>
  </si>
  <si>
    <t>FIREFUR</t>
  </si>
  <si>
    <t>I D 6 1 1 4 - F U E N T E S   A G O R A  -  C A S I N O    P A L A C E    I N S U R G E N T E S</t>
  </si>
  <si>
    <t>PLANTA BAJA</t>
  </si>
  <si>
    <t>CAJA</t>
  </si>
  <si>
    <t>IGT</t>
  </si>
  <si>
    <t>BGO</t>
  </si>
  <si>
    <t>UNDW</t>
  </si>
  <si>
    <t>RBGO</t>
  </si>
  <si>
    <t>MM</t>
  </si>
  <si>
    <t>P3</t>
  </si>
  <si>
    <t>BIB</t>
  </si>
  <si>
    <t>MCH</t>
  </si>
  <si>
    <t>MP</t>
  </si>
  <si>
    <t>MB</t>
  </si>
  <si>
    <t>SANITARIOS</t>
  </si>
  <si>
    <t>GUARDARROPA</t>
  </si>
  <si>
    <t>SALA DE ESPERA</t>
  </si>
  <si>
    <t>5C</t>
  </si>
  <si>
    <t>10 cts</t>
  </si>
  <si>
    <t>50 cts</t>
  </si>
  <si>
    <t>ACCESO PRINCIPAL</t>
  </si>
  <si>
    <t>MÍN JUG $3.40</t>
  </si>
  <si>
    <t>LIGGTNING LINK</t>
  </si>
  <si>
    <t>AR</t>
  </si>
  <si>
    <t>JVL</t>
  </si>
  <si>
    <t>WS</t>
  </si>
  <si>
    <t>AGS</t>
  </si>
  <si>
    <t>AW</t>
  </si>
  <si>
    <t>ATENCIÓN A CLIENTES</t>
  </si>
  <si>
    <t>EGT</t>
  </si>
  <si>
    <t>BIG FU CASH BASTS</t>
  </si>
  <si>
    <t>ARU</t>
  </si>
  <si>
    <t>NOV</t>
  </si>
  <si>
    <t>MURO</t>
  </si>
  <si>
    <t>MI LÌN  FORTUNES</t>
  </si>
  <si>
    <t>INCTECH</t>
  </si>
  <si>
    <t>CT</t>
  </si>
  <si>
    <t>ULTRA BOOST LINK</t>
  </si>
  <si>
    <t>MIN JUG $3.75</t>
  </si>
  <si>
    <t xml:space="preserve">MYSTERY </t>
  </si>
  <si>
    <t>MER</t>
  </si>
  <si>
    <t xml:space="preserve">MESAS POKER </t>
  </si>
  <si>
    <t xml:space="preserve">ESCALERAS ELÉCTRICAS </t>
  </si>
  <si>
    <t>BAO ZHU ZHAO FU</t>
  </si>
  <si>
    <t>SALIDA EMERGENCIA</t>
  </si>
  <si>
    <t>ENFERMERÍA</t>
  </si>
  <si>
    <t>25C</t>
  </si>
  <si>
    <t>ELEVADOR</t>
  </si>
  <si>
    <t>RESTAURANTE</t>
  </si>
  <si>
    <t>PLANTA ALTA</t>
  </si>
  <si>
    <t>SIGN PORTICO-FSHOULK-1</t>
  </si>
  <si>
    <t>SIGN PORTICO-WLEG-1</t>
  </si>
  <si>
    <t>LADY'S CARDS</t>
  </si>
  <si>
    <t>ISLA 1</t>
  </si>
  <si>
    <t>MIN JUG $2.50</t>
  </si>
  <si>
    <t>MIN JUG $4.40</t>
  </si>
  <si>
    <t>MIN JUG $2.00</t>
  </si>
  <si>
    <t>ISLA 3</t>
  </si>
  <si>
    <t>SIGN LK-2</t>
  </si>
  <si>
    <t>SIGN LM-2</t>
  </si>
  <si>
    <t>ISLA 4</t>
  </si>
  <si>
    <t>MIN JUG $3.00</t>
  </si>
  <si>
    <t>50C</t>
  </si>
  <si>
    <t>ISLA 2</t>
  </si>
  <si>
    <t>10C</t>
  </si>
  <si>
    <t>ACCESO A VIP</t>
  </si>
  <si>
    <t>MIN JUG $5.00</t>
  </si>
  <si>
    <t>STF5</t>
  </si>
  <si>
    <t>SIGN BLSWT-2</t>
  </si>
  <si>
    <t xml:space="preserve">ACCESO </t>
  </si>
  <si>
    <t>MIN JUG $3.40</t>
  </si>
  <si>
    <t>DBXTRAST</t>
  </si>
  <si>
    <t>ISLA 6</t>
  </si>
  <si>
    <t>SIGN MHAM-2</t>
  </si>
  <si>
    <t>SOLAR LINK</t>
  </si>
  <si>
    <t>ISLA 7</t>
  </si>
  <si>
    <t>SIGN FUFRG-2</t>
  </si>
  <si>
    <t>ISLA 8</t>
  </si>
  <si>
    <t>MIN JUG FUSHLK $2.50</t>
  </si>
  <si>
    <t>ISLA 5</t>
  </si>
  <si>
    <t>ISLA 9</t>
  </si>
  <si>
    <t>SIGN FORTK-2</t>
  </si>
  <si>
    <t>Escaleras</t>
  </si>
  <si>
    <t>MIN JUG EPKNKG $4.40</t>
  </si>
  <si>
    <t>SIGN PORTICO-EPKNG-1</t>
  </si>
  <si>
    <t>BIG FUNCASH BAST</t>
  </si>
  <si>
    <t>MIN JUG $22.00</t>
  </si>
  <si>
    <t>ISLA 11</t>
  </si>
  <si>
    <t>Mythic Link 5c</t>
  </si>
  <si>
    <t>FBMRO</t>
  </si>
  <si>
    <t>JIN GIAN LINK</t>
  </si>
  <si>
    <t xml:space="preserve">Easy Link 5c </t>
  </si>
  <si>
    <t>ISLA 10</t>
  </si>
  <si>
    <t>SEPARADORES</t>
  </si>
  <si>
    <t>XTENSION LINK</t>
  </si>
  <si>
    <t>MESAS</t>
  </si>
  <si>
    <t>SIGN CRLEDA-MHAM</t>
  </si>
  <si>
    <t>FU DAI LIAN</t>
  </si>
  <si>
    <t>PROGRESSIVE SERIES</t>
  </si>
  <si>
    <t>ISLA 13</t>
  </si>
  <si>
    <t>MGCH</t>
  </si>
  <si>
    <t>SIGN MKING-2</t>
  </si>
  <si>
    <t>ISLA 12</t>
  </si>
  <si>
    <t>BAÑOS</t>
  </si>
  <si>
    <t>CLEM'S GEMS</t>
  </si>
  <si>
    <t>JIN LONG CHENG XIANG</t>
  </si>
  <si>
    <t>BARRA</t>
  </si>
  <si>
    <t>LIGTHNING LINK</t>
  </si>
  <si>
    <t xml:space="preserve">LADY'S CARDS </t>
  </si>
  <si>
    <t>MESAS EN VIVO</t>
  </si>
  <si>
    <t>CAJAS</t>
  </si>
  <si>
    <t>ESCALERAS</t>
  </si>
  <si>
    <t>TOTAL SALA</t>
  </si>
  <si>
    <t>comp</t>
  </si>
  <si>
    <t>TOTAL ZITRO</t>
  </si>
  <si>
    <t>TOTAL MAQUINAS CON 25C</t>
  </si>
  <si>
    <t>TOTAL MAQUINAS CON 50C</t>
  </si>
  <si>
    <t>TOTAL BLACK</t>
  </si>
  <si>
    <t>TOTAL BLUE</t>
  </si>
  <si>
    <t>TOTAL FUSION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</si>
  <si>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</si>
  <si>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</si>
  <si>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</si>
  <si>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</si>
  <si>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</si>
  <si>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</si>
  <si>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</si>
  <si>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TOTAL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</si>
  <si>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</si>
  <si>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</si>
  <si>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</si>
  <si>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</si>
  <si>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</si>
  <si>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</si>
  <si>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</si>
  <si>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</si>
  <si>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</si>
  <si>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</si>
  <si>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</si>
  <si>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</si>
  <si>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</si>
  <si>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</si>
  <si>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</si>
  <si>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</si>
  <si>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</si>
  <si>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</si>
  <si>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</si>
  <si>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</si>
  <si>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</si>
  <si>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</si>
  <si>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</si>
  <si>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</si>
  <si>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</si>
  <si>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</si>
  <si>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</si>
  <si>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</si>
  <si>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</si>
  <si>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</si>
  <si>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</si>
  <si>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</si>
  <si>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</si>
  <si>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</si>
  <si>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</si>
  <si>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</si>
  <si>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</si>
  <si>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</si>
  <si>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</si>
  <si>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</si>
  <si>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</si>
  <si>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</si>
  <si>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</si>
  <si>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</si>
  <si>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</si>
  <si>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</si>
  <si>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</si>
  <si>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</si>
  <si>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</si>
  <si>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</si>
  <si>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</si>
  <si>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</si>
  <si>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</si>
  <si>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</si>
  <si>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</si>
  <si>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</si>
  <si>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</si>
  <si>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DOBLE BONUS EXTRAVAGANZA ST</t>
  </si>
  <si>
    <t>R. FRANCO</t>
  </si>
  <si>
    <t>FRANCO</t>
  </si>
  <si>
    <t>BINGOLE</t>
  </si>
  <si>
    <t>BLE</t>
  </si>
  <si>
    <t>BINGO LINK GOLDEN</t>
  </si>
  <si>
    <t>BLINKG</t>
  </si>
  <si>
    <t>DBF</t>
  </si>
  <si>
    <t>KONAMI BINGO</t>
  </si>
  <si>
    <t>KNBINGO</t>
  </si>
  <si>
    <t>BINGOLE PLUS</t>
  </si>
  <si>
    <t>BLEP</t>
  </si>
  <si>
    <t>BINGO JONES</t>
  </si>
  <si>
    <t>BJN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</si>
  <si>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</si>
  <si>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</si>
  <si>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</si>
  <si>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</si>
  <si>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</si>
  <si>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</si>
  <si>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</si>
  <si>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</si>
  <si>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</si>
  <si>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</si>
  <si>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</si>
  <si>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</si>
  <si>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</si>
  <si>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</si>
  <si>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</si>
  <si>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</si>
  <si>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</si>
  <si>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</si>
  <si>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</si>
  <si>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</si>
  <si>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</si>
  <si>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</si>
  <si>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</si>
  <si>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</si>
  <si>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</si>
  <si>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</si>
  <si>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</si>
  <si>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</si>
  <si>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</si>
  <si>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</si>
  <si>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</si>
  <si>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</si>
  <si>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</si>
  <si>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</si>
  <si>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</si>
  <si>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</si>
  <si>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</si>
  <si>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</si>
  <si>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</si>
  <si>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</si>
  <si>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</si>
  <si>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</si>
  <si>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</si>
  <si>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</si>
  <si>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</si>
  <si>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</si>
  <si>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</si>
  <si>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</si>
  <si>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</si>
  <si>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</si>
  <si>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</si>
  <si>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</si>
  <si>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</si>
  <si>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</si>
  <si>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</si>
  <si>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</si>
  <si>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</si>
  <si>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</si>
  <si>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</si>
  <si>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</si>
  <si>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</si>
  <si>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</si>
  <si>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</si>
  <si>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</si>
  <si>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</si>
  <si>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</si>
  <si>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</si>
  <si>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</si>
  <si>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</si>
  <si>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</si>
  <si>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</si>
  <si>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</si>
  <si>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</si>
  <si>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</si>
  <si>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MBGP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</si>
  <si>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</si>
  <si>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</si>
  <si>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</si>
  <si>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</si>
  <si>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</si>
  <si>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</si>
  <si>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</si>
  <si>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</si>
  <si>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</si>
  <si>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</si>
  <si>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</si>
  <si>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</si>
  <si>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</si>
  <si>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</si>
  <si>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</si>
  <si>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</si>
  <si>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</si>
  <si>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</si>
  <si>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</si>
  <si>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GOLM</t>
  </si>
  <si>
    <t>PICOSOMETRO</t>
  </si>
  <si>
    <t>PICO</t>
  </si>
  <si>
    <t>ADMIRAL</t>
  </si>
  <si>
    <t>ADMI</t>
  </si>
  <si>
    <t>GOL MANIA PLUS</t>
  </si>
  <si>
    <t>GOLMP</t>
  </si>
  <si>
    <t>PIG WIZARD</t>
  </si>
  <si>
    <t>PGW</t>
  </si>
  <si>
    <t>BISONTE / BINGO STORY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</si>
  <si>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</si>
  <si>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</si>
  <si>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</si>
  <si>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</si>
  <si>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</si>
  <si>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</si>
  <si>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</si>
  <si>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</si>
  <si>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</si>
  <si>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</si>
  <si>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</si>
  <si>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</si>
  <si>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</si>
  <si>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KATNA</t>
  </si>
  <si>
    <t>REYES DEL RING</t>
  </si>
  <si>
    <t>RDR</t>
  </si>
  <si>
    <t>AMATIC</t>
  </si>
  <si>
    <t>AMA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</si>
  <si>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</si>
  <si>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</si>
  <si>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</si>
  <si>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</si>
  <si>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</si>
  <si>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</si>
  <si>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</si>
  <si>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</si>
  <si>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</si>
  <si>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</si>
  <si>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APEX</t>
  </si>
  <si>
    <t>LOCOMODIN PLUS</t>
  </si>
  <si>
    <t>LMDIN P</t>
  </si>
  <si>
    <t>ROUTE TO WIN</t>
  </si>
  <si>
    <t>RTW</t>
  </si>
  <si>
    <t>ARISTOCRAT</t>
  </si>
  <si>
    <t>LOCOMODIN PRIME</t>
  </si>
  <si>
    <t>LMDIN Pm</t>
  </si>
  <si>
    <t>RULETA DE LA SUERTE</t>
  </si>
  <si>
    <t>RDS</t>
  </si>
  <si>
    <t>ARUZE</t>
  </si>
  <si>
    <t>LOVE</t>
  </si>
  <si>
    <t>LV</t>
  </si>
  <si>
    <t>SLOT 66</t>
  </si>
  <si>
    <t>S66</t>
  </si>
  <si>
    <t>ASTRO</t>
  </si>
  <si>
    <t>LUCKY NOTE</t>
  </si>
  <si>
    <t>LN</t>
  </si>
  <si>
    <t>TESORO DEL CARIBE</t>
  </si>
  <si>
    <t>TC</t>
  </si>
  <si>
    <t>ATRONIC</t>
  </si>
  <si>
    <t>AT</t>
  </si>
  <si>
    <t>MAGIC CELTIC BINGO</t>
  </si>
  <si>
    <t>MAGCELT</t>
  </si>
  <si>
    <t>VIKINGS</t>
  </si>
  <si>
    <t>VK</t>
  </si>
  <si>
    <t>AURIFY</t>
  </si>
  <si>
    <t>AFI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</si>
  <si>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</si>
  <si>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</si>
  <si>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</si>
  <si>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</si>
  <si>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</si>
  <si>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</si>
  <si>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</si>
  <si>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</si>
  <si>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</si>
  <si>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</si>
  <si>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</si>
  <si>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</si>
  <si>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</si>
  <si>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</si>
  <si>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</si>
  <si>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</si>
  <si>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</si>
  <si>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BTS</t>
  </si>
  <si>
    <t>MR.X</t>
  </si>
  <si>
    <t>MX</t>
  </si>
  <si>
    <t>TOTAL LUDICUS</t>
  </si>
  <si>
    <t>MAORI´S LAND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</si>
  <si>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</si>
  <si>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</si>
  <si>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</si>
  <si>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</si>
  <si>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</si>
  <si>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</si>
  <si>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</si>
  <si>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</si>
  <si>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MUL</t>
  </si>
  <si>
    <t>30 MANIA BONUS</t>
  </si>
  <si>
    <t>30MB</t>
  </si>
  <si>
    <t>CASINO TECHNOLOGY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</si>
  <si>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</si>
  <si>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</si>
  <si>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</si>
  <si>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</si>
  <si>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</si>
  <si>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</si>
  <si>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</si>
  <si>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</si>
  <si>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</si>
  <si>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</si>
  <si>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CV GAMES</t>
  </si>
  <si>
    <t>CV G</t>
  </si>
  <si>
    <t>NEW TRIPLE</t>
  </si>
  <si>
    <t>NT</t>
  </si>
  <si>
    <t>BASKETBALL BINGO</t>
  </si>
  <si>
    <t>BKTB</t>
  </si>
  <si>
    <t>PRIZE UP</t>
  </si>
  <si>
    <t>CYBERVIEW</t>
  </si>
  <si>
    <t>CYB</t>
  </si>
  <si>
    <t>NIGHT BINGO</t>
  </si>
  <si>
    <t>NBNG</t>
  </si>
  <si>
    <t>BINGO BLAST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</si>
  <si>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</si>
  <si>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</si>
  <si>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</si>
  <si>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</si>
  <si>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</si>
  <si>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</si>
  <si>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</si>
  <si>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</si>
  <si>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</si>
  <si>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</si>
  <si>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</si>
  <si>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DIXPA GAMES</t>
  </si>
  <si>
    <t>DIXG</t>
  </si>
  <si>
    <t>OLE</t>
  </si>
  <si>
    <t>BINGO PILIPINO</t>
  </si>
  <si>
    <t>BPILI</t>
  </si>
  <si>
    <t>RESTO FAM</t>
  </si>
  <si>
    <t>E-GAMING (MULTI JUEGOS)</t>
  </si>
  <si>
    <t>E-GAM</t>
  </si>
  <si>
    <t>PANDA SHOW</t>
  </si>
  <si>
    <t>PNDSH</t>
  </si>
  <si>
    <t>BINGO RANCHO</t>
  </si>
  <si>
    <t>BRANCH</t>
  </si>
  <si>
    <t>BEETLE BINGO (BDR)</t>
  </si>
  <si>
    <t>EIBE SLOTS</t>
  </si>
  <si>
    <t>EIBE-SLT</t>
  </si>
  <si>
    <t xml:space="preserve">PILIBINGO </t>
  </si>
  <si>
    <t>PB</t>
  </si>
  <si>
    <t>BINGO-GO</t>
  </si>
  <si>
    <t>EIBE SLOTS OTIUM</t>
  </si>
  <si>
    <t>EIBE-SLTOTIUM</t>
  </si>
  <si>
    <t>RICO EL TOPO</t>
  </si>
  <si>
    <t>RET</t>
  </si>
  <si>
    <t>BINGOLICIOUS</t>
  </si>
  <si>
    <t>BLIC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</si>
  <si>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</si>
  <si>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</si>
  <si>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</si>
  <si>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</si>
  <si>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</si>
  <si>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</si>
  <si>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</si>
  <si>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</si>
  <si>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</si>
  <si>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</si>
  <si>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EVERI</t>
  </si>
  <si>
    <t>EVER</t>
  </si>
  <si>
    <t>ROMA BINGO</t>
  </si>
  <si>
    <t>ROMB</t>
  </si>
  <si>
    <t>CHAMPION BINGO</t>
  </si>
  <si>
    <t>CHBIN</t>
  </si>
  <si>
    <t>FBM RODILLOS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</si>
  <si>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</si>
  <si>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</si>
  <si>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</si>
  <si>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</si>
  <si>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</si>
  <si>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</si>
  <si>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</si>
  <si>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</si>
  <si>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</si>
  <si>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</si>
  <si>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</si>
  <si>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</si>
  <si>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</si>
  <si>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</si>
  <si>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</si>
  <si>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</si>
  <si>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</si>
  <si>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</si>
  <si>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</si>
  <si>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</si>
  <si>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</si>
  <si>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</si>
  <si>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</si>
  <si>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</si>
  <si>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</si>
  <si>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</si>
  <si>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</si>
  <si>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</si>
  <si>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</si>
  <si>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</si>
  <si>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</si>
  <si>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</si>
  <si>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</si>
  <si>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</si>
  <si>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</si>
  <si>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</si>
  <si>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</si>
  <si>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</si>
  <si>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</si>
  <si>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</si>
  <si>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</si>
  <si>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</si>
  <si>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</si>
  <si>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</si>
  <si>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</si>
  <si>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</si>
  <si>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</si>
  <si>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</si>
  <si>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</si>
  <si>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</si>
  <si>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</si>
  <si>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TRIPLE BONUS PRIME</t>
  </si>
  <si>
    <t>TBPm</t>
  </si>
  <si>
    <t>ICE BLAST</t>
  </si>
  <si>
    <t>ICEB</t>
  </si>
  <si>
    <t>INCREDIBLE TECHNOLOGIES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</si>
  <si>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</si>
  <si>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</si>
  <si>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</si>
  <si>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</si>
  <si>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</si>
  <si>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</si>
  <si>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</si>
  <si>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</si>
  <si>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</si>
  <si>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INTERBLOCK</t>
  </si>
  <si>
    <t>INTB</t>
  </si>
  <si>
    <t>TRIPLE MANIA BONUS</t>
  </si>
  <si>
    <t>TMB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</si>
  <si>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</si>
  <si>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</si>
  <si>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</si>
  <si>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</si>
  <si>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</si>
  <si>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</si>
  <si>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</si>
  <si>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</si>
  <si>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JAMES</t>
  </si>
  <si>
    <t>JMES</t>
  </si>
  <si>
    <t>TRIPLE MANIA BONUS PRIME</t>
  </si>
  <si>
    <t>TMBPm</t>
  </si>
  <si>
    <t>MASSKARA BINGO</t>
  </si>
  <si>
    <t>MSKB</t>
  </si>
  <si>
    <t>ENERGY LINK</t>
  </si>
  <si>
    <t>JESTRE</t>
  </si>
  <si>
    <t>JES</t>
  </si>
  <si>
    <t>TRIPLE TURBO</t>
  </si>
  <si>
    <t>TT</t>
  </si>
  <si>
    <t>MAYA</t>
  </si>
  <si>
    <t>MY</t>
  </si>
  <si>
    <t>VIKINGS GOLD</t>
  </si>
  <si>
    <t>VKG</t>
  </si>
  <si>
    <t>MEDIEVAL BINGO</t>
  </si>
  <si>
    <t>MDVB</t>
  </si>
  <si>
    <t>KONAMI</t>
  </si>
  <si>
    <t>KN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</si>
  <si>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</si>
  <si>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</si>
  <si>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</si>
  <si>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</si>
  <si>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</si>
  <si>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</si>
  <si>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</si>
  <si>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MEGA CHAMPION</t>
  </si>
  <si>
    <t>MCHAM</t>
  </si>
  <si>
    <t>MERKUR</t>
  </si>
  <si>
    <t>TOTAL MUEBLE O-FUTURE</t>
  </si>
  <si>
    <t>O-FUT</t>
  </si>
  <si>
    <t>MULTI BINGO</t>
  </si>
  <si>
    <t>TOTAL ENERGY LINK</t>
  </si>
  <si>
    <t>MULTI MEDIA GAMES</t>
  </si>
  <si>
    <t>MMG</t>
  </si>
  <si>
    <t>MULTI CHAMPION BONUS</t>
  </si>
  <si>
    <t>MCHB</t>
  </si>
  <si>
    <t>NOVOMATIC</t>
  </si>
  <si>
    <t>MULTI CHANCE</t>
  </si>
  <si>
    <t>OPERADORA CLASS LK</t>
  </si>
  <si>
    <t>CLASSLK</t>
  </si>
  <si>
    <t>20 GRATIS</t>
  </si>
  <si>
    <t>20G</t>
  </si>
  <si>
    <t>MULTI MEGA</t>
  </si>
  <si>
    <t>ORION</t>
  </si>
  <si>
    <t>ORI</t>
  </si>
  <si>
    <t>ASTRAL</t>
  </si>
  <si>
    <t>ASTRA</t>
  </si>
  <si>
    <t>MULTI MEGA BONUS</t>
  </si>
  <si>
    <t>MMB</t>
  </si>
  <si>
    <t>ENERGY LINK 3x5</t>
  </si>
  <si>
    <t>PAULA</t>
  </si>
  <si>
    <t>PAU</t>
  </si>
  <si>
    <t>AVE CAESAR GRATIS</t>
  </si>
  <si>
    <t>ACG</t>
  </si>
  <si>
    <t>MULTI MEGA ICE BLAST</t>
  </si>
  <si>
    <t>MMIB</t>
  </si>
  <si>
    <t>PRIOR 2 ARRIVAL</t>
  </si>
  <si>
    <t>P2A</t>
  </si>
  <si>
    <t>BINGO IMPERIUM XII</t>
  </si>
  <si>
    <t>IMP XII</t>
  </si>
  <si>
    <t>MULTI MEGA MILLONAIRE</t>
  </si>
  <si>
    <t>MMBM</t>
  </si>
  <si>
    <t>PROMATIC</t>
  </si>
  <si>
    <t>PMAT</t>
  </si>
  <si>
    <t>BINGO TOP GRATIS</t>
  </si>
  <si>
    <t>BNTG</t>
  </si>
  <si>
    <t>MULTI PLUS</t>
  </si>
  <si>
    <t>RCT</t>
  </si>
  <si>
    <t>BOMBA MULTI GAME</t>
  </si>
  <si>
    <t>BMG</t>
  </si>
  <si>
    <t>MULTI PLUS BONUS</t>
  </si>
  <si>
    <t>MPB</t>
  </si>
  <si>
    <t>TOTAL ENERGY LINK 3x5</t>
  </si>
  <si>
    <t>SB</t>
  </si>
  <si>
    <t>DOBLE GRATIS</t>
  </si>
  <si>
    <t>DMG</t>
  </si>
  <si>
    <t>PLUS 3</t>
  </si>
  <si>
    <t>LIGHT &amp; WONDER</t>
  </si>
  <si>
    <t>SCIGA</t>
  </si>
  <si>
    <t>DOBLE MANIA</t>
  </si>
  <si>
    <t>DM</t>
  </si>
  <si>
    <t>PLUS 3 BONUS</t>
  </si>
  <si>
    <t>P3B</t>
  </si>
  <si>
    <t>SCORPIO GAMING INTERNATIONAL</t>
  </si>
  <si>
    <t>SGINT</t>
  </si>
  <si>
    <t>FUSION LINK</t>
  </si>
  <si>
    <t>FLINK</t>
  </si>
  <si>
    <t>PLUS 3 MULTI</t>
  </si>
  <si>
    <t>P3M</t>
  </si>
  <si>
    <t>SEGA SAMMY CREATION</t>
  </si>
  <si>
    <t>SAMMY</t>
  </si>
  <si>
    <t>IMPERIUM</t>
  </si>
  <si>
    <t>RACINGO</t>
  </si>
  <si>
    <t>RACNG</t>
  </si>
  <si>
    <t>ENERGY KING 3x4</t>
  </si>
  <si>
    <t>SHOWBALL RODILLOS</t>
  </si>
  <si>
    <t>SHOWRO</t>
  </si>
  <si>
    <t>IMPERIUM GRATIS</t>
  </si>
  <si>
    <t>IMG</t>
  </si>
  <si>
    <t>ROCK STAR</t>
  </si>
  <si>
    <t>RKS</t>
  </si>
  <si>
    <t>SLEIC RODILLOS</t>
  </si>
  <si>
    <t>SLERO</t>
  </si>
  <si>
    <t>JOKER MEX</t>
  </si>
  <si>
    <t>JKM</t>
  </si>
  <si>
    <t>RUBINGO</t>
  </si>
  <si>
    <t>SPIELO</t>
  </si>
  <si>
    <t>SPLO</t>
  </si>
  <si>
    <t>JOKER WIN</t>
  </si>
  <si>
    <t>JKW</t>
  </si>
  <si>
    <t>SANDS OF FORTUNE</t>
  </si>
  <si>
    <t>SOFE</t>
  </si>
  <si>
    <t>TECNOVISION</t>
  </si>
  <si>
    <t>TCNO</t>
  </si>
  <si>
    <t>L´AMOR</t>
  </si>
  <si>
    <t>L´A</t>
  </si>
  <si>
    <t>THE KING</t>
  </si>
  <si>
    <t>KNG</t>
  </si>
  <si>
    <t>VEGAVISION</t>
  </si>
  <si>
    <t>VEGA</t>
  </si>
  <si>
    <t>LA VIDENTE</t>
  </si>
  <si>
    <t>LAV</t>
  </si>
  <si>
    <t>TREASURE BINGO</t>
  </si>
  <si>
    <t>TRB</t>
  </si>
  <si>
    <t xml:space="preserve">TOTAL ENERGY KING
</t>
  </si>
  <si>
    <t>VGT</t>
  </si>
  <si>
    <t>LAST MANIA</t>
  </si>
  <si>
    <t>LM</t>
  </si>
  <si>
    <t>UNDERWATER RICHES</t>
  </si>
  <si>
    <t>WINPOT / DREIDEL SL</t>
  </si>
  <si>
    <t>WINPOTSL</t>
  </si>
  <si>
    <t>LONDON PLAY</t>
  </si>
  <si>
    <t>LONP</t>
  </si>
  <si>
    <t>VIVA MEXICO</t>
  </si>
  <si>
    <t>VM</t>
  </si>
  <si>
    <t>WIN SYSTEM</t>
  </si>
  <si>
    <t>MEPHISTOFELES</t>
  </si>
  <si>
    <t>MEPH</t>
  </si>
  <si>
    <t>VOLCANO</t>
  </si>
  <si>
    <t>VOLC</t>
  </si>
  <si>
    <t>OTROS SLOTS</t>
  </si>
  <si>
    <t>OTROS SL</t>
  </si>
  <si>
    <t>MEXICAN GAME</t>
  </si>
  <si>
    <t>MEXG</t>
  </si>
  <si>
    <t>TOTAL FBM</t>
  </si>
  <si>
    <t>ENERGY KING 3x5</t>
  </si>
  <si>
    <t>MILLION +</t>
  </si>
  <si>
    <t>ML</t>
  </si>
  <si>
    <t>MULTI CHOICE</t>
  </si>
  <si>
    <t>MULTICH</t>
  </si>
  <si>
    <t>MULTI CLASSIC</t>
  </si>
  <si>
    <t>MCLS</t>
  </si>
  <si>
    <t>30 FUNNY CARS</t>
  </si>
  <si>
    <t>30FCRS</t>
  </si>
  <si>
    <t>PRIMA</t>
  </si>
  <si>
    <t>PRI</t>
  </si>
  <si>
    <t>ATLANTIS BINGO</t>
  </si>
  <si>
    <t>AB</t>
  </si>
  <si>
    <t>TOTAL ENERGY KING 3x5</t>
  </si>
  <si>
    <t>QUEEN ROULETTE</t>
  </si>
  <si>
    <t>QR</t>
  </si>
  <si>
    <t>BEACH FIESTA BINGO</t>
  </si>
  <si>
    <t>BCHF</t>
  </si>
  <si>
    <t>TNT</t>
  </si>
  <si>
    <t>BINGO BANG THEORY</t>
  </si>
  <si>
    <t>BBT</t>
  </si>
  <si>
    <t>TOTAL FUMAR</t>
  </si>
  <si>
    <t>TOTAL NO FUMAR</t>
  </si>
  <si>
    <t>TOP MANIA</t>
  </si>
  <si>
    <t>TOM</t>
  </si>
  <si>
    <t>BING BUZO</t>
  </si>
  <si>
    <t>BBUZO</t>
  </si>
  <si>
    <t>TOT IMPERIUM</t>
  </si>
  <si>
    <t>TOTI</t>
  </si>
  <si>
    <t>BINGO DE LOS CIELOS</t>
  </si>
  <si>
    <t>BCIELOS</t>
  </si>
  <si>
    <t>XII CAESARES</t>
  </si>
  <si>
    <t>XII</t>
  </si>
  <si>
    <t>BINGO SAURUS</t>
  </si>
  <si>
    <t>BS</t>
  </si>
  <si>
    <t>TRIPLE X BOOM</t>
  </si>
  <si>
    <t>XXX B</t>
  </si>
  <si>
    <t>BINVADERS</t>
  </si>
  <si>
    <t>BINV</t>
  </si>
  <si>
    <t>TABLA DE SIGNS BINGO</t>
  </si>
  <si>
    <t>TOTAL METRONIA</t>
  </si>
  <si>
    <t>COPA CABANA</t>
  </si>
  <si>
    <t>COPC</t>
  </si>
  <si>
    <t>DIAMOND JACK</t>
  </si>
  <si>
    <t>DJ</t>
  </si>
  <si>
    <t>DOCTOR BINGO PLUS</t>
  </si>
  <si>
    <t>DBP</t>
  </si>
  <si>
    <t>TOTAL SIGNS SALA</t>
  </si>
  <si>
    <t>DOUBLE SPEED</t>
  </si>
  <si>
    <t>DSPEED</t>
  </si>
  <si>
    <t>CRAZY CACTUS BINGO</t>
  </si>
  <si>
    <t>CCB</t>
  </si>
  <si>
    <t>EL PESERO</t>
  </si>
  <si>
    <t>PESE</t>
  </si>
  <si>
    <t xml:space="preserve">TOTAL FUMAR </t>
  </si>
  <si>
    <t>DYNAMITE BINGO</t>
  </si>
  <si>
    <t>DYB</t>
  </si>
  <si>
    <t>FUNNY CARS</t>
  </si>
  <si>
    <t>FCRS</t>
  </si>
  <si>
    <t>TOTAL JESTRONIC</t>
  </si>
  <si>
    <t>FUNNY CARS CLASSIC</t>
  </si>
  <si>
    <t>FCRC</t>
  </si>
  <si>
    <t>FRAMELESS</t>
  </si>
  <si>
    <t>GRAN NATIONAL 20</t>
  </si>
  <si>
    <t>G20</t>
  </si>
  <si>
    <t>DRAGON WIN 1 CARA</t>
  </si>
  <si>
    <t>SIGN DW-1</t>
  </si>
  <si>
    <t>GRAND NATIONAL</t>
  </si>
  <si>
    <t>GN</t>
  </si>
  <si>
    <t>ENERGY KING 1 CARA</t>
  </si>
  <si>
    <t>SIGN EK-1</t>
  </si>
  <si>
    <t>R.FRANCO</t>
  </si>
  <si>
    <t>IMPERIAL BINGO</t>
  </si>
  <si>
    <t>IMB</t>
  </si>
  <si>
    <t>ENERGY LINK 1 CARA</t>
  </si>
  <si>
    <t>SIGN EL-1</t>
  </si>
  <si>
    <t xml:space="preserve"> BINGO CARAMEL</t>
  </si>
  <si>
    <t>BC</t>
  </si>
  <si>
    <t>IMPERIAL PALACE</t>
  </si>
  <si>
    <t>IMP</t>
  </si>
  <si>
    <t>DRAGON WIN 2 CARAS</t>
  </si>
  <si>
    <t>SIGN DW-2</t>
  </si>
  <si>
    <t>10 VECES BINGO</t>
  </si>
  <si>
    <t>10VB</t>
  </si>
  <si>
    <t>JOCKEY MANIA</t>
  </si>
  <si>
    <t>JOKCM</t>
  </si>
  <si>
    <t>ENERGY KING 2 CARAS</t>
  </si>
  <si>
    <t>SIGN EK-2</t>
  </si>
  <si>
    <t>5 DIAMANTES</t>
  </si>
  <si>
    <t>5D</t>
  </si>
  <si>
    <t>LA MINA DE LA SUERTE 20</t>
  </si>
  <si>
    <t>MS20</t>
  </si>
  <si>
    <t>ENERGY LINK 2 CARAS</t>
  </si>
  <si>
    <t>SIGN EL-2</t>
  </si>
  <si>
    <t>BON VOYAGE</t>
  </si>
  <si>
    <t>BV</t>
  </si>
  <si>
    <t>MAGIC 60</t>
  </si>
  <si>
    <t>MGC60</t>
  </si>
  <si>
    <t>CONECTA BINGO</t>
  </si>
  <si>
    <t>CB</t>
  </si>
  <si>
    <t>MULTI DRAGON</t>
  </si>
  <si>
    <t>MDRA</t>
  </si>
  <si>
    <t>BINGO LINK</t>
  </si>
  <si>
    <t>CONFIDENTIAL</t>
  </si>
  <si>
    <t>CF</t>
  </si>
  <si>
    <t>MULTI JUEGO</t>
  </si>
  <si>
    <t>MULTJ</t>
  </si>
  <si>
    <t>SIGN BLDW-1</t>
  </si>
  <si>
    <t>RICH BINGO</t>
  </si>
  <si>
    <t>RCHB</t>
  </si>
  <si>
    <t>ORIGINAL BINGO</t>
  </si>
  <si>
    <t>OBGO</t>
  </si>
  <si>
    <t>SIGN BLEK-1</t>
  </si>
  <si>
    <t>TOTAL R.FRANCO</t>
  </si>
  <si>
    <t>ORIGINAL BINGO JAZZ</t>
  </si>
  <si>
    <t>OBGOJAZZ</t>
  </si>
  <si>
    <t>SIGN BLEL-1</t>
  </si>
  <si>
    <t>PLUS MANIA</t>
  </si>
  <si>
    <t>PMANIA</t>
  </si>
  <si>
    <t>SHOW TIME 1 CARA</t>
  </si>
  <si>
    <t>SIGN BLSWT-1</t>
  </si>
  <si>
    <t>MAGIC CHINA</t>
  </si>
  <si>
    <t>MCHINA</t>
  </si>
  <si>
    <t>SIGN BLDW-2</t>
  </si>
  <si>
    <t>RA MANIA</t>
  </si>
  <si>
    <t>ENERGY KING / ENERGY LINK 2 CARAS</t>
  </si>
  <si>
    <t>SIGN BLEK/BLEL-2</t>
  </si>
  <si>
    <t>CANDY PRIZE</t>
  </si>
  <si>
    <t>CNYPRZ</t>
  </si>
  <si>
    <t>SAFARI RACE</t>
  </si>
  <si>
    <t>SR</t>
  </si>
  <si>
    <t>SIGN BLEK-2</t>
  </si>
  <si>
    <t>DREIDEL</t>
  </si>
  <si>
    <t>SATURN 8</t>
  </si>
  <si>
    <t>S8</t>
  </si>
  <si>
    <t>SIGN BLEL-2</t>
  </si>
  <si>
    <t>FIRE AND ICE</t>
  </si>
  <si>
    <t>FANDI</t>
  </si>
  <si>
    <t>SPIN GOAL</t>
  </si>
  <si>
    <t>SPGOAL</t>
  </si>
  <si>
    <t>SHOW TIME 2 CARAS</t>
  </si>
  <si>
    <t>FIRE LINK</t>
  </si>
  <si>
    <t>FRELK</t>
  </si>
  <si>
    <t>STORM LINK</t>
  </si>
  <si>
    <t>STRLINK</t>
  </si>
  <si>
    <t>DRAGON WIN / LINK ME 2 CARAS</t>
  </si>
  <si>
    <t>SIGN BLDW/LM-2</t>
  </si>
  <si>
    <t>FREDDY WHEEL BINGO</t>
  </si>
  <si>
    <t>FREDWBINGO</t>
  </si>
  <si>
    <t>SWEET BINGO</t>
  </si>
  <si>
    <t>SWEETB</t>
  </si>
  <si>
    <t>DRAGON WIN/ ENERGY KING 2 CARAS</t>
  </si>
  <si>
    <t>SIGN BLDW/EK-2</t>
  </si>
  <si>
    <t>JA PON PON</t>
  </si>
  <si>
    <t>JPON</t>
  </si>
  <si>
    <t>SWITCH LINK</t>
  </si>
  <si>
    <t>STLINK</t>
  </si>
  <si>
    <t>DRAGON WIN/ ENERGY LINK 2 CARAS</t>
  </si>
  <si>
    <t>SIGN BLDW/EL-2</t>
  </si>
  <si>
    <t>LUCKY DRAGON</t>
  </si>
  <si>
    <t>LKYDRGN</t>
  </si>
  <si>
    <t>TIME 4 BONUS</t>
  </si>
  <si>
    <t>T4B</t>
  </si>
  <si>
    <t>DRAGON WIN / SHOW TIME FASE 5  2 CARAS</t>
  </si>
  <si>
    <t>SIGN BLDW/STF5-2</t>
  </si>
  <si>
    <t>LUCKY WIZARD</t>
  </si>
  <si>
    <t>LKYWRD</t>
  </si>
  <si>
    <t>WONDER BINGO</t>
  </si>
  <si>
    <t>WBING</t>
  </si>
  <si>
    <t>MARDI JAZZ</t>
  </si>
  <si>
    <t>MARDIJ</t>
  </si>
  <si>
    <t>YETI (ICE CREAM)</t>
  </si>
  <si>
    <t>YETI</t>
  </si>
  <si>
    <t>SEA FORTUNES</t>
  </si>
  <si>
    <t>SEAFORT</t>
  </si>
  <si>
    <t>TOTAL SLEIC</t>
  </si>
  <si>
    <t>SIGN BPDW-1</t>
  </si>
  <si>
    <t>THE 7 KINGDOMS</t>
  </si>
  <si>
    <t>7KDOMS</t>
  </si>
  <si>
    <t>SIGN BPEK-1</t>
  </si>
  <si>
    <t>TINO</t>
  </si>
  <si>
    <t>SIGN BPEL-1</t>
  </si>
  <si>
    <t>TINO 60s</t>
  </si>
  <si>
    <t>TINO60s</t>
  </si>
  <si>
    <t xml:space="preserve">PACHINKO </t>
  </si>
  <si>
    <t>PKI</t>
  </si>
  <si>
    <t>SIGN BPDW-2</t>
  </si>
  <si>
    <t>TINO CHINA</t>
  </si>
  <si>
    <t>PACHINKO II</t>
  </si>
  <si>
    <t>PKII</t>
  </si>
  <si>
    <t>SIGN BPEK-2</t>
  </si>
  <si>
    <t>WEST WEST BINGO</t>
  </si>
  <si>
    <t>WWBINGO</t>
  </si>
  <si>
    <t>TOTAL PACHINKO</t>
  </si>
  <si>
    <t>SIGN BPEL-2</t>
  </si>
  <si>
    <t>WINNING RAINBOWS</t>
  </si>
  <si>
    <t>WRBWS</t>
  </si>
  <si>
    <t>TOTAL WINPOT</t>
  </si>
  <si>
    <t>ZITRO</t>
  </si>
  <si>
    <t>BINGO BINGO</t>
  </si>
  <si>
    <t>BINB</t>
  </si>
  <si>
    <t>SIGN ZITRODW-1</t>
  </si>
  <si>
    <t>BINGO DE LA PASION</t>
  </si>
  <si>
    <t>BPS</t>
  </si>
  <si>
    <t>SIGN ZITRODW-2</t>
  </si>
  <si>
    <t>JUKEBOX BINGO</t>
  </si>
  <si>
    <t>JBB</t>
  </si>
  <si>
    <t>SALSA BINGO</t>
  </si>
  <si>
    <t>SBO</t>
  </si>
  <si>
    <t>ONIX</t>
  </si>
  <si>
    <t>SUPER BET BINGO</t>
  </si>
  <si>
    <t>SBB</t>
  </si>
  <si>
    <t>SIGN ONIXDW-1</t>
  </si>
  <si>
    <t>ZOMBIE BINGO</t>
  </si>
  <si>
    <t>ZB</t>
  </si>
  <si>
    <t>SIGN ONIXDW-2</t>
  </si>
  <si>
    <t>TOTAL SABIA</t>
  </si>
  <si>
    <t>FLEX GAME</t>
  </si>
  <si>
    <t>FLXG</t>
  </si>
  <si>
    <t>HOT BINGO</t>
  </si>
  <si>
    <t>HBIN</t>
  </si>
  <si>
    <t>PARK BINGO</t>
  </si>
  <si>
    <t>PKB</t>
  </si>
  <si>
    <t>BLUEBERI</t>
  </si>
  <si>
    <t>STEEL BINGO</t>
  </si>
  <si>
    <t>STLB</t>
  </si>
  <si>
    <t>TOTAL BLUBERI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</si>
  <si>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</si>
  <si>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</si>
  <si>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</si>
  <si>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</si>
  <si>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</si>
  <si>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</si>
  <si>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</si>
  <si>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</si>
  <si>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TOTAL LATINA WORLD GAMING</t>
  </si>
  <si>
    <t>VIVA</t>
  </si>
  <si>
    <t>TOTAL INTERVISION</t>
  </si>
  <si>
    <t>JALAPEÑO</t>
  </si>
  <si>
    <t>JPÑO</t>
  </si>
  <si>
    <t>BINGO BRAVO</t>
  </si>
  <si>
    <t>BBRAVO</t>
  </si>
  <si>
    <t>AEROBINGO</t>
  </si>
  <si>
    <t>AEROB</t>
  </si>
  <si>
    <t>PIRATES</t>
  </si>
  <si>
    <t>PIR</t>
  </si>
  <si>
    <t>TOTAL JCB GAMING</t>
  </si>
  <si>
    <t>LUCHA LIBRE</t>
  </si>
  <si>
    <t>LLIBRE</t>
  </si>
  <si>
    <t>SONORA DESERT</t>
  </si>
  <si>
    <t>SDESERT</t>
  </si>
  <si>
    <t>TESORO DEL ARTICO</t>
  </si>
  <si>
    <t>TARTICO</t>
  </si>
  <si>
    <t>MAXCOTA</t>
  </si>
  <si>
    <t>MXTA</t>
  </si>
  <si>
    <t>TROPICANA</t>
  </si>
  <si>
    <t>TROPIC</t>
  </si>
  <si>
    <t>MONSTER</t>
  </si>
  <si>
    <t>MNST</t>
  </si>
  <si>
    <t>POKER REVOLUTION</t>
  </si>
  <si>
    <t>PKREV</t>
  </si>
  <si>
    <t>ROYAL BINGO</t>
  </si>
  <si>
    <t>RYBG</t>
  </si>
  <si>
    <t>BLACK JACK</t>
  </si>
  <si>
    <t>BJ</t>
  </si>
  <si>
    <t>TROPI CALIENTE</t>
  </si>
  <si>
    <t>TRPC</t>
  </si>
  <si>
    <t>KENO</t>
  </si>
  <si>
    <t>KNO</t>
  </si>
  <si>
    <t>TOTAL AMBRA GAMING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</si>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</sst>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#,##0_ ;[Red]\-#,##0\ "/>
    <numFmt numFmtId="171" formatCode="_-* #,##0\ _€_-;\-* #,##0\ _€_-;_-* &quot;-&quot;\ _€_-;_-@_-"/>
    <numFmt numFmtId="172" formatCode="0000000"/>
  </numFmts>
  <fonts count="18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theme="3" tint="-0.499984740745262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b/>
      <sz val="14"/>
      <color theme="5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4"/>
      <color rgb="FFC00000"/>
      <name val="Arial"/>
      <family val="2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36"/>
      <name val="Arial"/>
      <family val="2"/>
    </font>
    <font>
      <b/>
      <sz val="18"/>
      <name val="Arial"/>
      <family val="2"/>
    </font>
    <font>
      <b/>
      <sz val="28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2"/>
      <color rgb="FFFF0000"/>
      <name val="Calibri"/>
      <family val="2"/>
    </font>
    <font>
      <b/>
      <sz val="9"/>
      <name val="Arial"/>
      <family val="2"/>
    </font>
    <font>
      <b/>
      <sz val="12"/>
      <color rgb="FFDDDDDD"/>
      <name val="Calibri"/>
      <family val="2"/>
    </font>
    <font>
      <b/>
      <sz val="16"/>
      <color rgb="FFFFFFFF"/>
      <name val="Arial"/>
      <family val="2"/>
    </font>
    <font>
      <b/>
      <sz val="12"/>
      <color theme="0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12"/>
      <color rgb="FF00B0F0"/>
      <name val="Arial"/>
      <family val="2"/>
    </font>
    <font>
      <b/>
      <sz val="11"/>
      <color indexed="8"/>
      <name val="Calibri"/>
      <family val="2"/>
    </font>
    <font>
      <b/>
      <sz val="11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name val="Arial"/>
      <family val="2"/>
    </font>
    <font>
      <b/>
      <sz val="12"/>
      <color rgb="FFFFFFFF"/>
      <name val="Calibri"/>
      <family val="2"/>
    </font>
    <font>
      <b/>
      <sz val="12"/>
      <color theme="9" tint="0.3999755851924192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  <scheme val="minor"/>
    </font>
    <font>
      <b/>
      <sz val="8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4"/>
      <color rgb="FF1D1B10"/>
      <name val="Arial"/>
      <family val="2"/>
    </font>
    <font>
      <b/>
      <sz val="18"/>
      <color rgb="FFFF0000"/>
      <name val="Calibri"/>
      <family val="2"/>
    </font>
    <font>
      <b/>
      <sz val="18"/>
      <color rgb="FFFFFF00"/>
      <name val="Calibri"/>
      <family val="2"/>
    </font>
    <font>
      <b/>
      <sz val="11"/>
      <color rgb="FFFF0000"/>
      <name val="Calibri"/>
      <family val="2"/>
    </font>
    <font>
      <sz val="20"/>
      <name val="Arial"/>
      <family val="2"/>
    </font>
    <font>
      <b/>
      <sz val="12"/>
      <color rgb="FF4A4529"/>
      <name val="Calibri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12"/>
      <color rgb="FFFABF8F"/>
      <name val="Calibri"/>
      <family val="2"/>
    </font>
    <font>
      <sz val="8"/>
      <color rgb="FF000000"/>
      <name val="Calibri"/>
      <family val="2"/>
    </font>
    <font>
      <sz val="8"/>
      <color rgb="FFFFFFFF"/>
      <name val="Arial"/>
      <family val="2"/>
    </font>
    <font>
      <b/>
      <sz val="11"/>
      <color rgb="FFFFFFFF"/>
      <name val="Calibri"/>
      <family val="2"/>
    </font>
    <font>
      <b/>
      <sz val="26"/>
      <name val="Arial"/>
      <family val="2"/>
    </font>
    <font>
      <b/>
      <sz val="14"/>
      <color rgb="FF660066"/>
      <name val="Arial"/>
      <family val="2"/>
    </font>
    <font>
      <b/>
      <sz val="12"/>
      <color rgb="FF642523"/>
      <name val="Arial"/>
      <family val="2"/>
    </font>
    <font>
      <b/>
      <sz val="14"/>
      <color rgb="FF800000"/>
      <name val="Arial"/>
      <family val="2"/>
    </font>
    <font>
      <b/>
      <sz val="11"/>
      <name val="Arial"/>
      <family val="2"/>
    </font>
    <font>
      <b/>
      <sz val="12"/>
      <color rgb="FF94CDDD"/>
      <name val="Arial"/>
      <family val="2"/>
    </font>
    <font>
      <sz val="16"/>
      <color rgb="FF000000"/>
      <name val="Calibri"/>
      <family val="2"/>
    </font>
    <font>
      <b/>
      <sz val="11"/>
      <color rgb="FF00B0F0"/>
      <name val="Calibri"/>
      <family val="2"/>
    </font>
    <font>
      <b/>
      <sz val="1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FFFF"/>
      <name val="Arial"/>
      <family val="2"/>
    </font>
    <font>
      <b/>
      <sz val="18"/>
      <color rgb="FFFFFFFF"/>
      <name val="Calibri"/>
      <family val="2"/>
    </font>
    <font>
      <b/>
      <sz val="14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  <charset val="1"/>
    </font>
    <font>
      <sz val="11"/>
      <color rgb="FF000000"/>
      <name val="Arial"/>
      <family val="2"/>
    </font>
    <font>
      <sz val="8"/>
      <color indexed="8"/>
      <name val="ARIAL"/>
      <family val="2"/>
    </font>
    <font>
      <b/>
      <sz val="14"/>
      <color indexed="9"/>
      <name val="Calibri"/>
      <family val="2"/>
    </font>
    <font>
      <b/>
      <sz val="12"/>
      <color rgb="FF568FD4"/>
      <name val="Arial"/>
      <family val="2"/>
    </font>
    <font>
      <b/>
      <sz val="18"/>
      <color rgb="FF1F4A7E"/>
      <name val="Calibri"/>
      <family val="2"/>
    </font>
    <font>
      <b/>
      <sz val="10"/>
      <color rgb="FFFF0000"/>
      <name val="ARIAL"/>
      <family val="2"/>
      <charset val="1"/>
    </font>
    <font>
      <b/>
      <sz val="14"/>
      <color rgb="FF000000"/>
      <name val="Calibri"/>
      <family val="2"/>
    </font>
    <font>
      <sz val="12"/>
      <color rgb="FFFF0000"/>
      <name val="Arial"/>
      <family val="2"/>
    </font>
    <font>
      <sz val="60"/>
      <color rgb="FF000000"/>
      <name val="Calibri"/>
      <family val="2"/>
    </font>
    <font>
      <b/>
      <sz val="8"/>
      <color indexed="8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0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  <font>
      <b/>
      <sz val="12"/>
      <name val="Calibri"/>
      <family val="2"/>
      <scheme val="minor"/>
    </font>
    <font>
      <b/>
      <sz val="12"/>
      <color rgb="FFFFFF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theme="7" tint="-0.499984740745262"/>
      <name val="Arial"/>
      <family val="2"/>
    </font>
    <font>
      <b/>
      <sz val="12"/>
      <color theme="2" tint="-0.749992370372631"/>
      <name val="Calibri"/>
      <family val="2"/>
      <scheme val="minor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b/>
      <sz val="12"/>
      <color rgb="FF990000"/>
      <name val="Calibri"/>
      <family val="2"/>
      <scheme val="minor"/>
    </font>
    <font>
      <sz val="14"/>
      <name val="Arial"/>
      <family val="2"/>
    </font>
    <font>
      <b/>
      <sz val="12"/>
      <color theme="6" tint="-0.249977111117893"/>
      <name val="Calibri"/>
      <family val="2"/>
      <scheme val="minor"/>
    </font>
    <font>
      <b/>
      <sz val="12"/>
      <color rgb="FFDDDDDD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8" tint="0.39994506668294322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30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D66F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Up">
        <fgColor rgb="FFE6B8B7"/>
        <bgColor theme="5" tint="0.39997558519241921"/>
      </patternFill>
    </fill>
    <fill>
      <patternFill patternType="lightDown">
        <fgColor theme="9"/>
        <bgColor theme="9" tint="0.39991454817346722"/>
      </pattern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0080"/>
        <bgColor rgb="FF800080"/>
      </patternFill>
    </fill>
    <fill>
      <patternFill patternType="lightTrellis">
        <fgColor theme="9"/>
        <bgColor theme="9" tint="-0.499984740745262"/>
      </patternFill>
    </fill>
    <fill>
      <patternFill patternType="gray0625">
        <fgColor auto="1"/>
        <bgColor rgb="FFFF0000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01C8"/>
        <bgColor indexed="64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B2A1C6"/>
        <bgColor rgb="FF000000"/>
      </patternFill>
    </fill>
    <fill>
      <patternFill patternType="gray0625">
        <fgColor rgb="FF96B3D7"/>
        <bgColor rgb="FF376092"/>
      </patternFill>
    </fill>
    <fill>
      <patternFill patternType="solid">
        <fgColor rgb="FF6699FF"/>
        <bgColor rgb="FF003366"/>
      </pattern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rgb="FFBFBFBF"/>
        <bgColor rgb="FF000000"/>
      </patternFill>
    </fill>
    <fill>
      <patternFill patternType="solid">
        <fgColor rgb="FF3366FF"/>
        <bgColor rgb="FF0066CC"/>
      </patternFill>
    </fill>
    <fill>
      <patternFill patternType="solid">
        <fgColor rgb="FF99CCFF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FFCC00"/>
        <bgColor rgb="FFFF8080"/>
      </patternFill>
    </fill>
    <fill>
      <patternFill patternType="solid">
        <fgColor rgb="FF64252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ABA58"/>
        <bgColor rgb="FF0066CC"/>
      </patternFill>
    </fill>
    <fill>
      <patternFill patternType="solid">
        <fgColor rgb="FF96373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568FD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FFFF00"/>
      </patternFill>
    </fill>
    <fill>
      <patternFill patternType="solid">
        <fgColor rgb="FF215968"/>
        <bgColor rgb="FF000000"/>
      </patternFill>
    </fill>
    <fill>
      <patternFill patternType="solid">
        <fgColor rgb="FF3F305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8EB4E2"/>
        <bgColor rgb="FF8EB4E2"/>
      </patternFill>
    </fill>
    <fill>
      <patternFill patternType="solid">
        <fgColor rgb="FFC2D69B"/>
        <bgColor indexed="64"/>
      </patternFill>
    </fill>
    <fill>
      <patternFill patternType="solid">
        <fgColor theme="6" tint="-0.499984740745262"/>
        <bgColor rgb="FF000000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FF"/>
        <bgColor rgb="FF568FD4"/>
      </patternFill>
    </fill>
    <fill>
      <patternFill patternType="solid">
        <fgColor rgb="FF7F7F7F"/>
        <bgColor rgb="FF0066CC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96969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FF0000"/>
        <bgColor rgb="FFFFCC00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92D050"/>
        <bgColor rgb="FFFFCC00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rgb="FF800080"/>
      </patternFill>
    </fill>
    <fill>
      <patternFill patternType="solid">
        <fgColor theme="6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FFFF00"/>
        <bgColor rgb="FFFFCC00"/>
      </patternFill>
    </fill>
    <fill>
      <patternFill patternType="solid">
        <fgColor rgb="FF008000"/>
        <bgColor rgb="FF008080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3366"/>
        <bgColor rgb="FF333399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00FFFF"/>
        <bgColor rgb="FF00808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333399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rgb="FFABE2A8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rgb="FF0070C0"/>
        <bgColor rgb="FF0066CC"/>
      </pattern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rgb="FF0066CC"/>
      </pattern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patternFill patternType="solid">
        <fgColor theme="9" tint="0.79998168889431442"/>
        <bgColor rgb="FF0066CC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7"/>
        <bgColor rgb="FF0066CC"/>
      </patternFill>
    </fill>
    <fill>
      <patternFill patternType="solid">
        <fgColor theme="7" tint="-0.499984740745262"/>
        <bgColor rgb="FF993300"/>
      </patternFill>
    </fill>
    <fill>
      <patternFill patternType="solid">
        <fgColor theme="6" tint="0.79998168889431442"/>
        <bgColor indexed="64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patternFill patternType="solid">
        <fgColor theme="9" tint="0.59999389629810485"/>
        <bgColor rgb="FF008080"/>
      </pattern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patternFill patternType="solid">
        <fgColor theme="6" tint="0.59999389629810485"/>
        <bgColor indexed="64"/>
      </pattern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9900CC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0" tint="-0.249977111117893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8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gray0625">
        <fgColor rgb="FF96B3D7"/>
        <bgColor theme="0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568FD4"/>
      </patternFill>
    </fill>
    <fill>
      <patternFill patternType="solid">
        <fgColor theme="0"/>
        <bgColor rgb="FF800080"/>
      </patternFill>
    </fill>
  </fills>
  <borders count="1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Up="1">
      <left/>
      <right/>
      <top/>
      <bottom/>
      <diagonal style="medium">
        <color indexed="64"/>
      </diagonal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double">
        <color rgb="FF505050"/>
      </right>
      <top style="medium">
        <color indexed="64"/>
      </top>
      <bottom/>
      <diagonal/>
    </border>
    <border>
      <left/>
      <right style="double">
        <color rgb="FF505050"/>
      </right>
      <top style="medium">
        <color indexed="64"/>
      </top>
      <bottom/>
      <diagonal/>
    </border>
    <border>
      <left style="medium">
        <color indexed="64"/>
      </left>
      <right style="double">
        <color rgb="FF505050"/>
      </right>
      <top/>
      <bottom/>
      <diagonal/>
    </border>
    <border>
      <left/>
      <right style="double">
        <color rgb="FF505050"/>
      </right>
      <top/>
      <bottom/>
      <diagonal/>
    </border>
    <border>
      <left style="medium">
        <color indexed="64"/>
      </left>
      <right style="double">
        <color rgb="FF505050"/>
      </right>
      <top/>
      <bottom style="medium">
        <color indexed="64"/>
      </bottom>
      <diagonal/>
    </border>
    <border>
      <left/>
      <right style="double">
        <color rgb="FF505050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 diagonalDown="1">
      <left/>
      <right/>
      <top/>
      <bottom/>
      <diagonal style="medium">
        <color indexed="64"/>
      </diagonal>
    </border>
    <border>
      <left/>
      <right style="medium">
        <color indexed="64"/>
      </right>
      <top style="medium">
        <color rgb="FF505050"/>
      </top>
      <bottom/>
      <diagonal/>
    </border>
    <border diagonalUp="1">
      <left/>
      <right/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/>
      <bottom style="double">
        <color rgb="FF50505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double">
        <color rgb="FF505050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Dot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505050"/>
      </left>
      <right style="double">
        <color rgb="FF505050"/>
      </right>
      <top/>
      <bottom style="double">
        <color rgb="FF50505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thick">
        <color rgb="FFFF0000"/>
      </top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rgb="FF000000"/>
      </top>
      <bottom/>
      <diagonal/>
    </border>
    <border>
      <left style="mediumDashed">
        <color indexed="64"/>
      </left>
      <right/>
      <top style="thin">
        <color rgb="FF000000"/>
      </top>
      <bottom style="thin">
        <color indexed="64"/>
      </bottom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261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6" applyNumberFormat="0" applyAlignment="0" applyProtection="0"/>
    <xf numFmtId="0" fontId="16" fillId="22" borderId="7" applyNumberFormat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9" fillId="29" borderId="6" applyNumberFormat="0" applyAlignment="0" applyProtection="0"/>
    <xf numFmtId="0" fontId="5" fillId="0" borderId="0">
      <alignment vertical="top"/>
    </xf>
    <xf numFmtId="0" fontId="1" fillId="0" borderId="0"/>
    <xf numFmtId="0" fontId="8" fillId="30" borderId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1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3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2" fillId="0" borderId="0"/>
    <xf numFmtId="0" fontId="10" fillId="0" borderId="0">
      <alignment vertical="center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2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4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2" fillId="0" borderId="0"/>
    <xf numFmtId="0" fontId="24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2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5" fillId="0" borderId="0"/>
    <xf numFmtId="0" fontId="2" fillId="0" borderId="0">
      <alignment vertical="top"/>
    </xf>
    <xf numFmtId="0" fontId="11" fillId="0" borderId="0"/>
    <xf numFmtId="0" fontId="1" fillId="0" borderId="0"/>
    <xf numFmtId="0" fontId="12" fillId="0" borderId="0"/>
    <xf numFmtId="0" fontId="12" fillId="0" borderId="0"/>
    <xf numFmtId="0" fontId="2" fillId="0" borderId="0">
      <alignment vertical="top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9" fillId="0" borderId="0"/>
    <xf numFmtId="0" fontId="12" fillId="33" borderId="9" applyNumberFormat="0" applyFont="0" applyAlignment="0" applyProtection="0"/>
    <xf numFmtId="0" fontId="12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18" fillId="0" borderId="13" applyNumberFormat="0" applyFill="0" applyAlignment="0" applyProtection="0"/>
    <xf numFmtId="0" fontId="31" fillId="0" borderId="14" applyNumberFormat="0" applyFill="0" applyAlignment="0" applyProtection="0"/>
    <xf numFmtId="0" fontId="2" fillId="0" borderId="0">
      <protection locked="0"/>
    </xf>
    <xf numFmtId="0" fontId="5" fillId="0" borderId="0">
      <protection locked="0"/>
    </xf>
    <xf numFmtId="0" fontId="1" fillId="0" borderId="0">
      <protection locked="0"/>
    </xf>
    <xf numFmtId="0" fontId="5" fillId="0" borderId="0">
      <protection locked="0"/>
    </xf>
    <xf numFmtId="0" fontId="1" fillId="0" borderId="0">
      <protection locked="0"/>
    </xf>
    <xf numFmtId="0" fontId="23" fillId="0" borderId="0">
      <protection locked="0"/>
    </xf>
    <xf numFmtId="0" fontId="2" fillId="0" borderId="0">
      <protection locked="0"/>
    </xf>
    <xf numFmtId="44" fontId="12" fillId="0" borderId="0" applyFont="0" applyFill="0" applyBorder="0" applyAlignment="0" applyProtection="0"/>
    <xf numFmtId="0" fontId="23" fillId="0" borderId="0">
      <protection locked="0"/>
    </xf>
    <xf numFmtId="0" fontId="5" fillId="0" borderId="0">
      <protection locked="0"/>
    </xf>
    <xf numFmtId="0" fontId="11" fillId="0" borderId="0">
      <alignment vertical="top"/>
    </xf>
  </cellStyleXfs>
  <cellXfs count="2377">
    <xf numFmtId="0" fontId="0" fillId="0" borderId="0" xfId="0"/>
    <xf numFmtId="0" fontId="0" fillId="0" borderId="0" xfId="0" applyAlignment="1">
      <alignment horizontal="center" vertical="center"/>
    </xf>
    <xf numFmtId="0" fontId="45" fillId="66" borderId="1" xfId="150" applyFont="1" applyFill="1" applyBorder="1" applyAlignment="1">
      <alignment horizontal="center" vertical="center" shrinkToFit="1"/>
    </xf>
    <xf numFmtId="0" fontId="47" fillId="73" borderId="15" xfId="138" applyFont="1" applyFill="1" applyBorder="1" applyAlignment="1">
      <alignment horizontal="center" vertical="center" shrinkToFit="1"/>
    </xf>
    <xf numFmtId="0" fontId="47" fillId="74" borderId="1" xfId="138" applyFont="1" applyFill="1" applyBorder="1" applyAlignment="1">
      <alignment horizontal="center" vertical="center" shrinkToFit="1"/>
    </xf>
    <xf numFmtId="0" fontId="43" fillId="55" borderId="16" xfId="150" applyFont="1" applyFill="1" applyBorder="1" applyAlignment="1">
      <alignment horizontal="center" vertical="center" shrinkToFit="1"/>
    </xf>
    <xf numFmtId="0" fontId="48" fillId="75" borderId="16" xfId="150" applyFont="1" applyFill="1" applyBorder="1" applyAlignment="1">
      <alignment horizontal="center" vertical="center" shrinkToFit="1"/>
    </xf>
    <xf numFmtId="0" fontId="42" fillId="76" borderId="17" xfId="138" applyFont="1" applyFill="1" applyBorder="1" applyAlignment="1">
      <alignment horizontal="center" vertical="center" shrinkToFit="1"/>
    </xf>
    <xf numFmtId="0" fontId="49" fillId="77" borderId="17" xfId="150" applyFont="1" applyFill="1" applyBorder="1" applyAlignment="1">
      <alignment horizontal="center" vertical="center" shrinkToFit="1"/>
    </xf>
    <xf numFmtId="0" fontId="50" fillId="78" borderId="1" xfId="15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/>
    </xf>
    <xf numFmtId="0" fontId="36" fillId="37" borderId="1" xfId="0" applyFont="1" applyFill="1" applyBorder="1" applyAlignment="1">
      <alignment horizontal="center" vertical="center"/>
    </xf>
    <xf numFmtId="0" fontId="44" fillId="65" borderId="1" xfId="0" applyFont="1" applyFill="1" applyBorder="1" applyAlignment="1">
      <alignment horizontal="center" vertical="center"/>
    </xf>
    <xf numFmtId="0" fontId="35" fillId="71" borderId="1" xfId="0" applyFont="1" applyFill="1" applyBorder="1" applyAlignment="1">
      <alignment horizontal="center" vertical="center"/>
    </xf>
    <xf numFmtId="0" fontId="36" fillId="62" borderId="1" xfId="0" applyFont="1" applyFill="1" applyBorder="1" applyAlignment="1">
      <alignment horizontal="center" vertical="center"/>
    </xf>
    <xf numFmtId="0" fontId="35" fillId="67" borderId="1" xfId="0" applyFont="1" applyFill="1" applyBorder="1" applyAlignment="1">
      <alignment horizontal="center" vertical="center"/>
    </xf>
    <xf numFmtId="0" fontId="36" fillId="47" borderId="1" xfId="0" applyFont="1" applyFill="1" applyBorder="1" applyAlignment="1">
      <alignment horizontal="center" vertical="center"/>
    </xf>
    <xf numFmtId="0" fontId="39" fillId="64" borderId="1" xfId="0" applyFont="1" applyFill="1" applyBorder="1" applyAlignment="1">
      <alignment horizontal="center" vertical="center"/>
    </xf>
    <xf numFmtId="0" fontId="37" fillId="39" borderId="1" xfId="0" applyFont="1" applyFill="1" applyBorder="1" applyAlignment="1">
      <alignment horizontal="center" vertical="center"/>
    </xf>
    <xf numFmtId="0" fontId="35" fillId="48" borderId="1" xfId="0" applyFont="1" applyFill="1" applyBorder="1" applyAlignment="1">
      <alignment horizontal="center" vertical="center"/>
    </xf>
    <xf numFmtId="0" fontId="35" fillId="46" borderId="1" xfId="0" applyFont="1" applyFill="1" applyBorder="1" applyAlignment="1">
      <alignment horizontal="center" vertical="center"/>
    </xf>
    <xf numFmtId="0" fontId="35" fillId="38" borderId="1" xfId="0" applyFont="1" applyFill="1" applyBorder="1" applyAlignment="1">
      <alignment horizontal="center" vertical="center"/>
    </xf>
    <xf numFmtId="0" fontId="35" fillId="69" borderId="1" xfId="0" applyFont="1" applyFill="1" applyBorder="1" applyAlignment="1">
      <alignment horizontal="center" vertical="center"/>
    </xf>
    <xf numFmtId="0" fontId="35" fillId="45" borderId="1" xfId="0" applyFont="1" applyFill="1" applyBorder="1" applyAlignment="1">
      <alignment horizontal="center" vertical="center"/>
    </xf>
    <xf numFmtId="0" fontId="42" fillId="82" borderId="17" xfId="138" applyFont="1" applyFill="1" applyBorder="1" applyAlignment="1">
      <alignment horizontal="center" vertical="center" shrinkToFit="1"/>
    </xf>
    <xf numFmtId="0" fontId="49" fillId="91" borderId="17" xfId="150" applyFont="1" applyFill="1" applyBorder="1" applyAlignment="1">
      <alignment horizontal="center" vertical="center" shrinkToFit="1"/>
    </xf>
    <xf numFmtId="0" fontId="50" fillId="92" borderId="1" xfId="150" applyFont="1" applyFill="1" applyBorder="1" applyAlignment="1">
      <alignment horizontal="center" vertical="center" shrinkToFit="1"/>
    </xf>
    <xf numFmtId="0" fontId="48" fillId="93" borderId="15" xfId="138" applyFont="1" applyFill="1" applyBorder="1" applyAlignment="1">
      <alignment horizontal="center" vertical="center" shrinkToFit="1"/>
    </xf>
    <xf numFmtId="0" fontId="47" fillId="94" borderId="1" xfId="138" applyFont="1" applyFill="1" applyBorder="1" applyAlignment="1">
      <alignment horizontal="center" vertical="center" shrinkToFit="1"/>
    </xf>
    <xf numFmtId="0" fontId="56" fillId="95" borderId="16" xfId="150" applyFont="1" applyFill="1" applyBorder="1" applyAlignment="1">
      <alignment horizontal="center" vertical="center" shrinkToFit="1"/>
    </xf>
    <xf numFmtId="0" fontId="48" fillId="66" borderId="16" xfId="150" applyFont="1" applyFill="1" applyBorder="1" applyAlignment="1">
      <alignment horizontal="center" vertical="center" shrinkToFit="1"/>
    </xf>
    <xf numFmtId="0" fontId="50" fillId="99" borderId="1" xfId="150" applyFont="1" applyFill="1" applyBorder="1" applyAlignment="1">
      <alignment horizontal="center" vertical="center" shrinkToFit="1"/>
    </xf>
    <xf numFmtId="0" fontId="2" fillId="0" borderId="0" xfId="250" applyAlignment="1" applyProtection="1">
      <alignment vertical="center"/>
    </xf>
    <xf numFmtId="0" fontId="23" fillId="0" borderId="0" xfId="0" applyFont="1" applyAlignment="1">
      <alignment vertical="center"/>
    </xf>
    <xf numFmtId="0" fontId="4" fillId="0" borderId="0" xfId="160" applyAlignment="1">
      <alignment vertical="center"/>
    </xf>
    <xf numFmtId="0" fontId="60" fillId="0" borderId="0" xfId="251" applyFont="1" applyAlignment="1" applyProtection="1">
      <alignment vertical="center"/>
    </xf>
    <xf numFmtId="0" fontId="61" fillId="0" borderId="0" xfId="250" applyFont="1" applyAlignment="1" applyProtection="1">
      <alignment vertical="center" wrapText="1"/>
    </xf>
    <xf numFmtId="0" fontId="61" fillId="0" borderId="0" xfId="250" applyFont="1" applyAlignment="1" applyProtection="1">
      <alignment horizontal="left" vertical="center" wrapText="1"/>
    </xf>
    <xf numFmtId="0" fontId="24" fillId="0" borderId="0" xfId="250" applyFont="1" applyAlignment="1" applyProtection="1">
      <alignment horizontal="left" vertical="center"/>
    </xf>
    <xf numFmtId="0" fontId="62" fillId="0" borderId="0" xfId="250" applyFont="1" applyAlignment="1" applyProtection="1">
      <alignment horizontal="center" vertical="center"/>
    </xf>
    <xf numFmtId="0" fontId="63" fillId="0" borderId="0" xfId="160" applyFont="1" applyAlignment="1">
      <alignment horizontal="center" vertical="center" shrinkToFit="1"/>
    </xf>
    <xf numFmtId="0" fontId="64" fillId="0" borderId="0" xfId="250" applyFont="1" applyAlignment="1" applyProtection="1">
      <alignment horizontal="left" vertical="center"/>
    </xf>
    <xf numFmtId="0" fontId="7" fillId="0" borderId="0" xfId="250" applyFont="1" applyAlignment="1" applyProtection="1">
      <alignment vertical="center"/>
    </xf>
    <xf numFmtId="0" fontId="24" fillId="0" borderId="0" xfId="250" applyFont="1" applyAlignment="1" applyProtection="1">
      <alignment vertical="center"/>
    </xf>
    <xf numFmtId="0" fontId="7" fillId="0" borderId="0" xfId="252" applyFont="1" applyAlignment="1" applyProtection="1">
      <alignment vertical="center"/>
    </xf>
    <xf numFmtId="0" fontId="2" fillId="0" borderId="0" xfId="250" applyAlignment="1" applyProtection="1">
      <alignment horizontal="left" vertical="center"/>
    </xf>
    <xf numFmtId="0" fontId="62" fillId="0" borderId="0" xfId="250" applyFont="1" applyAlignment="1" applyProtection="1">
      <alignment vertical="center"/>
    </xf>
    <xf numFmtId="0" fontId="2" fillId="0" borderId="0" xfId="253" applyFont="1" applyAlignment="1" applyProtection="1">
      <alignment vertical="center"/>
    </xf>
    <xf numFmtId="0" fontId="2" fillId="0" borderId="28" xfId="253" applyFont="1" applyBorder="1" applyAlignment="1" applyProtection="1">
      <alignment vertical="center"/>
    </xf>
    <xf numFmtId="0" fontId="66" fillId="97" borderId="28" xfId="160" applyFont="1" applyFill="1" applyBorder="1" applyAlignment="1">
      <alignment horizontal="center" vertical="center"/>
    </xf>
    <xf numFmtId="0" fontId="2" fillId="0" borderId="29" xfId="253" applyFont="1" applyBorder="1" applyAlignment="1" applyProtection="1">
      <alignment vertical="center"/>
    </xf>
    <xf numFmtId="0" fontId="2" fillId="0" borderId="29" xfId="253" applyFont="1" applyBorder="1" applyAlignment="1" applyProtection="1">
      <alignment horizontal="left" vertical="center"/>
    </xf>
    <xf numFmtId="0" fontId="23" fillId="0" borderId="0" xfId="160" applyFont="1" applyAlignment="1">
      <alignment vertical="center"/>
    </xf>
    <xf numFmtId="0" fontId="23" fillId="0" borderId="30" xfId="160" applyFont="1" applyBorder="1" applyAlignment="1">
      <alignment vertical="center"/>
    </xf>
    <xf numFmtId="0" fontId="66" fillId="105" borderId="32" xfId="254" applyFont="1" applyFill="1" applyBorder="1" applyAlignment="1" applyProtection="1">
      <alignment horizontal="center" vertical="center"/>
    </xf>
    <xf numFmtId="0" fontId="68" fillId="106" borderId="2" xfId="254" applyFont="1" applyFill="1" applyBorder="1" applyAlignment="1" applyProtection="1">
      <alignment horizontal="center" vertical="center"/>
    </xf>
    <xf numFmtId="0" fontId="69" fillId="0" borderId="0" xfId="161" applyFont="1" applyAlignment="1">
      <alignment horizontal="center" vertical="center"/>
    </xf>
    <xf numFmtId="0" fontId="70" fillId="52" borderId="1" xfId="0" applyFont="1" applyFill="1" applyBorder="1" applyAlignment="1">
      <alignment horizontal="center" vertical="center"/>
    </xf>
    <xf numFmtId="0" fontId="70" fillId="107" borderId="1" xfId="138" applyFont="1" applyFill="1" applyBorder="1" applyAlignment="1">
      <alignment horizontal="center" vertical="center" shrinkToFit="1"/>
    </xf>
    <xf numFmtId="0" fontId="71" fillId="108" borderId="1" xfId="0" applyFont="1" applyFill="1" applyBorder="1" applyAlignment="1">
      <alignment horizontal="center" vertical="center"/>
    </xf>
    <xf numFmtId="0" fontId="72" fillId="109" borderId="1" xfId="142" applyFont="1" applyFill="1" applyBorder="1" applyAlignment="1" applyProtection="1">
      <alignment horizontal="center" vertical="center" shrinkToFit="1"/>
    </xf>
    <xf numFmtId="0" fontId="73" fillId="110" borderId="1" xfId="142" applyFont="1" applyFill="1" applyBorder="1" applyAlignment="1" applyProtection="1">
      <alignment horizontal="center" vertical="center" shrinkToFit="1"/>
    </xf>
    <xf numFmtId="0" fontId="74" fillId="111" borderId="1" xfId="138" applyFont="1" applyFill="1" applyBorder="1" applyAlignment="1">
      <alignment horizontal="center" vertical="center" shrinkToFit="1"/>
    </xf>
    <xf numFmtId="0" fontId="74" fillId="0" borderId="1" xfId="138" applyFont="1" applyBorder="1" applyAlignment="1">
      <alignment horizontal="center" vertical="center" shrinkToFit="1"/>
    </xf>
    <xf numFmtId="0" fontId="74" fillId="112" borderId="1" xfId="138" applyFont="1" applyFill="1" applyBorder="1" applyAlignment="1">
      <alignment horizontal="center" vertical="center" shrinkToFit="1"/>
    </xf>
    <xf numFmtId="0" fontId="74" fillId="113" borderId="15" xfId="138" applyFont="1" applyFill="1" applyBorder="1" applyAlignment="1">
      <alignment horizontal="center" vertical="center" shrinkToFit="1"/>
    </xf>
    <xf numFmtId="0" fontId="75" fillId="0" borderId="0" xfId="161" applyFont="1" applyAlignment="1">
      <alignment horizontal="center" vertical="center" shrinkToFit="1"/>
    </xf>
    <xf numFmtId="0" fontId="69" fillId="114" borderId="0" xfId="161" applyFont="1" applyFill="1" applyAlignment="1">
      <alignment horizontal="center" vertical="center"/>
    </xf>
    <xf numFmtId="0" fontId="7" fillId="0" borderId="0" xfId="250" applyFont="1" applyAlignment="1" applyProtection="1">
      <alignment horizontal="left" vertical="center" wrapText="1"/>
    </xf>
    <xf numFmtId="0" fontId="12" fillId="0" borderId="0" xfId="131"/>
    <xf numFmtId="0" fontId="76" fillId="0" borderId="0" xfId="160" applyFont="1" applyAlignment="1">
      <alignment horizontal="center" vertical="center"/>
    </xf>
    <xf numFmtId="0" fontId="79" fillId="0" borderId="0" xfId="253" applyFont="1" applyAlignment="1" applyProtection="1">
      <alignment vertical="center"/>
    </xf>
    <xf numFmtId="0" fontId="23" fillId="0" borderId="0" xfId="252" applyFont="1" applyAlignment="1" applyProtection="1">
      <alignment vertical="center"/>
    </xf>
    <xf numFmtId="0" fontId="57" fillId="0" borderId="0" xfId="252" applyFont="1" applyAlignment="1" applyProtection="1">
      <alignment horizontal="center" vertical="center"/>
    </xf>
    <xf numFmtId="0" fontId="2" fillId="0" borderId="0" xfId="250" applyAlignment="1" applyProtection="1">
      <alignment horizontal="right" vertical="center"/>
    </xf>
    <xf numFmtId="0" fontId="23" fillId="97" borderId="0" xfId="252" applyFont="1" applyFill="1" applyAlignment="1" applyProtection="1">
      <alignment vertical="center"/>
    </xf>
    <xf numFmtId="0" fontId="80" fillId="97" borderId="0" xfId="252" applyFont="1" applyFill="1" applyAlignment="1" applyProtection="1">
      <alignment horizontal="center" vertical="center"/>
    </xf>
    <xf numFmtId="0" fontId="2" fillId="97" borderId="0" xfId="253" applyFont="1" applyFill="1" applyAlignment="1" applyProtection="1">
      <alignment vertical="center"/>
    </xf>
    <xf numFmtId="0" fontId="80" fillId="85" borderId="47" xfId="255" applyFont="1" applyFill="1" applyBorder="1" applyAlignment="1" applyProtection="1">
      <alignment horizontal="center" vertical="center"/>
    </xf>
    <xf numFmtId="0" fontId="72" fillId="116" borderId="1" xfId="142" applyFont="1" applyFill="1" applyBorder="1" applyAlignment="1" applyProtection="1">
      <alignment horizontal="center" vertical="center" shrinkToFit="1"/>
    </xf>
    <xf numFmtId="0" fontId="23" fillId="0" borderId="50" xfId="160" applyFont="1" applyBorder="1" applyAlignment="1">
      <alignment vertical="center"/>
    </xf>
    <xf numFmtId="0" fontId="79" fillId="79" borderId="1" xfId="138" applyFont="1" applyFill="1" applyBorder="1" applyAlignment="1">
      <alignment horizontal="center" vertical="center" shrinkToFit="1"/>
    </xf>
    <xf numFmtId="0" fontId="81" fillId="52" borderId="1" xfId="0" applyFont="1" applyFill="1" applyBorder="1" applyAlignment="1">
      <alignment horizontal="center"/>
    </xf>
    <xf numFmtId="0" fontId="80" fillId="117" borderId="1" xfId="255" applyFont="1" applyFill="1" applyBorder="1" applyAlignment="1" applyProtection="1">
      <alignment horizontal="center" vertical="center"/>
    </xf>
    <xf numFmtId="0" fontId="78" fillId="0" borderId="0" xfId="253" applyFont="1" applyAlignment="1" applyProtection="1">
      <alignment vertical="center"/>
    </xf>
    <xf numFmtId="0" fontId="79" fillId="0" borderId="29" xfId="253" applyFont="1" applyBorder="1" applyAlignment="1" applyProtection="1">
      <alignment vertical="center"/>
    </xf>
    <xf numFmtId="0" fontId="2" fillId="0" borderId="52" xfId="253" applyFont="1" applyBorder="1" applyAlignment="1" applyProtection="1">
      <alignment vertical="center"/>
    </xf>
    <xf numFmtId="0" fontId="2" fillId="0" borderId="30" xfId="250" applyBorder="1" applyAlignment="1" applyProtection="1">
      <alignment vertical="center"/>
    </xf>
    <xf numFmtId="0" fontId="75" fillId="0" borderId="0" xfId="160" applyFont="1" applyAlignment="1">
      <alignment horizontal="center" vertical="center" shrinkToFit="1"/>
    </xf>
    <xf numFmtId="0" fontId="2" fillId="0" borderId="58" xfId="253" applyFont="1" applyBorder="1" applyAlignment="1" applyProtection="1">
      <alignment vertical="center"/>
    </xf>
    <xf numFmtId="170" fontId="3" fillId="0" borderId="0" xfId="253" applyNumberFormat="1" applyFont="1" applyAlignment="1" applyProtection="1">
      <alignment vertical="center"/>
      <protection hidden="1"/>
    </xf>
    <xf numFmtId="0" fontId="82" fillId="97" borderId="62" xfId="254" applyFont="1" applyFill="1" applyBorder="1" applyAlignment="1" applyProtection="1">
      <alignment horizontal="center" vertical="center"/>
    </xf>
    <xf numFmtId="0" fontId="76" fillId="0" borderId="0" xfId="160" applyFont="1" applyAlignment="1">
      <alignment horizontal="left" vertical="center"/>
    </xf>
    <xf numFmtId="0" fontId="83" fillId="118" borderId="1" xfId="0" applyFont="1" applyFill="1" applyBorder="1" applyAlignment="1">
      <alignment horizontal="center"/>
    </xf>
    <xf numFmtId="0" fontId="60" fillId="0" borderId="0" xfId="253" applyFont="1" applyAlignment="1" applyProtection="1">
      <alignment vertical="center"/>
    </xf>
    <xf numFmtId="0" fontId="23" fillId="0" borderId="30" xfId="252" applyFont="1" applyBorder="1" applyAlignment="1" applyProtection="1">
      <alignment vertical="center"/>
    </xf>
    <xf numFmtId="0" fontId="70" fillId="119" borderId="1" xfId="138" applyFont="1" applyFill="1" applyBorder="1" applyAlignment="1">
      <alignment horizontal="center" vertical="center" shrinkToFit="1"/>
    </xf>
    <xf numFmtId="0" fontId="83" fillId="118" borderId="64" xfId="0" applyFont="1" applyFill="1" applyBorder="1" applyAlignment="1">
      <alignment horizontal="center"/>
    </xf>
    <xf numFmtId="0" fontId="84" fillId="0" borderId="0" xfId="253" applyFont="1" applyAlignment="1" applyProtection="1">
      <alignment vertical="center"/>
    </xf>
    <xf numFmtId="0" fontId="62" fillId="0" borderId="0" xfId="253" applyFont="1" applyAlignment="1" applyProtection="1">
      <alignment vertical="center"/>
    </xf>
    <xf numFmtId="0" fontId="67" fillId="0" borderId="0" xfId="253" applyFont="1" applyAlignment="1" applyProtection="1">
      <alignment horizontal="center" vertical="center"/>
    </xf>
    <xf numFmtId="0" fontId="82" fillId="120" borderId="65" xfId="255" applyFont="1" applyFill="1" applyBorder="1" applyAlignment="1" applyProtection="1">
      <alignment horizontal="center" vertical="center"/>
    </xf>
    <xf numFmtId="0" fontId="82" fillId="120" borderId="68" xfId="255" applyFont="1" applyFill="1" applyBorder="1" applyAlignment="1" applyProtection="1">
      <alignment horizontal="center" vertical="center"/>
    </xf>
    <xf numFmtId="0" fontId="35" fillId="0" borderId="0" xfId="252" applyFont="1" applyAlignment="1" applyProtection="1">
      <alignment horizontal="center" vertical="center"/>
    </xf>
    <xf numFmtId="0" fontId="85" fillId="55" borderId="1" xfId="0" applyFont="1" applyFill="1" applyBorder="1" applyAlignment="1">
      <alignment horizontal="center"/>
    </xf>
    <xf numFmtId="0" fontId="86" fillId="0" borderId="0" xfId="160" applyFont="1" applyAlignment="1">
      <alignment vertical="center"/>
    </xf>
    <xf numFmtId="0" fontId="2" fillId="0" borderId="58" xfId="253" applyFont="1" applyBorder="1" applyAlignment="1" applyProtection="1">
      <alignment horizontal="center" vertical="center"/>
    </xf>
    <xf numFmtId="0" fontId="57" fillId="0" borderId="0" xfId="161" applyFont="1" applyAlignment="1">
      <alignment horizontal="center"/>
    </xf>
    <xf numFmtId="0" fontId="23" fillId="0" borderId="0" xfId="252" applyFont="1" applyProtection="1"/>
    <xf numFmtId="0" fontId="70" fillId="110" borderId="1" xfId="138" applyFont="1" applyFill="1" applyBorder="1" applyAlignment="1">
      <alignment horizontal="center" vertical="center" shrinkToFit="1"/>
    </xf>
    <xf numFmtId="0" fontId="0" fillId="0" borderId="30" xfId="0" applyBorder="1"/>
    <xf numFmtId="0" fontId="65" fillId="0" borderId="0" xfId="256" applyFont="1" applyAlignment="1" applyProtection="1">
      <alignment horizontal="center" vertical="center"/>
    </xf>
    <xf numFmtId="0" fontId="87" fillId="0" borderId="0" xfId="152" applyFont="1" applyAlignment="1" applyProtection="1">
      <alignment horizontal="center" vertical="center" shrinkToFit="1"/>
    </xf>
    <xf numFmtId="0" fontId="2" fillId="0" borderId="41" xfId="253" applyFont="1" applyBorder="1" applyAlignment="1" applyProtection="1">
      <alignment vertical="center"/>
    </xf>
    <xf numFmtId="0" fontId="23" fillId="97" borderId="62" xfId="252" applyFont="1" applyFill="1" applyBorder="1" applyAlignment="1" applyProtection="1">
      <alignment vertical="center"/>
    </xf>
    <xf numFmtId="0" fontId="57" fillId="0" borderId="0" xfId="0" applyFont="1" applyAlignment="1">
      <alignment horizontal="center" vertical="center"/>
    </xf>
    <xf numFmtId="0" fontId="78" fillId="0" borderId="73" xfId="253" applyFont="1" applyBorder="1" applyAlignment="1" applyProtection="1">
      <alignment vertical="center"/>
    </xf>
    <xf numFmtId="0" fontId="51" fillId="0" borderId="0" xfId="138" applyFont="1" applyAlignment="1">
      <alignment horizontal="center" vertical="center" shrinkToFit="1"/>
    </xf>
    <xf numFmtId="0" fontId="88" fillId="0" borderId="0" xfId="142" applyFont="1" applyAlignment="1" applyProtection="1">
      <alignment horizontal="center" vertical="center" shrinkToFit="1"/>
    </xf>
    <xf numFmtId="0" fontId="89" fillId="0" borderId="0" xfId="142" applyFont="1" applyAlignment="1" applyProtection="1">
      <alignment horizontal="center" vertical="center" shrinkToFit="1"/>
    </xf>
    <xf numFmtId="0" fontId="90" fillId="35" borderId="0" xfId="160" applyFont="1" applyFill="1" applyAlignment="1">
      <alignment horizontal="center" vertical="center"/>
    </xf>
    <xf numFmtId="0" fontId="2" fillId="0" borderId="0" xfId="253" applyFont="1" applyAlignment="1" applyProtection="1">
      <alignment horizontal="center" vertical="center"/>
    </xf>
    <xf numFmtId="0" fontId="62" fillId="0" borderId="0" xfId="253" applyFont="1" applyAlignment="1" applyProtection="1">
      <alignment horizontal="center" vertical="center"/>
    </xf>
    <xf numFmtId="3" fontId="23" fillId="0" borderId="0" xfId="160" applyNumberFormat="1" applyFont="1" applyAlignment="1">
      <alignment vertical="center"/>
    </xf>
    <xf numFmtId="0" fontId="0" fillId="0" borderId="29" xfId="0" applyBorder="1"/>
    <xf numFmtId="0" fontId="0" fillId="0" borderId="49" xfId="0" applyBorder="1"/>
    <xf numFmtId="0" fontId="86" fillId="35" borderId="0" xfId="253" applyFont="1" applyFill="1" applyAlignment="1" applyProtection="1">
      <alignment horizontal="center" vertical="center"/>
    </xf>
    <xf numFmtId="0" fontId="2" fillId="0" borderId="0" xfId="252" applyFont="1" applyAlignment="1" applyProtection="1">
      <alignment vertical="center"/>
    </xf>
    <xf numFmtId="0" fontId="65" fillId="0" borderId="41" xfId="256" applyFont="1" applyBorder="1" applyAlignment="1" applyProtection="1">
      <alignment horizontal="center" vertical="center"/>
    </xf>
    <xf numFmtId="0" fontId="90" fillId="0" borderId="0" xfId="160" applyFont="1" applyAlignment="1">
      <alignment horizontal="center" vertical="center"/>
    </xf>
    <xf numFmtId="0" fontId="91" fillId="0" borderId="74" xfId="253" applyFont="1" applyBorder="1" applyAlignment="1" applyProtection="1">
      <alignment vertical="center"/>
    </xf>
    <xf numFmtId="0" fontId="91" fillId="0" borderId="75" xfId="253" applyFont="1" applyBorder="1" applyAlignment="1" applyProtection="1">
      <alignment vertical="center"/>
    </xf>
    <xf numFmtId="0" fontId="91" fillId="0" borderId="34" xfId="253" applyFont="1" applyBorder="1" applyAlignment="1" applyProtection="1">
      <alignment vertical="center"/>
    </xf>
    <xf numFmtId="0" fontId="90" fillId="0" borderId="41" xfId="131" applyFont="1" applyBorder="1" applyAlignment="1">
      <alignment horizontal="center" vertical="center"/>
    </xf>
    <xf numFmtId="0" fontId="65" fillId="121" borderId="0" xfId="256" applyFont="1" applyFill="1" applyAlignment="1" applyProtection="1">
      <alignment horizontal="center" vertical="center"/>
    </xf>
    <xf numFmtId="0" fontId="91" fillId="0" borderId="76" xfId="253" applyFont="1" applyBorder="1" applyAlignment="1" applyProtection="1">
      <alignment vertical="center"/>
    </xf>
    <xf numFmtId="0" fontId="91" fillId="0" borderId="77" xfId="253" applyFont="1" applyBorder="1" applyAlignment="1" applyProtection="1">
      <alignment vertical="center"/>
    </xf>
    <xf numFmtId="0" fontId="91" fillId="0" borderId="30" xfId="253" applyFont="1" applyBorder="1" applyAlignment="1" applyProtection="1">
      <alignment vertical="center"/>
    </xf>
    <xf numFmtId="0" fontId="23" fillId="0" borderId="41" xfId="0" applyFont="1" applyBorder="1" applyAlignment="1">
      <alignment vertical="center"/>
    </xf>
    <xf numFmtId="0" fontId="92" fillId="96" borderId="1" xfId="255" applyFont="1" applyFill="1" applyBorder="1" applyAlignment="1" applyProtection="1">
      <alignment horizontal="center" vertical="center"/>
    </xf>
    <xf numFmtId="3" fontId="23" fillId="0" borderId="30" xfId="160" applyNumberFormat="1" applyFont="1" applyBorder="1" applyAlignment="1">
      <alignment vertical="center"/>
    </xf>
    <xf numFmtId="0" fontId="57" fillId="0" borderId="0" xfId="0" applyFont="1" applyAlignment="1">
      <alignment vertical="center"/>
    </xf>
    <xf numFmtId="0" fontId="91" fillId="0" borderId="78" xfId="253" applyFont="1" applyBorder="1" applyAlignment="1" applyProtection="1">
      <alignment vertical="center"/>
    </xf>
    <xf numFmtId="0" fontId="91" fillId="0" borderId="79" xfId="253" applyFont="1" applyBorder="1" applyAlignment="1" applyProtection="1">
      <alignment vertical="center"/>
    </xf>
    <xf numFmtId="0" fontId="91" fillId="0" borderId="49" xfId="253" applyFont="1" applyBorder="1" applyAlignment="1" applyProtection="1">
      <alignment vertical="center"/>
    </xf>
    <xf numFmtId="0" fontId="79" fillId="0" borderId="0" xfId="253" applyFont="1" applyAlignment="1" applyProtection="1">
      <alignment horizontal="center" vertical="center"/>
    </xf>
    <xf numFmtId="0" fontId="79" fillId="0" borderId="0" xfId="253" applyFont="1" applyAlignment="1" applyProtection="1">
      <alignment vertical="center" wrapText="1"/>
    </xf>
    <xf numFmtId="0" fontId="0" fillId="0" borderId="0" xfId="0" applyAlignment="1">
      <alignment vertical="center"/>
    </xf>
    <xf numFmtId="0" fontId="80" fillId="85" borderId="1" xfId="255" applyFont="1" applyFill="1" applyBorder="1" applyAlignment="1" applyProtection="1">
      <alignment horizontal="center" vertical="center"/>
    </xf>
    <xf numFmtId="0" fontId="2" fillId="0" borderId="0" xfId="253" applyFont="1" applyAlignment="1" applyProtection="1">
      <alignment horizontal="left" vertical="center"/>
    </xf>
    <xf numFmtId="0" fontId="2" fillId="0" borderId="30" xfId="253" applyFont="1" applyBorder="1" applyAlignment="1" applyProtection="1">
      <alignment vertical="center"/>
    </xf>
    <xf numFmtId="0" fontId="62" fillId="0" borderId="0" xfId="250" applyFont="1" applyAlignment="1" applyProtection="1">
      <alignment horizontal="left" vertical="center"/>
    </xf>
    <xf numFmtId="0" fontId="64" fillId="0" borderId="0" xfId="253" applyFont="1" applyAlignment="1" applyProtection="1">
      <alignment vertical="center"/>
    </xf>
    <xf numFmtId="0" fontId="0" fillId="0" borderId="82" xfId="0" applyBorder="1" applyAlignment="1">
      <alignment vertical="center"/>
    </xf>
    <xf numFmtId="0" fontId="2" fillId="0" borderId="83" xfId="253" applyFont="1" applyBorder="1" applyAlignment="1" applyProtection="1">
      <alignment vertical="center"/>
    </xf>
    <xf numFmtId="0" fontId="23" fillId="97" borderId="0" xfId="160" applyFont="1" applyFill="1" applyAlignment="1">
      <alignment vertical="center"/>
    </xf>
    <xf numFmtId="0" fontId="2" fillId="97" borderId="0" xfId="253" applyFont="1" applyFill="1" applyAlignment="1" applyProtection="1">
      <alignment horizontal="left" vertical="center"/>
    </xf>
    <xf numFmtId="0" fontId="2" fillId="0" borderId="57" xfId="253" applyFont="1" applyBorder="1" applyAlignment="1" applyProtection="1">
      <alignment vertical="center"/>
    </xf>
    <xf numFmtId="0" fontId="62" fillId="0" borderId="57" xfId="250" applyFont="1" applyBorder="1" applyAlignment="1" applyProtection="1">
      <alignment vertical="center"/>
    </xf>
    <xf numFmtId="0" fontId="95" fillId="97" borderId="0" xfId="252" applyFont="1" applyFill="1" applyAlignment="1" applyProtection="1">
      <alignment horizontal="center" vertical="center"/>
    </xf>
    <xf numFmtId="49" fontId="62" fillId="0" borderId="0" xfId="250" applyNumberFormat="1" applyFont="1" applyAlignment="1" applyProtection="1">
      <alignment vertical="center"/>
    </xf>
    <xf numFmtId="0" fontId="62" fillId="0" borderId="0" xfId="253" applyFont="1" applyAlignment="1" applyProtection="1">
      <alignment horizontal="left" vertical="center"/>
    </xf>
    <xf numFmtId="0" fontId="96" fillId="0" borderId="0" xfId="250" applyFont="1" applyAlignment="1" applyProtection="1">
      <alignment horizontal="right" vertical="center"/>
    </xf>
    <xf numFmtId="0" fontId="82" fillId="0" borderId="0" xfId="252" applyFont="1" applyAlignment="1" applyProtection="1">
      <alignment horizontal="center" vertical="center"/>
    </xf>
    <xf numFmtId="3" fontId="2" fillId="0" borderId="0" xfId="160" applyNumberFormat="1" applyFont="1" applyAlignment="1">
      <alignment vertical="center"/>
    </xf>
    <xf numFmtId="0" fontId="97" fillId="0" borderId="0" xfId="250" applyFont="1" applyAlignment="1" applyProtection="1">
      <alignment horizontal="center" vertical="center"/>
    </xf>
    <xf numFmtId="0" fontId="23" fillId="81" borderId="0" xfId="0" applyFont="1" applyFill="1" applyAlignment="1">
      <alignment vertical="center"/>
    </xf>
    <xf numFmtId="0" fontId="23" fillId="97" borderId="0" xfId="252" applyFont="1" applyFill="1" applyAlignment="1" applyProtection="1">
      <alignment horizontal="center" vertical="center"/>
    </xf>
    <xf numFmtId="0" fontId="80" fillId="97" borderId="0" xfId="255" applyFont="1" applyFill="1" applyAlignment="1" applyProtection="1">
      <alignment horizontal="center" vertical="center"/>
    </xf>
    <xf numFmtId="4" fontId="98" fillId="122" borderId="0" xfId="160" applyNumberFormat="1" applyFont="1" applyFill="1" applyAlignment="1">
      <alignment horizontal="center" vertical="center"/>
    </xf>
    <xf numFmtId="4" fontId="35" fillId="122" borderId="0" xfId="160" applyNumberFormat="1" applyFont="1" applyFill="1" applyAlignment="1">
      <alignment horizontal="center" vertical="center"/>
    </xf>
    <xf numFmtId="0" fontId="64" fillId="0" borderId="84" xfId="253" applyFont="1" applyBorder="1" applyAlignment="1" applyProtection="1">
      <alignment horizontal="center" vertical="center"/>
    </xf>
    <xf numFmtId="0" fontId="79" fillId="97" borderId="0" xfId="253" applyFont="1" applyFill="1" applyAlignment="1" applyProtection="1">
      <alignment vertical="center"/>
    </xf>
    <xf numFmtId="0" fontId="72" fillId="0" borderId="0" xfId="252" applyFont="1" applyAlignment="1" applyProtection="1">
      <alignment horizontal="left" vertical="center"/>
    </xf>
    <xf numFmtId="0" fontId="2" fillId="0" borderId="57" xfId="250" applyBorder="1" applyAlignment="1" applyProtection="1">
      <alignment vertical="center"/>
    </xf>
    <xf numFmtId="0" fontId="2" fillId="0" borderId="57" xfId="253" applyFont="1" applyBorder="1" applyAlignment="1" applyProtection="1">
      <alignment horizontal="center" vertical="center"/>
    </xf>
    <xf numFmtId="49" fontId="67" fillId="0" borderId="0" xfId="250" applyNumberFormat="1" applyFont="1" applyAlignment="1" applyProtection="1">
      <alignment horizontal="center" vertical="center" wrapText="1"/>
    </xf>
    <xf numFmtId="0" fontId="82" fillId="97" borderId="0" xfId="254" applyFont="1" applyFill="1" applyAlignment="1" applyProtection="1">
      <alignment horizontal="center" vertical="center"/>
    </xf>
    <xf numFmtId="0" fontId="2" fillId="0" borderId="30" xfId="250" applyBorder="1" applyAlignment="1" applyProtection="1">
      <alignment horizontal="center" vertical="center" shrinkToFit="1"/>
    </xf>
    <xf numFmtId="0" fontId="62" fillId="0" borderId="0" xfId="253" applyFont="1" applyAlignment="1" applyProtection="1">
      <alignment horizontal="right" vertical="center"/>
    </xf>
    <xf numFmtId="49" fontId="62" fillId="0" borderId="0" xfId="250" applyNumberFormat="1" applyFont="1" applyAlignment="1" applyProtection="1">
      <alignment horizontal="center" vertical="center" wrapText="1"/>
    </xf>
    <xf numFmtId="0" fontId="62" fillId="97" borderId="0" xfId="253" applyFont="1" applyFill="1" applyAlignment="1" applyProtection="1">
      <alignment horizontal="right" vertical="center"/>
    </xf>
    <xf numFmtId="0" fontId="23" fillId="0" borderId="71" xfId="252" applyFont="1" applyBorder="1" applyAlignment="1" applyProtection="1">
      <alignment vertical="center"/>
    </xf>
    <xf numFmtId="0" fontId="2" fillId="0" borderId="49" xfId="253" applyFont="1" applyBorder="1" applyAlignment="1" applyProtection="1">
      <alignment vertical="center"/>
    </xf>
    <xf numFmtId="0" fontId="67" fillId="0" borderId="0" xfId="253" applyFont="1" applyAlignment="1" applyProtection="1">
      <alignment vertical="center"/>
    </xf>
    <xf numFmtId="0" fontId="64" fillId="0" borderId="84" xfId="253" applyFont="1" applyBorder="1" applyAlignment="1" applyProtection="1">
      <alignment horizontal="left" vertical="center"/>
    </xf>
    <xf numFmtId="0" fontId="62" fillId="97" borderId="0" xfId="253" applyFont="1" applyFill="1" applyAlignment="1" applyProtection="1">
      <alignment vertical="center"/>
    </xf>
    <xf numFmtId="0" fontId="2" fillId="0" borderId="35" xfId="253" applyFont="1" applyBorder="1" applyAlignment="1" applyProtection="1">
      <alignment horizontal="center" vertical="center"/>
    </xf>
    <xf numFmtId="0" fontId="79" fillId="0" borderId="35" xfId="253" applyFont="1" applyBorder="1" applyAlignment="1" applyProtection="1">
      <alignment horizontal="center" vertical="center"/>
    </xf>
    <xf numFmtId="0" fontId="64" fillId="0" borderId="84" xfId="253" applyFont="1" applyBorder="1" applyAlignment="1" applyProtection="1">
      <alignment vertical="center"/>
    </xf>
    <xf numFmtId="0" fontId="2" fillId="0" borderId="84" xfId="253" applyFont="1" applyBorder="1" applyAlignment="1" applyProtection="1">
      <alignment vertical="center"/>
    </xf>
    <xf numFmtId="0" fontId="23" fillId="97" borderId="30" xfId="252" applyFont="1" applyFill="1" applyBorder="1" applyAlignment="1" applyProtection="1">
      <alignment vertical="center"/>
    </xf>
    <xf numFmtId="0" fontId="80" fillId="97" borderId="71" xfId="255" applyFont="1" applyFill="1" applyBorder="1" applyAlignment="1" applyProtection="1">
      <alignment horizontal="center" vertical="center"/>
    </xf>
    <xf numFmtId="0" fontId="2" fillId="97" borderId="49" xfId="253" applyFont="1" applyFill="1" applyBorder="1" applyAlignment="1" applyProtection="1">
      <alignment vertical="center"/>
    </xf>
    <xf numFmtId="0" fontId="2" fillId="0" borderId="85" xfId="253" applyFont="1" applyBorder="1" applyAlignment="1" applyProtection="1">
      <alignment horizontal="center" vertical="center"/>
    </xf>
    <xf numFmtId="49" fontId="62" fillId="0" borderId="58" xfId="250" applyNumberFormat="1" applyFont="1" applyBorder="1" applyAlignment="1" applyProtection="1">
      <alignment horizontal="center" vertical="center"/>
    </xf>
    <xf numFmtId="0" fontId="2" fillId="0" borderId="30" xfId="253" applyFont="1" applyBorder="1" applyAlignment="1" applyProtection="1">
      <alignment horizontal="center" vertical="center"/>
    </xf>
    <xf numFmtId="0" fontId="4" fillId="0" borderId="41" xfId="160" applyBorder="1" applyAlignment="1">
      <alignment vertical="center"/>
    </xf>
    <xf numFmtId="0" fontId="62" fillId="0" borderId="30" xfId="253" applyFont="1" applyBorder="1" applyAlignment="1" applyProtection="1">
      <alignment horizontal="center" vertical="center"/>
    </xf>
    <xf numFmtId="0" fontId="64" fillId="0" borderId="0" xfId="253" applyFont="1" applyAlignment="1" applyProtection="1">
      <alignment horizontal="left" vertical="center"/>
    </xf>
    <xf numFmtId="0" fontId="78" fillId="0" borderId="41" xfId="253" applyFont="1" applyBorder="1" applyAlignment="1" applyProtection="1">
      <alignment vertical="center"/>
    </xf>
    <xf numFmtId="49" fontId="67" fillId="0" borderId="0" xfId="250" applyNumberFormat="1" applyFont="1" applyAlignment="1" applyProtection="1">
      <alignment vertical="center"/>
    </xf>
    <xf numFmtId="0" fontId="75" fillId="0" borderId="41" xfId="161" applyFont="1" applyBorder="1" applyAlignment="1">
      <alignment horizontal="center" vertical="center" shrinkToFit="1"/>
    </xf>
    <xf numFmtId="0" fontId="69" fillId="0" borderId="41" xfId="161" applyFont="1" applyBorder="1" applyAlignment="1">
      <alignment horizontal="center" vertical="center"/>
    </xf>
    <xf numFmtId="4" fontId="35" fillId="0" borderId="0" xfId="252" applyNumberFormat="1" applyFont="1" applyAlignment="1" applyProtection="1">
      <alignment vertical="center"/>
    </xf>
    <xf numFmtId="0" fontId="100" fillId="0" borderId="0" xfId="152" applyFont="1" applyAlignment="1" applyProtection="1">
      <alignment horizontal="center" vertical="center" shrinkToFit="1"/>
    </xf>
    <xf numFmtId="0" fontId="79" fillId="0" borderId="0" xfId="252" applyFont="1" applyAlignment="1" applyProtection="1">
      <alignment horizontal="center" vertical="center"/>
    </xf>
    <xf numFmtId="44" fontId="2" fillId="0" borderId="0" xfId="257" applyFont="1" applyAlignment="1" applyProtection="1">
      <alignment vertical="center"/>
    </xf>
    <xf numFmtId="0" fontId="64" fillId="0" borderId="29" xfId="253" applyFont="1" applyBorder="1" applyAlignment="1" applyProtection="1">
      <alignment vertical="center"/>
    </xf>
    <xf numFmtId="0" fontId="62" fillId="0" borderId="29" xfId="253" applyFont="1" applyBorder="1" applyAlignment="1" applyProtection="1">
      <alignment vertical="center"/>
    </xf>
    <xf numFmtId="49" fontId="67" fillId="0" borderId="29" xfId="250" applyNumberFormat="1" applyFont="1" applyBorder="1" applyAlignment="1" applyProtection="1">
      <alignment vertical="center"/>
    </xf>
    <xf numFmtId="0" fontId="101" fillId="97" borderId="0" xfId="160" applyFont="1" applyFill="1" applyAlignment="1">
      <alignment horizontal="center" vertical="center"/>
    </xf>
    <xf numFmtId="0" fontId="102" fillId="0" borderId="0" xfId="142" applyFont="1" applyAlignment="1" applyProtection="1">
      <alignment horizontal="center" vertical="center" shrinkToFit="1"/>
    </xf>
    <xf numFmtId="0" fontId="64" fillId="0" borderId="58" xfId="253" applyFont="1" applyBorder="1" applyAlignment="1" applyProtection="1">
      <alignment vertical="center"/>
    </xf>
    <xf numFmtId="0" fontId="72" fillId="97" borderId="0" xfId="142" applyFont="1" applyFill="1" applyAlignment="1" applyProtection="1">
      <alignment horizontal="center" vertical="center" shrinkToFit="1"/>
    </xf>
    <xf numFmtId="0" fontId="49" fillId="0" borderId="0" xfId="142" applyFont="1" applyAlignment="1" applyProtection="1">
      <alignment horizontal="center" vertical="center" shrinkToFit="1"/>
    </xf>
    <xf numFmtId="0" fontId="103" fillId="0" borderId="0" xfId="253" applyFont="1" applyAlignment="1" applyProtection="1">
      <alignment horizontal="center" vertical="center" wrapText="1"/>
    </xf>
    <xf numFmtId="49" fontId="62" fillId="0" borderId="0" xfId="250" applyNumberFormat="1" applyFont="1" applyAlignment="1" applyProtection="1">
      <alignment horizontal="center" vertical="center"/>
    </xf>
    <xf numFmtId="0" fontId="73" fillId="97" borderId="0" xfId="142" applyFont="1" applyFill="1" applyAlignment="1" applyProtection="1">
      <alignment horizontal="center" vertical="center" shrinkToFit="1"/>
    </xf>
    <xf numFmtId="0" fontId="35" fillId="0" borderId="0" xfId="142" applyFont="1" applyAlignment="1" applyProtection="1">
      <alignment horizontal="center" vertical="center" shrinkToFit="1"/>
    </xf>
    <xf numFmtId="0" fontId="57" fillId="0" borderId="0" xfId="161" applyFont="1" applyAlignment="1">
      <alignment horizontal="left"/>
    </xf>
    <xf numFmtId="0" fontId="72" fillId="97" borderId="62" xfId="160" applyFont="1" applyFill="1" applyBorder="1" applyAlignment="1">
      <alignment horizontal="center" vertical="center"/>
    </xf>
    <xf numFmtId="0" fontId="4" fillId="0" borderId="30" xfId="160" applyBorder="1" applyAlignment="1">
      <alignment vertical="center"/>
    </xf>
    <xf numFmtId="0" fontId="23" fillId="0" borderId="29" xfId="160" applyFont="1" applyBorder="1" applyAlignment="1">
      <alignment vertical="center"/>
    </xf>
    <xf numFmtId="0" fontId="104" fillId="97" borderId="62" xfId="160" applyFont="1" applyFill="1" applyBorder="1" applyAlignment="1">
      <alignment horizontal="center" vertical="center"/>
    </xf>
    <xf numFmtId="0" fontId="4" fillId="0" borderId="35" xfId="160" applyBorder="1" applyAlignment="1">
      <alignment vertical="center"/>
    </xf>
    <xf numFmtId="0" fontId="4" fillId="0" borderId="34" xfId="160" applyBorder="1" applyAlignment="1">
      <alignment vertical="center"/>
    </xf>
    <xf numFmtId="0" fontId="2" fillId="97" borderId="62" xfId="253" applyFont="1" applyFill="1" applyBorder="1" applyAlignment="1" applyProtection="1">
      <alignment vertical="center"/>
    </xf>
    <xf numFmtId="0" fontId="64" fillId="0" borderId="86" xfId="253" applyFont="1" applyBorder="1" applyAlignment="1" applyProtection="1">
      <alignment vertical="center"/>
    </xf>
    <xf numFmtId="0" fontId="92" fillId="97" borderId="0" xfId="255" applyFont="1" applyFill="1" applyAlignment="1" applyProtection="1">
      <alignment horizontal="center" vertical="center"/>
    </xf>
    <xf numFmtId="0" fontId="95" fillId="97" borderId="0" xfId="160" applyFont="1" applyFill="1" applyAlignment="1">
      <alignment horizontal="center" vertical="center"/>
    </xf>
    <xf numFmtId="0" fontId="2" fillId="0" borderId="35" xfId="253" applyFont="1" applyBorder="1" applyAlignment="1" applyProtection="1">
      <alignment vertical="center"/>
    </xf>
    <xf numFmtId="0" fontId="64" fillId="0" borderId="35" xfId="253" applyFont="1" applyBorder="1" applyAlignment="1" applyProtection="1">
      <alignment vertical="center"/>
    </xf>
    <xf numFmtId="0" fontId="2" fillId="123" borderId="0" xfId="250" applyFill="1" applyAlignment="1" applyProtection="1">
      <alignment vertical="center"/>
    </xf>
    <xf numFmtId="0" fontId="65" fillId="0" borderId="0" xfId="253" applyFont="1" applyAlignment="1" applyProtection="1">
      <alignment horizontal="center" vertical="center"/>
    </xf>
    <xf numFmtId="0" fontId="65" fillId="0" borderId="0" xfId="252" applyFont="1" applyAlignment="1" applyProtection="1">
      <alignment horizontal="center" vertical="center"/>
    </xf>
    <xf numFmtId="0" fontId="2" fillId="123" borderId="0" xfId="250" applyFill="1" applyAlignment="1" applyProtection="1">
      <alignment horizontal="left" vertical="center"/>
    </xf>
    <xf numFmtId="0" fontId="2" fillId="123" borderId="29" xfId="250" applyFill="1" applyBorder="1" applyAlignment="1" applyProtection="1">
      <alignment horizontal="left" vertical="center"/>
    </xf>
    <xf numFmtId="0" fontId="2" fillId="123" borderId="29" xfId="250" applyFill="1" applyBorder="1" applyAlignment="1" applyProtection="1">
      <alignment vertical="center"/>
    </xf>
    <xf numFmtId="0" fontId="2" fillId="123" borderId="29" xfId="253" applyFont="1" applyFill="1" applyBorder="1" applyAlignment="1" applyProtection="1">
      <alignment vertical="center"/>
    </xf>
    <xf numFmtId="0" fontId="4" fillId="0" borderId="29" xfId="160" applyBorder="1" applyAlignment="1">
      <alignment vertical="center"/>
    </xf>
    <xf numFmtId="0" fontId="2" fillId="123" borderId="28" xfId="250" applyFill="1" applyBorder="1" applyAlignment="1" applyProtection="1">
      <alignment vertical="center"/>
    </xf>
    <xf numFmtId="0" fontId="23" fillId="0" borderId="28" xfId="0" applyFont="1" applyBorder="1" applyAlignment="1">
      <alignment vertical="center"/>
    </xf>
    <xf numFmtId="0" fontId="2" fillId="0" borderId="30" xfId="250" applyBorder="1" applyAlignment="1" applyProtection="1">
      <alignment horizontal="left" vertical="center"/>
    </xf>
    <xf numFmtId="0" fontId="80" fillId="125" borderId="21" xfId="252" applyFont="1" applyFill="1" applyBorder="1" applyAlignment="1" applyProtection="1">
      <alignment horizontal="center" vertical="center"/>
    </xf>
    <xf numFmtId="0" fontId="98" fillId="126" borderId="0" xfId="160" applyFont="1" applyFill="1" applyAlignment="1">
      <alignment horizontal="center" vertical="center"/>
    </xf>
    <xf numFmtId="0" fontId="23" fillId="0" borderId="87" xfId="252" applyFont="1" applyBorder="1" applyAlignment="1" applyProtection="1">
      <alignment horizontal="center" vertical="center"/>
    </xf>
    <xf numFmtId="0" fontId="66" fillId="121" borderId="2" xfId="255" applyFont="1" applyFill="1" applyBorder="1" applyAlignment="1" applyProtection="1">
      <alignment horizontal="center" vertical="center"/>
    </xf>
    <xf numFmtId="0" fontId="23" fillId="0" borderId="73" xfId="0" applyFont="1" applyBorder="1" applyAlignment="1">
      <alignment vertical="center"/>
    </xf>
    <xf numFmtId="0" fontId="90" fillId="0" borderId="0" xfId="252" applyFont="1" applyAlignment="1" applyProtection="1">
      <alignment horizontal="center" vertical="center"/>
    </xf>
    <xf numFmtId="0" fontId="23" fillId="0" borderId="41" xfId="252" applyFont="1" applyBorder="1" applyAlignment="1" applyProtection="1">
      <alignment horizontal="center" vertical="center"/>
    </xf>
    <xf numFmtId="0" fontId="66" fillId="121" borderId="15" xfId="255" applyFont="1" applyFill="1" applyBorder="1" applyAlignment="1" applyProtection="1">
      <alignment horizontal="center" vertical="center"/>
    </xf>
    <xf numFmtId="0" fontId="23" fillId="0" borderId="0" xfId="252" applyFont="1" applyAlignment="1" applyProtection="1">
      <alignment horizontal="center" vertical="center"/>
    </xf>
    <xf numFmtId="3" fontId="79" fillId="97" borderId="0" xfId="160" applyNumberFormat="1" applyFont="1" applyFill="1" applyAlignment="1">
      <alignment horizontal="center" vertical="center"/>
    </xf>
    <xf numFmtId="0" fontId="4" fillId="97" borderId="0" xfId="160" applyFill="1" applyAlignment="1">
      <alignment vertical="center"/>
    </xf>
    <xf numFmtId="0" fontId="2" fillId="0" borderId="30" xfId="253" applyFont="1" applyBorder="1" applyAlignment="1" applyProtection="1">
      <alignment horizontal="left" vertical="center"/>
    </xf>
    <xf numFmtId="0" fontId="86" fillId="0" borderId="0" xfId="253" applyFont="1" applyAlignment="1" applyProtection="1">
      <alignment horizontal="center" vertical="center"/>
    </xf>
    <xf numFmtId="4" fontId="35" fillId="97" borderId="0" xfId="160" applyNumberFormat="1" applyFont="1" applyFill="1" applyAlignment="1">
      <alignment horizontal="center" vertical="center"/>
    </xf>
    <xf numFmtId="0" fontId="63" fillId="97" borderId="0" xfId="253" applyFont="1" applyFill="1" applyAlignment="1" applyProtection="1">
      <alignment horizontal="center" vertical="center"/>
    </xf>
    <xf numFmtId="0" fontId="16" fillId="0" borderId="0" xfId="0" applyFont="1" applyAlignment="1">
      <alignment horizontal="center" vertical="center"/>
    </xf>
    <xf numFmtId="0" fontId="62" fillId="0" borderId="0" xfId="250" applyFont="1" applyAlignment="1" applyProtection="1">
      <alignment horizontal="right" vertical="center"/>
    </xf>
    <xf numFmtId="0" fontId="105" fillId="0" borderId="0" xfId="0" applyFont="1" applyAlignment="1">
      <alignment vertical="center"/>
    </xf>
    <xf numFmtId="0" fontId="72" fillId="127" borderId="0" xfId="253" applyFont="1" applyFill="1" applyAlignment="1" applyProtection="1">
      <alignment horizontal="center" vertical="center"/>
    </xf>
    <xf numFmtId="0" fontId="23" fillId="97" borderId="0" xfId="0" applyFont="1" applyFill="1" applyAlignment="1">
      <alignment vertical="center"/>
    </xf>
    <xf numFmtId="0" fontId="79" fillId="97" borderId="0" xfId="253" applyFont="1" applyFill="1" applyAlignment="1" applyProtection="1">
      <alignment horizontal="center" vertical="center"/>
    </xf>
    <xf numFmtId="0" fontId="106" fillId="0" borderId="0" xfId="160" applyFont="1" applyAlignment="1">
      <alignment horizontal="center" vertical="center" shrinkToFit="1"/>
    </xf>
    <xf numFmtId="0" fontId="90" fillId="35" borderId="0" xfId="0" applyFont="1" applyFill="1" applyAlignment="1">
      <alignment horizontal="center" vertical="center"/>
    </xf>
    <xf numFmtId="0" fontId="90" fillId="81" borderId="0" xfId="252" applyFont="1" applyFill="1" applyAlignment="1" applyProtection="1">
      <alignment horizontal="center" vertical="center"/>
    </xf>
    <xf numFmtId="4" fontId="35" fillId="128" borderId="0" xfId="0" applyNumberFormat="1" applyFont="1" applyFill="1" applyAlignment="1">
      <alignment horizontal="center" vertical="center"/>
    </xf>
    <xf numFmtId="4" fontId="35" fillId="97" borderId="0" xfId="0" applyNumberFormat="1" applyFont="1" applyFill="1" applyAlignment="1">
      <alignment horizontal="center" vertical="center"/>
    </xf>
    <xf numFmtId="0" fontId="76" fillId="0" borderId="0" xfId="160" applyFont="1" applyAlignment="1">
      <alignment horizontal="right" vertical="center"/>
    </xf>
    <xf numFmtId="0" fontId="107" fillId="121" borderId="0" xfId="256" applyFont="1" applyFill="1" applyAlignment="1" applyProtection="1">
      <alignment horizontal="center" vertical="center"/>
    </xf>
    <xf numFmtId="0" fontId="107" fillId="0" borderId="0" xfId="160" applyFont="1" applyAlignment="1">
      <alignment horizontal="left" vertical="center"/>
    </xf>
    <xf numFmtId="0" fontId="107" fillId="0" borderId="0" xfId="160" applyFont="1" applyAlignment="1">
      <alignment horizontal="center" vertical="center"/>
    </xf>
    <xf numFmtId="0" fontId="81" fillId="52" borderId="64" xfId="0" applyFont="1" applyFill="1" applyBorder="1" applyAlignment="1">
      <alignment horizontal="center"/>
    </xf>
    <xf numFmtId="0" fontId="107" fillId="129" borderId="0" xfId="160" applyFont="1" applyFill="1" applyAlignment="1">
      <alignment horizontal="center" vertical="center"/>
    </xf>
    <xf numFmtId="0" fontId="4" fillId="0" borderId="81" xfId="160" applyBorder="1" applyAlignment="1">
      <alignment vertical="center"/>
    </xf>
    <xf numFmtId="0" fontId="66" fillId="121" borderId="88" xfId="255" applyFont="1" applyFill="1" applyBorder="1" applyAlignment="1" applyProtection="1">
      <alignment horizontal="center" vertical="center"/>
    </xf>
    <xf numFmtId="0" fontId="90" fillId="35" borderId="0" xfId="0" applyFont="1" applyFill="1" applyAlignment="1">
      <alignment vertical="center"/>
    </xf>
    <xf numFmtId="0" fontId="4" fillId="0" borderId="40" xfId="160" applyBorder="1" applyAlignment="1">
      <alignment vertical="center"/>
    </xf>
    <xf numFmtId="0" fontId="4" fillId="0" borderId="89" xfId="160" applyBorder="1" applyAlignment="1">
      <alignment vertical="center"/>
    </xf>
    <xf numFmtId="0" fontId="4" fillId="0" borderId="73" xfId="160" applyBorder="1" applyAlignment="1">
      <alignment vertical="center"/>
    </xf>
    <xf numFmtId="0" fontId="108" fillId="0" borderId="0" xfId="0" applyFont="1" applyAlignment="1">
      <alignment horizontal="right" vertical="center"/>
    </xf>
    <xf numFmtId="0" fontId="4" fillId="0" borderId="90" xfId="160" applyBorder="1" applyAlignment="1">
      <alignment vertical="center"/>
    </xf>
    <xf numFmtId="4" fontId="35" fillId="97" borderId="0" xfId="252" applyNumberFormat="1" applyFont="1" applyFill="1" applyAlignment="1" applyProtection="1">
      <alignment horizontal="center" vertical="center" wrapText="1"/>
    </xf>
    <xf numFmtId="0" fontId="62" fillId="0" borderId="0" xfId="250" applyFont="1" applyAlignment="1" applyProtection="1">
      <alignment horizontal="right" vertical="top"/>
    </xf>
    <xf numFmtId="0" fontId="0" fillId="0" borderId="0" xfId="0" applyAlignment="1">
      <alignment horizontal="left" vertical="center"/>
    </xf>
    <xf numFmtId="0" fontId="36" fillId="97" borderId="0" xfId="160" applyFont="1" applyFill="1" applyAlignment="1">
      <alignment horizontal="center" vertical="center"/>
    </xf>
    <xf numFmtId="0" fontId="2" fillId="0" borderId="49" xfId="250" applyBorder="1" applyAlignment="1" applyProtection="1">
      <alignment horizontal="left" vertical="center"/>
    </xf>
    <xf numFmtId="0" fontId="74" fillId="113" borderId="1" xfId="138" applyFont="1" applyFill="1" applyBorder="1" applyAlignment="1">
      <alignment horizontal="center" vertical="center" shrinkToFit="1"/>
    </xf>
    <xf numFmtId="0" fontId="0" fillId="0" borderId="33" xfId="0" applyBorder="1" applyAlignment="1">
      <alignment vertical="center"/>
    </xf>
    <xf numFmtId="0" fontId="0" fillId="0" borderId="35" xfId="0" applyBorder="1" applyAlignment="1">
      <alignment vertical="center"/>
    </xf>
    <xf numFmtId="0" fontId="2" fillId="97" borderId="34" xfId="253" applyFont="1" applyFill="1" applyBorder="1" applyAlignment="1" applyProtection="1">
      <alignment vertical="center"/>
    </xf>
    <xf numFmtId="0" fontId="0" fillId="0" borderId="41" xfId="0" applyBorder="1"/>
    <xf numFmtId="0" fontId="31" fillId="0" borderId="0" xfId="0" applyFont="1" applyAlignment="1">
      <alignment horizontal="center" vertical="center"/>
    </xf>
    <xf numFmtId="0" fontId="72" fillId="130" borderId="0" xfId="253" applyFont="1" applyFill="1" applyAlignment="1" applyProtection="1">
      <alignment horizontal="center" vertical="center"/>
    </xf>
    <xf numFmtId="0" fontId="33" fillId="35" borderId="0" xfId="0" applyFont="1" applyFill="1" applyAlignment="1">
      <alignment horizontal="center" vertical="center"/>
    </xf>
    <xf numFmtId="4" fontId="35" fillId="97" borderId="0" xfId="252" applyNumberFormat="1" applyFont="1" applyFill="1" applyAlignment="1" applyProtection="1">
      <alignment vertical="center"/>
    </xf>
    <xf numFmtId="0" fontId="23" fillId="97" borderId="30" xfId="160" applyFont="1" applyFill="1" applyBorder="1" applyAlignment="1">
      <alignment vertical="center"/>
    </xf>
    <xf numFmtId="0" fontId="74" fillId="97" borderId="0" xfId="142" applyFont="1" applyFill="1" applyAlignment="1" applyProtection="1">
      <alignment vertical="center" shrinkToFit="1"/>
    </xf>
    <xf numFmtId="0" fontId="0" fillId="0" borderId="41" xfId="0" applyBorder="1" applyAlignment="1">
      <alignment vertical="center"/>
    </xf>
    <xf numFmtId="0" fontId="90" fillId="131" borderId="0" xfId="252" applyFont="1" applyFill="1" applyAlignment="1" applyProtection="1">
      <alignment horizontal="center" vertical="center"/>
    </xf>
    <xf numFmtId="4" fontId="35" fillId="97" borderId="30" xfId="252" applyNumberFormat="1" applyFont="1" applyFill="1" applyBorder="1" applyAlignment="1" applyProtection="1">
      <alignment vertical="center"/>
    </xf>
    <xf numFmtId="0" fontId="80" fillId="117" borderId="15" xfId="255" applyFont="1" applyFill="1" applyBorder="1" applyAlignment="1" applyProtection="1">
      <alignment horizontal="center" vertical="center"/>
    </xf>
    <xf numFmtId="0" fontId="72" fillId="130" borderId="41" xfId="253" applyFont="1" applyFill="1" applyBorder="1" applyAlignment="1" applyProtection="1">
      <alignment horizontal="center" vertical="center"/>
    </xf>
    <xf numFmtId="0" fontId="44" fillId="50" borderId="1" xfId="0" applyFont="1" applyFill="1" applyBorder="1" applyAlignment="1">
      <alignment horizontal="center" vertical="center"/>
    </xf>
    <xf numFmtId="0" fontId="72" fillId="130" borderId="30" xfId="253" applyFont="1" applyFill="1" applyBorder="1" applyAlignment="1" applyProtection="1">
      <alignment horizontal="center" vertical="center"/>
    </xf>
    <xf numFmtId="0" fontId="69" fillId="114" borderId="0" xfId="160" applyFont="1" applyFill="1" applyAlignment="1">
      <alignment horizontal="center" vertical="center"/>
    </xf>
    <xf numFmtId="0" fontId="109" fillId="114" borderId="0" xfId="160" applyFont="1" applyFill="1" applyAlignment="1">
      <alignment horizontal="center" vertical="center"/>
    </xf>
    <xf numFmtId="0" fontId="57" fillId="0" borderId="0" xfId="160" applyFont="1" applyAlignment="1">
      <alignment horizontal="left" vertical="center"/>
    </xf>
    <xf numFmtId="0" fontId="4" fillId="0" borderId="93" xfId="160" applyBorder="1" applyAlignment="1">
      <alignment vertical="center"/>
    </xf>
    <xf numFmtId="0" fontId="72" fillId="84" borderId="0" xfId="253" applyFont="1" applyFill="1" applyAlignment="1" applyProtection="1">
      <alignment horizontal="center" vertical="center"/>
    </xf>
    <xf numFmtId="0" fontId="2" fillId="97" borderId="30" xfId="253" applyFont="1" applyFill="1" applyBorder="1" applyAlignment="1" applyProtection="1">
      <alignment vertical="center"/>
    </xf>
    <xf numFmtId="0" fontId="73" fillId="97" borderId="90" xfId="142" applyFont="1" applyFill="1" applyBorder="1" applyAlignment="1" applyProtection="1">
      <alignment horizontal="center" vertical="center" shrinkToFit="1"/>
    </xf>
    <xf numFmtId="0" fontId="72" fillId="97" borderId="0" xfId="253" applyFont="1" applyFill="1" applyAlignment="1" applyProtection="1">
      <alignment horizontal="center" vertical="center"/>
    </xf>
    <xf numFmtId="0" fontId="0" fillId="0" borderId="51" xfId="0" applyBorder="1" applyAlignment="1">
      <alignment vertical="center"/>
    </xf>
    <xf numFmtId="0" fontId="72" fillId="130" borderId="29" xfId="253" applyFont="1" applyFill="1" applyBorder="1" applyAlignment="1" applyProtection="1">
      <alignment horizontal="center" vertical="center"/>
    </xf>
    <xf numFmtId="0" fontId="2" fillId="0" borderId="29" xfId="250" applyBorder="1" applyAlignment="1" applyProtection="1">
      <alignment vertical="center"/>
    </xf>
    <xf numFmtId="0" fontId="4" fillId="84" borderId="29" xfId="160" applyFill="1" applyBorder="1" applyAlignment="1">
      <alignment vertical="center"/>
    </xf>
    <xf numFmtId="0" fontId="0" fillId="0" borderId="29" xfId="0" applyBorder="1" applyAlignment="1">
      <alignment vertical="center"/>
    </xf>
    <xf numFmtId="0" fontId="44" fillId="97" borderId="29" xfId="160" applyFont="1" applyFill="1" applyBorder="1" applyAlignment="1">
      <alignment horizontal="center" vertical="center"/>
    </xf>
    <xf numFmtId="0" fontId="23" fillId="97" borderId="49" xfId="252" applyFont="1" applyFill="1" applyBorder="1" applyAlignment="1" applyProtection="1">
      <alignment vertical="center"/>
    </xf>
    <xf numFmtId="0" fontId="4" fillId="0" borderId="97" xfId="160" applyBorder="1" applyAlignment="1">
      <alignment vertical="center"/>
    </xf>
    <xf numFmtId="0" fontId="74" fillId="109" borderId="1" xfId="138" applyFont="1" applyFill="1" applyBorder="1" applyAlignment="1">
      <alignment horizontal="center" vertical="center" shrinkToFit="1"/>
    </xf>
    <xf numFmtId="0" fontId="4" fillId="84" borderId="0" xfId="160" applyFill="1" applyAlignment="1">
      <alignment vertical="center"/>
    </xf>
    <xf numFmtId="0" fontId="23" fillId="0" borderId="0" xfId="160" applyFont="1" applyAlignment="1">
      <alignment horizontal="center" vertical="center"/>
    </xf>
    <xf numFmtId="0" fontId="79" fillId="97" borderId="0" xfId="160" applyFont="1" applyFill="1" applyAlignment="1">
      <alignment horizontal="right" vertical="center"/>
    </xf>
    <xf numFmtId="0" fontId="110" fillId="132" borderId="0" xfId="258" applyFont="1" applyFill="1" applyAlignment="1" applyProtection="1">
      <alignment horizontal="center" vertical="center" shrinkToFit="1"/>
    </xf>
    <xf numFmtId="0" fontId="2" fillId="0" borderId="33" xfId="253" applyFont="1" applyBorder="1" applyAlignment="1" applyProtection="1">
      <alignment horizontal="left" vertical="center"/>
    </xf>
    <xf numFmtId="0" fontId="2" fillId="0" borderId="34" xfId="253" applyFont="1" applyBorder="1" applyAlignment="1" applyProtection="1">
      <alignment vertical="center"/>
    </xf>
    <xf numFmtId="0" fontId="2" fillId="0" borderId="33" xfId="250" applyBorder="1" applyAlignment="1" applyProtection="1">
      <alignment vertical="center"/>
    </xf>
    <xf numFmtId="0" fontId="2" fillId="0" borderId="35" xfId="250" applyBorder="1" applyAlignment="1" applyProtection="1">
      <alignment vertical="center"/>
    </xf>
    <xf numFmtId="4" fontId="49" fillId="97" borderId="0" xfId="252" applyNumberFormat="1" applyFont="1" applyFill="1" applyAlignment="1" applyProtection="1">
      <alignment horizontal="center" vertical="center"/>
    </xf>
    <xf numFmtId="0" fontId="23" fillId="0" borderId="49" xfId="0" applyFont="1" applyBorder="1" applyAlignment="1">
      <alignment vertical="center"/>
    </xf>
    <xf numFmtId="0" fontId="2" fillId="0" borderId="41" xfId="253" applyFont="1" applyBorder="1" applyAlignment="1" applyProtection="1">
      <alignment horizontal="left" vertical="center"/>
    </xf>
    <xf numFmtId="0" fontId="2" fillId="0" borderId="41" xfId="250" applyBorder="1" applyAlignment="1" applyProtection="1">
      <alignment vertical="center"/>
    </xf>
    <xf numFmtId="0" fontId="23" fillId="97" borderId="0" xfId="160" applyFont="1" applyFill="1" applyAlignment="1">
      <alignment horizontal="left" vertical="center"/>
    </xf>
    <xf numFmtId="0" fontId="62" fillId="0" borderId="41" xfId="250" applyFont="1" applyBorder="1" applyAlignment="1" applyProtection="1">
      <alignment horizontal="left" vertical="center"/>
    </xf>
    <xf numFmtId="0" fontId="62" fillId="0" borderId="30" xfId="250" applyFont="1" applyBorder="1" applyAlignment="1" applyProtection="1">
      <alignment horizontal="center" vertical="center"/>
    </xf>
    <xf numFmtId="0" fontId="7" fillId="0" borderId="30" xfId="253" applyFont="1" applyBorder="1" applyAlignment="1" applyProtection="1">
      <alignment vertical="center"/>
    </xf>
    <xf numFmtId="0" fontId="23" fillId="0" borderId="33" xfId="252" applyFont="1" applyBorder="1" applyAlignment="1" applyProtection="1">
      <alignment horizontal="center" vertical="center"/>
    </xf>
    <xf numFmtId="0" fontId="74" fillId="97" borderId="98" xfId="142" applyFont="1" applyFill="1" applyBorder="1" applyAlignment="1" applyProtection="1">
      <alignment horizontal="center" vertical="center" shrinkToFit="1"/>
    </xf>
    <xf numFmtId="0" fontId="72" fillId="97" borderId="0" xfId="253" applyFont="1" applyFill="1" applyAlignment="1" applyProtection="1">
      <alignment horizontal="left" vertical="center"/>
    </xf>
    <xf numFmtId="0" fontId="84" fillId="0" borderId="30" xfId="250" applyFont="1" applyBorder="1" applyAlignment="1" applyProtection="1">
      <alignment horizontal="right" vertical="center"/>
    </xf>
    <xf numFmtId="0" fontId="23" fillId="0" borderId="40" xfId="252" applyFont="1" applyBorder="1" applyAlignment="1" applyProtection="1">
      <alignment horizontal="center" vertical="center"/>
    </xf>
    <xf numFmtId="0" fontId="70" fillId="110" borderId="99" xfId="138" applyFont="1" applyFill="1" applyBorder="1" applyAlignment="1">
      <alignment horizontal="center" vertical="center" shrinkToFit="1"/>
    </xf>
    <xf numFmtId="0" fontId="79" fillId="97" borderId="0" xfId="253" applyFont="1" applyFill="1" applyAlignment="1" applyProtection="1">
      <alignment horizontal="left" vertical="center"/>
    </xf>
    <xf numFmtId="0" fontId="86" fillId="97" borderId="0" xfId="252" applyFont="1" applyFill="1" applyAlignment="1" applyProtection="1">
      <alignment vertical="center"/>
    </xf>
    <xf numFmtId="0" fontId="4" fillId="0" borderId="100" xfId="160" applyBorder="1" applyAlignment="1">
      <alignment vertical="center"/>
    </xf>
    <xf numFmtId="0" fontId="74" fillId="112" borderId="101" xfId="138" applyFont="1" applyFill="1" applyBorder="1" applyAlignment="1">
      <alignment horizontal="center" vertical="center" shrinkToFit="1"/>
    </xf>
    <xf numFmtId="0" fontId="23" fillId="0" borderId="0" xfId="0" applyFont="1"/>
    <xf numFmtId="0" fontId="72" fillId="97" borderId="102" xfId="253" applyFont="1" applyFill="1" applyBorder="1" applyAlignment="1" applyProtection="1">
      <alignment horizontal="center" vertical="center"/>
    </xf>
    <xf numFmtId="0" fontId="111" fillId="129" borderId="0" xfId="160" applyFont="1" applyFill="1" applyAlignment="1">
      <alignment horizontal="center" vertical="center"/>
    </xf>
    <xf numFmtId="4" fontId="35" fillId="97" borderId="102" xfId="252" applyNumberFormat="1" applyFont="1" applyFill="1" applyBorder="1" applyProtection="1"/>
    <xf numFmtId="3" fontId="2" fillId="97" borderId="0" xfId="160" applyNumberFormat="1" applyFont="1" applyFill="1" applyAlignment="1">
      <alignment vertical="center"/>
    </xf>
    <xf numFmtId="0" fontId="2" fillId="0" borderId="51" xfId="250" applyBorder="1" applyAlignment="1" applyProtection="1">
      <alignment vertical="center"/>
    </xf>
    <xf numFmtId="0" fontId="86" fillId="0" borderId="0" xfId="253" applyFont="1" applyAlignment="1" applyProtection="1">
      <alignment vertical="center"/>
    </xf>
    <xf numFmtId="4" fontId="35" fillId="97" borderId="0" xfId="252" applyNumberFormat="1" applyFont="1" applyFill="1" applyProtection="1"/>
    <xf numFmtId="0" fontId="4" fillId="0" borderId="102" xfId="160" applyBorder="1" applyAlignment="1">
      <alignment vertical="center"/>
    </xf>
    <xf numFmtId="0" fontId="90" fillId="97" borderId="0" xfId="252" applyFont="1" applyFill="1" applyAlignment="1" applyProtection="1">
      <alignment vertical="center"/>
    </xf>
    <xf numFmtId="0" fontId="80" fillId="97" borderId="0" xfId="254" applyFont="1" applyFill="1" applyAlignment="1" applyProtection="1">
      <alignment horizontal="left" vertical="center"/>
    </xf>
    <xf numFmtId="0" fontId="23" fillId="0" borderId="46" xfId="252" applyFont="1" applyBorder="1" applyAlignment="1" applyProtection="1">
      <alignment horizontal="center" vertical="center"/>
    </xf>
    <xf numFmtId="0" fontId="23" fillId="0" borderId="0" xfId="160" applyFont="1" applyAlignment="1">
      <alignment horizontal="left" vertical="center"/>
    </xf>
    <xf numFmtId="0" fontId="112" fillId="97" borderId="0" xfId="160" applyFont="1" applyFill="1" applyAlignment="1">
      <alignment horizontal="center" vertical="center"/>
    </xf>
    <xf numFmtId="0" fontId="57" fillId="127" borderId="0" xfId="253" applyFont="1" applyFill="1" applyAlignment="1" applyProtection="1">
      <alignment horizontal="center" vertical="center"/>
    </xf>
    <xf numFmtId="0" fontId="23" fillId="0" borderId="49" xfId="160" applyFont="1" applyBorder="1" applyAlignment="1">
      <alignment vertical="center"/>
    </xf>
    <xf numFmtId="0" fontId="23" fillId="0" borderId="29" xfId="252" applyFont="1" applyBorder="1" applyAlignment="1" applyProtection="1">
      <alignment vertical="center"/>
    </xf>
    <xf numFmtId="0" fontId="23" fillId="97" borderId="0" xfId="252" applyFont="1" applyFill="1" applyAlignment="1" applyProtection="1">
      <alignment horizontal="left" vertical="center"/>
    </xf>
    <xf numFmtId="0" fontId="72" fillId="127" borderId="73" xfId="253" applyFont="1" applyFill="1" applyBorder="1" applyAlignment="1" applyProtection="1">
      <alignment horizontal="center" vertical="center"/>
    </xf>
    <xf numFmtId="0" fontId="98" fillId="114" borderId="0" xfId="160" applyFont="1" applyFill="1" applyAlignment="1">
      <alignment horizontal="center" vertical="center"/>
    </xf>
    <xf numFmtId="0" fontId="73" fillId="133" borderId="1" xfId="142" applyFont="1" applyFill="1" applyBorder="1" applyAlignment="1" applyProtection="1">
      <alignment horizontal="center" vertical="center" shrinkToFit="1"/>
    </xf>
    <xf numFmtId="0" fontId="23" fillId="0" borderId="102" xfId="0" applyFont="1" applyBorder="1"/>
    <xf numFmtId="4" fontId="35" fillId="122" borderId="73" xfId="0" applyNumberFormat="1" applyFont="1" applyFill="1" applyBorder="1" applyAlignment="1">
      <alignment horizontal="center" vertical="center"/>
    </xf>
    <xf numFmtId="0" fontId="66" fillId="127" borderId="0" xfId="253" applyFont="1" applyFill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57" fillId="127" borderId="0" xfId="253" applyFont="1" applyFill="1" applyAlignment="1" applyProtection="1">
      <alignment horizontal="left" vertical="center"/>
    </xf>
    <xf numFmtId="0" fontId="35" fillId="0" borderId="0" xfId="160" applyFont="1" applyAlignment="1">
      <alignment horizontal="left" vertical="center"/>
    </xf>
    <xf numFmtId="0" fontId="66" fillId="84" borderId="0" xfId="255" applyFont="1" applyFill="1" applyAlignment="1" applyProtection="1">
      <alignment horizontal="center" vertical="center"/>
    </xf>
    <xf numFmtId="0" fontId="7" fillId="97" borderId="103" xfId="253" applyFont="1" applyFill="1" applyBorder="1" applyAlignment="1" applyProtection="1">
      <alignment horizontal="center" vertical="center"/>
    </xf>
    <xf numFmtId="0" fontId="54" fillId="0" borderId="0" xfId="160" applyFont="1" applyAlignment="1">
      <alignment vertical="center"/>
    </xf>
    <xf numFmtId="0" fontId="107" fillId="0" borderId="0" xfId="160" applyFont="1" applyAlignment="1">
      <alignment horizontal="right" vertical="center"/>
    </xf>
    <xf numFmtId="0" fontId="57" fillId="0" borderId="0" xfId="0" applyFont="1" applyAlignment="1">
      <alignment horizontal="left" vertical="center"/>
    </xf>
    <xf numFmtId="0" fontId="80" fillId="117" borderId="2" xfId="255" applyFont="1" applyFill="1" applyBorder="1" applyAlignment="1" applyProtection="1">
      <alignment horizontal="center" vertical="center"/>
    </xf>
    <xf numFmtId="0" fontId="7" fillId="97" borderId="104" xfId="253" applyFont="1" applyFill="1" applyBorder="1" applyAlignment="1" applyProtection="1">
      <alignment horizontal="center" vertical="center"/>
    </xf>
    <xf numFmtId="0" fontId="23" fillId="0" borderId="0" xfId="252" applyFont="1" applyAlignment="1" applyProtection="1">
      <alignment horizontal="left" vertical="center"/>
    </xf>
    <xf numFmtId="0" fontId="31" fillId="0" borderId="105" xfId="0" applyFont="1" applyBorder="1" applyAlignment="1">
      <alignment horizontal="center" vertical="center"/>
    </xf>
    <xf numFmtId="0" fontId="115" fillId="0" borderId="0" xfId="160" applyFont="1" applyAlignment="1">
      <alignment vertical="center" wrapText="1"/>
    </xf>
    <xf numFmtId="0" fontId="74" fillId="109" borderId="106" xfId="138" applyFont="1" applyFill="1" applyBorder="1" applyAlignment="1">
      <alignment horizontal="center" vertical="center" shrinkToFit="1"/>
    </xf>
    <xf numFmtId="0" fontId="35" fillId="0" borderId="0" xfId="160" applyFont="1" applyAlignment="1">
      <alignment horizontal="center" vertical="center"/>
    </xf>
    <xf numFmtId="0" fontId="74" fillId="111" borderId="107" xfId="138" applyFont="1" applyFill="1" applyBorder="1" applyAlignment="1">
      <alignment horizontal="center" vertical="center" shrinkToFit="1"/>
    </xf>
    <xf numFmtId="0" fontId="74" fillId="109" borderId="107" xfId="138" applyFont="1" applyFill="1" applyBorder="1" applyAlignment="1">
      <alignment horizontal="center" vertical="center" shrinkToFit="1"/>
    </xf>
    <xf numFmtId="0" fontId="118" fillId="97" borderId="0" xfId="160" applyFont="1" applyFill="1" applyAlignment="1">
      <alignment horizontal="center" vertical="center"/>
    </xf>
    <xf numFmtId="0" fontId="90" fillId="134" borderId="0" xfId="160" applyFont="1" applyFill="1" applyAlignment="1">
      <alignment horizontal="center" vertical="center"/>
    </xf>
    <xf numFmtId="0" fontId="119" fillId="97" borderId="0" xfId="160" applyFont="1" applyFill="1" applyAlignment="1">
      <alignment horizontal="center" vertical="center" shrinkToFit="1"/>
    </xf>
    <xf numFmtId="0" fontId="115" fillId="0" borderId="0" xfId="160" applyFont="1" applyAlignment="1">
      <alignment horizontal="center" vertical="center" wrapText="1"/>
    </xf>
    <xf numFmtId="0" fontId="89" fillId="97" borderId="0" xfId="142" applyFont="1" applyFill="1" applyAlignment="1" applyProtection="1">
      <alignment horizontal="center" vertical="center" shrinkToFit="1"/>
    </xf>
    <xf numFmtId="0" fontId="118" fillId="114" borderId="0" xfId="160" applyFont="1" applyFill="1" applyAlignment="1">
      <alignment horizontal="center" vertical="center"/>
    </xf>
    <xf numFmtId="0" fontId="2" fillId="0" borderId="108" xfId="253" applyFont="1" applyBorder="1" applyAlignment="1" applyProtection="1">
      <alignment vertical="center"/>
    </xf>
    <xf numFmtId="0" fontId="2" fillId="0" borderId="109" xfId="253" applyFont="1" applyBorder="1" applyAlignment="1" applyProtection="1">
      <alignment vertical="center"/>
    </xf>
    <xf numFmtId="0" fontId="70" fillId="90" borderId="110" xfId="138" applyFont="1" applyFill="1" applyBorder="1" applyAlignment="1">
      <alignment horizontal="center" vertical="center" shrinkToFit="1"/>
    </xf>
    <xf numFmtId="0" fontId="7" fillId="35" borderId="112" xfId="253" applyFont="1" applyFill="1" applyBorder="1" applyAlignment="1" applyProtection="1">
      <alignment vertical="center"/>
    </xf>
    <xf numFmtId="0" fontId="1" fillId="0" borderId="0" xfId="160" applyFont="1" applyAlignment="1">
      <alignment vertical="center"/>
    </xf>
    <xf numFmtId="0" fontId="4" fillId="0" borderId="114" xfId="160" applyBorder="1" applyAlignment="1">
      <alignment vertical="center"/>
    </xf>
    <xf numFmtId="0" fontId="4" fillId="0" borderId="115" xfId="160" applyBorder="1" applyAlignment="1">
      <alignment vertical="center"/>
    </xf>
    <xf numFmtId="0" fontId="35" fillId="97" borderId="115" xfId="160" applyFont="1" applyFill="1" applyBorder="1" applyAlignment="1">
      <alignment horizontal="center" vertical="center"/>
    </xf>
    <xf numFmtId="0" fontId="2" fillId="97" borderId="115" xfId="253" applyFont="1" applyFill="1" applyBorder="1" applyAlignment="1" applyProtection="1">
      <alignment vertical="center"/>
    </xf>
    <xf numFmtId="0" fontId="23" fillId="0" borderId="115" xfId="0" applyFont="1" applyBorder="1" applyAlignment="1">
      <alignment vertical="center"/>
    </xf>
    <xf numFmtId="0" fontId="79" fillId="97" borderId="0" xfId="160" applyFont="1" applyFill="1" applyAlignment="1">
      <alignment horizontal="center" vertical="center"/>
    </xf>
    <xf numFmtId="0" fontId="57" fillId="0" borderId="0" xfId="252" applyFont="1" applyAlignment="1" applyProtection="1">
      <alignment horizontal="right" vertical="center"/>
    </xf>
    <xf numFmtId="0" fontId="57" fillId="97" borderId="0" xfId="160" applyFont="1" applyFill="1" applyAlignment="1">
      <alignment horizontal="center" vertical="center"/>
    </xf>
    <xf numFmtId="0" fontId="120" fillId="97" borderId="0" xfId="142" applyFont="1" applyFill="1" applyAlignment="1" applyProtection="1">
      <alignment horizontal="center" vertical="center" shrinkToFit="1"/>
    </xf>
    <xf numFmtId="0" fontId="116" fillId="97" borderId="0" xfId="160" applyFont="1" applyFill="1" applyAlignment="1">
      <alignment vertical="center" wrapText="1"/>
    </xf>
    <xf numFmtId="0" fontId="2" fillId="0" borderId="0" xfId="259" applyFont="1" applyAlignment="1" applyProtection="1">
      <alignment vertical="center"/>
    </xf>
    <xf numFmtId="0" fontId="121" fillId="84" borderId="0" xfId="160" applyFont="1" applyFill="1" applyAlignment="1">
      <alignment horizontal="center" vertical="center"/>
    </xf>
    <xf numFmtId="4" fontId="35" fillId="97" borderId="0" xfId="252" applyNumberFormat="1" applyFont="1" applyFill="1" applyAlignment="1" applyProtection="1">
      <alignment horizontal="left" vertical="center"/>
    </xf>
    <xf numFmtId="0" fontId="39" fillId="97" borderId="0" xfId="160" applyFont="1" applyFill="1" applyAlignment="1">
      <alignment horizontal="center" vertical="center"/>
    </xf>
    <xf numFmtId="0" fontId="66" fillId="97" borderId="0" xfId="255" applyFont="1" applyFill="1" applyAlignment="1" applyProtection="1">
      <alignment horizontal="center" vertical="center"/>
    </xf>
    <xf numFmtId="0" fontId="4" fillId="0" borderId="0" xfId="160" applyAlignment="1">
      <alignment horizontal="center" vertical="center"/>
    </xf>
    <xf numFmtId="0" fontId="63" fillId="97" borderId="0" xfId="160" applyFont="1" applyFill="1" applyAlignment="1">
      <alignment horizontal="center" vertical="center" shrinkToFit="1"/>
    </xf>
    <xf numFmtId="0" fontId="68" fillId="97" borderId="0" xfId="254" applyFont="1" applyFill="1" applyAlignment="1" applyProtection="1">
      <alignment horizontal="center" vertical="center"/>
    </xf>
    <xf numFmtId="0" fontId="122" fillId="97" borderId="0" xfId="160" applyFont="1" applyFill="1" applyAlignment="1">
      <alignment horizontal="center" vertical="center"/>
    </xf>
    <xf numFmtId="0" fontId="57" fillId="0" borderId="0" xfId="160" applyFont="1" applyAlignment="1">
      <alignment horizontal="center" vertical="center"/>
    </xf>
    <xf numFmtId="0" fontId="62" fillId="97" borderId="0" xfId="253" applyFont="1" applyFill="1" applyAlignment="1" applyProtection="1">
      <alignment horizontal="left" vertical="center"/>
    </xf>
    <xf numFmtId="0" fontId="79" fillId="0" borderId="0" xfId="253" applyFont="1" applyAlignment="1" applyProtection="1">
      <alignment horizontal="left" vertical="center"/>
    </xf>
    <xf numFmtId="0" fontId="80" fillId="85" borderId="101" xfId="255" applyFont="1" applyFill="1" applyBorder="1" applyAlignment="1" applyProtection="1">
      <alignment horizontal="center" vertical="center"/>
    </xf>
    <xf numFmtId="0" fontId="94" fillId="97" borderId="0" xfId="253" applyFont="1" applyFill="1" applyAlignment="1" applyProtection="1">
      <alignment horizontal="center" vertical="center"/>
    </xf>
    <xf numFmtId="3" fontId="4" fillId="0" borderId="29" xfId="160" applyNumberFormat="1" applyBorder="1" applyAlignment="1">
      <alignment vertical="center"/>
    </xf>
    <xf numFmtId="3" fontId="23" fillId="0" borderId="29" xfId="160" applyNumberFormat="1" applyFont="1" applyBorder="1" applyAlignment="1">
      <alignment vertical="center"/>
    </xf>
    <xf numFmtId="3" fontId="23" fillId="0" borderId="29" xfId="160" applyNumberFormat="1" applyFont="1" applyBorder="1" applyAlignment="1">
      <alignment horizontal="left" vertical="center"/>
    </xf>
    <xf numFmtId="0" fontId="62" fillId="0" borderId="29" xfId="253" applyFont="1" applyBorder="1" applyAlignment="1" applyProtection="1">
      <alignment horizontal="left" vertical="center"/>
    </xf>
    <xf numFmtId="3" fontId="4" fillId="0" borderId="0" xfId="160" applyNumberFormat="1" applyAlignment="1">
      <alignment vertical="center"/>
    </xf>
    <xf numFmtId="3" fontId="123" fillId="0" borderId="0" xfId="160" applyNumberFormat="1" applyFont="1" applyAlignment="1">
      <alignment vertical="center"/>
    </xf>
    <xf numFmtId="3" fontId="23" fillId="0" borderId="0" xfId="160" applyNumberFormat="1" applyFont="1" applyAlignment="1">
      <alignment horizontal="left" vertical="center"/>
    </xf>
    <xf numFmtId="3" fontId="23" fillId="0" borderId="35" xfId="160" applyNumberFormat="1" applyFont="1" applyBorder="1" applyAlignment="1">
      <alignment vertical="center"/>
    </xf>
    <xf numFmtId="3" fontId="4" fillId="0" borderId="35" xfId="160" applyNumberFormat="1" applyBorder="1" applyAlignment="1">
      <alignment vertical="center"/>
    </xf>
    <xf numFmtId="0" fontId="23" fillId="0" borderId="35" xfId="160" applyFont="1" applyBorder="1" applyAlignment="1">
      <alignment vertical="center"/>
    </xf>
    <xf numFmtId="0" fontId="23" fillId="0" borderId="35" xfId="252" applyFont="1" applyBorder="1" applyAlignment="1">
      <alignment vertical="center"/>
      <protection locked="0"/>
    </xf>
    <xf numFmtId="0" fontId="23" fillId="0" borderId="0" xfId="252" applyFont="1" applyAlignment="1">
      <alignment vertical="center"/>
      <protection locked="0"/>
    </xf>
    <xf numFmtId="0" fontId="23" fillId="97" borderId="0" xfId="252" applyFont="1" applyFill="1" applyAlignment="1">
      <alignment vertical="center"/>
      <protection locked="0"/>
    </xf>
    <xf numFmtId="0" fontId="23" fillId="0" borderId="0" xfId="252" applyFont="1" applyAlignment="1">
      <alignment horizontal="left" vertical="center"/>
      <protection locked="0"/>
    </xf>
    <xf numFmtId="3" fontId="4" fillId="0" borderId="34" xfId="160" applyNumberFormat="1" applyBorder="1" applyAlignment="1">
      <alignment vertical="center"/>
    </xf>
    <xf numFmtId="3" fontId="4" fillId="0" borderId="30" xfId="160" applyNumberFormat="1" applyBorder="1" applyAlignment="1">
      <alignment vertical="center"/>
    </xf>
    <xf numFmtId="3" fontId="114" fillId="0" borderId="30" xfId="160" applyNumberFormat="1" applyFont="1" applyBorder="1" applyAlignment="1">
      <alignment vertical="center"/>
    </xf>
    <xf numFmtId="3" fontId="4" fillId="0" borderId="22" xfId="160" applyNumberFormat="1" applyBorder="1" applyAlignment="1">
      <alignment vertical="center"/>
    </xf>
    <xf numFmtId="3" fontId="4" fillId="0" borderId="119" xfId="160" applyNumberFormat="1" applyBorder="1" applyAlignment="1">
      <alignment vertical="center"/>
    </xf>
    <xf numFmtId="3" fontId="4" fillId="0" borderId="120" xfId="160" applyNumberFormat="1" applyBorder="1" applyAlignment="1">
      <alignment vertical="center"/>
    </xf>
    <xf numFmtId="3" fontId="4" fillId="0" borderId="49" xfId="160" applyNumberFormat="1" applyBorder="1" applyAlignment="1">
      <alignment vertical="center"/>
    </xf>
    <xf numFmtId="0" fontId="23" fillId="0" borderId="0" xfId="258" applyAlignment="1" applyProtection="1">
      <alignment vertical="center"/>
    </xf>
    <xf numFmtId="4" fontId="35" fillId="135" borderId="0" xfId="160" applyNumberFormat="1" applyFont="1" applyFill="1" applyAlignment="1">
      <alignment horizontal="left" vertical="center"/>
    </xf>
    <xf numFmtId="4" fontId="35" fillId="135" borderId="0" xfId="160" applyNumberFormat="1" applyFont="1" applyFill="1" applyAlignment="1">
      <alignment horizontal="center" vertical="center"/>
    </xf>
    <xf numFmtId="0" fontId="86" fillId="123" borderId="33" xfId="252" applyFont="1" applyFill="1" applyBorder="1" applyAlignment="1" applyProtection="1">
      <alignment horizontal="left" vertical="center"/>
    </xf>
    <xf numFmtId="0" fontId="86" fillId="123" borderId="35" xfId="252" applyFont="1" applyFill="1" applyBorder="1" applyAlignment="1" applyProtection="1">
      <alignment horizontal="left" vertical="center"/>
    </xf>
    <xf numFmtId="0" fontId="86" fillId="123" borderId="35" xfId="252" applyFont="1" applyFill="1" applyBorder="1" applyAlignment="1" applyProtection="1">
      <alignment horizontal="center" vertical="center"/>
    </xf>
    <xf numFmtId="3" fontId="4" fillId="0" borderId="24" xfId="160" applyNumberFormat="1" applyBorder="1" applyAlignment="1">
      <alignment vertical="center"/>
    </xf>
    <xf numFmtId="3" fontId="23" fillId="0" borderId="41" xfId="160" applyNumberFormat="1" applyFont="1" applyBorder="1" applyAlignment="1">
      <alignment vertical="center"/>
    </xf>
    <xf numFmtId="4" fontId="35" fillId="97" borderId="0" xfId="160" applyNumberFormat="1" applyFont="1" applyFill="1" applyAlignment="1">
      <alignment vertical="center"/>
    </xf>
    <xf numFmtId="3" fontId="2" fillId="0" borderId="73" xfId="160" applyNumberFormat="1" applyFont="1" applyBorder="1" applyAlignment="1">
      <alignment vertical="center"/>
    </xf>
    <xf numFmtId="3" fontId="4" fillId="0" borderId="41" xfId="160" applyNumberFormat="1" applyBorder="1" applyAlignment="1">
      <alignment vertical="center"/>
    </xf>
    <xf numFmtId="3" fontId="4" fillId="0" borderId="0" xfId="160" applyNumberFormat="1" applyAlignment="1">
      <alignment horizontal="left" vertical="center"/>
    </xf>
    <xf numFmtId="0" fontId="63" fillId="97" borderId="0" xfId="253" applyFont="1" applyFill="1" applyAlignment="1" applyProtection="1">
      <alignment vertical="center"/>
    </xf>
    <xf numFmtId="3" fontId="2" fillId="0" borderId="73" xfId="160" applyNumberFormat="1" applyFont="1" applyBorder="1" applyAlignment="1">
      <alignment horizontal="center" vertical="center"/>
    </xf>
    <xf numFmtId="3" fontId="125" fillId="0" borderId="24" xfId="160" applyNumberFormat="1" applyFont="1" applyBorder="1" applyAlignment="1">
      <alignment vertical="center"/>
    </xf>
    <xf numFmtId="0" fontId="107" fillId="97" borderId="0" xfId="160" applyFont="1" applyFill="1" applyAlignment="1">
      <alignment horizontal="center" vertical="center"/>
    </xf>
    <xf numFmtId="0" fontId="65" fillId="97" borderId="0" xfId="256" applyFont="1" applyFill="1" applyAlignment="1" applyProtection="1">
      <alignment horizontal="center" vertical="center"/>
    </xf>
    <xf numFmtId="0" fontId="120" fillId="97" borderId="0" xfId="258" applyFont="1" applyFill="1" applyAlignment="1" applyProtection="1">
      <alignment horizontal="center" vertical="center" shrinkToFit="1"/>
    </xf>
    <xf numFmtId="3" fontId="64" fillId="0" borderId="0" xfId="160" applyNumberFormat="1" applyFont="1" applyAlignment="1">
      <alignment vertical="center"/>
    </xf>
    <xf numFmtId="3" fontId="103" fillId="0" borderId="0" xfId="160" applyNumberFormat="1" applyFont="1" applyAlignment="1">
      <alignment horizontal="center" vertical="center" wrapText="1"/>
    </xf>
    <xf numFmtId="3" fontId="2" fillId="0" borderId="0" xfId="160" applyNumberFormat="1" applyFont="1" applyAlignment="1">
      <alignment horizontal="left" vertical="center"/>
    </xf>
    <xf numFmtId="3" fontId="79" fillId="0" borderId="0" xfId="160" applyNumberFormat="1" applyFont="1" applyAlignment="1">
      <alignment horizontal="left" vertical="center"/>
    </xf>
    <xf numFmtId="0" fontId="7" fillId="97" borderId="0" xfId="253" applyFont="1" applyFill="1" applyAlignment="1" applyProtection="1">
      <alignment horizontal="center" vertical="center"/>
    </xf>
    <xf numFmtId="3" fontId="64" fillId="0" borderId="73" xfId="160" applyNumberFormat="1" applyFont="1" applyBorder="1" applyAlignment="1">
      <alignment vertical="center"/>
    </xf>
    <xf numFmtId="3" fontId="64" fillId="0" borderId="121" xfId="160" applyNumberFormat="1" applyFont="1" applyBorder="1" applyAlignment="1">
      <alignment vertical="center"/>
    </xf>
    <xf numFmtId="3" fontId="64" fillId="0" borderId="28" xfId="160" applyNumberFormat="1" applyFont="1" applyBorder="1" applyAlignment="1">
      <alignment vertical="center"/>
    </xf>
    <xf numFmtId="3" fontId="4" fillId="0" borderId="29" xfId="160" applyNumberFormat="1" applyBorder="1" applyAlignment="1">
      <alignment horizontal="left" vertical="center"/>
    </xf>
    <xf numFmtId="0" fontId="23" fillId="0" borderId="49" xfId="252" applyFont="1" applyBorder="1" applyAlignment="1" applyProtection="1">
      <alignment vertical="center"/>
    </xf>
    <xf numFmtId="0" fontId="34" fillId="0" borderId="0" xfId="0" applyFont="1" applyAlignment="1">
      <alignment vertical="center"/>
    </xf>
    <xf numFmtId="0" fontId="34" fillId="0" borderId="0" xfId="0" applyFont="1"/>
    <xf numFmtId="0" fontId="50" fillId="84" borderId="20" xfId="138" applyFont="1" applyFill="1" applyBorder="1" applyAlignment="1">
      <alignment horizontal="center" vertical="center" shrinkToFit="1"/>
    </xf>
    <xf numFmtId="0" fontId="128" fillId="0" borderId="0" xfId="0" applyFont="1" applyAlignment="1">
      <alignment horizontal="center" vertical="center"/>
    </xf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53" fillId="0" borderId="0" xfId="0" applyFont="1" applyAlignment="1">
      <alignment horizontal="left" vertical="top" wrapText="1"/>
    </xf>
    <xf numFmtId="0" fontId="132" fillId="84" borderId="0" xfId="138" applyFont="1" applyFill="1" applyAlignment="1">
      <alignment horizontal="center" vertical="center" shrinkToFit="1"/>
    </xf>
    <xf numFmtId="0" fontId="50" fillId="84" borderId="0" xfId="138" applyFont="1" applyFill="1" applyAlignment="1">
      <alignment vertical="center" shrinkToFit="1"/>
    </xf>
    <xf numFmtId="171" fontId="133" fillId="84" borderId="123" xfId="138" applyNumberFormat="1" applyFont="1" applyFill="1" applyBorder="1" applyAlignment="1">
      <alignment horizontal="center" vertical="center" shrinkToFit="1"/>
    </xf>
    <xf numFmtId="0" fontId="134" fillId="84" borderId="0" xfId="138" applyFont="1" applyFill="1" applyAlignment="1">
      <alignment vertical="center" shrinkToFit="1"/>
    </xf>
    <xf numFmtId="0" fontId="135" fillId="84" borderId="0" xfId="138" applyFont="1" applyFill="1" applyAlignment="1">
      <alignment horizontal="center" vertical="center" shrinkToFit="1"/>
    </xf>
    <xf numFmtId="0" fontId="136" fillId="0" borderId="0" xfId="150" applyFont="1" applyAlignment="1">
      <alignment vertical="center" shrinkToFit="1"/>
    </xf>
    <xf numFmtId="0" fontId="79" fillId="84" borderId="0" xfId="138" applyFont="1" applyFill="1" applyAlignment="1">
      <alignment vertical="center" shrinkToFit="1"/>
    </xf>
    <xf numFmtId="171" fontId="138" fillId="100" borderId="81" xfId="150" applyNumberFormat="1" applyFont="1" applyFill="1" applyBorder="1" applyAlignment="1">
      <alignment horizontal="center" vertical="center" shrinkToFit="1"/>
    </xf>
    <xf numFmtId="171" fontId="138" fillId="60" borderId="3" xfId="150" applyNumberFormat="1" applyFont="1" applyFill="1" applyBorder="1" applyAlignment="1">
      <alignment horizontal="center" vertical="center" shrinkToFit="1"/>
    </xf>
    <xf numFmtId="171" fontId="134" fillId="138" borderId="3" xfId="138" applyNumberFormat="1" applyFont="1" applyFill="1" applyBorder="1" applyAlignment="1">
      <alignment horizontal="center" vertical="center"/>
    </xf>
    <xf numFmtId="0" fontId="64" fillId="0" borderId="0" xfId="260" applyFont="1" applyAlignment="1"/>
    <xf numFmtId="0" fontId="141" fillId="0" borderId="0" xfId="0" applyFont="1" applyAlignment="1">
      <alignment horizontal="center" wrapText="1" shrinkToFit="1"/>
    </xf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143" fillId="0" borderId="0" xfId="0" applyFont="1"/>
    <xf numFmtId="0" fontId="79" fillId="0" borderId="1" xfId="138" applyFont="1" applyBorder="1" applyAlignment="1">
      <alignment horizontal="center" vertical="center" shrinkToFit="1"/>
    </xf>
    <xf numFmtId="0" fontId="143" fillId="0" borderId="101" xfId="0" applyFont="1" applyBorder="1"/>
    <xf numFmtId="0" fontId="0" fillId="0" borderId="131" xfId="0" applyBorder="1"/>
    <xf numFmtId="0" fontId="144" fillId="0" borderId="0" xfId="0" applyFont="1"/>
    <xf numFmtId="0" fontId="32" fillId="0" borderId="0" xfId="0" applyFont="1" applyAlignment="1">
      <alignment horizontal="center" vertical="center"/>
    </xf>
    <xf numFmtId="0" fontId="140" fillId="0" borderId="81" xfId="0" applyFont="1" applyBorder="1"/>
    <xf numFmtId="0" fontId="140" fillId="0" borderId="34" xfId="0" applyFont="1" applyBorder="1"/>
    <xf numFmtId="0" fontId="79" fillId="139" borderId="1" xfId="138" applyFont="1" applyFill="1" applyBorder="1" applyAlignment="1">
      <alignment horizontal="center" vertical="center" shrinkToFit="1"/>
    </xf>
    <xf numFmtId="171" fontId="145" fillId="0" borderId="1" xfId="138" applyNumberFormat="1" applyFont="1" applyBorder="1" applyAlignment="1">
      <alignment horizontal="center" vertical="center" shrinkToFit="1"/>
    </xf>
    <xf numFmtId="0" fontId="143" fillId="140" borderId="0" xfId="0" applyFont="1" applyFill="1"/>
    <xf numFmtId="0" fontId="134" fillId="0" borderId="17" xfId="138" applyFont="1" applyBorder="1" applyAlignment="1">
      <alignment horizontal="left" vertical="center" shrinkToFit="1"/>
    </xf>
    <xf numFmtId="0" fontId="134" fillId="0" borderId="18" xfId="138" applyFont="1" applyBorder="1" applyAlignment="1">
      <alignment horizontal="left" vertical="center" shrinkToFit="1"/>
    </xf>
    <xf numFmtId="0" fontId="143" fillId="141" borderId="57" xfId="0" applyFont="1" applyFill="1" applyBorder="1" applyAlignment="1">
      <alignment wrapText="1"/>
    </xf>
    <xf numFmtId="0" fontId="146" fillId="0" borderId="0" xfId="0" applyFont="1" applyAlignment="1">
      <alignment wrapText="1" shrinkToFit="1"/>
    </xf>
    <xf numFmtId="0" fontId="13" fillId="0" borderId="0" xfId="0" applyFont="1"/>
    <xf numFmtId="0" fontId="74" fillId="142" borderId="1" xfId="138" applyFont="1" applyFill="1" applyBorder="1" applyAlignment="1">
      <alignment horizontal="center" vertical="center" shrinkToFit="1"/>
    </xf>
    <xf numFmtId="0" fontId="70" fillId="143" borderId="1" xfId="138" applyFont="1" applyFill="1" applyBorder="1" applyAlignment="1">
      <alignment horizontal="center" vertical="center" shrinkToFit="1"/>
    </xf>
    <xf numFmtId="0" fontId="143" fillId="141" borderId="0" xfId="0" applyFont="1" applyFill="1" applyAlignment="1">
      <alignment wrapText="1"/>
    </xf>
    <xf numFmtId="0" fontId="84" fillId="0" borderId="0" xfId="0" applyFont="1" applyAlignment="1">
      <alignment horizontal="center" wrapText="1" shrinkToFit="1"/>
    </xf>
    <xf numFmtId="15" fontId="49" fillId="0" borderId="0" xfId="0" applyNumberFormat="1" applyFont="1" applyAlignment="1">
      <alignment shrinkToFit="1"/>
    </xf>
    <xf numFmtId="0" fontId="147" fillId="0" borderId="1" xfId="126" applyFont="1" applyBorder="1" applyAlignment="1">
      <alignment shrinkToFit="1"/>
    </xf>
    <xf numFmtId="0" fontId="85" fillId="63" borderId="101" xfId="131" applyFont="1" applyFill="1" applyBorder="1" applyAlignment="1">
      <alignment horizontal="center"/>
    </xf>
    <xf numFmtId="171" fontId="0" fillId="0" borderId="1" xfId="0" applyNumberFormat="1" applyBorder="1" applyAlignment="1">
      <alignment horizontal="center" vertical="center"/>
    </xf>
    <xf numFmtId="9" fontId="0" fillId="0" borderId="1" xfId="200" applyFont="1" applyFill="1" applyBorder="1" applyAlignment="1">
      <alignment horizontal="center"/>
    </xf>
    <xf numFmtId="0" fontId="148" fillId="144" borderId="1" xfId="138" applyFont="1" applyFill="1" applyBorder="1" applyAlignment="1">
      <alignment horizontal="center" vertical="center" shrinkToFit="1"/>
    </xf>
    <xf numFmtId="0" fontId="70" fillId="90" borderId="1" xfId="138" applyFont="1" applyFill="1" applyBorder="1" applyAlignment="1">
      <alignment horizontal="center" vertical="center" shrinkToFit="1"/>
    </xf>
    <xf numFmtId="0" fontId="0" fillId="84" borderId="0" xfId="0" applyFill="1"/>
    <xf numFmtId="0" fontId="13" fillId="84" borderId="0" xfId="0" applyFont="1" applyFill="1"/>
    <xf numFmtId="0" fontId="137" fillId="84" borderId="0" xfId="0" applyFont="1" applyFill="1" applyAlignment="1">
      <alignment horizontal="center"/>
    </xf>
    <xf numFmtId="171" fontId="138" fillId="84" borderId="0" xfId="0" applyNumberFormat="1" applyFont="1" applyFill="1" applyAlignment="1">
      <alignment horizontal="center"/>
    </xf>
    <xf numFmtId="0" fontId="34" fillId="84" borderId="0" xfId="0" applyFont="1" applyFill="1"/>
    <xf numFmtId="0" fontId="83" fillId="145" borderId="0" xfId="0" applyFont="1" applyFill="1" applyAlignment="1">
      <alignment horizontal="center" vertical="center"/>
    </xf>
    <xf numFmtId="0" fontId="63" fillId="146" borderId="1" xfId="138" applyFont="1" applyFill="1" applyBorder="1" applyAlignment="1">
      <alignment horizontal="center" vertical="center" shrinkToFit="1"/>
    </xf>
    <xf numFmtId="0" fontId="70" fillId="147" borderId="1" xfId="138" applyFont="1" applyFill="1" applyBorder="1" applyAlignment="1">
      <alignment horizontal="center" vertical="center" shrinkToFit="1"/>
    </xf>
    <xf numFmtId="0" fontId="49" fillId="0" borderId="0" xfId="0" applyFont="1" applyAlignment="1">
      <alignment wrapText="1" shrinkToFit="1"/>
    </xf>
    <xf numFmtId="2" fontId="50" fillId="0" borderId="0" xfId="56" applyNumberFormat="1" applyFont="1" applyFill="1" applyBorder="1" applyAlignment="1" applyProtection="1">
      <alignment shrinkToFit="1"/>
    </xf>
    <xf numFmtId="0" fontId="2" fillId="0" borderId="1" xfId="150" applyBorder="1" applyAlignment="1">
      <alignment horizontal="center" vertical="center"/>
    </xf>
    <xf numFmtId="0" fontId="2" fillId="0" borderId="101" xfId="150" applyBorder="1" applyAlignment="1">
      <alignment horizontal="center" vertical="center"/>
    </xf>
    <xf numFmtId="0" fontId="149" fillId="84" borderId="101" xfId="131" applyFont="1" applyFill="1" applyBorder="1" applyAlignment="1">
      <alignment horizontal="center"/>
    </xf>
    <xf numFmtId="0" fontId="74" fillId="146" borderId="1" xfId="138" applyFont="1" applyFill="1" applyBorder="1" applyAlignment="1">
      <alignment horizontal="center" vertical="center" shrinkToFit="1"/>
    </xf>
    <xf numFmtId="0" fontId="49" fillId="0" borderId="0" xfId="0" applyFont="1" applyAlignment="1">
      <alignment shrinkToFit="1"/>
    </xf>
    <xf numFmtId="0" fontId="3" fillId="0" borderId="15" xfId="138" applyFont="1" applyBorder="1" applyAlignment="1">
      <alignment horizontal="center" vertical="center" shrinkToFit="1"/>
    </xf>
    <xf numFmtId="0" fontId="134" fillId="0" borderId="137" xfId="138" applyFont="1" applyBorder="1" applyAlignment="1">
      <alignment horizontal="center" vertical="center" shrinkToFit="1"/>
    </xf>
    <xf numFmtId="0" fontId="36" fillId="35" borderId="5" xfId="0" applyFont="1" applyFill="1" applyBorder="1" applyAlignment="1">
      <alignment horizontal="center" vertical="center"/>
    </xf>
    <xf numFmtId="0" fontId="134" fillId="138" borderId="0" xfId="138" applyFont="1" applyFill="1" applyAlignment="1">
      <alignment horizontal="center" vertical="center"/>
    </xf>
    <xf numFmtId="0" fontId="3" fillId="100" borderId="0" xfId="150" applyFont="1" applyFill="1" applyAlignment="1">
      <alignment horizontal="center" vertical="center" shrinkToFit="1"/>
    </xf>
    <xf numFmtId="171" fontId="3" fillId="60" borderId="0" xfId="150" applyNumberFormat="1" applyFont="1" applyFill="1" applyAlignment="1">
      <alignment horizontal="center" vertical="center" shrinkToFit="1"/>
    </xf>
    <xf numFmtId="171" fontId="103" fillId="148" borderId="0" xfId="138" applyNumberFormat="1" applyFont="1" applyFill="1" applyAlignment="1">
      <alignment horizontal="center" vertical="center"/>
    </xf>
    <xf numFmtId="0" fontId="147" fillId="72" borderId="101" xfId="131" applyFont="1" applyFill="1" applyBorder="1" applyAlignment="1">
      <alignment horizontal="center"/>
    </xf>
    <xf numFmtId="0" fontId="74" fillId="54" borderId="1" xfId="138" applyFont="1" applyFill="1" applyBorder="1" applyAlignment="1">
      <alignment horizontal="center" vertical="center" shrinkToFit="1"/>
    </xf>
    <xf numFmtId="0" fontId="70" fillId="149" borderId="1" xfId="138" applyFont="1" applyFill="1" applyBorder="1" applyAlignment="1">
      <alignment horizontal="center" vertical="center" shrinkToFit="1"/>
    </xf>
    <xf numFmtId="0" fontId="36" fillId="37" borderId="49" xfId="0" applyFont="1" applyFill="1" applyBorder="1" applyAlignment="1">
      <alignment horizontal="center" vertical="center"/>
    </xf>
    <xf numFmtId="0" fontId="85" fillId="89" borderId="101" xfId="131" applyFont="1" applyFill="1" applyBorder="1" applyAlignment="1">
      <alignment horizontal="center"/>
    </xf>
    <xf numFmtId="0" fontId="150" fillId="150" borderId="1" xfId="138" applyFont="1" applyFill="1" applyBorder="1" applyAlignment="1">
      <alignment horizontal="center" vertical="center" shrinkToFit="1"/>
    </xf>
    <xf numFmtId="0" fontId="70" fillId="151" borderId="1" xfId="138" applyFont="1" applyFill="1" applyBorder="1" applyAlignment="1">
      <alignment horizontal="center" vertical="center" shrinkToFit="1"/>
    </xf>
    <xf numFmtId="0" fontId="44" fillId="65" borderId="29" xfId="0" applyFont="1" applyFill="1" applyBorder="1" applyAlignment="1">
      <alignment horizontal="center" vertical="center"/>
    </xf>
    <xf numFmtId="0" fontId="83" fillId="80" borderId="101" xfId="131" applyFont="1" applyFill="1" applyBorder="1" applyAlignment="1">
      <alignment horizontal="center"/>
    </xf>
    <xf numFmtId="0" fontId="150" fillId="152" borderId="1" xfId="138" applyFont="1" applyFill="1" applyBorder="1" applyAlignment="1">
      <alignment horizontal="center" vertical="center" shrinkToFit="1"/>
    </xf>
    <xf numFmtId="0" fontId="70" fillId="153" borderId="1" xfId="138" applyFont="1" applyFill="1" applyBorder="1" applyAlignment="1">
      <alignment horizontal="center" vertical="center" shrinkToFit="1"/>
    </xf>
    <xf numFmtId="3" fontId="49" fillId="0" borderId="0" xfId="0" applyNumberFormat="1" applyFont="1" applyAlignment="1">
      <alignment shrinkToFit="1"/>
    </xf>
    <xf numFmtId="0" fontId="44" fillId="50" borderId="29" xfId="0" applyFont="1" applyFill="1" applyBorder="1" applyAlignment="1">
      <alignment horizontal="center" vertical="center"/>
    </xf>
    <xf numFmtId="0" fontId="85" fillId="44" borderId="101" xfId="131" applyFont="1" applyFill="1" applyBorder="1" applyAlignment="1">
      <alignment horizontal="center"/>
    </xf>
    <xf numFmtId="0" fontId="74" fillId="154" borderId="1" xfId="138" applyFont="1" applyFill="1" applyBorder="1" applyAlignment="1">
      <alignment horizontal="center" vertical="center" shrinkToFit="1"/>
    </xf>
    <xf numFmtId="0" fontId="70" fillId="155" borderId="1" xfId="138" applyFont="1" applyFill="1" applyBorder="1" applyAlignment="1">
      <alignment horizontal="center" vertical="center" shrinkToFit="1"/>
    </xf>
    <xf numFmtId="0" fontId="36" fillId="63" borderId="49" xfId="0" applyFont="1" applyFill="1" applyBorder="1" applyAlignment="1">
      <alignment horizontal="center" vertical="center"/>
    </xf>
    <xf numFmtId="0" fontId="151" fillId="63" borderId="1" xfId="131" applyFont="1" applyFill="1" applyBorder="1" applyAlignment="1">
      <alignment horizontal="center"/>
    </xf>
    <xf numFmtId="0" fontId="152" fillId="156" borderId="1" xfId="138" applyFont="1" applyFill="1" applyBorder="1" applyAlignment="1">
      <alignment horizontal="center" vertical="center" shrinkToFit="1"/>
    </xf>
    <xf numFmtId="0" fontId="83" fillId="80" borderId="1" xfId="0" applyFont="1" applyFill="1" applyBorder="1" applyAlignment="1">
      <alignment horizontal="center" vertical="center"/>
    </xf>
    <xf numFmtId="0" fontId="35" fillId="71" borderId="0" xfId="0" applyFont="1" applyFill="1" applyAlignment="1">
      <alignment horizontal="center" vertical="center"/>
    </xf>
    <xf numFmtId="0" fontId="85" fillId="50" borderId="101" xfId="131" applyFont="1" applyFill="1" applyBorder="1" applyAlignment="1">
      <alignment horizontal="center"/>
    </xf>
    <xf numFmtId="0" fontId="148" fillId="157" borderId="1" xfId="138" applyFont="1" applyFill="1" applyBorder="1" applyAlignment="1">
      <alignment horizontal="center" vertical="center" shrinkToFit="1"/>
    </xf>
    <xf numFmtId="0" fontId="83" fillId="158" borderId="1" xfId="0" applyFont="1" applyFill="1" applyBorder="1" applyAlignment="1">
      <alignment horizontal="center" vertical="center"/>
    </xf>
    <xf numFmtId="0" fontId="36" fillId="62" borderId="27" xfId="0" applyFont="1" applyFill="1" applyBorder="1" applyAlignment="1">
      <alignment horizontal="center" vertical="center"/>
    </xf>
    <xf numFmtId="171" fontId="3" fillId="100" borderId="0" xfId="150" applyNumberFormat="1" applyFont="1" applyFill="1" applyAlignment="1">
      <alignment horizontal="center" vertical="center" shrinkToFit="1"/>
    </xf>
    <xf numFmtId="0" fontId="85" fillId="159" borderId="101" xfId="131" applyFont="1" applyFill="1" applyBorder="1" applyAlignment="1">
      <alignment horizontal="center"/>
    </xf>
    <xf numFmtId="0" fontId="83" fillId="72" borderId="1" xfId="0" applyFont="1" applyFill="1" applyBorder="1" applyAlignment="1">
      <alignment horizontal="center" vertical="center"/>
    </xf>
    <xf numFmtId="0" fontId="108" fillId="160" borderId="1" xfId="0" applyFont="1" applyFill="1" applyBorder="1" applyAlignment="1">
      <alignment horizontal="center" vertical="center"/>
    </xf>
    <xf numFmtId="0" fontId="35" fillId="67" borderId="0" xfId="0" applyFont="1" applyFill="1" applyAlignment="1">
      <alignment horizontal="center" vertical="center"/>
    </xf>
    <xf numFmtId="0" fontId="85" fillId="55" borderId="101" xfId="131" applyFont="1" applyFill="1" applyBorder="1" applyAlignment="1">
      <alignment horizontal="center"/>
    </xf>
    <xf numFmtId="0" fontId="147" fillId="103" borderId="1" xfId="0" applyFont="1" applyFill="1" applyBorder="1" applyAlignment="1">
      <alignment horizontal="center" vertical="center"/>
    </xf>
    <xf numFmtId="0" fontId="36" fillId="51" borderId="25" xfId="0" applyFont="1" applyFill="1" applyBorder="1" applyAlignment="1">
      <alignment horizontal="center" vertical="center"/>
    </xf>
    <xf numFmtId="0" fontId="147" fillId="0" borderId="1" xfId="138" applyFont="1" applyBorder="1" applyAlignment="1">
      <alignment vertical="center" shrinkToFit="1"/>
    </xf>
    <xf numFmtId="0" fontId="74" fillId="161" borderId="101" xfId="138" applyFont="1" applyFill="1" applyBorder="1" applyAlignment="1">
      <alignment horizontal="center" vertical="center" shrinkToFit="1"/>
    </xf>
    <xf numFmtId="0" fontId="155" fillId="162" borderId="1" xfId="138" applyFont="1" applyFill="1" applyBorder="1" applyAlignment="1">
      <alignment horizontal="center" vertical="center" shrinkToFit="1"/>
    </xf>
    <xf numFmtId="0" fontId="36" fillId="47" borderId="28" xfId="0" applyFont="1" applyFill="1" applyBorder="1" applyAlignment="1">
      <alignment horizontal="center" vertical="center"/>
    </xf>
    <xf numFmtId="0" fontId="85" fillId="44" borderId="1" xfId="131" applyFont="1" applyFill="1" applyBorder="1" applyAlignment="1">
      <alignment horizontal="center"/>
    </xf>
    <xf numFmtId="0" fontId="70" fillId="163" borderId="1" xfId="138" applyFont="1" applyFill="1" applyBorder="1" applyAlignment="1">
      <alignment horizontal="center" vertical="center" shrinkToFit="1"/>
    </xf>
    <xf numFmtId="0" fontId="74" fillId="164" borderId="101" xfId="138" applyFont="1" applyFill="1" applyBorder="1" applyAlignment="1">
      <alignment horizontal="center" vertical="center" shrinkToFit="1"/>
    </xf>
    <xf numFmtId="0" fontId="148" fillId="165" borderId="1" xfId="138" applyFont="1" applyFill="1" applyBorder="1" applyAlignment="1">
      <alignment horizontal="center" vertical="center" shrinkToFit="1"/>
    </xf>
    <xf numFmtId="0" fontId="85" fillId="166" borderId="1" xfId="0" applyFont="1" applyFill="1" applyBorder="1" applyAlignment="1">
      <alignment horizontal="center" vertical="center"/>
    </xf>
    <xf numFmtId="0" fontId="41" fillId="52" borderId="49" xfId="0" applyFont="1" applyFill="1" applyBorder="1" applyAlignment="1">
      <alignment horizontal="center" vertical="center"/>
    </xf>
    <xf numFmtId="0" fontId="74" fillId="167" borderId="101" xfId="138" applyFont="1" applyFill="1" applyBorder="1" applyAlignment="1">
      <alignment horizontal="center" vertical="center" shrinkToFit="1"/>
    </xf>
    <xf numFmtId="0" fontId="70" fillId="168" borderId="1" xfId="138" applyFont="1" applyFill="1" applyBorder="1" applyAlignment="1">
      <alignment horizontal="center" vertical="center" shrinkToFit="1"/>
    </xf>
    <xf numFmtId="0" fontId="70" fillId="169" borderId="1" xfId="138" applyFont="1" applyFill="1" applyBorder="1" applyAlignment="1">
      <alignment horizontal="center" vertical="center" shrinkToFit="1"/>
    </xf>
    <xf numFmtId="0" fontId="36" fillId="62" borderId="49" xfId="0" applyFont="1" applyFill="1" applyBorder="1" applyAlignment="1">
      <alignment horizontal="center" vertical="center"/>
    </xf>
    <xf numFmtId="0" fontId="156" fillId="44" borderId="1" xfId="131" applyFont="1" applyFill="1" applyBorder="1" applyAlignment="1">
      <alignment horizontal="center"/>
    </xf>
    <xf numFmtId="0" fontId="145" fillId="140" borderId="0" xfId="0" applyFont="1" applyFill="1" applyAlignment="1">
      <alignment horizontal="center" vertical="center"/>
    </xf>
    <xf numFmtId="0" fontId="39" fillId="43" borderId="29" xfId="0" applyFont="1" applyFill="1" applyBorder="1" applyAlignment="1">
      <alignment horizontal="center" vertical="center"/>
    </xf>
    <xf numFmtId="0" fontId="147" fillId="0" borderId="1" xfId="138" applyFont="1" applyBorder="1" applyAlignment="1">
      <alignment shrinkToFit="1"/>
    </xf>
    <xf numFmtId="0" fontId="74" fillId="170" borderId="1" xfId="138" applyFont="1" applyFill="1" applyBorder="1" applyAlignment="1">
      <alignment horizontal="center" vertical="center" shrinkToFit="1"/>
    </xf>
    <xf numFmtId="0" fontId="42" fillId="58" borderId="15" xfId="138" applyFont="1" applyFill="1" applyBorder="1" applyAlignment="1">
      <alignment horizontal="center" vertical="center" shrinkToFit="1"/>
    </xf>
    <xf numFmtId="0" fontId="70" fillId="171" borderId="101" xfId="138" applyFont="1" applyFill="1" applyBorder="1" applyAlignment="1">
      <alignment horizontal="center" vertical="center" shrinkToFit="1"/>
    </xf>
    <xf numFmtId="0" fontId="79" fillId="172" borderId="1" xfId="138" applyFont="1" applyFill="1" applyBorder="1" applyAlignment="1">
      <alignment horizontal="center" vertical="center" shrinkToFit="1"/>
    </xf>
    <xf numFmtId="0" fontId="83" fillId="102" borderId="1" xfId="0" applyFont="1" applyFill="1" applyBorder="1" applyAlignment="1">
      <alignment horizontal="center" vertical="center"/>
    </xf>
    <xf numFmtId="0" fontId="35" fillId="55" borderId="29" xfId="0" applyFont="1" applyFill="1" applyBorder="1" applyAlignment="1">
      <alignment horizontal="center" vertical="center"/>
    </xf>
    <xf numFmtId="0" fontId="79" fillId="173" borderId="101" xfId="138" applyFont="1" applyFill="1" applyBorder="1" applyAlignment="1">
      <alignment horizontal="center" vertical="center" shrinkToFit="1"/>
    </xf>
    <xf numFmtId="0" fontId="74" fillId="174" borderId="1" xfId="138" applyFont="1" applyFill="1" applyBorder="1" applyAlignment="1">
      <alignment horizontal="center" vertical="center" shrinkToFit="1"/>
    </xf>
    <xf numFmtId="0" fontId="83" fillId="150" borderId="1" xfId="0" applyFont="1" applyFill="1" applyBorder="1" applyAlignment="1">
      <alignment horizontal="center" vertical="center"/>
    </xf>
    <xf numFmtId="0" fontId="36" fillId="57" borderId="29" xfId="0" applyFont="1" applyFill="1" applyBorder="1" applyAlignment="1">
      <alignment horizontal="center" vertical="center"/>
    </xf>
    <xf numFmtId="0" fontId="70" fillId="175" borderId="101" xfId="138" applyFont="1" applyFill="1" applyBorder="1" applyAlignment="1">
      <alignment horizontal="center" vertical="center" shrinkToFit="1"/>
    </xf>
    <xf numFmtId="0" fontId="157" fillId="154" borderId="1" xfId="138" applyFont="1" applyFill="1" applyBorder="1" applyAlignment="1">
      <alignment horizontal="center" vertical="center" shrinkToFit="1"/>
    </xf>
    <xf numFmtId="0" fontId="35" fillId="36" borderId="29" xfId="0" applyFont="1" applyFill="1" applyBorder="1" applyAlignment="1">
      <alignment horizontal="center" vertical="center"/>
    </xf>
    <xf numFmtId="0" fontId="70" fillId="176" borderId="101" xfId="138" applyFont="1" applyFill="1" applyBorder="1" applyAlignment="1">
      <alignment horizontal="center" vertical="center" shrinkToFit="1"/>
    </xf>
    <xf numFmtId="0" fontId="154" fillId="177" borderId="1" xfId="0" applyFont="1" applyFill="1" applyBorder="1" applyAlignment="1">
      <alignment horizontal="center" vertical="center"/>
    </xf>
    <xf numFmtId="0" fontId="36" fillId="40" borderId="29" xfId="0" applyFont="1" applyFill="1" applyBorder="1" applyAlignment="1">
      <alignment horizontal="center" vertical="center"/>
    </xf>
    <xf numFmtId="0" fontId="85" fillId="178" borderId="1" xfId="0" applyFont="1" applyFill="1" applyBorder="1" applyAlignment="1">
      <alignment horizontal="center"/>
    </xf>
    <xf numFmtId="0" fontId="70" fillId="179" borderId="1" xfId="138" applyFont="1" applyFill="1" applyBorder="1" applyAlignment="1">
      <alignment horizontal="center" vertical="center" shrinkToFit="1"/>
    </xf>
    <xf numFmtId="0" fontId="85" fillId="44" borderId="1" xfId="0" applyFont="1" applyFill="1" applyBorder="1" applyAlignment="1">
      <alignment horizontal="center" vertical="center"/>
    </xf>
    <xf numFmtId="0" fontId="45" fillId="72" borderId="29" xfId="0" applyFont="1" applyFill="1" applyBorder="1" applyAlignment="1">
      <alignment horizontal="center" vertical="center"/>
    </xf>
    <xf numFmtId="0" fontId="147" fillId="180" borderId="1" xfId="0" applyFont="1" applyFill="1" applyBorder="1" applyAlignment="1">
      <alignment horizontal="center" vertical="center"/>
    </xf>
    <xf numFmtId="0" fontId="158" fillId="181" borderId="1" xfId="0" applyFont="1" applyFill="1" applyBorder="1" applyAlignment="1">
      <alignment horizontal="center" vertical="center"/>
    </xf>
    <xf numFmtId="0" fontId="39" fillId="64" borderId="29" xfId="0" applyFont="1" applyFill="1" applyBorder="1" applyAlignment="1">
      <alignment horizontal="center" vertical="center"/>
    </xf>
    <xf numFmtId="0" fontId="147" fillId="34" borderId="1" xfId="0" applyFont="1" applyFill="1" applyBorder="1" applyAlignment="1">
      <alignment horizontal="center" vertical="center"/>
    </xf>
    <xf numFmtId="0" fontId="158" fillId="182" borderId="1" xfId="0" applyFont="1" applyFill="1" applyBorder="1" applyAlignment="1">
      <alignment horizontal="center" vertical="center"/>
    </xf>
    <xf numFmtId="0" fontId="143" fillId="0" borderId="131" xfId="0" applyFont="1" applyBorder="1"/>
    <xf numFmtId="0" fontId="36" fillId="59" borderId="29" xfId="0" applyFont="1" applyFill="1" applyBorder="1" applyAlignment="1">
      <alignment horizontal="center" vertical="center"/>
    </xf>
    <xf numFmtId="0" fontId="83" fillId="61" borderId="1" xfId="131" applyFont="1" applyFill="1" applyBorder="1" applyAlignment="1">
      <alignment horizontal="center"/>
    </xf>
    <xf numFmtId="0" fontId="74" fillId="183" borderId="1" xfId="138" applyFont="1" applyFill="1" applyBorder="1" applyAlignment="1">
      <alignment horizontal="center" vertical="center" shrinkToFit="1"/>
    </xf>
    <xf numFmtId="0" fontId="70" fillId="184" borderId="1" xfId="138" applyFont="1" applyFill="1" applyBorder="1" applyAlignment="1">
      <alignment horizontal="center" vertical="center" shrinkToFit="1"/>
    </xf>
    <xf numFmtId="0" fontId="35" fillId="185" borderId="130" xfId="138" applyFont="1" applyFill="1" applyBorder="1" applyAlignment="1">
      <alignment vertical="center" shrinkToFit="1"/>
    </xf>
    <xf numFmtId="171" fontId="134" fillId="138" borderId="0" xfId="138" applyNumberFormat="1" applyFont="1" applyFill="1" applyAlignment="1">
      <alignment horizontal="center" vertical="center"/>
    </xf>
    <xf numFmtId="0" fontId="35" fillId="185" borderId="142" xfId="138" applyFont="1" applyFill="1" applyBorder="1" applyAlignment="1">
      <alignment vertical="center" shrinkToFit="1"/>
    </xf>
    <xf numFmtId="0" fontId="79" fillId="59" borderId="1" xfId="138" applyFont="1" applyFill="1" applyBorder="1" applyAlignment="1">
      <alignment horizontal="center" vertical="center" shrinkToFit="1"/>
    </xf>
    <xf numFmtId="0" fontId="150" fillId="187" borderId="1" xfId="138" applyFont="1" applyFill="1" applyBorder="1" applyAlignment="1">
      <alignment horizontal="center" vertical="center" shrinkToFit="1"/>
    </xf>
    <xf numFmtId="0" fontId="159" fillId="188" borderId="1" xfId="0" applyFont="1" applyFill="1" applyBorder="1" applyAlignment="1">
      <alignment horizontal="center" vertical="center"/>
    </xf>
    <xf numFmtId="0" fontId="154" fillId="158" borderId="1" xfId="0" applyFont="1" applyFill="1" applyBorder="1" applyAlignment="1">
      <alignment horizontal="center"/>
    </xf>
    <xf numFmtId="0" fontId="150" fillId="189" borderId="1" xfId="138" applyFont="1" applyFill="1" applyBorder="1" applyAlignment="1">
      <alignment horizontal="center" vertical="center" shrinkToFit="1"/>
    </xf>
    <xf numFmtId="0" fontId="85" fillId="190" borderId="1" xfId="0" applyFont="1" applyFill="1" applyBorder="1" applyAlignment="1">
      <alignment horizontal="center" vertical="center"/>
    </xf>
    <xf numFmtId="0" fontId="3" fillId="0" borderId="68" xfId="138" applyFont="1" applyBorder="1" applyAlignment="1">
      <alignment horizontal="center" vertical="center" shrinkToFit="1"/>
    </xf>
    <xf numFmtId="0" fontId="134" fillId="0" borderId="143" xfId="138" applyFont="1" applyBorder="1" applyAlignment="1">
      <alignment horizontal="center" vertical="center" shrinkToFit="1"/>
    </xf>
    <xf numFmtId="0" fontId="37" fillId="39" borderId="0" xfId="0" applyFont="1" applyFill="1" applyAlignment="1">
      <alignment horizontal="center" vertical="center"/>
    </xf>
    <xf numFmtId="0" fontId="85" fillId="158" borderId="1" xfId="0" applyFont="1" applyFill="1" applyBorder="1" applyAlignment="1">
      <alignment horizontal="center"/>
    </xf>
    <xf numFmtId="0" fontId="63" fillId="154" borderId="1" xfId="138" applyFont="1" applyFill="1" applyBorder="1" applyAlignment="1">
      <alignment horizontal="center" vertical="center" shrinkToFit="1"/>
    </xf>
    <xf numFmtId="0" fontId="35" fillId="42" borderId="29" xfId="0" applyFont="1" applyFill="1" applyBorder="1" applyAlignment="1">
      <alignment horizontal="center" vertical="center"/>
    </xf>
    <xf numFmtId="0" fontId="58" fillId="98" borderId="144" xfId="0" applyFont="1" applyFill="1" applyBorder="1" applyAlignment="1">
      <alignment horizontal="center" vertical="center"/>
    </xf>
    <xf numFmtId="0" fontId="85" fillId="81" borderId="1" xfId="0" applyFont="1" applyFill="1" applyBorder="1" applyAlignment="1">
      <alignment horizontal="center"/>
    </xf>
    <xf numFmtId="0" fontId="63" fillId="191" borderId="1" xfId="138" applyFont="1" applyFill="1" applyBorder="1" applyAlignment="1">
      <alignment horizontal="center" vertical="center" shrinkToFit="1"/>
    </xf>
    <xf numFmtId="0" fontId="70" fillId="192" borderId="1" xfId="138" applyFont="1" applyFill="1" applyBorder="1" applyAlignment="1">
      <alignment horizontal="center" vertical="center" shrinkToFit="1"/>
    </xf>
    <xf numFmtId="0" fontId="50" fillId="52" borderId="145" xfId="0" applyFont="1" applyFill="1" applyBorder="1" applyAlignment="1">
      <alignment horizontal="center" vertical="center"/>
    </xf>
    <xf numFmtId="0" fontId="79" fillId="136" borderId="1" xfId="138" applyFont="1" applyFill="1" applyBorder="1" applyAlignment="1">
      <alignment horizontal="center" vertical="center" shrinkToFit="1"/>
    </xf>
    <xf numFmtId="0" fontId="70" fillId="154" borderId="1" xfId="138" applyFont="1" applyFill="1" applyBorder="1" applyAlignment="1">
      <alignment horizontal="center" vertical="center" shrinkToFit="1"/>
    </xf>
    <xf numFmtId="0" fontId="46" fillId="63" borderId="5" xfId="0" applyFont="1" applyFill="1" applyBorder="1" applyAlignment="1">
      <alignment horizontal="center" vertical="center"/>
    </xf>
    <xf numFmtId="0" fontId="85" fillId="180" borderId="1" xfId="0" applyFont="1" applyFill="1" applyBorder="1" applyAlignment="1">
      <alignment horizontal="center"/>
    </xf>
    <xf numFmtId="0" fontId="152" fillId="193" borderId="1" xfId="138" applyFont="1" applyFill="1" applyBorder="1" applyAlignment="1">
      <alignment horizontal="center" vertical="center" shrinkToFit="1"/>
    </xf>
    <xf numFmtId="0" fontId="70" fillId="194" borderId="1" xfId="138" applyFont="1" applyFill="1" applyBorder="1" applyAlignment="1">
      <alignment horizontal="center" vertical="center" shrinkToFit="1"/>
    </xf>
    <xf numFmtId="0" fontId="143" fillId="141" borderId="90" xfId="0" applyFont="1" applyFill="1" applyBorder="1" applyAlignment="1">
      <alignment wrapText="1"/>
    </xf>
    <xf numFmtId="0" fontId="35" fillId="48" borderId="28" xfId="0" applyFont="1" applyFill="1" applyBorder="1" applyAlignment="1">
      <alignment horizontal="center" vertical="center"/>
    </xf>
    <xf numFmtId="0" fontId="83" fillId="137" borderId="1" xfId="131" applyFont="1" applyFill="1" applyBorder="1" applyAlignment="1">
      <alignment horizontal="center"/>
    </xf>
    <xf numFmtId="0" fontId="148" fillId="195" borderId="1" xfId="138" applyFont="1" applyFill="1" applyBorder="1" applyAlignment="1">
      <alignment horizontal="center" vertical="center" shrinkToFit="1"/>
    </xf>
    <xf numFmtId="0" fontId="74" fillId="196" borderId="1" xfId="138" applyFont="1" applyFill="1" applyBorder="1" applyAlignment="1">
      <alignment horizontal="center" vertical="center" shrinkToFit="1"/>
    </xf>
    <xf numFmtId="0" fontId="36" fillId="68" borderId="115" xfId="0" applyFont="1" applyFill="1" applyBorder="1" applyAlignment="1">
      <alignment horizontal="center" vertical="center"/>
    </xf>
    <xf numFmtId="0" fontId="147" fillId="63" borderId="1" xfId="0" applyFont="1" applyFill="1" applyBorder="1" applyAlignment="1">
      <alignment horizontal="center" vertical="center"/>
    </xf>
    <xf numFmtId="0" fontId="35" fillId="70" borderId="49" xfId="0" applyFont="1" applyFill="1" applyBorder="1" applyAlignment="1">
      <alignment horizontal="center" vertical="center"/>
    </xf>
    <xf numFmtId="0" fontId="147" fillId="197" borderId="1" xfId="0" applyFont="1" applyFill="1" applyBorder="1" applyAlignment="1">
      <alignment horizontal="center"/>
    </xf>
    <xf numFmtId="0" fontId="70" fillId="198" borderId="1" xfId="138" applyFont="1" applyFill="1" applyBorder="1" applyAlignment="1">
      <alignment horizontal="center" vertical="center" shrinkToFit="1"/>
    </xf>
    <xf numFmtId="0" fontId="35" fillId="34" borderId="146" xfId="0" applyFont="1" applyFill="1" applyBorder="1" applyAlignment="1">
      <alignment horizontal="center" vertical="center"/>
    </xf>
    <xf numFmtId="0" fontId="70" fillId="199" borderId="1" xfId="138" applyFont="1" applyFill="1" applyBorder="1" applyAlignment="1">
      <alignment horizontal="center" vertical="center" shrinkToFit="1"/>
    </xf>
    <xf numFmtId="0" fontId="35" fillId="41" borderId="29" xfId="0" applyFont="1" applyFill="1" applyBorder="1" applyAlignment="1">
      <alignment horizontal="center" vertical="center"/>
    </xf>
    <xf numFmtId="0" fontId="70" fillId="60" borderId="1" xfId="138" applyFont="1" applyFill="1" applyBorder="1" applyAlignment="1">
      <alignment horizontal="center" vertical="center" shrinkToFit="1"/>
    </xf>
    <xf numFmtId="171" fontId="145" fillId="0" borderId="101" xfId="138" applyNumberFormat="1" applyFont="1" applyBorder="1" applyAlignment="1">
      <alignment horizontal="center" vertical="center" shrinkToFit="1"/>
    </xf>
    <xf numFmtId="0" fontId="63" fillId="35" borderId="1" xfId="0" applyFont="1" applyFill="1" applyBorder="1" applyAlignment="1">
      <alignment horizontal="center" vertical="center"/>
    </xf>
    <xf numFmtId="0" fontId="70" fillId="200" borderId="1" xfId="138" applyFont="1" applyFill="1" applyBorder="1" applyAlignment="1">
      <alignment horizontal="center" vertical="center" shrinkToFit="1"/>
    </xf>
    <xf numFmtId="0" fontId="40" fillId="35" borderId="28" xfId="0" applyFont="1" applyFill="1" applyBorder="1" applyAlignment="1">
      <alignment horizontal="center" vertical="center"/>
    </xf>
    <xf numFmtId="0" fontId="108" fillId="81" borderId="1" xfId="0" applyFont="1" applyFill="1" applyBorder="1" applyAlignment="1">
      <alignment horizontal="center"/>
    </xf>
    <xf numFmtId="0" fontId="16" fillId="180" borderId="1" xfId="0" applyFont="1" applyFill="1" applyBorder="1" applyAlignment="1">
      <alignment horizontal="center" vertical="center"/>
    </xf>
    <xf numFmtId="0" fontId="143" fillId="141" borderId="45" xfId="0" applyFont="1" applyFill="1" applyBorder="1" applyAlignment="1">
      <alignment wrapText="1"/>
    </xf>
    <xf numFmtId="0" fontId="35" fillId="52" borderId="29" xfId="0" applyFont="1" applyFill="1" applyBorder="1" applyAlignment="1">
      <alignment horizontal="center" vertical="center"/>
    </xf>
    <xf numFmtId="0" fontId="70" fillId="201" borderId="1" xfId="138" applyFont="1" applyFill="1" applyBorder="1" applyAlignment="1">
      <alignment horizontal="center" vertical="center" shrinkToFit="1"/>
    </xf>
    <xf numFmtId="0" fontId="85" fillId="0" borderId="1" xfId="0" applyFont="1" applyBorder="1"/>
    <xf numFmtId="171" fontId="85" fillId="0" borderId="1" xfId="0" applyNumberFormat="1" applyFont="1" applyBorder="1" applyAlignment="1">
      <alignment horizontal="center" vertical="center"/>
    </xf>
    <xf numFmtId="0" fontId="43" fillId="61" borderId="29" xfId="0" applyFont="1" applyFill="1" applyBorder="1" applyAlignment="1">
      <alignment horizontal="center" vertical="center"/>
    </xf>
    <xf numFmtId="0" fontId="74" fillId="161" borderId="1" xfId="138" applyFont="1" applyFill="1" applyBorder="1" applyAlignment="1">
      <alignment horizontal="center" vertical="center" shrinkToFit="1"/>
    </xf>
    <xf numFmtId="0" fontId="70" fillId="202" borderId="1" xfId="0" applyFont="1" applyFill="1" applyBorder="1" applyAlignment="1">
      <alignment horizontal="center" vertical="center"/>
    </xf>
    <xf numFmtId="0" fontId="35" fillId="34" borderId="29" xfId="0" applyFont="1" applyFill="1" applyBorder="1" applyAlignment="1">
      <alignment horizontal="center" vertical="center"/>
    </xf>
    <xf numFmtId="0" fontId="147" fillId="0" borderId="1" xfId="126" applyFont="1" applyBorder="1" applyAlignment="1" applyProtection="1">
      <alignment shrinkToFit="1"/>
      <protection locked="0"/>
    </xf>
    <xf numFmtId="0" fontId="161" fillId="191" borderId="1" xfId="131" applyFont="1" applyFill="1" applyBorder="1" applyAlignment="1">
      <alignment horizontal="center"/>
    </xf>
    <xf numFmtId="0" fontId="35" fillId="54" borderId="29" xfId="0" applyFont="1" applyFill="1" applyBorder="1" applyAlignment="1">
      <alignment horizontal="center" vertical="center"/>
    </xf>
    <xf numFmtId="0" fontId="162" fillId="203" borderId="1" xfId="131" applyFont="1" applyFill="1" applyBorder="1" applyAlignment="1">
      <alignment horizontal="center"/>
    </xf>
    <xf numFmtId="0" fontId="70" fillId="204" borderId="1" xfId="0" applyFont="1" applyFill="1" applyBorder="1" applyAlignment="1">
      <alignment horizontal="center" vertical="center"/>
    </xf>
    <xf numFmtId="0" fontId="74" fillId="44" borderId="1" xfId="0" applyFont="1" applyFill="1" applyBorder="1" applyAlignment="1">
      <alignment horizontal="center" vertical="center"/>
    </xf>
    <xf numFmtId="0" fontId="143" fillId="89" borderId="0" xfId="0" applyFont="1" applyFill="1"/>
    <xf numFmtId="0" fontId="35" fillId="44" borderId="29" xfId="0" applyFont="1" applyFill="1" applyBorder="1" applyAlignment="1">
      <alignment horizontal="center" vertical="center"/>
    </xf>
    <xf numFmtId="0" fontId="74" fillId="71" borderId="1" xfId="0" applyFont="1" applyFill="1" applyBorder="1" applyAlignment="1">
      <alignment horizontal="center" vertical="center" wrapText="1"/>
    </xf>
    <xf numFmtId="0" fontId="3" fillId="0" borderId="69" xfId="138" applyFont="1" applyBorder="1" applyAlignment="1">
      <alignment horizontal="center" vertical="center" shrinkToFit="1"/>
    </xf>
    <xf numFmtId="0" fontId="134" fillId="0" borderId="69" xfId="138" applyFont="1" applyBorder="1" applyAlignment="1">
      <alignment horizontal="center" vertical="center" shrinkToFit="1"/>
    </xf>
    <xf numFmtId="0" fontId="35" fillId="61" borderId="0" xfId="0" applyFont="1" applyFill="1" applyAlignment="1">
      <alignment horizontal="center" vertical="center"/>
    </xf>
    <xf numFmtId="0" fontId="3" fillId="0" borderId="0" xfId="138" applyFont="1" applyAlignment="1">
      <alignment horizontal="center" vertical="center" shrinkToFit="1"/>
    </xf>
    <xf numFmtId="0" fontId="134" fillId="0" borderId="0" xfId="138" applyFont="1" applyAlignment="1">
      <alignment horizontal="center" vertical="center" shrinkToFit="1"/>
    </xf>
    <xf numFmtId="0" fontId="108" fillId="35" borderId="101" xfId="0" applyFont="1" applyFill="1" applyBorder="1" applyAlignment="1">
      <alignment horizontal="center"/>
    </xf>
    <xf numFmtId="0" fontId="70" fillId="205" borderId="1" xfId="138" applyFont="1" applyFill="1" applyBorder="1" applyAlignment="1">
      <alignment horizontal="center" vertical="center" shrinkToFit="1"/>
    </xf>
    <xf numFmtId="0" fontId="35" fillId="185" borderId="101" xfId="138" applyFont="1" applyFill="1" applyBorder="1" applyAlignment="1">
      <alignment vertical="center" shrinkToFit="1"/>
    </xf>
    <xf numFmtId="0" fontId="35" fillId="185" borderId="150" xfId="138" applyFont="1" applyFill="1" applyBorder="1" applyAlignment="1">
      <alignment vertical="center" shrinkToFit="1"/>
    </xf>
    <xf numFmtId="0" fontId="154" fillId="206" borderId="1" xfId="0" applyFont="1" applyFill="1" applyBorder="1" applyAlignment="1">
      <alignment horizontal="center"/>
    </xf>
    <xf numFmtId="0" fontId="155" fillId="207" borderId="1" xfId="0" applyFont="1" applyFill="1" applyBorder="1" applyAlignment="1">
      <alignment horizontal="center" vertical="center"/>
    </xf>
    <xf numFmtId="0" fontId="85" fillId="209" borderId="1" xfId="0" applyFont="1" applyFill="1" applyBorder="1" applyAlignment="1">
      <alignment horizontal="center"/>
    </xf>
    <xf numFmtId="0" fontId="164" fillId="210" borderId="1" xfId="138" applyFont="1" applyFill="1" applyBorder="1" applyAlignment="1">
      <alignment horizontal="center" vertical="center" shrinkToFit="1"/>
    </xf>
    <xf numFmtId="0" fontId="79" fillId="173" borderId="1" xfId="138" applyFont="1" applyFill="1" applyBorder="1" applyAlignment="1">
      <alignment horizontal="center" vertical="center" shrinkToFit="1"/>
    </xf>
    <xf numFmtId="0" fontId="70" fillId="211" borderId="1" xfId="138" applyFont="1" applyFill="1" applyBorder="1" applyAlignment="1">
      <alignment horizontal="center" vertical="center" shrinkToFit="1"/>
    </xf>
    <xf numFmtId="0" fontId="85" fillId="35" borderId="1" xfId="0" applyFont="1" applyFill="1" applyBorder="1" applyAlignment="1">
      <alignment horizontal="center"/>
    </xf>
    <xf numFmtId="0" fontId="70" fillId="212" borderId="1" xfId="138" applyFont="1" applyFill="1" applyBorder="1" applyAlignment="1">
      <alignment horizontal="center" vertical="center" shrinkToFit="1"/>
    </xf>
    <xf numFmtId="0" fontId="143" fillId="89" borderId="0" xfId="0" applyFont="1" applyFill="1" applyAlignment="1">
      <alignment wrapText="1"/>
    </xf>
    <xf numFmtId="0" fontId="83" fillId="44" borderId="1" xfId="0" applyFont="1" applyFill="1" applyBorder="1" applyAlignment="1">
      <alignment horizontal="center"/>
    </xf>
    <xf numFmtId="0" fontId="74" fillId="213" borderId="1" xfId="138" applyFont="1" applyFill="1" applyBorder="1" applyAlignment="1">
      <alignment horizontal="center" vertical="center" shrinkToFit="1"/>
    </xf>
    <xf numFmtId="0" fontId="165" fillId="214" borderId="1" xfId="0" applyFont="1" applyFill="1" applyBorder="1" applyAlignment="1">
      <alignment horizontal="center" vertical="center"/>
    </xf>
    <xf numFmtId="0" fontId="70" fillId="215" borderId="1" xfId="138" applyFont="1" applyFill="1" applyBorder="1" applyAlignment="1">
      <alignment horizontal="center" vertical="center" shrinkToFit="1"/>
    </xf>
    <xf numFmtId="0" fontId="79" fillId="208" borderId="1" xfId="138" applyFont="1" applyFill="1" applyBorder="1" applyAlignment="1">
      <alignment horizontal="center" vertical="center" shrinkToFit="1"/>
    </xf>
    <xf numFmtId="0" fontId="35" fillId="56" borderId="29" xfId="0" applyFont="1" applyFill="1" applyBorder="1" applyAlignment="1">
      <alignment horizontal="center" vertical="center"/>
    </xf>
    <xf numFmtId="0" fontId="166" fillId="137" borderId="1" xfId="138" applyFont="1" applyFill="1" applyBorder="1" applyAlignment="1">
      <alignment horizontal="center" vertical="center" shrinkToFit="1"/>
    </xf>
    <xf numFmtId="0" fontId="83" fillId="118" borderId="1" xfId="0" applyFont="1" applyFill="1" applyBorder="1" applyAlignment="1">
      <alignment horizontal="center" vertical="center"/>
    </xf>
    <xf numFmtId="0" fontId="0" fillId="140" borderId="90" xfId="0" applyFill="1" applyBorder="1" applyAlignment="1">
      <alignment wrapText="1"/>
    </xf>
    <xf numFmtId="0" fontId="40" fillId="63" borderId="0" xfId="0" applyFont="1" applyFill="1" applyAlignment="1">
      <alignment horizontal="center" vertical="center"/>
    </xf>
    <xf numFmtId="0" fontId="63" fillId="137" borderId="1" xfId="138" applyFont="1" applyFill="1" applyBorder="1" applyAlignment="1">
      <alignment horizontal="center" vertical="center" shrinkToFit="1"/>
    </xf>
    <xf numFmtId="0" fontId="70" fillId="216" borderId="1" xfId="138" applyFont="1" applyFill="1" applyBorder="1" applyAlignment="1">
      <alignment horizontal="center" vertical="center" shrinkToFit="1"/>
    </xf>
    <xf numFmtId="0" fontId="35" fillId="46" borderId="29" xfId="0" applyFont="1" applyFill="1" applyBorder="1" applyAlignment="1">
      <alignment horizontal="center" vertical="center"/>
    </xf>
    <xf numFmtId="0" fontId="167" fillId="52" borderId="1" xfId="138" applyFont="1" applyFill="1" applyBorder="1" applyAlignment="1">
      <alignment horizontal="center" vertical="center" shrinkToFit="1"/>
    </xf>
    <xf numFmtId="0" fontId="70" fillId="217" borderId="1" xfId="138" applyFont="1" applyFill="1" applyBorder="1" applyAlignment="1">
      <alignment horizontal="center" vertical="center" shrinkToFit="1"/>
    </xf>
    <xf numFmtId="0" fontId="35" fillId="38" borderId="29" xfId="0" applyFont="1" applyFill="1" applyBorder="1" applyAlignment="1">
      <alignment horizontal="center" vertical="center"/>
    </xf>
    <xf numFmtId="0" fontId="74" fillId="218" borderId="1" xfId="138" applyFont="1" applyFill="1" applyBorder="1" applyAlignment="1">
      <alignment horizontal="center" vertical="center" shrinkToFit="1"/>
    </xf>
    <xf numFmtId="0" fontId="35" fillId="53" borderId="49" xfId="0" applyFont="1" applyFill="1" applyBorder="1" applyAlignment="1">
      <alignment horizontal="center" vertical="center"/>
    </xf>
    <xf numFmtId="0" fontId="74" fillId="219" borderId="1" xfId="138" applyFont="1" applyFill="1" applyBorder="1" applyAlignment="1" applyProtection="1">
      <alignment horizontal="center" vertical="center" shrinkToFit="1"/>
      <protection locked="0"/>
    </xf>
    <xf numFmtId="0" fontId="79" fillId="98" borderId="1" xfId="138" applyFont="1" applyFill="1" applyBorder="1" applyAlignment="1">
      <alignment horizontal="center" vertical="center" shrinkToFit="1"/>
    </xf>
    <xf numFmtId="0" fontId="79" fillId="220" borderId="1" xfId="0" applyFont="1" applyFill="1" applyBorder="1" applyAlignment="1">
      <alignment horizontal="center" vertical="center"/>
    </xf>
    <xf numFmtId="0" fontId="58" fillId="63" borderId="0" xfId="0" applyFont="1" applyFill="1" applyAlignment="1">
      <alignment horizontal="center" vertical="center"/>
    </xf>
    <xf numFmtId="0" fontId="70" fillId="221" borderId="1" xfId="138" applyFont="1" applyFill="1" applyBorder="1" applyAlignment="1">
      <alignment horizontal="center" vertical="center" shrinkToFit="1"/>
    </xf>
    <xf numFmtId="0" fontId="74" fillId="222" borderId="1" xfId="138" applyFont="1" applyFill="1" applyBorder="1" applyAlignment="1">
      <alignment horizontal="center" vertical="center" shrinkToFit="1"/>
    </xf>
    <xf numFmtId="0" fontId="85" fillId="80" borderId="1" xfId="0" applyFont="1" applyFill="1" applyBorder="1" applyAlignment="1">
      <alignment horizontal="center"/>
    </xf>
    <xf numFmtId="0" fontId="79" fillId="223" borderId="1" xfId="138" applyFont="1" applyFill="1" applyBorder="1" applyAlignment="1">
      <alignment horizontal="center" vertical="center" shrinkToFit="1"/>
    </xf>
    <xf numFmtId="0" fontId="74" fillId="42" borderId="1" xfId="0" applyFont="1" applyFill="1" applyBorder="1" applyAlignment="1">
      <alignment horizontal="center" vertical="center" wrapText="1"/>
    </xf>
    <xf numFmtId="0" fontId="35" fillId="69" borderId="0" xfId="0" applyFont="1" applyFill="1" applyAlignment="1">
      <alignment horizontal="center" vertical="center"/>
    </xf>
    <xf numFmtId="0" fontId="79" fillId="224" borderId="1" xfId="138" applyFont="1" applyFill="1" applyBorder="1" applyAlignment="1">
      <alignment horizontal="center" vertical="center" shrinkToFit="1"/>
    </xf>
    <xf numFmtId="0" fontId="148" fillId="225" borderId="1" xfId="0" applyFont="1" applyFill="1" applyBorder="1" applyAlignment="1">
      <alignment horizontal="center" vertical="center"/>
    </xf>
    <xf numFmtId="0" fontId="38" fillId="49" borderId="0" xfId="0" applyFont="1" applyFill="1" applyAlignment="1">
      <alignment horizontal="center" vertical="center"/>
    </xf>
    <xf numFmtId="0" fontId="148" fillId="50" borderId="1" xfId="138" applyFont="1" applyFill="1" applyBorder="1" applyAlignment="1">
      <alignment horizontal="center" vertical="center" shrinkToFit="1"/>
    </xf>
    <xf numFmtId="0" fontId="74" fillId="34" borderId="1" xfId="0" applyFont="1" applyFill="1" applyBorder="1" applyAlignment="1">
      <alignment horizontal="center" vertical="center"/>
    </xf>
    <xf numFmtId="0" fontId="63" fillId="55" borderId="1" xfId="138" applyFont="1" applyFill="1" applyBorder="1" applyAlignment="1" applyProtection="1">
      <alignment horizontal="center" vertical="center" shrinkToFit="1"/>
      <protection locked="0"/>
    </xf>
    <xf numFmtId="0" fontId="168" fillId="226" borderId="1" xfId="138" applyFont="1" applyFill="1" applyBorder="1" applyAlignment="1">
      <alignment horizontal="center" vertical="center" shrinkToFit="1"/>
    </xf>
    <xf numFmtId="0" fontId="35" fillId="69" borderId="49" xfId="0" applyFont="1" applyFill="1" applyBorder="1" applyAlignment="1">
      <alignment horizontal="center" vertical="center"/>
    </xf>
    <xf numFmtId="0" fontId="74" fillId="226" borderId="1" xfId="138" applyFont="1" applyFill="1" applyBorder="1" applyAlignment="1">
      <alignment horizontal="center" vertical="center" shrinkToFit="1"/>
    </xf>
    <xf numFmtId="0" fontId="74" fillId="54" borderId="1" xfId="0" applyFont="1" applyFill="1" applyBorder="1" applyAlignment="1">
      <alignment horizontal="center" vertical="center"/>
    </xf>
    <xf numFmtId="0" fontId="74" fillId="227" borderId="1" xfId="138" applyFont="1" applyFill="1" applyBorder="1" applyAlignment="1">
      <alignment horizontal="center" vertical="center" shrinkToFit="1"/>
    </xf>
    <xf numFmtId="0" fontId="155" fillId="228" borderId="1" xfId="0" applyFont="1" applyFill="1" applyBorder="1" applyAlignment="1">
      <alignment horizontal="center" vertical="center"/>
    </xf>
    <xf numFmtId="0" fontId="35" fillId="69" borderId="27" xfId="0" applyFont="1" applyFill="1" applyBorder="1" applyAlignment="1">
      <alignment horizontal="center" vertical="center"/>
    </xf>
    <xf numFmtId="0" fontId="85" fillId="42" borderId="1" xfId="0" applyFont="1" applyFill="1" applyBorder="1" applyAlignment="1">
      <alignment horizontal="center"/>
    </xf>
    <xf numFmtId="0" fontId="35" fillId="45" borderId="0" xfId="0" applyFont="1" applyFill="1" applyAlignment="1">
      <alignment horizontal="center" vertical="center"/>
    </xf>
    <xf numFmtId="0" fontId="85" fillId="52" borderId="1" xfId="0" applyFont="1" applyFill="1" applyBorder="1" applyAlignment="1">
      <alignment horizontal="center"/>
    </xf>
    <xf numFmtId="0" fontId="152" fillId="229" borderId="1" xfId="138" applyFont="1" applyFill="1" applyBorder="1" applyAlignment="1">
      <alignment horizontal="center" vertical="center" shrinkToFit="1"/>
    </xf>
    <xf numFmtId="0" fontId="74" fillId="230" borderId="1" xfId="0" applyFont="1" applyFill="1" applyBorder="1" applyAlignment="1">
      <alignment horizontal="center" vertical="center" wrapText="1"/>
    </xf>
    <xf numFmtId="0" fontId="38" fillId="38" borderId="0" xfId="0" applyFont="1" applyFill="1" applyAlignment="1">
      <alignment horizontal="center" vertical="center"/>
    </xf>
    <xf numFmtId="0" fontId="108" fillId="178" borderId="1" xfId="131" applyFont="1" applyFill="1" applyBorder="1" applyAlignment="1">
      <alignment horizontal="center"/>
    </xf>
    <xf numFmtId="0" fontId="148" fillId="231" borderId="1" xfId="138" applyFont="1" applyFill="1" applyBorder="1" applyAlignment="1">
      <alignment horizontal="center" vertical="center" shrinkToFit="1"/>
    </xf>
    <xf numFmtId="0" fontId="35" fillId="50" borderId="0" xfId="0" applyFont="1" applyFill="1" applyAlignment="1">
      <alignment horizontal="center" vertical="center"/>
    </xf>
    <xf numFmtId="0" fontId="43" fillId="60" borderId="29" xfId="0" applyFont="1" applyFill="1" applyBorder="1" applyAlignment="1">
      <alignment horizontal="center" vertical="center"/>
    </xf>
    <xf numFmtId="0" fontId="85" fillId="119" borderId="1" xfId="0" applyFont="1" applyFill="1" applyBorder="1" applyAlignment="1">
      <alignment horizontal="center"/>
    </xf>
    <xf numFmtId="0" fontId="169" fillId="232" borderId="1" xfId="138" applyFont="1" applyFill="1" applyBorder="1" applyAlignment="1">
      <alignment horizontal="center" vertical="center" shrinkToFit="1"/>
    </xf>
    <xf numFmtId="0" fontId="49" fillId="0" borderId="0" xfId="138" applyFont="1" applyAlignment="1">
      <alignment horizontal="center" vertical="center" shrinkToFit="1"/>
    </xf>
    <xf numFmtId="0" fontId="35" fillId="185" borderId="0" xfId="138" applyFont="1" applyFill="1" applyAlignment="1">
      <alignment vertical="center" shrinkToFit="1"/>
    </xf>
    <xf numFmtId="171" fontId="0" fillId="0" borderId="0" xfId="0" applyNumberFormat="1"/>
    <xf numFmtId="0" fontId="70" fillId="140" borderId="1" xfId="0" applyFont="1" applyFill="1" applyBorder="1" applyAlignment="1">
      <alignment horizontal="center" vertical="center"/>
    </xf>
    <xf numFmtId="0" fontId="79" fillId="0" borderId="151" xfId="138" applyFont="1" applyBorder="1" applyAlignment="1">
      <alignment vertical="center" shrinkToFit="1"/>
    </xf>
    <xf numFmtId="0" fontId="74" fillId="233" borderId="1" xfId="138" applyFont="1" applyFill="1" applyBorder="1" applyAlignment="1">
      <alignment horizontal="center" vertical="center" shrinkToFit="1"/>
    </xf>
    <xf numFmtId="0" fontId="148" fillId="154" borderId="1" xfId="138" applyFont="1" applyFill="1" applyBorder="1" applyAlignment="1">
      <alignment horizontal="center" vertical="center" shrinkToFit="1"/>
    </xf>
    <xf numFmtId="0" fontId="3" fillId="60" borderId="0" xfId="150" applyFont="1" applyFill="1" applyAlignment="1">
      <alignment horizontal="center" vertical="center" shrinkToFit="1"/>
    </xf>
    <xf numFmtId="0" fontId="74" fillId="234" borderId="1" xfId="138" applyFont="1" applyFill="1" applyBorder="1" applyAlignment="1">
      <alignment horizontal="center" vertical="center" shrinkToFit="1"/>
    </xf>
    <xf numFmtId="0" fontId="170" fillId="235" borderId="1" xfId="138" applyFont="1" applyFill="1" applyBorder="1" applyAlignment="1">
      <alignment horizontal="center" vertical="center" shrinkToFit="1"/>
    </xf>
    <xf numFmtId="0" fontId="171" fillId="236" borderId="1" xfId="0" applyFont="1" applyFill="1" applyBorder="1" applyAlignment="1">
      <alignment horizontal="center" vertical="center"/>
    </xf>
    <xf numFmtId="0" fontId="170" fillId="235" borderId="64" xfId="138" applyFont="1" applyFill="1" applyBorder="1" applyAlignment="1">
      <alignment horizontal="center" vertical="center" shrinkToFit="1"/>
    </xf>
    <xf numFmtId="0" fontId="74" fillId="191" borderId="1" xfId="0" applyFont="1" applyFill="1" applyBorder="1" applyAlignment="1">
      <alignment horizontal="center" vertical="center"/>
    </xf>
    <xf numFmtId="0" fontId="70" fillId="237" borderId="1" xfId="138" applyFont="1" applyFill="1" applyBorder="1" applyAlignment="1">
      <alignment horizontal="center" vertical="center" shrinkToFit="1"/>
    </xf>
    <xf numFmtId="0" fontId="85" fillId="0" borderId="64" xfId="0" applyFont="1" applyBorder="1"/>
    <xf numFmtId="0" fontId="151" fillId="79" borderId="1" xfId="131" applyFont="1" applyFill="1" applyBorder="1" applyAlignment="1">
      <alignment horizontal="center"/>
    </xf>
    <xf numFmtId="0" fontId="140" fillId="63" borderId="153" xfId="0" applyFont="1" applyFill="1" applyBorder="1" applyAlignment="1">
      <alignment horizontal="center"/>
    </xf>
    <xf numFmtId="0" fontId="35" fillId="185" borderId="56" xfId="138" applyFont="1" applyFill="1" applyBorder="1" applyAlignment="1">
      <alignment vertical="center" shrinkToFit="1"/>
    </xf>
    <xf numFmtId="171" fontId="3" fillId="238" borderId="0" xfId="150" applyNumberFormat="1" applyFont="1" applyFill="1" applyAlignment="1">
      <alignment horizontal="center" vertical="center" shrinkToFit="1"/>
    </xf>
    <xf numFmtId="171" fontId="0" fillId="89" borderId="0" xfId="0" applyNumberFormat="1" applyFill="1"/>
    <xf numFmtId="0" fontId="85" fillId="54" borderId="1" xfId="0" applyFont="1" applyFill="1" applyBorder="1" applyAlignment="1">
      <alignment horizontal="center"/>
    </xf>
    <xf numFmtId="0" fontId="0" fillId="0" borderId="154" xfId="0" applyBorder="1"/>
    <xf numFmtId="0" fontId="0" fillId="0" borderId="23" xfId="0" applyBorder="1"/>
    <xf numFmtId="0" fontId="85" fillId="101" borderId="1" xfId="131" applyFont="1" applyFill="1" applyBorder="1" applyAlignment="1">
      <alignment horizontal="center"/>
    </xf>
    <xf numFmtId="0" fontId="143" fillId="0" borderId="1" xfId="0" applyFont="1" applyBorder="1"/>
    <xf numFmtId="0" fontId="172" fillId="239" borderId="1" xfId="0" applyFont="1" applyFill="1" applyBorder="1" applyAlignment="1">
      <alignment horizontal="center" vertical="center" wrapText="1"/>
    </xf>
    <xf numFmtId="0" fontId="143" fillId="50" borderId="0" xfId="0" applyFont="1" applyFill="1" applyAlignment="1">
      <alignment wrapText="1"/>
    </xf>
    <xf numFmtId="0" fontId="85" fillId="240" borderId="1" xfId="0" applyFont="1" applyFill="1" applyBorder="1" applyAlignment="1">
      <alignment horizontal="center"/>
    </xf>
    <xf numFmtId="0" fontId="74" fillId="154" borderId="1" xfId="0" applyFont="1" applyFill="1" applyBorder="1" applyAlignment="1">
      <alignment horizontal="center" vertical="center" wrapText="1"/>
    </xf>
    <xf numFmtId="0" fontId="74" fillId="241" borderId="1" xfId="138" applyFont="1" applyFill="1" applyBorder="1" applyAlignment="1">
      <alignment horizontal="center" vertical="center" shrinkToFit="1"/>
    </xf>
    <xf numFmtId="0" fontId="74" fillId="63" borderId="1" xfId="0" applyFont="1" applyFill="1" applyBorder="1" applyAlignment="1">
      <alignment horizontal="center" vertical="center" wrapText="1"/>
    </xf>
    <xf numFmtId="0" fontId="70" fillId="242" borderId="1" xfId="138" applyFont="1" applyFill="1" applyBorder="1" applyAlignment="1">
      <alignment horizontal="center" vertical="center" shrinkToFit="1"/>
    </xf>
    <xf numFmtId="0" fontId="173" fillId="243" borderId="1" xfId="0" applyFont="1" applyFill="1" applyBorder="1" applyAlignment="1">
      <alignment horizontal="center" vertical="center" wrapText="1"/>
    </xf>
    <xf numFmtId="0" fontId="85" fillId="83" borderId="1" xfId="0" applyFont="1" applyFill="1" applyBorder="1" applyAlignment="1">
      <alignment horizontal="center"/>
    </xf>
    <xf numFmtId="0" fontId="79" fillId="244" borderId="1" xfId="0" applyFont="1" applyFill="1" applyBorder="1" applyAlignment="1">
      <alignment horizontal="center" vertical="center" wrapText="1"/>
    </xf>
    <xf numFmtId="0" fontId="74" fillId="118" borderId="1" xfId="0" applyFont="1" applyFill="1" applyBorder="1" applyAlignment="1">
      <alignment horizontal="center" vertical="center"/>
    </xf>
    <xf numFmtId="0" fontId="85" fillId="230" borderId="1" xfId="0" applyFont="1" applyFill="1" applyBorder="1" applyAlignment="1">
      <alignment horizontal="center"/>
    </xf>
    <xf numFmtId="0" fontId="160" fillId="0" borderId="0" xfId="138" applyFont="1" applyAlignment="1">
      <alignment shrinkToFit="1"/>
    </xf>
    <xf numFmtId="0" fontId="147" fillId="0" borderId="15" xfId="126" applyFont="1" applyBorder="1" applyAlignment="1">
      <alignment horizontal="left" shrinkToFit="1"/>
    </xf>
    <xf numFmtId="0" fontId="79" fillId="245" borderId="1" xfId="138" applyFont="1" applyFill="1" applyBorder="1" applyAlignment="1">
      <alignment horizontal="center" vertical="center" shrinkToFit="1"/>
    </xf>
    <xf numFmtId="0" fontId="74" fillId="149" borderId="1" xfId="138" applyFont="1" applyFill="1" applyBorder="1" applyAlignment="1">
      <alignment horizontal="center" vertical="center" shrinkToFit="1"/>
    </xf>
    <xf numFmtId="0" fontId="134" fillId="0" borderId="0" xfId="138" applyFont="1" applyAlignment="1">
      <alignment vertical="center" shrinkToFit="1"/>
    </xf>
    <xf numFmtId="0" fontId="85" fillId="166" borderId="1" xfId="0" applyFont="1" applyFill="1" applyBorder="1" applyAlignment="1">
      <alignment horizontal="center"/>
    </xf>
    <xf numFmtId="0" fontId="70" fillId="246" borderId="1" xfId="138" applyFont="1" applyFill="1" applyBorder="1" applyAlignment="1">
      <alignment horizontal="center" vertical="center" shrinkToFit="1"/>
    </xf>
    <xf numFmtId="0" fontId="70" fillId="164" borderId="1" xfId="138" applyFont="1" applyFill="1" applyBorder="1" applyAlignment="1">
      <alignment horizontal="center" vertical="center" shrinkToFit="1"/>
    </xf>
    <xf numFmtId="0" fontId="74" fillId="50" borderId="64" xfId="0" applyFont="1" applyFill="1" applyBorder="1" applyAlignment="1">
      <alignment horizontal="center" vertical="center"/>
    </xf>
    <xf numFmtId="10" fontId="134" fillId="0" borderId="0" xfId="126" applyNumberFormat="1" applyFont="1" applyAlignment="1">
      <alignment vertical="center" shrinkToFit="1"/>
    </xf>
    <xf numFmtId="0" fontId="75" fillId="247" borderId="1" xfId="0" applyFont="1" applyFill="1" applyBorder="1" applyAlignment="1">
      <alignment horizontal="center" vertical="center" wrapText="1"/>
    </xf>
    <xf numFmtId="0" fontId="63" fillId="248" borderId="1" xfId="138" applyFont="1" applyFill="1" applyBorder="1" applyAlignment="1">
      <alignment horizontal="center" vertical="center" shrinkToFit="1"/>
    </xf>
    <xf numFmtId="0" fontId="63" fillId="249" borderId="2" xfId="0" applyFont="1" applyFill="1" applyBorder="1" applyAlignment="1">
      <alignment horizontal="center" vertical="center"/>
    </xf>
    <xf numFmtId="0" fontId="74" fillId="184" borderId="2" xfId="138" applyFont="1" applyFill="1" applyBorder="1" applyAlignment="1">
      <alignment horizontal="center" vertical="center" shrinkToFit="1"/>
    </xf>
    <xf numFmtId="0" fontId="70" fillId="250" borderId="1" xfId="138" applyFont="1" applyFill="1" applyBorder="1" applyAlignment="1">
      <alignment horizontal="center" vertical="center" shrinkToFit="1"/>
    </xf>
    <xf numFmtId="0" fontId="70" fillId="251" borderId="1" xfId="138" applyFont="1" applyFill="1" applyBorder="1" applyAlignment="1">
      <alignment horizontal="center" vertical="center" shrinkToFit="1"/>
    </xf>
    <xf numFmtId="0" fontId="79" fillId="252" borderId="1" xfId="138" applyFont="1" applyFill="1" applyBorder="1" applyAlignment="1">
      <alignment horizontal="center" vertical="center" shrinkToFit="1"/>
    </xf>
    <xf numFmtId="171" fontId="145" fillId="0" borderId="2" xfId="138" applyNumberFormat="1" applyFont="1" applyBorder="1" applyAlignment="1">
      <alignment horizontal="center" vertical="center" shrinkToFit="1"/>
    </xf>
    <xf numFmtId="0" fontId="63" fillId="81" borderId="1" xfId="0" applyFont="1" applyFill="1" applyBorder="1" applyAlignment="1">
      <alignment horizontal="center" vertical="center" wrapText="1"/>
    </xf>
    <xf numFmtId="0" fontId="63" fillId="253" borderId="1" xfId="0" applyFont="1" applyFill="1" applyBorder="1" applyAlignment="1">
      <alignment horizontal="center" vertical="center"/>
    </xf>
    <xf numFmtId="0" fontId="85" fillId="191" borderId="1" xfId="0" applyFont="1" applyFill="1" applyBorder="1" applyAlignment="1">
      <alignment horizontal="center"/>
    </xf>
    <xf numFmtId="0" fontId="63" fillId="50" borderId="1" xfId="0" applyFont="1" applyFill="1" applyBorder="1" applyAlignment="1">
      <alignment horizontal="center" vertical="center" wrapText="1"/>
    </xf>
    <xf numFmtId="0" fontId="174" fillId="254" borderId="1" xfId="0" applyFont="1" applyFill="1" applyBorder="1" applyAlignment="1">
      <alignment horizontal="center" vertical="center" wrapText="1"/>
    </xf>
    <xf numFmtId="0" fontId="70" fillId="82" borderId="1" xfId="0" applyFont="1" applyFill="1" applyBorder="1" applyAlignment="1">
      <alignment horizontal="center" vertical="center" wrapText="1"/>
    </xf>
    <xf numFmtId="0" fontId="143" fillId="245" borderId="0" xfId="0" applyFont="1" applyFill="1"/>
    <xf numFmtId="0" fontId="175" fillId="35" borderId="1" xfId="0" applyFont="1" applyFill="1" applyBorder="1" applyAlignment="1">
      <alignment horizontal="center" vertical="center" wrapText="1"/>
    </xf>
    <xf numFmtId="0" fontId="74" fillId="55" borderId="1" xfId="0" applyFont="1" applyFill="1" applyBorder="1" applyAlignment="1">
      <alignment horizontal="center" vertical="center" wrapText="1"/>
    </xf>
    <xf numFmtId="0" fontId="70" fillId="55" borderId="1" xfId="0" applyFont="1" applyFill="1" applyBorder="1" applyAlignment="1">
      <alignment horizontal="center" vertical="center"/>
    </xf>
    <xf numFmtId="0" fontId="49" fillId="0" borderId="0" xfId="138" applyFont="1" applyAlignment="1">
      <alignment horizontal="center" shrinkToFit="1"/>
    </xf>
    <xf numFmtId="0" fontId="70" fillId="61" borderId="1" xfId="0" applyFont="1" applyFill="1" applyBorder="1" applyAlignment="1">
      <alignment horizontal="center" vertical="center"/>
    </xf>
    <xf numFmtId="0" fontId="35" fillId="185" borderId="99" xfId="138" applyFont="1" applyFill="1" applyBorder="1" applyAlignment="1">
      <alignment vertical="center" shrinkToFit="1"/>
    </xf>
    <xf numFmtId="0" fontId="74" fillId="255" borderId="1" xfId="138" applyFont="1" applyFill="1" applyBorder="1" applyAlignment="1">
      <alignment horizontal="center" vertical="center" shrinkToFit="1"/>
    </xf>
    <xf numFmtId="0" fontId="74" fillId="256" borderId="1" xfId="0" applyFont="1" applyFill="1" applyBorder="1" applyAlignment="1">
      <alignment horizontal="center" vertical="center"/>
    </xf>
    <xf numFmtId="0" fontId="148" fillId="50" borderId="1" xfId="0" applyFont="1" applyFill="1" applyBorder="1" applyAlignment="1">
      <alignment horizontal="center" vertical="center"/>
    </xf>
    <xf numFmtId="0" fontId="70" fillId="118" borderId="1" xfId="0" applyFont="1" applyFill="1" applyBorder="1" applyAlignment="1">
      <alignment horizontal="center" vertical="center"/>
    </xf>
    <xf numFmtId="0" fontId="74" fillId="82" borderId="1" xfId="0" applyFont="1" applyFill="1" applyBorder="1" applyAlignment="1">
      <alignment horizontal="center" vertical="center"/>
    </xf>
    <xf numFmtId="0" fontId="148" fillId="257" borderId="1" xfId="0" applyFont="1" applyFill="1" applyBorder="1" applyAlignment="1">
      <alignment horizontal="center" vertical="center"/>
    </xf>
    <xf numFmtId="0" fontId="70" fillId="258" borderId="1" xfId="0" applyFont="1" applyFill="1" applyBorder="1" applyAlignment="1">
      <alignment horizontal="center" vertical="center"/>
    </xf>
    <xf numFmtId="0" fontId="143" fillId="0" borderId="158" xfId="0" applyFont="1" applyBorder="1"/>
    <xf numFmtId="0" fontId="74" fillId="180" borderId="1" xfId="0" applyFont="1" applyFill="1" applyBorder="1" applyAlignment="1">
      <alignment horizontal="center" vertical="center"/>
    </xf>
    <xf numFmtId="171" fontId="177" fillId="0" borderId="3" xfId="0" applyNumberFormat="1" applyFont="1" applyBorder="1" applyAlignment="1">
      <alignment horizontal="center" vertical="center"/>
    </xf>
    <xf numFmtId="0" fontId="148" fillId="259" borderId="1" xfId="0" applyFont="1" applyFill="1" applyBorder="1" applyAlignment="1">
      <alignment horizontal="center" vertical="center"/>
    </xf>
    <xf numFmtId="0" fontId="178" fillId="245" borderId="0" xfId="0" applyFont="1" applyFill="1"/>
    <xf numFmtId="0" fontId="70" fillId="110" borderId="149" xfId="138" applyFont="1" applyFill="1" applyBorder="1" applyAlignment="1">
      <alignment horizontal="center" vertical="center" shrinkToFit="1"/>
    </xf>
    <xf numFmtId="0" fontId="143" fillId="61" borderId="0" xfId="0" applyFont="1" applyFill="1"/>
    <xf numFmtId="0" fontId="179" fillId="260" borderId="1" xfId="0" applyFont="1" applyFill="1" applyBorder="1" applyAlignment="1">
      <alignment horizontal="center" vertical="center"/>
    </xf>
    <xf numFmtId="0" fontId="74" fillId="35" borderId="17" xfId="138" applyFont="1" applyFill="1" applyBorder="1" applyAlignment="1">
      <alignment horizontal="center" vertical="center" shrinkToFit="1"/>
    </xf>
    <xf numFmtId="0" fontId="137" fillId="0" borderId="33" xfId="0" applyFont="1" applyBorder="1" applyAlignment="1" applyProtection="1">
      <alignment horizontal="center"/>
      <protection locked="0"/>
    </xf>
    <xf numFmtId="0" fontId="137" fillId="0" borderId="35" xfId="0" applyFont="1" applyBorder="1" applyAlignment="1" applyProtection="1">
      <alignment horizontal="center"/>
      <protection locked="0"/>
    </xf>
    <xf numFmtId="0" fontId="137" fillId="0" borderId="0" xfId="0" applyFont="1" applyAlignment="1" applyProtection="1">
      <alignment horizontal="center"/>
      <protection locked="0"/>
    </xf>
    <xf numFmtId="0" fontId="71" fillId="261" borderId="1" xfId="0" applyFont="1" applyFill="1" applyBorder="1" applyAlignment="1">
      <alignment horizontal="center" vertical="center" wrapText="1"/>
    </xf>
    <xf numFmtId="0" fontId="74" fillId="83" borderId="1" xfId="0" applyFont="1" applyFill="1" applyBorder="1" applyAlignment="1">
      <alignment horizontal="center" vertical="center"/>
    </xf>
    <xf numFmtId="0" fontId="143" fillId="44" borderId="57" xfId="0" applyFont="1" applyFill="1" applyBorder="1" applyAlignment="1">
      <alignment horizontal="center" wrapText="1"/>
    </xf>
    <xf numFmtId="0" fontId="74" fillId="262" borderId="1" xfId="138" applyFont="1" applyFill="1" applyBorder="1" applyAlignment="1">
      <alignment horizontal="center" vertical="center" shrinkToFit="1"/>
    </xf>
    <xf numFmtId="0" fontId="143" fillId="44" borderId="0" xfId="0" applyFont="1" applyFill="1" applyAlignment="1">
      <alignment horizontal="center" wrapText="1"/>
    </xf>
    <xf numFmtId="0" fontId="148" fillId="263" borderId="1" xfId="138" applyFont="1" applyFill="1" applyBorder="1" applyAlignment="1">
      <alignment horizontal="center" vertical="center" shrinkToFit="1"/>
    </xf>
    <xf numFmtId="0" fontId="49" fillId="0" borderId="131" xfId="138" applyFont="1" applyBorder="1" applyAlignment="1">
      <alignment horizontal="center" shrinkToFit="1"/>
    </xf>
    <xf numFmtId="0" fontId="74" fillId="264" borderId="17" xfId="0" applyFont="1" applyFill="1" applyBorder="1" applyAlignment="1">
      <alignment horizontal="center" vertical="center"/>
    </xf>
    <xf numFmtId="0" fontId="74" fillId="227" borderId="1" xfId="0" applyFont="1" applyFill="1" applyBorder="1" applyAlignment="1">
      <alignment horizontal="center" vertical="center"/>
    </xf>
    <xf numFmtId="0" fontId="74" fillId="109" borderId="17" xfId="138" applyFont="1" applyFill="1" applyBorder="1" applyAlignment="1">
      <alignment horizontal="center" vertical="center" shrinkToFit="1"/>
    </xf>
    <xf numFmtId="0" fontId="155" fillId="265" borderId="1" xfId="0" applyFont="1" applyFill="1" applyBorder="1" applyAlignment="1">
      <alignment horizontal="center" vertical="center"/>
    </xf>
    <xf numFmtId="171" fontId="58" fillId="186" borderId="1" xfId="141" applyNumberFormat="1" applyFont="1" applyFill="1" applyBorder="1" applyAlignment="1">
      <alignment vertical="center" shrinkToFit="1"/>
    </xf>
    <xf numFmtId="0" fontId="74" fillId="112" borderId="16" xfId="138" applyFont="1" applyFill="1" applyBorder="1" applyAlignment="1">
      <alignment horizontal="center" vertical="center" shrinkToFit="1"/>
    </xf>
    <xf numFmtId="0" fontId="74" fillId="266" borderId="1" xfId="0" applyFont="1" applyFill="1" applyBorder="1" applyAlignment="1">
      <alignment horizontal="center" vertical="center" wrapText="1"/>
    </xf>
    <xf numFmtId="0" fontId="74" fillId="50" borderId="1" xfId="0" applyFont="1" applyFill="1" applyBorder="1" applyAlignment="1">
      <alignment horizontal="center" vertical="center"/>
    </xf>
    <xf numFmtId="0" fontId="70" fillId="267" borderId="1" xfId="0" applyFont="1" applyFill="1" applyBorder="1" applyAlignment="1">
      <alignment horizontal="center" vertical="center" wrapText="1"/>
    </xf>
    <xf numFmtId="0" fontId="181" fillId="0" borderId="0" xfId="138" applyFont="1" applyAlignment="1">
      <alignment horizontal="center" vertical="center" shrinkToFit="1"/>
    </xf>
    <xf numFmtId="0" fontId="143" fillId="0" borderId="80" xfId="0" applyFont="1" applyBorder="1"/>
    <xf numFmtId="0" fontId="70" fillId="268" borderId="1" xfId="0" applyFont="1" applyFill="1" applyBorder="1" applyAlignment="1">
      <alignment horizontal="center" vertical="center" wrapText="1"/>
    </xf>
    <xf numFmtId="0" fontId="0" fillId="0" borderId="158" xfId="0" applyBorder="1"/>
    <xf numFmtId="0" fontId="70" fillId="269" borderId="1" xfId="0" applyFont="1" applyFill="1" applyBorder="1" applyAlignment="1">
      <alignment horizontal="center" vertical="center" wrapText="1"/>
    </xf>
    <xf numFmtId="0" fontId="171" fillId="270" borderId="1" xfId="0" applyFont="1" applyFill="1" applyBorder="1" applyAlignment="1">
      <alignment horizontal="center" vertical="center" wrapText="1"/>
    </xf>
    <xf numFmtId="0" fontId="163" fillId="0" borderId="0" xfId="138" applyFont="1" applyAlignment="1">
      <alignment horizontal="center" vertical="center" shrinkToFit="1"/>
    </xf>
    <xf numFmtId="0" fontId="182" fillId="271" borderId="149" xfId="138" applyFont="1" applyFill="1" applyBorder="1" applyAlignment="1">
      <alignment horizontal="center" vertical="center" shrinkToFit="1"/>
    </xf>
    <xf numFmtId="0" fontId="143" fillId="54" borderId="57" xfId="0" applyFont="1" applyFill="1" applyBorder="1" applyAlignment="1">
      <alignment horizontal="center" wrapText="1"/>
    </xf>
    <xf numFmtId="0" fontId="143" fillId="54" borderId="0" xfId="0" applyFont="1" applyFill="1" applyAlignment="1">
      <alignment horizontal="center" wrapText="1"/>
    </xf>
    <xf numFmtId="0" fontId="168" fillId="54" borderId="1" xfId="0" applyFont="1" applyFill="1" applyBorder="1" applyAlignment="1">
      <alignment horizontal="center" vertical="center"/>
    </xf>
    <xf numFmtId="0" fontId="70" fillId="54" borderId="1" xfId="0" applyFont="1" applyFill="1" applyBorder="1" applyAlignment="1">
      <alignment horizontal="center" vertical="center"/>
    </xf>
    <xf numFmtId="0" fontId="85" fillId="0" borderId="0" xfId="0" applyFont="1" applyAlignment="1">
      <alignment horizontal="center"/>
    </xf>
    <xf numFmtId="0" fontId="79" fillId="35" borderId="1" xfId="0" applyFont="1" applyFill="1" applyBorder="1" applyAlignment="1">
      <alignment horizontal="center" vertical="center"/>
    </xf>
    <xf numFmtId="0" fontId="70" fillId="50" borderId="1" xfId="0" applyFont="1" applyFill="1" applyBorder="1" applyAlignment="1">
      <alignment horizontal="center" vertical="center"/>
    </xf>
    <xf numFmtId="0" fontId="172" fillId="272" borderId="1" xfId="0" applyFont="1" applyFill="1" applyBorder="1" applyAlignment="1">
      <alignment horizontal="center" vertical="center"/>
    </xf>
    <xf numFmtId="0" fontId="74" fillId="273" borderId="149" xfId="138" applyFont="1" applyFill="1" applyBorder="1" applyAlignment="1">
      <alignment horizontal="center" vertical="center" shrinkToFit="1"/>
    </xf>
    <xf numFmtId="0" fontId="143" fillId="55" borderId="0" xfId="0" applyFont="1" applyFill="1"/>
    <xf numFmtId="0" fontId="74" fillId="274" borderId="17" xfId="138" applyFont="1" applyFill="1" applyBorder="1" applyAlignment="1">
      <alignment horizontal="center" vertical="center" shrinkToFit="1"/>
    </xf>
    <xf numFmtId="0" fontId="74" fillId="35" borderId="149" xfId="0" applyFont="1" applyFill="1" applyBorder="1" applyAlignment="1">
      <alignment horizontal="center" vertical="center"/>
    </xf>
    <xf numFmtId="0" fontId="0" fillId="87" borderId="0" xfId="0" applyFill="1"/>
    <xf numFmtId="0" fontId="70" fillId="101" borderId="17" xfId="0" applyFont="1" applyFill="1" applyBorder="1" applyAlignment="1">
      <alignment horizontal="center" vertical="center"/>
    </xf>
    <xf numFmtId="0" fontId="0" fillId="56" borderId="1" xfId="0" applyFill="1" applyBorder="1"/>
    <xf numFmtId="0" fontId="74" fillId="275" borderId="1" xfId="0" applyFont="1" applyFill="1" applyBorder="1" applyAlignment="1">
      <alignment horizontal="center" vertical="center"/>
    </xf>
    <xf numFmtId="0" fontId="70" fillId="119" borderId="1" xfId="0" applyFont="1" applyFill="1" applyBorder="1" applyAlignment="1">
      <alignment horizontal="center" vertical="center"/>
    </xf>
    <xf numFmtId="0" fontId="74" fillId="276" borderId="1" xfId="138" applyFont="1" applyFill="1" applyBorder="1" applyAlignment="1">
      <alignment horizontal="center" vertical="center" shrinkToFit="1"/>
    </xf>
    <xf numFmtId="0" fontId="74" fillId="273" borderId="1" xfId="138" applyFont="1" applyFill="1" applyBorder="1" applyAlignment="1">
      <alignment horizontal="center" vertical="center" shrinkToFit="1"/>
    </xf>
    <xf numFmtId="0" fontId="74" fillId="277" borderId="149" xfId="138" applyFont="1" applyFill="1" applyBorder="1" applyAlignment="1">
      <alignment horizontal="center" vertical="center" shrinkToFit="1"/>
    </xf>
    <xf numFmtId="0" fontId="143" fillId="101" borderId="57" xfId="0" applyFont="1" applyFill="1" applyBorder="1" applyAlignment="1">
      <alignment horizontal="center" wrapText="1"/>
    </xf>
    <xf numFmtId="0" fontId="74" fillId="278" borderId="17" xfId="138" applyFont="1" applyFill="1" applyBorder="1" applyAlignment="1">
      <alignment horizontal="center" vertical="center" shrinkToFit="1"/>
    </xf>
    <xf numFmtId="0" fontId="143" fillId="101" borderId="0" xfId="0" applyFont="1" applyFill="1" applyAlignment="1">
      <alignment horizontal="center" wrapText="1"/>
    </xf>
    <xf numFmtId="0" fontId="74" fillId="241" borderId="17" xfId="138" applyFont="1" applyFill="1" applyBorder="1" applyAlignment="1">
      <alignment horizontal="center" vertical="center" shrinkToFit="1"/>
    </xf>
    <xf numFmtId="0" fontId="74" fillId="161" borderId="149" xfId="138" applyFont="1" applyFill="1" applyBorder="1" applyAlignment="1">
      <alignment horizontal="center" vertical="center" shrinkToFit="1"/>
    </xf>
    <xf numFmtId="0" fontId="74" fillId="279" borderId="17" xfId="138" applyFont="1" applyFill="1" applyBorder="1" applyAlignment="1">
      <alignment horizontal="center" vertical="center" shrinkToFit="1"/>
    </xf>
    <xf numFmtId="0" fontId="74" fillId="280" borderId="16" xfId="138" applyFont="1" applyFill="1" applyBorder="1" applyAlignment="1">
      <alignment horizontal="center" vertical="center" shrinkToFit="1"/>
    </xf>
    <xf numFmtId="0" fontId="74" fillId="164" borderId="149" xfId="138" applyFont="1" applyFill="1" applyBorder="1" applyAlignment="1">
      <alignment horizontal="center" vertical="center" shrinkToFit="1"/>
    </xf>
    <xf numFmtId="0" fontId="74" fillId="164" borderId="90" xfId="138" applyFont="1" applyFill="1" applyBorder="1" applyAlignment="1">
      <alignment horizontal="center" vertical="center" shrinkToFit="1"/>
    </xf>
    <xf numFmtId="0" fontId="63" fillId="264" borderId="1" xfId="138" applyFont="1" applyFill="1" applyBorder="1" applyAlignment="1">
      <alignment horizontal="center" vertical="center" shrinkToFit="1"/>
    </xf>
    <xf numFmtId="0" fontId="143" fillId="35" borderId="0" xfId="0" applyFont="1" applyFill="1"/>
    <xf numFmtId="0" fontId="70" fillId="281" borderId="169" xfId="138" applyFont="1" applyFill="1" applyBorder="1" applyAlignment="1">
      <alignment horizontal="center" vertical="center" shrinkToFit="1"/>
    </xf>
    <xf numFmtId="0" fontId="70" fillId="282" borderId="149" xfId="138" applyFont="1" applyFill="1" applyBorder="1" applyAlignment="1">
      <alignment horizontal="center" vertical="center" shrinkToFit="1"/>
    </xf>
    <xf numFmtId="0" fontId="0" fillId="79" borderId="0" xfId="0" applyFill="1"/>
    <xf numFmtId="0" fontId="74" fillId="0" borderId="1" xfId="0" applyFont="1" applyBorder="1"/>
    <xf numFmtId="0" fontId="143" fillId="264" borderId="0" xfId="0" applyFont="1" applyFill="1"/>
    <xf numFmtId="0" fontId="74" fillId="283" borderId="149" xfId="138" applyFont="1" applyFill="1" applyBorder="1" applyAlignment="1">
      <alignment horizontal="center" vertical="center" shrinkToFit="1"/>
    </xf>
    <xf numFmtId="0" fontId="70" fillId="175" borderId="149" xfId="138" applyFont="1" applyFill="1" applyBorder="1" applyAlignment="1">
      <alignment horizontal="center" vertical="center" shrinkToFit="1"/>
    </xf>
    <xf numFmtId="0" fontId="0" fillId="264" borderId="0" xfId="0" applyFill="1"/>
    <xf numFmtId="0" fontId="74" fillId="284" borderId="149" xfId="138" applyFont="1" applyFill="1" applyBorder="1" applyAlignment="1">
      <alignment horizontal="center" vertical="center" shrinkToFit="1"/>
    </xf>
    <xf numFmtId="0" fontId="74" fillId="285" borderId="149" xfId="138" applyFont="1" applyFill="1" applyBorder="1" applyAlignment="1">
      <alignment horizontal="center" vertical="center" shrinkToFit="1"/>
    </xf>
    <xf numFmtId="0" fontId="74" fillId="286" borderId="149" xfId="138" applyFont="1" applyFill="1" applyBorder="1" applyAlignment="1">
      <alignment horizontal="center" vertical="center" shrinkToFit="1"/>
    </xf>
    <xf numFmtId="0" fontId="74" fillId="287" borderId="149" xfId="138" applyFont="1" applyFill="1" applyBorder="1" applyAlignment="1">
      <alignment horizontal="center" vertical="center" shrinkToFit="1"/>
    </xf>
    <xf numFmtId="0" fontId="183" fillId="288" borderId="1" xfId="138" applyFont="1" applyFill="1" applyBorder="1" applyAlignment="1">
      <alignment horizontal="center" vertical="center" shrinkToFit="1"/>
    </xf>
    <xf numFmtId="0" fontId="0" fillId="145" borderId="0" xfId="0" applyFill="1"/>
    <xf numFmtId="0" fontId="74" fillId="289" borderId="149" xfId="138" applyFont="1" applyFill="1" applyBorder="1" applyAlignment="1">
      <alignment horizontal="center" vertical="center" shrinkToFit="1"/>
    </xf>
    <xf numFmtId="0" fontId="184" fillId="290" borderId="1" xfId="138" applyFont="1" applyFill="1" applyBorder="1" applyAlignment="1">
      <alignment horizontal="center" vertical="center" shrinkToFit="1"/>
    </xf>
    <xf numFmtId="0" fontId="74" fillId="291" borderId="149" xfId="138" applyFont="1" applyFill="1" applyBorder="1" applyAlignment="1">
      <alignment horizontal="center" vertical="center" shrinkToFit="1"/>
    </xf>
    <xf numFmtId="0" fontId="70" fillId="292" borderId="1" xfId="138" applyFont="1" applyFill="1" applyBorder="1" applyAlignment="1">
      <alignment horizontal="center" vertical="center" shrinkToFit="1"/>
    </xf>
    <xf numFmtId="0" fontId="74" fillId="293" borderId="149" xfId="138" applyFont="1" applyFill="1" applyBorder="1" applyAlignment="1">
      <alignment horizontal="center" vertical="center" shrinkToFit="1"/>
    </xf>
    <xf numFmtId="0" fontId="185" fillId="294" borderId="1" xfId="138" applyFont="1" applyFill="1" applyBorder="1" applyAlignment="1">
      <alignment horizontal="center" vertical="center" shrinkToFit="1"/>
    </xf>
    <xf numFmtId="0" fontId="74" fillId="295" borderId="149" xfId="138" applyFont="1" applyFill="1" applyBorder="1" applyAlignment="1">
      <alignment horizontal="center" vertical="center" shrinkToFit="1"/>
    </xf>
    <xf numFmtId="0" fontId="85" fillId="0" borderId="2" xfId="0" applyFont="1" applyBorder="1"/>
    <xf numFmtId="0" fontId="63" fillId="35" borderId="1" xfId="138" applyFont="1" applyFill="1" applyBorder="1" applyAlignment="1">
      <alignment horizontal="center" vertical="center" shrinkToFit="1"/>
    </xf>
    <xf numFmtId="0" fontId="70" fillId="0" borderId="169" xfId="138" applyFont="1" applyBorder="1" applyAlignment="1">
      <alignment horizontal="center" vertical="center" shrinkToFit="1"/>
    </xf>
    <xf numFmtId="0" fontId="74" fillId="0" borderId="158" xfId="138" applyFont="1" applyBorder="1" applyAlignment="1">
      <alignment horizontal="center" vertical="center" shrinkToFit="1"/>
    </xf>
    <xf numFmtId="0" fontId="74" fillId="0" borderId="0" xfId="138" applyFont="1" applyAlignment="1">
      <alignment horizontal="center" vertical="center" shrinkToFit="1"/>
    </xf>
    <xf numFmtId="0" fontId="85" fillId="0" borderId="0" xfId="0" applyFont="1"/>
    <xf numFmtId="171" fontId="85" fillId="0" borderId="0" xfId="0" applyNumberFormat="1" applyFont="1" applyAlignment="1">
      <alignment horizontal="center" vertical="center"/>
    </xf>
    <xf numFmtId="0" fontId="0" fillId="0" borderId="170" xfId="0" applyBorder="1"/>
    <xf numFmtId="0" fontId="0" fillId="0" borderId="171" xfId="0" applyBorder="1"/>
    <xf numFmtId="0" fontId="13" fillId="0" borderId="172" xfId="0" applyFont="1" applyBorder="1" applyAlignment="1">
      <alignment horizontal="right"/>
    </xf>
    <xf numFmtId="0" fontId="160" fillId="0" borderId="0" xfId="138" applyFont="1" applyAlignment="1">
      <alignment horizontal="center" shrinkToFit="1"/>
    </xf>
    <xf numFmtId="10" fontId="134" fillId="0" borderId="0" xfId="126" applyNumberFormat="1" applyFont="1" applyAlignment="1">
      <alignment horizontal="center" vertical="center" shrinkToFit="1"/>
    </xf>
    <xf numFmtId="0" fontId="13" fillId="63" borderId="0" xfId="0" applyFont="1" applyFill="1" applyAlignment="1">
      <alignment horizontal="center" vertical="center"/>
    </xf>
    <xf numFmtId="0" fontId="61" fillId="84" borderId="0" xfId="250" applyFont="1" applyFill="1" applyAlignment="1" applyProtection="1">
      <alignment vertical="center" wrapText="1"/>
    </xf>
    <xf numFmtId="0" fontId="61" fillId="84" borderId="0" xfId="250" applyFont="1" applyFill="1" applyAlignment="1" applyProtection="1">
      <alignment horizontal="left" vertical="center" wrapText="1"/>
    </xf>
    <xf numFmtId="0" fontId="62" fillId="84" borderId="0" xfId="250" applyFont="1" applyFill="1" applyAlignment="1" applyProtection="1">
      <alignment horizontal="center" vertical="center"/>
    </xf>
    <xf numFmtId="0" fontId="63" fillId="84" borderId="0" xfId="160" applyFont="1" applyFill="1" applyAlignment="1">
      <alignment horizontal="center" vertical="center" shrinkToFit="1"/>
    </xf>
    <xf numFmtId="0" fontId="64" fillId="84" borderId="0" xfId="250" applyFont="1" applyFill="1" applyAlignment="1" applyProtection="1">
      <alignment horizontal="left" vertical="center"/>
    </xf>
    <xf numFmtId="0" fontId="7" fillId="84" borderId="0" xfId="250" applyFont="1" applyFill="1" applyAlignment="1" applyProtection="1">
      <alignment vertical="center"/>
    </xf>
    <xf numFmtId="0" fontId="24" fillId="84" borderId="0" xfId="250" applyFont="1" applyFill="1" applyAlignment="1" applyProtection="1">
      <alignment vertical="center"/>
    </xf>
    <xf numFmtId="0" fontId="2" fillId="84" borderId="28" xfId="253" applyFont="1" applyFill="1" applyBorder="1" applyAlignment="1" applyProtection="1">
      <alignment vertical="center"/>
    </xf>
    <xf numFmtId="0" fontId="66" fillId="84" borderId="28" xfId="160" applyFont="1" applyFill="1" applyBorder="1" applyAlignment="1">
      <alignment horizontal="center" vertical="center"/>
    </xf>
    <xf numFmtId="0" fontId="2" fillId="84" borderId="29" xfId="253" applyFont="1" applyFill="1" applyBorder="1" applyAlignment="1" applyProtection="1">
      <alignment vertical="center"/>
    </xf>
    <xf numFmtId="0" fontId="2" fillId="84" borderId="29" xfId="253" applyFont="1" applyFill="1" applyBorder="1" applyAlignment="1" applyProtection="1">
      <alignment horizontal="left" vertical="center"/>
    </xf>
    <xf numFmtId="0" fontId="66" fillId="296" borderId="32" xfId="254" applyFont="1" applyFill="1" applyBorder="1" applyAlignment="1" applyProtection="1">
      <alignment horizontal="center" vertical="center"/>
    </xf>
    <xf numFmtId="0" fontId="68" fillId="297" borderId="2" xfId="254" applyFont="1" applyFill="1" applyBorder="1" applyAlignment="1" applyProtection="1">
      <alignment horizontal="center" vertical="center"/>
    </xf>
    <xf numFmtId="0" fontId="69" fillId="84" borderId="0" xfId="161" applyFont="1" applyFill="1" applyAlignment="1">
      <alignment horizontal="center" vertical="center"/>
    </xf>
    <xf numFmtId="0" fontId="75" fillId="84" borderId="0" xfId="161" applyFont="1" applyFill="1" applyAlignment="1">
      <alignment horizontal="center" vertical="center" shrinkToFit="1"/>
    </xf>
    <xf numFmtId="0" fontId="12" fillId="84" borderId="0" xfId="131" applyFill="1"/>
    <xf numFmtId="0" fontId="76" fillId="84" borderId="0" xfId="160" applyFont="1" applyFill="1" applyAlignment="1">
      <alignment horizontal="center" vertical="center"/>
    </xf>
    <xf numFmtId="0" fontId="79" fillId="84" borderId="0" xfId="253" applyFont="1" applyFill="1" applyAlignment="1" applyProtection="1">
      <alignment vertical="center"/>
    </xf>
    <xf numFmtId="0" fontId="23" fillId="84" borderId="0" xfId="160" applyFont="1" applyFill="1" applyAlignment="1">
      <alignment vertical="center"/>
    </xf>
    <xf numFmtId="0" fontId="2" fillId="84" borderId="0" xfId="253" applyFont="1" applyFill="1" applyAlignment="1" applyProtection="1">
      <alignment vertical="center"/>
    </xf>
    <xf numFmtId="0" fontId="57" fillId="84" borderId="0" xfId="252" applyFont="1" applyFill="1" applyAlignment="1" applyProtection="1">
      <alignment horizontal="center" vertical="center"/>
    </xf>
    <xf numFmtId="0" fontId="23" fillId="84" borderId="0" xfId="0" applyFont="1" applyFill="1" applyAlignment="1">
      <alignment vertical="center"/>
    </xf>
    <xf numFmtId="0" fontId="23" fillId="84" borderId="0" xfId="252" applyFont="1" applyFill="1" applyAlignment="1" applyProtection="1">
      <alignment vertical="center"/>
    </xf>
    <xf numFmtId="0" fontId="79" fillId="84" borderId="1" xfId="138" applyFont="1" applyFill="1" applyBorder="1" applyAlignment="1">
      <alignment horizontal="center" vertical="center" shrinkToFit="1"/>
    </xf>
    <xf numFmtId="0" fontId="81" fillId="84" borderId="1" xfId="0" applyFont="1" applyFill="1" applyBorder="1" applyAlignment="1">
      <alignment horizontal="center"/>
    </xf>
    <xf numFmtId="0" fontId="78" fillId="84" borderId="0" xfId="253" applyFont="1" applyFill="1" applyAlignment="1" applyProtection="1">
      <alignment vertical="center"/>
    </xf>
    <xf numFmtId="0" fontId="75" fillId="84" borderId="0" xfId="160" applyFont="1" applyFill="1" applyAlignment="1">
      <alignment horizontal="center" vertical="center" shrinkToFit="1"/>
    </xf>
    <xf numFmtId="0" fontId="76" fillId="84" borderId="0" xfId="160" applyFont="1" applyFill="1" applyAlignment="1">
      <alignment horizontal="left" vertical="center"/>
    </xf>
    <xf numFmtId="0" fontId="83" fillId="84" borderId="1" xfId="0" applyFont="1" applyFill="1" applyBorder="1" applyAlignment="1">
      <alignment horizontal="center"/>
    </xf>
    <xf numFmtId="0" fontId="83" fillId="84" borderId="64" xfId="0" applyFont="1" applyFill="1" applyBorder="1" applyAlignment="1">
      <alignment horizontal="center"/>
    </xf>
    <xf numFmtId="0" fontId="82" fillId="84" borderId="65" xfId="255" applyFont="1" applyFill="1" applyBorder="1" applyAlignment="1" applyProtection="1">
      <alignment horizontal="center" vertical="center"/>
    </xf>
    <xf numFmtId="0" fontId="82" fillId="84" borderId="68" xfId="255" applyFont="1" applyFill="1" applyBorder="1" applyAlignment="1" applyProtection="1">
      <alignment horizontal="center" vertical="center"/>
    </xf>
    <xf numFmtId="0" fontId="86" fillId="84" borderId="0" xfId="160" applyFont="1" applyFill="1" applyAlignment="1">
      <alignment vertical="center"/>
    </xf>
    <xf numFmtId="0" fontId="57" fillId="84" borderId="0" xfId="161" applyFont="1" applyFill="1" applyAlignment="1">
      <alignment horizontal="center"/>
    </xf>
    <xf numFmtId="0" fontId="65" fillId="84" borderId="0" xfId="256" applyFont="1" applyFill="1" applyAlignment="1" applyProtection="1">
      <alignment horizontal="center" vertical="center"/>
    </xf>
    <xf numFmtId="0" fontId="78" fillId="84" borderId="73" xfId="253" applyFont="1" applyFill="1" applyBorder="1" applyAlignment="1" applyProtection="1">
      <alignment vertical="center"/>
    </xf>
    <xf numFmtId="0" fontId="51" fillId="84" borderId="0" xfId="138" applyFont="1" applyFill="1" applyAlignment="1">
      <alignment horizontal="center" vertical="center" shrinkToFit="1"/>
    </xf>
    <xf numFmtId="0" fontId="88" fillId="84" borderId="0" xfId="142" applyFont="1" applyFill="1" applyAlignment="1" applyProtection="1">
      <alignment horizontal="center" vertical="center" shrinkToFit="1"/>
    </xf>
    <xf numFmtId="0" fontId="89" fillId="84" borderId="0" xfId="142" applyFont="1" applyFill="1" applyAlignment="1" applyProtection="1">
      <alignment horizontal="center" vertical="center" shrinkToFit="1"/>
    </xf>
    <xf numFmtId="0" fontId="86" fillId="84" borderId="0" xfId="253" applyFont="1" applyFill="1" applyAlignment="1" applyProtection="1">
      <alignment horizontal="center" vertical="center"/>
    </xf>
    <xf numFmtId="0" fontId="2" fillId="84" borderId="0" xfId="252" applyFont="1" applyFill="1" applyAlignment="1" applyProtection="1">
      <alignment vertical="center"/>
    </xf>
    <xf numFmtId="0" fontId="90" fillId="84" borderId="0" xfId="160" applyFont="1" applyFill="1" applyAlignment="1">
      <alignment horizontal="center" vertical="center"/>
    </xf>
    <xf numFmtId="0" fontId="92" fillId="84" borderId="1" xfId="255" applyFont="1" applyFill="1" applyBorder="1" applyAlignment="1" applyProtection="1">
      <alignment horizontal="center" vertical="center"/>
    </xf>
    <xf numFmtId="0" fontId="2" fillId="84" borderId="0" xfId="250" applyFill="1" applyAlignment="1" applyProtection="1">
      <alignment vertical="center"/>
    </xf>
    <xf numFmtId="0" fontId="2" fillId="84" borderId="0" xfId="253" applyFont="1" applyFill="1" applyAlignment="1" applyProtection="1">
      <alignment horizontal="left" vertical="center"/>
    </xf>
    <xf numFmtId="0" fontId="62" fillId="84" borderId="0" xfId="250" applyFont="1" applyFill="1" applyAlignment="1" applyProtection="1">
      <alignment horizontal="left" vertical="center"/>
    </xf>
    <xf numFmtId="3" fontId="23" fillId="84" borderId="0" xfId="160" applyNumberFormat="1" applyFont="1" applyFill="1" applyAlignment="1">
      <alignment vertical="center"/>
    </xf>
    <xf numFmtId="3" fontId="2" fillId="84" borderId="0" xfId="160" applyNumberFormat="1" applyFont="1" applyFill="1" applyAlignment="1">
      <alignment vertical="center"/>
    </xf>
    <xf numFmtId="0" fontId="35" fillId="84" borderId="0" xfId="252" applyFont="1" applyFill="1" applyAlignment="1" applyProtection="1">
      <alignment horizontal="center" vertical="center"/>
    </xf>
    <xf numFmtId="0" fontId="2" fillId="84" borderId="58" xfId="253" applyFont="1" applyFill="1" applyBorder="1" applyAlignment="1" applyProtection="1">
      <alignment horizontal="center" vertical="center"/>
    </xf>
    <xf numFmtId="0" fontId="23" fillId="84" borderId="0" xfId="252" applyFont="1" applyFill="1" applyProtection="1"/>
    <xf numFmtId="0" fontId="87" fillId="84" borderId="0" xfId="152" applyFont="1" applyFill="1" applyAlignment="1" applyProtection="1">
      <alignment horizontal="center" vertical="center" shrinkToFit="1"/>
    </xf>
    <xf numFmtId="0" fontId="2" fillId="84" borderId="41" xfId="253" applyFont="1" applyFill="1" applyBorder="1" applyAlignment="1" applyProtection="1">
      <alignment vertical="center"/>
    </xf>
    <xf numFmtId="0" fontId="0" fillId="84" borderId="0" xfId="0" applyFill="1" applyAlignment="1">
      <alignment vertical="center"/>
    </xf>
    <xf numFmtId="0" fontId="70" fillId="298" borderId="1" xfId="138" applyFont="1" applyFill="1" applyBorder="1" applyAlignment="1">
      <alignment horizontal="center" vertical="center" shrinkToFit="1"/>
    </xf>
    <xf numFmtId="0" fontId="91" fillId="84" borderId="78" xfId="253" applyFont="1" applyFill="1" applyBorder="1" applyAlignment="1" applyProtection="1">
      <alignment vertical="center"/>
    </xf>
    <xf numFmtId="0" fontId="91" fillId="84" borderId="79" xfId="253" applyFont="1" applyFill="1" applyBorder="1" applyAlignment="1" applyProtection="1">
      <alignment vertical="center"/>
    </xf>
    <xf numFmtId="0" fontId="91" fillId="84" borderId="49" xfId="253" applyFont="1" applyFill="1" applyBorder="1" applyAlignment="1" applyProtection="1">
      <alignment vertical="center"/>
    </xf>
    <xf numFmtId="0" fontId="79" fillId="84" borderId="0" xfId="253" applyFont="1" applyFill="1" applyAlignment="1" applyProtection="1">
      <alignment horizontal="center" vertical="center"/>
    </xf>
    <xf numFmtId="0" fontId="79" fillId="84" borderId="0" xfId="253" applyFont="1" applyFill="1" applyAlignment="1" applyProtection="1">
      <alignment vertical="center" wrapText="1"/>
    </xf>
    <xf numFmtId="0" fontId="80" fillId="296" borderId="1" xfId="255" applyFont="1" applyFill="1" applyBorder="1" applyAlignment="1" applyProtection="1">
      <alignment horizontal="center" vertical="center"/>
    </xf>
    <xf numFmtId="0" fontId="62" fillId="84" borderId="0" xfId="253" applyFont="1" applyFill="1" applyAlignment="1" applyProtection="1">
      <alignment horizontal="center" vertical="center"/>
    </xf>
    <xf numFmtId="0" fontId="2" fillId="84" borderId="57" xfId="253" applyFont="1" applyFill="1" applyBorder="1" applyAlignment="1" applyProtection="1">
      <alignment vertical="center"/>
    </xf>
    <xf numFmtId="0" fontId="95" fillId="84" borderId="0" xfId="252" applyFont="1" applyFill="1" applyAlignment="1" applyProtection="1">
      <alignment horizontal="center" vertical="center"/>
    </xf>
    <xf numFmtId="0" fontId="62" fillId="84" borderId="0" xfId="253" applyFont="1" applyFill="1" applyAlignment="1" applyProtection="1">
      <alignment horizontal="left" vertical="center"/>
    </xf>
    <xf numFmtId="0" fontId="96" fillId="84" borderId="0" xfId="250" applyFont="1" applyFill="1" applyAlignment="1" applyProtection="1">
      <alignment horizontal="right" vertical="center"/>
    </xf>
    <xf numFmtId="0" fontId="97" fillId="84" borderId="0" xfId="250" applyFont="1" applyFill="1" applyAlignment="1" applyProtection="1">
      <alignment horizontal="center" vertical="center"/>
    </xf>
    <xf numFmtId="0" fontId="23" fillId="84" borderId="0" xfId="252" applyFont="1" applyFill="1" applyAlignment="1" applyProtection="1">
      <alignment horizontal="center" vertical="center"/>
    </xf>
    <xf numFmtId="0" fontId="80" fillId="84" borderId="0" xfId="255" applyFont="1" applyFill="1" applyAlignment="1" applyProtection="1">
      <alignment horizontal="center" vertical="center"/>
    </xf>
    <xf numFmtId="0" fontId="64" fillId="84" borderId="84" xfId="253" applyFont="1" applyFill="1" applyBorder="1" applyAlignment="1" applyProtection="1">
      <alignment horizontal="center" vertical="center"/>
    </xf>
    <xf numFmtId="0" fontId="72" fillId="84" borderId="0" xfId="252" applyFont="1" applyFill="1" applyAlignment="1" applyProtection="1">
      <alignment horizontal="left" vertical="center"/>
    </xf>
    <xf numFmtId="49" fontId="67" fillId="84" borderId="0" xfId="250" applyNumberFormat="1" applyFont="1" applyFill="1" applyAlignment="1" applyProtection="1">
      <alignment horizontal="center" vertical="center" wrapText="1"/>
    </xf>
    <xf numFmtId="49" fontId="62" fillId="84" borderId="0" xfId="250" applyNumberFormat="1" applyFont="1" applyFill="1" applyAlignment="1" applyProtection="1">
      <alignment horizontal="center" vertical="center" wrapText="1"/>
    </xf>
    <xf numFmtId="0" fontId="62" fillId="84" borderId="0" xfId="253" applyFont="1" applyFill="1" applyAlignment="1" applyProtection="1">
      <alignment horizontal="right" vertical="center"/>
    </xf>
    <xf numFmtId="0" fontId="64" fillId="84" borderId="84" xfId="253" applyFont="1" applyFill="1" applyBorder="1" applyAlignment="1" applyProtection="1">
      <alignment horizontal="left" vertical="center"/>
    </xf>
    <xf numFmtId="0" fontId="62" fillId="84" borderId="0" xfId="253" applyFont="1" applyFill="1" applyAlignment="1" applyProtection="1">
      <alignment vertical="center"/>
    </xf>
    <xf numFmtId="0" fontId="64" fillId="84" borderId="84" xfId="253" applyFont="1" applyFill="1" applyBorder="1" applyAlignment="1" applyProtection="1">
      <alignment vertical="center"/>
    </xf>
    <xf numFmtId="0" fontId="2" fillId="84" borderId="84" xfId="253" applyFont="1" applyFill="1" applyBorder="1" applyAlignment="1" applyProtection="1">
      <alignment vertical="center"/>
    </xf>
    <xf numFmtId="0" fontId="80" fillId="84" borderId="71" xfId="255" applyFont="1" applyFill="1" applyBorder="1" applyAlignment="1" applyProtection="1">
      <alignment horizontal="center" vertical="center"/>
    </xf>
    <xf numFmtId="0" fontId="2" fillId="84" borderId="85" xfId="253" applyFont="1" applyFill="1" applyBorder="1" applyAlignment="1" applyProtection="1">
      <alignment horizontal="center" vertical="center"/>
    </xf>
    <xf numFmtId="0" fontId="2" fillId="84" borderId="30" xfId="253" applyFont="1" applyFill="1" applyBorder="1" applyAlignment="1" applyProtection="1">
      <alignment horizontal="center" vertical="center"/>
    </xf>
    <xf numFmtId="0" fontId="62" fillId="84" borderId="30" xfId="253" applyFont="1" applyFill="1" applyBorder="1" applyAlignment="1" applyProtection="1">
      <alignment horizontal="center" vertical="center"/>
    </xf>
    <xf numFmtId="0" fontId="64" fillId="84" borderId="0" xfId="253" applyFont="1" applyFill="1" applyAlignment="1" applyProtection="1">
      <alignment horizontal="left" vertical="center"/>
    </xf>
    <xf numFmtId="0" fontId="2" fillId="84" borderId="0" xfId="250" applyFill="1" applyAlignment="1" applyProtection="1">
      <alignment horizontal="right" vertical="center"/>
    </xf>
    <xf numFmtId="0" fontId="80" fillId="296" borderId="47" xfId="255" applyFont="1" applyFill="1" applyBorder="1" applyAlignment="1" applyProtection="1">
      <alignment horizontal="center" vertical="center"/>
    </xf>
    <xf numFmtId="0" fontId="72" fillId="298" borderId="1" xfId="142" applyFont="1" applyFill="1" applyBorder="1" applyAlignment="1" applyProtection="1">
      <alignment horizontal="center" vertical="center" shrinkToFit="1"/>
    </xf>
    <xf numFmtId="0" fontId="80" fillId="84" borderId="1" xfId="255" applyFont="1" applyFill="1" applyBorder="1" applyAlignment="1" applyProtection="1">
      <alignment horizontal="center" vertical="center"/>
    </xf>
    <xf numFmtId="0" fontId="2" fillId="84" borderId="58" xfId="253" applyFont="1" applyFill="1" applyBorder="1" applyAlignment="1" applyProtection="1">
      <alignment vertical="center"/>
    </xf>
    <xf numFmtId="170" fontId="3" fillId="84" borderId="0" xfId="253" applyNumberFormat="1" applyFont="1" applyFill="1" applyAlignment="1" applyProtection="1">
      <alignment vertical="center"/>
      <protection hidden="1"/>
    </xf>
    <xf numFmtId="0" fontId="84" fillId="84" borderId="0" xfId="253" applyFont="1" applyFill="1" applyAlignment="1" applyProtection="1">
      <alignment vertical="center"/>
    </xf>
    <xf numFmtId="0" fontId="67" fillId="84" borderId="0" xfId="253" applyFont="1" applyFill="1" applyAlignment="1" applyProtection="1">
      <alignment horizontal="center" vertical="center"/>
    </xf>
    <xf numFmtId="0" fontId="2" fillId="84" borderId="30" xfId="250" applyFill="1" applyBorder="1" applyAlignment="1" applyProtection="1">
      <alignment vertical="center"/>
    </xf>
    <xf numFmtId="0" fontId="82" fillId="84" borderId="62" xfId="254" applyFont="1" applyFill="1" applyBorder="1" applyAlignment="1" applyProtection="1">
      <alignment horizontal="center" vertical="center"/>
    </xf>
    <xf numFmtId="0" fontId="23" fillId="84" borderId="30" xfId="252" applyFont="1" applyFill="1" applyBorder="1" applyAlignment="1" applyProtection="1">
      <alignment vertical="center"/>
    </xf>
    <xf numFmtId="0" fontId="70" fillId="84" borderId="1" xfId="138" applyFont="1" applyFill="1" applyBorder="1" applyAlignment="1">
      <alignment horizontal="center" vertical="center" shrinkToFit="1"/>
    </xf>
    <xf numFmtId="0" fontId="85" fillId="84" borderId="1" xfId="0" applyFont="1" applyFill="1" applyBorder="1" applyAlignment="1">
      <alignment horizontal="center"/>
    </xf>
    <xf numFmtId="0" fontId="23" fillId="84" borderId="62" xfId="252" applyFont="1" applyFill="1" applyBorder="1" applyAlignment="1" applyProtection="1">
      <alignment vertical="center"/>
    </xf>
    <xf numFmtId="0" fontId="7" fillId="84" borderId="0" xfId="252" applyFont="1" applyFill="1" applyAlignment="1" applyProtection="1">
      <alignment vertical="center"/>
    </xf>
    <xf numFmtId="0" fontId="70" fillId="84" borderId="1" xfId="0" applyFont="1" applyFill="1" applyBorder="1" applyAlignment="1">
      <alignment horizontal="center" vertical="center"/>
    </xf>
    <xf numFmtId="0" fontId="70" fillId="299" borderId="1" xfId="138" applyFont="1" applyFill="1" applyBorder="1" applyAlignment="1">
      <alignment horizontal="center" vertical="center" shrinkToFit="1"/>
    </xf>
    <xf numFmtId="0" fontId="71" fillId="300" borderId="1" xfId="0" applyFont="1" applyFill="1" applyBorder="1" applyAlignment="1">
      <alignment horizontal="center" vertical="center"/>
    </xf>
    <xf numFmtId="0" fontId="72" fillId="296" borderId="1" xfId="142" applyFont="1" applyFill="1" applyBorder="1" applyAlignment="1" applyProtection="1">
      <alignment horizontal="center" vertical="center" shrinkToFit="1"/>
    </xf>
    <xf numFmtId="0" fontId="73" fillId="298" borderId="1" xfId="142" applyFont="1" applyFill="1" applyBorder="1" applyAlignment="1" applyProtection="1">
      <alignment horizontal="center" vertical="center" shrinkToFit="1"/>
    </xf>
    <xf numFmtId="0" fontId="74" fillId="301" borderId="1" xfId="138" applyFont="1" applyFill="1" applyBorder="1" applyAlignment="1">
      <alignment horizontal="center" vertical="center" shrinkToFit="1"/>
    </xf>
    <xf numFmtId="0" fontId="74" fillId="84" borderId="1" xfId="138" applyFont="1" applyFill="1" applyBorder="1" applyAlignment="1">
      <alignment horizontal="center" vertical="center" shrinkToFit="1"/>
    </xf>
    <xf numFmtId="0" fontId="74" fillId="302" borderId="1" xfId="138" applyFont="1" applyFill="1" applyBorder="1" applyAlignment="1">
      <alignment horizontal="center" vertical="center" shrinkToFit="1"/>
    </xf>
    <xf numFmtId="0" fontId="74" fillId="303" borderId="15" xfId="138" applyFont="1" applyFill="1" applyBorder="1" applyAlignment="1">
      <alignment horizontal="center" vertical="center" shrinkToFit="1"/>
    </xf>
    <xf numFmtId="0" fontId="0" fillId="84" borderId="0" xfId="0" applyFill="1" applyAlignment="1">
      <alignment horizontal="center" vertical="center"/>
    </xf>
    <xf numFmtId="0" fontId="80" fillId="84" borderId="0" xfId="252" applyFont="1" applyFill="1" applyAlignment="1" applyProtection="1">
      <alignment horizontal="center" vertical="center"/>
    </xf>
    <xf numFmtId="0" fontId="79" fillId="84" borderId="29" xfId="253" applyFont="1" applyFill="1" applyBorder="1" applyAlignment="1" applyProtection="1">
      <alignment vertical="center"/>
    </xf>
    <xf numFmtId="0" fontId="2" fillId="84" borderId="52" xfId="253" applyFont="1" applyFill="1" applyBorder="1" applyAlignment="1" applyProtection="1">
      <alignment vertical="center"/>
    </xf>
    <xf numFmtId="0" fontId="60" fillId="84" borderId="0" xfId="253" applyFont="1" applyFill="1" applyAlignment="1" applyProtection="1">
      <alignment vertical="center"/>
    </xf>
    <xf numFmtId="0" fontId="7" fillId="84" borderId="0" xfId="250" applyFont="1" applyFill="1" applyAlignment="1" applyProtection="1">
      <alignment horizontal="left" vertical="center" wrapText="1"/>
    </xf>
    <xf numFmtId="0" fontId="2" fillId="84" borderId="30" xfId="253" applyFont="1" applyFill="1" applyBorder="1" applyAlignment="1" applyProtection="1">
      <alignment vertical="center"/>
    </xf>
    <xf numFmtId="0" fontId="82" fillId="84" borderId="0" xfId="252" applyFont="1" applyFill="1" applyAlignment="1" applyProtection="1">
      <alignment horizontal="center" vertical="center"/>
    </xf>
    <xf numFmtId="0" fontId="79" fillId="84" borderId="35" xfId="253" applyFont="1" applyFill="1" applyBorder="1" applyAlignment="1" applyProtection="1">
      <alignment horizontal="center" vertical="center"/>
    </xf>
    <xf numFmtId="0" fontId="2" fillId="84" borderId="0" xfId="250" applyFill="1" applyAlignment="1" applyProtection="1">
      <alignment horizontal="left" vertical="center"/>
    </xf>
    <xf numFmtId="0" fontId="65" fillId="84" borderId="0" xfId="252" applyFont="1" applyFill="1" applyAlignment="1" applyProtection="1">
      <alignment horizontal="center" vertical="center"/>
    </xf>
    <xf numFmtId="0" fontId="2" fillId="296" borderId="29" xfId="250" applyFill="1" applyBorder="1" applyAlignment="1" applyProtection="1">
      <alignment horizontal="left" vertical="center"/>
    </xf>
    <xf numFmtId="0" fontId="2" fillId="296" borderId="29" xfId="250" applyFill="1" applyBorder="1" applyAlignment="1" applyProtection="1">
      <alignment vertical="center"/>
    </xf>
    <xf numFmtId="0" fontId="2" fillId="296" borderId="29" xfId="253" applyFont="1" applyFill="1" applyBorder="1" applyAlignment="1" applyProtection="1">
      <alignment vertical="center"/>
    </xf>
    <xf numFmtId="0" fontId="80" fillId="296" borderId="21" xfId="252" applyFont="1" applyFill="1" applyBorder="1" applyAlignment="1" applyProtection="1">
      <alignment horizontal="center" vertical="center"/>
    </xf>
    <xf numFmtId="0" fontId="98" fillId="84" borderId="0" xfId="160" applyFont="1" applyFill="1" applyAlignment="1">
      <alignment horizontal="center" vertical="center"/>
    </xf>
    <xf numFmtId="0" fontId="90" fillId="84" borderId="0" xfId="252" applyFont="1" applyFill="1" applyAlignment="1" applyProtection="1">
      <alignment horizontal="center" vertical="center"/>
    </xf>
    <xf numFmtId="0" fontId="16" fillId="84" borderId="0" xfId="0" applyFont="1" applyFill="1" applyAlignment="1">
      <alignment horizontal="center" vertical="center"/>
    </xf>
    <xf numFmtId="0" fontId="62" fillId="84" borderId="0" xfId="250" applyFont="1" applyFill="1" applyAlignment="1" applyProtection="1">
      <alignment horizontal="right" vertical="center"/>
    </xf>
    <xf numFmtId="0" fontId="105" fillId="84" borderId="0" xfId="0" applyFont="1" applyFill="1" applyAlignment="1">
      <alignment vertical="center"/>
    </xf>
    <xf numFmtId="0" fontId="106" fillId="84" borderId="0" xfId="160" applyFont="1" applyFill="1" applyAlignment="1">
      <alignment horizontal="center" vertical="center" shrinkToFit="1"/>
    </xf>
    <xf numFmtId="0" fontId="90" fillId="84" borderId="0" xfId="0" applyFont="1" applyFill="1" applyAlignment="1">
      <alignment horizontal="center" vertical="center"/>
    </xf>
    <xf numFmtId="0" fontId="76" fillId="84" borderId="0" xfId="160" applyFont="1" applyFill="1" applyAlignment="1">
      <alignment horizontal="right" vertical="center"/>
    </xf>
    <xf numFmtId="0" fontId="107" fillId="84" borderId="0" xfId="256" applyFont="1" applyFill="1" applyAlignment="1" applyProtection="1">
      <alignment horizontal="center" vertical="center"/>
    </xf>
    <xf numFmtId="0" fontId="107" fillId="84" borderId="0" xfId="160" applyFont="1" applyFill="1" applyAlignment="1">
      <alignment horizontal="left" vertical="center"/>
    </xf>
    <xf numFmtId="0" fontId="107" fillId="84" borderId="0" xfId="160" applyFont="1" applyFill="1" applyAlignment="1">
      <alignment horizontal="center" vertical="center"/>
    </xf>
    <xf numFmtId="0" fontId="81" fillId="84" borderId="64" xfId="0" applyFont="1" applyFill="1" applyBorder="1" applyAlignment="1">
      <alignment horizontal="center"/>
    </xf>
    <xf numFmtId="0" fontId="4" fillId="84" borderId="81" xfId="160" applyFill="1" applyBorder="1" applyAlignment="1">
      <alignment vertical="center"/>
    </xf>
    <xf numFmtId="0" fontId="90" fillId="84" borderId="0" xfId="0" applyFont="1" applyFill="1" applyAlignment="1">
      <alignment vertical="center"/>
    </xf>
    <xf numFmtId="0" fontId="4" fillId="84" borderId="40" xfId="160" applyFill="1" applyBorder="1" applyAlignment="1">
      <alignment vertical="center"/>
    </xf>
    <xf numFmtId="0" fontId="108" fillId="84" borderId="0" xfId="0" applyFont="1" applyFill="1" applyAlignment="1">
      <alignment horizontal="right" vertical="center"/>
    </xf>
    <xf numFmtId="0" fontId="62" fillId="84" borderId="0" xfId="250" applyFont="1" applyFill="1" applyAlignment="1" applyProtection="1">
      <alignment horizontal="right" vertical="top"/>
    </xf>
    <xf numFmtId="0" fontId="69" fillId="84" borderId="0" xfId="160" applyFont="1" applyFill="1" applyAlignment="1">
      <alignment horizontal="center" vertical="center"/>
    </xf>
    <xf numFmtId="0" fontId="109" fillId="84" borderId="0" xfId="160" applyFont="1" applyFill="1" applyAlignment="1">
      <alignment horizontal="center" vertical="center"/>
    </xf>
    <xf numFmtId="0" fontId="33" fillId="84" borderId="0" xfId="0" applyFont="1" applyFill="1" applyAlignment="1">
      <alignment horizontal="center" vertical="center"/>
    </xf>
    <xf numFmtId="0" fontId="57" fillId="84" borderId="0" xfId="160" applyFont="1" applyFill="1" applyAlignment="1">
      <alignment horizontal="left" vertical="center"/>
    </xf>
    <xf numFmtId="0" fontId="90" fillId="124" borderId="0" xfId="160" applyFont="1" applyFill="1" applyAlignment="1">
      <alignment horizontal="center" vertical="center"/>
    </xf>
    <xf numFmtId="0" fontId="57" fillId="84" borderId="0" xfId="0" applyFont="1" applyFill="1" applyAlignment="1">
      <alignment vertical="center"/>
    </xf>
    <xf numFmtId="0" fontId="79" fillId="84" borderId="0" xfId="160" applyFont="1" applyFill="1" applyAlignment="1">
      <alignment horizontal="right" vertical="center"/>
    </xf>
    <xf numFmtId="0" fontId="110" fillId="304" borderId="0" xfId="258" applyFont="1" applyFill="1" applyAlignment="1" applyProtection="1">
      <alignment horizontal="center" vertical="center" shrinkToFit="1"/>
    </xf>
    <xf numFmtId="0" fontId="2" fillId="84" borderId="35" xfId="253" applyFont="1" applyFill="1" applyBorder="1" applyAlignment="1" applyProtection="1">
      <alignment vertical="center"/>
    </xf>
    <xf numFmtId="0" fontId="2" fillId="84" borderId="34" xfId="253" applyFont="1" applyFill="1" applyBorder="1" applyAlignment="1" applyProtection="1">
      <alignment vertical="center"/>
    </xf>
    <xf numFmtId="0" fontId="2" fillId="84" borderId="33" xfId="250" applyFill="1" applyBorder="1" applyAlignment="1" applyProtection="1">
      <alignment vertical="center"/>
    </xf>
    <xf numFmtId="0" fontId="2" fillId="84" borderId="35" xfId="250" applyFill="1" applyBorder="1" applyAlignment="1" applyProtection="1">
      <alignment vertical="center"/>
    </xf>
    <xf numFmtId="0" fontId="2" fillId="84" borderId="41" xfId="250" applyFill="1" applyBorder="1" applyAlignment="1" applyProtection="1">
      <alignment vertical="center"/>
    </xf>
    <xf numFmtId="0" fontId="62" fillId="84" borderId="30" xfId="250" applyFont="1" applyFill="1" applyBorder="1" applyAlignment="1" applyProtection="1">
      <alignment horizontal="center" vertical="center"/>
    </xf>
    <xf numFmtId="0" fontId="7" fillId="84" borderId="30" xfId="253" applyFont="1" applyFill="1" applyBorder="1" applyAlignment="1" applyProtection="1">
      <alignment vertical="center"/>
    </xf>
    <xf numFmtId="0" fontId="84" fillId="84" borderId="30" xfId="250" applyFont="1" applyFill="1" applyBorder="1" applyAlignment="1" applyProtection="1">
      <alignment horizontal="right" vertical="center"/>
    </xf>
    <xf numFmtId="0" fontId="23" fillId="84" borderId="0" xfId="0" applyFont="1" applyFill="1"/>
    <xf numFmtId="0" fontId="72" fillId="84" borderId="102" xfId="253" applyFont="1" applyFill="1" applyBorder="1" applyAlignment="1" applyProtection="1">
      <alignment horizontal="center" vertical="center"/>
    </xf>
    <xf numFmtId="0" fontId="111" fillId="84" borderId="0" xfId="160" applyFont="1" applyFill="1" applyAlignment="1">
      <alignment horizontal="center" vertical="center"/>
    </xf>
    <xf numFmtId="4" fontId="35" fillId="84" borderId="102" xfId="252" applyNumberFormat="1" applyFont="1" applyFill="1" applyBorder="1" applyProtection="1"/>
    <xf numFmtId="0" fontId="2" fillId="84" borderId="49" xfId="253" applyFont="1" applyFill="1" applyBorder="1" applyAlignment="1" applyProtection="1">
      <alignment vertical="center"/>
    </xf>
    <xf numFmtId="0" fontId="2" fillId="84" borderId="51" xfId="250" applyFill="1" applyBorder="1" applyAlignment="1" applyProtection="1">
      <alignment vertical="center"/>
    </xf>
    <xf numFmtId="0" fontId="2" fillId="84" borderId="29" xfId="250" applyFill="1" applyBorder="1" applyAlignment="1" applyProtection="1">
      <alignment vertical="center"/>
    </xf>
    <xf numFmtId="0" fontId="86" fillId="84" borderId="0" xfId="253" applyFont="1" applyFill="1" applyAlignment="1" applyProtection="1">
      <alignment vertical="center"/>
    </xf>
    <xf numFmtId="4" fontId="35" fillId="84" borderId="0" xfId="252" applyNumberFormat="1" applyFont="1" applyFill="1" applyProtection="1"/>
    <xf numFmtId="0" fontId="4" fillId="84" borderId="102" xfId="160" applyFill="1" applyBorder="1" applyAlignment="1">
      <alignment vertical="center"/>
    </xf>
    <xf numFmtId="0" fontId="23" fillId="84" borderId="0" xfId="160" applyFont="1" applyFill="1" applyAlignment="1">
      <alignment horizontal="left" vertical="center"/>
    </xf>
    <xf numFmtId="0" fontId="23" fillId="84" borderId="0" xfId="252" applyFont="1" applyFill="1" applyAlignment="1" applyProtection="1">
      <alignment horizontal="left" vertical="center"/>
    </xf>
    <xf numFmtId="0" fontId="23" fillId="84" borderId="102" xfId="0" applyFont="1" applyFill="1" applyBorder="1"/>
    <xf numFmtId="0" fontId="107" fillId="84" borderId="0" xfId="160" applyFont="1" applyFill="1" applyAlignment="1">
      <alignment horizontal="right" vertical="center"/>
    </xf>
    <xf numFmtId="0" fontId="57" fillId="84" borderId="0" xfId="0" applyFont="1" applyFill="1" applyAlignment="1">
      <alignment horizontal="left" vertical="center"/>
    </xf>
    <xf numFmtId="0" fontId="80" fillId="84" borderId="2" xfId="255" applyFont="1" applyFill="1" applyBorder="1" applyAlignment="1" applyProtection="1">
      <alignment horizontal="center" vertical="center"/>
    </xf>
    <xf numFmtId="0" fontId="115" fillId="84" borderId="0" xfId="160" applyFont="1" applyFill="1" applyAlignment="1">
      <alignment vertical="center" wrapText="1"/>
    </xf>
    <xf numFmtId="0" fontId="118" fillId="84" borderId="0" xfId="160" applyFont="1" applyFill="1" applyAlignment="1">
      <alignment horizontal="center" vertical="center"/>
    </xf>
    <xf numFmtId="0" fontId="119" fillId="84" borderId="0" xfId="160" applyFont="1" applyFill="1" applyAlignment="1">
      <alignment horizontal="center" vertical="center" shrinkToFit="1"/>
    </xf>
    <xf numFmtId="0" fontId="115" fillId="84" borderId="0" xfId="160" applyFont="1" applyFill="1" applyAlignment="1">
      <alignment horizontal="center" vertical="center" wrapText="1"/>
    </xf>
    <xf numFmtId="0" fontId="1" fillId="84" borderId="0" xfId="160" applyFont="1" applyFill="1" applyAlignment="1">
      <alignment vertical="center"/>
    </xf>
    <xf numFmtId="0" fontId="79" fillId="84" borderId="0" xfId="160" applyFont="1" applyFill="1" applyAlignment="1">
      <alignment horizontal="center" vertical="center"/>
    </xf>
    <xf numFmtId="0" fontId="57" fillId="84" borderId="0" xfId="252" applyFont="1" applyFill="1" applyAlignment="1" applyProtection="1">
      <alignment horizontal="right" vertical="center"/>
    </xf>
    <xf numFmtId="0" fontId="57" fillId="84" borderId="0" xfId="160" applyFont="1" applyFill="1" applyAlignment="1">
      <alignment horizontal="center" vertical="center"/>
    </xf>
    <xf numFmtId="0" fontId="120" fillId="84" borderId="0" xfId="142" applyFont="1" applyFill="1" applyAlignment="1" applyProtection="1">
      <alignment horizontal="center" vertical="center" shrinkToFit="1"/>
    </xf>
    <xf numFmtId="0" fontId="2" fillId="84" borderId="0" xfId="259" applyFont="1" applyFill="1" applyAlignment="1" applyProtection="1">
      <alignment vertical="center"/>
    </xf>
    <xf numFmtId="0" fontId="4" fillId="84" borderId="0" xfId="160" applyFill="1" applyAlignment="1">
      <alignment horizontal="center" vertical="center"/>
    </xf>
    <xf numFmtId="0" fontId="112" fillId="84" borderId="0" xfId="160" applyFont="1" applyFill="1" applyAlignment="1">
      <alignment horizontal="center" vertical="center"/>
    </xf>
    <xf numFmtId="0" fontId="68" fillId="84" borderId="0" xfId="254" applyFont="1" applyFill="1" applyAlignment="1" applyProtection="1">
      <alignment horizontal="center" vertical="center"/>
    </xf>
    <xf numFmtId="0" fontId="122" fillId="84" borderId="0" xfId="160" applyFont="1" applyFill="1" applyAlignment="1">
      <alignment horizontal="center" vertical="center"/>
    </xf>
    <xf numFmtId="0" fontId="64" fillId="84" borderId="0" xfId="253" applyFont="1" applyFill="1" applyAlignment="1" applyProtection="1">
      <alignment vertical="center"/>
    </xf>
    <xf numFmtId="0" fontId="79" fillId="84" borderId="0" xfId="253" applyFont="1" applyFill="1" applyAlignment="1" applyProtection="1">
      <alignment horizontal="left" vertical="center"/>
    </xf>
    <xf numFmtId="0" fontId="80" fillId="296" borderId="101" xfId="255" applyFont="1" applyFill="1" applyBorder="1" applyAlignment="1" applyProtection="1">
      <alignment horizontal="center" vertical="center"/>
    </xf>
    <xf numFmtId="0" fontId="94" fillId="84" borderId="0" xfId="253" applyFont="1" applyFill="1" applyAlignment="1" applyProtection="1">
      <alignment horizontal="center" vertical="center"/>
    </xf>
    <xf numFmtId="0" fontId="31" fillId="84" borderId="105" xfId="0" applyFont="1" applyFill="1" applyBorder="1" applyAlignment="1">
      <alignment horizontal="center" vertical="center"/>
    </xf>
    <xf numFmtId="0" fontId="74" fillId="296" borderId="106" xfId="138" applyFont="1" applyFill="1" applyBorder="1" applyAlignment="1">
      <alignment horizontal="center" vertical="center" shrinkToFit="1"/>
    </xf>
    <xf numFmtId="0" fontId="57" fillId="84" borderId="0" xfId="0" applyFont="1" applyFill="1" applyAlignment="1">
      <alignment horizontal="center" vertical="center"/>
    </xf>
    <xf numFmtId="0" fontId="35" fillId="84" borderId="0" xfId="160" applyFont="1" applyFill="1" applyAlignment="1">
      <alignment horizontal="center" vertical="center"/>
    </xf>
    <xf numFmtId="0" fontId="74" fillId="301" borderId="107" xfId="138" applyFont="1" applyFill="1" applyBorder="1" applyAlignment="1">
      <alignment horizontal="center" vertical="center" shrinkToFit="1"/>
    </xf>
    <xf numFmtId="0" fontId="74" fillId="296" borderId="107" xfId="138" applyFont="1" applyFill="1" applyBorder="1" applyAlignment="1">
      <alignment horizontal="center" vertical="center" shrinkToFit="1"/>
    </xf>
    <xf numFmtId="0" fontId="23" fillId="84" borderId="41" xfId="0" applyFont="1" applyFill="1" applyBorder="1" applyAlignment="1">
      <alignment vertical="center"/>
    </xf>
    <xf numFmtId="0" fontId="2" fillId="84" borderId="108" xfId="253" applyFont="1" applyFill="1" applyBorder="1" applyAlignment="1" applyProtection="1">
      <alignment vertical="center"/>
    </xf>
    <xf numFmtId="0" fontId="2" fillId="84" borderId="109" xfId="253" applyFont="1" applyFill="1" applyBorder="1" applyAlignment="1" applyProtection="1">
      <alignment vertical="center"/>
    </xf>
    <xf numFmtId="0" fontId="70" fillId="305" borderId="110" xfId="138" applyFont="1" applyFill="1" applyBorder="1" applyAlignment="1">
      <alignment horizontal="center" vertical="center" shrinkToFit="1"/>
    </xf>
    <xf numFmtId="0" fontId="4" fillId="84" borderId="114" xfId="160" applyFill="1" applyBorder="1" applyAlignment="1">
      <alignment vertical="center"/>
    </xf>
    <xf numFmtId="0" fontId="4" fillId="84" borderId="115" xfId="160" applyFill="1" applyBorder="1" applyAlignment="1">
      <alignment vertical="center"/>
    </xf>
    <xf numFmtId="0" fontId="35" fillId="84" borderId="115" xfId="160" applyFont="1" applyFill="1" applyBorder="1" applyAlignment="1">
      <alignment horizontal="center" vertical="center"/>
    </xf>
    <xf numFmtId="0" fontId="2" fillId="84" borderId="115" xfId="253" applyFont="1" applyFill="1" applyBorder="1" applyAlignment="1" applyProtection="1">
      <alignment vertical="center"/>
    </xf>
    <xf numFmtId="0" fontId="7" fillId="84" borderId="112" xfId="253" applyFont="1" applyFill="1" applyBorder="1" applyAlignment="1" applyProtection="1">
      <alignment vertical="center"/>
    </xf>
    <xf numFmtId="0" fontId="4" fillId="84" borderId="90" xfId="160" applyFill="1" applyBorder="1" applyAlignment="1">
      <alignment vertical="center"/>
    </xf>
    <xf numFmtId="0" fontId="0" fillId="84" borderId="0" xfId="0" applyFill="1" applyAlignment="1">
      <alignment horizontal="left" vertical="center"/>
    </xf>
    <xf numFmtId="0" fontId="74" fillId="303" borderId="1" xfId="138" applyFont="1" applyFill="1" applyBorder="1" applyAlignment="1">
      <alignment horizontal="center" vertical="center" shrinkToFit="1"/>
    </xf>
    <xf numFmtId="0" fontId="74" fillId="84" borderId="0" xfId="142" applyFont="1" applyFill="1" applyAlignment="1" applyProtection="1">
      <alignment vertical="center" shrinkToFit="1"/>
    </xf>
    <xf numFmtId="0" fontId="73" fillId="84" borderId="90" xfId="142" applyFont="1" applyFill="1" applyBorder="1" applyAlignment="1" applyProtection="1">
      <alignment horizontal="center" vertical="center" shrinkToFit="1"/>
    </xf>
    <xf numFmtId="0" fontId="74" fillId="296" borderId="1" xfId="138" applyFont="1" applyFill="1" applyBorder="1" applyAlignment="1">
      <alignment horizontal="center" vertical="center" shrinkToFit="1"/>
    </xf>
    <xf numFmtId="0" fontId="74" fillId="84" borderId="98" xfId="142" applyFont="1" applyFill="1" applyBorder="1" applyAlignment="1" applyProtection="1">
      <alignment horizontal="center" vertical="center" shrinkToFit="1"/>
    </xf>
    <xf numFmtId="0" fontId="72" fillId="84" borderId="0" xfId="253" applyFont="1" applyFill="1" applyAlignment="1" applyProtection="1">
      <alignment horizontal="left" vertical="center"/>
    </xf>
    <xf numFmtId="0" fontId="70" fillId="298" borderId="99" xfId="138" applyFont="1" applyFill="1" applyBorder="1" applyAlignment="1">
      <alignment horizontal="center" vertical="center" shrinkToFit="1"/>
    </xf>
    <xf numFmtId="0" fontId="74" fillId="302" borderId="101" xfId="138" applyFont="1" applyFill="1" applyBorder="1" applyAlignment="1">
      <alignment horizontal="center" vertical="center" shrinkToFit="1"/>
    </xf>
    <xf numFmtId="0" fontId="66" fillId="84" borderId="15" xfId="255" applyFont="1" applyFill="1" applyBorder="1" applyAlignment="1" applyProtection="1">
      <alignment horizontal="center" vertical="center"/>
    </xf>
    <xf numFmtId="0" fontId="66" fillId="84" borderId="88" xfId="255" applyFont="1" applyFill="1" applyBorder="1" applyAlignment="1" applyProtection="1">
      <alignment horizontal="center" vertical="center"/>
    </xf>
    <xf numFmtId="0" fontId="80" fillId="84" borderId="15" xfId="255" applyFont="1" applyFill="1" applyBorder="1" applyAlignment="1" applyProtection="1">
      <alignment horizontal="center" vertical="center"/>
    </xf>
    <xf numFmtId="0" fontId="23" fillId="84" borderId="49" xfId="0" applyFont="1" applyFill="1" applyBorder="1" applyAlignment="1">
      <alignment vertical="center"/>
    </xf>
    <xf numFmtId="0" fontId="7" fillId="84" borderId="103" xfId="253" applyFont="1" applyFill="1" applyBorder="1" applyAlignment="1" applyProtection="1">
      <alignment horizontal="center" vertical="center"/>
    </xf>
    <xf numFmtId="0" fontId="7" fillId="84" borderId="104" xfId="253" applyFont="1" applyFill="1" applyBorder="1" applyAlignment="1" applyProtection="1">
      <alignment horizontal="center" vertical="center"/>
    </xf>
    <xf numFmtId="0" fontId="23" fillId="84" borderId="87" xfId="252" applyFont="1" applyFill="1" applyBorder="1" applyAlignment="1" applyProtection="1">
      <alignment horizontal="center" vertical="center"/>
    </xf>
    <xf numFmtId="0" fontId="66" fillId="84" borderId="2" xfId="255" applyFont="1" applyFill="1" applyBorder="1" applyAlignment="1" applyProtection="1">
      <alignment horizontal="center" vertical="center"/>
    </xf>
    <xf numFmtId="0" fontId="2" fillId="84" borderId="30" xfId="253" applyFont="1" applyFill="1" applyBorder="1" applyAlignment="1" applyProtection="1">
      <alignment horizontal="left" vertical="center"/>
    </xf>
    <xf numFmtId="0" fontId="2" fillId="84" borderId="49" xfId="250" applyFill="1" applyBorder="1" applyAlignment="1" applyProtection="1">
      <alignment horizontal="left" vertical="center"/>
    </xf>
    <xf numFmtId="0" fontId="2" fillId="84" borderId="33" xfId="253" applyFont="1" applyFill="1" applyBorder="1" applyAlignment="1" applyProtection="1">
      <alignment horizontal="left" vertical="center"/>
    </xf>
    <xf numFmtId="0" fontId="2" fillId="84" borderId="41" xfId="253" applyFont="1" applyFill="1" applyBorder="1" applyAlignment="1" applyProtection="1">
      <alignment horizontal="left" vertical="center"/>
    </xf>
    <xf numFmtId="0" fontId="62" fillId="84" borderId="41" xfId="250" applyFont="1" applyFill="1" applyBorder="1" applyAlignment="1" applyProtection="1">
      <alignment horizontal="left" vertical="center"/>
    </xf>
    <xf numFmtId="0" fontId="23" fillId="84" borderId="30" xfId="160" applyFont="1" applyFill="1" applyBorder="1" applyAlignment="1">
      <alignment vertical="center"/>
    </xf>
    <xf numFmtId="0" fontId="80" fillId="84" borderId="0" xfId="254" applyFont="1" applyFill="1" applyAlignment="1" applyProtection="1">
      <alignment horizontal="left" vertical="center"/>
    </xf>
    <xf numFmtId="0" fontId="23" fillId="84" borderId="49" xfId="160" applyFont="1" applyFill="1" applyBorder="1" applyAlignment="1">
      <alignment vertical="center"/>
    </xf>
    <xf numFmtId="0" fontId="54" fillId="84" borderId="0" xfId="160" applyFont="1" applyFill="1" applyAlignment="1">
      <alignment vertical="center"/>
    </xf>
    <xf numFmtId="3" fontId="4" fillId="84" borderId="29" xfId="160" applyNumberFormat="1" applyFill="1" applyBorder="1" applyAlignment="1">
      <alignment vertical="center"/>
    </xf>
    <xf numFmtId="3" fontId="23" fillId="84" borderId="29" xfId="160" applyNumberFormat="1" applyFont="1" applyFill="1" applyBorder="1" applyAlignment="1">
      <alignment vertical="center"/>
    </xf>
    <xf numFmtId="3" fontId="4" fillId="84" borderId="0" xfId="160" applyNumberFormat="1" applyFill="1" applyAlignment="1">
      <alignment vertical="center"/>
    </xf>
    <xf numFmtId="0" fontId="23" fillId="84" borderId="29" xfId="160" applyFont="1" applyFill="1" applyBorder="1" applyAlignment="1">
      <alignment vertical="center"/>
    </xf>
    <xf numFmtId="3" fontId="4" fillId="84" borderId="35" xfId="160" applyNumberFormat="1" applyFill="1" applyBorder="1" applyAlignment="1">
      <alignment vertical="center"/>
    </xf>
    <xf numFmtId="3" fontId="4" fillId="84" borderId="34" xfId="160" applyNumberFormat="1" applyFill="1" applyBorder="1" applyAlignment="1">
      <alignment vertical="center"/>
    </xf>
    <xf numFmtId="3" fontId="4" fillId="84" borderId="30" xfId="160" applyNumberFormat="1" applyFill="1" applyBorder="1" applyAlignment="1">
      <alignment vertical="center"/>
    </xf>
    <xf numFmtId="3" fontId="114" fillId="84" borderId="30" xfId="160" applyNumberFormat="1" applyFont="1" applyFill="1" applyBorder="1" applyAlignment="1">
      <alignment vertical="center"/>
    </xf>
    <xf numFmtId="3" fontId="4" fillId="84" borderId="119" xfId="160" applyNumberFormat="1" applyFill="1" applyBorder="1" applyAlignment="1">
      <alignment vertical="center"/>
    </xf>
    <xf numFmtId="3" fontId="4" fillId="84" borderId="120" xfId="160" applyNumberFormat="1" applyFill="1" applyBorder="1" applyAlignment="1">
      <alignment vertical="center"/>
    </xf>
    <xf numFmtId="3" fontId="4" fillId="84" borderId="49" xfId="160" applyNumberFormat="1" applyFill="1" applyBorder="1" applyAlignment="1">
      <alignment vertical="center"/>
    </xf>
    <xf numFmtId="0" fontId="23" fillId="84" borderId="0" xfId="258" applyFill="1" applyAlignment="1" applyProtection="1">
      <alignment vertical="center"/>
    </xf>
    <xf numFmtId="0" fontId="86" fillId="296" borderId="33" xfId="252" applyFont="1" applyFill="1" applyBorder="1" applyAlignment="1" applyProtection="1">
      <alignment horizontal="left" vertical="center"/>
    </xf>
    <xf numFmtId="3" fontId="4" fillId="84" borderId="24" xfId="160" applyNumberFormat="1" applyFill="1" applyBorder="1" applyAlignment="1">
      <alignment vertical="center"/>
    </xf>
    <xf numFmtId="3" fontId="23" fillId="84" borderId="41" xfId="160" applyNumberFormat="1" applyFont="1" applyFill="1" applyBorder="1" applyAlignment="1">
      <alignment vertical="center"/>
    </xf>
    <xf numFmtId="3" fontId="4" fillId="84" borderId="41" xfId="160" applyNumberFormat="1" applyFill="1" applyBorder="1" applyAlignment="1">
      <alignment vertical="center"/>
    </xf>
    <xf numFmtId="3" fontId="125" fillId="84" borderId="24" xfId="160" applyNumberFormat="1" applyFont="1" applyFill="1" applyBorder="1" applyAlignment="1">
      <alignment vertical="center"/>
    </xf>
    <xf numFmtId="3" fontId="64" fillId="84" borderId="0" xfId="160" applyNumberFormat="1" applyFont="1" applyFill="1" applyAlignment="1">
      <alignment vertical="center"/>
    </xf>
    <xf numFmtId="0" fontId="124" fillId="0" borderId="0" xfId="252" applyFont="1" applyAlignment="1" applyProtection="1">
      <alignment horizontal="center" vertical="center"/>
    </xf>
    <xf numFmtId="0" fontId="54" fillId="84" borderId="33" xfId="160" applyFont="1" applyFill="1" applyBorder="1" applyAlignment="1">
      <alignment horizontal="center" vertical="center"/>
    </xf>
    <xf numFmtId="0" fontId="54" fillId="84" borderId="35" xfId="160" applyFont="1" applyFill="1" applyBorder="1" applyAlignment="1">
      <alignment horizontal="center" vertical="center"/>
    </xf>
    <xf numFmtId="0" fontId="54" fillId="84" borderId="41" xfId="160" applyFont="1" applyFill="1" applyBorder="1" applyAlignment="1">
      <alignment horizontal="center" vertical="center"/>
    </xf>
    <xf numFmtId="0" fontId="54" fillId="84" borderId="0" xfId="160" applyFont="1" applyFill="1" applyAlignment="1">
      <alignment horizontal="center" vertical="center"/>
    </xf>
    <xf numFmtId="0" fontId="54" fillId="84" borderId="51" xfId="160" applyFont="1" applyFill="1" applyBorder="1" applyAlignment="1">
      <alignment horizontal="center" vertical="center"/>
    </xf>
    <xf numFmtId="0" fontId="54" fillId="84" borderId="29" xfId="160" applyFont="1" applyFill="1" applyBorder="1" applyAlignment="1">
      <alignment horizontal="center" vertical="center"/>
    </xf>
    <xf numFmtId="0" fontId="23" fillId="84" borderId="59" xfId="252" applyFont="1" applyFill="1" applyBorder="1" applyAlignment="1" applyProtection="1">
      <alignment horizontal="center" vertical="center"/>
    </xf>
    <xf numFmtId="0" fontId="23" fillId="84" borderId="60" xfId="252" applyFont="1" applyFill="1" applyBorder="1" applyAlignment="1" applyProtection="1">
      <alignment horizontal="center" vertical="center"/>
    </xf>
    <xf numFmtId="0" fontId="23" fillId="84" borderId="61" xfId="252" applyFont="1" applyFill="1" applyBorder="1" applyAlignment="1" applyProtection="1">
      <alignment horizontal="center" vertical="center"/>
    </xf>
    <xf numFmtId="0" fontId="23" fillId="84" borderId="63" xfId="252" applyFont="1" applyFill="1" applyBorder="1" applyAlignment="1" applyProtection="1">
      <alignment horizontal="center" vertical="center"/>
    </xf>
    <xf numFmtId="0" fontId="23" fillId="84" borderId="0" xfId="252" applyFont="1" applyFill="1" applyAlignment="1" applyProtection="1">
      <alignment horizontal="center" vertical="center"/>
    </xf>
    <xf numFmtId="0" fontId="23" fillId="84" borderId="62" xfId="252" applyFont="1" applyFill="1" applyBorder="1" applyAlignment="1" applyProtection="1">
      <alignment horizontal="center" vertical="center"/>
    </xf>
    <xf numFmtId="0" fontId="23" fillId="84" borderId="70" xfId="252" applyFont="1" applyFill="1" applyBorder="1" applyAlignment="1" applyProtection="1">
      <alignment horizontal="center" vertical="center"/>
    </xf>
    <xf numFmtId="0" fontId="23" fillId="84" borderId="71" xfId="252" applyFont="1" applyFill="1" applyBorder="1" applyAlignment="1" applyProtection="1">
      <alignment horizontal="center" vertical="center"/>
    </xf>
    <xf numFmtId="0" fontId="23" fillId="84" borderId="72" xfId="252" applyFont="1" applyFill="1" applyBorder="1" applyAlignment="1" applyProtection="1">
      <alignment horizontal="center" vertical="center"/>
    </xf>
    <xf numFmtId="0" fontId="54" fillId="84" borderId="57" xfId="160" applyFont="1" applyFill="1" applyBorder="1" applyAlignment="1">
      <alignment horizontal="center"/>
    </xf>
    <xf numFmtId="0" fontId="82" fillId="84" borderId="26" xfId="255" applyFont="1" applyFill="1" applyBorder="1" applyAlignment="1" applyProtection="1">
      <alignment horizontal="center" vertical="center"/>
    </xf>
    <xf numFmtId="0" fontId="82" fillId="84" borderId="116" xfId="255" applyFont="1" applyFill="1" applyBorder="1" applyAlignment="1" applyProtection="1">
      <alignment horizontal="center" vertical="center"/>
    </xf>
    <xf numFmtId="0" fontId="7" fillId="84" borderId="33" xfId="253" applyFont="1" applyFill="1" applyBorder="1" applyAlignment="1" applyProtection="1">
      <alignment horizontal="center" vertical="center"/>
    </xf>
    <xf numFmtId="0" fontId="7" fillId="84" borderId="35" xfId="253" applyFont="1" applyFill="1" applyBorder="1" applyAlignment="1" applyProtection="1">
      <alignment horizontal="center" vertical="center"/>
    </xf>
    <xf numFmtId="0" fontId="7" fillId="84" borderId="41" xfId="253" applyFont="1" applyFill="1" applyBorder="1" applyAlignment="1" applyProtection="1">
      <alignment horizontal="center" vertical="center"/>
    </xf>
    <xf numFmtId="0" fontId="7" fillId="84" borderId="0" xfId="253" applyFont="1" applyFill="1" applyAlignment="1" applyProtection="1">
      <alignment horizontal="center" vertical="center"/>
    </xf>
    <xf numFmtId="0" fontId="7" fillId="84" borderId="51" xfId="253" applyFont="1" applyFill="1" applyBorder="1" applyAlignment="1" applyProtection="1">
      <alignment horizontal="center" vertical="center"/>
    </xf>
    <xf numFmtId="0" fontId="7" fillId="84" borderId="29" xfId="253" applyFont="1" applyFill="1" applyBorder="1" applyAlignment="1" applyProtection="1">
      <alignment horizontal="center" vertical="center"/>
    </xf>
    <xf numFmtId="0" fontId="62" fillId="84" borderId="117" xfId="253" applyFont="1" applyFill="1" applyBorder="1" applyAlignment="1" applyProtection="1">
      <alignment horizontal="center" vertical="center"/>
    </xf>
    <xf numFmtId="0" fontId="62" fillId="84" borderId="118" xfId="253" applyFont="1" applyFill="1" applyBorder="1" applyAlignment="1" applyProtection="1">
      <alignment horizontal="center" vertical="center"/>
    </xf>
    <xf numFmtId="0" fontId="90" fillId="84" borderId="57" xfId="0" applyFont="1" applyFill="1" applyBorder="1" applyAlignment="1">
      <alignment horizontal="center"/>
    </xf>
    <xf numFmtId="0" fontId="114" fillId="84" borderId="59" xfId="160" applyFont="1" applyFill="1" applyBorder="1" applyAlignment="1">
      <alignment horizontal="center" vertical="center"/>
    </xf>
    <xf numFmtId="0" fontId="114" fillId="84" borderId="60" xfId="160" applyFont="1" applyFill="1" applyBorder="1" applyAlignment="1">
      <alignment horizontal="center" vertical="center"/>
    </xf>
    <xf numFmtId="0" fontId="114" fillId="84" borderId="61" xfId="160" applyFont="1" applyFill="1" applyBorder="1" applyAlignment="1">
      <alignment horizontal="center" vertical="center"/>
    </xf>
    <xf numFmtId="0" fontId="114" fillId="84" borderId="63" xfId="160" applyFont="1" applyFill="1" applyBorder="1" applyAlignment="1">
      <alignment horizontal="center" vertical="center"/>
    </xf>
    <xf numFmtId="0" fontId="114" fillId="84" borderId="0" xfId="160" applyFont="1" applyFill="1" applyAlignment="1">
      <alignment horizontal="center" vertical="center"/>
    </xf>
    <xf numFmtId="0" fontId="114" fillId="84" borderId="62" xfId="160" applyFont="1" applyFill="1" applyBorder="1" applyAlignment="1">
      <alignment horizontal="center" vertical="center"/>
    </xf>
    <xf numFmtId="0" fontId="114" fillId="84" borderId="70" xfId="160" applyFont="1" applyFill="1" applyBorder="1" applyAlignment="1">
      <alignment horizontal="center" vertical="center"/>
    </xf>
    <xf numFmtId="0" fontId="114" fillId="84" borderId="71" xfId="160" applyFont="1" applyFill="1" applyBorder="1" applyAlignment="1">
      <alignment horizontal="center" vertical="center"/>
    </xf>
    <xf numFmtId="0" fontId="114" fillId="84" borderId="72" xfId="16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center" vertical="center"/>
    </xf>
    <xf numFmtId="0" fontId="116" fillId="97" borderId="80" xfId="160" applyFont="1" applyFill="1" applyBorder="1" applyAlignment="1">
      <alignment horizontal="center" vertical="center" wrapText="1"/>
    </xf>
    <xf numFmtId="0" fontId="116" fillId="97" borderId="113" xfId="160" applyFont="1" applyFill="1" applyBorder="1" applyAlignment="1">
      <alignment horizontal="center" vertical="center" wrapText="1"/>
    </xf>
    <xf numFmtId="0" fontId="86" fillId="84" borderId="0" xfId="253" applyFont="1" applyFill="1" applyAlignment="1" applyProtection="1">
      <alignment horizontal="center" vertical="center"/>
    </xf>
    <xf numFmtId="0" fontId="117" fillId="84" borderId="90" xfId="160" applyFont="1" applyFill="1" applyBorder="1" applyAlignment="1">
      <alignment horizontal="center" vertical="center" wrapText="1"/>
    </xf>
    <xf numFmtId="0" fontId="117" fillId="84" borderId="111" xfId="160" applyFont="1" applyFill="1" applyBorder="1" applyAlignment="1">
      <alignment horizontal="center" vertical="center" wrapText="1"/>
    </xf>
    <xf numFmtId="0" fontId="45" fillId="35" borderId="0" xfId="0" applyFont="1" applyFill="1" applyAlignment="1">
      <alignment horizontal="center" vertical="center"/>
    </xf>
    <xf numFmtId="0" fontId="54" fillId="84" borderId="34" xfId="160" applyFont="1" applyFill="1" applyBorder="1" applyAlignment="1">
      <alignment horizontal="center" vertical="center"/>
    </xf>
    <xf numFmtId="0" fontId="54" fillId="84" borderId="30" xfId="160" applyFont="1" applyFill="1" applyBorder="1" applyAlignment="1">
      <alignment horizontal="center" vertical="center"/>
    </xf>
    <xf numFmtId="0" fontId="54" fillId="84" borderId="49" xfId="160" applyFont="1" applyFill="1" applyBorder="1" applyAlignment="1">
      <alignment horizontal="center" vertical="center"/>
    </xf>
    <xf numFmtId="0" fontId="57" fillId="84" borderId="57" xfId="0" applyFont="1" applyFill="1" applyBorder="1" applyAlignment="1">
      <alignment horizontal="center" vertical="center"/>
    </xf>
    <xf numFmtId="0" fontId="23" fillId="84" borderId="80" xfId="0" applyFont="1" applyFill="1" applyBorder="1" applyAlignment="1">
      <alignment horizontal="center" vertical="center"/>
    </xf>
    <xf numFmtId="0" fontId="113" fillId="84" borderId="90" xfId="0" applyFont="1" applyFill="1" applyBorder="1" applyAlignment="1">
      <alignment horizontal="center" vertical="center"/>
    </xf>
    <xf numFmtId="0" fontId="7" fillId="84" borderId="81" xfId="250" applyFont="1" applyFill="1" applyBorder="1" applyAlignment="1" applyProtection="1">
      <alignment horizontal="center" vertical="center"/>
    </xf>
    <xf numFmtId="0" fontId="7" fillId="84" borderId="46" xfId="250" applyFont="1" applyFill="1" applyBorder="1" applyAlignment="1" applyProtection="1">
      <alignment horizontal="center" vertical="center"/>
    </xf>
    <xf numFmtId="0" fontId="49" fillId="84" borderId="0" xfId="250" applyFont="1" applyFill="1" applyAlignment="1" applyProtection="1">
      <alignment horizontal="center" vertical="center"/>
    </xf>
    <xf numFmtId="0" fontId="90" fillId="124" borderId="0" xfId="160" applyFont="1" applyFill="1" applyAlignment="1">
      <alignment horizontal="center" vertical="center"/>
    </xf>
    <xf numFmtId="0" fontId="90" fillId="124" borderId="30" xfId="160" applyFont="1" applyFill="1" applyBorder="1" applyAlignment="1">
      <alignment horizontal="center" vertical="center"/>
    </xf>
    <xf numFmtId="0" fontId="90" fillId="35" borderId="4" xfId="252" applyFont="1" applyFill="1" applyBorder="1" applyAlignment="1" applyProtection="1">
      <alignment horizontal="center" vertical="center"/>
    </xf>
    <xf numFmtId="0" fontId="90" fillId="35" borderId="5" xfId="252" applyFont="1" applyFill="1" applyBorder="1" applyAlignment="1" applyProtection="1">
      <alignment horizontal="center" vertical="center"/>
    </xf>
    <xf numFmtId="0" fontId="107" fillId="84" borderId="66" xfId="160" applyFont="1" applyFill="1" applyBorder="1" applyAlignment="1">
      <alignment horizontal="center" vertical="center"/>
    </xf>
    <xf numFmtId="0" fontId="107" fillId="84" borderId="67" xfId="160" applyFont="1" applyFill="1" applyBorder="1" applyAlignment="1">
      <alignment horizontal="center" vertical="center"/>
    </xf>
    <xf numFmtId="0" fontId="7" fillId="84" borderId="33" xfId="250" applyFont="1" applyFill="1" applyBorder="1" applyAlignment="1" applyProtection="1">
      <alignment horizontal="center" vertical="center" wrapText="1"/>
    </xf>
    <xf numFmtId="0" fontId="7" fillId="84" borderId="35" xfId="250" applyFont="1" applyFill="1" applyBorder="1" applyAlignment="1" applyProtection="1">
      <alignment horizontal="center" vertical="center" wrapText="1"/>
    </xf>
    <xf numFmtId="0" fontId="7" fillId="84" borderId="34" xfId="250" applyFont="1" applyFill="1" applyBorder="1" applyAlignment="1" applyProtection="1">
      <alignment horizontal="center" vertical="center" wrapText="1"/>
    </xf>
    <xf numFmtId="0" fontId="7" fillId="84" borderId="41" xfId="250" applyFont="1" applyFill="1" applyBorder="1" applyAlignment="1" applyProtection="1">
      <alignment horizontal="center" vertical="center" wrapText="1"/>
    </xf>
    <xf numFmtId="0" fontId="7" fillId="84" borderId="0" xfId="250" applyFont="1" applyFill="1" applyAlignment="1" applyProtection="1">
      <alignment horizontal="center" vertical="center" wrapText="1"/>
    </xf>
    <xf numFmtId="0" fontId="7" fillId="84" borderId="30" xfId="250" applyFont="1" applyFill="1" applyBorder="1" applyAlignment="1" applyProtection="1">
      <alignment horizontal="center" vertical="center" wrapText="1"/>
    </xf>
    <xf numFmtId="0" fontId="7" fillId="84" borderId="51" xfId="250" applyFont="1" applyFill="1" applyBorder="1" applyAlignment="1" applyProtection="1">
      <alignment horizontal="center" vertical="center" wrapText="1"/>
    </xf>
    <xf numFmtId="0" fontId="7" fillId="84" borderId="29" xfId="250" applyFont="1" applyFill="1" applyBorder="1" applyAlignment="1" applyProtection="1">
      <alignment horizontal="center" vertical="center" wrapText="1"/>
    </xf>
    <xf numFmtId="0" fontId="7" fillId="84" borderId="49" xfId="250" applyFont="1" applyFill="1" applyBorder="1" applyAlignment="1" applyProtection="1">
      <alignment horizontal="center" vertical="center" wrapText="1"/>
    </xf>
    <xf numFmtId="0" fontId="63" fillId="84" borderId="91" xfId="142" applyFont="1" applyFill="1" applyBorder="1" applyAlignment="1" applyProtection="1">
      <alignment horizontal="center" vertical="center" shrinkToFit="1"/>
    </xf>
    <xf numFmtId="0" fontId="63" fillId="84" borderId="92" xfId="142" applyFont="1" applyFill="1" applyBorder="1" applyAlignment="1" applyProtection="1">
      <alignment horizontal="center" vertical="center" shrinkToFit="1"/>
    </xf>
    <xf numFmtId="0" fontId="63" fillId="84" borderId="94" xfId="142" applyFont="1" applyFill="1" applyBorder="1" applyAlignment="1" applyProtection="1">
      <alignment horizontal="center" vertical="center" shrinkToFit="1"/>
    </xf>
    <xf numFmtId="0" fontId="78" fillId="84" borderId="0" xfId="253" applyFont="1" applyFill="1" applyAlignment="1" applyProtection="1">
      <alignment horizontal="center" vertical="center"/>
    </xf>
    <xf numFmtId="0" fontId="90" fillId="84" borderId="45" xfId="0" applyFont="1" applyFill="1" applyBorder="1" applyAlignment="1">
      <alignment horizontal="center" vertical="center"/>
    </xf>
    <xf numFmtId="0" fontId="90" fillId="0" borderId="95" xfId="160" applyFont="1" applyBorder="1" applyAlignment="1">
      <alignment horizontal="center" vertical="center"/>
    </xf>
    <xf numFmtId="0" fontId="90" fillId="0" borderId="96" xfId="160" applyFont="1" applyBorder="1" applyAlignment="1">
      <alignment horizontal="center" vertical="center"/>
    </xf>
    <xf numFmtId="0" fontId="86" fillId="296" borderId="0" xfId="252" applyFont="1" applyFill="1" applyAlignment="1" applyProtection="1">
      <alignment horizontal="center" vertical="center"/>
    </xf>
    <xf numFmtId="0" fontId="86" fillId="84" borderId="0" xfId="160" applyFont="1" applyFill="1" applyAlignment="1">
      <alignment horizontal="center" vertical="center"/>
    </xf>
    <xf numFmtId="0" fontId="45" fillId="35" borderId="35" xfId="0" applyFont="1" applyFill="1" applyBorder="1" applyAlignment="1">
      <alignment horizontal="center" vertical="center"/>
    </xf>
    <xf numFmtId="0" fontId="86" fillId="84" borderId="41" xfId="253" applyFont="1" applyFill="1" applyBorder="1" applyAlignment="1" applyProtection="1">
      <alignment horizontal="center" vertical="center"/>
    </xf>
    <xf numFmtId="0" fontId="86" fillId="124" borderId="0" xfId="160" applyFont="1" applyFill="1" applyAlignment="1">
      <alignment horizontal="center" vertical="center"/>
    </xf>
    <xf numFmtId="0" fontId="94" fillId="84" borderId="81" xfId="253" applyFont="1" applyFill="1" applyBorder="1" applyAlignment="1" applyProtection="1">
      <alignment horizontal="center" vertical="center" wrapText="1"/>
    </xf>
    <xf numFmtId="0" fontId="94" fillId="84" borderId="40" xfId="253" applyFont="1" applyFill="1" applyBorder="1" applyAlignment="1" applyProtection="1">
      <alignment horizontal="center" vertical="center" wrapText="1"/>
    </xf>
    <xf numFmtId="0" fontId="94" fillId="84" borderId="46" xfId="253" applyFont="1" applyFill="1" applyBorder="1" applyAlignment="1" applyProtection="1">
      <alignment horizontal="center" vertical="center" wrapText="1"/>
    </xf>
    <xf numFmtId="0" fontId="84" fillId="84" borderId="81" xfId="253" applyFont="1" applyFill="1" applyBorder="1" applyAlignment="1" applyProtection="1">
      <alignment horizontal="center" vertical="center" wrapText="1"/>
    </xf>
    <xf numFmtId="0" fontId="84" fillId="84" borderId="40" xfId="253" applyFont="1" applyFill="1" applyBorder="1" applyAlignment="1" applyProtection="1">
      <alignment horizontal="center" vertical="center" wrapText="1"/>
    </xf>
    <xf numFmtId="0" fontId="84" fillId="84" borderId="46" xfId="253" applyFont="1" applyFill="1" applyBorder="1" applyAlignment="1" applyProtection="1">
      <alignment horizontal="center" vertical="center" wrapText="1"/>
    </xf>
    <xf numFmtId="0" fontId="7" fillId="84" borderId="34" xfId="253" applyFont="1" applyFill="1" applyBorder="1" applyAlignment="1" applyProtection="1">
      <alignment horizontal="center" vertical="center"/>
    </xf>
    <xf numFmtId="0" fontId="7" fillId="84" borderId="49" xfId="253" applyFont="1" applyFill="1" applyBorder="1" applyAlignment="1" applyProtection="1">
      <alignment horizontal="center" vertical="center"/>
    </xf>
    <xf numFmtId="0" fontId="95" fillId="84" borderId="0" xfId="252" applyFont="1" applyFill="1" applyAlignment="1" applyProtection="1">
      <alignment horizontal="center" vertical="center"/>
    </xf>
    <xf numFmtId="0" fontId="63" fillId="35" borderId="0" xfId="253" applyFont="1" applyFill="1" applyAlignment="1" applyProtection="1">
      <alignment horizontal="center"/>
    </xf>
    <xf numFmtId="0" fontId="90" fillId="124" borderId="29" xfId="160" applyFont="1" applyFill="1" applyBorder="1" applyAlignment="1">
      <alignment horizontal="center" vertical="center"/>
    </xf>
    <xf numFmtId="0" fontId="33" fillId="84" borderId="29" xfId="0" applyFont="1" applyFill="1" applyBorder="1" applyAlignment="1">
      <alignment horizontal="center" vertical="center"/>
    </xf>
    <xf numFmtId="0" fontId="55" fillId="84" borderId="20" xfId="250" applyFont="1" applyFill="1" applyBorder="1" applyAlignment="1" applyProtection="1">
      <alignment horizontal="center"/>
    </xf>
    <xf numFmtId="0" fontId="99" fillId="0" borderId="33" xfId="253" applyFont="1" applyBorder="1" applyAlignment="1" applyProtection="1">
      <alignment horizontal="center" vertical="center"/>
    </xf>
    <xf numFmtId="0" fontId="99" fillId="0" borderId="35" xfId="253" applyFont="1" applyBorder="1" applyAlignment="1" applyProtection="1">
      <alignment horizontal="center" vertical="center"/>
    </xf>
    <xf numFmtId="0" fontId="99" fillId="0" borderId="34" xfId="253" applyFont="1" applyBorder="1" applyAlignment="1" applyProtection="1">
      <alignment horizontal="center" vertical="center"/>
    </xf>
    <xf numFmtId="0" fontId="99" fillId="0" borderId="41" xfId="253" applyFont="1" applyBorder="1" applyAlignment="1" applyProtection="1">
      <alignment horizontal="center" vertical="center"/>
    </xf>
    <xf numFmtId="0" fontId="99" fillId="0" borderId="0" xfId="253" applyFont="1" applyAlignment="1" applyProtection="1">
      <alignment horizontal="center" vertical="center"/>
    </xf>
    <xf numFmtId="0" fontId="99" fillId="0" borderId="30" xfId="253" applyFont="1" applyBorder="1" applyAlignment="1" applyProtection="1">
      <alignment horizontal="center" vertical="center"/>
    </xf>
    <xf numFmtId="0" fontId="99" fillId="0" borderId="51" xfId="253" applyFont="1" applyBorder="1" applyAlignment="1" applyProtection="1">
      <alignment horizontal="center" vertical="center"/>
    </xf>
    <xf numFmtId="0" fontId="99" fillId="0" borderId="29" xfId="253" applyFont="1" applyBorder="1" applyAlignment="1" applyProtection="1">
      <alignment horizontal="center" vertical="center"/>
    </xf>
    <xf numFmtId="0" fontId="99" fillId="0" borderId="49" xfId="253" applyFont="1" applyBorder="1" applyAlignment="1" applyProtection="1">
      <alignment horizontal="center" vertical="center"/>
    </xf>
    <xf numFmtId="0" fontId="33" fillId="84" borderId="45" xfId="0" applyFont="1" applyFill="1" applyBorder="1" applyAlignment="1">
      <alignment horizontal="center" vertical="center"/>
    </xf>
    <xf numFmtId="0" fontId="86" fillId="0" borderId="0" xfId="160" applyFont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57" fillId="84" borderId="35" xfId="252" applyFont="1" applyFill="1" applyBorder="1" applyAlignment="1" applyProtection="1">
      <alignment horizontal="center" vertical="center"/>
    </xf>
    <xf numFmtId="0" fontId="93" fillId="84" borderId="80" xfId="253" applyFont="1" applyFill="1" applyBorder="1" applyAlignment="1" applyProtection="1">
      <alignment horizontal="center" vertical="center"/>
    </xf>
    <xf numFmtId="0" fontId="77" fillId="296" borderId="44" xfId="250" applyFont="1" applyFill="1" applyBorder="1" applyAlignment="1" applyProtection="1">
      <alignment horizontal="center" vertical="center" wrapText="1"/>
    </xf>
    <xf numFmtId="0" fontId="77" fillId="296" borderId="34" xfId="250" applyFont="1" applyFill="1" applyBorder="1" applyAlignment="1" applyProtection="1">
      <alignment horizontal="center" vertical="center" wrapText="1"/>
    </xf>
    <xf numFmtId="0" fontId="77" fillId="296" borderId="43" xfId="250" applyFont="1" applyFill="1" applyBorder="1" applyAlignment="1" applyProtection="1">
      <alignment horizontal="center" vertical="center" wrapText="1"/>
    </xf>
    <xf numFmtId="0" fontId="77" fillId="296" borderId="30" xfId="250" applyFont="1" applyFill="1" applyBorder="1" applyAlignment="1" applyProtection="1">
      <alignment horizontal="center" vertical="center" wrapText="1"/>
    </xf>
    <xf numFmtId="0" fontId="77" fillId="296" borderId="48" xfId="250" applyFont="1" applyFill="1" applyBorder="1" applyAlignment="1" applyProtection="1">
      <alignment horizontal="center" vertical="center" wrapText="1"/>
    </xf>
    <xf numFmtId="0" fontId="77" fillId="296" borderId="49" xfId="250" applyFont="1" applyFill="1" applyBorder="1" applyAlignment="1" applyProtection="1">
      <alignment horizontal="center" vertical="center" wrapText="1"/>
    </xf>
    <xf numFmtId="0" fontId="55" fillId="84" borderId="45" xfId="250" applyFont="1" applyFill="1" applyBorder="1" applyAlignment="1" applyProtection="1">
      <alignment horizontal="center" vertical="center"/>
    </xf>
    <xf numFmtId="0" fontId="80" fillId="84" borderId="56" xfId="255" applyFont="1" applyFill="1" applyBorder="1" applyAlignment="1" applyProtection="1">
      <alignment horizontal="center" vertical="center"/>
    </xf>
    <xf numFmtId="0" fontId="80" fillId="84" borderId="57" xfId="255" applyFont="1" applyFill="1" applyBorder="1" applyAlignment="1" applyProtection="1">
      <alignment horizontal="center" vertical="center"/>
    </xf>
    <xf numFmtId="49" fontId="7" fillId="84" borderId="59" xfId="250" applyNumberFormat="1" applyFont="1" applyFill="1" applyBorder="1" applyAlignment="1" applyProtection="1">
      <alignment horizontal="center" vertical="center" wrapText="1"/>
    </xf>
    <xf numFmtId="49" fontId="7" fillId="84" borderId="60" xfId="250" applyNumberFormat="1" applyFont="1" applyFill="1" applyBorder="1" applyAlignment="1" applyProtection="1">
      <alignment horizontal="center" vertical="center" wrapText="1"/>
    </xf>
    <xf numFmtId="49" fontId="7" fillId="84" borderId="61" xfId="250" applyNumberFormat="1" applyFont="1" applyFill="1" applyBorder="1" applyAlignment="1" applyProtection="1">
      <alignment horizontal="center" vertical="center" wrapText="1"/>
    </xf>
    <xf numFmtId="49" fontId="7" fillId="84" borderId="63" xfId="250" applyNumberFormat="1" applyFont="1" applyFill="1" applyBorder="1" applyAlignment="1" applyProtection="1">
      <alignment horizontal="center" vertical="center" wrapText="1"/>
    </xf>
    <xf numFmtId="49" fontId="7" fillId="84" borderId="0" xfId="250" applyNumberFormat="1" applyFont="1" applyFill="1" applyAlignment="1" applyProtection="1">
      <alignment horizontal="center" vertical="center" wrapText="1"/>
    </xf>
    <xf numFmtId="49" fontId="7" fillId="84" borderId="62" xfId="250" applyNumberFormat="1" applyFont="1" applyFill="1" applyBorder="1" applyAlignment="1" applyProtection="1">
      <alignment horizontal="center" vertical="center" wrapText="1"/>
    </xf>
    <xf numFmtId="49" fontId="7" fillId="84" borderId="70" xfId="250" applyNumberFormat="1" applyFont="1" applyFill="1" applyBorder="1" applyAlignment="1" applyProtection="1">
      <alignment horizontal="center" vertical="center" wrapText="1"/>
    </xf>
    <xf numFmtId="49" fontId="7" fillId="84" borderId="71" xfId="250" applyNumberFormat="1" applyFont="1" applyFill="1" applyBorder="1" applyAlignment="1" applyProtection="1">
      <alignment horizontal="center" vertical="center" wrapText="1"/>
    </xf>
    <xf numFmtId="49" fontId="7" fillId="84" borderId="72" xfId="250" applyNumberFormat="1" applyFont="1" applyFill="1" applyBorder="1" applyAlignment="1" applyProtection="1">
      <alignment horizontal="center" vertical="center" wrapText="1"/>
    </xf>
    <xf numFmtId="0" fontId="55" fillId="84" borderId="45" xfId="253" applyFont="1" applyFill="1" applyBorder="1" applyAlignment="1" applyProtection="1">
      <alignment horizontal="center" vertical="center"/>
    </xf>
    <xf numFmtId="0" fontId="7" fillId="84" borderId="66" xfId="253" applyFont="1" applyFill="1" applyBorder="1" applyAlignment="1" applyProtection="1">
      <alignment horizontal="center" vertical="center"/>
    </xf>
    <xf numFmtId="0" fontId="7" fillId="84" borderId="67" xfId="253" applyFont="1" applyFill="1" applyBorder="1" applyAlignment="1" applyProtection="1">
      <alignment horizontal="center" vertical="center"/>
    </xf>
    <xf numFmtId="0" fontId="33" fillId="84" borderId="69" xfId="0" applyFont="1" applyFill="1" applyBorder="1" applyAlignment="1">
      <alignment horizontal="center" vertical="center"/>
    </xf>
    <xf numFmtId="0" fontId="59" fillId="104" borderId="27" xfId="250" applyFont="1" applyFill="1" applyBorder="1" applyAlignment="1" applyProtection="1">
      <alignment horizontal="center" vertical="center" wrapText="1"/>
    </xf>
    <xf numFmtId="0" fontId="59" fillId="104" borderId="5" xfId="250" applyFont="1" applyFill="1" applyBorder="1" applyAlignment="1" applyProtection="1">
      <alignment horizontal="center" vertical="center" wrapText="1"/>
    </xf>
    <xf numFmtId="0" fontId="65" fillId="84" borderId="0" xfId="250" applyFont="1" applyFill="1" applyAlignment="1" applyProtection="1">
      <alignment horizontal="center" vertical="center"/>
    </xf>
    <xf numFmtId="0" fontId="65" fillId="84" borderId="29" xfId="253" applyFont="1" applyFill="1" applyBorder="1" applyAlignment="1" applyProtection="1">
      <alignment horizontal="center" vertical="center" wrapText="1"/>
    </xf>
    <xf numFmtId="0" fontId="67" fillId="84" borderId="31" xfId="250" applyFont="1" applyFill="1" applyBorder="1" applyAlignment="1" applyProtection="1">
      <alignment horizontal="center" vertical="center" wrapText="1"/>
    </xf>
    <xf numFmtId="0" fontId="67" fillId="84" borderId="40" xfId="250" applyFont="1" applyFill="1" applyBorder="1" applyAlignment="1" applyProtection="1">
      <alignment horizontal="center" vertical="center" wrapText="1"/>
    </xf>
    <xf numFmtId="0" fontId="67" fillId="84" borderId="46" xfId="250" applyFont="1" applyFill="1" applyBorder="1" applyAlignment="1" applyProtection="1">
      <alignment horizontal="center" vertical="center" wrapText="1"/>
    </xf>
    <xf numFmtId="0" fontId="7" fillId="84" borderId="33" xfId="250" applyFont="1" applyFill="1" applyBorder="1" applyAlignment="1" applyProtection="1">
      <alignment horizontal="center" vertical="center"/>
    </xf>
    <xf numFmtId="0" fontId="7" fillId="84" borderId="34" xfId="250" applyFont="1" applyFill="1" applyBorder="1" applyAlignment="1" applyProtection="1">
      <alignment horizontal="center" vertical="center"/>
    </xf>
    <xf numFmtId="0" fontId="7" fillId="84" borderId="41" xfId="250" applyFont="1" applyFill="1" applyBorder="1" applyAlignment="1" applyProtection="1">
      <alignment horizontal="center" vertical="center"/>
    </xf>
    <xf numFmtId="0" fontId="7" fillId="84" borderId="30" xfId="250" applyFont="1" applyFill="1" applyBorder="1" applyAlignment="1" applyProtection="1">
      <alignment horizontal="center" vertical="center"/>
    </xf>
    <xf numFmtId="0" fontId="7" fillId="84" borderId="51" xfId="250" applyFont="1" applyFill="1" applyBorder="1" applyAlignment="1" applyProtection="1">
      <alignment horizontal="center" vertical="center"/>
    </xf>
    <xf numFmtId="0" fontId="7" fillId="84" borderId="49" xfId="250" applyFont="1" applyFill="1" applyBorder="1" applyAlignment="1" applyProtection="1">
      <alignment horizontal="center" vertical="center"/>
    </xf>
    <xf numFmtId="0" fontId="7" fillId="84" borderId="35" xfId="250" applyFont="1" applyFill="1" applyBorder="1" applyAlignment="1" applyProtection="1">
      <alignment horizontal="center" vertical="center"/>
    </xf>
    <xf numFmtId="0" fontId="7" fillId="84" borderId="36" xfId="250" applyFont="1" applyFill="1" applyBorder="1" applyAlignment="1" applyProtection="1">
      <alignment horizontal="center" vertical="center"/>
    </xf>
    <xf numFmtId="0" fontId="7" fillId="84" borderId="0" xfId="250" applyFont="1" applyFill="1" applyAlignment="1" applyProtection="1">
      <alignment horizontal="center" vertical="center"/>
    </xf>
    <xf numFmtId="0" fontId="7" fillId="84" borderId="42" xfId="250" applyFont="1" applyFill="1" applyBorder="1" applyAlignment="1" applyProtection="1">
      <alignment horizontal="center" vertical="center"/>
    </xf>
    <xf numFmtId="0" fontId="7" fillId="84" borderId="29" xfId="250" applyFont="1" applyFill="1" applyBorder="1" applyAlignment="1" applyProtection="1">
      <alignment horizontal="center" vertical="center"/>
    </xf>
    <xf numFmtId="0" fontId="7" fillId="84" borderId="52" xfId="250" applyFont="1" applyFill="1" applyBorder="1" applyAlignment="1" applyProtection="1">
      <alignment horizontal="center" vertical="center"/>
    </xf>
    <xf numFmtId="0" fontId="7" fillId="84" borderId="37" xfId="253" applyFont="1" applyFill="1" applyBorder="1" applyAlignment="1" applyProtection="1">
      <alignment horizontal="center" vertical="center"/>
    </xf>
    <xf numFmtId="0" fontId="7" fillId="84" borderId="38" xfId="253" applyFont="1" applyFill="1" applyBorder="1" applyAlignment="1" applyProtection="1">
      <alignment horizontal="center" vertical="center"/>
    </xf>
    <xf numFmtId="0" fontId="7" fillId="84" borderId="39" xfId="253" applyFont="1" applyFill="1" applyBorder="1" applyAlignment="1" applyProtection="1">
      <alignment horizontal="center" vertical="center"/>
    </xf>
    <xf numFmtId="0" fontId="7" fillId="84" borderId="43" xfId="253" applyFont="1" applyFill="1" applyBorder="1" applyAlignment="1" applyProtection="1">
      <alignment horizontal="center" vertical="center"/>
    </xf>
    <xf numFmtId="0" fontId="7" fillId="84" borderId="42" xfId="253" applyFont="1" applyFill="1" applyBorder="1" applyAlignment="1" applyProtection="1">
      <alignment horizontal="center" vertical="center"/>
    </xf>
    <xf numFmtId="0" fontId="7" fillId="84" borderId="53" xfId="253" applyFont="1" applyFill="1" applyBorder="1" applyAlignment="1" applyProtection="1">
      <alignment horizontal="center" vertical="center"/>
    </xf>
    <xf numFmtId="0" fontId="7" fillId="84" borderId="54" xfId="253" applyFont="1" applyFill="1" applyBorder="1" applyAlignment="1" applyProtection="1">
      <alignment horizontal="center" vertical="center"/>
    </xf>
    <xf numFmtId="0" fontId="7" fillId="84" borderId="55" xfId="253" applyFont="1" applyFill="1" applyBorder="1" applyAlignment="1" applyProtection="1">
      <alignment horizontal="center" vertical="center"/>
    </xf>
    <xf numFmtId="0" fontId="49" fillId="0" borderId="0" xfId="138" applyFont="1" applyAlignment="1">
      <alignment horizontal="center" shrinkToFit="1"/>
    </xf>
    <xf numFmtId="0" fontId="160" fillId="0" borderId="0" xfId="138" applyFont="1" applyAlignment="1">
      <alignment horizontal="center" shrinkToFit="1"/>
    </xf>
    <xf numFmtId="0" fontId="79" fillId="0" borderId="0" xfId="126" applyFont="1" applyAlignment="1">
      <alignment horizontal="center" shrinkToFit="1"/>
    </xf>
    <xf numFmtId="0" fontId="134" fillId="0" borderId="0" xfId="126" applyFont="1" applyAlignment="1">
      <alignment horizontal="center" vertical="center" shrinkToFit="1"/>
    </xf>
    <xf numFmtId="0" fontId="74" fillId="0" borderId="129" xfId="138" applyFont="1" applyBorder="1" applyAlignment="1">
      <alignment horizontal="center" vertical="center" shrinkToFit="1"/>
    </xf>
    <xf numFmtId="0" fontId="74" fillId="0" borderId="69" xfId="138" applyFont="1" applyBorder="1" applyAlignment="1">
      <alignment horizontal="center" vertical="center" shrinkToFit="1"/>
    </xf>
    <xf numFmtId="0" fontId="74" fillId="0" borderId="101" xfId="138" applyFont="1" applyBorder="1" applyAlignment="1">
      <alignment horizontal="center" vertical="center" shrinkToFit="1"/>
    </xf>
    <xf numFmtId="0" fontId="79" fillId="0" borderId="157" xfId="138" applyFont="1" applyBorder="1" applyAlignment="1">
      <alignment horizontal="center" vertical="center" shrinkToFit="1"/>
    </xf>
    <xf numFmtId="0" fontId="79" fillId="0" borderId="148" xfId="138" applyFont="1" applyBorder="1" applyAlignment="1">
      <alignment horizontal="center" vertical="center" shrinkToFit="1"/>
    </xf>
    <xf numFmtId="0" fontId="79" fillId="0" borderId="142" xfId="138" applyFont="1" applyBorder="1" applyAlignment="1">
      <alignment horizontal="center" vertical="center" shrinkToFit="1"/>
    </xf>
    <xf numFmtId="0" fontId="145" fillId="0" borderId="129" xfId="138" applyFont="1" applyBorder="1" applyAlignment="1">
      <alignment horizontal="left" vertical="center" shrinkToFit="1"/>
    </xf>
    <xf numFmtId="0" fontId="145" fillId="0" borderId="69" xfId="138" applyFont="1" applyBorder="1" applyAlignment="1">
      <alignment horizontal="left" vertical="center" shrinkToFit="1"/>
    </xf>
    <xf numFmtId="0" fontId="145" fillId="0" borderId="101" xfId="138" applyFont="1" applyBorder="1" applyAlignment="1">
      <alignment horizontal="left" vertical="center" shrinkToFit="1"/>
    </xf>
    <xf numFmtId="0" fontId="145" fillId="0" borderId="137" xfId="138" applyFont="1" applyBorder="1" applyAlignment="1">
      <alignment horizontal="left" vertical="center" shrinkToFit="1"/>
    </xf>
    <xf numFmtId="0" fontId="134" fillId="0" borderId="15" xfId="138" applyFont="1" applyBorder="1" applyAlignment="1">
      <alignment horizontal="left" vertical="center" shrinkToFit="1"/>
    </xf>
    <xf numFmtId="0" fontId="134" fillId="0" borderId="69" xfId="138" applyFont="1" applyBorder="1" applyAlignment="1">
      <alignment horizontal="left" vertical="center" shrinkToFit="1"/>
    </xf>
    <xf numFmtId="0" fontId="134" fillId="0" borderId="101" xfId="138" applyFont="1" applyBorder="1" applyAlignment="1">
      <alignment horizontal="left" vertical="center" shrinkToFit="1"/>
    </xf>
    <xf numFmtId="0" fontId="79" fillId="0" borderId="140" xfId="138" applyFont="1" applyBorder="1" applyAlignment="1">
      <alignment horizontal="center" vertical="center" shrinkToFit="1"/>
    </xf>
    <xf numFmtId="0" fontId="79" fillId="0" borderId="141" xfId="138" applyFont="1" applyBorder="1" applyAlignment="1">
      <alignment horizontal="center" vertical="center" shrinkToFit="1"/>
    </xf>
    <xf numFmtId="0" fontId="79" fillId="0" borderId="150" xfId="138" applyFont="1" applyBorder="1" applyAlignment="1">
      <alignment horizontal="center" vertical="center" shrinkToFit="1"/>
    </xf>
    <xf numFmtId="0" fontId="79" fillId="0" borderId="147" xfId="138" applyFont="1" applyBorder="1" applyAlignment="1">
      <alignment horizontal="center" vertical="center" shrinkToFit="1"/>
    </xf>
    <xf numFmtId="0" fontId="79" fillId="0" borderId="17" xfId="138" applyFont="1" applyBorder="1" applyAlignment="1">
      <alignment horizontal="center" vertical="center" shrinkToFit="1"/>
    </xf>
    <xf numFmtId="0" fontId="79" fillId="0" borderId="18" xfId="138" applyFont="1" applyBorder="1" applyAlignment="1">
      <alignment horizontal="center" vertical="center" shrinkToFit="1"/>
    </xf>
    <xf numFmtId="0" fontId="79" fillId="0" borderId="136" xfId="138" applyFont="1" applyBorder="1" applyAlignment="1">
      <alignment horizontal="center" vertical="center" shrinkToFit="1"/>
    </xf>
    <xf numFmtId="0" fontId="134" fillId="0" borderId="17" xfId="138" applyFont="1" applyBorder="1" applyAlignment="1">
      <alignment horizontal="left" vertical="center" shrinkToFit="1"/>
    </xf>
    <xf numFmtId="0" fontId="134" fillId="0" borderId="18" xfId="138" applyFont="1" applyBorder="1" applyAlignment="1">
      <alignment horizontal="left" vertical="center" shrinkToFit="1"/>
    </xf>
    <xf numFmtId="0" fontId="134" fillId="0" borderId="19" xfId="138" applyFont="1" applyBorder="1" applyAlignment="1">
      <alignment horizontal="left" vertical="center" shrinkToFit="1"/>
    </xf>
    <xf numFmtId="0" fontId="79" fillId="0" borderId="156" xfId="138" applyFont="1" applyBorder="1" applyAlignment="1">
      <alignment horizontal="center" vertical="center" shrinkToFit="1"/>
    </xf>
    <xf numFmtId="0" fontId="79" fillId="0" borderId="20" xfId="138" applyFont="1" applyBorder="1" applyAlignment="1">
      <alignment horizontal="center" vertical="center" shrinkToFit="1"/>
    </xf>
    <xf numFmtId="0" fontId="79" fillId="0" borderId="130" xfId="138" applyFont="1" applyBorder="1" applyAlignment="1">
      <alignment horizontal="center" vertical="center" shrinkToFit="1"/>
    </xf>
    <xf numFmtId="0" fontId="134" fillId="0" borderId="167" xfId="138" applyFont="1" applyBorder="1" applyAlignment="1">
      <alignment horizontal="left" vertical="center" shrinkToFit="1"/>
    </xf>
    <xf numFmtId="0" fontId="79" fillId="0" borderId="164" xfId="0" applyFont="1" applyBorder="1" applyAlignment="1">
      <alignment horizontal="left" vertical="center" wrapText="1" shrinkToFit="1"/>
    </xf>
    <xf numFmtId="0" fontId="79" fillId="0" borderId="165" xfId="0" applyFont="1" applyBorder="1" applyAlignment="1">
      <alignment horizontal="left" vertical="center" wrapText="1" shrinkToFit="1"/>
    </xf>
    <xf numFmtId="0" fontId="79" fillId="0" borderId="166" xfId="0" applyFont="1" applyBorder="1" applyAlignment="1">
      <alignment horizontal="left" vertical="center" wrapText="1" shrinkToFit="1"/>
    </xf>
    <xf numFmtId="171" fontId="58" fillId="186" borderId="15" xfId="141" applyNumberFormat="1" applyFont="1" applyFill="1" applyBorder="1" applyAlignment="1">
      <alignment horizontal="center" vertical="center" shrinkToFit="1"/>
    </xf>
    <xf numFmtId="171" fontId="58" fillId="186" borderId="69" xfId="141" applyNumberFormat="1" applyFont="1" applyFill="1" applyBorder="1" applyAlignment="1">
      <alignment horizontal="center" vertical="center" shrinkToFit="1"/>
    </xf>
    <xf numFmtId="171" fontId="58" fillId="186" borderId="101" xfId="141" applyNumberFormat="1" applyFont="1" applyFill="1" applyBorder="1" applyAlignment="1">
      <alignment horizontal="center" vertical="center" shrinkToFit="1"/>
    </xf>
    <xf numFmtId="0" fontId="145" fillId="0" borderId="157" xfId="138" applyFont="1" applyBorder="1" applyAlignment="1">
      <alignment horizontal="left" vertical="center" shrinkToFit="1"/>
    </xf>
    <xf numFmtId="0" fontId="145" fillId="0" borderId="148" xfId="138" applyFont="1" applyBorder="1" applyAlignment="1">
      <alignment horizontal="left" vertical="center" shrinkToFit="1"/>
    </xf>
    <xf numFmtId="0" fontId="145" fillId="0" borderId="160" xfId="138" applyFont="1" applyBorder="1" applyAlignment="1">
      <alignment horizontal="left" vertical="center" shrinkToFit="1"/>
    </xf>
    <xf numFmtId="0" fontId="180" fillId="0" borderId="15" xfId="150" applyFont="1" applyBorder="1" applyAlignment="1">
      <alignment horizontal="left" vertical="center" shrinkToFit="1"/>
    </xf>
    <xf numFmtId="0" fontId="180" fillId="0" borderId="69" xfId="150" applyFont="1" applyBorder="1" applyAlignment="1">
      <alignment horizontal="left" vertical="center" shrinkToFit="1"/>
    </xf>
    <xf numFmtId="0" fontId="180" fillId="0" borderId="101" xfId="150" applyFont="1" applyBorder="1" applyAlignment="1">
      <alignment horizontal="left" vertical="center" shrinkToFit="1"/>
    </xf>
    <xf numFmtId="171" fontId="49" fillId="0" borderId="138" xfId="138" applyNumberFormat="1" applyFont="1" applyBorder="1" applyAlignment="1">
      <alignment horizontal="center" vertical="center" shrinkToFit="1"/>
    </xf>
    <xf numFmtId="171" fontId="49" fillId="0" borderId="69" xfId="138" applyNumberFormat="1" applyFont="1" applyBorder="1" applyAlignment="1">
      <alignment horizontal="center" vertical="center" shrinkToFit="1"/>
    </xf>
    <xf numFmtId="171" fontId="49" fillId="0" borderId="101" xfId="138" applyNumberFormat="1" applyFont="1" applyBorder="1" applyAlignment="1">
      <alignment horizontal="center" vertical="center" shrinkToFit="1"/>
    </xf>
    <xf numFmtId="0" fontId="79" fillId="0" borderId="159" xfId="138" applyFont="1" applyBorder="1" applyAlignment="1">
      <alignment horizontal="center" vertical="center" shrinkToFit="1"/>
    </xf>
    <xf numFmtId="0" fontId="49" fillId="0" borderId="4" xfId="0" applyFont="1" applyBorder="1" applyAlignment="1">
      <alignment horizontal="center" vertical="center" wrapText="1" shrinkToFit="1"/>
    </xf>
    <xf numFmtId="0" fontId="49" fillId="0" borderId="27" xfId="0" applyFont="1" applyBorder="1" applyAlignment="1">
      <alignment horizontal="center" vertical="center" wrapText="1" shrinkToFit="1"/>
    </xf>
    <xf numFmtId="0" fontId="49" fillId="0" borderId="5" xfId="0" applyFont="1" applyBorder="1" applyAlignment="1">
      <alignment horizontal="center" vertical="center" wrapText="1" shrinkToFit="1"/>
    </xf>
    <xf numFmtId="0" fontId="134" fillId="0" borderId="136" xfId="138" applyFont="1" applyBorder="1" applyAlignment="1">
      <alignment horizontal="left" vertical="center" shrinkToFit="1"/>
    </xf>
    <xf numFmtId="0" fontId="180" fillId="0" borderId="161" xfId="150" applyFont="1" applyBorder="1" applyAlignment="1">
      <alignment horizontal="left" vertical="center" shrinkToFit="1"/>
    </xf>
    <xf numFmtId="0" fontId="180" fillId="0" borderId="162" xfId="150" applyFont="1" applyBorder="1" applyAlignment="1">
      <alignment horizontal="left" vertical="center" shrinkToFit="1"/>
    </xf>
    <xf numFmtId="0" fontId="180" fillId="0" borderId="163" xfId="150" applyFont="1" applyBorder="1" applyAlignment="1">
      <alignment horizontal="left" vertical="center" shrinkToFit="1"/>
    </xf>
    <xf numFmtId="0" fontId="145" fillId="0" borderId="142" xfId="138" applyFont="1" applyBorder="1" applyAlignment="1">
      <alignment horizontal="left" vertical="center" shrinkToFit="1"/>
    </xf>
    <xf numFmtId="0" fontId="49" fillId="0" borderId="4" xfId="0" applyFont="1" applyBorder="1" applyAlignment="1">
      <alignment horizontal="center" vertical="center" shrinkToFit="1"/>
    </xf>
    <xf numFmtId="0" fontId="49" fillId="0" borderId="27" xfId="0" applyFont="1" applyBorder="1" applyAlignment="1">
      <alignment horizontal="center" vertical="center" shrinkToFit="1"/>
    </xf>
    <xf numFmtId="0" fontId="49" fillId="0" borderId="5" xfId="0" applyFont="1" applyBorder="1" applyAlignment="1">
      <alignment horizontal="center" vertical="center" shrinkToFit="1"/>
    </xf>
    <xf numFmtId="0" fontId="180" fillId="0" borderId="164" xfId="150" applyFont="1" applyBorder="1" applyAlignment="1">
      <alignment horizontal="left" vertical="center" shrinkToFit="1"/>
    </xf>
    <xf numFmtId="0" fontId="180" fillId="0" borderId="165" xfId="150" applyFont="1" applyBorder="1" applyAlignment="1">
      <alignment horizontal="left" vertical="center" shrinkToFit="1"/>
    </xf>
    <xf numFmtId="0" fontId="180" fillId="0" borderId="166" xfId="150" applyFont="1" applyBorder="1" applyAlignment="1">
      <alignment horizontal="left" vertical="center" shrinkToFit="1"/>
    </xf>
    <xf numFmtId="0" fontId="145" fillId="0" borderId="159" xfId="138" applyFont="1" applyBorder="1" applyAlignment="1">
      <alignment horizontal="left" vertical="center" shrinkToFit="1"/>
    </xf>
    <xf numFmtId="0" fontId="145" fillId="0" borderId="18" xfId="138" applyFont="1" applyBorder="1" applyAlignment="1">
      <alignment horizontal="left" vertical="center" shrinkToFit="1"/>
    </xf>
    <xf numFmtId="0" fontId="145" fillId="0" borderId="19" xfId="138" applyFont="1" applyBorder="1" applyAlignment="1">
      <alignment horizontal="left" vertical="center" shrinkToFit="1"/>
    </xf>
    <xf numFmtId="0" fontId="79" fillId="0" borderId="4" xfId="0" applyFont="1" applyBorder="1" applyAlignment="1">
      <alignment horizontal="left" vertical="center" wrapText="1" shrinkToFit="1"/>
    </xf>
    <xf numFmtId="0" fontId="79" fillId="0" borderId="27" xfId="0" applyFont="1" applyBorder="1" applyAlignment="1">
      <alignment horizontal="left" vertical="center" wrapText="1" shrinkToFit="1"/>
    </xf>
    <xf numFmtId="0" fontId="79" fillId="0" borderId="168" xfId="0" applyFont="1" applyBorder="1" applyAlignment="1">
      <alignment horizontal="left" vertical="center" wrapText="1" shrinkToFit="1"/>
    </xf>
    <xf numFmtId="0" fontId="74" fillId="0" borderId="157" xfId="138" applyFont="1" applyBorder="1" applyAlignment="1">
      <alignment horizontal="center" vertical="center" shrinkToFit="1"/>
    </xf>
    <xf numFmtId="0" fontId="74" fillId="0" borderId="148" xfId="138" applyFont="1" applyBorder="1" applyAlignment="1">
      <alignment horizontal="center" vertical="center" shrinkToFit="1"/>
    </xf>
    <xf numFmtId="0" fontId="74" fillId="0" borderId="142" xfId="138" applyFont="1" applyBorder="1" applyAlignment="1">
      <alignment horizontal="center" vertical="center" shrinkToFit="1"/>
    </xf>
    <xf numFmtId="0" fontId="74" fillId="0" borderId="15" xfId="0" applyFont="1" applyBorder="1" applyAlignment="1">
      <alignment horizontal="center" wrapText="1"/>
    </xf>
    <xf numFmtId="0" fontId="74" fillId="0" borderId="69" xfId="0" applyFont="1" applyBorder="1" applyAlignment="1">
      <alignment horizontal="center" wrapText="1"/>
    </xf>
    <xf numFmtId="0" fontId="74" fillId="0" borderId="101" xfId="0" applyFont="1" applyBorder="1" applyAlignment="1">
      <alignment horizontal="center" wrapText="1"/>
    </xf>
    <xf numFmtId="0" fontId="145" fillId="0" borderId="15" xfId="0" applyFont="1" applyBorder="1" applyAlignment="1">
      <alignment horizontal="left" wrapText="1"/>
    </xf>
    <xf numFmtId="0" fontId="145" fillId="0" borderId="69" xfId="0" applyFont="1" applyBorder="1" applyAlignment="1">
      <alignment horizontal="left" wrapText="1"/>
    </xf>
    <xf numFmtId="0" fontId="145" fillId="0" borderId="137" xfId="0" applyFont="1" applyBorder="1" applyAlignment="1">
      <alignment horizontal="left" wrapText="1"/>
    </xf>
    <xf numFmtId="0" fontId="134" fillId="0" borderId="147" xfId="138" applyFont="1" applyBorder="1" applyAlignment="1">
      <alignment horizontal="left" vertical="center" shrinkToFit="1"/>
    </xf>
    <xf numFmtId="0" fontId="134" fillId="0" borderId="148" xfId="138" applyFont="1" applyBorder="1" applyAlignment="1">
      <alignment horizontal="left" vertical="center" shrinkToFit="1"/>
    </xf>
    <xf numFmtId="0" fontId="134" fillId="0" borderId="160" xfId="138" applyFont="1" applyBorder="1" applyAlignment="1">
      <alignment horizontal="left" vertical="center" shrinkToFit="1"/>
    </xf>
    <xf numFmtId="0" fontId="85" fillId="0" borderId="65" xfId="0" applyFont="1" applyBorder="1" applyAlignment="1">
      <alignment horizontal="center"/>
    </xf>
    <xf numFmtId="0" fontId="85" fillId="0" borderId="148" xfId="0" applyFont="1" applyBorder="1" applyAlignment="1">
      <alignment horizontal="center"/>
    </xf>
    <xf numFmtId="0" fontId="85" fillId="0" borderId="142" xfId="0" applyFont="1" applyBorder="1" applyAlignment="1">
      <alignment horizontal="center"/>
    </xf>
    <xf numFmtId="0" fontId="145" fillId="0" borderId="17" xfId="0" applyFont="1" applyBorder="1" applyAlignment="1">
      <alignment horizontal="left" wrapText="1"/>
    </xf>
    <xf numFmtId="0" fontId="145" fillId="0" borderId="18" xfId="0" applyFont="1" applyBorder="1" applyAlignment="1">
      <alignment horizontal="left" wrapText="1"/>
    </xf>
    <xf numFmtId="0" fontId="145" fillId="0" borderId="136" xfId="0" applyFont="1" applyBorder="1" applyAlignment="1">
      <alignment horizontal="left" wrapText="1"/>
    </xf>
    <xf numFmtId="0" fontId="145" fillId="0" borderId="140" xfId="0" applyFont="1" applyBorder="1" applyAlignment="1">
      <alignment horizontal="left" wrapText="1"/>
    </xf>
    <xf numFmtId="0" fontId="145" fillId="0" borderId="141" xfId="0" applyFont="1" applyBorder="1" applyAlignment="1">
      <alignment horizontal="left" wrapText="1"/>
    </xf>
    <xf numFmtId="0" fontId="145" fillId="0" borderId="150" xfId="0" applyFont="1" applyBorder="1" applyAlignment="1">
      <alignment horizontal="left" wrapText="1"/>
    </xf>
    <xf numFmtId="0" fontId="145" fillId="0" borderId="167" xfId="0" applyFont="1" applyBorder="1" applyAlignment="1">
      <alignment horizontal="left" wrapText="1"/>
    </xf>
    <xf numFmtId="171" fontId="49" fillId="0" borderId="45" xfId="138" applyNumberFormat="1" applyFont="1" applyBorder="1" applyAlignment="1">
      <alignment horizontal="center" vertical="center" shrinkToFit="1"/>
    </xf>
    <xf numFmtId="0" fontId="145" fillId="0" borderId="17" xfId="0" applyFont="1" applyBorder="1" applyAlignment="1">
      <alignment horizontal="left" vertical="center" wrapText="1"/>
    </xf>
    <xf numFmtId="0" fontId="145" fillId="0" borderId="18" xfId="0" applyFont="1" applyBorder="1" applyAlignment="1">
      <alignment horizontal="left" vertical="center" wrapText="1"/>
    </xf>
    <xf numFmtId="0" fontId="145" fillId="0" borderId="136" xfId="0" applyFont="1" applyBorder="1" applyAlignment="1">
      <alignment horizontal="left" vertical="center" wrapText="1"/>
    </xf>
    <xf numFmtId="0" fontId="137" fillId="0" borderId="4" xfId="0" applyFont="1" applyBorder="1" applyAlignment="1" applyProtection="1">
      <alignment horizontal="center"/>
      <protection locked="0"/>
    </xf>
    <xf numFmtId="0" fontId="137" fillId="0" borderId="27" xfId="0" applyFont="1" applyBorder="1" applyAlignment="1" applyProtection="1">
      <alignment horizontal="center"/>
      <protection locked="0"/>
    </xf>
    <xf numFmtId="0" fontId="137" fillId="0" borderId="5" xfId="0" applyFont="1" applyBorder="1" applyAlignment="1" applyProtection="1">
      <alignment horizontal="center"/>
      <protection locked="0"/>
    </xf>
    <xf numFmtId="41" fontId="138" fillId="137" borderId="4" xfId="0" applyNumberFormat="1" applyFont="1" applyFill="1" applyBorder="1" applyAlignment="1">
      <alignment horizontal="center" vertical="center"/>
    </xf>
    <xf numFmtId="41" fontId="138" fillId="137" borderId="5" xfId="0" applyNumberFormat="1" applyFont="1" applyFill="1" applyBorder="1" applyAlignment="1">
      <alignment horizontal="center" vertical="center"/>
    </xf>
    <xf numFmtId="0" fontId="139" fillId="35" borderId="0" xfId="0" applyFont="1" applyFill="1" applyAlignment="1" applyProtection="1">
      <alignment horizontal="center" vertical="center"/>
      <protection locked="0"/>
    </xf>
    <xf numFmtId="0" fontId="176" fillId="166" borderId="4" xfId="0" applyFont="1" applyFill="1" applyBorder="1" applyAlignment="1">
      <alignment horizontal="center" vertical="center"/>
    </xf>
    <xf numFmtId="0" fontId="176" fillId="166" borderId="27" xfId="0" applyFont="1" applyFill="1" applyBorder="1" applyAlignment="1">
      <alignment horizontal="center" vertical="center"/>
    </xf>
    <xf numFmtId="0" fontId="176" fillId="166" borderId="5" xfId="0" applyFont="1" applyFill="1" applyBorder="1" applyAlignment="1">
      <alignment horizontal="center" vertical="center"/>
    </xf>
    <xf numFmtId="0" fontId="49" fillId="0" borderId="139" xfId="138" applyFont="1" applyBorder="1" applyAlignment="1">
      <alignment horizontal="center" vertical="center" shrinkToFit="1"/>
    </xf>
    <xf numFmtId="0" fontId="49" fillId="0" borderId="69" xfId="138" applyFont="1" applyBorder="1" applyAlignment="1">
      <alignment horizontal="center" vertical="center" shrinkToFit="1"/>
    </xf>
    <xf numFmtId="171" fontId="50" fillId="137" borderId="15" xfId="138" applyNumberFormat="1" applyFont="1" applyFill="1" applyBorder="1" applyAlignment="1">
      <alignment horizontal="center" vertical="center" shrinkToFit="1"/>
    </xf>
    <xf numFmtId="171" fontId="50" fillId="137" borderId="69" xfId="138" applyNumberFormat="1" applyFont="1" applyFill="1" applyBorder="1" applyAlignment="1">
      <alignment horizontal="center" vertical="center" shrinkToFit="1"/>
    </xf>
    <xf numFmtId="171" fontId="50" fillId="137" borderId="101" xfId="138" applyNumberFormat="1" applyFont="1" applyFill="1" applyBorder="1" applyAlignment="1">
      <alignment horizontal="center" vertical="center" shrinkToFit="1"/>
    </xf>
    <xf numFmtId="0" fontId="49" fillId="0" borderId="15" xfId="138" applyFont="1" applyBorder="1" applyAlignment="1">
      <alignment horizontal="center" vertical="center" wrapText="1" shrinkToFit="1"/>
    </xf>
    <xf numFmtId="0" fontId="49" fillId="0" borderId="69" xfId="138" applyFont="1" applyBorder="1" applyAlignment="1">
      <alignment horizontal="center" vertical="center" wrapText="1" shrinkToFit="1"/>
    </xf>
    <xf numFmtId="0" fontId="49" fillId="0" borderId="101" xfId="138" applyFont="1" applyBorder="1" applyAlignment="1">
      <alignment horizontal="center" vertical="center" wrapText="1" shrinkToFit="1"/>
    </xf>
    <xf numFmtId="171" fontId="50" fillId="102" borderId="15" xfId="138" applyNumberFormat="1" applyFont="1" applyFill="1" applyBorder="1" applyAlignment="1">
      <alignment horizontal="center" vertical="center" shrinkToFit="1"/>
    </xf>
    <xf numFmtId="171" fontId="50" fillId="102" borderId="69" xfId="138" applyNumberFormat="1" applyFont="1" applyFill="1" applyBorder="1" applyAlignment="1">
      <alignment horizontal="center" vertical="center" shrinkToFit="1"/>
    </xf>
    <xf numFmtId="171" fontId="50" fillId="102" borderId="101" xfId="138" applyNumberFormat="1" applyFont="1" applyFill="1" applyBorder="1" applyAlignment="1">
      <alignment horizontal="center" vertical="center" shrinkToFit="1"/>
    </xf>
    <xf numFmtId="0" fontId="134" fillId="0" borderId="15" xfId="150" applyFont="1" applyBorder="1" applyAlignment="1">
      <alignment horizontal="left" vertical="center" shrinkToFit="1"/>
    </xf>
    <xf numFmtId="0" fontId="134" fillId="0" borderId="69" xfId="150" applyFont="1" applyBorder="1" applyAlignment="1">
      <alignment horizontal="left" vertical="center" shrinkToFit="1"/>
    </xf>
    <xf numFmtId="0" fontId="134" fillId="0" borderId="101" xfId="150" applyFont="1" applyBorder="1" applyAlignment="1">
      <alignment horizontal="left" vertical="center" shrinkToFit="1"/>
    </xf>
    <xf numFmtId="0" fontId="79" fillId="0" borderId="16" xfId="138" applyFont="1" applyBorder="1" applyAlignment="1">
      <alignment horizontal="center" vertical="center" shrinkToFit="1"/>
    </xf>
    <xf numFmtId="0" fontId="134" fillId="0" borderId="137" xfId="138" applyFont="1" applyBorder="1" applyAlignment="1">
      <alignment horizontal="left" vertical="center" shrinkToFit="1"/>
    </xf>
    <xf numFmtId="0" fontId="79" fillId="82" borderId="65" xfId="138" applyFont="1" applyFill="1" applyBorder="1" applyAlignment="1">
      <alignment horizontal="center" vertical="center" shrinkToFit="1"/>
    </xf>
    <xf numFmtId="0" fontId="79" fillId="82" borderId="148" xfId="138" applyFont="1" applyFill="1" applyBorder="1" applyAlignment="1">
      <alignment horizontal="center" vertical="center" shrinkToFit="1"/>
    </xf>
    <xf numFmtId="0" fontId="79" fillId="82" borderId="142" xfId="138" applyFont="1" applyFill="1" applyBorder="1" applyAlignment="1">
      <alignment horizontal="center" vertical="center" shrinkToFit="1"/>
    </xf>
    <xf numFmtId="171" fontId="49" fillId="0" borderId="99" xfId="138" applyNumberFormat="1" applyFont="1" applyBorder="1" applyAlignment="1">
      <alignment horizontal="center" vertical="center" shrinkToFit="1"/>
    </xf>
    <xf numFmtId="0" fontId="49" fillId="0" borderId="15" xfId="138" applyFont="1" applyBorder="1" applyAlignment="1">
      <alignment horizontal="center" vertical="center" shrinkToFit="1"/>
    </xf>
    <xf numFmtId="0" fontId="49" fillId="0" borderId="101" xfId="138" applyFont="1" applyBorder="1" applyAlignment="1">
      <alignment horizontal="center" vertical="center" shrinkToFit="1"/>
    </xf>
    <xf numFmtId="171" fontId="50" fillId="137" borderId="56" xfId="138" applyNumberFormat="1" applyFont="1" applyFill="1" applyBorder="1" applyAlignment="1">
      <alignment horizontal="center" vertical="center" shrinkToFit="1"/>
    </xf>
    <xf numFmtId="171" fontId="50" fillId="137" borderId="57" xfId="138" applyNumberFormat="1" applyFont="1" applyFill="1" applyBorder="1" applyAlignment="1">
      <alignment horizontal="center" vertical="center" shrinkToFit="1"/>
    </xf>
    <xf numFmtId="171" fontId="50" fillId="137" borderId="155" xfId="138" applyNumberFormat="1" applyFont="1" applyFill="1" applyBorder="1" applyAlignment="1">
      <alignment horizontal="center" vertical="center" shrinkToFit="1"/>
    </xf>
    <xf numFmtId="0" fontId="79" fillId="191" borderId="65" xfId="138" applyFont="1" applyFill="1" applyBorder="1" applyAlignment="1">
      <alignment horizontal="center" vertical="center" shrinkToFit="1"/>
    </xf>
    <xf numFmtId="0" fontId="79" fillId="191" borderId="148" xfId="138" applyFont="1" applyFill="1" applyBorder="1" applyAlignment="1">
      <alignment horizontal="center" vertical="center" shrinkToFit="1"/>
    </xf>
    <xf numFmtId="0" fontId="79" fillId="191" borderId="142" xfId="138" applyFont="1" applyFill="1" applyBorder="1" applyAlignment="1">
      <alignment horizontal="center" vertical="center" shrinkToFit="1"/>
    </xf>
    <xf numFmtId="0" fontId="79" fillId="80" borderId="65" xfId="138" applyFont="1" applyFill="1" applyBorder="1" applyAlignment="1">
      <alignment horizontal="center" vertical="center" shrinkToFit="1"/>
    </xf>
    <xf numFmtId="0" fontId="79" fillId="80" borderId="148" xfId="138" applyFont="1" applyFill="1" applyBorder="1" applyAlignment="1">
      <alignment horizontal="center" vertical="center" shrinkToFit="1"/>
    </xf>
    <xf numFmtId="0" fontId="79" fillId="80" borderId="142" xfId="138" applyFont="1" applyFill="1" applyBorder="1" applyAlignment="1">
      <alignment horizontal="center" vertical="center" shrinkToFit="1"/>
    </xf>
    <xf numFmtId="0" fontId="85" fillId="0" borderId="129" xfId="0" applyFont="1" applyBorder="1" applyAlignment="1">
      <alignment horizontal="center"/>
    </xf>
    <xf numFmtId="0" fontId="85" fillId="0" borderId="69" xfId="0" applyFont="1" applyBorder="1" applyAlignment="1">
      <alignment horizontal="center"/>
    </xf>
    <xf numFmtId="0" fontId="85" fillId="0" borderId="101" xfId="0" applyFont="1" applyBorder="1" applyAlignment="1">
      <alignment horizontal="center"/>
    </xf>
    <xf numFmtId="0" fontId="143" fillId="0" borderId="129" xfId="0" applyFont="1" applyBorder="1" applyAlignment="1">
      <alignment horizontal="center"/>
    </xf>
    <xf numFmtId="0" fontId="143" fillId="0" borderId="69" xfId="0" applyFont="1" applyBorder="1" applyAlignment="1">
      <alignment horizontal="center"/>
    </xf>
    <xf numFmtId="0" fontId="143" fillId="0" borderId="152" xfId="0" applyFont="1" applyBorder="1" applyAlignment="1">
      <alignment horizontal="center"/>
    </xf>
    <xf numFmtId="0" fontId="79" fillId="63" borderId="65" xfId="138" applyFont="1" applyFill="1" applyBorder="1" applyAlignment="1">
      <alignment horizontal="center" vertical="center" shrinkToFit="1"/>
    </xf>
    <xf numFmtId="0" fontId="79" fillId="63" borderId="148" xfId="138" applyFont="1" applyFill="1" applyBorder="1" applyAlignment="1">
      <alignment horizontal="center" vertical="center" shrinkToFit="1"/>
    </xf>
    <xf numFmtId="0" fontId="79" fillId="63" borderId="142" xfId="138" applyFont="1" applyFill="1" applyBorder="1" applyAlignment="1">
      <alignment horizontal="center" vertical="center" shrinkToFit="1"/>
    </xf>
    <xf numFmtId="171" fontId="58" fillId="186" borderId="15" xfId="138" applyNumberFormat="1" applyFont="1" applyFill="1" applyBorder="1" applyAlignment="1">
      <alignment horizontal="center" vertical="center" shrinkToFit="1"/>
    </xf>
    <xf numFmtId="171" fontId="58" fillId="186" borderId="69" xfId="138" applyNumberFormat="1" applyFont="1" applyFill="1" applyBorder="1" applyAlignment="1">
      <alignment horizontal="center" vertical="center" shrinkToFit="1"/>
    </xf>
    <xf numFmtId="171" fontId="58" fillId="186" borderId="101" xfId="138" applyNumberFormat="1" applyFont="1" applyFill="1" applyBorder="1" applyAlignment="1">
      <alignment horizontal="center" vertical="center" shrinkToFit="1"/>
    </xf>
    <xf numFmtId="0" fontId="49" fillId="0" borderId="140" xfId="138" applyFont="1" applyBorder="1" applyAlignment="1">
      <alignment horizontal="center" vertical="center" shrinkToFit="1"/>
    </xf>
    <xf numFmtId="0" fontId="49" fillId="0" borderId="141" xfId="138" applyFont="1" applyBorder="1" applyAlignment="1">
      <alignment horizontal="center" vertical="center" shrinkToFit="1"/>
    </xf>
    <xf numFmtId="171" fontId="163" fillId="186" borderId="15" xfId="138" applyNumberFormat="1" applyFont="1" applyFill="1" applyBorder="1" applyAlignment="1">
      <alignment horizontal="center" vertical="center" shrinkToFit="1"/>
    </xf>
    <xf numFmtId="171" fontId="163" fillId="186" borderId="69" xfId="138" applyNumberFormat="1" applyFont="1" applyFill="1" applyBorder="1" applyAlignment="1">
      <alignment horizontal="center" vertical="center" shrinkToFit="1"/>
    </xf>
    <xf numFmtId="171" fontId="163" fillId="186" borderId="101" xfId="138" applyNumberFormat="1" applyFont="1" applyFill="1" applyBorder="1" applyAlignment="1">
      <alignment horizontal="center" vertical="center" shrinkToFit="1"/>
    </xf>
    <xf numFmtId="0" fontId="160" fillId="136" borderId="15" xfId="138" applyFont="1" applyFill="1" applyBorder="1" applyAlignment="1">
      <alignment horizontal="center" vertical="center" shrinkToFit="1"/>
    </xf>
    <xf numFmtId="0" fontId="160" fillId="136" borderId="69" xfId="138" applyFont="1" applyFill="1" applyBorder="1" applyAlignment="1">
      <alignment horizontal="center" vertical="center" shrinkToFit="1"/>
    </xf>
    <xf numFmtId="0" fontId="160" fillId="136" borderId="101" xfId="138" applyFont="1" applyFill="1" applyBorder="1" applyAlignment="1">
      <alignment horizontal="center" vertical="center" shrinkToFit="1"/>
    </xf>
    <xf numFmtId="0" fontId="160" fillId="136" borderId="68" xfId="138" applyFont="1" applyFill="1" applyBorder="1" applyAlignment="1">
      <alignment horizontal="center" vertical="center" shrinkToFit="1"/>
    </xf>
    <xf numFmtId="0" fontId="160" fillId="136" borderId="45" xfId="138" applyFont="1" applyFill="1" applyBorder="1" applyAlignment="1">
      <alignment horizontal="center" vertical="center" shrinkToFit="1"/>
    </xf>
    <xf numFmtId="0" fontId="160" fillId="136" borderId="99" xfId="138" applyFont="1" applyFill="1" applyBorder="1" applyAlignment="1">
      <alignment horizontal="center" vertical="center" shrinkToFit="1"/>
    </xf>
    <xf numFmtId="0" fontId="134" fillId="84" borderId="15" xfId="150" applyFont="1" applyFill="1" applyBorder="1" applyAlignment="1">
      <alignment horizontal="left" vertical="center" shrinkToFit="1"/>
    </xf>
    <xf numFmtId="0" fontId="134" fillId="84" borderId="69" xfId="150" applyFont="1" applyFill="1" applyBorder="1" applyAlignment="1">
      <alignment horizontal="left" vertical="center" shrinkToFit="1"/>
    </xf>
    <xf numFmtId="0" fontId="134" fillId="84" borderId="101" xfId="150" applyFont="1" applyFill="1" applyBorder="1" applyAlignment="1">
      <alignment horizontal="left" vertical="center" shrinkToFit="1"/>
    </xf>
    <xf numFmtId="0" fontId="160" fillId="208" borderId="15" xfId="138" applyFont="1" applyFill="1" applyBorder="1" applyAlignment="1">
      <alignment horizontal="center" vertical="center" shrinkToFit="1"/>
    </xf>
    <xf numFmtId="0" fontId="160" fillId="208" borderId="69" xfId="138" applyFont="1" applyFill="1" applyBorder="1" applyAlignment="1">
      <alignment horizontal="center" vertical="center" shrinkToFit="1"/>
    </xf>
    <xf numFmtId="0" fontId="160" fillId="208" borderId="101" xfId="138" applyFont="1" applyFill="1" applyBorder="1" applyAlignment="1">
      <alignment horizontal="center" vertical="center" shrinkToFit="1"/>
    </xf>
    <xf numFmtId="0" fontId="160" fillId="208" borderId="68" xfId="138" applyFont="1" applyFill="1" applyBorder="1" applyAlignment="1">
      <alignment horizontal="center" vertical="center" shrinkToFit="1"/>
    </xf>
    <xf numFmtId="0" fontId="160" fillId="208" borderId="45" xfId="138" applyFont="1" applyFill="1" applyBorder="1" applyAlignment="1">
      <alignment horizontal="center" vertical="center" shrinkToFit="1"/>
    </xf>
    <xf numFmtId="0" fontId="160" fillId="208" borderId="99" xfId="138" applyFont="1" applyFill="1" applyBorder="1" applyAlignment="1">
      <alignment horizontal="center" vertical="center" shrinkToFit="1"/>
    </xf>
    <xf numFmtId="0" fontId="49" fillId="0" borderId="149" xfId="138" applyFont="1" applyBorder="1" applyAlignment="1">
      <alignment horizontal="center" vertical="center" shrinkToFit="1"/>
    </xf>
    <xf numFmtId="0" fontId="49" fillId="0" borderId="23" xfId="138" applyFont="1" applyBorder="1" applyAlignment="1">
      <alignment horizontal="center" vertical="center" shrinkToFit="1"/>
    </xf>
    <xf numFmtId="0" fontId="85" fillId="0" borderId="15" xfId="0" applyFont="1" applyBorder="1" applyAlignment="1">
      <alignment horizontal="center"/>
    </xf>
    <xf numFmtId="0" fontId="134" fillId="0" borderId="142" xfId="138" applyFont="1" applyBorder="1" applyAlignment="1">
      <alignment horizontal="left" vertical="center" shrinkToFit="1"/>
    </xf>
    <xf numFmtId="0" fontId="160" fillId="55" borderId="15" xfId="138" applyFont="1" applyFill="1" applyBorder="1" applyAlignment="1">
      <alignment horizontal="center" vertical="center" shrinkToFit="1"/>
    </xf>
    <xf numFmtId="0" fontId="160" fillId="55" borderId="69" xfId="138" applyFont="1" applyFill="1" applyBorder="1" applyAlignment="1">
      <alignment horizontal="center" vertical="center" shrinkToFit="1"/>
    </xf>
    <xf numFmtId="0" fontId="160" fillId="55" borderId="101" xfId="138" applyFont="1" applyFill="1" applyBorder="1" applyAlignment="1">
      <alignment horizontal="center" vertical="center" shrinkToFit="1"/>
    </xf>
    <xf numFmtId="0" fontId="160" fillId="55" borderId="68" xfId="138" applyFont="1" applyFill="1" applyBorder="1" applyAlignment="1">
      <alignment horizontal="center" vertical="center" shrinkToFit="1"/>
    </xf>
    <xf numFmtId="0" fontId="160" fillId="55" borderId="45" xfId="138" applyFont="1" applyFill="1" applyBorder="1" applyAlignment="1">
      <alignment horizontal="center" vertical="center" shrinkToFit="1"/>
    </xf>
    <xf numFmtId="0" fontId="160" fillId="55" borderId="99" xfId="138" applyFont="1" applyFill="1" applyBorder="1" applyAlignment="1">
      <alignment horizontal="center" vertical="center" shrinkToFit="1"/>
    </xf>
    <xf numFmtId="0" fontId="70" fillId="137" borderId="15" xfId="138" applyFont="1" applyFill="1" applyBorder="1" applyAlignment="1">
      <alignment horizontal="center" vertical="center" shrinkToFit="1"/>
    </xf>
    <xf numFmtId="0" fontId="70" fillId="137" borderId="69" xfId="138" applyFont="1" applyFill="1" applyBorder="1" applyAlignment="1">
      <alignment horizontal="center" vertical="center" shrinkToFit="1"/>
    </xf>
    <xf numFmtId="0" fontId="79" fillId="34" borderId="90" xfId="138" applyFont="1" applyFill="1" applyBorder="1" applyAlignment="1">
      <alignment horizontal="center" vertical="center" shrinkToFit="1"/>
    </xf>
    <xf numFmtId="0" fontId="79" fillId="34" borderId="0" xfId="138" applyFont="1" applyFill="1" applyAlignment="1">
      <alignment horizontal="center" vertical="center" shrinkToFit="1"/>
    </xf>
    <xf numFmtId="0" fontId="79" fillId="34" borderId="80" xfId="138" applyFont="1" applyFill="1" applyBorder="1" applyAlignment="1">
      <alignment horizontal="center" vertical="center" shrinkToFit="1"/>
    </xf>
    <xf numFmtId="0" fontId="137" fillId="0" borderId="4" xfId="0" applyFont="1" applyBorder="1" applyAlignment="1">
      <alignment horizontal="center"/>
    </xf>
    <xf numFmtId="0" fontId="137" fillId="0" borderId="27" xfId="0" applyFont="1" applyBorder="1" applyAlignment="1">
      <alignment horizontal="center"/>
    </xf>
    <xf numFmtId="0" fontId="137" fillId="0" borderId="5" xfId="0" applyFont="1" applyBorder="1" applyAlignment="1">
      <alignment horizontal="center"/>
    </xf>
    <xf numFmtId="171" fontId="138" fillId="137" borderId="4" xfId="0" applyNumberFormat="1" applyFont="1" applyFill="1" applyBorder="1" applyAlignment="1">
      <alignment horizontal="center"/>
    </xf>
    <xf numFmtId="171" fontId="138" fillId="137" borderId="5" xfId="0" applyNumberFormat="1" applyFont="1" applyFill="1" applyBorder="1" applyAlignment="1">
      <alignment horizontal="center"/>
    </xf>
    <xf numFmtId="0" fontId="140" fillId="0" borderId="4" xfId="0" applyFont="1" applyBorder="1" applyAlignment="1">
      <alignment horizontal="center"/>
    </xf>
    <xf numFmtId="0" fontId="140" fillId="0" borderId="27" xfId="0" applyFont="1" applyBorder="1" applyAlignment="1">
      <alignment horizontal="center"/>
    </xf>
    <xf numFmtId="0" fontId="140" fillId="0" borderId="5" xfId="0" applyFont="1" applyBorder="1" applyAlignment="1">
      <alignment horizontal="center"/>
    </xf>
    <xf numFmtId="171" fontId="138" fillId="102" borderId="4" xfId="0" applyNumberFormat="1" applyFont="1" applyFill="1" applyBorder="1" applyAlignment="1">
      <alignment horizontal="center"/>
    </xf>
    <xf numFmtId="171" fontId="138" fillId="102" borderId="5" xfId="0" applyNumberFormat="1" applyFont="1" applyFill="1" applyBorder="1" applyAlignment="1">
      <alignment horizontal="center"/>
    </xf>
    <xf numFmtId="171" fontId="138" fillId="102" borderId="132" xfId="0" applyNumberFormat="1" applyFont="1" applyFill="1" applyBorder="1" applyAlignment="1">
      <alignment horizontal="center"/>
    </xf>
    <xf numFmtId="171" fontId="138" fillId="102" borderId="133" xfId="0" applyNumberFormat="1" applyFont="1" applyFill="1" applyBorder="1" applyAlignment="1">
      <alignment horizontal="center"/>
    </xf>
    <xf numFmtId="0" fontId="140" fillId="0" borderId="134" xfId="0" applyFont="1" applyBorder="1" applyAlignment="1">
      <alignment horizontal="center"/>
    </xf>
    <xf numFmtId="0" fontId="140" fillId="0" borderId="135" xfId="0" applyFont="1" applyBorder="1" applyAlignment="1">
      <alignment horizontal="center"/>
    </xf>
    <xf numFmtId="0" fontId="142" fillId="88" borderId="33" xfId="0" applyFont="1" applyFill="1" applyBorder="1" applyAlignment="1">
      <alignment horizontal="center" vertical="center"/>
    </xf>
    <xf numFmtId="0" fontId="142" fillId="88" borderId="35" xfId="0" applyFont="1" applyFill="1" applyBorder="1" applyAlignment="1">
      <alignment horizontal="center" vertical="center"/>
    </xf>
    <xf numFmtId="0" fontId="142" fillId="88" borderId="34" xfId="0" applyFont="1" applyFill="1" applyBorder="1" applyAlignment="1">
      <alignment horizontal="center" vertical="center"/>
    </xf>
    <xf numFmtId="0" fontId="142" fillId="88" borderId="51" xfId="0" applyFont="1" applyFill="1" applyBorder="1" applyAlignment="1">
      <alignment horizontal="center" vertical="center"/>
    </xf>
    <xf numFmtId="0" fontId="142" fillId="88" borderId="29" xfId="0" applyFont="1" applyFill="1" applyBorder="1" applyAlignment="1">
      <alignment horizontal="center" vertical="center"/>
    </xf>
    <xf numFmtId="0" fontId="142" fillId="88" borderId="49" xfId="0" applyFont="1" applyFill="1" applyBorder="1" applyAlignment="1">
      <alignment horizontal="center" vertical="center"/>
    </xf>
    <xf numFmtId="0" fontId="140" fillId="0" borderId="122" xfId="0" applyFont="1" applyBorder="1" applyAlignment="1">
      <alignment horizontal="center"/>
    </xf>
    <xf numFmtId="171" fontId="137" fillId="0" borderId="124" xfId="0" applyNumberFormat="1" applyFont="1" applyBorder="1" applyAlignment="1">
      <alignment horizontal="center"/>
    </xf>
    <xf numFmtId="171" fontId="137" fillId="0" borderId="125" xfId="0" applyNumberFormat="1" applyFont="1" applyBorder="1" applyAlignment="1">
      <alignment horizontal="center"/>
    </xf>
    <xf numFmtId="0" fontId="79" fillId="0" borderId="129" xfId="138" applyFont="1" applyBorder="1" applyAlignment="1">
      <alignment horizontal="center" vertical="center" shrinkToFit="1"/>
    </xf>
    <xf numFmtId="0" fontId="79" fillId="0" borderId="69" xfId="138" applyFont="1" applyBorder="1" applyAlignment="1">
      <alignment horizontal="center" vertical="center" shrinkToFit="1"/>
    </xf>
    <xf numFmtId="0" fontId="79" fillId="0" borderId="101" xfId="138" applyFont="1" applyBorder="1" applyAlignment="1">
      <alignment horizontal="center" vertical="center" shrinkToFit="1"/>
    </xf>
    <xf numFmtId="0" fontId="65" fillId="84" borderId="4" xfId="138" applyFont="1" applyFill="1" applyBorder="1" applyAlignment="1">
      <alignment horizontal="center" vertical="center" shrinkToFit="1"/>
    </xf>
    <xf numFmtId="0" fontId="65" fillId="84" borderId="27" xfId="138" applyFont="1" applyFill="1" applyBorder="1" applyAlignment="1">
      <alignment horizontal="center" vertical="center" shrinkToFit="1"/>
    </xf>
    <xf numFmtId="0" fontId="65" fillId="84" borderId="122" xfId="138" applyFont="1" applyFill="1" applyBorder="1" applyAlignment="1">
      <alignment horizontal="center" vertical="center" shrinkToFit="1"/>
    </xf>
    <xf numFmtId="0" fontId="137" fillId="0" borderId="4" xfId="0" applyFont="1" applyBorder="1" applyAlignment="1">
      <alignment horizontal="center" vertical="center"/>
    </xf>
    <xf numFmtId="0" fontId="137" fillId="0" borderId="27" xfId="0" applyFont="1" applyBorder="1" applyAlignment="1">
      <alignment horizontal="center" vertical="center"/>
    </xf>
    <xf numFmtId="0" fontId="137" fillId="0" borderId="5" xfId="0" applyFont="1" applyBorder="1" applyAlignment="1">
      <alignment horizontal="center" vertical="center"/>
    </xf>
    <xf numFmtId="0" fontId="139" fillId="35" borderId="41" xfId="0" applyFont="1" applyFill="1" applyBorder="1" applyAlignment="1">
      <alignment horizontal="center"/>
    </xf>
    <xf numFmtId="0" fontId="139" fillId="35" borderId="0" xfId="0" applyFont="1" applyFill="1" applyAlignment="1">
      <alignment horizontal="center"/>
    </xf>
    <xf numFmtId="0" fontId="126" fillId="136" borderId="4" xfId="260" applyFont="1" applyFill="1" applyBorder="1" applyAlignment="1">
      <alignment horizontal="center" vertical="top" shrinkToFit="1"/>
    </xf>
    <xf numFmtId="0" fontId="126" fillId="136" borderId="27" xfId="260" applyFont="1" applyFill="1" applyBorder="1" applyAlignment="1">
      <alignment horizontal="center" vertical="top" shrinkToFit="1"/>
    </xf>
    <xf numFmtId="0" fontId="126" fillId="136" borderId="5" xfId="260" applyFont="1" applyFill="1" applyBorder="1" applyAlignment="1">
      <alignment horizontal="center" vertical="top" shrinkToFit="1"/>
    </xf>
    <xf numFmtId="171" fontId="127" fillId="136" borderId="4" xfId="260" applyNumberFormat="1" applyFont="1" applyFill="1" applyBorder="1" applyAlignment="1">
      <alignment horizontal="center" vertical="center" shrinkToFit="1"/>
    </xf>
    <xf numFmtId="171" fontId="127" fillId="136" borderId="27" xfId="260" applyNumberFormat="1" applyFont="1" applyFill="1" applyBorder="1" applyAlignment="1">
      <alignment horizontal="center" vertical="center" shrinkToFit="1"/>
    </xf>
    <xf numFmtId="171" fontId="127" fillId="136" borderId="5" xfId="260" applyNumberFormat="1" applyFont="1" applyFill="1" applyBorder="1" applyAlignment="1">
      <alignment horizontal="center" vertical="center" shrinkToFit="1"/>
    </xf>
    <xf numFmtId="0" fontId="132" fillId="137" borderId="4" xfId="138" applyFont="1" applyFill="1" applyBorder="1" applyAlignment="1">
      <alignment horizontal="center" vertical="center" shrinkToFit="1"/>
    </xf>
    <xf numFmtId="0" fontId="132" fillId="137" borderId="27" xfId="138" applyFont="1" applyFill="1" applyBorder="1" applyAlignment="1">
      <alignment horizontal="center" vertical="center" shrinkToFit="1"/>
    </xf>
    <xf numFmtId="0" fontId="132" fillId="137" borderId="5" xfId="138" applyFont="1" applyFill="1" applyBorder="1" applyAlignment="1">
      <alignment horizontal="center" vertical="center" shrinkToFit="1"/>
    </xf>
    <xf numFmtId="171" fontId="52" fillId="137" borderId="4" xfId="138" applyNumberFormat="1" applyFont="1" applyFill="1" applyBorder="1" applyAlignment="1">
      <alignment horizontal="center" vertical="center" shrinkToFit="1"/>
    </xf>
    <xf numFmtId="171" fontId="52" fillId="137" borderId="27" xfId="138" applyNumberFormat="1" applyFont="1" applyFill="1" applyBorder="1" applyAlignment="1">
      <alignment horizontal="center" vertical="center" shrinkToFit="1"/>
    </xf>
    <xf numFmtId="171" fontId="52" fillId="137" borderId="5" xfId="138" applyNumberFormat="1" applyFont="1" applyFill="1" applyBorder="1" applyAlignment="1">
      <alignment horizontal="center" vertical="center" shrinkToFit="1"/>
    </xf>
    <xf numFmtId="0" fontId="54" fillId="0" borderId="33" xfId="160" applyFont="1" applyBorder="1" applyAlignment="1">
      <alignment horizontal="center" vertical="center"/>
    </xf>
    <xf numFmtId="0" fontId="54" fillId="0" borderId="35" xfId="160" applyFont="1" applyBorder="1" applyAlignment="1">
      <alignment horizontal="center" vertical="center"/>
    </xf>
    <xf numFmtId="0" fontId="54" fillId="0" borderId="41" xfId="160" applyFont="1" applyBorder="1" applyAlignment="1">
      <alignment horizontal="center" vertical="center"/>
    </xf>
    <xf numFmtId="0" fontId="54" fillId="0" borderId="0" xfId="160" applyFont="1" applyAlignment="1">
      <alignment horizontal="center" vertical="center"/>
    </xf>
    <xf numFmtId="0" fontId="54" fillId="0" borderId="51" xfId="160" applyFont="1" applyBorder="1" applyAlignment="1">
      <alignment horizontal="center" vertical="center"/>
    </xf>
    <xf numFmtId="0" fontId="54" fillId="0" borderId="29" xfId="160" applyFont="1" applyBorder="1" applyAlignment="1">
      <alignment horizontal="center" vertical="center"/>
    </xf>
    <xf numFmtId="0" fontId="23" fillId="0" borderId="59" xfId="252" applyFont="1" applyBorder="1" applyAlignment="1" applyProtection="1">
      <alignment horizontal="center" vertical="center"/>
    </xf>
    <xf numFmtId="0" fontId="23" fillId="0" borderId="60" xfId="252" applyFont="1" applyBorder="1" applyAlignment="1" applyProtection="1">
      <alignment horizontal="center" vertical="center"/>
    </xf>
    <xf numFmtId="0" fontId="23" fillId="0" borderId="61" xfId="252" applyFont="1" applyBorder="1" applyAlignment="1" applyProtection="1">
      <alignment horizontal="center" vertical="center"/>
    </xf>
    <xf numFmtId="0" fontId="23" fillId="0" borderId="63" xfId="252" applyFont="1" applyBorder="1" applyAlignment="1" applyProtection="1">
      <alignment horizontal="center" vertical="center"/>
    </xf>
    <xf numFmtId="0" fontId="23" fillId="0" borderId="0" xfId="252" applyFont="1" applyAlignment="1" applyProtection="1">
      <alignment horizontal="center" vertical="center"/>
    </xf>
    <xf numFmtId="0" fontId="23" fillId="0" borderId="62" xfId="252" applyFont="1" applyBorder="1" applyAlignment="1" applyProtection="1">
      <alignment horizontal="center" vertical="center"/>
    </xf>
    <xf numFmtId="0" fontId="23" fillId="0" borderId="70" xfId="252" applyFont="1" applyBorder="1" applyAlignment="1" applyProtection="1">
      <alignment horizontal="center" vertical="center"/>
    </xf>
    <xf numFmtId="0" fontId="23" fillId="0" borderId="71" xfId="252" applyFont="1" applyBorder="1" applyAlignment="1" applyProtection="1">
      <alignment horizontal="center" vertical="center"/>
    </xf>
    <xf numFmtId="0" fontId="23" fillId="0" borderId="72" xfId="252" applyFont="1" applyBorder="1" applyAlignment="1" applyProtection="1">
      <alignment horizontal="center" vertical="center"/>
    </xf>
    <xf numFmtId="0" fontId="54" fillId="0" borderId="57" xfId="160" applyFont="1" applyBorder="1" applyAlignment="1">
      <alignment horizontal="center"/>
    </xf>
    <xf numFmtId="0" fontId="82" fillId="97" borderId="26" xfId="255" applyFont="1" applyFill="1" applyBorder="1" applyAlignment="1" applyProtection="1">
      <alignment horizontal="center" vertical="center"/>
    </xf>
    <xf numFmtId="0" fontId="82" fillId="97" borderId="116" xfId="255" applyFont="1" applyFill="1" applyBorder="1" applyAlignment="1" applyProtection="1">
      <alignment horizontal="center" vertical="center"/>
    </xf>
    <xf numFmtId="0" fontId="7" fillId="0" borderId="33" xfId="253" applyFont="1" applyBorder="1" applyAlignment="1" applyProtection="1">
      <alignment horizontal="center" vertical="center"/>
    </xf>
    <xf numFmtId="0" fontId="7" fillId="0" borderId="35" xfId="253" applyFont="1" applyBorder="1" applyAlignment="1" applyProtection="1">
      <alignment horizontal="center" vertical="center"/>
    </xf>
    <xf numFmtId="0" fontId="7" fillId="0" borderId="41" xfId="253" applyFont="1" applyBorder="1" applyAlignment="1" applyProtection="1">
      <alignment horizontal="center" vertical="center"/>
    </xf>
    <xf numFmtId="0" fontId="7" fillId="0" borderId="0" xfId="253" applyFont="1" applyAlignment="1" applyProtection="1">
      <alignment horizontal="center" vertical="center"/>
    </xf>
    <xf numFmtId="0" fontId="7" fillId="0" borderId="51" xfId="253" applyFont="1" applyBorder="1" applyAlignment="1" applyProtection="1">
      <alignment horizontal="center" vertical="center"/>
    </xf>
    <xf numFmtId="0" fontId="7" fillId="0" borderId="29" xfId="253" applyFont="1" applyBorder="1" applyAlignment="1" applyProtection="1">
      <alignment horizontal="center" vertical="center"/>
    </xf>
    <xf numFmtId="0" fontId="62" fillId="97" borderId="117" xfId="253" applyFont="1" applyFill="1" applyBorder="1" applyAlignment="1" applyProtection="1">
      <alignment horizontal="center" vertical="center"/>
    </xf>
    <xf numFmtId="0" fontId="62" fillId="97" borderId="118" xfId="253" applyFont="1" applyFill="1" applyBorder="1" applyAlignment="1" applyProtection="1">
      <alignment horizontal="center" vertical="center"/>
    </xf>
    <xf numFmtId="0" fontId="114" fillId="0" borderId="59" xfId="160" applyFont="1" applyBorder="1" applyAlignment="1">
      <alignment horizontal="center" vertical="center"/>
    </xf>
    <xf numFmtId="0" fontId="114" fillId="0" borderId="60" xfId="160" applyFont="1" applyBorder="1" applyAlignment="1">
      <alignment horizontal="center" vertical="center"/>
    </xf>
    <xf numFmtId="0" fontId="114" fillId="0" borderId="61" xfId="160" applyFont="1" applyBorder="1" applyAlignment="1">
      <alignment horizontal="center" vertical="center"/>
    </xf>
    <xf numFmtId="0" fontId="114" fillId="0" borderId="63" xfId="160" applyFont="1" applyBorder="1" applyAlignment="1">
      <alignment horizontal="center" vertical="center"/>
    </xf>
    <xf numFmtId="0" fontId="114" fillId="0" borderId="0" xfId="160" applyFont="1" applyAlignment="1">
      <alignment horizontal="center" vertical="center"/>
    </xf>
    <xf numFmtId="0" fontId="114" fillId="0" borderId="62" xfId="160" applyFont="1" applyBorder="1" applyAlignment="1">
      <alignment horizontal="center" vertical="center"/>
    </xf>
    <xf numFmtId="0" fontId="114" fillId="0" borderId="70" xfId="160" applyFont="1" applyBorder="1" applyAlignment="1">
      <alignment horizontal="center" vertical="center"/>
    </xf>
    <xf numFmtId="0" fontId="114" fillId="0" borderId="71" xfId="160" applyFont="1" applyBorder="1" applyAlignment="1">
      <alignment horizontal="center" vertical="center"/>
    </xf>
    <xf numFmtId="0" fontId="114" fillId="0" borderId="72" xfId="160" applyFont="1" applyBorder="1" applyAlignment="1">
      <alignment horizontal="center" vertical="center"/>
    </xf>
    <xf numFmtId="0" fontId="86" fillId="35" borderId="0" xfId="253" applyFont="1" applyFill="1" applyAlignment="1" applyProtection="1">
      <alignment horizontal="center" vertical="center"/>
    </xf>
    <xf numFmtId="0" fontId="117" fillId="0" borderId="90" xfId="160" applyFont="1" applyBorder="1" applyAlignment="1">
      <alignment horizontal="center" vertical="center" wrapText="1"/>
    </xf>
    <xf numFmtId="0" fontId="117" fillId="0" borderId="111" xfId="160" applyFont="1" applyBorder="1" applyAlignment="1">
      <alignment horizontal="center" vertical="center" wrapText="1"/>
    </xf>
    <xf numFmtId="0" fontId="54" fillId="0" borderId="34" xfId="160" applyFont="1" applyBorder="1" applyAlignment="1">
      <alignment horizontal="center" vertical="center"/>
    </xf>
    <xf numFmtId="0" fontId="54" fillId="0" borderId="30" xfId="160" applyFont="1" applyBorder="1" applyAlignment="1">
      <alignment horizontal="center" vertical="center"/>
    </xf>
    <xf numFmtId="0" fontId="54" fillId="0" borderId="49" xfId="160" applyFont="1" applyBorder="1" applyAlignment="1">
      <alignment horizontal="center" vertical="center"/>
    </xf>
    <xf numFmtId="0" fontId="57" fillId="0" borderId="57" xfId="0" applyFont="1" applyBorder="1" applyAlignment="1">
      <alignment horizontal="center" vertical="center"/>
    </xf>
    <xf numFmtId="0" fontId="7" fillId="0" borderId="81" xfId="250" applyFont="1" applyBorder="1" applyAlignment="1" applyProtection="1">
      <alignment horizontal="center" vertical="center"/>
    </xf>
    <xf numFmtId="0" fontId="7" fillId="0" borderId="46" xfId="250" applyFont="1" applyBorder="1" applyAlignment="1" applyProtection="1">
      <alignment horizontal="center" vertical="center"/>
    </xf>
    <xf numFmtId="0" fontId="49" fillId="0" borderId="0" xfId="250" applyFont="1" applyAlignment="1" applyProtection="1">
      <alignment horizontal="center" vertical="center"/>
    </xf>
    <xf numFmtId="0" fontId="90" fillId="86" borderId="0" xfId="160" applyFont="1" applyFill="1" applyAlignment="1">
      <alignment horizontal="center" vertical="center"/>
    </xf>
    <xf numFmtId="0" fontId="90" fillId="86" borderId="30" xfId="160" applyFont="1" applyFill="1" applyBorder="1" applyAlignment="1">
      <alignment horizontal="center" vertical="center"/>
    </xf>
    <xf numFmtId="0" fontId="7" fillId="0" borderId="33" xfId="250" applyFont="1" applyBorder="1" applyAlignment="1" applyProtection="1">
      <alignment horizontal="center" vertical="center" wrapText="1"/>
    </xf>
    <xf numFmtId="0" fontId="7" fillId="0" borderId="35" xfId="250" applyFont="1" applyBorder="1" applyAlignment="1" applyProtection="1">
      <alignment horizontal="center" vertical="center" wrapText="1"/>
    </xf>
    <xf numFmtId="0" fontId="7" fillId="0" borderId="34" xfId="250" applyFont="1" applyBorder="1" applyAlignment="1" applyProtection="1">
      <alignment horizontal="center" vertical="center" wrapText="1"/>
    </xf>
    <xf numFmtId="0" fontId="7" fillId="0" borderId="41" xfId="250" applyFont="1" applyBorder="1" applyAlignment="1" applyProtection="1">
      <alignment horizontal="center" vertical="center" wrapText="1"/>
    </xf>
    <xf numFmtId="0" fontId="7" fillId="0" borderId="0" xfId="250" applyFont="1" applyAlignment="1" applyProtection="1">
      <alignment horizontal="center" vertical="center" wrapText="1"/>
    </xf>
    <xf numFmtId="0" fontId="7" fillId="0" borderId="30" xfId="250" applyFont="1" applyBorder="1" applyAlignment="1" applyProtection="1">
      <alignment horizontal="center" vertical="center" wrapText="1"/>
    </xf>
    <xf numFmtId="0" fontId="7" fillId="0" borderId="51" xfId="250" applyFont="1" applyBorder="1" applyAlignment="1" applyProtection="1">
      <alignment horizontal="center" vertical="center" wrapText="1"/>
    </xf>
    <xf numFmtId="0" fontId="7" fillId="0" borderId="29" xfId="250" applyFont="1" applyBorder="1" applyAlignment="1" applyProtection="1">
      <alignment horizontal="center" vertical="center" wrapText="1"/>
    </xf>
    <xf numFmtId="0" fontId="7" fillId="0" borderId="49" xfId="250" applyFont="1" applyBorder="1" applyAlignment="1" applyProtection="1">
      <alignment horizontal="center" vertical="center" wrapText="1"/>
    </xf>
    <xf numFmtId="0" fontId="63" fillId="35" borderId="91" xfId="142" applyFont="1" applyFill="1" applyBorder="1" applyAlignment="1" applyProtection="1">
      <alignment horizontal="center" vertical="center" shrinkToFit="1"/>
    </xf>
    <xf numFmtId="0" fontId="63" fillId="35" borderId="92" xfId="142" applyFont="1" applyFill="1" applyBorder="1" applyAlignment="1" applyProtection="1">
      <alignment horizontal="center" vertical="center" shrinkToFit="1"/>
    </xf>
    <xf numFmtId="0" fontId="63" fillId="35" borderId="94" xfId="142" applyFont="1" applyFill="1" applyBorder="1" applyAlignment="1" applyProtection="1">
      <alignment horizontal="center" vertical="center" shrinkToFit="1"/>
    </xf>
    <xf numFmtId="0" fontId="78" fillId="35" borderId="0" xfId="253" applyFont="1" applyFill="1" applyAlignment="1" applyProtection="1">
      <alignment horizontal="center" vertical="center"/>
    </xf>
    <xf numFmtId="0" fontId="90" fillId="81" borderId="45" xfId="0" applyFont="1" applyFill="1" applyBorder="1" applyAlignment="1">
      <alignment horizontal="center" vertical="center"/>
    </xf>
    <xf numFmtId="0" fontId="107" fillId="0" borderId="66" xfId="160" applyFont="1" applyBorder="1" applyAlignment="1">
      <alignment horizontal="center" vertical="center"/>
    </xf>
    <xf numFmtId="0" fontId="107" fillId="0" borderId="67" xfId="160" applyFont="1" applyBorder="1" applyAlignment="1">
      <alignment horizontal="center" vertical="center"/>
    </xf>
    <xf numFmtId="0" fontId="86" fillId="115" borderId="0" xfId="252" applyFont="1" applyFill="1" applyAlignment="1" applyProtection="1">
      <alignment horizontal="center" vertical="center"/>
    </xf>
    <xf numFmtId="0" fontId="86" fillId="35" borderId="0" xfId="160" applyFont="1" applyFill="1" applyAlignment="1">
      <alignment horizontal="center" vertical="center"/>
    </xf>
    <xf numFmtId="0" fontId="55" fillId="35" borderId="20" xfId="250" applyFont="1" applyFill="1" applyBorder="1" applyAlignment="1" applyProtection="1">
      <alignment horizontal="center"/>
    </xf>
    <xf numFmtId="0" fontId="86" fillId="0" borderId="41" xfId="253" applyFont="1" applyBorder="1" applyAlignment="1" applyProtection="1">
      <alignment horizontal="center" vertical="center"/>
    </xf>
    <xf numFmtId="0" fontId="86" fillId="0" borderId="0" xfId="253" applyFont="1" applyAlignment="1" applyProtection="1">
      <alignment horizontal="center" vertical="center"/>
    </xf>
    <xf numFmtId="0" fontId="86" fillId="86" borderId="0" xfId="160" applyFont="1" applyFill="1" applyAlignment="1">
      <alignment horizontal="center" vertical="center"/>
    </xf>
    <xf numFmtId="0" fontId="94" fillId="35" borderId="81" xfId="253" applyFont="1" applyFill="1" applyBorder="1" applyAlignment="1" applyProtection="1">
      <alignment horizontal="center" vertical="center" wrapText="1"/>
    </xf>
    <xf numFmtId="0" fontId="94" fillId="35" borderId="40" xfId="253" applyFont="1" applyFill="1" applyBorder="1" applyAlignment="1" applyProtection="1">
      <alignment horizontal="center" vertical="center" wrapText="1"/>
    </xf>
    <xf numFmtId="0" fontId="94" fillId="35" borderId="46" xfId="253" applyFont="1" applyFill="1" applyBorder="1" applyAlignment="1" applyProtection="1">
      <alignment horizontal="center" vertical="center" wrapText="1"/>
    </xf>
    <xf numFmtId="0" fontId="84" fillId="0" borderId="81" xfId="253" applyFont="1" applyBorder="1" applyAlignment="1" applyProtection="1">
      <alignment horizontal="center" vertical="center" wrapText="1"/>
    </xf>
    <xf numFmtId="0" fontId="84" fillId="0" borderId="40" xfId="253" applyFont="1" applyBorder="1" applyAlignment="1" applyProtection="1">
      <alignment horizontal="center" vertical="center" wrapText="1"/>
    </xf>
    <xf numFmtId="0" fontId="84" fillId="0" borderId="46" xfId="253" applyFont="1" applyBorder="1" applyAlignment="1" applyProtection="1">
      <alignment horizontal="center" vertical="center" wrapText="1"/>
    </xf>
    <xf numFmtId="0" fontId="7" fillId="97" borderId="33" xfId="253" applyFont="1" applyFill="1" applyBorder="1" applyAlignment="1" applyProtection="1">
      <alignment horizontal="center" vertical="center"/>
    </xf>
    <xf numFmtId="0" fontId="7" fillId="97" borderId="34" xfId="253" applyFont="1" applyFill="1" applyBorder="1" applyAlignment="1" applyProtection="1">
      <alignment horizontal="center" vertical="center"/>
    </xf>
    <xf numFmtId="0" fontId="7" fillId="97" borderId="51" xfId="253" applyFont="1" applyFill="1" applyBorder="1" applyAlignment="1" applyProtection="1">
      <alignment horizontal="center" vertical="center"/>
    </xf>
    <xf numFmtId="0" fontId="7" fillId="97" borderId="49" xfId="253" applyFont="1" applyFill="1" applyBorder="1" applyAlignment="1" applyProtection="1">
      <alignment horizontal="center" vertical="center"/>
    </xf>
    <xf numFmtId="0" fontId="95" fillId="97" borderId="0" xfId="252" applyFont="1" applyFill="1" applyAlignment="1" applyProtection="1">
      <alignment horizontal="center" vertical="center"/>
    </xf>
    <xf numFmtId="0" fontId="33" fillId="35" borderId="45" xfId="0" applyFont="1" applyFill="1" applyBorder="1" applyAlignment="1">
      <alignment horizontal="center" vertical="center"/>
    </xf>
    <xf numFmtId="0" fontId="57" fillId="0" borderId="35" xfId="252" applyFont="1" applyBorder="1" applyAlignment="1" applyProtection="1">
      <alignment horizontal="center" vertical="center"/>
    </xf>
    <xf numFmtId="0" fontId="93" fillId="35" borderId="80" xfId="253" applyFont="1" applyFill="1" applyBorder="1" applyAlignment="1" applyProtection="1">
      <alignment horizontal="center" vertical="center"/>
    </xf>
    <xf numFmtId="0" fontId="77" fillId="115" borderId="44" xfId="250" applyFont="1" applyFill="1" applyBorder="1" applyAlignment="1" applyProtection="1">
      <alignment horizontal="center" vertical="center" wrapText="1"/>
    </xf>
    <xf numFmtId="0" fontId="77" fillId="115" borderId="34" xfId="250" applyFont="1" applyFill="1" applyBorder="1" applyAlignment="1" applyProtection="1">
      <alignment horizontal="center" vertical="center" wrapText="1"/>
    </xf>
    <xf numFmtId="0" fontId="77" fillId="115" borderId="43" xfId="250" applyFont="1" applyFill="1" applyBorder="1" applyAlignment="1" applyProtection="1">
      <alignment horizontal="center" vertical="center" wrapText="1"/>
    </xf>
    <xf numFmtId="0" fontId="77" fillId="115" borderId="30" xfId="250" applyFont="1" applyFill="1" applyBorder="1" applyAlignment="1" applyProtection="1">
      <alignment horizontal="center" vertical="center" wrapText="1"/>
    </xf>
    <xf numFmtId="0" fontId="77" fillId="115" borderId="48" xfId="250" applyFont="1" applyFill="1" applyBorder="1" applyAlignment="1" applyProtection="1">
      <alignment horizontal="center" vertical="center" wrapText="1"/>
    </xf>
    <xf numFmtId="0" fontId="77" fillId="115" borderId="49" xfId="250" applyFont="1" applyFill="1" applyBorder="1" applyAlignment="1" applyProtection="1">
      <alignment horizontal="center" vertical="center" wrapText="1"/>
    </xf>
    <xf numFmtId="0" fontId="55" fillId="35" borderId="45" xfId="250" applyFont="1" applyFill="1" applyBorder="1" applyAlignment="1" applyProtection="1">
      <alignment horizontal="center" vertical="center"/>
    </xf>
    <xf numFmtId="0" fontId="80" fillId="117" borderId="56" xfId="255" applyFont="1" applyFill="1" applyBorder="1" applyAlignment="1" applyProtection="1">
      <alignment horizontal="center" vertical="center"/>
    </xf>
    <xf numFmtId="0" fontId="80" fillId="117" borderId="57" xfId="255" applyFont="1" applyFill="1" applyBorder="1" applyAlignment="1" applyProtection="1">
      <alignment horizontal="center" vertical="center"/>
    </xf>
    <xf numFmtId="49" fontId="7" fillId="35" borderId="59" xfId="250" applyNumberFormat="1" applyFont="1" applyFill="1" applyBorder="1" applyAlignment="1" applyProtection="1">
      <alignment horizontal="center" vertical="center" wrapText="1"/>
    </xf>
    <xf numFmtId="49" fontId="7" fillId="35" borderId="60" xfId="250" applyNumberFormat="1" applyFont="1" applyFill="1" applyBorder="1" applyAlignment="1" applyProtection="1">
      <alignment horizontal="center" vertical="center" wrapText="1"/>
    </xf>
    <xf numFmtId="49" fontId="7" fillId="35" borderId="61" xfId="250" applyNumberFormat="1" applyFont="1" applyFill="1" applyBorder="1" applyAlignment="1" applyProtection="1">
      <alignment horizontal="center" vertical="center" wrapText="1"/>
    </xf>
    <xf numFmtId="49" fontId="7" fillId="35" borderId="63" xfId="250" applyNumberFormat="1" applyFont="1" applyFill="1" applyBorder="1" applyAlignment="1" applyProtection="1">
      <alignment horizontal="center" vertical="center" wrapText="1"/>
    </xf>
    <xf numFmtId="49" fontId="7" fillId="35" borderId="0" xfId="250" applyNumberFormat="1" applyFont="1" applyFill="1" applyAlignment="1" applyProtection="1">
      <alignment horizontal="center" vertical="center" wrapText="1"/>
    </xf>
    <xf numFmtId="49" fontId="7" fillId="35" borderId="62" xfId="250" applyNumberFormat="1" applyFont="1" applyFill="1" applyBorder="1" applyAlignment="1" applyProtection="1">
      <alignment horizontal="center" vertical="center" wrapText="1"/>
    </xf>
    <xf numFmtId="49" fontId="7" fillId="35" borderId="70" xfId="250" applyNumberFormat="1" applyFont="1" applyFill="1" applyBorder="1" applyAlignment="1" applyProtection="1">
      <alignment horizontal="center" vertical="center" wrapText="1"/>
    </xf>
    <xf numFmtId="49" fontId="7" fillId="35" borderId="71" xfId="250" applyNumberFormat="1" applyFont="1" applyFill="1" applyBorder="1" applyAlignment="1" applyProtection="1">
      <alignment horizontal="center" vertical="center" wrapText="1"/>
    </xf>
    <xf numFmtId="49" fontId="7" fillId="35" borderId="72" xfId="250" applyNumberFormat="1" applyFont="1" applyFill="1" applyBorder="1" applyAlignment="1" applyProtection="1">
      <alignment horizontal="center" vertical="center" wrapText="1"/>
    </xf>
    <xf numFmtId="0" fontId="55" fillId="35" borderId="45" xfId="253" applyFont="1" applyFill="1" applyBorder="1" applyAlignment="1" applyProtection="1">
      <alignment horizontal="center" vertical="center"/>
    </xf>
    <xf numFmtId="0" fontId="7" fillId="0" borderId="66" xfId="253" applyFont="1" applyBorder="1" applyAlignment="1" applyProtection="1">
      <alignment horizontal="center" vertical="center"/>
    </xf>
    <xf numFmtId="0" fontId="7" fillId="0" borderId="67" xfId="253" applyFont="1" applyBorder="1" applyAlignment="1" applyProtection="1">
      <alignment horizontal="center" vertical="center"/>
    </xf>
    <xf numFmtId="0" fontId="33" fillId="35" borderId="69" xfId="0" applyFont="1" applyFill="1" applyBorder="1" applyAlignment="1">
      <alignment horizontal="center" vertical="center"/>
    </xf>
    <xf numFmtId="0" fontId="65" fillId="0" borderId="0" xfId="250" applyFont="1" applyAlignment="1" applyProtection="1">
      <alignment horizontal="center" vertical="center"/>
    </xf>
    <xf numFmtId="0" fontId="65" fillId="0" borderId="29" xfId="253" applyFont="1" applyBorder="1" applyAlignment="1" applyProtection="1">
      <alignment horizontal="center" vertical="center" wrapText="1"/>
    </xf>
    <xf numFmtId="0" fontId="67" fillId="0" borderId="31" xfId="250" applyFont="1" applyBorder="1" applyAlignment="1" applyProtection="1">
      <alignment horizontal="center" vertical="center" wrapText="1"/>
    </xf>
    <xf numFmtId="0" fontId="67" fillId="0" borderId="40" xfId="250" applyFont="1" applyBorder="1" applyAlignment="1" applyProtection="1">
      <alignment horizontal="center" vertical="center" wrapText="1"/>
    </xf>
    <xf numFmtId="0" fontId="67" fillId="0" borderId="46" xfId="250" applyFont="1" applyBorder="1" applyAlignment="1" applyProtection="1">
      <alignment horizontal="center" vertical="center" wrapText="1"/>
    </xf>
    <xf numFmtId="0" fontId="7" fillId="0" borderId="33" xfId="250" applyFont="1" applyBorder="1" applyAlignment="1" applyProtection="1">
      <alignment horizontal="center" vertical="center"/>
    </xf>
    <xf numFmtId="0" fontId="7" fillId="0" borderId="34" xfId="250" applyFont="1" applyBorder="1" applyAlignment="1" applyProtection="1">
      <alignment horizontal="center" vertical="center"/>
    </xf>
    <xf numFmtId="0" fontId="7" fillId="0" borderId="41" xfId="250" applyFont="1" applyBorder="1" applyAlignment="1" applyProtection="1">
      <alignment horizontal="center" vertical="center"/>
    </xf>
    <xf numFmtId="0" fontId="7" fillId="0" borderId="30" xfId="250" applyFont="1" applyBorder="1" applyAlignment="1" applyProtection="1">
      <alignment horizontal="center" vertical="center"/>
    </xf>
    <xf numFmtId="0" fontId="7" fillId="0" borderId="51" xfId="250" applyFont="1" applyBorder="1" applyAlignment="1" applyProtection="1">
      <alignment horizontal="center" vertical="center"/>
    </xf>
    <xf numFmtId="0" fontId="7" fillId="0" borderId="49" xfId="250" applyFont="1" applyBorder="1" applyAlignment="1" applyProtection="1">
      <alignment horizontal="center" vertical="center"/>
    </xf>
    <xf numFmtId="0" fontId="7" fillId="0" borderId="35" xfId="250" applyFont="1" applyBorder="1" applyAlignment="1" applyProtection="1">
      <alignment horizontal="center" vertical="center"/>
    </xf>
    <xf numFmtId="0" fontId="7" fillId="0" borderId="36" xfId="250" applyFont="1" applyBorder="1" applyAlignment="1" applyProtection="1">
      <alignment horizontal="center" vertical="center"/>
    </xf>
    <xf numFmtId="0" fontId="7" fillId="0" borderId="0" xfId="250" applyFont="1" applyAlignment="1" applyProtection="1">
      <alignment horizontal="center" vertical="center"/>
    </xf>
    <xf numFmtId="0" fontId="7" fillId="0" borderId="42" xfId="250" applyFont="1" applyBorder="1" applyAlignment="1" applyProtection="1">
      <alignment horizontal="center" vertical="center"/>
    </xf>
    <xf numFmtId="0" fontId="7" fillId="0" borderId="29" xfId="250" applyFont="1" applyBorder="1" applyAlignment="1" applyProtection="1">
      <alignment horizontal="center" vertical="center"/>
    </xf>
    <xf numFmtId="0" fontId="7" fillId="0" borderId="52" xfId="250" applyFont="1" applyBorder="1" applyAlignment="1" applyProtection="1">
      <alignment horizontal="center" vertical="center"/>
    </xf>
    <xf numFmtId="0" fontId="7" fillId="0" borderId="37" xfId="253" applyFont="1" applyBorder="1" applyAlignment="1" applyProtection="1">
      <alignment horizontal="center" vertical="center"/>
    </xf>
    <xf numFmtId="0" fontId="7" fillId="0" borderId="38" xfId="253" applyFont="1" applyBorder="1" applyAlignment="1" applyProtection="1">
      <alignment horizontal="center" vertical="center"/>
    </xf>
    <xf numFmtId="0" fontId="7" fillId="0" borderId="39" xfId="253" applyFont="1" applyBorder="1" applyAlignment="1" applyProtection="1">
      <alignment horizontal="center" vertical="center"/>
    </xf>
    <xf numFmtId="0" fontId="7" fillId="0" borderId="43" xfId="253" applyFont="1" applyBorder="1" applyAlignment="1" applyProtection="1">
      <alignment horizontal="center" vertical="center"/>
    </xf>
    <xf numFmtId="0" fontId="7" fillId="0" borderId="42" xfId="253" applyFont="1" applyBorder="1" applyAlignment="1" applyProtection="1">
      <alignment horizontal="center" vertical="center"/>
    </xf>
    <xf numFmtId="0" fontId="7" fillId="0" borderId="53" xfId="253" applyFont="1" applyBorder="1" applyAlignment="1" applyProtection="1">
      <alignment horizontal="center" vertical="center"/>
    </xf>
    <xf numFmtId="0" fontId="7" fillId="0" borderId="54" xfId="253" applyFont="1" applyBorder="1" applyAlignment="1" applyProtection="1">
      <alignment horizontal="center" vertical="center"/>
    </xf>
    <xf numFmtId="0" fontId="7" fillId="0" borderId="55" xfId="253" applyFont="1" applyBorder="1" applyAlignment="1" applyProtection="1">
      <alignment horizontal="center" vertical="center"/>
    </xf>
    <xf numFmtId="0" fontId="33" fillId="35" borderId="29" xfId="0" applyFont="1" applyFill="1" applyBorder="1" applyAlignment="1">
      <alignment horizontal="center" vertical="center"/>
    </xf>
    <xf numFmtId="172" fontId="59" fillId="104" borderId="27" xfId="250" applyNumberFormat="1" applyFont="1" applyFill="1" applyBorder="1" applyAlignment="1" applyProtection="1">
      <alignment horizontal="center" vertical="center" wrapText="1"/>
    </xf>
    <xf numFmtId="172" fontId="59" fillId="104" borderId="5" xfId="250" applyNumberFormat="1" applyFont="1" applyFill="1" applyBorder="1" applyAlignment="1" applyProtection="1">
      <alignment horizontal="center" vertical="center" wrapText="1"/>
    </xf>
    <xf numFmtId="172" fontId="2" fillId="0" borderId="0" xfId="250" applyNumberFormat="1" applyAlignment="1" applyProtection="1">
      <alignment vertical="center"/>
    </xf>
    <xf numFmtId="172" fontId="23" fillId="0" borderId="0" xfId="0" applyNumberFormat="1" applyFont="1" applyAlignment="1">
      <alignment vertical="center"/>
    </xf>
    <xf numFmtId="172" fontId="0" fillId="0" borderId="0" xfId="0" applyNumberFormat="1"/>
    <xf numFmtId="172" fontId="4" fillId="0" borderId="0" xfId="160" applyNumberFormat="1" applyAlignment="1">
      <alignment vertical="center"/>
    </xf>
    <xf numFmtId="172" fontId="60" fillId="0" borderId="0" xfId="251" applyNumberFormat="1" applyFont="1" applyAlignment="1" applyProtection="1">
      <alignment vertical="center"/>
    </xf>
    <xf numFmtId="172" fontId="61" fillId="0" borderId="0" xfId="250" applyNumberFormat="1" applyFont="1" applyAlignment="1" applyProtection="1">
      <alignment vertical="center" wrapText="1"/>
    </xf>
    <xf numFmtId="172" fontId="61" fillId="0" borderId="0" xfId="250" applyNumberFormat="1" applyFont="1" applyAlignment="1" applyProtection="1">
      <alignment horizontal="left" vertical="center" wrapText="1"/>
    </xf>
    <xf numFmtId="172" fontId="61" fillId="84" borderId="0" xfId="250" applyNumberFormat="1" applyFont="1" applyFill="1" applyAlignment="1" applyProtection="1">
      <alignment vertical="center" wrapText="1"/>
    </xf>
    <xf numFmtId="172" fontId="61" fillId="84" borderId="0" xfId="250" applyNumberFormat="1" applyFont="1" applyFill="1" applyAlignment="1" applyProtection="1">
      <alignment horizontal="left" vertical="center" wrapText="1"/>
    </xf>
    <xf numFmtId="172" fontId="24" fillId="0" borderId="0" xfId="250" applyNumberFormat="1" applyFont="1" applyAlignment="1" applyProtection="1">
      <alignment horizontal="left" vertical="center"/>
    </xf>
    <xf numFmtId="172" fontId="62" fillId="0" borderId="0" xfId="250" applyNumberFormat="1" applyFont="1" applyAlignment="1" applyProtection="1">
      <alignment horizontal="center" vertical="center"/>
    </xf>
    <xf numFmtId="172" fontId="62" fillId="84" borderId="0" xfId="250" applyNumberFormat="1" applyFont="1" applyFill="1" applyAlignment="1" applyProtection="1">
      <alignment horizontal="center" vertical="center"/>
    </xf>
    <xf numFmtId="172" fontId="63" fillId="84" borderId="0" xfId="160" applyNumberFormat="1" applyFont="1" applyFill="1" applyAlignment="1">
      <alignment horizontal="center" vertical="center" shrinkToFit="1"/>
    </xf>
    <xf numFmtId="172" fontId="64" fillId="84" borderId="0" xfId="250" applyNumberFormat="1" applyFont="1" applyFill="1" applyAlignment="1" applyProtection="1">
      <alignment horizontal="left" vertical="center"/>
    </xf>
    <xf numFmtId="172" fontId="7" fillId="84" borderId="0" xfId="250" applyNumberFormat="1" applyFont="1" applyFill="1" applyAlignment="1" applyProtection="1">
      <alignment vertical="center"/>
    </xf>
    <xf numFmtId="172" fontId="24" fillId="84" borderId="0" xfId="250" applyNumberFormat="1" applyFont="1" applyFill="1" applyAlignment="1" applyProtection="1">
      <alignment vertical="center"/>
    </xf>
    <xf numFmtId="172" fontId="64" fillId="0" borderId="0" xfId="250" applyNumberFormat="1" applyFont="1" applyAlignment="1" applyProtection="1">
      <alignment horizontal="left" vertical="center"/>
    </xf>
    <xf numFmtId="172" fontId="65" fillId="84" borderId="0" xfId="250" applyNumberFormat="1" applyFont="1" applyFill="1" applyAlignment="1" applyProtection="1">
      <alignment horizontal="center" vertical="center"/>
    </xf>
    <xf numFmtId="172" fontId="7" fillId="84" borderId="0" xfId="252" applyNumberFormat="1" applyFont="1" applyFill="1" applyAlignment="1" applyProtection="1">
      <alignment vertical="center"/>
    </xf>
    <xf numFmtId="172" fontId="7" fillId="0" borderId="0" xfId="250" applyNumberFormat="1" applyFont="1" applyAlignment="1" applyProtection="1">
      <alignment vertical="center"/>
    </xf>
    <xf numFmtId="172" fontId="24" fillId="0" borderId="0" xfId="250" applyNumberFormat="1" applyFont="1" applyAlignment="1" applyProtection="1">
      <alignment vertical="center"/>
    </xf>
    <xf numFmtId="172" fontId="2" fillId="0" borderId="0" xfId="250" applyNumberFormat="1" applyAlignment="1" applyProtection="1">
      <alignment horizontal="left" vertical="center"/>
    </xf>
    <xf numFmtId="172" fontId="62" fillId="0" borderId="0" xfId="250" applyNumberFormat="1" applyFont="1" applyAlignment="1" applyProtection="1">
      <alignment vertical="center"/>
    </xf>
    <xf numFmtId="172" fontId="2" fillId="0" borderId="0" xfId="253" applyNumberFormat="1" applyFont="1" applyAlignment="1" applyProtection="1">
      <alignment vertical="center"/>
    </xf>
    <xf numFmtId="172" fontId="2" fillId="84" borderId="28" xfId="253" applyNumberFormat="1" applyFont="1" applyFill="1" applyBorder="1" applyAlignment="1" applyProtection="1">
      <alignment vertical="center"/>
    </xf>
    <xf numFmtId="172" fontId="66" fillId="84" borderId="28" xfId="160" applyNumberFormat="1" applyFont="1" applyFill="1" applyBorder="1" applyAlignment="1">
      <alignment horizontal="center" vertical="center"/>
    </xf>
    <xf numFmtId="172" fontId="2" fillId="84" borderId="29" xfId="253" applyNumberFormat="1" applyFont="1" applyFill="1" applyBorder="1" applyAlignment="1" applyProtection="1">
      <alignment vertical="center"/>
    </xf>
    <xf numFmtId="172" fontId="2" fillId="84" borderId="29" xfId="253" applyNumberFormat="1" applyFont="1" applyFill="1" applyBorder="1" applyAlignment="1" applyProtection="1">
      <alignment horizontal="left" vertical="center"/>
    </xf>
    <xf numFmtId="172" fontId="2" fillId="0" borderId="28" xfId="253" applyNumberFormat="1" applyFont="1" applyBorder="1" applyAlignment="1" applyProtection="1">
      <alignment vertical="center"/>
    </xf>
    <xf numFmtId="172" fontId="2" fillId="0" borderId="29" xfId="253" applyNumberFormat="1" applyFont="1" applyBorder="1" applyAlignment="1" applyProtection="1">
      <alignment vertical="center"/>
    </xf>
    <xf numFmtId="172" fontId="65" fillId="84" borderId="29" xfId="253" applyNumberFormat="1" applyFont="1" applyFill="1" applyBorder="1" applyAlignment="1" applyProtection="1">
      <alignment horizontal="center" vertical="center" wrapText="1"/>
    </xf>
    <xf numFmtId="172" fontId="2" fillId="84" borderId="0" xfId="253" applyNumberFormat="1" applyFont="1" applyFill="1" applyAlignment="1" applyProtection="1">
      <alignment vertical="center"/>
    </xf>
    <xf numFmtId="172" fontId="23" fillId="0" borderId="0" xfId="160" applyNumberFormat="1" applyFont="1" applyAlignment="1">
      <alignment vertical="center"/>
    </xf>
    <xf numFmtId="172" fontId="23" fillId="0" borderId="30" xfId="160" applyNumberFormat="1" applyFont="1" applyBorder="1" applyAlignment="1">
      <alignment vertical="center"/>
    </xf>
    <xf numFmtId="172" fontId="67" fillId="84" borderId="31" xfId="250" applyNumberFormat="1" applyFont="1" applyFill="1" applyBorder="1" applyAlignment="1" applyProtection="1">
      <alignment horizontal="center" vertical="center" wrapText="1"/>
    </xf>
    <xf numFmtId="172" fontId="66" fillId="296" borderId="32" xfId="254" applyNumberFormat="1" applyFont="1" applyFill="1" applyBorder="1" applyAlignment="1" applyProtection="1">
      <alignment horizontal="center" vertical="center"/>
    </xf>
    <xf numFmtId="172" fontId="0" fillId="84" borderId="0" xfId="0" applyNumberFormat="1" applyFill="1"/>
    <xf numFmtId="172" fontId="68" fillId="297" borderId="2" xfId="254" applyNumberFormat="1" applyFont="1" applyFill="1" applyBorder="1" applyAlignment="1" applyProtection="1">
      <alignment horizontal="center" vertical="center"/>
    </xf>
    <xf numFmtId="172" fontId="69" fillId="84" borderId="0" xfId="161" applyNumberFormat="1" applyFont="1" applyFill="1" applyAlignment="1">
      <alignment horizontal="center" vertical="center"/>
    </xf>
    <xf numFmtId="172" fontId="69" fillId="0" borderId="0" xfId="161" applyNumberFormat="1" applyFont="1" applyAlignment="1">
      <alignment horizontal="center" vertical="center"/>
    </xf>
    <xf numFmtId="172" fontId="70" fillId="84" borderId="1" xfId="0" applyNumberFormat="1" applyFont="1" applyFill="1" applyBorder="1" applyAlignment="1">
      <alignment horizontal="center" vertical="center"/>
    </xf>
    <xf numFmtId="172" fontId="70" fillId="299" borderId="1" xfId="138" applyNumberFormat="1" applyFont="1" applyFill="1" applyBorder="1" applyAlignment="1">
      <alignment horizontal="center" vertical="center" shrinkToFit="1"/>
    </xf>
    <xf numFmtId="172" fontId="71" fillId="300" borderId="1" xfId="0" applyNumberFormat="1" applyFont="1" applyFill="1" applyBorder="1" applyAlignment="1">
      <alignment horizontal="center" vertical="center"/>
    </xf>
    <xf numFmtId="172" fontId="72" fillId="296" borderId="1" xfId="142" applyNumberFormat="1" applyFont="1" applyFill="1" applyBorder="1" applyAlignment="1" applyProtection="1">
      <alignment horizontal="center" vertical="center" shrinkToFit="1"/>
    </xf>
    <xf numFmtId="172" fontId="73" fillId="298" borderId="1" xfId="142" applyNumberFormat="1" applyFont="1" applyFill="1" applyBorder="1" applyAlignment="1" applyProtection="1">
      <alignment horizontal="center" vertical="center" shrinkToFit="1"/>
    </xf>
    <xf numFmtId="172" fontId="74" fillId="301" borderId="1" xfId="138" applyNumberFormat="1" applyFont="1" applyFill="1" applyBorder="1" applyAlignment="1">
      <alignment horizontal="center" vertical="center" shrinkToFit="1"/>
    </xf>
    <xf numFmtId="172" fontId="74" fillId="84" borderId="1" xfId="138" applyNumberFormat="1" applyFont="1" applyFill="1" applyBorder="1" applyAlignment="1">
      <alignment horizontal="center" vertical="center" shrinkToFit="1"/>
    </xf>
    <xf numFmtId="172" fontId="74" fillId="302" borderId="1" xfId="138" applyNumberFormat="1" applyFont="1" applyFill="1" applyBorder="1" applyAlignment="1">
      <alignment horizontal="center" vertical="center" shrinkToFit="1"/>
    </xf>
    <xf numFmtId="172" fontId="74" fillId="303" borderId="15" xfId="138" applyNumberFormat="1" applyFont="1" applyFill="1" applyBorder="1" applyAlignment="1">
      <alignment horizontal="center" vertical="center" shrinkToFit="1"/>
    </xf>
    <xf numFmtId="172" fontId="23" fillId="84" borderId="0" xfId="0" applyNumberFormat="1" applyFont="1" applyFill="1" applyAlignment="1">
      <alignment vertical="center"/>
    </xf>
    <xf numFmtId="172" fontId="7" fillId="84" borderId="33" xfId="250" applyNumberFormat="1" applyFont="1" applyFill="1" applyBorder="1" applyAlignment="1" applyProtection="1">
      <alignment horizontal="center" vertical="center"/>
    </xf>
    <xf numFmtId="172" fontId="7" fillId="84" borderId="34" xfId="250" applyNumberFormat="1" applyFont="1" applyFill="1" applyBorder="1" applyAlignment="1" applyProtection="1">
      <alignment horizontal="center" vertical="center"/>
    </xf>
    <xf numFmtId="172" fontId="7" fillId="84" borderId="35" xfId="250" applyNumberFormat="1" applyFont="1" applyFill="1" applyBorder="1" applyAlignment="1" applyProtection="1">
      <alignment horizontal="center" vertical="center"/>
    </xf>
    <xf numFmtId="172" fontId="7" fillId="84" borderId="36" xfId="250" applyNumberFormat="1" applyFont="1" applyFill="1" applyBorder="1" applyAlignment="1" applyProtection="1">
      <alignment horizontal="center" vertical="center"/>
    </xf>
    <xf numFmtId="172" fontId="7" fillId="84" borderId="37" xfId="253" applyNumberFormat="1" applyFont="1" applyFill="1" applyBorder="1" applyAlignment="1" applyProtection="1">
      <alignment horizontal="center" vertical="center"/>
    </xf>
    <xf numFmtId="172" fontId="7" fillId="84" borderId="38" xfId="253" applyNumberFormat="1" applyFont="1" applyFill="1" applyBorder="1" applyAlignment="1" applyProtection="1">
      <alignment horizontal="center" vertical="center"/>
    </xf>
    <xf numFmtId="172" fontId="7" fillId="84" borderId="39" xfId="253" applyNumberFormat="1" applyFont="1" applyFill="1" applyBorder="1" applyAlignment="1" applyProtection="1">
      <alignment horizontal="center" vertical="center"/>
    </xf>
    <xf numFmtId="172" fontId="67" fillId="84" borderId="40" xfId="250" applyNumberFormat="1" applyFont="1" applyFill="1" applyBorder="1" applyAlignment="1" applyProtection="1">
      <alignment horizontal="center" vertical="center" wrapText="1"/>
    </xf>
    <xf numFmtId="172" fontId="75" fillId="84" borderId="0" xfId="161" applyNumberFormat="1" applyFont="1" applyFill="1" applyAlignment="1">
      <alignment horizontal="center" vertical="center" shrinkToFit="1"/>
    </xf>
    <xf numFmtId="172" fontId="0" fillId="84" borderId="0" xfId="0" applyNumberFormat="1" applyFill="1" applyAlignment="1">
      <alignment horizontal="center" vertical="center"/>
    </xf>
    <xf numFmtId="172" fontId="7" fillId="84" borderId="41" xfId="250" applyNumberFormat="1" applyFont="1" applyFill="1" applyBorder="1" applyAlignment="1" applyProtection="1">
      <alignment horizontal="center" vertical="center"/>
    </xf>
    <xf numFmtId="172" fontId="7" fillId="84" borderId="30" xfId="250" applyNumberFormat="1" applyFont="1" applyFill="1" applyBorder="1" applyAlignment="1" applyProtection="1">
      <alignment horizontal="center" vertical="center"/>
    </xf>
    <xf numFmtId="172" fontId="7" fillId="84" borderId="0" xfId="250" applyNumberFormat="1" applyFont="1" applyFill="1" applyAlignment="1" applyProtection="1">
      <alignment horizontal="center" vertical="center"/>
    </xf>
    <xf numFmtId="172" fontId="7" fillId="84" borderId="42" xfId="250" applyNumberFormat="1" applyFont="1" applyFill="1" applyBorder="1" applyAlignment="1" applyProtection="1">
      <alignment horizontal="center" vertical="center"/>
    </xf>
    <xf numFmtId="172" fontId="7" fillId="84" borderId="43" xfId="253" applyNumberFormat="1" applyFont="1" applyFill="1" applyBorder="1" applyAlignment="1" applyProtection="1">
      <alignment horizontal="center" vertical="center"/>
    </xf>
    <xf numFmtId="172" fontId="7" fillId="84" borderId="0" xfId="253" applyNumberFormat="1" applyFont="1" applyFill="1" applyAlignment="1" applyProtection="1">
      <alignment horizontal="center" vertical="center"/>
    </xf>
    <xf numFmtId="172" fontId="7" fillId="84" borderId="42" xfId="253" applyNumberFormat="1" applyFont="1" applyFill="1" applyBorder="1" applyAlignment="1" applyProtection="1">
      <alignment horizontal="center" vertical="center"/>
    </xf>
    <xf numFmtId="172" fontId="2" fillId="84" borderId="0" xfId="250" applyNumberFormat="1" applyFill="1" applyAlignment="1" applyProtection="1">
      <alignment vertical="center"/>
    </xf>
    <xf numFmtId="172" fontId="7" fillId="84" borderId="0" xfId="250" applyNumberFormat="1" applyFont="1" applyFill="1" applyAlignment="1" applyProtection="1">
      <alignment horizontal="left" vertical="center" wrapText="1"/>
    </xf>
    <xf numFmtId="172" fontId="7" fillId="0" borderId="0" xfId="250" applyNumberFormat="1" applyFont="1" applyAlignment="1" applyProtection="1">
      <alignment horizontal="left" vertical="center" wrapText="1"/>
    </xf>
    <xf numFmtId="172" fontId="12" fillId="84" borderId="0" xfId="131" applyNumberFormat="1" applyFill="1"/>
    <xf numFmtId="172" fontId="76" fillId="84" borderId="0" xfId="160" applyNumberFormat="1" applyFont="1" applyFill="1" applyAlignment="1">
      <alignment horizontal="center" vertical="center"/>
    </xf>
    <xf numFmtId="172" fontId="77" fillId="296" borderId="44" xfId="250" applyNumberFormat="1" applyFont="1" applyFill="1" applyBorder="1" applyAlignment="1" applyProtection="1">
      <alignment horizontal="center" vertical="center" wrapText="1"/>
    </xf>
    <xf numFmtId="172" fontId="77" fillId="296" borderId="34" xfId="250" applyNumberFormat="1" applyFont="1" applyFill="1" applyBorder="1" applyAlignment="1" applyProtection="1">
      <alignment horizontal="center" vertical="center" wrapText="1"/>
    </xf>
    <xf numFmtId="172" fontId="78" fillId="84" borderId="0" xfId="253" applyNumberFormat="1" applyFont="1" applyFill="1" applyAlignment="1" applyProtection="1">
      <alignment horizontal="center" vertical="center"/>
    </xf>
    <xf numFmtId="172" fontId="79" fillId="84" borderId="0" xfId="253" applyNumberFormat="1" applyFont="1" applyFill="1" applyAlignment="1" applyProtection="1">
      <alignment vertical="center"/>
    </xf>
    <xf numFmtId="172" fontId="23" fillId="84" borderId="0" xfId="252" applyNumberFormat="1" applyFont="1" applyFill="1" applyAlignment="1" applyProtection="1">
      <alignment vertical="center"/>
    </xf>
    <xf numFmtId="172" fontId="4" fillId="84" borderId="0" xfId="160" applyNumberFormat="1" applyFill="1" applyAlignment="1">
      <alignment vertical="center"/>
    </xf>
    <xf numFmtId="172" fontId="77" fillId="296" borderId="43" xfId="250" applyNumberFormat="1" applyFont="1" applyFill="1" applyBorder="1" applyAlignment="1" applyProtection="1">
      <alignment horizontal="center" vertical="center" wrapText="1"/>
    </xf>
    <xf numFmtId="172" fontId="77" fillId="296" borderId="30" xfId="250" applyNumberFormat="1" applyFont="1" applyFill="1" applyBorder="1" applyAlignment="1" applyProtection="1">
      <alignment horizontal="center" vertical="center" wrapText="1"/>
    </xf>
    <xf numFmtId="172" fontId="23" fillId="84" borderId="0" xfId="160" applyNumberFormat="1" applyFont="1" applyFill="1" applyAlignment="1">
      <alignment vertical="center"/>
    </xf>
    <xf numFmtId="172" fontId="57" fillId="84" borderId="0" xfId="252" applyNumberFormat="1" applyFont="1" applyFill="1" applyAlignment="1" applyProtection="1">
      <alignment horizontal="center" vertical="center"/>
    </xf>
    <xf numFmtId="172" fontId="23" fillId="0" borderId="0" xfId="252" applyNumberFormat="1" applyFont="1" applyAlignment="1" applyProtection="1">
      <alignment vertical="center"/>
    </xf>
    <xf numFmtId="172" fontId="2" fillId="84" borderId="0" xfId="250" applyNumberFormat="1" applyFill="1" applyAlignment="1" applyProtection="1">
      <alignment horizontal="right" vertical="center"/>
    </xf>
    <xf numFmtId="172" fontId="55" fillId="84" borderId="45" xfId="250" applyNumberFormat="1" applyFont="1" applyFill="1" applyBorder="1" applyAlignment="1" applyProtection="1">
      <alignment horizontal="center" vertical="center"/>
    </xf>
    <xf numFmtId="172" fontId="80" fillId="84" borderId="0" xfId="252" applyNumberFormat="1" applyFont="1" applyFill="1" applyAlignment="1" applyProtection="1">
      <alignment horizontal="center" vertical="center"/>
    </xf>
    <xf numFmtId="172" fontId="67" fillId="84" borderId="46" xfId="250" applyNumberFormat="1" applyFont="1" applyFill="1" applyBorder="1" applyAlignment="1" applyProtection="1">
      <alignment horizontal="center" vertical="center" wrapText="1"/>
    </xf>
    <xf numFmtId="172" fontId="80" fillId="296" borderId="47" xfId="255" applyNumberFormat="1" applyFont="1" applyFill="1" applyBorder="1" applyAlignment="1" applyProtection="1">
      <alignment horizontal="center" vertical="center"/>
    </xf>
    <xf numFmtId="172" fontId="72" fillId="298" borderId="1" xfId="142" applyNumberFormat="1" applyFont="1" applyFill="1" applyBorder="1" applyAlignment="1" applyProtection="1">
      <alignment horizontal="center" vertical="center" shrinkToFit="1"/>
    </xf>
    <xf numFmtId="172" fontId="77" fillId="296" borderId="48" xfId="250" applyNumberFormat="1" applyFont="1" applyFill="1" applyBorder="1" applyAlignment="1" applyProtection="1">
      <alignment horizontal="center" vertical="center" wrapText="1"/>
    </xf>
    <xf numFmtId="172" fontId="77" fillId="296" borderId="49" xfId="250" applyNumberFormat="1" applyFont="1" applyFill="1" applyBorder="1" applyAlignment="1" applyProtection="1">
      <alignment horizontal="center" vertical="center" wrapText="1"/>
    </xf>
    <xf numFmtId="172" fontId="23" fillId="0" borderId="50" xfId="160" applyNumberFormat="1" applyFont="1" applyBorder="1" applyAlignment="1">
      <alignment vertical="center"/>
    </xf>
    <xf numFmtId="172" fontId="79" fillId="84" borderId="1" xfId="138" applyNumberFormat="1" applyFont="1" applyFill="1" applyBorder="1" applyAlignment="1">
      <alignment horizontal="center" vertical="center" shrinkToFit="1"/>
    </xf>
    <xf numFmtId="172" fontId="81" fillId="84" borderId="1" xfId="0" applyNumberFormat="1" applyFont="1" applyFill="1" applyBorder="1" applyAlignment="1">
      <alignment horizontal="center"/>
    </xf>
    <xf numFmtId="172" fontId="80" fillId="84" borderId="1" xfId="255" applyNumberFormat="1" applyFont="1" applyFill="1" applyBorder="1" applyAlignment="1" applyProtection="1">
      <alignment horizontal="center" vertical="center"/>
    </xf>
    <xf numFmtId="172" fontId="7" fillId="84" borderId="51" xfId="250" applyNumberFormat="1" applyFont="1" applyFill="1" applyBorder="1" applyAlignment="1" applyProtection="1">
      <alignment horizontal="center" vertical="center"/>
    </xf>
    <xf numFmtId="172" fontId="7" fillId="84" borderId="49" xfId="250" applyNumberFormat="1" applyFont="1" applyFill="1" applyBorder="1" applyAlignment="1" applyProtection="1">
      <alignment horizontal="center" vertical="center"/>
    </xf>
    <xf numFmtId="172" fontId="7" fillId="84" borderId="29" xfId="250" applyNumberFormat="1" applyFont="1" applyFill="1" applyBorder="1" applyAlignment="1" applyProtection="1">
      <alignment horizontal="center" vertical="center"/>
    </xf>
    <xf numFmtId="172" fontId="7" fillId="84" borderId="52" xfId="250" applyNumberFormat="1" applyFont="1" applyFill="1" applyBorder="1" applyAlignment="1" applyProtection="1">
      <alignment horizontal="center" vertical="center"/>
    </xf>
    <xf numFmtId="172" fontId="7" fillId="84" borderId="53" xfId="253" applyNumberFormat="1" applyFont="1" applyFill="1" applyBorder="1" applyAlignment="1" applyProtection="1">
      <alignment horizontal="center" vertical="center"/>
    </xf>
    <xf numFmtId="172" fontId="7" fillId="84" borderId="54" xfId="253" applyNumberFormat="1" applyFont="1" applyFill="1" applyBorder="1" applyAlignment="1" applyProtection="1">
      <alignment horizontal="center" vertical="center"/>
    </xf>
    <xf numFmtId="172" fontId="7" fillId="84" borderId="55" xfId="253" applyNumberFormat="1" applyFont="1" applyFill="1" applyBorder="1" applyAlignment="1" applyProtection="1">
      <alignment horizontal="center" vertical="center"/>
    </xf>
    <xf numFmtId="172" fontId="78" fillId="84" borderId="0" xfId="253" applyNumberFormat="1" applyFont="1" applyFill="1" applyAlignment="1" applyProtection="1">
      <alignment vertical="center"/>
    </xf>
    <xf numFmtId="172" fontId="80" fillId="84" borderId="56" xfId="255" applyNumberFormat="1" applyFont="1" applyFill="1" applyBorder="1" applyAlignment="1" applyProtection="1">
      <alignment horizontal="center" vertical="center"/>
    </xf>
    <xf numFmtId="172" fontId="80" fillId="84" borderId="57" xfId="255" applyNumberFormat="1" applyFont="1" applyFill="1" applyBorder="1" applyAlignment="1" applyProtection="1">
      <alignment horizontal="center" vertical="center"/>
    </xf>
    <xf numFmtId="172" fontId="79" fillId="84" borderId="29" xfId="253" applyNumberFormat="1" applyFont="1" applyFill="1" applyBorder="1" applyAlignment="1" applyProtection="1">
      <alignment vertical="center"/>
    </xf>
    <xf numFmtId="172" fontId="2" fillId="84" borderId="52" xfId="253" applyNumberFormat="1" applyFont="1" applyFill="1" applyBorder="1" applyAlignment="1" applyProtection="1">
      <alignment vertical="center"/>
    </xf>
    <xf numFmtId="172" fontId="2" fillId="84" borderId="30" xfId="250" applyNumberFormat="1" applyFill="1" applyBorder="1" applyAlignment="1" applyProtection="1">
      <alignment vertical="center"/>
    </xf>
    <xf numFmtId="172" fontId="75" fillId="84" borderId="0" xfId="160" applyNumberFormat="1" applyFont="1" applyFill="1" applyAlignment="1">
      <alignment horizontal="center" vertical="center" shrinkToFit="1"/>
    </xf>
    <xf numFmtId="172" fontId="2" fillId="84" borderId="58" xfId="253" applyNumberFormat="1" applyFont="1" applyFill="1" applyBorder="1" applyAlignment="1" applyProtection="1">
      <alignment vertical="center"/>
    </xf>
    <xf numFmtId="172" fontId="3" fillId="84" borderId="0" xfId="253" applyNumberFormat="1" applyFont="1" applyFill="1" applyAlignment="1" applyProtection="1">
      <alignment vertical="center"/>
      <protection hidden="1"/>
    </xf>
    <xf numFmtId="172" fontId="7" fillId="84" borderId="59" xfId="250" applyNumberFormat="1" applyFont="1" applyFill="1" applyBorder="1" applyAlignment="1" applyProtection="1">
      <alignment horizontal="center" vertical="center" wrapText="1"/>
    </xf>
    <xf numFmtId="172" fontId="7" fillId="84" borderId="60" xfId="250" applyNumberFormat="1" applyFont="1" applyFill="1" applyBorder="1" applyAlignment="1" applyProtection="1">
      <alignment horizontal="center" vertical="center" wrapText="1"/>
    </xf>
    <xf numFmtId="172" fontId="7" fillId="84" borderId="61" xfId="250" applyNumberFormat="1" applyFont="1" applyFill="1" applyBorder="1" applyAlignment="1" applyProtection="1">
      <alignment horizontal="center" vertical="center" wrapText="1"/>
    </xf>
    <xf numFmtId="172" fontId="82" fillId="84" borderId="62" xfId="254" applyNumberFormat="1" applyFont="1" applyFill="1" applyBorder="1" applyAlignment="1" applyProtection="1">
      <alignment horizontal="center" vertical="center"/>
    </xf>
    <xf numFmtId="172" fontId="76" fillId="84" borderId="0" xfId="160" applyNumberFormat="1" applyFont="1" applyFill="1" applyAlignment="1">
      <alignment horizontal="left" vertical="center"/>
    </xf>
    <xf numFmtId="172" fontId="83" fillId="84" borderId="1" xfId="0" applyNumberFormat="1" applyFont="1" applyFill="1" applyBorder="1" applyAlignment="1">
      <alignment horizontal="center"/>
    </xf>
    <xf numFmtId="172" fontId="7" fillId="84" borderId="63" xfId="250" applyNumberFormat="1" applyFont="1" applyFill="1" applyBorder="1" applyAlignment="1" applyProtection="1">
      <alignment horizontal="center" vertical="center" wrapText="1"/>
    </xf>
    <xf numFmtId="172" fontId="7" fillId="84" borderId="0" xfId="250" applyNumberFormat="1" applyFont="1" applyFill="1" applyAlignment="1" applyProtection="1">
      <alignment horizontal="center" vertical="center" wrapText="1"/>
    </xf>
    <xf numFmtId="172" fontId="7" fillId="84" borderId="62" xfId="250" applyNumberFormat="1" applyFont="1" applyFill="1" applyBorder="1" applyAlignment="1" applyProtection="1">
      <alignment horizontal="center" vertical="center" wrapText="1"/>
    </xf>
    <xf numFmtId="172" fontId="60" fillId="84" borderId="0" xfId="253" applyNumberFormat="1" applyFont="1" applyFill="1" applyAlignment="1" applyProtection="1">
      <alignment vertical="center"/>
    </xf>
    <xf numFmtId="172" fontId="55" fillId="84" borderId="45" xfId="253" applyNumberFormat="1" applyFont="1" applyFill="1" applyBorder="1" applyAlignment="1" applyProtection="1">
      <alignment horizontal="center" vertical="center"/>
    </xf>
    <xf numFmtId="172" fontId="23" fillId="84" borderId="30" xfId="252" applyNumberFormat="1" applyFont="1" applyFill="1" applyBorder="1" applyAlignment="1" applyProtection="1">
      <alignment vertical="center"/>
    </xf>
    <xf numFmtId="172" fontId="70" fillId="84" borderId="1" xfId="138" applyNumberFormat="1" applyFont="1" applyFill="1" applyBorder="1" applyAlignment="1">
      <alignment horizontal="center" vertical="center" shrinkToFit="1"/>
    </xf>
    <xf numFmtId="172" fontId="76" fillId="0" borderId="0" xfId="160" applyNumberFormat="1" applyFont="1" applyAlignment="1">
      <alignment horizontal="left" vertical="center"/>
    </xf>
    <xf numFmtId="172" fontId="83" fillId="84" borderId="64" xfId="0" applyNumberFormat="1" applyFont="1" applyFill="1" applyBorder="1" applyAlignment="1">
      <alignment horizontal="center"/>
    </xf>
    <xf numFmtId="172" fontId="84" fillId="84" borderId="0" xfId="253" applyNumberFormat="1" applyFont="1" applyFill="1" applyAlignment="1" applyProtection="1">
      <alignment vertical="center"/>
    </xf>
    <xf numFmtId="172" fontId="62" fillId="84" borderId="0" xfId="253" applyNumberFormat="1" applyFont="1" applyFill="1" applyAlignment="1" applyProtection="1">
      <alignment vertical="center"/>
    </xf>
    <xf numFmtId="172" fontId="67" fillId="84" borderId="0" xfId="253" applyNumberFormat="1" applyFont="1" applyFill="1" applyAlignment="1" applyProtection="1">
      <alignment horizontal="center" vertical="center"/>
    </xf>
    <xf numFmtId="172" fontId="82" fillId="84" borderId="65" xfId="255" applyNumberFormat="1" applyFont="1" applyFill="1" applyBorder="1" applyAlignment="1" applyProtection="1">
      <alignment horizontal="center" vertical="center"/>
    </xf>
    <xf numFmtId="172" fontId="7" fillId="84" borderId="66" xfId="253" applyNumberFormat="1" applyFont="1" applyFill="1" applyBorder="1" applyAlignment="1" applyProtection="1">
      <alignment horizontal="center" vertical="center"/>
    </xf>
    <xf numFmtId="172" fontId="7" fillId="84" borderId="67" xfId="253" applyNumberFormat="1" applyFont="1" applyFill="1" applyBorder="1" applyAlignment="1" applyProtection="1">
      <alignment horizontal="center" vertical="center"/>
    </xf>
    <xf numFmtId="172" fontId="82" fillId="84" borderId="68" xfId="255" applyNumberFormat="1" applyFont="1" applyFill="1" applyBorder="1" applyAlignment="1" applyProtection="1">
      <alignment horizontal="center" vertical="center"/>
    </xf>
    <xf numFmtId="172" fontId="35" fillId="0" borderId="0" xfId="252" applyNumberFormat="1" applyFont="1" applyAlignment="1" applyProtection="1">
      <alignment horizontal="center" vertical="center"/>
    </xf>
    <xf numFmtId="172" fontId="35" fillId="84" borderId="0" xfId="252" applyNumberFormat="1" applyFont="1" applyFill="1" applyAlignment="1" applyProtection="1">
      <alignment horizontal="center" vertical="center"/>
    </xf>
    <xf numFmtId="172" fontId="33" fillId="84" borderId="69" xfId="0" applyNumberFormat="1" applyFont="1" applyFill="1" applyBorder="1" applyAlignment="1">
      <alignment horizontal="center" vertical="center"/>
    </xf>
    <xf numFmtId="172" fontId="7" fillId="84" borderId="70" xfId="250" applyNumberFormat="1" applyFont="1" applyFill="1" applyBorder="1" applyAlignment="1" applyProtection="1">
      <alignment horizontal="center" vertical="center" wrapText="1"/>
    </xf>
    <xf numFmtId="172" fontId="7" fillId="84" borderId="71" xfId="250" applyNumberFormat="1" applyFont="1" applyFill="1" applyBorder="1" applyAlignment="1" applyProtection="1">
      <alignment horizontal="center" vertical="center" wrapText="1"/>
    </xf>
    <xf numFmtId="172" fontId="7" fillId="84" borderId="72" xfId="250" applyNumberFormat="1" applyFont="1" applyFill="1" applyBorder="1" applyAlignment="1" applyProtection="1">
      <alignment horizontal="center" vertical="center" wrapText="1"/>
    </xf>
    <xf numFmtId="172" fontId="85" fillId="84" borderId="1" xfId="0" applyNumberFormat="1" applyFont="1" applyFill="1" applyBorder="1" applyAlignment="1">
      <alignment horizontal="center"/>
    </xf>
    <xf numFmtId="172" fontId="86" fillId="84" borderId="0" xfId="160" applyNumberFormat="1" applyFont="1" applyFill="1" applyAlignment="1">
      <alignment vertical="center"/>
    </xf>
    <xf numFmtId="172" fontId="78" fillId="0" borderId="0" xfId="253" applyNumberFormat="1" applyFont="1" applyAlignment="1" applyProtection="1">
      <alignment vertical="center"/>
    </xf>
    <xf numFmtId="172" fontId="2" fillId="84" borderId="58" xfId="253" applyNumberFormat="1" applyFont="1" applyFill="1" applyBorder="1" applyAlignment="1" applyProtection="1">
      <alignment horizontal="center" vertical="center"/>
    </xf>
    <xf numFmtId="172" fontId="57" fillId="84" borderId="0" xfId="161" applyNumberFormat="1" applyFont="1" applyFill="1" applyAlignment="1">
      <alignment horizontal="center"/>
    </xf>
    <xf numFmtId="172" fontId="57" fillId="0" borderId="0" xfId="161" applyNumberFormat="1" applyFont="1" applyAlignment="1">
      <alignment horizontal="center"/>
    </xf>
    <xf numFmtId="172" fontId="23" fillId="84" borderId="0" xfId="252" applyNumberFormat="1" applyFont="1" applyFill="1" applyProtection="1"/>
    <xf numFmtId="172" fontId="70" fillId="298" borderId="1" xfId="138" applyNumberFormat="1" applyFont="1" applyFill="1" applyBorder="1" applyAlignment="1">
      <alignment horizontal="center" vertical="center" shrinkToFit="1"/>
    </xf>
    <xf numFmtId="172" fontId="0" fillId="0" borderId="30" xfId="0" applyNumberFormat="1" applyBorder="1"/>
    <xf numFmtId="172" fontId="65" fillId="84" borderId="0" xfId="256" applyNumberFormat="1" applyFont="1" applyFill="1" applyAlignment="1" applyProtection="1">
      <alignment horizontal="center" vertical="center"/>
    </xf>
    <xf numFmtId="172" fontId="87" fillId="84" borderId="0" xfId="152" applyNumberFormat="1" applyFont="1" applyFill="1" applyAlignment="1" applyProtection="1">
      <alignment horizontal="center" vertical="center" shrinkToFit="1"/>
    </xf>
    <xf numFmtId="172" fontId="2" fillId="84" borderId="41" xfId="253" applyNumberFormat="1" applyFont="1" applyFill="1" applyBorder="1" applyAlignment="1" applyProtection="1">
      <alignment vertical="center"/>
    </xf>
    <xf numFmtId="172" fontId="79" fillId="0" borderId="0" xfId="253" applyNumberFormat="1" applyFont="1" applyAlignment="1" applyProtection="1">
      <alignment vertical="center"/>
    </xf>
    <xf numFmtId="172" fontId="23" fillId="84" borderId="62" xfId="252" applyNumberFormat="1" applyFont="1" applyFill="1" applyBorder="1" applyAlignment="1" applyProtection="1">
      <alignment vertical="center"/>
    </xf>
    <xf numFmtId="172" fontId="57" fillId="0" borderId="0" xfId="0" applyNumberFormat="1" applyFont="1" applyAlignment="1">
      <alignment horizontal="center" vertical="center"/>
    </xf>
    <xf numFmtId="172" fontId="78" fillId="84" borderId="73" xfId="253" applyNumberFormat="1" applyFont="1" applyFill="1" applyBorder="1" applyAlignment="1" applyProtection="1">
      <alignment vertical="center"/>
    </xf>
    <xf numFmtId="172" fontId="51" fillId="84" borderId="0" xfId="138" applyNumberFormat="1" applyFont="1" applyFill="1" applyAlignment="1">
      <alignment horizontal="center" vertical="center" shrinkToFit="1"/>
    </xf>
    <xf numFmtId="172" fontId="88" fillId="84" borderId="0" xfId="142" applyNumberFormat="1" applyFont="1" applyFill="1" applyAlignment="1" applyProtection="1">
      <alignment horizontal="center" vertical="center" shrinkToFit="1"/>
    </xf>
    <xf numFmtId="172" fontId="89" fillId="84" borderId="0" xfId="142" applyNumberFormat="1" applyFont="1" applyFill="1" applyAlignment="1" applyProtection="1">
      <alignment horizontal="center" vertical="center" shrinkToFit="1"/>
    </xf>
    <xf numFmtId="172" fontId="89" fillId="0" borderId="0" xfId="142" applyNumberFormat="1" applyFont="1" applyAlignment="1" applyProtection="1">
      <alignment horizontal="center" vertical="center" shrinkToFit="1"/>
    </xf>
    <xf numFmtId="172" fontId="90" fillId="84" borderId="0" xfId="160" applyNumberFormat="1" applyFont="1" applyFill="1" applyAlignment="1">
      <alignment horizontal="center" vertical="center"/>
    </xf>
    <xf numFmtId="172" fontId="2" fillId="0" borderId="0" xfId="253" applyNumberFormat="1" applyFont="1" applyAlignment="1" applyProtection="1">
      <alignment horizontal="center" vertical="center"/>
    </xf>
    <xf numFmtId="172" fontId="62" fillId="0" borderId="0" xfId="253" applyNumberFormat="1" applyFont="1" applyAlignment="1" applyProtection="1">
      <alignment horizontal="center" vertical="center"/>
    </xf>
    <xf numFmtId="172" fontId="0" fillId="0" borderId="29" xfId="0" applyNumberFormat="1" applyBorder="1"/>
    <xf numFmtId="172" fontId="0" fillId="0" borderId="49" xfId="0" applyNumberFormat="1" applyBorder="1"/>
    <xf numFmtId="172" fontId="86" fillId="84" borderId="0" xfId="253" applyNumberFormat="1" applyFont="1" applyFill="1" applyAlignment="1" applyProtection="1">
      <alignment horizontal="center" vertical="center"/>
    </xf>
    <xf numFmtId="172" fontId="2" fillId="84" borderId="0" xfId="252" applyNumberFormat="1" applyFont="1" applyFill="1" applyAlignment="1" applyProtection="1">
      <alignment vertical="center"/>
    </xf>
    <xf numFmtId="172" fontId="2" fillId="0" borderId="0" xfId="252" applyNumberFormat="1" applyFont="1" applyAlignment="1" applyProtection="1">
      <alignment vertical="center"/>
    </xf>
    <xf numFmtId="172" fontId="3" fillId="0" borderId="0" xfId="253" applyNumberFormat="1" applyFont="1" applyAlignment="1" applyProtection="1">
      <alignment vertical="center"/>
      <protection hidden="1"/>
    </xf>
    <xf numFmtId="172" fontId="65" fillId="0" borderId="41" xfId="256" applyNumberFormat="1" applyFont="1" applyBorder="1" applyAlignment="1" applyProtection="1">
      <alignment horizontal="center" vertical="center"/>
    </xf>
    <xf numFmtId="172" fontId="91" fillId="0" borderId="74" xfId="253" applyNumberFormat="1" applyFont="1" applyBorder="1" applyAlignment="1" applyProtection="1">
      <alignment vertical="center"/>
    </xf>
    <xf numFmtId="172" fontId="91" fillId="0" borderId="75" xfId="253" applyNumberFormat="1" applyFont="1" applyBorder="1" applyAlignment="1" applyProtection="1">
      <alignment vertical="center"/>
    </xf>
    <xf numFmtId="172" fontId="91" fillId="0" borderId="34" xfId="253" applyNumberFormat="1" applyFont="1" applyBorder="1" applyAlignment="1" applyProtection="1">
      <alignment vertical="center"/>
    </xf>
    <xf numFmtId="172" fontId="90" fillId="0" borderId="41" xfId="131" applyNumberFormat="1" applyFont="1" applyBorder="1" applyAlignment="1">
      <alignment horizontal="center" vertical="center"/>
    </xf>
    <xf numFmtId="172" fontId="65" fillId="0" borderId="0" xfId="256" applyNumberFormat="1" applyFont="1" applyAlignment="1" applyProtection="1">
      <alignment horizontal="center" vertical="center"/>
    </xf>
    <xf numFmtId="172" fontId="33" fillId="84" borderId="45" xfId="0" applyNumberFormat="1" applyFont="1" applyFill="1" applyBorder="1" applyAlignment="1">
      <alignment horizontal="center" vertical="center"/>
    </xf>
    <xf numFmtId="172" fontId="91" fillId="0" borderId="76" xfId="253" applyNumberFormat="1" applyFont="1" applyBorder="1" applyAlignment="1" applyProtection="1">
      <alignment vertical="center"/>
    </xf>
    <xf numFmtId="172" fontId="91" fillId="0" borderId="77" xfId="253" applyNumberFormat="1" applyFont="1" applyBorder="1" applyAlignment="1" applyProtection="1">
      <alignment vertical="center"/>
    </xf>
    <xf numFmtId="172" fontId="91" fillId="0" borderId="30" xfId="253" applyNumberFormat="1" applyFont="1" applyBorder="1" applyAlignment="1" applyProtection="1">
      <alignment vertical="center"/>
    </xf>
    <xf numFmtId="172" fontId="23" fillId="84" borderId="59" xfId="252" applyNumberFormat="1" applyFont="1" applyFill="1" applyBorder="1" applyAlignment="1" applyProtection="1">
      <alignment horizontal="center" vertical="center"/>
    </xf>
    <xf numFmtId="172" fontId="23" fillId="84" borderId="61" xfId="252" applyNumberFormat="1" applyFont="1" applyFill="1" applyBorder="1" applyAlignment="1" applyProtection="1">
      <alignment horizontal="center" vertical="center"/>
    </xf>
    <xf numFmtId="172" fontId="23" fillId="0" borderId="41" xfId="0" applyNumberFormat="1" applyFont="1" applyBorder="1" applyAlignment="1">
      <alignment vertical="center"/>
    </xf>
    <xf numFmtId="172" fontId="92" fillId="84" borderId="1" xfId="255" applyNumberFormat="1" applyFont="1" applyFill="1" applyBorder="1" applyAlignment="1" applyProtection="1">
      <alignment horizontal="center" vertical="center"/>
    </xf>
    <xf numFmtId="172" fontId="23" fillId="84" borderId="63" xfId="252" applyNumberFormat="1" applyFont="1" applyFill="1" applyBorder="1" applyAlignment="1" applyProtection="1">
      <alignment horizontal="center" vertical="center"/>
    </xf>
    <xf numFmtId="172" fontId="23" fillId="84" borderId="62" xfId="252" applyNumberFormat="1" applyFont="1" applyFill="1" applyBorder="1" applyAlignment="1" applyProtection="1">
      <alignment horizontal="center" vertical="center"/>
    </xf>
    <xf numFmtId="172" fontId="86" fillId="0" borderId="0" xfId="160" applyNumberFormat="1" applyFont="1" applyAlignment="1">
      <alignment horizontal="center" vertical="center"/>
    </xf>
    <xf numFmtId="172" fontId="23" fillId="84" borderId="70" xfId="252" applyNumberFormat="1" applyFont="1" applyFill="1" applyBorder="1" applyAlignment="1" applyProtection="1">
      <alignment horizontal="center" vertical="center"/>
    </xf>
    <xf numFmtId="172" fontId="23" fillId="84" borderId="72" xfId="252" applyNumberFormat="1" applyFont="1" applyFill="1" applyBorder="1" applyAlignment="1" applyProtection="1">
      <alignment horizontal="center" vertical="center"/>
    </xf>
    <xf numFmtId="172" fontId="57" fillId="0" borderId="0" xfId="0" applyNumberFormat="1" applyFont="1" applyAlignment="1">
      <alignment vertical="center"/>
    </xf>
    <xf numFmtId="172" fontId="0" fillId="0" borderId="59" xfId="0" applyNumberFormat="1" applyBorder="1" applyAlignment="1">
      <alignment horizontal="center" vertical="center"/>
    </xf>
    <xf numFmtId="172" fontId="0" fillId="0" borderId="60" xfId="0" applyNumberFormat="1" applyBorder="1" applyAlignment="1">
      <alignment horizontal="center" vertical="center"/>
    </xf>
    <xf numFmtId="172" fontId="0" fillId="0" borderId="61" xfId="0" applyNumberFormat="1" applyBorder="1" applyAlignment="1">
      <alignment horizontal="center" vertical="center"/>
    </xf>
    <xf numFmtId="172" fontId="91" fillId="84" borderId="78" xfId="253" applyNumberFormat="1" applyFont="1" applyFill="1" applyBorder="1" applyAlignment="1" applyProtection="1">
      <alignment vertical="center"/>
    </xf>
    <xf numFmtId="172" fontId="91" fillId="84" borderId="79" xfId="253" applyNumberFormat="1" applyFont="1" applyFill="1" applyBorder="1" applyAlignment="1" applyProtection="1">
      <alignment vertical="center"/>
    </xf>
    <xf numFmtId="172" fontId="91" fillId="84" borderId="49" xfId="253" applyNumberFormat="1" applyFont="1" applyFill="1" applyBorder="1" applyAlignment="1" applyProtection="1">
      <alignment vertical="center"/>
    </xf>
    <xf numFmtId="172" fontId="79" fillId="84" borderId="0" xfId="253" applyNumberFormat="1" applyFont="1" applyFill="1" applyAlignment="1" applyProtection="1">
      <alignment horizontal="center" vertical="center"/>
    </xf>
    <xf numFmtId="172" fontId="79" fillId="0" borderId="0" xfId="253" applyNumberFormat="1" applyFont="1" applyAlignment="1" applyProtection="1">
      <alignment vertical="center" wrapText="1"/>
    </xf>
    <xf numFmtId="172" fontId="0" fillId="0" borderId="63" xfId="0" applyNumberForma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0" borderId="62" xfId="0" applyNumberFormat="1" applyBorder="1" applyAlignment="1">
      <alignment horizontal="center" vertical="center"/>
    </xf>
    <xf numFmtId="172" fontId="0" fillId="84" borderId="0" xfId="0" applyNumberFormat="1" applyFill="1" applyAlignment="1">
      <alignment vertical="center"/>
    </xf>
    <xf numFmtId="172" fontId="57" fillId="84" borderId="35" xfId="252" applyNumberFormat="1" applyFont="1" applyFill="1" applyBorder="1" applyAlignment="1" applyProtection="1">
      <alignment horizontal="center" vertical="center"/>
    </xf>
    <xf numFmtId="172" fontId="79" fillId="84" borderId="0" xfId="253" applyNumberFormat="1" applyFont="1" applyFill="1" applyAlignment="1" applyProtection="1">
      <alignment vertical="center" wrapText="1"/>
    </xf>
    <xf numFmtId="172" fontId="93" fillId="84" borderId="80" xfId="253" applyNumberFormat="1" applyFont="1" applyFill="1" applyBorder="1" applyAlignment="1" applyProtection="1">
      <alignment horizontal="center" vertical="center"/>
    </xf>
    <xf numFmtId="172" fontId="80" fillId="296" borderId="1" xfId="255" applyNumberFormat="1" applyFont="1" applyFill="1" applyBorder="1" applyAlignment="1" applyProtection="1">
      <alignment horizontal="center" vertical="center"/>
    </xf>
    <xf numFmtId="172" fontId="0" fillId="0" borderId="0" xfId="0" applyNumberFormat="1" applyAlignment="1">
      <alignment vertical="center"/>
    </xf>
    <xf numFmtId="172" fontId="62" fillId="84" borderId="0" xfId="253" applyNumberFormat="1" applyFont="1" applyFill="1" applyAlignment="1" applyProtection="1">
      <alignment horizontal="center" vertical="center"/>
    </xf>
    <xf numFmtId="172" fontId="2" fillId="84" borderId="0" xfId="253" applyNumberFormat="1" applyFont="1" applyFill="1" applyAlignment="1" applyProtection="1">
      <alignment horizontal="left" vertical="center"/>
    </xf>
    <xf numFmtId="172" fontId="2" fillId="0" borderId="41" xfId="253" applyNumberFormat="1" applyFont="1" applyBorder="1" applyAlignment="1" applyProtection="1">
      <alignment vertical="center"/>
    </xf>
    <xf numFmtId="172" fontId="2" fillId="84" borderId="30" xfId="253" applyNumberFormat="1" applyFont="1" applyFill="1" applyBorder="1" applyAlignment="1" applyProtection="1">
      <alignment vertical="center"/>
    </xf>
    <xf numFmtId="172" fontId="94" fillId="84" borderId="81" xfId="253" applyNumberFormat="1" applyFont="1" applyFill="1" applyBorder="1" applyAlignment="1" applyProtection="1">
      <alignment horizontal="center" vertical="center" wrapText="1"/>
    </xf>
    <xf numFmtId="172" fontId="62" fillId="84" borderId="0" xfId="250" applyNumberFormat="1" applyFont="1" applyFill="1" applyAlignment="1" applyProtection="1">
      <alignment horizontal="left" vertical="center"/>
    </xf>
    <xf numFmtId="172" fontId="64" fillId="0" borderId="0" xfId="253" applyNumberFormat="1" applyFont="1" applyAlignment="1" applyProtection="1">
      <alignment vertical="center"/>
    </xf>
    <xf numFmtId="172" fontId="0" fillId="0" borderId="82" xfId="0" applyNumberFormat="1" applyBorder="1" applyAlignment="1">
      <alignment vertical="center"/>
    </xf>
    <xf numFmtId="172" fontId="2" fillId="0" borderId="83" xfId="253" applyNumberFormat="1" applyFont="1" applyBorder="1" applyAlignment="1" applyProtection="1">
      <alignment vertical="center"/>
    </xf>
    <xf numFmtId="172" fontId="94" fillId="84" borderId="40" xfId="253" applyNumberFormat="1" applyFont="1" applyFill="1" applyBorder="1" applyAlignment="1" applyProtection="1">
      <alignment horizontal="center" vertical="center" wrapText="1"/>
    </xf>
    <xf numFmtId="172" fontId="2" fillId="0" borderId="57" xfId="253" applyNumberFormat="1" applyFont="1" applyBorder="1" applyAlignment="1" applyProtection="1">
      <alignment vertical="center"/>
    </xf>
    <xf numFmtId="172" fontId="23" fillId="0" borderId="0" xfId="252" applyNumberFormat="1" applyFont="1" applyProtection="1"/>
    <xf numFmtId="172" fontId="62" fillId="0" borderId="57" xfId="250" applyNumberFormat="1" applyFont="1" applyBorder="1" applyAlignment="1" applyProtection="1">
      <alignment vertical="center"/>
    </xf>
    <xf numFmtId="172" fontId="2" fillId="84" borderId="57" xfId="253" applyNumberFormat="1" applyFont="1" applyFill="1" applyBorder="1" applyAlignment="1" applyProtection="1">
      <alignment vertical="center"/>
    </xf>
    <xf numFmtId="172" fontId="95" fillId="84" borderId="0" xfId="252" applyNumberFormat="1" applyFont="1" applyFill="1" applyAlignment="1" applyProtection="1">
      <alignment horizontal="center" vertical="center"/>
    </xf>
    <xf numFmtId="172" fontId="84" fillId="84" borderId="81" xfId="253" applyNumberFormat="1" applyFont="1" applyFill="1" applyBorder="1" applyAlignment="1" applyProtection="1">
      <alignment horizontal="center" vertical="center" wrapText="1"/>
    </xf>
    <xf numFmtId="172" fontId="94" fillId="84" borderId="46" xfId="253" applyNumberFormat="1" applyFont="1" applyFill="1" applyBorder="1" applyAlignment="1" applyProtection="1">
      <alignment horizontal="center" vertical="center" wrapText="1"/>
    </xf>
    <xf numFmtId="172" fontId="7" fillId="84" borderId="33" xfId="253" applyNumberFormat="1" applyFont="1" applyFill="1" applyBorder="1" applyAlignment="1" applyProtection="1">
      <alignment horizontal="center" vertical="center"/>
    </xf>
    <xf numFmtId="172" fontId="7" fillId="84" borderId="34" xfId="253" applyNumberFormat="1" applyFont="1" applyFill="1" applyBorder="1" applyAlignment="1" applyProtection="1">
      <alignment horizontal="center" vertical="center"/>
    </xf>
    <xf numFmtId="172" fontId="62" fillId="84" borderId="0" xfId="253" applyNumberFormat="1" applyFont="1" applyFill="1" applyAlignment="1" applyProtection="1">
      <alignment horizontal="left" vertical="center"/>
    </xf>
    <xf numFmtId="172" fontId="96" fillId="84" borderId="0" xfId="250" applyNumberFormat="1" applyFont="1" applyFill="1" applyAlignment="1" applyProtection="1">
      <alignment horizontal="right" vertical="center"/>
    </xf>
    <xf numFmtId="172" fontId="95" fillId="84" borderId="0" xfId="252" applyNumberFormat="1" applyFont="1" applyFill="1" applyAlignment="1" applyProtection="1">
      <alignment horizontal="center" vertical="center"/>
    </xf>
    <xf numFmtId="172" fontId="84" fillId="84" borderId="40" xfId="253" applyNumberFormat="1" applyFont="1" applyFill="1" applyBorder="1" applyAlignment="1" applyProtection="1">
      <alignment horizontal="center" vertical="center" wrapText="1"/>
    </xf>
    <xf numFmtId="172" fontId="82" fillId="84" borderId="0" xfId="252" applyNumberFormat="1" applyFont="1" applyFill="1" applyAlignment="1" applyProtection="1">
      <alignment horizontal="center" vertical="center"/>
    </xf>
    <xf numFmtId="172" fontId="2" fillId="84" borderId="0" xfId="160" applyNumberFormat="1" applyFont="1" applyFill="1" applyAlignment="1">
      <alignment vertical="center"/>
    </xf>
    <xf numFmtId="172" fontId="7" fillId="84" borderId="51" xfId="253" applyNumberFormat="1" applyFont="1" applyFill="1" applyBorder="1" applyAlignment="1" applyProtection="1">
      <alignment horizontal="center" vertical="center"/>
    </xf>
    <xf numFmtId="172" fontId="7" fillId="84" borderId="49" xfId="253" applyNumberFormat="1" applyFont="1" applyFill="1" applyBorder="1" applyAlignment="1" applyProtection="1">
      <alignment horizontal="center" vertical="center"/>
    </xf>
    <xf numFmtId="172" fontId="97" fillId="84" borderId="0" xfId="250" applyNumberFormat="1" applyFont="1" applyFill="1" applyAlignment="1" applyProtection="1">
      <alignment horizontal="center" vertical="center"/>
    </xf>
    <xf numFmtId="172" fontId="95" fillId="97" borderId="0" xfId="252" applyNumberFormat="1" applyFont="1" applyFill="1" applyAlignment="1" applyProtection="1">
      <alignment horizontal="center" vertical="center"/>
    </xf>
    <xf numFmtId="172" fontId="23" fillId="81" borderId="0" xfId="0" applyNumberFormat="1" applyFont="1" applyFill="1" applyAlignment="1">
      <alignment vertical="center"/>
    </xf>
    <xf numFmtId="172" fontId="62" fillId="0" borderId="0" xfId="253" applyNumberFormat="1" applyFont="1" applyAlignment="1" applyProtection="1">
      <alignment horizontal="left" vertical="center"/>
    </xf>
    <xf numFmtId="172" fontId="23" fillId="84" borderId="0" xfId="252" applyNumberFormat="1" applyFont="1" applyFill="1" applyAlignment="1" applyProtection="1">
      <alignment horizontal="center" vertical="center"/>
    </xf>
    <xf numFmtId="172" fontId="80" fillId="97" borderId="0" xfId="255" applyNumberFormat="1" applyFont="1" applyFill="1" applyAlignment="1" applyProtection="1">
      <alignment horizontal="center" vertical="center"/>
    </xf>
    <xf numFmtId="172" fontId="98" fillId="122" borderId="0" xfId="160" applyNumberFormat="1" applyFont="1" applyFill="1" applyAlignment="1">
      <alignment horizontal="center" vertical="center"/>
    </xf>
    <xf numFmtId="172" fontId="23" fillId="0" borderId="30" xfId="252" applyNumberFormat="1" applyFont="1" applyBorder="1" applyAlignment="1" applyProtection="1">
      <alignment vertical="center"/>
    </xf>
    <xf numFmtId="172" fontId="80" fillId="84" borderId="0" xfId="255" applyNumberFormat="1" applyFont="1" applyFill="1" applyAlignment="1" applyProtection="1">
      <alignment horizontal="center" vertical="center"/>
    </xf>
    <xf numFmtId="172" fontId="35" fillId="122" borderId="0" xfId="160" applyNumberFormat="1" applyFont="1" applyFill="1" applyAlignment="1">
      <alignment horizontal="center" vertical="center"/>
    </xf>
    <xf numFmtId="172" fontId="35" fillId="46" borderId="1" xfId="0" applyNumberFormat="1" applyFont="1" applyFill="1" applyBorder="1" applyAlignment="1">
      <alignment horizontal="center" vertical="center"/>
    </xf>
    <xf numFmtId="172" fontId="35" fillId="48" borderId="1" xfId="0" applyNumberFormat="1" applyFont="1" applyFill="1" applyBorder="1" applyAlignment="1">
      <alignment horizontal="center" vertical="center"/>
    </xf>
    <xf numFmtId="172" fontId="39" fillId="64" borderId="1" xfId="0" applyNumberFormat="1" applyFont="1" applyFill="1" applyBorder="1" applyAlignment="1">
      <alignment horizontal="center" vertical="center"/>
    </xf>
    <xf numFmtId="172" fontId="64" fillId="84" borderId="84" xfId="253" applyNumberFormat="1" applyFont="1" applyFill="1" applyBorder="1" applyAlignment="1" applyProtection="1">
      <alignment horizontal="center" vertical="center"/>
    </xf>
    <xf numFmtId="172" fontId="72" fillId="84" borderId="0" xfId="252" applyNumberFormat="1" applyFont="1" applyFill="1" applyAlignment="1" applyProtection="1">
      <alignment horizontal="left" vertical="center"/>
    </xf>
    <xf numFmtId="172" fontId="35" fillId="38" borderId="1" xfId="0" applyNumberFormat="1" applyFont="1" applyFill="1" applyBorder="1" applyAlignment="1">
      <alignment horizontal="center" vertical="center"/>
    </xf>
    <xf numFmtId="172" fontId="35" fillId="67" borderId="1" xfId="0" applyNumberFormat="1" applyFont="1" applyFill="1" applyBorder="1" applyAlignment="1">
      <alignment horizontal="center" vertical="center"/>
    </xf>
    <xf numFmtId="172" fontId="2" fillId="0" borderId="0" xfId="253" applyNumberFormat="1" applyFont="1" applyAlignment="1" applyProtection="1">
      <alignment horizontal="left" vertical="center"/>
    </xf>
    <xf numFmtId="172" fontId="2" fillId="0" borderId="57" xfId="250" applyNumberFormat="1" applyBorder="1" applyAlignment="1" applyProtection="1">
      <alignment vertical="center"/>
    </xf>
    <xf numFmtId="172" fontId="2" fillId="0" borderId="57" xfId="253" applyNumberFormat="1" applyFont="1" applyBorder="1" applyAlignment="1" applyProtection="1">
      <alignment horizontal="center" vertical="center"/>
    </xf>
    <xf numFmtId="172" fontId="2" fillId="0" borderId="58" xfId="253" applyNumberFormat="1" applyFont="1" applyBorder="1" applyAlignment="1" applyProtection="1">
      <alignment vertical="center"/>
    </xf>
    <xf numFmtId="172" fontId="67" fillId="84" borderId="0" xfId="250" applyNumberFormat="1" applyFont="1" applyFill="1" applyAlignment="1" applyProtection="1">
      <alignment horizontal="center" vertical="center" wrapText="1"/>
    </xf>
    <xf numFmtId="172" fontId="23" fillId="97" borderId="0" xfId="252" applyNumberFormat="1" applyFont="1" applyFill="1" applyAlignment="1" applyProtection="1">
      <alignment vertical="center"/>
    </xf>
    <xf numFmtId="172" fontId="82" fillId="97" borderId="0" xfId="254" applyNumberFormat="1" applyFont="1" applyFill="1" applyAlignment="1" applyProtection="1">
      <alignment horizontal="center" vertical="center"/>
    </xf>
    <xf numFmtId="172" fontId="2" fillId="0" borderId="30" xfId="250" applyNumberFormat="1" applyBorder="1" applyAlignment="1" applyProtection="1">
      <alignment horizontal="center" vertical="center" shrinkToFit="1"/>
    </xf>
    <xf numFmtId="172" fontId="62" fillId="0" borderId="0" xfId="253" applyNumberFormat="1" applyFont="1" applyAlignment="1" applyProtection="1">
      <alignment vertical="center"/>
    </xf>
    <xf numFmtId="172" fontId="62" fillId="0" borderId="0" xfId="253" applyNumberFormat="1" applyFont="1" applyAlignment="1" applyProtection="1">
      <alignment horizontal="right" vertical="center"/>
    </xf>
    <xf numFmtId="172" fontId="62" fillId="84" borderId="0" xfId="250" applyNumberFormat="1" applyFont="1" applyFill="1" applyAlignment="1" applyProtection="1">
      <alignment horizontal="center" vertical="center" wrapText="1"/>
    </xf>
    <xf numFmtId="172" fontId="62" fillId="84" borderId="0" xfId="253" applyNumberFormat="1" applyFont="1" applyFill="1" applyAlignment="1" applyProtection="1">
      <alignment horizontal="right" vertical="center"/>
    </xf>
    <xf numFmtId="172" fontId="84" fillId="84" borderId="46" xfId="253" applyNumberFormat="1" applyFont="1" applyFill="1" applyBorder="1" applyAlignment="1" applyProtection="1">
      <alignment horizontal="center" vertical="center" wrapText="1"/>
    </xf>
    <xf numFmtId="172" fontId="23" fillId="0" borderId="71" xfId="252" applyNumberFormat="1" applyFont="1" applyBorder="1" applyAlignment="1" applyProtection="1">
      <alignment vertical="center"/>
    </xf>
    <xf numFmtId="172" fontId="63" fillId="35" borderId="0" xfId="253" applyNumberFormat="1" applyFont="1" applyFill="1" applyAlignment="1" applyProtection="1">
      <alignment horizontal="center"/>
    </xf>
    <xf numFmtId="172" fontId="2" fillId="0" borderId="49" xfId="253" applyNumberFormat="1" applyFont="1" applyBorder="1" applyAlignment="1" applyProtection="1">
      <alignment vertical="center"/>
    </xf>
    <xf numFmtId="172" fontId="67" fillId="0" borderId="0" xfId="253" applyNumberFormat="1" applyFont="1" applyAlignment="1" applyProtection="1">
      <alignment vertical="center"/>
    </xf>
    <xf numFmtId="172" fontId="64" fillId="84" borderId="84" xfId="253" applyNumberFormat="1" applyFont="1" applyFill="1" applyBorder="1" applyAlignment="1" applyProtection="1">
      <alignment horizontal="left" vertical="center"/>
    </xf>
    <xf numFmtId="172" fontId="2" fillId="0" borderId="35" xfId="253" applyNumberFormat="1" applyFont="1" applyBorder="1" applyAlignment="1" applyProtection="1">
      <alignment horizontal="center" vertical="center"/>
    </xf>
    <xf numFmtId="172" fontId="79" fillId="84" borderId="35" xfId="253" applyNumberFormat="1" applyFont="1" applyFill="1" applyBorder="1" applyAlignment="1" applyProtection="1">
      <alignment horizontal="center" vertical="center"/>
    </xf>
    <xf numFmtId="172" fontId="2" fillId="0" borderId="30" xfId="253" applyNumberFormat="1" applyFont="1" applyBorder="1" applyAlignment="1" applyProtection="1">
      <alignment vertical="center"/>
    </xf>
    <xf numFmtId="172" fontId="99" fillId="0" borderId="33" xfId="253" applyNumberFormat="1" applyFont="1" applyBorder="1" applyAlignment="1" applyProtection="1">
      <alignment horizontal="center" vertical="center"/>
    </xf>
    <xf numFmtId="172" fontId="99" fillId="0" borderId="35" xfId="253" applyNumberFormat="1" applyFont="1" applyBorder="1" applyAlignment="1" applyProtection="1">
      <alignment horizontal="center" vertical="center"/>
    </xf>
    <xf numFmtId="172" fontId="99" fillId="0" borderId="34" xfId="253" applyNumberFormat="1" applyFont="1" applyBorder="1" applyAlignment="1" applyProtection="1">
      <alignment horizontal="center" vertical="center"/>
    </xf>
    <xf numFmtId="172" fontId="64" fillId="84" borderId="84" xfId="253" applyNumberFormat="1" applyFont="1" applyFill="1" applyBorder="1" applyAlignment="1" applyProtection="1">
      <alignment vertical="center"/>
    </xf>
    <xf numFmtId="172" fontId="99" fillId="0" borderId="41" xfId="253" applyNumberFormat="1" applyFont="1" applyBorder="1" applyAlignment="1" applyProtection="1">
      <alignment horizontal="center" vertical="center"/>
    </xf>
    <xf numFmtId="172" fontId="99" fillId="0" borderId="0" xfId="253" applyNumberFormat="1" applyFont="1" applyAlignment="1" applyProtection="1">
      <alignment horizontal="center" vertical="center"/>
    </xf>
    <xf numFmtId="172" fontId="99" fillId="0" borderId="30" xfId="253" applyNumberFormat="1" applyFont="1" applyBorder="1" applyAlignment="1" applyProtection="1">
      <alignment horizontal="center" vertical="center"/>
    </xf>
    <xf numFmtId="172" fontId="2" fillId="84" borderId="84" xfId="253" applyNumberFormat="1" applyFont="1" applyFill="1" applyBorder="1" applyAlignment="1" applyProtection="1">
      <alignment vertical="center"/>
    </xf>
    <xf numFmtId="172" fontId="23" fillId="97" borderId="30" xfId="252" applyNumberFormat="1" applyFont="1" applyFill="1" applyBorder="1" applyAlignment="1" applyProtection="1">
      <alignment vertical="center"/>
    </xf>
    <xf numFmtId="172" fontId="80" fillId="84" borderId="71" xfId="255" applyNumberFormat="1" applyFont="1" applyFill="1" applyBorder="1" applyAlignment="1" applyProtection="1">
      <alignment horizontal="center" vertical="center"/>
    </xf>
    <xf numFmtId="172" fontId="2" fillId="97" borderId="49" xfId="253" applyNumberFormat="1" applyFont="1" applyFill="1" applyBorder="1" applyAlignment="1" applyProtection="1">
      <alignment vertical="center"/>
    </xf>
    <xf numFmtId="172" fontId="67" fillId="0" borderId="0" xfId="253" applyNumberFormat="1" applyFont="1" applyAlignment="1" applyProtection="1">
      <alignment horizontal="center" vertical="center"/>
    </xf>
    <xf numFmtId="172" fontId="2" fillId="84" borderId="85" xfId="253" applyNumberFormat="1" applyFont="1" applyFill="1" applyBorder="1" applyAlignment="1" applyProtection="1">
      <alignment horizontal="center" vertical="center"/>
    </xf>
    <xf numFmtId="172" fontId="62" fillId="0" borderId="58" xfId="250" applyNumberFormat="1" applyFont="1" applyBorder="1" applyAlignment="1" applyProtection="1">
      <alignment horizontal="center" vertical="center"/>
    </xf>
    <xf numFmtId="172" fontId="2" fillId="84" borderId="30" xfId="253" applyNumberFormat="1" applyFont="1" applyFill="1" applyBorder="1" applyAlignment="1" applyProtection="1">
      <alignment horizontal="center" vertical="center"/>
    </xf>
    <xf numFmtId="172" fontId="4" fillId="0" borderId="41" xfId="160" applyNumberFormat="1" applyBorder="1" applyAlignment="1">
      <alignment vertical="center"/>
    </xf>
    <xf numFmtId="172" fontId="62" fillId="84" borderId="30" xfId="253" applyNumberFormat="1" applyFont="1" applyFill="1" applyBorder="1" applyAlignment="1" applyProtection="1">
      <alignment horizontal="center" vertical="center"/>
    </xf>
    <xf numFmtId="172" fontId="64" fillId="84" borderId="0" xfId="253" applyNumberFormat="1" applyFont="1" applyFill="1" applyAlignment="1" applyProtection="1">
      <alignment horizontal="left" vertical="center"/>
    </xf>
    <xf numFmtId="172" fontId="2" fillId="0" borderId="30" xfId="253" applyNumberFormat="1" applyFont="1" applyBorder="1" applyAlignment="1" applyProtection="1">
      <alignment horizontal="center" vertical="center"/>
    </xf>
    <xf numFmtId="172" fontId="78" fillId="0" borderId="41" xfId="253" applyNumberFormat="1" applyFont="1" applyBorder="1" applyAlignment="1" applyProtection="1">
      <alignment vertical="center"/>
    </xf>
    <xf numFmtId="172" fontId="67" fillId="0" borderId="0" xfId="250" applyNumberFormat="1" applyFont="1" applyAlignment="1" applyProtection="1">
      <alignment vertical="center"/>
    </xf>
    <xf numFmtId="172" fontId="75" fillId="0" borderId="41" xfId="161" applyNumberFormat="1" applyFont="1" applyBorder="1" applyAlignment="1">
      <alignment horizontal="center" vertical="center" shrinkToFit="1"/>
    </xf>
    <xf numFmtId="172" fontId="69" fillId="0" borderId="41" xfId="161" applyNumberFormat="1" applyFont="1" applyBorder="1" applyAlignment="1">
      <alignment horizontal="center" vertical="center"/>
    </xf>
    <xf numFmtId="172" fontId="99" fillId="0" borderId="51" xfId="253" applyNumberFormat="1" applyFont="1" applyBorder="1" applyAlignment="1" applyProtection="1">
      <alignment horizontal="center" vertical="center"/>
    </xf>
    <xf numFmtId="172" fontId="99" fillId="0" borderId="29" xfId="253" applyNumberFormat="1" applyFont="1" applyBorder="1" applyAlignment="1" applyProtection="1">
      <alignment horizontal="center" vertical="center"/>
    </xf>
    <xf numFmtId="172" fontId="99" fillId="0" borderId="49" xfId="253" applyNumberFormat="1" applyFont="1" applyBorder="1" applyAlignment="1" applyProtection="1">
      <alignment horizontal="center" vertical="center"/>
    </xf>
    <xf numFmtId="172" fontId="35" fillId="0" borderId="0" xfId="252" applyNumberFormat="1" applyFont="1" applyAlignment="1" applyProtection="1">
      <alignment vertical="center"/>
    </xf>
    <xf numFmtId="172" fontId="0" fillId="0" borderId="70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172" fontId="100" fillId="0" borderId="0" xfId="152" applyNumberFormat="1" applyFont="1" applyAlignment="1" applyProtection="1">
      <alignment horizontal="center" vertical="center" shrinkToFit="1"/>
    </xf>
    <xf numFmtId="172" fontId="79" fillId="0" borderId="0" xfId="252" applyNumberFormat="1" applyFont="1" applyAlignment="1" applyProtection="1">
      <alignment horizontal="center" vertical="center"/>
    </xf>
    <xf numFmtId="172" fontId="2" fillId="0" borderId="0" xfId="257" applyNumberFormat="1" applyFont="1" applyAlignment="1" applyProtection="1">
      <alignment vertical="center"/>
    </xf>
    <xf numFmtId="172" fontId="64" fillId="0" borderId="29" xfId="253" applyNumberFormat="1" applyFont="1" applyBorder="1" applyAlignment="1" applyProtection="1">
      <alignment vertical="center"/>
    </xf>
    <xf numFmtId="172" fontId="62" fillId="0" borderId="29" xfId="253" applyNumberFormat="1" applyFont="1" applyBorder="1" applyAlignment="1" applyProtection="1">
      <alignment vertical="center"/>
    </xf>
    <xf numFmtId="172" fontId="67" fillId="0" borderId="29" xfId="250" applyNumberFormat="1" applyFont="1" applyBorder="1" applyAlignment="1" applyProtection="1">
      <alignment vertical="center"/>
    </xf>
    <xf numFmtId="172" fontId="101" fillId="97" borderId="0" xfId="160" applyNumberFormat="1" applyFont="1" applyFill="1" applyAlignment="1">
      <alignment horizontal="center" vertical="center"/>
    </xf>
    <xf numFmtId="172" fontId="102" fillId="0" borderId="0" xfId="142" applyNumberFormat="1" applyFont="1" applyAlignment="1" applyProtection="1">
      <alignment horizontal="center" vertical="center" shrinkToFit="1"/>
    </xf>
    <xf numFmtId="172" fontId="64" fillId="0" borderId="58" xfId="253" applyNumberFormat="1" applyFont="1" applyBorder="1" applyAlignment="1" applyProtection="1">
      <alignment vertical="center"/>
    </xf>
    <xf numFmtId="172" fontId="72" fillId="97" borderId="0" xfId="142" applyNumberFormat="1" applyFont="1" applyFill="1" applyAlignment="1" applyProtection="1">
      <alignment horizontal="center" vertical="center" shrinkToFit="1"/>
    </xf>
    <xf numFmtId="172" fontId="49" fillId="0" borderId="0" xfId="142" applyNumberFormat="1" applyFont="1" applyAlignment="1" applyProtection="1">
      <alignment horizontal="center" vertical="center" shrinkToFit="1"/>
    </xf>
    <xf numFmtId="172" fontId="103" fillId="0" borderId="0" xfId="253" applyNumberFormat="1" applyFont="1" applyAlignment="1" applyProtection="1">
      <alignment horizontal="center" vertical="center" wrapText="1"/>
    </xf>
    <xf numFmtId="172" fontId="73" fillId="97" borderId="0" xfId="142" applyNumberFormat="1" applyFont="1" applyFill="1" applyAlignment="1" applyProtection="1">
      <alignment horizontal="center" vertical="center" shrinkToFit="1"/>
    </xf>
    <xf numFmtId="172" fontId="35" fillId="0" borderId="0" xfId="142" applyNumberFormat="1" applyFont="1" applyAlignment="1" applyProtection="1">
      <alignment horizontal="center" vertical="center" shrinkToFit="1"/>
    </xf>
    <xf numFmtId="172" fontId="57" fillId="0" borderId="0" xfId="161" applyNumberFormat="1" applyFont="1" applyAlignment="1">
      <alignment horizontal="left"/>
    </xf>
    <xf numFmtId="172" fontId="86" fillId="0" borderId="0" xfId="160" applyNumberFormat="1" applyFont="1" applyAlignment="1">
      <alignment vertical="center"/>
    </xf>
    <xf numFmtId="172" fontId="72" fillId="97" borderId="62" xfId="160" applyNumberFormat="1" applyFont="1" applyFill="1" applyBorder="1" applyAlignment="1">
      <alignment horizontal="center" vertical="center"/>
    </xf>
    <xf numFmtId="172" fontId="4" fillId="0" borderId="30" xfId="160" applyNumberFormat="1" applyBorder="1" applyAlignment="1">
      <alignment vertical="center"/>
    </xf>
    <xf numFmtId="172" fontId="23" fillId="0" borderId="29" xfId="160" applyNumberFormat="1" applyFont="1" applyBorder="1" applyAlignment="1">
      <alignment vertical="center"/>
    </xf>
    <xf numFmtId="172" fontId="104" fillId="97" borderId="62" xfId="160" applyNumberFormat="1" applyFont="1" applyFill="1" applyBorder="1" applyAlignment="1">
      <alignment horizontal="center" vertical="center"/>
    </xf>
    <xf numFmtId="172" fontId="4" fillId="0" borderId="35" xfId="160" applyNumberFormat="1" applyBorder="1" applyAlignment="1">
      <alignment vertical="center"/>
    </xf>
    <xf numFmtId="172" fontId="4" fillId="0" borderId="34" xfId="160" applyNumberFormat="1" applyBorder="1" applyAlignment="1">
      <alignment vertical="center"/>
    </xf>
    <xf numFmtId="172" fontId="2" fillId="97" borderId="62" xfId="253" applyNumberFormat="1" applyFont="1" applyFill="1" applyBorder="1" applyAlignment="1" applyProtection="1">
      <alignment vertical="center"/>
    </xf>
    <xf numFmtId="172" fontId="64" fillId="0" borderId="86" xfId="253" applyNumberFormat="1" applyFont="1" applyBorder="1" applyAlignment="1" applyProtection="1">
      <alignment vertical="center"/>
    </xf>
    <xf numFmtId="172" fontId="92" fillId="97" borderId="0" xfId="255" applyNumberFormat="1" applyFont="1" applyFill="1" applyAlignment="1" applyProtection="1">
      <alignment horizontal="center" vertical="center"/>
    </xf>
    <xf numFmtId="172" fontId="95" fillId="97" borderId="0" xfId="160" applyNumberFormat="1" applyFont="1" applyFill="1" applyAlignment="1">
      <alignment horizontal="center" vertical="center"/>
    </xf>
    <xf numFmtId="172" fontId="64" fillId="0" borderId="0" xfId="253" applyNumberFormat="1" applyFont="1" applyAlignment="1" applyProtection="1">
      <alignment horizontal="left" vertical="center"/>
    </xf>
    <xf numFmtId="172" fontId="2" fillId="0" borderId="35" xfId="253" applyNumberFormat="1" applyFont="1" applyBorder="1" applyAlignment="1" applyProtection="1">
      <alignment vertical="center"/>
    </xf>
    <xf numFmtId="172" fontId="64" fillId="0" borderId="35" xfId="253" applyNumberFormat="1" applyFont="1" applyBorder="1" applyAlignment="1" applyProtection="1">
      <alignment vertical="center"/>
    </xf>
    <xf numFmtId="172" fontId="2" fillId="123" borderId="0" xfId="250" applyNumberFormat="1" applyFill="1" applyAlignment="1" applyProtection="1">
      <alignment vertical="center"/>
    </xf>
    <xf numFmtId="172" fontId="65" fillId="0" borderId="0" xfId="253" applyNumberFormat="1" applyFont="1" applyAlignment="1" applyProtection="1">
      <alignment horizontal="center" vertical="center"/>
    </xf>
    <xf numFmtId="172" fontId="65" fillId="0" borderId="0" xfId="252" applyNumberFormat="1" applyFont="1" applyAlignment="1" applyProtection="1">
      <alignment horizontal="center" vertical="center"/>
    </xf>
    <xf numFmtId="172" fontId="2" fillId="84" borderId="0" xfId="250" applyNumberFormat="1" applyFill="1" applyAlignment="1" applyProtection="1">
      <alignment horizontal="left" vertical="center"/>
    </xf>
    <xf numFmtId="172" fontId="65" fillId="84" borderId="0" xfId="252" applyNumberFormat="1" applyFont="1" applyFill="1" applyAlignment="1" applyProtection="1">
      <alignment horizontal="center" vertical="center"/>
    </xf>
    <xf numFmtId="172" fontId="2" fillId="123" borderId="0" xfId="250" applyNumberFormat="1" applyFill="1" applyAlignment="1" applyProtection="1">
      <alignment horizontal="left" vertical="center"/>
    </xf>
    <xf numFmtId="172" fontId="2" fillId="296" borderId="29" xfId="250" applyNumberFormat="1" applyFill="1" applyBorder="1" applyAlignment="1" applyProtection="1">
      <alignment horizontal="left" vertical="center"/>
    </xf>
    <xf numFmtId="172" fontId="2" fillId="296" borderId="29" xfId="250" applyNumberFormat="1" applyFill="1" applyBorder="1" applyAlignment="1" applyProtection="1">
      <alignment vertical="center"/>
    </xf>
    <xf numFmtId="172" fontId="2" fillId="296" borderId="29" xfId="253" applyNumberFormat="1" applyFont="1" applyFill="1" applyBorder="1" applyAlignment="1" applyProtection="1">
      <alignment vertical="center"/>
    </xf>
    <xf numFmtId="172" fontId="90" fillId="124" borderId="29" xfId="160" applyNumberFormat="1" applyFont="1" applyFill="1" applyBorder="1" applyAlignment="1">
      <alignment horizontal="center" vertical="center"/>
    </xf>
    <xf numFmtId="172" fontId="33" fillId="84" borderId="29" xfId="0" applyNumberFormat="1" applyFont="1" applyFill="1" applyBorder="1" applyAlignment="1">
      <alignment horizontal="center" vertical="center"/>
    </xf>
    <xf numFmtId="172" fontId="4" fillId="84" borderId="29" xfId="160" applyNumberFormat="1" applyFill="1" applyBorder="1" applyAlignment="1">
      <alignment vertical="center"/>
    </xf>
    <xf numFmtId="172" fontId="4" fillId="0" borderId="29" xfId="160" applyNumberFormat="1" applyBorder="1" applyAlignment="1">
      <alignment vertical="center"/>
    </xf>
    <xf numFmtId="172" fontId="2" fillId="123" borderId="29" xfId="250" applyNumberFormat="1" applyFill="1" applyBorder="1" applyAlignment="1" applyProtection="1">
      <alignment vertical="center"/>
    </xf>
    <xf numFmtId="172" fontId="2" fillId="123" borderId="28" xfId="250" applyNumberFormat="1" applyFill="1" applyBorder="1" applyAlignment="1" applyProtection="1">
      <alignment vertical="center"/>
    </xf>
    <xf numFmtId="172" fontId="23" fillId="0" borderId="28" xfId="0" applyNumberFormat="1" applyFont="1" applyBorder="1" applyAlignment="1">
      <alignment vertical="center"/>
    </xf>
    <xf numFmtId="172" fontId="2" fillId="0" borderId="30" xfId="250" applyNumberFormat="1" applyBorder="1" applyAlignment="1" applyProtection="1">
      <alignment horizontal="left" vertical="center"/>
    </xf>
    <xf numFmtId="172" fontId="80" fillId="296" borderId="21" xfId="252" applyNumberFormat="1" applyFont="1" applyFill="1" applyBorder="1" applyAlignment="1" applyProtection="1">
      <alignment horizontal="center" vertical="center"/>
    </xf>
    <xf numFmtId="172" fontId="98" fillId="84" borderId="0" xfId="160" applyNumberFormat="1" applyFont="1" applyFill="1" applyAlignment="1">
      <alignment horizontal="center" vertical="center"/>
    </xf>
    <xf numFmtId="172" fontId="23" fillId="84" borderId="87" xfId="252" applyNumberFormat="1" applyFont="1" applyFill="1" applyBorder="1" applyAlignment="1" applyProtection="1">
      <alignment horizontal="center" vertical="center"/>
    </xf>
    <xf numFmtId="172" fontId="66" fillId="84" borderId="2" xfId="255" applyNumberFormat="1" applyFont="1" applyFill="1" applyBorder="1" applyAlignment="1" applyProtection="1">
      <alignment horizontal="center" vertical="center"/>
    </xf>
    <xf numFmtId="172" fontId="23" fillId="0" borderId="73" xfId="0" applyNumberFormat="1" applyFont="1" applyBorder="1" applyAlignment="1">
      <alignment vertical="center"/>
    </xf>
    <xf numFmtId="172" fontId="23" fillId="97" borderId="0" xfId="160" applyNumberFormat="1" applyFont="1" applyFill="1" applyAlignment="1">
      <alignment vertical="center"/>
    </xf>
    <xf numFmtId="172" fontId="55" fillId="84" borderId="20" xfId="250" applyNumberFormat="1" applyFont="1" applyFill="1" applyBorder="1" applyAlignment="1" applyProtection="1">
      <alignment horizontal="center"/>
    </xf>
    <xf numFmtId="172" fontId="90" fillId="84" borderId="0" xfId="252" applyNumberFormat="1" applyFont="1" applyFill="1" applyAlignment="1" applyProtection="1">
      <alignment horizontal="center" vertical="center"/>
    </xf>
    <xf numFmtId="172" fontId="23" fillId="0" borderId="41" xfId="252" applyNumberFormat="1" applyFont="1" applyBorder="1" applyAlignment="1" applyProtection="1">
      <alignment horizontal="center" vertical="center"/>
    </xf>
    <xf numFmtId="172" fontId="66" fillId="84" borderId="15" xfId="255" applyNumberFormat="1" applyFont="1" applyFill="1" applyBorder="1" applyAlignment="1" applyProtection="1">
      <alignment horizontal="center" vertical="center"/>
    </xf>
    <xf numFmtId="172" fontId="79" fillId="97" borderId="0" xfId="160" applyNumberFormat="1" applyFont="1" applyFill="1" applyAlignment="1">
      <alignment horizontal="center" vertical="center"/>
    </xf>
    <xf numFmtId="172" fontId="4" fillId="97" borderId="0" xfId="160" applyNumberFormat="1" applyFill="1" applyAlignment="1">
      <alignment vertical="center"/>
    </xf>
    <xf numFmtId="172" fontId="2" fillId="0" borderId="30" xfId="253" applyNumberFormat="1" applyFont="1" applyBorder="1" applyAlignment="1" applyProtection="1">
      <alignment horizontal="left" vertical="center"/>
    </xf>
    <xf numFmtId="172" fontId="86" fillId="84" borderId="41" xfId="253" applyNumberFormat="1" applyFont="1" applyFill="1" applyBorder="1" applyAlignment="1" applyProtection="1">
      <alignment horizontal="center" vertical="center"/>
    </xf>
    <xf numFmtId="172" fontId="86" fillId="124" borderId="0" xfId="160" applyNumberFormat="1" applyFont="1" applyFill="1" applyAlignment="1">
      <alignment horizontal="center" vertical="center"/>
    </xf>
    <xf numFmtId="172" fontId="45" fillId="35" borderId="0" xfId="0" applyNumberFormat="1" applyFont="1" applyFill="1" applyAlignment="1">
      <alignment horizontal="center" vertical="center"/>
    </xf>
    <xf numFmtId="172" fontId="35" fillId="97" borderId="0" xfId="160" applyNumberFormat="1" applyFont="1" applyFill="1" applyAlignment="1">
      <alignment horizontal="center" vertical="center"/>
    </xf>
    <xf numFmtId="172" fontId="63" fillId="97" borderId="0" xfId="253" applyNumberFormat="1" applyFont="1" applyFill="1" applyAlignment="1" applyProtection="1">
      <alignment horizontal="center" vertical="center"/>
    </xf>
    <xf numFmtId="172" fontId="16" fillId="84" borderId="0" xfId="0" applyNumberFormat="1" applyFont="1" applyFill="1" applyAlignment="1">
      <alignment horizontal="center" vertical="center"/>
    </xf>
    <xf numFmtId="172" fontId="62" fillId="84" borderId="0" xfId="250" applyNumberFormat="1" applyFont="1" applyFill="1" applyAlignment="1" applyProtection="1">
      <alignment horizontal="right" vertical="center"/>
    </xf>
    <xf numFmtId="172" fontId="105" fillId="84" borderId="0" xfId="0" applyNumberFormat="1" applyFont="1" applyFill="1" applyAlignment="1">
      <alignment vertical="center"/>
    </xf>
    <xf numFmtId="172" fontId="72" fillId="127" borderId="0" xfId="253" applyNumberFormat="1" applyFont="1" applyFill="1" applyAlignment="1" applyProtection="1">
      <alignment horizontal="center" vertical="center"/>
    </xf>
    <xf numFmtId="172" fontId="23" fillId="97" borderId="0" xfId="0" applyNumberFormat="1" applyFont="1" applyFill="1" applyAlignment="1">
      <alignment vertical="center"/>
    </xf>
    <xf numFmtId="172" fontId="79" fillId="97" borderId="0" xfId="253" applyNumberFormat="1" applyFont="1" applyFill="1" applyAlignment="1" applyProtection="1">
      <alignment horizontal="center" vertical="center"/>
    </xf>
    <xf numFmtId="172" fontId="106" fillId="84" borderId="0" xfId="160" applyNumberFormat="1" applyFont="1" applyFill="1" applyAlignment="1">
      <alignment horizontal="center" vertical="center" shrinkToFit="1"/>
    </xf>
    <xf numFmtId="172" fontId="90" fillId="84" borderId="0" xfId="0" applyNumberFormat="1" applyFont="1" applyFill="1" applyAlignment="1">
      <alignment horizontal="center" vertical="center"/>
    </xf>
    <xf numFmtId="172" fontId="86" fillId="84" borderId="0" xfId="253" applyNumberFormat="1" applyFont="1" applyFill="1" applyAlignment="1" applyProtection="1">
      <alignment horizontal="center" vertical="center"/>
    </xf>
    <xf numFmtId="172" fontId="90" fillId="81" borderId="0" xfId="252" applyNumberFormat="1" applyFont="1" applyFill="1" applyAlignment="1" applyProtection="1">
      <alignment horizontal="center" vertical="center"/>
    </xf>
    <xf numFmtId="172" fontId="35" fillId="128" borderId="0" xfId="0" applyNumberFormat="1" applyFont="1" applyFill="1" applyAlignment="1">
      <alignment horizontal="center" vertical="center"/>
    </xf>
    <xf numFmtId="172" fontId="35" fillId="97" borderId="0" xfId="0" applyNumberFormat="1" applyFont="1" applyFill="1" applyAlignment="1">
      <alignment horizontal="center" vertical="center"/>
    </xf>
    <xf numFmtId="172" fontId="76" fillId="84" borderId="0" xfId="160" applyNumberFormat="1" applyFont="1" applyFill="1" applyAlignment="1">
      <alignment horizontal="right" vertical="center"/>
    </xf>
    <xf numFmtId="172" fontId="107" fillId="84" borderId="0" xfId="256" applyNumberFormat="1" applyFont="1" applyFill="1" applyAlignment="1" applyProtection="1">
      <alignment horizontal="center" vertical="center"/>
    </xf>
    <xf numFmtId="172" fontId="107" fillId="84" borderId="0" xfId="160" applyNumberFormat="1" applyFont="1" applyFill="1" applyAlignment="1">
      <alignment horizontal="left" vertical="center"/>
    </xf>
    <xf numFmtId="172" fontId="107" fillId="84" borderId="0" xfId="160" applyNumberFormat="1" applyFont="1" applyFill="1" applyAlignment="1">
      <alignment horizontal="center" vertical="center"/>
    </xf>
    <xf numFmtId="172" fontId="35" fillId="71" borderId="1" xfId="0" applyNumberFormat="1" applyFont="1" applyFill="1" applyBorder="1" applyAlignment="1">
      <alignment horizontal="center" vertical="center"/>
    </xf>
    <xf numFmtId="172" fontId="36" fillId="37" borderId="1" xfId="0" applyNumberFormat="1" applyFont="1" applyFill="1" applyBorder="1" applyAlignment="1">
      <alignment horizontal="center" vertical="center"/>
    </xf>
    <xf numFmtId="172" fontId="81" fillId="84" borderId="64" xfId="0" applyNumberFormat="1" applyFont="1" applyFill="1" applyBorder="1" applyAlignment="1">
      <alignment horizontal="center"/>
    </xf>
    <xf numFmtId="172" fontId="4" fillId="84" borderId="81" xfId="160" applyNumberFormat="1" applyFill="1" applyBorder="1" applyAlignment="1">
      <alignment vertical="center"/>
    </xf>
    <xf numFmtId="172" fontId="90" fillId="35" borderId="4" xfId="252" applyNumberFormat="1" applyFont="1" applyFill="1" applyBorder="1" applyAlignment="1" applyProtection="1">
      <alignment horizontal="center" vertical="center"/>
    </xf>
    <xf numFmtId="172" fontId="90" fillId="35" borderId="5" xfId="252" applyNumberFormat="1" applyFont="1" applyFill="1" applyBorder="1" applyAlignment="1" applyProtection="1">
      <alignment horizontal="center" vertical="center"/>
    </xf>
    <xf numFmtId="172" fontId="44" fillId="65" borderId="1" xfId="0" applyNumberFormat="1" applyFont="1" applyFill="1" applyBorder="1" applyAlignment="1">
      <alignment horizontal="center" vertical="center"/>
    </xf>
    <xf numFmtId="172" fontId="66" fillId="84" borderId="88" xfId="255" applyNumberFormat="1" applyFont="1" applyFill="1" applyBorder="1" applyAlignment="1" applyProtection="1">
      <alignment horizontal="center" vertical="center"/>
    </xf>
    <xf numFmtId="172" fontId="107" fillId="84" borderId="66" xfId="160" applyNumberFormat="1" applyFont="1" applyFill="1" applyBorder="1" applyAlignment="1">
      <alignment horizontal="center" vertical="center"/>
    </xf>
    <xf numFmtId="172" fontId="107" fillId="84" borderId="67" xfId="160" applyNumberFormat="1" applyFont="1" applyFill="1" applyBorder="1" applyAlignment="1">
      <alignment horizontal="center" vertical="center"/>
    </xf>
    <xf numFmtId="172" fontId="90" fillId="84" borderId="0" xfId="0" applyNumberFormat="1" applyFont="1" applyFill="1" applyAlignment="1">
      <alignment vertical="center"/>
    </xf>
    <xf numFmtId="172" fontId="4" fillId="84" borderId="40" xfId="160" applyNumberFormat="1" applyFill="1" applyBorder="1" applyAlignment="1">
      <alignment vertical="center"/>
    </xf>
    <xf numFmtId="172" fontId="4" fillId="0" borderId="89" xfId="160" applyNumberFormat="1" applyBorder="1" applyAlignment="1">
      <alignment vertical="center"/>
    </xf>
    <xf numFmtId="172" fontId="4" fillId="0" borderId="73" xfId="160" applyNumberFormat="1" applyBorder="1" applyAlignment="1">
      <alignment vertical="center"/>
    </xf>
    <xf numFmtId="172" fontId="2" fillId="97" borderId="0" xfId="253" applyNumberFormat="1" applyFont="1" applyFill="1" applyAlignment="1" applyProtection="1">
      <alignment vertical="center"/>
    </xf>
    <xf numFmtId="172" fontId="2" fillId="84" borderId="30" xfId="253" applyNumberFormat="1" applyFont="1" applyFill="1" applyBorder="1" applyAlignment="1" applyProtection="1">
      <alignment horizontal="left" vertical="center"/>
    </xf>
    <xf numFmtId="172" fontId="108" fillId="84" borderId="0" xfId="0" applyNumberFormat="1" applyFont="1" applyFill="1" applyAlignment="1">
      <alignment horizontal="right" vertical="center"/>
    </xf>
    <xf numFmtId="172" fontId="4" fillId="84" borderId="90" xfId="160" applyNumberFormat="1" applyFill="1" applyBorder="1" applyAlignment="1">
      <alignment vertical="center"/>
    </xf>
    <xf numFmtId="172" fontId="35" fillId="97" borderId="0" xfId="252" applyNumberFormat="1" applyFont="1" applyFill="1" applyAlignment="1" applyProtection="1">
      <alignment horizontal="center" vertical="center" wrapText="1"/>
    </xf>
    <xf numFmtId="172" fontId="79" fillId="0" borderId="0" xfId="253" applyNumberFormat="1" applyFont="1" applyAlignment="1" applyProtection="1">
      <alignment horizontal="center" vertical="center"/>
    </xf>
    <xf numFmtId="172" fontId="62" fillId="84" borderId="0" xfId="250" applyNumberFormat="1" applyFont="1" applyFill="1" applyAlignment="1" applyProtection="1">
      <alignment horizontal="right" vertical="top"/>
    </xf>
    <xf numFmtId="172" fontId="0" fillId="84" borderId="0" xfId="0" applyNumberFormat="1" applyFill="1" applyAlignment="1">
      <alignment horizontal="left" vertical="center"/>
    </xf>
    <xf numFmtId="172" fontId="36" fillId="97" borderId="0" xfId="160" applyNumberFormat="1" applyFont="1" applyFill="1" applyAlignment="1">
      <alignment horizontal="center" vertical="center"/>
    </xf>
    <xf numFmtId="172" fontId="7" fillId="84" borderId="81" xfId="250" applyNumberFormat="1" applyFont="1" applyFill="1" applyBorder="1" applyAlignment="1" applyProtection="1">
      <alignment horizontal="center" vertical="center"/>
    </xf>
    <xf numFmtId="172" fontId="2" fillId="84" borderId="49" xfId="250" applyNumberFormat="1" applyFill="1" applyBorder="1" applyAlignment="1" applyProtection="1">
      <alignment horizontal="left" vertical="center"/>
    </xf>
    <xf numFmtId="172" fontId="86" fillId="296" borderId="0" xfId="252" applyNumberFormat="1" applyFont="1" applyFill="1" applyAlignment="1" applyProtection="1">
      <alignment horizontal="center" vertical="center"/>
    </xf>
    <xf numFmtId="172" fontId="86" fillId="84" borderId="0" xfId="160" applyNumberFormat="1" applyFont="1" applyFill="1" applyAlignment="1">
      <alignment horizontal="center" vertical="center"/>
    </xf>
    <xf numFmtId="172" fontId="74" fillId="303" borderId="1" xfId="138" applyNumberFormat="1" applyFont="1" applyFill="1" applyBorder="1" applyAlignment="1">
      <alignment horizontal="center" vertical="center" shrinkToFit="1"/>
    </xf>
    <xf numFmtId="172" fontId="0" fillId="0" borderId="33" xfId="0" applyNumberFormat="1" applyBorder="1" applyAlignment="1">
      <alignment vertical="center"/>
    </xf>
    <xf numFmtId="172" fontId="0" fillId="0" borderId="35" xfId="0" applyNumberFormat="1" applyBorder="1" applyAlignment="1">
      <alignment vertical="center"/>
    </xf>
    <xf numFmtId="172" fontId="45" fillId="35" borderId="35" xfId="0" applyNumberFormat="1" applyFont="1" applyFill="1" applyBorder="1" applyAlignment="1">
      <alignment horizontal="center" vertical="center"/>
    </xf>
    <xf numFmtId="172" fontId="2" fillId="97" borderId="34" xfId="253" applyNumberFormat="1" applyFont="1" applyFill="1" applyBorder="1" applyAlignment="1" applyProtection="1">
      <alignment vertical="center"/>
    </xf>
    <xf numFmtId="172" fontId="7" fillId="84" borderId="46" xfId="250" applyNumberFormat="1" applyFont="1" applyFill="1" applyBorder="1" applyAlignment="1" applyProtection="1">
      <alignment horizontal="center" vertical="center"/>
    </xf>
    <xf numFmtId="172" fontId="7" fillId="84" borderId="33" xfId="250" applyNumberFormat="1" applyFont="1" applyFill="1" applyBorder="1" applyAlignment="1" applyProtection="1">
      <alignment horizontal="center" vertical="center" wrapText="1"/>
    </xf>
    <xf numFmtId="172" fontId="7" fillId="84" borderId="35" xfId="250" applyNumberFormat="1" applyFont="1" applyFill="1" applyBorder="1" applyAlignment="1" applyProtection="1">
      <alignment horizontal="center" vertical="center" wrapText="1"/>
    </xf>
    <xf numFmtId="172" fontId="7" fillId="84" borderId="34" xfId="250" applyNumberFormat="1" applyFont="1" applyFill="1" applyBorder="1" applyAlignment="1" applyProtection="1">
      <alignment horizontal="center" vertical="center" wrapText="1"/>
    </xf>
    <xf numFmtId="172" fontId="0" fillId="0" borderId="41" xfId="0" applyNumberFormat="1" applyBorder="1"/>
    <xf numFmtId="172" fontId="31" fillId="0" borderId="0" xfId="0" applyNumberFormat="1" applyFont="1" applyAlignment="1">
      <alignment horizontal="center" vertical="center"/>
    </xf>
    <xf numFmtId="172" fontId="72" fillId="130" borderId="0" xfId="253" applyNumberFormat="1" applyFont="1" applyFill="1" applyAlignment="1" applyProtection="1">
      <alignment horizontal="center" vertical="center"/>
    </xf>
    <xf numFmtId="172" fontId="33" fillId="35" borderId="0" xfId="0" applyNumberFormat="1" applyFont="1" applyFill="1" applyAlignment="1">
      <alignment horizontal="center" vertical="center"/>
    </xf>
    <xf numFmtId="172" fontId="35" fillId="97" borderId="0" xfId="252" applyNumberFormat="1" applyFont="1" applyFill="1" applyAlignment="1" applyProtection="1">
      <alignment vertical="center"/>
    </xf>
    <xf numFmtId="172" fontId="23" fillId="97" borderId="30" xfId="160" applyNumberFormat="1" applyFont="1" applyFill="1" applyBorder="1" applyAlignment="1">
      <alignment vertical="center"/>
    </xf>
    <xf numFmtId="172" fontId="7" fillId="84" borderId="41" xfId="250" applyNumberFormat="1" applyFont="1" applyFill="1" applyBorder="1" applyAlignment="1" applyProtection="1">
      <alignment horizontal="center" vertical="center" wrapText="1"/>
    </xf>
    <xf numFmtId="172" fontId="7" fillId="84" borderId="30" xfId="250" applyNumberFormat="1" applyFont="1" applyFill="1" applyBorder="1" applyAlignment="1" applyProtection="1">
      <alignment horizontal="center" vertical="center" wrapText="1"/>
    </xf>
    <xf numFmtId="172" fontId="63" fillId="84" borderId="91" xfId="142" applyNumberFormat="1" applyFont="1" applyFill="1" applyBorder="1" applyAlignment="1" applyProtection="1">
      <alignment horizontal="center" vertical="center" shrinkToFit="1"/>
    </xf>
    <xf numFmtId="172" fontId="74" fillId="84" borderId="0" xfId="142" applyNumberFormat="1" applyFont="1" applyFill="1" applyAlignment="1" applyProtection="1">
      <alignment vertical="center" shrinkToFit="1"/>
    </xf>
    <xf numFmtId="172" fontId="0" fillId="0" borderId="41" xfId="0" applyNumberFormat="1" applyBorder="1" applyAlignment="1">
      <alignment vertical="center"/>
    </xf>
    <xf numFmtId="172" fontId="90" fillId="131" borderId="0" xfId="252" applyNumberFormat="1" applyFont="1" applyFill="1" applyAlignment="1" applyProtection="1">
      <alignment horizontal="center" vertical="center"/>
    </xf>
    <xf numFmtId="172" fontId="35" fillId="97" borderId="30" xfId="252" applyNumberFormat="1" applyFont="1" applyFill="1" applyBorder="1" applyAlignment="1" applyProtection="1">
      <alignment vertical="center"/>
    </xf>
    <xf numFmtId="172" fontId="80" fillId="84" borderId="15" xfId="255" applyNumberFormat="1" applyFont="1" applyFill="1" applyBorder="1" applyAlignment="1" applyProtection="1">
      <alignment horizontal="center" vertical="center"/>
    </xf>
    <xf numFmtId="172" fontId="63" fillId="84" borderId="92" xfId="142" applyNumberFormat="1" applyFont="1" applyFill="1" applyBorder="1" applyAlignment="1" applyProtection="1">
      <alignment horizontal="center" vertical="center" shrinkToFit="1"/>
    </xf>
    <xf numFmtId="172" fontId="72" fillId="130" borderId="41" xfId="253" applyNumberFormat="1" applyFont="1" applyFill="1" applyBorder="1" applyAlignment="1" applyProtection="1">
      <alignment horizontal="center" vertical="center"/>
    </xf>
    <xf numFmtId="172" fontId="44" fillId="50" borderId="1" xfId="0" applyNumberFormat="1" applyFont="1" applyFill="1" applyBorder="1" applyAlignment="1">
      <alignment horizontal="center" vertical="center"/>
    </xf>
    <xf numFmtId="172" fontId="72" fillId="130" borderId="30" xfId="253" applyNumberFormat="1" applyFont="1" applyFill="1" applyBorder="1" applyAlignment="1" applyProtection="1">
      <alignment horizontal="center" vertical="center"/>
    </xf>
    <xf numFmtId="172" fontId="69" fillId="84" borderId="0" xfId="160" applyNumberFormat="1" applyFont="1" applyFill="1" applyAlignment="1">
      <alignment horizontal="center" vertical="center"/>
    </xf>
    <xf numFmtId="172" fontId="90" fillId="84" borderId="45" xfId="0" applyNumberFormat="1" applyFont="1" applyFill="1" applyBorder="1" applyAlignment="1">
      <alignment horizontal="center" vertical="center"/>
    </xf>
    <xf numFmtId="172" fontId="109" fillId="84" borderId="0" xfId="160" applyNumberFormat="1" applyFont="1" applyFill="1" applyAlignment="1">
      <alignment horizontal="center" vertical="center"/>
    </xf>
    <xf numFmtId="172" fontId="33" fillId="84" borderId="0" xfId="0" applyNumberFormat="1" applyFont="1" applyFill="1" applyAlignment="1">
      <alignment horizontal="center" vertical="center"/>
    </xf>
    <xf numFmtId="172" fontId="36" fillId="62" borderId="1" xfId="0" applyNumberFormat="1" applyFont="1" applyFill="1" applyBorder="1" applyAlignment="1">
      <alignment horizontal="center" vertical="center"/>
    </xf>
    <xf numFmtId="172" fontId="57" fillId="84" borderId="0" xfId="160" applyNumberFormat="1" applyFont="1" applyFill="1" applyAlignment="1">
      <alignment horizontal="left" vertical="center"/>
    </xf>
    <xf numFmtId="172" fontId="4" fillId="0" borderId="93" xfId="160" applyNumberFormat="1" applyBorder="1" applyAlignment="1">
      <alignment vertical="center"/>
    </xf>
    <xf numFmtId="172" fontId="63" fillId="84" borderId="94" xfId="142" applyNumberFormat="1" applyFont="1" applyFill="1" applyBorder="1" applyAlignment="1" applyProtection="1">
      <alignment horizontal="center" vertical="center" shrinkToFit="1"/>
    </xf>
    <xf numFmtId="172" fontId="72" fillId="84" borderId="0" xfId="253" applyNumberFormat="1" applyFont="1" applyFill="1" applyAlignment="1" applyProtection="1">
      <alignment horizontal="center" vertical="center"/>
    </xf>
    <xf numFmtId="172" fontId="2" fillId="97" borderId="30" xfId="253" applyNumberFormat="1" applyFont="1" applyFill="1" applyBorder="1" applyAlignment="1" applyProtection="1">
      <alignment vertical="center"/>
    </xf>
    <xf numFmtId="172" fontId="90" fillId="124" borderId="0" xfId="160" applyNumberFormat="1" applyFont="1" applyFill="1" applyAlignment="1">
      <alignment horizontal="center" vertical="center"/>
    </xf>
    <xf numFmtId="172" fontId="90" fillId="124" borderId="30" xfId="160" applyNumberFormat="1" applyFont="1" applyFill="1" applyBorder="1" applyAlignment="1">
      <alignment horizontal="center" vertical="center"/>
    </xf>
    <xf numFmtId="172" fontId="90" fillId="0" borderId="95" xfId="160" applyNumberFormat="1" applyFont="1" applyBorder="1" applyAlignment="1">
      <alignment horizontal="center" vertical="center"/>
    </xf>
    <xf numFmtId="172" fontId="90" fillId="0" borderId="96" xfId="160" applyNumberFormat="1" applyFont="1" applyBorder="1" applyAlignment="1">
      <alignment horizontal="center" vertical="center"/>
    </xf>
    <xf numFmtId="172" fontId="73" fillId="84" borderId="90" xfId="142" applyNumberFormat="1" applyFont="1" applyFill="1" applyBorder="1" applyAlignment="1" applyProtection="1">
      <alignment horizontal="center" vertical="center" shrinkToFit="1"/>
    </xf>
    <xf numFmtId="172" fontId="0" fillId="0" borderId="51" xfId="0" applyNumberFormat="1" applyBorder="1" applyAlignment="1">
      <alignment vertical="center"/>
    </xf>
    <xf numFmtId="172" fontId="72" fillId="130" borderId="29" xfId="253" applyNumberFormat="1" applyFont="1" applyFill="1" applyBorder="1" applyAlignment="1" applyProtection="1">
      <alignment horizontal="center" vertical="center"/>
    </xf>
    <xf numFmtId="172" fontId="2" fillId="0" borderId="29" xfId="250" applyNumberFormat="1" applyBorder="1" applyAlignment="1" applyProtection="1">
      <alignment vertical="center"/>
    </xf>
    <xf numFmtId="172" fontId="0" fillId="0" borderId="29" xfId="0" applyNumberFormat="1" applyBorder="1" applyAlignment="1">
      <alignment vertical="center"/>
    </xf>
    <xf numFmtId="172" fontId="44" fillId="97" borderId="29" xfId="160" applyNumberFormat="1" applyFont="1" applyFill="1" applyBorder="1" applyAlignment="1">
      <alignment horizontal="center" vertical="center"/>
    </xf>
    <xf numFmtId="172" fontId="23" fillId="97" borderId="49" xfId="252" applyNumberFormat="1" applyFont="1" applyFill="1" applyBorder="1" applyAlignment="1" applyProtection="1">
      <alignment vertical="center"/>
    </xf>
    <xf numFmtId="172" fontId="57" fillId="84" borderId="0" xfId="0" applyNumberFormat="1" applyFont="1" applyFill="1" applyAlignment="1">
      <alignment vertical="center"/>
    </xf>
    <xf numFmtId="172" fontId="4" fillId="0" borderId="97" xfId="160" applyNumberFormat="1" applyBorder="1" applyAlignment="1">
      <alignment vertical="center"/>
    </xf>
    <xf numFmtId="172" fontId="74" fillId="296" borderId="1" xfId="138" applyNumberFormat="1" applyFont="1" applyFill="1" applyBorder="1" applyAlignment="1">
      <alignment horizontal="center" vertical="center" shrinkToFit="1"/>
    </xf>
    <xf numFmtId="172" fontId="23" fillId="0" borderId="0" xfId="160" applyNumberFormat="1" applyFont="1" applyAlignment="1">
      <alignment horizontal="center" vertical="center"/>
    </xf>
    <xf numFmtId="172" fontId="79" fillId="84" borderId="0" xfId="160" applyNumberFormat="1" applyFont="1" applyFill="1" applyAlignment="1">
      <alignment horizontal="right" vertical="center"/>
    </xf>
    <xf numFmtId="172" fontId="110" fillId="304" borderId="0" xfId="258" applyNumberFormat="1" applyFont="1" applyFill="1" applyAlignment="1" applyProtection="1">
      <alignment horizontal="center" vertical="center" shrinkToFit="1"/>
    </xf>
    <xf numFmtId="172" fontId="2" fillId="0" borderId="30" xfId="250" applyNumberFormat="1" applyBorder="1" applyAlignment="1" applyProtection="1">
      <alignment vertical="center"/>
    </xf>
    <xf numFmtId="172" fontId="7" fillId="84" borderId="51" xfId="250" applyNumberFormat="1" applyFont="1" applyFill="1" applyBorder="1" applyAlignment="1" applyProtection="1">
      <alignment horizontal="center" vertical="center" wrapText="1"/>
    </xf>
    <xf numFmtId="172" fontId="7" fillId="84" borderId="29" xfId="250" applyNumberFormat="1" applyFont="1" applyFill="1" applyBorder="1" applyAlignment="1" applyProtection="1">
      <alignment horizontal="center" vertical="center" wrapText="1"/>
    </xf>
    <xf numFmtId="172" fontId="7" fillId="84" borderId="49" xfId="250" applyNumberFormat="1" applyFont="1" applyFill="1" applyBorder="1" applyAlignment="1" applyProtection="1">
      <alignment horizontal="center" vertical="center" wrapText="1"/>
    </xf>
    <xf numFmtId="172" fontId="2" fillId="84" borderId="33" xfId="253" applyNumberFormat="1" applyFont="1" applyFill="1" applyBorder="1" applyAlignment="1" applyProtection="1">
      <alignment horizontal="left" vertical="center"/>
    </xf>
    <xf numFmtId="172" fontId="2" fillId="84" borderId="35" xfId="253" applyNumberFormat="1" applyFont="1" applyFill="1" applyBorder="1" applyAlignment="1" applyProtection="1">
      <alignment vertical="center"/>
    </xf>
    <xf numFmtId="172" fontId="2" fillId="84" borderId="34" xfId="253" applyNumberFormat="1" applyFont="1" applyFill="1" applyBorder="1" applyAlignment="1" applyProtection="1">
      <alignment vertical="center"/>
    </xf>
    <xf numFmtId="172" fontId="2" fillId="84" borderId="33" xfId="250" applyNumberFormat="1" applyFill="1" applyBorder="1" applyAlignment="1" applyProtection="1">
      <alignment vertical="center"/>
    </xf>
    <xf numFmtId="172" fontId="2" fillId="84" borderId="35" xfId="250" applyNumberFormat="1" applyFill="1" applyBorder="1" applyAlignment="1" applyProtection="1">
      <alignment vertical="center"/>
    </xf>
    <xf numFmtId="172" fontId="49" fillId="97" borderId="0" xfId="252" applyNumberFormat="1" applyFont="1" applyFill="1" applyAlignment="1" applyProtection="1">
      <alignment horizontal="center" vertical="center"/>
    </xf>
    <xf numFmtId="172" fontId="23" fillId="84" borderId="49" xfId="0" applyNumberFormat="1" applyFont="1" applyFill="1" applyBorder="1" applyAlignment="1">
      <alignment vertical="center"/>
    </xf>
    <xf numFmtId="172" fontId="2" fillId="84" borderId="41" xfId="253" applyNumberFormat="1" applyFont="1" applyFill="1" applyBorder="1" applyAlignment="1" applyProtection="1">
      <alignment horizontal="left" vertical="center"/>
    </xf>
    <xf numFmtId="172" fontId="2" fillId="84" borderId="41" xfId="250" applyNumberFormat="1" applyFill="1" applyBorder="1" applyAlignment="1" applyProtection="1">
      <alignment vertical="center"/>
    </xf>
    <xf numFmtId="172" fontId="23" fillId="84" borderId="0" xfId="160" applyNumberFormat="1" applyFont="1" applyFill="1" applyAlignment="1">
      <alignment horizontal="left" vertical="center"/>
    </xf>
    <xf numFmtId="172" fontId="37" fillId="39" borderId="1" xfId="0" applyNumberFormat="1" applyFont="1" applyFill="1" applyBorder="1" applyAlignment="1">
      <alignment horizontal="center" vertical="center"/>
    </xf>
    <xf numFmtId="172" fontId="62" fillId="84" borderId="41" xfId="250" applyNumberFormat="1" applyFont="1" applyFill="1" applyBorder="1" applyAlignment="1" applyProtection="1">
      <alignment horizontal="left" vertical="center"/>
    </xf>
    <xf numFmtId="172" fontId="62" fillId="84" borderId="30" xfId="250" applyNumberFormat="1" applyFont="1" applyFill="1" applyBorder="1" applyAlignment="1" applyProtection="1">
      <alignment horizontal="center" vertical="center"/>
    </xf>
    <xf numFmtId="172" fontId="7" fillId="84" borderId="30" xfId="253" applyNumberFormat="1" applyFont="1" applyFill="1" applyBorder="1" applyAlignment="1" applyProtection="1">
      <alignment vertical="center"/>
    </xf>
    <xf numFmtId="172" fontId="23" fillId="0" borderId="33" xfId="252" applyNumberFormat="1" applyFont="1" applyBorder="1" applyAlignment="1" applyProtection="1">
      <alignment horizontal="center" vertical="center"/>
    </xf>
    <xf numFmtId="172" fontId="74" fillId="84" borderId="98" xfId="142" applyNumberFormat="1" applyFont="1" applyFill="1" applyBorder="1" applyAlignment="1" applyProtection="1">
      <alignment horizontal="center" vertical="center" shrinkToFit="1"/>
    </xf>
    <xf numFmtId="172" fontId="72" fillId="84" borderId="0" xfId="253" applyNumberFormat="1" applyFont="1" applyFill="1" applyAlignment="1" applyProtection="1">
      <alignment horizontal="left" vertical="center"/>
    </xf>
    <xf numFmtId="172" fontId="35" fillId="69" borderId="1" xfId="0" applyNumberFormat="1" applyFont="1" applyFill="1" applyBorder="1" applyAlignment="1">
      <alignment horizontal="center" vertical="center"/>
    </xf>
    <xf numFmtId="172" fontId="49" fillId="84" borderId="0" xfId="250" applyNumberFormat="1" applyFont="1" applyFill="1" applyAlignment="1" applyProtection="1">
      <alignment horizontal="center" vertical="center"/>
    </xf>
    <xf numFmtId="172" fontId="84" fillId="84" borderId="30" xfId="250" applyNumberFormat="1" applyFont="1" applyFill="1" applyBorder="1" applyAlignment="1" applyProtection="1">
      <alignment horizontal="right" vertical="center"/>
    </xf>
    <xf numFmtId="172" fontId="23" fillId="0" borderId="40" xfId="252" applyNumberFormat="1" applyFont="1" applyBorder="1" applyAlignment="1" applyProtection="1">
      <alignment horizontal="center" vertical="center"/>
    </xf>
    <xf numFmtId="172" fontId="70" fillId="298" borderId="99" xfId="138" applyNumberFormat="1" applyFont="1" applyFill="1" applyBorder="1" applyAlignment="1">
      <alignment horizontal="center" vertical="center" shrinkToFit="1"/>
    </xf>
    <xf numFmtId="172" fontId="79" fillId="84" borderId="0" xfId="253" applyNumberFormat="1" applyFont="1" applyFill="1" applyAlignment="1" applyProtection="1">
      <alignment horizontal="left" vertical="center"/>
    </xf>
    <xf numFmtId="172" fontId="86" fillId="97" borderId="0" xfId="252" applyNumberFormat="1" applyFont="1" applyFill="1" applyAlignment="1" applyProtection="1">
      <alignment vertical="center"/>
    </xf>
    <xf numFmtId="172" fontId="4" fillId="0" borderId="100" xfId="160" applyNumberFormat="1" applyBorder="1" applyAlignment="1">
      <alignment vertical="center"/>
    </xf>
    <xf numFmtId="172" fontId="74" fillId="302" borderId="101" xfId="138" applyNumberFormat="1" applyFont="1" applyFill="1" applyBorder="1" applyAlignment="1">
      <alignment horizontal="center" vertical="center" shrinkToFit="1"/>
    </xf>
    <xf numFmtId="172" fontId="23" fillId="84" borderId="0" xfId="0" applyNumberFormat="1" applyFont="1" applyFill="1"/>
    <xf numFmtId="172" fontId="72" fillId="84" borderId="102" xfId="253" applyNumberFormat="1" applyFont="1" applyFill="1" applyBorder="1" applyAlignment="1" applyProtection="1">
      <alignment horizontal="center" vertical="center"/>
    </xf>
    <xf numFmtId="172" fontId="72" fillId="97" borderId="0" xfId="253" applyNumberFormat="1" applyFont="1" applyFill="1" applyAlignment="1" applyProtection="1">
      <alignment horizontal="center" vertical="center"/>
    </xf>
    <xf numFmtId="172" fontId="111" fillId="84" borderId="0" xfId="160" applyNumberFormat="1" applyFont="1" applyFill="1" applyAlignment="1">
      <alignment horizontal="center" vertical="center"/>
    </xf>
    <xf numFmtId="172" fontId="35" fillId="84" borderId="102" xfId="252" applyNumberFormat="1" applyFont="1" applyFill="1" applyBorder="1" applyProtection="1"/>
    <xf numFmtId="172" fontId="2" fillId="97" borderId="0" xfId="160" applyNumberFormat="1" applyFont="1" applyFill="1" applyAlignment="1">
      <alignment vertical="center"/>
    </xf>
    <xf numFmtId="172" fontId="2" fillId="84" borderId="49" xfId="253" applyNumberFormat="1" applyFont="1" applyFill="1" applyBorder="1" applyAlignment="1" applyProtection="1">
      <alignment vertical="center"/>
    </xf>
    <xf numFmtId="172" fontId="2" fillId="84" borderId="51" xfId="250" applyNumberFormat="1" applyFill="1" applyBorder="1" applyAlignment="1" applyProtection="1">
      <alignment vertical="center"/>
    </xf>
    <xf numFmtId="172" fontId="2" fillId="84" borderId="29" xfId="250" applyNumberFormat="1" applyFill="1" applyBorder="1" applyAlignment="1" applyProtection="1">
      <alignment vertical="center"/>
    </xf>
    <xf numFmtId="172" fontId="86" fillId="84" borderId="0" xfId="253" applyNumberFormat="1" applyFont="1" applyFill="1" applyAlignment="1" applyProtection="1">
      <alignment vertical="center"/>
    </xf>
    <xf numFmtId="172" fontId="35" fillId="84" borderId="0" xfId="252" applyNumberFormat="1" applyFont="1" applyFill="1" applyProtection="1"/>
    <xf numFmtId="172" fontId="4" fillId="84" borderId="102" xfId="160" applyNumberFormat="1" applyFill="1" applyBorder="1" applyAlignment="1">
      <alignment vertical="center"/>
    </xf>
    <xf numFmtId="172" fontId="90" fillId="97" borderId="0" xfId="252" applyNumberFormat="1" applyFont="1" applyFill="1" applyAlignment="1" applyProtection="1">
      <alignment vertical="center"/>
    </xf>
    <xf numFmtId="172" fontId="23" fillId="84" borderId="30" xfId="160" applyNumberFormat="1" applyFont="1" applyFill="1" applyBorder="1" applyAlignment="1">
      <alignment vertical="center"/>
    </xf>
    <xf numFmtId="172" fontId="80" fillId="84" borderId="0" xfId="254" applyNumberFormat="1" applyFont="1" applyFill="1" applyAlignment="1" applyProtection="1">
      <alignment horizontal="left" vertical="center"/>
    </xf>
    <xf numFmtId="172" fontId="23" fillId="0" borderId="46" xfId="252" applyNumberFormat="1" applyFont="1" applyBorder="1" applyAlignment="1" applyProtection="1">
      <alignment horizontal="center" vertical="center"/>
    </xf>
    <xf numFmtId="172" fontId="54" fillId="84" borderId="33" xfId="160" applyNumberFormat="1" applyFont="1" applyFill="1" applyBorder="1" applyAlignment="1">
      <alignment horizontal="center" vertical="center"/>
    </xf>
    <xf numFmtId="172" fontId="54" fillId="84" borderId="34" xfId="160" applyNumberFormat="1" applyFont="1" applyFill="1" applyBorder="1" applyAlignment="1">
      <alignment horizontal="center" vertical="center"/>
    </xf>
    <xf numFmtId="172" fontId="112" fillId="97" borderId="0" xfId="160" applyNumberFormat="1" applyFont="1" applyFill="1" applyAlignment="1">
      <alignment horizontal="center" vertical="center"/>
    </xf>
    <xf numFmtId="172" fontId="57" fillId="84" borderId="57" xfId="0" applyNumberFormat="1" applyFont="1" applyFill="1" applyBorder="1" applyAlignment="1">
      <alignment horizontal="center" vertical="center"/>
    </xf>
    <xf numFmtId="172" fontId="54" fillId="84" borderId="41" xfId="160" applyNumberFormat="1" applyFont="1" applyFill="1" applyBorder="1" applyAlignment="1">
      <alignment horizontal="center" vertical="center"/>
    </xf>
    <xf numFmtId="172" fontId="54" fillId="84" borderId="30" xfId="160" applyNumberFormat="1" applyFont="1" applyFill="1" applyBorder="1" applyAlignment="1">
      <alignment horizontal="center" vertical="center"/>
    </xf>
    <xf numFmtId="172" fontId="57" fillId="127" borderId="0" xfId="253" applyNumberFormat="1" applyFont="1" applyFill="1" applyAlignment="1" applyProtection="1">
      <alignment horizontal="center" vertical="center"/>
    </xf>
    <xf numFmtId="172" fontId="23" fillId="0" borderId="49" xfId="160" applyNumberFormat="1" applyFont="1" applyBorder="1" applyAlignment="1">
      <alignment vertical="center"/>
    </xf>
    <xf numFmtId="172" fontId="23" fillId="0" borderId="29" xfId="252" applyNumberFormat="1" applyFont="1" applyBorder="1" applyAlignment="1" applyProtection="1">
      <alignment vertical="center"/>
    </xf>
    <xf numFmtId="172" fontId="23" fillId="84" borderId="49" xfId="160" applyNumberFormat="1" applyFont="1" applyFill="1" applyBorder="1" applyAlignment="1">
      <alignment vertical="center"/>
    </xf>
    <xf numFmtId="172" fontId="54" fillId="84" borderId="51" xfId="160" applyNumberFormat="1" applyFont="1" applyFill="1" applyBorder="1" applyAlignment="1">
      <alignment horizontal="center" vertical="center"/>
    </xf>
    <xf numFmtId="172" fontId="54" fillId="84" borderId="49" xfId="160" applyNumberFormat="1" applyFont="1" applyFill="1" applyBorder="1" applyAlignment="1">
      <alignment horizontal="center" vertical="center"/>
    </xf>
    <xf numFmtId="172" fontId="23" fillId="84" borderId="0" xfId="252" applyNumberFormat="1" applyFont="1" applyFill="1" applyAlignment="1" applyProtection="1">
      <alignment horizontal="left" vertical="center"/>
    </xf>
    <xf numFmtId="172" fontId="72" fillId="127" borderId="73" xfId="253" applyNumberFormat="1" applyFont="1" applyFill="1" applyBorder="1" applyAlignment="1" applyProtection="1">
      <alignment horizontal="center" vertical="center"/>
    </xf>
    <xf numFmtId="172" fontId="23" fillId="84" borderId="80" xfId="0" applyNumberFormat="1" applyFont="1" applyFill="1" applyBorder="1" applyAlignment="1">
      <alignment horizontal="center" vertical="center"/>
    </xf>
    <xf numFmtId="172" fontId="113" fillId="84" borderId="90" xfId="0" applyNumberFormat="1" applyFont="1" applyFill="1" applyBorder="1" applyAlignment="1">
      <alignment horizontal="center" vertical="center"/>
    </xf>
    <xf numFmtId="172" fontId="23" fillId="84" borderId="102" xfId="0" applyNumberFormat="1" applyFont="1" applyFill="1" applyBorder="1"/>
    <xf numFmtId="172" fontId="35" fillId="122" borderId="73" xfId="0" applyNumberFormat="1" applyFont="1" applyFill="1" applyBorder="1" applyAlignment="1">
      <alignment horizontal="center" vertical="center"/>
    </xf>
    <xf numFmtId="172" fontId="66" fillId="127" borderId="0" xfId="253" applyNumberFormat="1" applyFont="1" applyFill="1" applyAlignment="1" applyProtection="1">
      <alignment horizontal="center" vertical="center"/>
    </xf>
    <xf numFmtId="172" fontId="57" fillId="127" borderId="0" xfId="253" applyNumberFormat="1" applyFont="1" applyFill="1" applyAlignment="1" applyProtection="1">
      <alignment horizontal="left" vertical="center"/>
    </xf>
    <xf numFmtId="172" fontId="35" fillId="0" borderId="0" xfId="160" applyNumberFormat="1" applyFont="1" applyAlignment="1">
      <alignment horizontal="left" vertical="center"/>
    </xf>
    <xf numFmtId="172" fontId="66" fillId="84" borderId="0" xfId="255" applyNumberFormat="1" applyFont="1" applyFill="1" applyAlignment="1" applyProtection="1">
      <alignment horizontal="center" vertical="center"/>
    </xf>
    <xf numFmtId="172" fontId="7" fillId="84" borderId="103" xfId="253" applyNumberFormat="1" applyFont="1" applyFill="1" applyBorder="1" applyAlignment="1" applyProtection="1">
      <alignment horizontal="center" vertical="center"/>
    </xf>
    <xf numFmtId="172" fontId="114" fillId="84" borderId="59" xfId="160" applyNumberFormat="1" applyFont="1" applyFill="1" applyBorder="1" applyAlignment="1">
      <alignment horizontal="center" vertical="center"/>
    </xf>
    <xf numFmtId="172" fontId="114" fillId="84" borderId="60" xfId="160" applyNumberFormat="1" applyFont="1" applyFill="1" applyBorder="1" applyAlignment="1">
      <alignment horizontal="center" vertical="center"/>
    </xf>
    <xf numFmtId="172" fontId="114" fillId="84" borderId="61" xfId="160" applyNumberFormat="1" applyFont="1" applyFill="1" applyBorder="1" applyAlignment="1">
      <alignment horizontal="center" vertical="center"/>
    </xf>
    <xf numFmtId="172" fontId="54" fillId="84" borderId="0" xfId="160" applyNumberFormat="1" applyFont="1" applyFill="1" applyAlignment="1">
      <alignment vertical="center"/>
    </xf>
    <xf numFmtId="172" fontId="107" fillId="84" borderId="0" xfId="160" applyNumberFormat="1" applyFont="1" applyFill="1" applyAlignment="1">
      <alignment horizontal="right" vertical="center"/>
    </xf>
    <xf numFmtId="172" fontId="57" fillId="84" borderId="0" xfId="0" applyNumberFormat="1" applyFont="1" applyFill="1" applyAlignment="1">
      <alignment horizontal="left" vertical="center"/>
    </xf>
    <xf numFmtId="172" fontId="80" fillId="84" borderId="2" xfId="255" applyNumberFormat="1" applyFont="1" applyFill="1" applyBorder="1" applyAlignment="1" applyProtection="1">
      <alignment horizontal="center" vertical="center"/>
    </xf>
    <xf numFmtId="172" fontId="7" fillId="84" borderId="104" xfId="253" applyNumberFormat="1" applyFont="1" applyFill="1" applyBorder="1" applyAlignment="1" applyProtection="1">
      <alignment horizontal="center" vertical="center"/>
    </xf>
    <xf numFmtId="172" fontId="114" fillId="84" borderId="63" xfId="160" applyNumberFormat="1" applyFont="1" applyFill="1" applyBorder="1" applyAlignment="1">
      <alignment horizontal="center" vertical="center"/>
    </xf>
    <xf numFmtId="172" fontId="114" fillId="84" borderId="0" xfId="160" applyNumberFormat="1" applyFont="1" applyFill="1" applyAlignment="1">
      <alignment horizontal="center" vertical="center"/>
    </xf>
    <xf numFmtId="172" fontId="114" fillId="84" borderId="62" xfId="160" applyNumberFormat="1" applyFont="1" applyFill="1" applyBorder="1" applyAlignment="1">
      <alignment horizontal="center" vertical="center"/>
    </xf>
    <xf numFmtId="172" fontId="31" fillId="84" borderId="105" xfId="0" applyNumberFormat="1" applyFont="1" applyFill="1" applyBorder="1" applyAlignment="1">
      <alignment horizontal="center" vertical="center"/>
    </xf>
    <xf numFmtId="172" fontId="36" fillId="47" borderId="1" xfId="0" applyNumberFormat="1" applyFont="1" applyFill="1" applyBorder="1" applyAlignment="1">
      <alignment horizontal="center" vertical="center"/>
    </xf>
    <xf numFmtId="172" fontId="23" fillId="0" borderId="73" xfId="0" applyNumberFormat="1" applyFont="1" applyBorder="1" applyAlignment="1">
      <alignment horizontal="center" vertical="center"/>
    </xf>
    <xf numFmtId="172" fontId="115" fillId="84" borderId="0" xfId="160" applyNumberFormat="1" applyFont="1" applyFill="1" applyAlignment="1">
      <alignment vertical="center" wrapText="1"/>
    </xf>
    <xf numFmtId="172" fontId="74" fillId="296" borderId="106" xfId="138" applyNumberFormat="1" applyFont="1" applyFill="1" applyBorder="1" applyAlignment="1">
      <alignment horizontal="center" vertical="center" shrinkToFit="1"/>
    </xf>
    <xf numFmtId="172" fontId="57" fillId="84" borderId="0" xfId="0" applyNumberFormat="1" applyFont="1" applyFill="1" applyAlignment="1">
      <alignment horizontal="center" vertical="center"/>
    </xf>
    <xf numFmtId="172" fontId="35" fillId="84" borderId="0" xfId="160" applyNumberFormat="1" applyFont="1" applyFill="1" applyAlignment="1">
      <alignment horizontal="center" vertical="center"/>
    </xf>
    <xf numFmtId="172" fontId="35" fillId="45" borderId="1" xfId="0" applyNumberFormat="1" applyFont="1" applyFill="1" applyBorder="1" applyAlignment="1">
      <alignment horizontal="center" vertical="center"/>
    </xf>
    <xf numFmtId="172" fontId="116" fillId="97" borderId="80" xfId="160" applyNumberFormat="1" applyFont="1" applyFill="1" applyBorder="1" applyAlignment="1">
      <alignment horizontal="center" vertical="center" wrapText="1"/>
    </xf>
    <xf numFmtId="172" fontId="74" fillId="301" borderId="107" xfId="138" applyNumberFormat="1" applyFont="1" applyFill="1" applyBorder="1" applyAlignment="1">
      <alignment horizontal="center" vertical="center" shrinkToFit="1"/>
    </xf>
    <xf numFmtId="172" fontId="74" fillId="296" borderId="107" xfId="138" applyNumberFormat="1" applyFont="1" applyFill="1" applyBorder="1" applyAlignment="1">
      <alignment horizontal="center" vertical="center" shrinkToFit="1"/>
    </xf>
    <xf numFmtId="172" fontId="117" fillId="84" borderId="90" xfId="160" applyNumberFormat="1" applyFont="1" applyFill="1" applyBorder="1" applyAlignment="1">
      <alignment horizontal="center" vertical="center" wrapText="1"/>
    </xf>
    <xf numFmtId="172" fontId="118" fillId="84" borderId="0" xfId="160" applyNumberFormat="1" applyFont="1" applyFill="1" applyAlignment="1">
      <alignment horizontal="center" vertical="center"/>
    </xf>
    <xf numFmtId="172" fontId="90" fillId="124" borderId="0" xfId="160" applyNumberFormat="1" applyFont="1" applyFill="1" applyAlignment="1">
      <alignment horizontal="center" vertical="center"/>
    </xf>
    <xf numFmtId="172" fontId="119" fillId="84" borderId="0" xfId="160" applyNumberFormat="1" applyFont="1" applyFill="1" applyAlignment="1">
      <alignment horizontal="center" vertical="center" shrinkToFit="1"/>
    </xf>
    <xf numFmtId="172" fontId="115" fillId="84" borderId="0" xfId="160" applyNumberFormat="1" applyFont="1" applyFill="1" applyAlignment="1">
      <alignment horizontal="center" vertical="center" wrapText="1"/>
    </xf>
    <xf numFmtId="172" fontId="23" fillId="84" borderId="41" xfId="0" applyNumberFormat="1" applyFont="1" applyFill="1" applyBorder="1" applyAlignment="1">
      <alignment vertical="center"/>
    </xf>
    <xf numFmtId="172" fontId="2" fillId="84" borderId="108" xfId="253" applyNumberFormat="1" applyFont="1" applyFill="1" applyBorder="1" applyAlignment="1" applyProtection="1">
      <alignment vertical="center"/>
    </xf>
    <xf numFmtId="172" fontId="2" fillId="84" borderId="109" xfId="253" applyNumberFormat="1" applyFont="1" applyFill="1" applyBorder="1" applyAlignment="1" applyProtection="1">
      <alignment vertical="center"/>
    </xf>
    <xf numFmtId="172" fontId="70" fillId="305" borderId="110" xfId="138" applyNumberFormat="1" applyFont="1" applyFill="1" applyBorder="1" applyAlignment="1">
      <alignment horizontal="center" vertical="center" shrinkToFit="1"/>
    </xf>
    <xf numFmtId="172" fontId="117" fillId="84" borderId="111" xfId="160" applyNumberFormat="1" applyFont="1" applyFill="1" applyBorder="1" applyAlignment="1">
      <alignment horizontal="center" vertical="center" wrapText="1"/>
    </xf>
    <xf numFmtId="172" fontId="7" fillId="84" borderId="112" xfId="253" applyNumberFormat="1" applyFont="1" applyFill="1" applyBorder="1" applyAlignment="1" applyProtection="1">
      <alignment vertical="center"/>
    </xf>
    <xf numFmtId="172" fontId="116" fillId="97" borderId="113" xfId="160" applyNumberFormat="1" applyFont="1" applyFill="1" applyBorder="1" applyAlignment="1">
      <alignment horizontal="center" vertical="center" wrapText="1"/>
    </xf>
    <xf numFmtId="172" fontId="1" fillId="84" borderId="0" xfId="160" applyNumberFormat="1" applyFont="1" applyFill="1" applyAlignment="1">
      <alignment vertical="center"/>
    </xf>
    <xf numFmtId="172" fontId="4" fillId="84" borderId="114" xfId="160" applyNumberFormat="1" applyFill="1" applyBorder="1" applyAlignment="1">
      <alignment vertical="center"/>
    </xf>
    <xf numFmtId="172" fontId="4" fillId="84" borderId="115" xfId="160" applyNumberFormat="1" applyFill="1" applyBorder="1" applyAlignment="1">
      <alignment vertical="center"/>
    </xf>
    <xf numFmtId="172" fontId="35" fillId="84" borderId="115" xfId="160" applyNumberFormat="1" applyFont="1" applyFill="1" applyBorder="1" applyAlignment="1">
      <alignment horizontal="center" vertical="center"/>
    </xf>
    <xf numFmtId="172" fontId="2" fillId="84" borderId="115" xfId="253" applyNumberFormat="1" applyFont="1" applyFill="1" applyBorder="1" applyAlignment="1" applyProtection="1">
      <alignment vertical="center"/>
    </xf>
    <xf numFmtId="172" fontId="23" fillId="0" borderId="115" xfId="0" applyNumberFormat="1" applyFont="1" applyBorder="1" applyAlignment="1">
      <alignment vertical="center"/>
    </xf>
    <xf numFmtId="172" fontId="79" fillId="84" borderId="0" xfId="160" applyNumberFormat="1" applyFont="1" applyFill="1" applyAlignment="1">
      <alignment horizontal="center" vertical="center"/>
    </xf>
    <xf numFmtId="172" fontId="72" fillId="97" borderId="0" xfId="253" applyNumberFormat="1" applyFont="1" applyFill="1" applyAlignment="1" applyProtection="1">
      <alignment horizontal="left" vertical="center"/>
    </xf>
    <xf numFmtId="172" fontId="54" fillId="84" borderId="35" xfId="160" applyNumberFormat="1" applyFont="1" applyFill="1" applyBorder="1" applyAlignment="1">
      <alignment horizontal="center" vertical="center"/>
    </xf>
    <xf numFmtId="172" fontId="57" fillId="84" borderId="0" xfId="252" applyNumberFormat="1" applyFont="1" applyFill="1" applyAlignment="1" applyProtection="1">
      <alignment horizontal="right" vertical="center"/>
    </xf>
    <xf numFmtId="172" fontId="54" fillId="84" borderId="0" xfId="160" applyNumberFormat="1" applyFont="1" applyFill="1" applyAlignment="1">
      <alignment horizontal="center" vertical="center"/>
    </xf>
    <xf numFmtId="172" fontId="57" fillId="84" borderId="0" xfId="160" applyNumberFormat="1" applyFont="1" applyFill="1" applyAlignment="1">
      <alignment horizontal="center" vertical="center"/>
    </xf>
    <xf numFmtId="172" fontId="120" fillId="84" borderId="0" xfId="142" applyNumberFormat="1" applyFont="1" applyFill="1" applyAlignment="1" applyProtection="1">
      <alignment horizontal="center" vertical="center" shrinkToFit="1"/>
    </xf>
    <xf numFmtId="172" fontId="116" fillId="97" borderId="0" xfId="160" applyNumberFormat="1" applyFont="1" applyFill="1" applyAlignment="1">
      <alignment vertical="center" wrapText="1"/>
    </xf>
    <xf numFmtId="172" fontId="23" fillId="84" borderId="60" xfId="252" applyNumberFormat="1" applyFont="1" applyFill="1" applyBorder="1" applyAlignment="1" applyProtection="1">
      <alignment horizontal="center" vertical="center"/>
    </xf>
    <xf numFmtId="172" fontId="2" fillId="84" borderId="0" xfId="259" applyNumberFormat="1" applyFont="1" applyFill="1" applyAlignment="1" applyProtection="1">
      <alignment vertical="center"/>
    </xf>
    <xf numFmtId="172" fontId="121" fillId="84" borderId="0" xfId="160" applyNumberFormat="1" applyFont="1" applyFill="1" applyAlignment="1">
      <alignment horizontal="center" vertical="center"/>
    </xf>
    <xf numFmtId="172" fontId="35" fillId="97" borderId="0" xfId="252" applyNumberFormat="1" applyFont="1" applyFill="1" applyAlignment="1" applyProtection="1">
      <alignment horizontal="left" vertical="center"/>
    </xf>
    <xf numFmtId="172" fontId="39" fillId="97" borderId="0" xfId="160" applyNumberFormat="1" applyFont="1" applyFill="1" applyAlignment="1">
      <alignment horizontal="center" vertical="center"/>
    </xf>
    <xf numFmtId="172" fontId="54" fillId="84" borderId="29" xfId="160" applyNumberFormat="1" applyFont="1" applyFill="1" applyBorder="1" applyAlignment="1">
      <alignment horizontal="center" vertical="center"/>
    </xf>
    <xf numFmtId="172" fontId="23" fillId="84" borderId="0" xfId="252" applyNumberFormat="1" applyFont="1" applyFill="1" applyAlignment="1" applyProtection="1">
      <alignment horizontal="center" vertical="center"/>
    </xf>
    <xf numFmtId="172" fontId="54" fillId="84" borderId="57" xfId="160" applyNumberFormat="1" applyFont="1" applyFill="1" applyBorder="1" applyAlignment="1">
      <alignment horizontal="center"/>
    </xf>
    <xf numFmtId="172" fontId="4" fillId="84" borderId="0" xfId="160" applyNumberFormat="1" applyFill="1" applyAlignment="1">
      <alignment horizontal="center" vertical="center"/>
    </xf>
    <xf numFmtId="172" fontId="82" fillId="84" borderId="26" xfId="255" applyNumberFormat="1" applyFont="1" applyFill="1" applyBorder="1" applyAlignment="1" applyProtection="1">
      <alignment horizontal="center" vertical="center"/>
    </xf>
    <xf numFmtId="172" fontId="112" fillId="84" borderId="0" xfId="160" applyNumberFormat="1" applyFont="1" applyFill="1" applyAlignment="1">
      <alignment horizontal="center" vertical="center"/>
    </xf>
    <xf numFmtId="172" fontId="82" fillId="84" borderId="116" xfId="255" applyNumberFormat="1" applyFont="1" applyFill="1" applyBorder="1" applyAlignment="1" applyProtection="1">
      <alignment horizontal="center" vertical="center"/>
    </xf>
    <xf numFmtId="172" fontId="68" fillId="84" borderId="0" xfId="254" applyNumberFormat="1" applyFont="1" applyFill="1" applyAlignment="1" applyProtection="1">
      <alignment horizontal="center" vertical="center"/>
    </xf>
    <xf numFmtId="172" fontId="54" fillId="0" borderId="0" xfId="160" applyNumberFormat="1" applyFont="1" applyAlignment="1">
      <alignment vertical="center"/>
    </xf>
    <xf numFmtId="172" fontId="122" fillId="84" borderId="0" xfId="160" applyNumberFormat="1" applyFont="1" applyFill="1" applyAlignment="1">
      <alignment horizontal="center" vertical="center"/>
    </xf>
    <xf numFmtId="172" fontId="64" fillId="84" borderId="0" xfId="253" applyNumberFormat="1" applyFont="1" applyFill="1" applyAlignment="1" applyProtection="1">
      <alignment vertical="center"/>
    </xf>
    <xf numFmtId="172" fontId="7" fillId="84" borderId="35" xfId="253" applyNumberFormat="1" applyFont="1" applyFill="1" applyBorder="1" applyAlignment="1" applyProtection="1">
      <alignment horizontal="center" vertical="center"/>
    </xf>
    <xf numFmtId="172" fontId="23" fillId="0" borderId="0" xfId="252" applyNumberFormat="1" applyFont="1" applyAlignment="1" applyProtection="1">
      <alignment horizontal="left" vertical="center"/>
    </xf>
    <xf numFmtId="172" fontId="7" fillId="84" borderId="41" xfId="253" applyNumberFormat="1" applyFont="1" applyFill="1" applyBorder="1" applyAlignment="1" applyProtection="1">
      <alignment horizontal="center" vertical="center"/>
    </xf>
    <xf numFmtId="172" fontId="114" fillId="84" borderId="70" xfId="160" applyNumberFormat="1" applyFont="1" applyFill="1" applyBorder="1" applyAlignment="1">
      <alignment horizontal="center" vertical="center"/>
    </xf>
    <xf numFmtId="172" fontId="114" fillId="84" borderId="71" xfId="160" applyNumberFormat="1" applyFont="1" applyFill="1" applyBorder="1" applyAlignment="1">
      <alignment horizontal="center" vertical="center"/>
    </xf>
    <xf numFmtId="172" fontId="114" fillId="84" borderId="72" xfId="160" applyNumberFormat="1" applyFont="1" applyFill="1" applyBorder="1" applyAlignment="1">
      <alignment horizontal="center" vertical="center"/>
    </xf>
    <xf numFmtId="172" fontId="80" fillId="296" borderId="101" xfId="255" applyNumberFormat="1" applyFont="1" applyFill="1" applyBorder="1" applyAlignment="1" applyProtection="1">
      <alignment horizontal="center" vertical="center"/>
    </xf>
    <xf numFmtId="172" fontId="62" fillId="84" borderId="117" xfId="253" applyNumberFormat="1" applyFont="1" applyFill="1" applyBorder="1" applyAlignment="1" applyProtection="1">
      <alignment horizontal="center" vertical="center"/>
    </xf>
    <xf numFmtId="172" fontId="23" fillId="84" borderId="71" xfId="252" applyNumberFormat="1" applyFont="1" applyFill="1" applyBorder="1" applyAlignment="1" applyProtection="1">
      <alignment horizontal="center" vertical="center"/>
    </xf>
    <xf numFmtId="172" fontId="94" fillId="84" borderId="0" xfId="253" applyNumberFormat="1" applyFont="1" applyFill="1" applyAlignment="1" applyProtection="1">
      <alignment horizontal="center" vertical="center"/>
    </xf>
    <xf numFmtId="172" fontId="62" fillId="84" borderId="118" xfId="253" applyNumberFormat="1" applyFont="1" applyFill="1" applyBorder="1" applyAlignment="1" applyProtection="1">
      <alignment horizontal="center" vertical="center"/>
    </xf>
    <xf numFmtId="172" fontId="23" fillId="84" borderId="29" xfId="160" applyNumberFormat="1" applyFont="1" applyFill="1" applyBorder="1" applyAlignment="1">
      <alignment vertical="center"/>
    </xf>
    <xf numFmtId="172" fontId="23" fillId="0" borderId="29" xfId="160" applyNumberFormat="1" applyFont="1" applyBorder="1" applyAlignment="1">
      <alignment horizontal="left" vertical="center"/>
    </xf>
    <xf numFmtId="172" fontId="62" fillId="0" borderId="29" xfId="253" applyNumberFormat="1" applyFont="1" applyBorder="1" applyAlignment="1" applyProtection="1">
      <alignment horizontal="left" vertical="center"/>
    </xf>
    <xf numFmtId="172" fontId="123" fillId="0" borderId="0" xfId="160" applyNumberFormat="1" applyFont="1" applyAlignment="1">
      <alignment vertical="center"/>
    </xf>
    <xf numFmtId="172" fontId="23" fillId="0" borderId="0" xfId="160" applyNumberFormat="1" applyFont="1" applyAlignment="1">
      <alignment horizontal="left" vertical="center"/>
    </xf>
    <xf numFmtId="172" fontId="23" fillId="0" borderId="35" xfId="160" applyNumberFormat="1" applyFont="1" applyBorder="1" applyAlignment="1">
      <alignment vertical="center"/>
    </xf>
    <xf numFmtId="172" fontId="23" fillId="0" borderId="35" xfId="252" applyNumberFormat="1" applyFont="1" applyBorder="1" applyAlignment="1">
      <alignment vertical="center"/>
      <protection locked="0"/>
    </xf>
    <xf numFmtId="172" fontId="90" fillId="84" borderId="57" xfId="0" applyNumberFormat="1" applyFont="1" applyFill="1" applyBorder="1" applyAlignment="1">
      <alignment horizontal="center"/>
    </xf>
    <xf numFmtId="172" fontId="23" fillId="0" borderId="0" xfId="252" applyNumberFormat="1" applyFont="1" applyAlignment="1">
      <alignment vertical="center"/>
      <protection locked="0"/>
    </xf>
    <xf numFmtId="172" fontId="23" fillId="97" borderId="0" xfId="252" applyNumberFormat="1" applyFont="1" applyFill="1" applyAlignment="1">
      <alignment vertical="center"/>
      <protection locked="0"/>
    </xf>
    <xf numFmtId="172" fontId="23" fillId="0" borderId="0" xfId="252" applyNumberFormat="1" applyFont="1" applyAlignment="1">
      <alignment horizontal="left" vertical="center"/>
      <protection locked="0"/>
    </xf>
    <xf numFmtId="172" fontId="7" fillId="84" borderId="29" xfId="253" applyNumberFormat="1" applyFont="1" applyFill="1" applyBorder="1" applyAlignment="1" applyProtection="1">
      <alignment horizontal="center" vertical="center"/>
    </xf>
    <xf numFmtId="172" fontId="23" fillId="0" borderId="0" xfId="252" applyNumberFormat="1" applyFont="1" applyAlignment="1" applyProtection="1">
      <alignment horizontal="center" vertical="center"/>
    </xf>
    <xf numFmtId="172" fontId="124" fillId="0" borderId="0" xfId="252" applyNumberFormat="1" applyFont="1" applyAlignment="1" applyProtection="1">
      <alignment horizontal="center" vertical="center"/>
    </xf>
    <xf numFmtId="172" fontId="57" fillId="0" borderId="0" xfId="252" applyNumberFormat="1" applyFont="1" applyAlignment="1" applyProtection="1">
      <alignment horizontal="center" vertical="center"/>
    </xf>
    <xf numFmtId="172" fontId="2" fillId="0" borderId="0" xfId="160" applyNumberFormat="1" applyFont="1" applyAlignment="1">
      <alignment vertical="center"/>
    </xf>
    <xf numFmtId="172" fontId="4" fillId="84" borderId="35" xfId="160" applyNumberFormat="1" applyFill="1" applyBorder="1" applyAlignment="1">
      <alignment vertical="center"/>
    </xf>
    <xf numFmtId="172" fontId="4" fillId="84" borderId="34" xfId="160" applyNumberFormat="1" applyFill="1" applyBorder="1" applyAlignment="1">
      <alignment vertical="center"/>
    </xf>
    <xf numFmtId="172" fontId="4" fillId="84" borderId="30" xfId="160" applyNumberFormat="1" applyFill="1" applyBorder="1" applyAlignment="1">
      <alignment vertical="center"/>
    </xf>
    <xf numFmtId="172" fontId="114" fillId="84" borderId="30" xfId="160" applyNumberFormat="1" applyFont="1" applyFill="1" applyBorder="1" applyAlignment="1">
      <alignment vertical="center"/>
    </xf>
    <xf numFmtId="172" fontId="2" fillId="0" borderId="0" xfId="259" applyNumberFormat="1" applyFont="1" applyAlignment="1" applyProtection="1">
      <alignment vertical="center"/>
    </xf>
    <xf numFmtId="172" fontId="4" fillId="0" borderId="22" xfId="160" applyNumberFormat="1" applyBorder="1" applyAlignment="1">
      <alignment vertical="center"/>
    </xf>
    <xf numFmtId="172" fontId="4" fillId="0" borderId="119" xfId="160" applyNumberFormat="1" applyBorder="1" applyAlignment="1">
      <alignment vertical="center"/>
    </xf>
    <xf numFmtId="172" fontId="4" fillId="84" borderId="119" xfId="160" applyNumberFormat="1" applyFill="1" applyBorder="1" applyAlignment="1">
      <alignment vertical="center"/>
    </xf>
    <xf numFmtId="172" fontId="4" fillId="84" borderId="120" xfId="160" applyNumberFormat="1" applyFill="1" applyBorder="1" applyAlignment="1">
      <alignment vertical="center"/>
    </xf>
    <xf numFmtId="172" fontId="4" fillId="84" borderId="49" xfId="160" applyNumberFormat="1" applyFill="1" applyBorder="1" applyAlignment="1">
      <alignment vertical="center"/>
    </xf>
    <xf numFmtId="172" fontId="23" fillId="97" borderId="0" xfId="160" applyNumberFormat="1" applyFont="1" applyFill="1" applyAlignment="1">
      <alignment horizontal="left" vertical="center"/>
    </xf>
    <xf numFmtId="172" fontId="23" fillId="84" borderId="0" xfId="258" applyNumberFormat="1" applyFill="1" applyAlignment="1" applyProtection="1">
      <alignment vertical="center"/>
    </xf>
    <xf numFmtId="172" fontId="23" fillId="0" borderId="0" xfId="258" applyNumberFormat="1" applyAlignment="1" applyProtection="1">
      <alignment vertical="center"/>
    </xf>
    <xf numFmtId="172" fontId="35" fillId="135" borderId="0" xfId="160" applyNumberFormat="1" applyFont="1" applyFill="1" applyAlignment="1">
      <alignment horizontal="left" vertical="center"/>
    </xf>
    <xf numFmtId="172" fontId="35" fillId="135" borderId="0" xfId="160" applyNumberFormat="1" applyFont="1" applyFill="1" applyAlignment="1">
      <alignment horizontal="center" vertical="center"/>
    </xf>
    <xf numFmtId="172" fontId="86" fillId="296" borderId="33" xfId="252" applyNumberFormat="1" applyFont="1" applyFill="1" applyBorder="1" applyAlignment="1" applyProtection="1">
      <alignment horizontal="left" vertical="center"/>
    </xf>
    <xf numFmtId="172" fontId="86" fillId="123" borderId="35" xfId="252" applyNumberFormat="1" applyFont="1" applyFill="1" applyBorder="1" applyAlignment="1" applyProtection="1">
      <alignment horizontal="left" vertical="center"/>
    </xf>
    <xf numFmtId="172" fontId="86" fillId="123" borderId="35" xfId="252" applyNumberFormat="1" applyFont="1" applyFill="1" applyBorder="1" applyAlignment="1" applyProtection="1">
      <alignment horizontal="center" vertical="center"/>
    </xf>
    <xf numFmtId="172" fontId="4" fillId="84" borderId="24" xfId="160" applyNumberFormat="1" applyFill="1" applyBorder="1" applyAlignment="1">
      <alignment vertical="center"/>
    </xf>
    <xf numFmtId="172" fontId="23" fillId="84" borderId="41" xfId="160" applyNumberFormat="1" applyFont="1" applyFill="1" applyBorder="1" applyAlignment="1">
      <alignment vertical="center"/>
    </xf>
    <xf numFmtId="172" fontId="35" fillId="97" borderId="0" xfId="160" applyNumberFormat="1" applyFont="1" applyFill="1" applyAlignment="1">
      <alignment vertical="center"/>
    </xf>
    <xf numFmtId="172" fontId="2" fillId="0" borderId="73" xfId="160" applyNumberFormat="1" applyFont="1" applyBorder="1" applyAlignment="1">
      <alignment vertical="center"/>
    </xf>
    <xf numFmtId="172" fontId="4" fillId="84" borderId="41" xfId="160" applyNumberFormat="1" applyFill="1" applyBorder="1" applyAlignment="1">
      <alignment vertical="center"/>
    </xf>
    <xf numFmtId="172" fontId="4" fillId="0" borderId="0" xfId="160" applyNumberFormat="1" applyAlignment="1">
      <alignment horizontal="left" vertical="center"/>
    </xf>
    <xf numFmtId="172" fontId="63" fillId="97" borderId="0" xfId="253" applyNumberFormat="1" applyFont="1" applyFill="1" applyAlignment="1" applyProtection="1">
      <alignment vertical="center"/>
    </xf>
    <xf numFmtId="172" fontId="2" fillId="0" borderId="73" xfId="160" applyNumberFormat="1" applyFont="1" applyBorder="1" applyAlignment="1">
      <alignment horizontal="center" vertical="center"/>
    </xf>
    <xf numFmtId="172" fontId="125" fillId="84" borderId="24" xfId="160" applyNumberFormat="1" applyFont="1" applyFill="1" applyBorder="1" applyAlignment="1">
      <alignment vertical="center"/>
    </xf>
    <xf numFmtId="172" fontId="107" fillId="97" borderId="0" xfId="160" applyNumberFormat="1" applyFont="1" applyFill="1" applyAlignment="1">
      <alignment horizontal="center" vertical="center"/>
    </xf>
    <xf numFmtId="172" fontId="65" fillId="97" borderId="0" xfId="256" applyNumberFormat="1" applyFont="1" applyFill="1" applyAlignment="1" applyProtection="1">
      <alignment horizontal="center" vertical="center"/>
    </xf>
    <xf numFmtId="172" fontId="119" fillId="97" borderId="0" xfId="160" applyNumberFormat="1" applyFont="1" applyFill="1" applyAlignment="1">
      <alignment horizontal="center" vertical="center" shrinkToFit="1"/>
    </xf>
    <xf numFmtId="172" fontId="120" fillId="97" borderId="0" xfId="258" applyNumberFormat="1" applyFont="1" applyFill="1" applyAlignment="1" applyProtection="1">
      <alignment horizontal="center" vertical="center" shrinkToFit="1"/>
    </xf>
    <xf numFmtId="172" fontId="64" fillId="84" borderId="0" xfId="160" applyNumberFormat="1" applyFont="1" applyFill="1" applyAlignment="1">
      <alignment vertical="center"/>
    </xf>
    <xf numFmtId="172" fontId="103" fillId="0" borderId="0" xfId="160" applyNumberFormat="1" applyFont="1" applyAlignment="1">
      <alignment horizontal="center" vertical="center" wrapText="1"/>
    </xf>
    <xf numFmtId="172" fontId="64" fillId="0" borderId="0" xfId="160" applyNumberFormat="1" applyFont="1" applyAlignment="1">
      <alignment vertical="center"/>
    </xf>
    <xf numFmtId="172" fontId="2" fillId="0" borderId="0" xfId="160" applyNumberFormat="1" applyFont="1" applyAlignment="1">
      <alignment horizontal="left" vertical="center"/>
    </xf>
    <xf numFmtId="172" fontId="79" fillId="0" borderId="0" xfId="160" applyNumberFormat="1" applyFont="1" applyAlignment="1">
      <alignment horizontal="left" vertical="center"/>
    </xf>
    <xf numFmtId="172" fontId="118" fillId="97" borderId="0" xfId="160" applyNumberFormat="1" applyFont="1" applyFill="1" applyAlignment="1">
      <alignment horizontal="center" vertical="center"/>
    </xf>
    <xf numFmtId="172" fontId="7" fillId="97" borderId="0" xfId="253" applyNumberFormat="1" applyFont="1" applyFill="1" applyAlignment="1" applyProtection="1">
      <alignment horizontal="center" vertical="center"/>
    </xf>
    <xf numFmtId="172" fontId="57" fillId="97" borderId="0" xfId="160" applyNumberFormat="1" applyFont="1" applyFill="1" applyAlignment="1">
      <alignment horizontal="center" vertical="center"/>
    </xf>
    <xf numFmtId="172" fontId="64" fillId="0" borderId="73" xfId="160" applyNumberFormat="1" applyFont="1" applyBorder="1" applyAlignment="1">
      <alignment vertical="center"/>
    </xf>
    <xf numFmtId="172" fontId="64" fillId="0" borderId="121" xfId="160" applyNumberFormat="1" applyFont="1" applyBorder="1" applyAlignment="1">
      <alignment vertical="center"/>
    </xf>
    <xf numFmtId="172" fontId="64" fillId="0" borderId="28" xfId="160" applyNumberFormat="1" applyFont="1" applyBorder="1" applyAlignment="1">
      <alignment vertical="center"/>
    </xf>
    <xf numFmtId="172" fontId="4" fillId="0" borderId="29" xfId="160" applyNumberFormat="1" applyBorder="1" applyAlignment="1">
      <alignment horizontal="left" vertical="center"/>
    </xf>
    <xf numFmtId="172" fontId="23" fillId="0" borderId="49" xfId="252" applyNumberFormat="1" applyFont="1" applyBorder="1" applyAlignment="1" applyProtection="1">
      <alignment vertical="center"/>
    </xf>
    <xf numFmtId="172" fontId="34" fillId="0" borderId="0" xfId="0" applyNumberFormat="1" applyFont="1" applyAlignment="1">
      <alignment vertical="center"/>
    </xf>
  </cellXfs>
  <cellStyles count="2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Moneda 5" xfId="257" xr:uid="{2AA3DD88-322F-4B0E-8CE4-5425BB5ACC52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 2 2 3" xfId="252" xr:uid="{A0B9F577-47AF-46F9-8A03-0EEB620B3B5C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0" xfId="121" xr:uid="{00000000-0005-0000-0000-000079000000}"/>
    <cellStyle name="Normal 2 100 2" xfId="122" xr:uid="{00000000-0005-0000-0000-00007A000000}"/>
    <cellStyle name="Normal 2 100 2 2" xfId="258" xr:uid="{E3523669-7CA3-48ED-BA74-88D5BF5F7512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3 2" xfId="250" xr:uid="{3F4FBC9B-9391-4CB4-BDB5-43770F030BF7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2 2 3 2" xfId="255" xr:uid="{F19D6163-570B-4CEE-90C6-CD0959C1E2DE}"/>
    <cellStyle name="Normal 2 2 4 2 2 3 3 2 2" xfId="254" xr:uid="{8C56B1CC-1EB3-4742-B046-24895E287BB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2 2 2" xfId="256" xr:uid="{3B76041D-9602-4C04-9D23-45A548046194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 2" xfId="260" xr:uid="{694AFE80-CC87-4DAF-A876-ABE55617F6CC}"/>
    <cellStyle name="Normal_MT_Poza Rica_Veracrúz 2 2 2 2" xfId="251" xr:uid="{B21F502E-441B-48C4-B25B-F2CAE9973BD7}"/>
    <cellStyle name="Normal_MT_Poza Rica_Veracrúz_MT_Cancún_Libro5 2 2 2 2 2 2 2" xfId="259" xr:uid="{CEEAAC06-F152-4DEB-AD5A-F6DEA64A07E5}"/>
    <cellStyle name="Normal_MT_Poza Rica_Veracrúz_MT_Cancún_Libro5 2 2 2 3 2" xfId="253" xr:uid="{527B0406-9A54-495C-B19A-BD38BE0740A8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506896</xdr:colOff>
      <xdr:row>155</xdr:row>
      <xdr:rowOff>148140</xdr:rowOff>
    </xdr:from>
    <xdr:to>
      <xdr:col>32</xdr:col>
      <xdr:colOff>516832</xdr:colOff>
      <xdr:row>168</xdr:row>
      <xdr:rowOff>198783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35054071" y="37905240"/>
          <a:ext cx="1124361" cy="2841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28</xdr:col>
      <xdr:colOff>453758</xdr:colOff>
      <xdr:row>148</xdr:row>
      <xdr:rowOff>198668</xdr:rowOff>
    </xdr:from>
    <xdr:to>
      <xdr:col>32</xdr:col>
      <xdr:colOff>526771</xdr:colOff>
      <xdr:row>158</xdr:row>
      <xdr:rowOff>69571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1657658" y="36412718"/>
          <a:ext cx="4530713" cy="20426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22</xdr:col>
      <xdr:colOff>18938</xdr:colOff>
      <xdr:row>33</xdr:row>
      <xdr:rowOff>81923</xdr:rowOff>
    </xdr:from>
    <xdr:to>
      <xdr:col>27</xdr:col>
      <xdr:colOff>331383</xdr:colOff>
      <xdr:row>36</xdr:row>
      <xdr:rowOff>240642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536288" y="9206873"/>
          <a:ext cx="5884570" cy="85404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96542</xdr:colOff>
      <xdr:row>36</xdr:row>
      <xdr:rowOff>287115</xdr:rowOff>
    </xdr:from>
    <xdr:to>
      <xdr:col>25</xdr:col>
      <xdr:colOff>45355</xdr:colOff>
      <xdr:row>39</xdr:row>
      <xdr:rowOff>270059</xdr:rowOff>
    </xdr:to>
    <xdr:pic>
      <xdr:nvPicPr>
        <xdr:cNvPr id="5" name="Imagen 11" descr=" 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6842742" y="10059765"/>
          <a:ext cx="1063238" cy="6020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31</xdr:col>
      <xdr:colOff>506896</xdr:colOff>
      <xdr:row>155</xdr:row>
      <xdr:rowOff>148140</xdr:rowOff>
    </xdr:from>
    <xdr:to>
      <xdr:col>32</xdr:col>
      <xdr:colOff>516832</xdr:colOff>
      <xdr:row>168</xdr:row>
      <xdr:rowOff>198783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35054071" y="37905240"/>
          <a:ext cx="1124361" cy="2841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28</xdr:col>
      <xdr:colOff>453758</xdr:colOff>
      <xdr:row>148</xdr:row>
      <xdr:rowOff>198668</xdr:rowOff>
    </xdr:from>
    <xdr:to>
      <xdr:col>32</xdr:col>
      <xdr:colOff>526771</xdr:colOff>
      <xdr:row>158</xdr:row>
      <xdr:rowOff>69571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1657658" y="36412718"/>
          <a:ext cx="4530713" cy="20426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22</xdr:col>
      <xdr:colOff>18938</xdr:colOff>
      <xdr:row>33</xdr:row>
      <xdr:rowOff>81923</xdr:rowOff>
    </xdr:from>
    <xdr:to>
      <xdr:col>27</xdr:col>
      <xdr:colOff>331383</xdr:colOff>
      <xdr:row>36</xdr:row>
      <xdr:rowOff>202542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4536288" y="9206873"/>
          <a:ext cx="5884570" cy="85404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96542</xdr:colOff>
      <xdr:row>36</xdr:row>
      <xdr:rowOff>201390</xdr:rowOff>
    </xdr:from>
    <xdr:to>
      <xdr:col>25</xdr:col>
      <xdr:colOff>45355</xdr:colOff>
      <xdr:row>40</xdr:row>
      <xdr:rowOff>15265</xdr:rowOff>
    </xdr:to>
    <xdr:pic>
      <xdr:nvPicPr>
        <xdr:cNvPr id="9" name="Imagen 11" descr=" 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6842742" y="10059765"/>
          <a:ext cx="1063238" cy="6139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8227575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57</xdr:col>
      <xdr:colOff>0</xdr:colOff>
      <xdr:row>111</xdr:row>
      <xdr:rowOff>0</xdr:rowOff>
    </xdr:from>
    <xdr:to>
      <xdr:col>58</xdr:col>
      <xdr:colOff>411751</xdr:colOff>
      <xdr:row>113</xdr:row>
      <xdr:rowOff>39089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63522225" y="27632025"/>
          <a:ext cx="1526176" cy="56296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MIX</a:t>
          </a:r>
          <a:r>
            <a:rPr lang="es-MX" sz="1100" b="1" baseline="0">
              <a:solidFill>
                <a:sysClr val="windowText" lastClr="000000"/>
              </a:solidFill>
            </a:rPr>
            <a:t> POSICION 4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8227575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54</xdr:col>
      <xdr:colOff>426358</xdr:colOff>
      <xdr:row>87</xdr:row>
      <xdr:rowOff>200479</xdr:rowOff>
    </xdr:from>
    <xdr:to>
      <xdr:col>55</xdr:col>
      <xdr:colOff>483508</xdr:colOff>
      <xdr:row>89</xdr:row>
      <xdr:rowOff>212272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60605308" y="21612679"/>
          <a:ext cx="1171575" cy="55471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8227575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506896</xdr:colOff>
      <xdr:row>155</xdr:row>
      <xdr:rowOff>148140</xdr:rowOff>
    </xdr:from>
    <xdr:to>
      <xdr:col>32</xdr:col>
      <xdr:colOff>516832</xdr:colOff>
      <xdr:row>168</xdr:row>
      <xdr:rowOff>198783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35054071" y="37905240"/>
          <a:ext cx="1124361" cy="2841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28</xdr:col>
      <xdr:colOff>453758</xdr:colOff>
      <xdr:row>148</xdr:row>
      <xdr:rowOff>198668</xdr:rowOff>
    </xdr:from>
    <xdr:to>
      <xdr:col>32</xdr:col>
      <xdr:colOff>526771</xdr:colOff>
      <xdr:row>158</xdr:row>
      <xdr:rowOff>69571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1657658" y="36412718"/>
          <a:ext cx="4530713" cy="20426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22</xdr:col>
      <xdr:colOff>18938</xdr:colOff>
      <xdr:row>33</xdr:row>
      <xdr:rowOff>81923</xdr:rowOff>
    </xdr:from>
    <xdr:to>
      <xdr:col>27</xdr:col>
      <xdr:colOff>331383</xdr:colOff>
      <xdr:row>36</xdr:row>
      <xdr:rowOff>240642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4536288" y="9206873"/>
          <a:ext cx="5884570" cy="85404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96542</xdr:colOff>
      <xdr:row>36</xdr:row>
      <xdr:rowOff>287115</xdr:rowOff>
    </xdr:from>
    <xdr:to>
      <xdr:col>25</xdr:col>
      <xdr:colOff>45355</xdr:colOff>
      <xdr:row>39</xdr:row>
      <xdr:rowOff>270059</xdr:rowOff>
    </xdr:to>
    <xdr:pic>
      <xdr:nvPicPr>
        <xdr:cNvPr id="5" name="Imagen 11" descr=" 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6842742" y="10059765"/>
          <a:ext cx="1063238" cy="6020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31</xdr:col>
      <xdr:colOff>506896</xdr:colOff>
      <xdr:row>155</xdr:row>
      <xdr:rowOff>148140</xdr:rowOff>
    </xdr:from>
    <xdr:to>
      <xdr:col>32</xdr:col>
      <xdr:colOff>516832</xdr:colOff>
      <xdr:row>168</xdr:row>
      <xdr:rowOff>198783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35054071" y="37905240"/>
          <a:ext cx="1124361" cy="2841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28</xdr:col>
      <xdr:colOff>453758</xdr:colOff>
      <xdr:row>148</xdr:row>
      <xdr:rowOff>198668</xdr:rowOff>
    </xdr:from>
    <xdr:to>
      <xdr:col>32</xdr:col>
      <xdr:colOff>526771</xdr:colOff>
      <xdr:row>158</xdr:row>
      <xdr:rowOff>69571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1657658" y="36412718"/>
          <a:ext cx="4530713" cy="20426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FUMAR</a:t>
          </a:r>
        </a:p>
      </xdr:txBody>
    </xdr:sp>
    <xdr:clientData/>
  </xdr:twoCellAnchor>
  <xdr:twoCellAnchor>
    <xdr:from>
      <xdr:col>22</xdr:col>
      <xdr:colOff>18938</xdr:colOff>
      <xdr:row>33</xdr:row>
      <xdr:rowOff>81923</xdr:rowOff>
    </xdr:from>
    <xdr:to>
      <xdr:col>27</xdr:col>
      <xdr:colOff>331383</xdr:colOff>
      <xdr:row>36</xdr:row>
      <xdr:rowOff>202542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4536288" y="9206873"/>
          <a:ext cx="5884570" cy="85404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400" b="1">
              <a:solidFill>
                <a:srgbClr val="333333"/>
              </a:solidFill>
              <a:latin typeface="+mn-lt" panose="00000000000000000000" charset="0"/>
              <a:ea typeface="+mn-lt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96542</xdr:colOff>
      <xdr:row>36</xdr:row>
      <xdr:rowOff>201390</xdr:rowOff>
    </xdr:from>
    <xdr:to>
      <xdr:col>25</xdr:col>
      <xdr:colOff>45355</xdr:colOff>
      <xdr:row>40</xdr:row>
      <xdr:rowOff>15265</xdr:rowOff>
    </xdr:to>
    <xdr:pic>
      <xdr:nvPicPr>
        <xdr:cNvPr id="9" name="Imagen 11" descr=" 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H="1" flipV="1">
          <a:off x="26842742" y="10059765"/>
          <a:ext cx="1063238" cy="6139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8227575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57</xdr:col>
      <xdr:colOff>0</xdr:colOff>
      <xdr:row>111</xdr:row>
      <xdr:rowOff>0</xdr:rowOff>
    </xdr:from>
    <xdr:to>
      <xdr:col>58</xdr:col>
      <xdr:colOff>411751</xdr:colOff>
      <xdr:row>113</xdr:row>
      <xdr:rowOff>39089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63522225" y="27632025"/>
          <a:ext cx="1526176" cy="56296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MIX</a:t>
          </a:r>
          <a:r>
            <a:rPr lang="es-MX" sz="1100" b="1" baseline="0">
              <a:solidFill>
                <a:sysClr val="windowText" lastClr="000000"/>
              </a:solidFill>
            </a:rPr>
            <a:t> POSICION 4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8227575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54</xdr:col>
      <xdr:colOff>426358</xdr:colOff>
      <xdr:row>87</xdr:row>
      <xdr:rowOff>200479</xdr:rowOff>
    </xdr:from>
    <xdr:to>
      <xdr:col>55</xdr:col>
      <xdr:colOff>483508</xdr:colOff>
      <xdr:row>89</xdr:row>
      <xdr:rowOff>212272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60605308" y="21612679"/>
          <a:ext cx="1171575" cy="55471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61</xdr:col>
      <xdr:colOff>178378</xdr:colOff>
      <xdr:row>89</xdr:row>
      <xdr:rowOff>25977</xdr:rowOff>
    </xdr:from>
    <xdr:to>
      <xdr:col>62</xdr:col>
      <xdr:colOff>235528</xdr:colOff>
      <xdr:row>91</xdr:row>
      <xdr:rowOff>45027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7788560" y="22002750"/>
          <a:ext cx="1165513" cy="55591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0307300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57</xdr:col>
      <xdr:colOff>0</xdr:colOff>
      <xdr:row>111</xdr:row>
      <xdr:rowOff>0</xdr:rowOff>
    </xdr:from>
    <xdr:to>
      <xdr:col>58</xdr:col>
      <xdr:colOff>411751</xdr:colOff>
      <xdr:row>113</xdr:row>
      <xdr:rowOff>39089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5601950" y="27632025"/>
          <a:ext cx="1526176" cy="56296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MIX</a:t>
          </a:r>
          <a:r>
            <a:rPr lang="es-MX" sz="1100" b="1" baseline="0">
              <a:solidFill>
                <a:sysClr val="windowText" lastClr="000000"/>
              </a:solidFill>
            </a:rPr>
            <a:t> POSICION 4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20307300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54</xdr:col>
      <xdr:colOff>426358</xdr:colOff>
      <xdr:row>87</xdr:row>
      <xdr:rowOff>200479</xdr:rowOff>
    </xdr:from>
    <xdr:to>
      <xdr:col>55</xdr:col>
      <xdr:colOff>483508</xdr:colOff>
      <xdr:row>89</xdr:row>
      <xdr:rowOff>212272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2685033" y="21612679"/>
          <a:ext cx="1171575" cy="55471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20307300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0307300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57</xdr:col>
      <xdr:colOff>0</xdr:colOff>
      <xdr:row>111</xdr:row>
      <xdr:rowOff>0</xdr:rowOff>
    </xdr:from>
    <xdr:to>
      <xdr:col>58</xdr:col>
      <xdr:colOff>411751</xdr:colOff>
      <xdr:row>113</xdr:row>
      <xdr:rowOff>39089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5601950" y="27632025"/>
          <a:ext cx="1526176" cy="56296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MIX</a:t>
          </a:r>
          <a:r>
            <a:rPr lang="es-MX" sz="1100" b="1" baseline="0">
              <a:solidFill>
                <a:sysClr val="windowText" lastClr="000000"/>
              </a:solidFill>
            </a:rPr>
            <a:t> POSICION 4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0307300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54</xdr:col>
      <xdr:colOff>426358</xdr:colOff>
      <xdr:row>87</xdr:row>
      <xdr:rowOff>200479</xdr:rowOff>
    </xdr:from>
    <xdr:to>
      <xdr:col>55</xdr:col>
      <xdr:colOff>483508</xdr:colOff>
      <xdr:row>89</xdr:row>
      <xdr:rowOff>212272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2685033" y="21612679"/>
          <a:ext cx="1171575" cy="55471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  <xdr:twoCellAnchor>
    <xdr:from>
      <xdr:col>61</xdr:col>
      <xdr:colOff>247650</xdr:colOff>
      <xdr:row>89</xdr:row>
      <xdr:rowOff>95250</xdr:rowOff>
    </xdr:from>
    <xdr:to>
      <xdr:col>62</xdr:col>
      <xdr:colOff>304800</xdr:colOff>
      <xdr:row>91</xdr:row>
      <xdr:rowOff>114300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20307300" y="22050375"/>
          <a:ext cx="1171575" cy="542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ysClr val="windowText" lastClr="000000"/>
              </a:solidFill>
            </a:rPr>
            <a:t>SEGMENTACION-MIX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GO199"/>
  <sheetViews>
    <sheetView tabSelected="1" topLeftCell="AR86" zoomScale="50" zoomScaleNormal="50" workbookViewId="0">
      <selection activeCell="AR86" sqref="A1:XFD1048576"/>
    </sheetView>
  </sheetViews>
  <sheetFormatPr baseColWidth="10" defaultColWidth="16.7109375" defaultRowHeight="15" x14ac:dyDescent="0.25"/>
  <cols>
    <col min="1" max="42" width="0" style="1713" hidden="1" customWidth="1"/>
    <col min="43" max="43" width="16.7109375" style="1713" hidden="1" customWidth="1"/>
    <col min="44" max="16384" width="16.7109375" style="1713"/>
  </cols>
  <sheetData>
    <row r="1" spans="1:66" ht="45.75" thickBot="1" x14ac:dyDescent="0.3">
      <c r="A1" s="1709"/>
      <c r="B1" s="1709"/>
      <c r="C1" s="1709"/>
      <c r="D1" s="1709"/>
      <c r="E1" s="1709"/>
      <c r="F1" s="1709"/>
      <c r="G1" s="1709"/>
      <c r="H1" s="1709"/>
      <c r="I1" s="1709"/>
      <c r="J1" s="1709"/>
      <c r="K1" s="1709"/>
      <c r="L1" s="1709"/>
      <c r="M1" s="1709"/>
      <c r="N1" s="1709"/>
      <c r="O1" s="1709"/>
      <c r="P1" s="1709"/>
      <c r="Q1" s="1709"/>
      <c r="R1" s="1709"/>
      <c r="S1" s="1709"/>
      <c r="T1" s="1709"/>
      <c r="U1" s="1709"/>
      <c r="V1" s="1709"/>
      <c r="W1" s="1709"/>
      <c r="X1" s="1709"/>
      <c r="Y1" s="1709"/>
      <c r="Z1" s="1709"/>
      <c r="AA1" s="1709"/>
      <c r="AB1" s="1709"/>
      <c r="AC1" s="1709"/>
      <c r="AD1" s="1709"/>
      <c r="AE1" s="1709"/>
      <c r="AF1" s="1709"/>
      <c r="AG1" s="1709"/>
      <c r="AH1" s="1709"/>
      <c r="AI1" s="1709"/>
      <c r="AJ1" s="1709"/>
      <c r="AK1" s="1709"/>
      <c r="AL1" s="1709"/>
      <c r="AM1" s="1709"/>
      <c r="AN1" s="1709"/>
      <c r="AO1" s="1709"/>
      <c r="AP1" s="1709"/>
      <c r="AQ1" s="1709"/>
      <c r="AR1" s="1709"/>
      <c r="AS1" s="1709"/>
      <c r="AT1" s="1709"/>
      <c r="AU1" s="1709"/>
      <c r="AV1" s="1709"/>
      <c r="AW1" s="1709"/>
      <c r="AX1" s="1709"/>
      <c r="AY1" s="1709"/>
      <c r="AZ1" s="1709"/>
      <c r="BA1" s="1709"/>
      <c r="BB1" s="1709"/>
      <c r="BC1" s="1709"/>
      <c r="BD1" s="1709"/>
      <c r="BE1" s="1710"/>
      <c r="BF1" s="1711"/>
      <c r="BG1" s="1711"/>
      <c r="BH1" s="1711"/>
      <c r="BI1" s="1711"/>
      <c r="BJ1" s="1711"/>
      <c r="BK1" s="1711"/>
      <c r="BL1" s="1712"/>
      <c r="BM1" s="1712"/>
      <c r="BN1" s="1712"/>
    </row>
    <row r="2" spans="1:66" ht="35.25" x14ac:dyDescent="0.25">
      <c r="A2" s="1714"/>
      <c r="B2" s="1714"/>
      <c r="C2" s="1714"/>
      <c r="D2" s="1714"/>
      <c r="E2" s="1714"/>
      <c r="F2" s="1714"/>
      <c r="G2" s="1714"/>
      <c r="H2" s="1714"/>
      <c r="I2" s="1714"/>
      <c r="J2" s="1714"/>
      <c r="K2" s="1714"/>
      <c r="L2" s="1715"/>
      <c r="M2" s="1716"/>
      <c r="N2" s="1716"/>
      <c r="O2" s="1716"/>
      <c r="P2" s="1716"/>
      <c r="Q2" s="1716"/>
      <c r="R2" s="1716"/>
      <c r="S2" s="1716"/>
      <c r="T2" s="1716"/>
      <c r="U2" s="1717"/>
      <c r="V2" s="1717"/>
      <c r="W2" s="1716"/>
      <c r="X2" s="1716"/>
      <c r="Y2" s="1716"/>
      <c r="Z2" s="1716"/>
      <c r="AA2" s="1716"/>
      <c r="AB2" s="1716"/>
      <c r="AC2" s="1716"/>
      <c r="AD2" s="1716"/>
      <c r="AE2" s="1716"/>
      <c r="AF2" s="1716"/>
      <c r="AG2" s="1716"/>
      <c r="AH2" s="1716"/>
      <c r="AI2" s="1716"/>
      <c r="AJ2" s="1716"/>
      <c r="AK2" s="1716"/>
      <c r="AL2" s="1716"/>
      <c r="AM2" s="1716"/>
      <c r="AN2" s="1716"/>
      <c r="AO2" s="1716"/>
      <c r="AP2" s="1716"/>
      <c r="AQ2" s="1716"/>
      <c r="AR2" s="1716"/>
      <c r="AS2" s="1716"/>
      <c r="AT2" s="1716"/>
      <c r="AU2" s="1716"/>
      <c r="AV2" s="1716"/>
      <c r="AW2" s="1716"/>
      <c r="AX2" s="1716"/>
      <c r="AY2" s="1716"/>
      <c r="AZ2" s="1716"/>
      <c r="BA2" s="1716"/>
      <c r="BB2" s="1716"/>
      <c r="BC2" s="1716"/>
      <c r="BD2" s="1716"/>
      <c r="BE2" s="1716"/>
      <c r="BF2" s="1711"/>
      <c r="BG2" s="1711"/>
      <c r="BH2" s="1711"/>
      <c r="BI2" s="1711"/>
      <c r="BJ2" s="1711"/>
      <c r="BK2" s="1711"/>
      <c r="BL2" s="1712"/>
      <c r="BM2" s="1712"/>
      <c r="BN2" s="1712"/>
    </row>
    <row r="3" spans="1:66" ht="15" customHeight="1" x14ac:dyDescent="0.25">
      <c r="A3" s="1714"/>
      <c r="B3" s="1714"/>
      <c r="C3" s="1714"/>
      <c r="D3" s="1714"/>
      <c r="E3" s="1714"/>
      <c r="F3" s="1714"/>
      <c r="G3" s="1714"/>
      <c r="H3" s="1714"/>
      <c r="I3" s="1714"/>
      <c r="J3" s="1714"/>
      <c r="K3" s="1714"/>
      <c r="L3" s="1711"/>
      <c r="M3" s="1716"/>
      <c r="N3" s="1716"/>
      <c r="O3" s="1718"/>
      <c r="P3" s="1718"/>
      <c r="Q3" s="1718"/>
      <c r="R3" s="1718"/>
      <c r="S3" s="1718"/>
      <c r="T3" s="1718"/>
      <c r="U3" s="1719"/>
      <c r="V3" s="1719"/>
      <c r="W3" s="1718"/>
      <c r="X3" s="1718"/>
      <c r="Y3" s="1718"/>
      <c r="Z3" s="1718"/>
      <c r="AA3" s="1718"/>
      <c r="AB3" s="1716"/>
      <c r="AC3" s="1716"/>
      <c r="AD3" s="1718"/>
      <c r="AE3" s="1718"/>
      <c r="AF3" s="1718"/>
      <c r="AG3" s="1718"/>
      <c r="AH3" s="1718"/>
      <c r="AI3" s="1718"/>
      <c r="AJ3" s="1718"/>
      <c r="AK3" s="1718"/>
      <c r="AL3" s="1718"/>
      <c r="AM3" s="1718"/>
      <c r="AN3" s="1718"/>
      <c r="AO3" s="1718"/>
      <c r="AP3" s="1718"/>
      <c r="AQ3" s="1718"/>
      <c r="AR3" s="1718"/>
      <c r="AS3" s="1718"/>
      <c r="AT3" s="1718"/>
      <c r="AU3" s="1718"/>
      <c r="AV3" s="1718"/>
      <c r="AW3" s="1718"/>
      <c r="AX3" s="1718"/>
      <c r="AY3" s="1718"/>
      <c r="AZ3" s="1716"/>
      <c r="BA3" s="1716"/>
      <c r="BB3" s="1716"/>
      <c r="BC3" s="1716"/>
      <c r="BD3" s="1716"/>
      <c r="BE3" s="1716"/>
      <c r="BF3" s="1711"/>
      <c r="BG3" s="1711"/>
      <c r="BH3" s="1711"/>
      <c r="BI3" s="1711"/>
      <c r="BJ3" s="1711"/>
      <c r="BK3" s="1711"/>
      <c r="BL3" s="1712"/>
      <c r="BM3" s="1712"/>
      <c r="BN3" s="1712"/>
    </row>
    <row r="4" spans="1:66" ht="20.25" x14ac:dyDescent="0.25">
      <c r="A4" s="1714"/>
      <c r="B4" s="1714"/>
      <c r="C4" s="1714"/>
      <c r="D4" s="1714"/>
      <c r="E4" s="1714"/>
      <c r="F4" s="1714"/>
      <c r="G4" s="1714"/>
      <c r="H4" s="1714"/>
      <c r="I4" s="1714"/>
      <c r="J4" s="1714"/>
      <c r="K4" s="1714"/>
      <c r="L4" s="1720"/>
      <c r="M4" s="1721"/>
      <c r="N4" s="1721"/>
      <c r="O4" s="1722"/>
      <c r="P4" s="1723"/>
      <c r="Q4" s="1722"/>
      <c r="R4" s="1722"/>
      <c r="S4" s="1722"/>
      <c r="T4" s="1722"/>
      <c r="U4" s="1724"/>
      <c r="V4" s="1724"/>
      <c r="W4" s="1724"/>
      <c r="X4" s="1724"/>
      <c r="Y4" s="1724"/>
      <c r="Z4" s="1725"/>
      <c r="AA4" s="1726"/>
      <c r="AB4" s="1727"/>
      <c r="AC4" s="1727"/>
      <c r="AD4" s="1724"/>
      <c r="AE4" s="1728"/>
      <c r="AF4" s="1728"/>
      <c r="AG4" s="1728"/>
      <c r="AH4" s="1728"/>
      <c r="AI4" s="1728"/>
      <c r="AJ4" s="1728"/>
      <c r="AK4" s="1728"/>
      <c r="AL4" s="1728"/>
      <c r="AM4" s="1728"/>
      <c r="AN4" s="1728"/>
      <c r="AO4" s="1728"/>
      <c r="AP4" s="1728"/>
      <c r="AQ4" s="1728"/>
      <c r="AR4" s="1729"/>
      <c r="AS4" s="1725"/>
      <c r="AT4" s="1725"/>
      <c r="AU4" s="1725"/>
      <c r="AV4" s="1725"/>
      <c r="AW4" s="1724"/>
      <c r="AX4" s="1724"/>
      <c r="AY4" s="1724"/>
      <c r="AZ4" s="1727"/>
      <c r="BA4" s="1727"/>
      <c r="BB4" s="1730"/>
      <c r="BC4" s="1731"/>
      <c r="BD4" s="1732"/>
      <c r="BE4" s="1732"/>
      <c r="BF4" s="1732"/>
      <c r="BG4" s="1732"/>
      <c r="BH4" s="1732"/>
      <c r="BI4" s="1733"/>
      <c r="BJ4" s="1730"/>
      <c r="BK4" s="1734"/>
      <c r="BL4" s="1712"/>
      <c r="BM4" s="1712"/>
      <c r="BN4" s="1712"/>
    </row>
    <row r="5" spans="1:66" ht="21" thickBot="1" x14ac:dyDescent="0.3">
      <c r="A5" s="1714"/>
      <c r="B5" s="1714"/>
      <c r="C5" s="1714"/>
      <c r="D5" s="1714"/>
      <c r="E5" s="1714"/>
      <c r="F5" s="1714"/>
      <c r="G5" s="1714"/>
      <c r="H5" s="1714"/>
      <c r="I5" s="1714"/>
      <c r="J5" s="1714"/>
      <c r="K5" s="1714"/>
      <c r="L5" s="1734"/>
      <c r="M5" s="1721"/>
      <c r="N5" s="1734"/>
      <c r="O5" s="1735"/>
      <c r="P5" s="1736"/>
      <c r="Q5" s="1737"/>
      <c r="R5" s="1737"/>
      <c r="S5" s="1737"/>
      <c r="T5" s="1737"/>
      <c r="U5" s="1738"/>
      <c r="V5" s="1738"/>
      <c r="W5" s="1737"/>
      <c r="X5" s="1737"/>
      <c r="Y5" s="1737"/>
      <c r="Z5" s="1735"/>
      <c r="AA5" s="1735"/>
      <c r="AB5" s="1739"/>
      <c r="AC5" s="1740"/>
      <c r="AD5" s="1741"/>
      <c r="AE5" s="1741"/>
      <c r="AF5" s="1741"/>
      <c r="AG5" s="1741"/>
      <c r="AH5" s="1737"/>
      <c r="AI5" s="1737"/>
      <c r="AJ5" s="1737"/>
      <c r="AK5" s="1737"/>
      <c r="AL5" s="1737"/>
      <c r="AM5" s="1737"/>
      <c r="AN5" s="1737"/>
      <c r="AO5" s="1737"/>
      <c r="AP5" s="1737"/>
      <c r="AQ5" s="1737"/>
      <c r="AR5" s="1737"/>
      <c r="AS5" s="1737"/>
      <c r="AT5" s="1737"/>
      <c r="AU5" s="1737"/>
      <c r="AV5" s="1737"/>
      <c r="AW5" s="1737"/>
      <c r="AX5" s="1742"/>
      <c r="AY5" s="1742"/>
      <c r="AZ5" s="1740"/>
      <c r="BA5" s="1740"/>
      <c r="BB5" s="1740"/>
      <c r="BC5" s="1734"/>
      <c r="BD5" s="1734"/>
      <c r="BE5" s="1734"/>
      <c r="BF5" s="1734"/>
      <c r="BG5" s="1734"/>
      <c r="BH5" s="1734"/>
      <c r="BI5" s="1734"/>
      <c r="BJ5" s="1734"/>
      <c r="BK5" s="1734"/>
      <c r="BL5" s="1712"/>
      <c r="BM5" s="1712"/>
      <c r="BN5" s="1712"/>
    </row>
    <row r="6" spans="1:66" ht="21" thickBot="1" x14ac:dyDescent="0.3">
      <c r="A6" s="1714"/>
      <c r="B6" s="1714"/>
      <c r="C6" s="1714"/>
      <c r="D6" s="1714"/>
      <c r="E6" s="1714"/>
      <c r="F6" s="1714"/>
      <c r="G6" s="1714"/>
      <c r="H6" s="1714"/>
      <c r="I6" s="1714"/>
      <c r="J6" s="1714"/>
      <c r="K6" s="1743"/>
      <c r="L6" s="1712"/>
      <c r="N6" s="1744"/>
      <c r="O6" s="1745"/>
      <c r="P6" s="1746"/>
      <c r="Q6" s="1746"/>
      <c r="R6" s="1747"/>
      <c r="S6" s="1748"/>
      <c r="T6" s="1748"/>
      <c r="U6" s="1748"/>
      <c r="V6" s="1748"/>
      <c r="W6" s="1748"/>
      <c r="X6" s="1748"/>
      <c r="Y6" s="1748"/>
      <c r="Z6" s="1748"/>
      <c r="AA6" s="1749"/>
      <c r="AB6" s="1750"/>
      <c r="AC6" s="1750"/>
      <c r="AD6" s="1749"/>
      <c r="AE6" s="1749"/>
      <c r="AF6" s="1749"/>
      <c r="AG6" s="1751"/>
      <c r="AH6" s="1752"/>
      <c r="AI6" s="1753"/>
      <c r="AJ6" s="1754"/>
      <c r="AK6" s="1755"/>
      <c r="AL6" s="1756"/>
      <c r="AM6" s="1757"/>
      <c r="AN6" s="1755"/>
      <c r="AO6" s="1756"/>
      <c r="AP6" s="1754"/>
      <c r="AQ6" s="1756"/>
      <c r="AR6" s="1754"/>
      <c r="AS6" s="1758"/>
      <c r="AT6" s="1759"/>
      <c r="AU6" s="1760"/>
      <c r="AV6" s="1760"/>
      <c r="AW6" s="1760"/>
      <c r="AX6" s="1761"/>
      <c r="AY6" s="1762"/>
      <c r="AZ6" s="1761"/>
      <c r="BA6" s="1763"/>
      <c r="BB6" s="1764"/>
      <c r="BC6" s="1765"/>
      <c r="BD6" s="1766"/>
      <c r="BE6" s="1767"/>
      <c r="BF6" s="1711"/>
      <c r="BG6" s="1711"/>
      <c r="BH6" s="1711"/>
      <c r="BI6" s="1711"/>
      <c r="BJ6" s="1711"/>
      <c r="BK6" s="1734"/>
      <c r="BL6" s="1712"/>
      <c r="BM6" s="1712"/>
      <c r="BN6" s="1712"/>
    </row>
    <row r="7" spans="1:66" ht="21" thickBot="1" x14ac:dyDescent="0.3">
      <c r="A7" s="1714"/>
      <c r="B7" s="1714"/>
      <c r="C7" s="1714"/>
      <c r="D7" s="1714"/>
      <c r="E7" s="1714"/>
      <c r="F7" s="1714"/>
      <c r="G7" s="1714"/>
      <c r="H7" s="1714"/>
      <c r="I7" s="1714"/>
      <c r="J7" s="1714"/>
      <c r="K7" s="1743"/>
      <c r="L7" s="1712"/>
      <c r="N7" s="1744"/>
      <c r="O7" s="1768"/>
      <c r="P7" s="1769"/>
      <c r="Q7" s="1747"/>
      <c r="R7" s="1747"/>
      <c r="S7" s="1749"/>
      <c r="T7" s="1749"/>
      <c r="U7" s="1749"/>
      <c r="V7" s="1749"/>
      <c r="W7" s="1749"/>
      <c r="X7" s="1749"/>
      <c r="Y7" s="1749"/>
      <c r="Z7" s="1749"/>
      <c r="AA7" s="1749"/>
      <c r="AB7" s="1750"/>
      <c r="AC7" s="1750"/>
      <c r="AD7" s="1749"/>
      <c r="AE7" s="1749"/>
      <c r="AF7" s="1749"/>
      <c r="AG7" s="1770"/>
      <c r="AH7" s="1770"/>
      <c r="AI7" s="1770"/>
      <c r="AJ7" s="1770"/>
      <c r="AK7" s="1770"/>
      <c r="AL7" s="1770"/>
      <c r="AM7" s="1770"/>
      <c r="AN7" s="1770"/>
      <c r="AO7" s="1770"/>
      <c r="AP7" s="1770"/>
      <c r="AQ7" s="1770"/>
      <c r="AR7" s="1770"/>
      <c r="AS7" s="1770"/>
      <c r="AT7" s="1770"/>
      <c r="AU7" s="1760"/>
      <c r="AV7" s="1760"/>
      <c r="AW7" s="1760"/>
      <c r="AX7" s="1771"/>
      <c r="AY7" s="1772"/>
      <c r="AZ7" s="1771"/>
      <c r="BA7" s="1773"/>
      <c r="BB7" s="1774"/>
      <c r="BC7" s="1775"/>
      <c r="BD7" s="1776"/>
      <c r="BE7" s="1777"/>
      <c r="BF7" s="1778"/>
      <c r="BG7" s="1778"/>
      <c r="BH7" s="1779"/>
      <c r="BI7" s="1780"/>
      <c r="BJ7" s="1780"/>
      <c r="BK7" s="1780"/>
      <c r="BL7" s="1712"/>
      <c r="BM7" s="1712"/>
      <c r="BN7" s="1712"/>
    </row>
    <row r="8" spans="1:66" ht="20.25" x14ac:dyDescent="0.25">
      <c r="A8" s="1714"/>
      <c r="B8" s="1714"/>
      <c r="C8" s="1714"/>
      <c r="D8" s="1714"/>
      <c r="E8" s="1714"/>
      <c r="F8" s="1714"/>
      <c r="G8" s="1714"/>
      <c r="H8" s="1714"/>
      <c r="I8" s="1714"/>
      <c r="J8" s="1714"/>
      <c r="K8" s="1743"/>
      <c r="L8" s="1712"/>
      <c r="N8" s="1744"/>
      <c r="O8" s="1768"/>
      <c r="P8" s="1781"/>
      <c r="Q8" s="1747"/>
      <c r="R8" s="1747"/>
      <c r="S8" s="1782"/>
      <c r="T8" s="1782"/>
      <c r="U8" s="1782"/>
      <c r="V8" s="1782"/>
      <c r="W8" s="1782"/>
      <c r="X8" s="1782"/>
      <c r="Y8" s="1782"/>
      <c r="Z8" s="1782"/>
      <c r="AA8" s="1749"/>
      <c r="AB8" s="1750"/>
      <c r="AC8" s="1750"/>
      <c r="AD8" s="1749"/>
      <c r="AE8" s="1749"/>
      <c r="AF8" s="1749"/>
      <c r="AG8" s="1760"/>
      <c r="AH8" s="1760"/>
      <c r="AI8" s="1760"/>
      <c r="AJ8" s="1760"/>
      <c r="AK8" s="1760"/>
      <c r="AL8" s="1760"/>
      <c r="AM8" s="1760"/>
      <c r="AN8" s="1760"/>
      <c r="AO8" s="1760"/>
      <c r="AP8" s="1760"/>
      <c r="AQ8" s="1760"/>
      <c r="AR8" s="1760"/>
      <c r="AS8" s="1760"/>
      <c r="AT8" s="1760"/>
      <c r="AU8" s="1760"/>
      <c r="AV8" s="1760"/>
      <c r="AW8" s="1760"/>
      <c r="AX8" s="1771"/>
      <c r="AY8" s="1772"/>
      <c r="AZ8" s="1771"/>
      <c r="BA8" s="1773"/>
      <c r="BB8" s="1774"/>
      <c r="BC8" s="1775"/>
      <c r="BD8" s="1776"/>
      <c r="BE8" s="1777"/>
      <c r="BF8" s="1783"/>
      <c r="BG8" s="1784"/>
      <c r="BH8" s="1724"/>
      <c r="BI8" s="1727"/>
      <c r="BJ8" s="1727"/>
      <c r="BK8" s="1727"/>
      <c r="BL8" s="1712"/>
      <c r="BM8" s="1712"/>
      <c r="BN8" s="1712"/>
    </row>
    <row r="9" spans="1:66" ht="21" thickBot="1" x14ac:dyDescent="0.3">
      <c r="A9" s="1714"/>
      <c r="B9" s="1714"/>
      <c r="C9" s="1714"/>
      <c r="D9" s="1714"/>
      <c r="E9" s="1714"/>
      <c r="F9" s="1714"/>
      <c r="G9" s="1714"/>
      <c r="H9" s="1714"/>
      <c r="I9" s="1714"/>
      <c r="J9" s="1714"/>
      <c r="K9" s="1743"/>
      <c r="L9" s="1712"/>
      <c r="N9" s="1744"/>
      <c r="O9" s="1768"/>
      <c r="P9" s="1781"/>
      <c r="Q9" s="1747"/>
      <c r="R9" s="1747"/>
      <c r="S9" s="1785"/>
      <c r="T9" s="1785"/>
      <c r="U9" s="1785"/>
      <c r="V9" s="1785"/>
      <c r="W9" s="1785"/>
      <c r="X9" s="1785"/>
      <c r="Y9" s="1785"/>
      <c r="Z9" s="1785"/>
      <c r="AA9" s="1786"/>
      <c r="AB9" s="1714"/>
      <c r="AC9" s="1712"/>
      <c r="AD9" s="1760"/>
      <c r="AE9" s="1760"/>
      <c r="AF9" s="1760"/>
      <c r="AG9" s="1760"/>
      <c r="AH9" s="1760"/>
      <c r="AI9" s="1760"/>
      <c r="AJ9" s="1760"/>
      <c r="AK9" s="1760"/>
      <c r="AL9" s="1786"/>
      <c r="AM9" s="1786"/>
      <c r="AN9" s="1786"/>
      <c r="AO9" s="1787"/>
      <c r="AP9" s="1787"/>
      <c r="AQ9" s="1787"/>
      <c r="AR9" s="1787"/>
      <c r="AS9" s="1742"/>
      <c r="AT9" s="1742"/>
      <c r="AU9" s="1788"/>
      <c r="AV9" s="1760"/>
      <c r="AW9" s="1746"/>
      <c r="AX9" s="1771"/>
      <c r="AY9" s="1772"/>
      <c r="AZ9" s="1771"/>
      <c r="BA9" s="1773"/>
      <c r="BB9" s="1774"/>
      <c r="BC9" s="1775"/>
      <c r="BD9" s="1776"/>
      <c r="BE9" s="1777"/>
      <c r="BF9" s="1789"/>
      <c r="BG9" s="1790"/>
      <c r="BH9" s="1724"/>
      <c r="BI9" s="1727"/>
      <c r="BJ9" s="1727"/>
      <c r="BK9" s="1727"/>
      <c r="BL9" s="1712"/>
      <c r="BM9" s="1712"/>
      <c r="BN9" s="1712"/>
    </row>
    <row r="10" spans="1:66" ht="16.5" thickBot="1" x14ac:dyDescent="0.3">
      <c r="A10" s="1714"/>
      <c r="B10" s="1714"/>
      <c r="C10" s="1714"/>
      <c r="D10" s="1714"/>
      <c r="E10" s="1714"/>
      <c r="F10" s="1714"/>
      <c r="G10" s="1714"/>
      <c r="H10" s="1714"/>
      <c r="I10" s="1714"/>
      <c r="J10" s="1714"/>
      <c r="K10" s="1712"/>
      <c r="L10" s="1712"/>
      <c r="N10" s="1744"/>
      <c r="O10" s="1768"/>
      <c r="P10" s="1791"/>
      <c r="Q10" s="1791"/>
      <c r="R10" s="1791"/>
      <c r="S10" s="1742"/>
      <c r="T10" s="1742"/>
      <c r="U10" s="1792"/>
      <c r="V10" s="1792"/>
      <c r="W10" s="1788"/>
      <c r="X10" s="1760"/>
      <c r="Y10" s="1760"/>
      <c r="Z10" s="1787"/>
      <c r="AA10" s="1787"/>
      <c r="AB10" s="1793"/>
      <c r="AC10" s="1711"/>
      <c r="AD10" s="1742"/>
      <c r="AE10" s="1794"/>
      <c r="AF10" s="1795"/>
      <c r="AG10" s="1795"/>
      <c r="AH10" s="1787"/>
      <c r="AI10" s="1786"/>
      <c r="AJ10" s="1786"/>
      <c r="AK10" s="1786"/>
      <c r="AL10" s="1786"/>
      <c r="AM10" s="1786"/>
      <c r="AN10" s="1786"/>
      <c r="AO10" s="1787"/>
      <c r="AP10" s="1796"/>
      <c r="AQ10" s="1742"/>
      <c r="AR10" s="1788"/>
      <c r="AS10" s="1788"/>
      <c r="AT10" s="1742"/>
      <c r="AU10" s="1742"/>
      <c r="AV10" s="1760"/>
      <c r="AW10" s="1746"/>
      <c r="AX10" s="1771"/>
      <c r="AY10" s="1772"/>
      <c r="AZ10" s="1771"/>
      <c r="BA10" s="1773"/>
      <c r="BB10" s="1774"/>
      <c r="BC10" s="1775"/>
      <c r="BD10" s="1776"/>
      <c r="BE10" s="1777"/>
      <c r="BF10" s="1789"/>
      <c r="BG10" s="1790"/>
      <c r="BH10" s="1724"/>
      <c r="BI10" s="1727"/>
      <c r="BJ10" s="1727"/>
      <c r="BK10" s="1727"/>
      <c r="BL10" s="1712"/>
      <c r="BM10" s="1712"/>
      <c r="BN10" s="1712"/>
    </row>
    <row r="11" spans="1:66" ht="16.5" thickBot="1" x14ac:dyDescent="0.3">
      <c r="A11" s="1714"/>
      <c r="B11" s="1714"/>
      <c r="C11" s="1714"/>
      <c r="D11" s="1714"/>
      <c r="E11" s="1714"/>
      <c r="F11" s="1714"/>
      <c r="G11" s="1714"/>
      <c r="H11" s="1714"/>
      <c r="I11" s="1714"/>
      <c r="J11" s="1714"/>
      <c r="K11" s="1712"/>
      <c r="L11" s="1712"/>
      <c r="N11" s="1744"/>
      <c r="O11" s="1797"/>
      <c r="P11" s="1791"/>
      <c r="Q11" s="1791"/>
      <c r="R11" s="1791"/>
      <c r="S11" s="1742"/>
      <c r="T11" s="1742"/>
      <c r="U11" s="1792"/>
      <c r="V11" s="1792"/>
      <c r="W11" s="1788"/>
      <c r="X11" s="1760"/>
      <c r="Y11" s="1760"/>
      <c r="Z11" s="1787"/>
      <c r="AA11" s="1787"/>
      <c r="AB11" s="1793"/>
      <c r="AC11" s="1714"/>
      <c r="AD11" s="1788"/>
      <c r="AE11" s="1788"/>
      <c r="AF11" s="1798"/>
      <c r="AG11" s="1798"/>
      <c r="AH11" s="1787"/>
      <c r="AI11" s="1786"/>
      <c r="AJ11" s="1786"/>
      <c r="AK11" s="1799"/>
      <c r="AL11" s="1799"/>
      <c r="AM11" s="1786"/>
      <c r="AN11" s="1742"/>
      <c r="AO11" s="1796"/>
      <c r="AP11" s="1742"/>
      <c r="AQ11" s="1796"/>
      <c r="AR11" s="1788"/>
      <c r="AS11" s="1788"/>
      <c r="AT11" s="1742"/>
      <c r="AU11" s="1742"/>
      <c r="AV11" s="1760"/>
      <c r="AW11" s="1746"/>
      <c r="AX11" s="1771"/>
      <c r="AY11" s="1772"/>
      <c r="AZ11" s="1771"/>
      <c r="BA11" s="1773"/>
      <c r="BB11" s="1774"/>
      <c r="BC11" s="1775"/>
      <c r="BD11" s="1776"/>
      <c r="BE11" s="1777"/>
      <c r="BF11" s="1800"/>
      <c r="BG11" s="1801"/>
      <c r="BH11" s="1724"/>
      <c r="BI11" s="1727"/>
      <c r="BJ11" s="1727"/>
      <c r="BK11" s="1727"/>
      <c r="BL11" s="1712"/>
      <c r="BM11" s="1712"/>
      <c r="BN11" s="1712"/>
    </row>
    <row r="12" spans="1:66" ht="16.5" thickBot="1" x14ac:dyDescent="0.3">
      <c r="A12" s="1714"/>
      <c r="B12" s="1714"/>
      <c r="C12" s="1714"/>
      <c r="D12" s="1714"/>
      <c r="E12" s="1714"/>
      <c r="F12" s="1714"/>
      <c r="G12" s="1714"/>
      <c r="H12" s="1714"/>
      <c r="I12" s="1714"/>
      <c r="J12" s="1714"/>
      <c r="K12" s="1712"/>
      <c r="L12" s="1712"/>
      <c r="N12" s="1802"/>
      <c r="O12" s="1788"/>
      <c r="P12" s="1788"/>
      <c r="Q12" s="1791"/>
      <c r="R12" s="1788"/>
      <c r="S12" s="1747"/>
      <c r="T12" s="1788"/>
      <c r="U12" s="1788"/>
      <c r="V12" s="1747"/>
      <c r="W12" s="1747"/>
      <c r="X12" s="1747"/>
      <c r="Y12" s="1760"/>
      <c r="Z12" s="1788"/>
      <c r="AA12" s="1747"/>
      <c r="AC12" s="1714"/>
      <c r="AD12" s="1788"/>
      <c r="AE12" s="1788"/>
      <c r="AF12" s="1798"/>
      <c r="AG12" s="1798"/>
      <c r="AH12" s="1787"/>
      <c r="AI12" s="1787"/>
      <c r="AJ12" s="1787"/>
      <c r="AK12" s="1799"/>
      <c r="AL12" s="1799"/>
      <c r="AM12" s="1786"/>
      <c r="AN12" s="1742"/>
      <c r="AO12" s="1742"/>
      <c r="AP12" s="1796"/>
      <c r="AQ12" s="1742"/>
      <c r="AR12" s="1788"/>
      <c r="AS12" s="1788"/>
      <c r="AT12" s="1742"/>
      <c r="AU12" s="1742"/>
      <c r="AV12" s="1760"/>
      <c r="AW12" s="1746"/>
      <c r="AX12" s="1771"/>
      <c r="AY12" s="1772"/>
      <c r="AZ12" s="1771"/>
      <c r="BA12" s="1773"/>
      <c r="BB12" s="1774"/>
      <c r="BC12" s="1775"/>
      <c r="BD12" s="1776"/>
      <c r="BE12" s="1777"/>
      <c r="BF12" s="1711"/>
      <c r="BG12" s="1711"/>
      <c r="BH12" s="1727"/>
      <c r="BI12" s="1727"/>
      <c r="BJ12" s="1727"/>
      <c r="BK12" s="1727"/>
      <c r="BL12" s="1712"/>
      <c r="BM12" s="1712"/>
      <c r="BN12" s="1712"/>
    </row>
    <row r="13" spans="1:66" ht="16.5" thickBot="1" x14ac:dyDescent="0.3">
      <c r="A13" s="1714"/>
      <c r="B13" s="1714"/>
      <c r="C13" s="1714"/>
      <c r="D13" s="1714"/>
      <c r="E13" s="1714"/>
      <c r="F13" s="1714"/>
      <c r="G13" s="1714"/>
      <c r="H13" s="1714"/>
      <c r="I13" s="1714"/>
      <c r="J13" s="1714"/>
      <c r="K13" s="1712"/>
      <c r="L13" s="1712"/>
      <c r="N13" s="1802"/>
      <c r="O13" s="1747"/>
      <c r="P13" s="1788"/>
      <c r="Q13" s="1791"/>
      <c r="R13" s="1803"/>
      <c r="S13" s="1803"/>
      <c r="T13" s="1747"/>
      <c r="U13" s="1788"/>
      <c r="V13" s="1747"/>
      <c r="W13" s="1747"/>
      <c r="X13" s="1747"/>
      <c r="Y13" s="1788"/>
      <c r="Z13" s="1788"/>
      <c r="AA13" s="1747"/>
      <c r="AC13" s="1714"/>
      <c r="AD13" s="1788"/>
      <c r="AE13" s="1787"/>
      <c r="AF13" s="1798"/>
      <c r="AG13" s="1798"/>
      <c r="AH13" s="1787"/>
      <c r="AI13" s="1787"/>
      <c r="AJ13" s="1787"/>
      <c r="AK13" s="1799"/>
      <c r="AL13" s="1799"/>
      <c r="AM13" s="1786"/>
      <c r="AN13" s="1786"/>
      <c r="AO13" s="1742"/>
      <c r="AP13" s="1742"/>
      <c r="AQ13" s="1742"/>
      <c r="AR13" s="1788"/>
      <c r="AS13" s="1788"/>
      <c r="AT13" s="1742"/>
      <c r="AU13" s="1742"/>
      <c r="AV13" s="1760"/>
      <c r="AW13" s="1746"/>
      <c r="AX13" s="1771"/>
      <c r="AY13" s="1772"/>
      <c r="AZ13" s="1771"/>
      <c r="BA13" s="1773"/>
      <c r="BB13" s="1774"/>
      <c r="BC13" s="1775"/>
      <c r="BD13" s="1776"/>
      <c r="BE13" s="1777"/>
      <c r="BF13" s="1711"/>
      <c r="BG13" s="1711"/>
      <c r="BH13" s="1727"/>
      <c r="BI13" s="1727"/>
      <c r="BJ13" s="1727"/>
      <c r="BK13" s="1727"/>
      <c r="BL13" s="1712"/>
      <c r="BM13" s="1712"/>
      <c r="BN13" s="1712"/>
    </row>
    <row r="14" spans="1:66" ht="16.5" thickBot="1" x14ac:dyDescent="0.3">
      <c r="A14" s="1714"/>
      <c r="B14" s="1714"/>
      <c r="C14" s="1714"/>
      <c r="D14" s="1714"/>
      <c r="E14" s="1714"/>
      <c r="F14" s="1714"/>
      <c r="G14" s="1714"/>
      <c r="H14" s="1714"/>
      <c r="I14" s="1714"/>
      <c r="J14" s="1714"/>
      <c r="K14" s="1712"/>
      <c r="L14" s="1712"/>
      <c r="N14" s="1802"/>
      <c r="O14" s="1804"/>
      <c r="P14" s="1788"/>
      <c r="Q14" s="1791"/>
      <c r="R14" s="1803"/>
      <c r="S14" s="1803"/>
      <c r="T14" s="1747"/>
      <c r="U14" s="1788"/>
      <c r="V14" s="1747"/>
      <c r="W14" s="1747"/>
      <c r="X14" s="1747"/>
      <c r="Y14" s="1788"/>
      <c r="Z14" s="1788"/>
      <c r="AA14" s="1788"/>
      <c r="AB14" s="1714"/>
      <c r="AC14" s="1714"/>
      <c r="AD14" s="1788"/>
      <c r="AE14" s="1787"/>
      <c r="AF14" s="1805"/>
      <c r="AG14" s="1805"/>
      <c r="AH14" s="1747"/>
      <c r="AI14" s="1787"/>
      <c r="AJ14" s="1787"/>
      <c r="AK14" s="1787"/>
      <c r="AL14" s="1787"/>
      <c r="AM14" s="1787"/>
      <c r="AN14" s="1786"/>
      <c r="AO14" s="1786"/>
      <c r="AP14" s="1787"/>
      <c r="AQ14" s="1787"/>
      <c r="AR14" s="1742"/>
      <c r="AS14" s="1742"/>
      <c r="AT14" s="1742"/>
      <c r="AU14" s="1742"/>
      <c r="AV14" s="1760"/>
      <c r="AW14" s="1787"/>
      <c r="AX14" s="1806"/>
      <c r="AY14" s="1807"/>
      <c r="AZ14" s="1806"/>
      <c r="BA14" s="1808"/>
      <c r="BB14" s="1809"/>
      <c r="BC14" s="1810"/>
      <c r="BD14" s="1811"/>
      <c r="BE14" s="1812"/>
      <c r="BF14" s="1711"/>
      <c r="BG14" s="1711"/>
      <c r="BH14" s="1727"/>
      <c r="BI14" s="1727"/>
      <c r="BJ14" s="1727"/>
      <c r="BK14" s="1727"/>
      <c r="BL14" s="1712"/>
      <c r="BM14" s="1712"/>
      <c r="BN14" s="1712"/>
    </row>
    <row r="15" spans="1:66" ht="21" thickBot="1" x14ac:dyDescent="0.3">
      <c r="A15" s="1714"/>
      <c r="B15" s="1714"/>
      <c r="C15" s="1714"/>
      <c r="D15" s="1714"/>
      <c r="E15" s="1714"/>
      <c r="F15" s="1714"/>
      <c r="G15" s="1714"/>
      <c r="H15" s="1714"/>
      <c r="I15" s="1714"/>
      <c r="J15" s="1714"/>
      <c r="K15" s="1712"/>
      <c r="L15" s="1712"/>
      <c r="N15" s="1802"/>
      <c r="O15" s="1804"/>
      <c r="P15" s="1813"/>
      <c r="Q15" s="1813"/>
      <c r="R15" s="1803"/>
      <c r="S15" s="1803"/>
      <c r="T15" s="1788"/>
      <c r="U15" s="1760"/>
      <c r="V15" s="1747"/>
      <c r="W15" s="1747"/>
      <c r="X15" s="1747"/>
      <c r="Y15" s="1760"/>
      <c r="Z15" s="1760"/>
      <c r="AA15" s="1760"/>
      <c r="AB15" s="1712"/>
      <c r="AC15" s="1712"/>
      <c r="AD15" s="1760"/>
      <c r="AE15" s="1787"/>
      <c r="AF15" s="1814"/>
      <c r="AG15" s="1815"/>
      <c r="AH15" s="1747"/>
      <c r="AI15" s="1787"/>
      <c r="AJ15" s="1787"/>
      <c r="AK15" s="1787"/>
      <c r="AL15" s="1742"/>
      <c r="AM15" s="1722"/>
      <c r="AN15" s="1816"/>
      <c r="AO15" s="1816"/>
      <c r="AP15" s="1787"/>
      <c r="AQ15" s="1787"/>
      <c r="AR15" s="1742"/>
      <c r="AS15" s="1742"/>
      <c r="AT15" s="1742"/>
      <c r="AU15" s="1737"/>
      <c r="AV15" s="1737"/>
      <c r="AW15" s="1817"/>
      <c r="AX15" s="1778"/>
      <c r="AY15" s="1778"/>
      <c r="AZ15" s="1778"/>
      <c r="BA15" s="1742"/>
      <c r="BB15" s="1742"/>
      <c r="BC15" s="1742"/>
      <c r="BD15" s="1742"/>
      <c r="BE15" s="1818"/>
      <c r="BF15" s="1711"/>
      <c r="BG15" s="1711"/>
      <c r="BH15" s="1727"/>
      <c r="BI15" s="1727"/>
      <c r="BJ15" s="1727"/>
      <c r="BK15" s="1727"/>
      <c r="BL15" s="1712"/>
      <c r="BM15" s="1712"/>
      <c r="BN15" s="1712"/>
    </row>
    <row r="16" spans="1:66" ht="15.75" x14ac:dyDescent="0.25">
      <c r="A16" s="1714"/>
      <c r="B16" s="1714"/>
      <c r="C16" s="1714"/>
      <c r="D16" s="1714"/>
      <c r="E16" s="1714"/>
      <c r="F16" s="1714"/>
      <c r="G16" s="1714"/>
      <c r="H16" s="1714"/>
      <c r="I16" s="1714"/>
      <c r="J16" s="1714"/>
      <c r="K16" s="1712"/>
      <c r="L16" s="1712"/>
      <c r="N16" s="1802"/>
      <c r="O16" s="1804"/>
      <c r="P16" s="1819"/>
      <c r="Q16" s="1788"/>
      <c r="R16" s="1760"/>
      <c r="S16" s="1760"/>
      <c r="T16" s="1760"/>
      <c r="U16" s="1760"/>
      <c r="V16" s="1788"/>
      <c r="W16" s="1788"/>
      <c r="X16" s="1788"/>
      <c r="Y16" s="1760"/>
      <c r="Z16" s="1760"/>
      <c r="AA16" s="1760"/>
      <c r="AB16" s="1712"/>
      <c r="AC16" s="1712"/>
      <c r="AD16" s="1760"/>
      <c r="AE16" s="1787"/>
      <c r="AF16" s="1787"/>
      <c r="AG16" s="1747"/>
      <c r="AH16" s="1747"/>
      <c r="AI16" s="1787"/>
      <c r="AJ16" s="1787"/>
      <c r="AK16" s="1787"/>
      <c r="AL16" s="1742"/>
      <c r="AM16" s="1820"/>
      <c r="AN16" s="1821"/>
      <c r="AO16" s="1787"/>
      <c r="AP16" s="1822"/>
      <c r="AQ16" s="1823"/>
      <c r="AR16" s="1823"/>
      <c r="AS16" s="1823"/>
      <c r="AT16" s="1824"/>
      <c r="AU16" s="1742"/>
      <c r="AV16" s="1742"/>
      <c r="AW16" s="1742"/>
      <c r="AX16" s="1742"/>
      <c r="AY16" s="1742"/>
      <c r="AZ16" s="1742"/>
      <c r="BA16" s="1742"/>
      <c r="BB16" s="1742"/>
      <c r="BC16" s="1742"/>
      <c r="BD16" s="1742"/>
      <c r="BE16" s="1825"/>
      <c r="BF16" s="1734"/>
      <c r="BG16" s="1734"/>
      <c r="BH16" s="1727"/>
      <c r="BI16" s="1727"/>
      <c r="BJ16" s="1727"/>
      <c r="BK16" s="1727"/>
      <c r="BL16" s="1712"/>
      <c r="BM16" s="1712"/>
      <c r="BN16" s="1712"/>
    </row>
    <row r="17" spans="1:66" ht="23.25" x14ac:dyDescent="0.25">
      <c r="A17" s="1714"/>
      <c r="B17" s="1714"/>
      <c r="C17" s="1714"/>
      <c r="D17" s="1714"/>
      <c r="E17" s="1714"/>
      <c r="F17" s="1714"/>
      <c r="G17" s="1714"/>
      <c r="H17" s="1714"/>
      <c r="I17" s="1714"/>
      <c r="J17" s="1714"/>
      <c r="K17" s="1712"/>
      <c r="L17" s="1712"/>
      <c r="N17" s="1802"/>
      <c r="O17" s="1804"/>
      <c r="P17" s="1749"/>
      <c r="Q17" s="1826"/>
      <c r="R17" s="1760"/>
      <c r="S17" s="1760"/>
      <c r="T17" s="1760"/>
      <c r="U17" s="1760"/>
      <c r="V17" s="1788"/>
      <c r="W17" s="1827"/>
      <c r="X17" s="1827"/>
      <c r="Y17" s="1813"/>
      <c r="Z17" s="1760"/>
      <c r="AA17" s="1760"/>
      <c r="AB17" s="1712"/>
      <c r="AC17" s="1712"/>
      <c r="AD17" s="1747"/>
      <c r="AE17" s="1787"/>
      <c r="AF17" s="1787"/>
      <c r="AG17" s="1787"/>
      <c r="AH17" s="1787"/>
      <c r="AI17" s="1787"/>
      <c r="AJ17" s="1787"/>
      <c r="AK17" s="1787"/>
      <c r="AL17" s="1820"/>
      <c r="AM17" s="1787"/>
      <c r="AN17" s="1787"/>
      <c r="AO17" s="1787"/>
      <c r="AP17" s="1828"/>
      <c r="AQ17" s="1829"/>
      <c r="AR17" s="1829"/>
      <c r="AS17" s="1829"/>
      <c r="AT17" s="1830"/>
      <c r="AU17" s="1742"/>
      <c r="AV17" s="1742"/>
      <c r="AW17" s="1831"/>
      <c r="AX17" s="1742"/>
      <c r="AY17" s="1742"/>
      <c r="AZ17" s="1832"/>
      <c r="BA17" s="1832"/>
      <c r="BB17" s="1742"/>
      <c r="BC17" s="1787"/>
      <c r="BD17" s="1787"/>
      <c r="BE17" s="1833"/>
      <c r="BF17" s="1734"/>
      <c r="BG17" s="1734"/>
      <c r="BH17" s="1727"/>
      <c r="BI17" s="1727"/>
      <c r="BJ17" s="1727"/>
      <c r="BK17" s="1727"/>
      <c r="BL17" s="1712"/>
      <c r="BM17" s="1712"/>
      <c r="BN17" s="1712"/>
    </row>
    <row r="18" spans="1:66" ht="20.25" x14ac:dyDescent="0.25">
      <c r="A18" s="1714"/>
      <c r="B18" s="1714"/>
      <c r="C18" s="1714"/>
      <c r="D18" s="1714"/>
      <c r="E18" s="1714"/>
      <c r="F18" s="1714"/>
      <c r="G18" s="1714"/>
      <c r="H18" s="1714"/>
      <c r="I18" s="1714"/>
      <c r="J18" s="1714"/>
      <c r="K18" s="1712"/>
      <c r="L18" s="1712"/>
      <c r="N18" s="1802"/>
      <c r="O18" s="1826"/>
      <c r="P18" s="1749"/>
      <c r="Q18" s="1826"/>
      <c r="R18" s="1760"/>
      <c r="S18" s="1760"/>
      <c r="T18" s="1760"/>
      <c r="U18" s="1760"/>
      <c r="V18" s="1788"/>
      <c r="W18" s="1827"/>
      <c r="X18" s="1827"/>
      <c r="Y18" s="1760"/>
      <c r="Z18" s="1760"/>
      <c r="AA18" s="1760"/>
      <c r="AB18" s="1712"/>
      <c r="AC18" s="1712"/>
      <c r="AD18" s="1747"/>
      <c r="AE18" s="1787"/>
      <c r="AF18" s="1787"/>
      <c r="AG18" s="1787"/>
      <c r="AH18" s="1742"/>
      <c r="AI18" s="1742"/>
      <c r="AJ18" s="1742"/>
      <c r="AK18" s="1820"/>
      <c r="AL18" s="1821"/>
      <c r="AM18" s="1787"/>
      <c r="AN18" s="1787"/>
      <c r="AO18" s="1787"/>
      <c r="AP18" s="1828"/>
      <c r="AQ18" s="1829"/>
      <c r="AR18" s="1829"/>
      <c r="AS18" s="1829"/>
      <c r="AT18" s="1830"/>
      <c r="AU18" s="1742"/>
      <c r="AV18" s="1742"/>
      <c r="AW18" s="1742"/>
      <c r="AX18" s="1742"/>
      <c r="AY18" s="1742"/>
      <c r="AZ18" s="1798"/>
      <c r="BA18" s="1798"/>
      <c r="BB18" s="1742"/>
      <c r="BC18" s="1787"/>
      <c r="BD18" s="1787"/>
      <c r="BE18" s="1834"/>
      <c r="BF18" s="1734"/>
      <c r="BG18" s="1734"/>
      <c r="BH18" s="1727"/>
      <c r="BI18" s="1727"/>
      <c r="BJ18" s="1727"/>
      <c r="BK18" s="1727"/>
      <c r="BL18" s="1712"/>
      <c r="BM18" s="1712"/>
      <c r="BN18" s="1712"/>
    </row>
    <row r="19" spans="1:66" ht="21" thickBot="1" x14ac:dyDescent="0.3">
      <c r="A19" s="1714"/>
      <c r="B19" s="1714"/>
      <c r="C19" s="1714"/>
      <c r="D19" s="1743"/>
      <c r="E19" s="1743"/>
      <c r="F19" s="1743"/>
      <c r="G19" s="1743"/>
      <c r="H19" s="1743"/>
      <c r="I19" s="1743"/>
      <c r="J19" s="1743"/>
      <c r="K19" s="1712"/>
      <c r="L19" s="1712"/>
      <c r="N19" s="1802"/>
      <c r="O19" s="1835"/>
      <c r="P19" s="1750"/>
      <c r="Q19" s="1835"/>
      <c r="R19" s="1714"/>
      <c r="S19" s="1712"/>
      <c r="T19" s="1743"/>
      <c r="U19" s="1787"/>
      <c r="V19" s="1742"/>
      <c r="W19" s="1836"/>
      <c r="X19" s="1836"/>
      <c r="Y19" s="1747"/>
      <c r="Z19" s="1747"/>
      <c r="AB19" s="1714"/>
      <c r="AC19" s="1714"/>
      <c r="AD19" s="1747"/>
      <c r="AE19" s="1787"/>
      <c r="AF19" s="1787"/>
      <c r="AG19" s="1787"/>
      <c r="AH19" s="1837"/>
      <c r="AI19" s="1838"/>
      <c r="AJ19" s="1742"/>
      <c r="AK19" s="1839"/>
      <c r="AL19" s="1787"/>
      <c r="AM19" s="1787"/>
      <c r="AN19" s="1787"/>
      <c r="AO19" s="1787"/>
      <c r="AP19" s="1828"/>
      <c r="AQ19" s="1829"/>
      <c r="AR19" s="1829"/>
      <c r="AS19" s="1829"/>
      <c r="AT19" s="1830"/>
      <c r="AU19" s="1742"/>
      <c r="AV19" s="1742"/>
      <c r="AW19" s="1742"/>
      <c r="AX19" s="1742"/>
      <c r="AY19" s="1742"/>
      <c r="AZ19" s="1798"/>
      <c r="BA19" s="1798"/>
      <c r="BB19" s="1742"/>
      <c r="BC19" s="1787"/>
      <c r="BD19" s="1787"/>
      <c r="BE19" s="1834"/>
      <c r="BF19" s="1734"/>
      <c r="BG19" s="1734"/>
      <c r="BH19" s="1727"/>
      <c r="BI19" s="1727"/>
      <c r="BJ19" s="1727"/>
      <c r="BK19" s="1727"/>
      <c r="BL19" s="1712"/>
      <c r="BM19" s="1712"/>
      <c r="BN19" s="1712"/>
    </row>
    <row r="20" spans="1:66" ht="21" thickBot="1" x14ac:dyDescent="0.3">
      <c r="A20" s="1714"/>
      <c r="B20" s="1714"/>
      <c r="C20" s="1743"/>
      <c r="D20" s="1743"/>
      <c r="E20" s="1743"/>
      <c r="F20" s="1743"/>
      <c r="G20" s="1743"/>
      <c r="H20" s="1743"/>
      <c r="I20" s="1743"/>
      <c r="J20" s="1743"/>
      <c r="K20" s="1712"/>
      <c r="L20" s="1712"/>
      <c r="N20" s="1802"/>
      <c r="O20" s="1835"/>
      <c r="P20" s="1750"/>
      <c r="Q20" s="1835"/>
      <c r="R20" s="1714"/>
      <c r="S20" s="1712"/>
      <c r="T20" s="1743"/>
      <c r="U20" s="1742"/>
      <c r="V20" s="1840"/>
      <c r="W20" s="1841"/>
      <c r="X20" s="1842"/>
      <c r="Y20" s="1840"/>
      <c r="Z20" s="1747"/>
      <c r="AB20" s="1793"/>
      <c r="AC20" s="1793"/>
      <c r="AD20" s="1787"/>
      <c r="AE20" s="1794"/>
      <c r="AF20" s="1787"/>
      <c r="AG20" s="1787"/>
      <c r="AH20" s="1742"/>
      <c r="AI20" s="1742"/>
      <c r="AJ20" s="1742"/>
      <c r="AK20" s="1742"/>
      <c r="AL20" s="1722"/>
      <c r="AM20" s="1786"/>
      <c r="AN20" s="1786"/>
      <c r="AO20" s="1786"/>
      <c r="AP20" s="1828"/>
      <c r="AQ20" s="1829"/>
      <c r="AR20" s="1829"/>
      <c r="AS20" s="1829"/>
      <c r="AT20" s="1830"/>
      <c r="AU20" s="1742"/>
      <c r="AV20" s="1742"/>
      <c r="AW20" s="1742"/>
      <c r="AX20" s="1742"/>
      <c r="AY20" s="1742"/>
      <c r="AZ20" s="1798"/>
      <c r="BA20" s="1798"/>
      <c r="BB20" s="1742"/>
      <c r="BC20" s="1787"/>
      <c r="BD20" s="1787"/>
      <c r="BE20" s="1834"/>
      <c r="BF20" s="1734"/>
      <c r="BG20" s="1734"/>
      <c r="BH20" s="1727"/>
      <c r="BI20" s="1727"/>
      <c r="BJ20" s="1727"/>
      <c r="BK20" s="1727"/>
      <c r="BL20" s="1712"/>
      <c r="BM20" s="1712"/>
      <c r="BN20" s="1712"/>
    </row>
    <row r="21" spans="1:66" ht="20.25" x14ac:dyDescent="0.25">
      <c r="A21" s="1714"/>
      <c r="B21" s="1714"/>
      <c r="C21" s="1743"/>
      <c r="D21" s="1743"/>
      <c r="E21" s="1743"/>
      <c r="F21" s="1743"/>
      <c r="G21" s="1743"/>
      <c r="H21" s="1743"/>
      <c r="I21" s="1743"/>
      <c r="J21" s="1743"/>
      <c r="K21" s="1712"/>
      <c r="L21" s="1712"/>
      <c r="N21" s="1802"/>
      <c r="O21" s="1835"/>
      <c r="P21" s="1750"/>
      <c r="Q21" s="1835"/>
      <c r="R21" s="1712"/>
      <c r="S21" s="1712"/>
      <c r="T21" s="1734"/>
      <c r="U21" s="1742"/>
      <c r="V21" s="1747"/>
      <c r="W21" s="1843"/>
      <c r="X21" s="1843"/>
      <c r="Y21" s="1747"/>
      <c r="Z21" s="1747"/>
      <c r="AB21" s="1844"/>
      <c r="AC21" s="1844"/>
      <c r="AD21" s="1845"/>
      <c r="AE21" s="1794"/>
      <c r="AF21" s="1742"/>
      <c r="AG21" s="1742"/>
      <c r="AH21" s="1742"/>
      <c r="AI21" s="1742"/>
      <c r="AJ21" s="1742"/>
      <c r="AK21" s="1742"/>
      <c r="AL21" s="1742"/>
      <c r="AM21" s="1786"/>
      <c r="AN21" s="1786"/>
      <c r="AO21" s="1786"/>
      <c r="AP21" s="1828"/>
      <c r="AQ21" s="1829"/>
      <c r="AR21" s="1829"/>
      <c r="AS21" s="1829"/>
      <c r="AT21" s="1830"/>
      <c r="AU21" s="1742"/>
      <c r="AV21" s="1787"/>
      <c r="AW21" s="1787"/>
      <c r="AX21" s="1742"/>
      <c r="AY21" s="1742"/>
      <c r="AZ21" s="1846"/>
      <c r="BA21" s="1846"/>
      <c r="BB21" s="1742"/>
      <c r="BC21" s="1787"/>
      <c r="BD21" s="1787"/>
      <c r="BE21" s="1834"/>
      <c r="BF21" s="1734"/>
      <c r="BG21" s="1734"/>
      <c r="BH21" s="1734"/>
      <c r="BI21" s="1727"/>
      <c r="BJ21" s="1727"/>
      <c r="BK21" s="1727"/>
      <c r="BL21" s="1712"/>
      <c r="BM21" s="1712"/>
      <c r="BN21" s="1712"/>
    </row>
    <row r="22" spans="1:66" ht="21" thickBot="1" x14ac:dyDescent="0.3">
      <c r="A22" s="1714"/>
      <c r="B22" s="1714"/>
      <c r="C22" s="1743"/>
      <c r="D22" s="1743"/>
      <c r="E22" s="1743"/>
      <c r="F22" s="1743"/>
      <c r="G22" s="1743"/>
      <c r="H22" s="1743"/>
      <c r="I22" s="1743"/>
      <c r="J22" s="1743"/>
      <c r="K22" s="1712"/>
      <c r="L22" s="1712"/>
      <c r="N22" s="1744"/>
      <c r="O22" s="1835"/>
      <c r="P22" s="1750"/>
      <c r="Q22" s="1835"/>
      <c r="R22" s="1712"/>
      <c r="S22" s="1734"/>
      <c r="T22" s="1734"/>
      <c r="U22" s="1742"/>
      <c r="V22" s="1742"/>
      <c r="W22" s="1747"/>
      <c r="X22" s="1747"/>
      <c r="Y22" s="1787"/>
      <c r="Z22" s="1787"/>
      <c r="AA22" s="1793"/>
      <c r="AB22" s="1793"/>
      <c r="AC22" s="1787"/>
      <c r="AD22" s="1787"/>
      <c r="AE22" s="1792"/>
      <c r="AF22" s="1845"/>
      <c r="AG22" s="1792"/>
      <c r="AH22" s="1787"/>
      <c r="AI22" s="1787"/>
      <c r="AJ22" s="1742"/>
      <c r="AK22" s="1787"/>
      <c r="AL22" s="1742"/>
      <c r="AM22" s="1786"/>
      <c r="AN22" s="1786"/>
      <c r="AO22" s="1786"/>
      <c r="AP22" s="1847"/>
      <c r="AQ22" s="1848"/>
      <c r="AR22" s="1848"/>
      <c r="AS22" s="1848"/>
      <c r="AT22" s="1849"/>
      <c r="AU22" s="1742"/>
      <c r="AV22" s="1787"/>
      <c r="AW22" s="1787"/>
      <c r="AX22" s="1742"/>
      <c r="AY22" s="1742"/>
      <c r="AZ22" s="1850"/>
      <c r="BA22" s="1850"/>
      <c r="BB22" s="1742"/>
      <c r="BC22" s="1787"/>
      <c r="BD22" s="1787"/>
      <c r="BE22" s="1834"/>
      <c r="BF22" s="1734"/>
      <c r="BG22" s="1734"/>
      <c r="BH22" s="1727"/>
      <c r="BI22" s="1734"/>
      <c r="BJ22" s="1734"/>
      <c r="BK22" s="1734"/>
      <c r="BL22" s="1712"/>
      <c r="BM22" s="1712"/>
      <c r="BN22" s="1712"/>
    </row>
    <row r="23" spans="1:66" ht="21" x14ac:dyDescent="0.25">
      <c r="A23" s="1714"/>
      <c r="B23" s="1714"/>
      <c r="C23" s="1743"/>
      <c r="D23" s="1743"/>
      <c r="E23" s="1743"/>
      <c r="F23" s="1743"/>
      <c r="G23" s="1743"/>
      <c r="H23" s="1743"/>
      <c r="I23" s="1743"/>
      <c r="J23" s="1743"/>
      <c r="K23" s="1712"/>
      <c r="L23" s="1712"/>
      <c r="N23" s="1744"/>
      <c r="O23" s="1835"/>
      <c r="P23" s="1750"/>
      <c r="Q23" s="1835"/>
      <c r="U23" s="1747"/>
      <c r="V23" s="1851"/>
      <c r="W23" s="1851"/>
      <c r="X23" s="1851"/>
      <c r="Y23" s="1813"/>
      <c r="Z23" s="1747"/>
      <c r="AA23" s="1852"/>
      <c r="AB23" s="1852"/>
      <c r="AC23" s="1787"/>
      <c r="AD23" s="1845"/>
      <c r="AE23" s="1792"/>
      <c r="AF23" s="1853"/>
      <c r="AG23" s="1742"/>
      <c r="AH23" s="1787"/>
      <c r="AI23" s="1787"/>
      <c r="AJ23" s="1742"/>
      <c r="AK23" s="1787"/>
      <c r="AL23" s="1742"/>
      <c r="AM23" s="1786"/>
      <c r="AN23" s="1786"/>
      <c r="AO23" s="1786"/>
      <c r="AP23" s="1786"/>
      <c r="AQ23" s="1786"/>
      <c r="AR23" s="1786"/>
      <c r="AS23" s="1786"/>
      <c r="AT23" s="1786"/>
      <c r="AU23" s="1742"/>
      <c r="AV23" s="1787"/>
      <c r="AW23" s="1787"/>
      <c r="AX23" s="1742"/>
      <c r="AY23" s="1742"/>
      <c r="AZ23" s="1850"/>
      <c r="BA23" s="1850"/>
      <c r="BB23" s="1747"/>
      <c r="BC23" s="1747"/>
      <c r="BD23" s="1787"/>
      <c r="BE23" s="1833"/>
      <c r="BF23" s="1734"/>
      <c r="BG23" s="1734"/>
      <c r="BH23" s="1727"/>
      <c r="BI23" s="1734"/>
      <c r="BJ23" s="1734"/>
      <c r="BK23" s="1734"/>
      <c r="BL23" s="1712"/>
      <c r="BM23" s="1712"/>
      <c r="BN23" s="1712"/>
    </row>
    <row r="24" spans="1:66" ht="20.25" x14ac:dyDescent="0.25">
      <c r="A24" s="1714"/>
      <c r="B24" s="1714"/>
      <c r="C24" s="1743"/>
      <c r="D24" s="1743"/>
      <c r="E24" s="1743"/>
      <c r="F24" s="1743"/>
      <c r="G24" s="1743"/>
      <c r="H24" s="1743"/>
      <c r="I24" s="1743"/>
      <c r="J24" s="1743"/>
      <c r="K24" s="1712"/>
      <c r="L24" s="1712"/>
      <c r="N24" s="1744"/>
      <c r="O24" s="1826"/>
      <c r="P24" s="1749"/>
      <c r="Q24" s="1826"/>
      <c r="R24" s="1747"/>
      <c r="S24" s="1747"/>
      <c r="T24" s="1747"/>
      <c r="U24" s="1747"/>
      <c r="V24" s="1854"/>
      <c r="W24" s="1854"/>
      <c r="X24" s="1854"/>
      <c r="Y24" s="1854"/>
      <c r="Z24" s="1854"/>
      <c r="AA24" s="1854"/>
      <c r="AB24" s="1855"/>
      <c r="AC24" s="1856"/>
      <c r="AD24" s="1845"/>
      <c r="AE24" s="1853"/>
      <c r="AF24" s="1787"/>
      <c r="AG24" s="1857"/>
      <c r="AH24" s="1760"/>
      <c r="AI24" s="1787"/>
      <c r="AJ24" s="1742"/>
      <c r="AK24" s="1787"/>
      <c r="AL24" s="1742"/>
      <c r="AM24" s="1786"/>
      <c r="AN24" s="1786"/>
      <c r="AO24" s="1786"/>
      <c r="AP24" s="1786"/>
      <c r="AQ24" s="1786"/>
      <c r="AR24" s="1786"/>
      <c r="AS24" s="1787"/>
      <c r="AT24" s="1788"/>
      <c r="AU24" s="1742"/>
      <c r="AV24" s="1787"/>
      <c r="AW24" s="1787"/>
      <c r="AX24" s="1742"/>
      <c r="AY24" s="1742"/>
      <c r="AZ24" s="1850"/>
      <c r="BA24" s="1850"/>
      <c r="BB24" s="1747"/>
      <c r="BC24" s="1747"/>
      <c r="BD24" s="1787"/>
      <c r="BE24" s="1833"/>
      <c r="BF24" s="1734"/>
      <c r="BG24" s="1734"/>
      <c r="BH24" s="1727"/>
      <c r="BI24" s="1734"/>
      <c r="BJ24" s="1734"/>
      <c r="BK24" s="1734"/>
      <c r="BL24" s="1712"/>
      <c r="BM24" s="1712"/>
      <c r="BN24" s="1712"/>
    </row>
    <row r="25" spans="1:66" ht="20.25" x14ac:dyDescent="0.25">
      <c r="A25" s="1714"/>
      <c r="B25" s="1714"/>
      <c r="C25" s="1743"/>
      <c r="N25" s="1858"/>
      <c r="O25" s="1826"/>
      <c r="P25" s="1747"/>
      <c r="Q25" s="1747"/>
      <c r="R25" s="1747"/>
      <c r="S25" s="1747"/>
      <c r="T25" s="1747"/>
      <c r="U25" s="1747"/>
      <c r="V25" s="1859"/>
      <c r="W25" s="1859"/>
      <c r="X25" s="1859"/>
      <c r="Y25" s="1749"/>
      <c r="Z25" s="1749"/>
      <c r="AA25" s="1749"/>
      <c r="AB25" s="1750"/>
      <c r="AC25" s="1769"/>
      <c r="AD25" s="1860"/>
      <c r="AE25" s="1861"/>
      <c r="AF25" s="1787"/>
      <c r="AG25" s="1857"/>
      <c r="AH25" s="1760"/>
      <c r="AI25" s="1793"/>
      <c r="AJ25" s="1734"/>
      <c r="AK25" s="1793"/>
      <c r="AL25" s="1734"/>
      <c r="AM25" s="1862"/>
      <c r="AN25" s="1862"/>
      <c r="AO25" s="1862"/>
      <c r="AP25" s="1862"/>
      <c r="AQ25" s="1862"/>
      <c r="AR25" s="1862"/>
      <c r="AS25" s="1734"/>
      <c r="AT25" s="1793"/>
      <c r="AU25" s="1793"/>
      <c r="AV25" s="1793"/>
      <c r="AW25" s="1793"/>
      <c r="AX25" s="1734"/>
      <c r="AY25" s="1734"/>
      <c r="AZ25" s="1747"/>
      <c r="BA25" s="1747"/>
      <c r="BB25" s="1747"/>
      <c r="BC25" s="1747"/>
      <c r="BD25" s="1787"/>
      <c r="BE25" s="1863"/>
      <c r="BF25" s="1734"/>
      <c r="BG25" s="1734"/>
      <c r="BH25" s="1727"/>
      <c r="BI25" s="1734"/>
      <c r="BJ25" s="1734"/>
      <c r="BK25" s="1734"/>
      <c r="BL25" s="1712"/>
      <c r="BM25" s="1712"/>
      <c r="BN25" s="1712"/>
    </row>
    <row r="26" spans="1:66" ht="23.25" x14ac:dyDescent="0.25">
      <c r="A26" s="1714"/>
      <c r="B26" s="1714"/>
      <c r="C26" s="1743"/>
      <c r="D26" s="1864"/>
      <c r="E26" s="1864"/>
      <c r="F26" s="1864"/>
      <c r="G26" s="1864"/>
      <c r="H26" s="1864"/>
      <c r="I26" s="1864"/>
      <c r="J26" s="1864"/>
      <c r="K26" s="1864"/>
      <c r="L26" s="1864"/>
      <c r="M26" s="1864"/>
      <c r="N26" s="1858"/>
      <c r="O26" s="1865"/>
      <c r="P26" s="1813"/>
      <c r="Q26" s="1747"/>
      <c r="R26" s="1747"/>
      <c r="S26" s="1747"/>
      <c r="T26" s="1747"/>
      <c r="U26" s="1747"/>
      <c r="V26" s="1866"/>
      <c r="W26" s="1866"/>
      <c r="X26" s="1866"/>
      <c r="Y26" s="1867"/>
      <c r="Z26" s="1867"/>
      <c r="AA26" s="1868"/>
      <c r="AB26" s="1869"/>
      <c r="AC26" s="1749"/>
      <c r="AD26" s="1870"/>
      <c r="AE26" s="1861"/>
      <c r="AF26" s="1787"/>
      <c r="AG26" s="1857"/>
      <c r="AH26" s="1760"/>
      <c r="AI26" s="1793"/>
      <c r="AJ26" s="1793"/>
      <c r="AK26" s="1871"/>
      <c r="AL26" s="1734"/>
      <c r="AM26" s="1862"/>
      <c r="AN26" s="1862"/>
      <c r="AO26" s="1862"/>
      <c r="AP26" s="1862"/>
      <c r="AQ26" s="1862"/>
      <c r="AR26" s="1793"/>
      <c r="AS26" s="1872"/>
      <c r="AT26" s="1793"/>
      <c r="AU26" s="1793"/>
      <c r="AV26" s="1734"/>
      <c r="AW26" s="1734"/>
      <c r="AX26" s="1734"/>
      <c r="AY26" s="1734"/>
      <c r="AZ26" s="1747"/>
      <c r="BA26" s="1747"/>
      <c r="BB26" s="1747"/>
      <c r="BC26" s="1747"/>
      <c r="BD26" s="1787"/>
      <c r="BE26" s="1825"/>
      <c r="BF26" s="1734"/>
      <c r="BG26" s="1734"/>
      <c r="BH26" s="1727"/>
      <c r="BI26" s="1734"/>
      <c r="BJ26" s="1734"/>
      <c r="BK26" s="1734"/>
      <c r="BL26" s="1712"/>
      <c r="BM26" s="1712"/>
      <c r="BN26" s="1712"/>
    </row>
    <row r="27" spans="1:66" ht="15.75" x14ac:dyDescent="0.25">
      <c r="A27" s="1714"/>
      <c r="B27" s="1743"/>
      <c r="C27" s="1743"/>
      <c r="N27" s="1858"/>
      <c r="O27" s="1760"/>
      <c r="P27" s="1760"/>
      <c r="Q27" s="1760"/>
      <c r="R27" s="1760"/>
      <c r="S27" s="1760"/>
      <c r="T27" s="1760"/>
      <c r="U27" s="1760"/>
      <c r="V27" s="1760"/>
      <c r="W27" s="1760"/>
      <c r="X27" s="1760"/>
      <c r="Y27" s="1742"/>
      <c r="Z27" s="1742"/>
      <c r="AA27" s="1787"/>
      <c r="AB27" s="1793"/>
      <c r="AC27" s="1787"/>
      <c r="AD27" s="1840"/>
      <c r="AE27" s="1742"/>
      <c r="AF27" s="1787"/>
      <c r="AG27" s="1857"/>
      <c r="AH27" s="1760"/>
      <c r="AI27" s="1793"/>
      <c r="AJ27" s="1734"/>
      <c r="AK27" s="1734"/>
      <c r="AL27" s="1734"/>
      <c r="AM27" s="1862"/>
      <c r="AN27" s="1862"/>
      <c r="AO27" s="1862"/>
      <c r="AP27" s="1862"/>
      <c r="AQ27" s="1862"/>
      <c r="AR27" s="1793"/>
      <c r="AS27" s="1734"/>
      <c r="AT27" s="1793"/>
      <c r="AU27" s="1793"/>
      <c r="AV27" s="1734"/>
      <c r="AW27" s="1734"/>
      <c r="AX27" s="1734"/>
      <c r="AY27" s="1734"/>
      <c r="AZ27" s="1747"/>
      <c r="BA27" s="1747"/>
      <c r="BB27" s="1747"/>
      <c r="BC27" s="1747"/>
      <c r="BD27" s="1787"/>
      <c r="BE27" s="1825"/>
      <c r="BF27" s="1734"/>
      <c r="BG27" s="1734"/>
      <c r="BH27" s="1727"/>
      <c r="BI27" s="1734"/>
      <c r="BJ27" s="1734"/>
      <c r="BK27" s="1734"/>
      <c r="BL27" s="1712"/>
      <c r="BM27" s="1712"/>
      <c r="BN27" s="1712"/>
    </row>
    <row r="28" spans="1:66" ht="21.75" thickBot="1" x14ac:dyDescent="0.3">
      <c r="A28" s="1714"/>
      <c r="B28" s="1743"/>
      <c r="C28" s="1743"/>
      <c r="D28" s="1873"/>
      <c r="E28" s="1873"/>
      <c r="F28" s="1873"/>
      <c r="G28" s="1873"/>
      <c r="H28" s="1873"/>
      <c r="I28" s="1873"/>
      <c r="J28" s="1873"/>
      <c r="K28" s="1873"/>
      <c r="L28" s="1873"/>
      <c r="M28" s="1873"/>
      <c r="N28" s="1874"/>
      <c r="O28" s="1760"/>
      <c r="P28" s="1875"/>
      <c r="Q28" s="1875"/>
      <c r="R28" s="1875"/>
      <c r="S28" s="1875"/>
      <c r="T28" s="1875"/>
      <c r="U28" s="1875"/>
      <c r="V28" s="1875"/>
      <c r="W28" s="1747"/>
      <c r="X28" s="1747"/>
      <c r="Y28" s="1747"/>
      <c r="Z28" s="1747"/>
      <c r="AA28" s="1876"/>
      <c r="AB28" s="1877"/>
      <c r="AC28" s="1876"/>
      <c r="AD28" s="1840"/>
      <c r="AE28" s="1861"/>
      <c r="AF28" s="1742"/>
      <c r="AG28" s="1742"/>
      <c r="AH28" s="1742"/>
      <c r="AI28" s="1734"/>
      <c r="AJ28" s="1734"/>
      <c r="AK28" s="1862"/>
      <c r="AL28" s="1878"/>
      <c r="AM28" s="1793"/>
      <c r="AN28" s="1793"/>
      <c r="AO28" s="1793"/>
      <c r="AP28" s="1793"/>
      <c r="AQ28" s="1793"/>
      <c r="AR28" s="1793"/>
      <c r="AS28" s="1734"/>
      <c r="AT28" s="1734"/>
      <c r="AU28" s="1734"/>
      <c r="AV28" s="1734"/>
      <c r="AW28" s="1734"/>
      <c r="AX28" s="1734"/>
      <c r="AY28" s="1793"/>
      <c r="AZ28" s="1747"/>
      <c r="BA28" s="1747"/>
      <c r="BB28" s="1747"/>
      <c r="BC28" s="1747"/>
      <c r="BD28" s="1787"/>
      <c r="BE28" s="1825"/>
      <c r="BF28" s="1734"/>
      <c r="BG28" s="1734"/>
      <c r="BH28" s="1727"/>
      <c r="BI28" s="1734"/>
      <c r="BJ28" s="1734"/>
      <c r="BK28" s="1734"/>
      <c r="BL28" s="1712"/>
      <c r="BM28" s="1712"/>
      <c r="BN28" s="1712"/>
    </row>
    <row r="29" spans="1:66" ht="26.25" thickBot="1" x14ac:dyDescent="0.3">
      <c r="A29" s="1743"/>
      <c r="B29" s="1743"/>
      <c r="C29" s="1743"/>
      <c r="D29" s="1879"/>
      <c r="E29" s="1712"/>
      <c r="F29" s="1712"/>
      <c r="G29" s="1712"/>
      <c r="H29" s="1712"/>
      <c r="I29" s="1712"/>
      <c r="J29" s="1712"/>
      <c r="K29" s="1712"/>
      <c r="L29" s="1712"/>
      <c r="M29" s="1712"/>
      <c r="N29" s="1712"/>
      <c r="O29" s="1870"/>
      <c r="P29" s="1760"/>
      <c r="Q29" s="1782"/>
      <c r="R29" s="1782"/>
      <c r="S29" s="1782"/>
      <c r="T29" s="1782"/>
      <c r="U29" s="1782"/>
      <c r="V29" s="1747"/>
      <c r="W29" s="1747"/>
      <c r="X29" s="1747"/>
      <c r="Y29" s="1747"/>
      <c r="Z29" s="1747"/>
      <c r="AA29" s="1787"/>
      <c r="AB29" s="1734"/>
      <c r="AC29" s="1742"/>
      <c r="AD29" s="1840"/>
      <c r="AE29" s="1861"/>
      <c r="AF29" s="1742"/>
      <c r="AG29" s="1880"/>
      <c r="AH29" s="1881"/>
      <c r="AI29" s="1881"/>
      <c r="AJ29" s="1881"/>
      <c r="AK29" s="1881"/>
      <c r="AL29" s="1881"/>
      <c r="AM29" s="1881"/>
      <c r="AN29" s="1881"/>
      <c r="AO29" s="1881"/>
      <c r="AP29" s="1881"/>
      <c r="AQ29" s="1882"/>
      <c r="AR29" s="1734"/>
      <c r="AS29" s="1734"/>
      <c r="AU29" s="1734"/>
      <c r="AV29" s="1734"/>
      <c r="AW29" s="1734"/>
      <c r="AX29" s="1734"/>
      <c r="AY29" s="1793"/>
      <c r="AZ29" s="1747"/>
      <c r="BA29" s="1747"/>
      <c r="BB29" s="1747"/>
      <c r="BC29" s="1747"/>
      <c r="BD29" s="1787"/>
      <c r="BE29" s="1863"/>
      <c r="BF29" s="1734"/>
      <c r="BG29" s="1734"/>
      <c r="BH29" s="1727"/>
      <c r="BI29" s="1734"/>
      <c r="BJ29" s="1734"/>
      <c r="BK29" s="1734"/>
      <c r="BL29" s="1712"/>
      <c r="BM29" s="1712"/>
      <c r="BN29" s="1712"/>
    </row>
    <row r="30" spans="1:66" ht="25.5" x14ac:dyDescent="0.25">
      <c r="A30" s="1743"/>
      <c r="B30" s="1743"/>
      <c r="C30" s="1743"/>
      <c r="D30" s="1883"/>
      <c r="E30" s="1884"/>
      <c r="F30" s="1884"/>
      <c r="G30" s="1884"/>
      <c r="H30" s="1884"/>
      <c r="I30" s="1884"/>
      <c r="J30" s="1884"/>
      <c r="K30" s="1884"/>
      <c r="L30" s="1884"/>
      <c r="M30" s="1884"/>
      <c r="N30" s="1884"/>
      <c r="O30" s="1769"/>
      <c r="P30" s="1760"/>
      <c r="Q30" s="1859"/>
      <c r="R30" s="1859"/>
      <c r="S30" s="1859"/>
      <c r="T30" s="1859"/>
      <c r="U30" s="1859"/>
      <c r="V30" s="1747"/>
      <c r="W30" s="1747"/>
      <c r="X30" s="1885"/>
      <c r="Y30" s="1885"/>
      <c r="Z30" s="1885"/>
      <c r="AA30" s="1787"/>
      <c r="AB30" s="1793"/>
      <c r="AC30" s="1787"/>
      <c r="AD30" s="1840"/>
      <c r="AE30" s="1861"/>
      <c r="AF30" s="1742"/>
      <c r="AG30" s="1886"/>
      <c r="AH30" s="1887"/>
      <c r="AI30" s="1887"/>
      <c r="AJ30" s="1887"/>
      <c r="AK30" s="1887"/>
      <c r="AL30" s="1887"/>
      <c r="AM30" s="1887"/>
      <c r="AN30" s="1887"/>
      <c r="AO30" s="1887"/>
      <c r="AP30" s="1887"/>
      <c r="AQ30" s="1888"/>
      <c r="AR30" s="1734"/>
      <c r="AS30" s="1734"/>
      <c r="AU30" s="1734"/>
      <c r="AV30" s="1793"/>
      <c r="AW30" s="1793"/>
      <c r="AX30" s="1793"/>
      <c r="AY30" s="1793"/>
      <c r="AZ30" s="1793"/>
      <c r="BA30" s="1793"/>
      <c r="BB30" s="1793"/>
      <c r="BC30" s="1793"/>
      <c r="BD30" s="1889"/>
      <c r="BE30" s="1890"/>
      <c r="BF30" s="1742"/>
      <c r="BG30" s="1742"/>
      <c r="BH30" s="1724"/>
      <c r="BI30" s="1734"/>
      <c r="BJ30" s="1734"/>
      <c r="BK30" s="1734"/>
      <c r="BL30" s="1712"/>
      <c r="BM30" s="1712"/>
      <c r="BN30" s="1712"/>
    </row>
    <row r="31" spans="1:66" ht="25.5" x14ac:dyDescent="0.25">
      <c r="A31" s="1743"/>
      <c r="B31" s="1743"/>
      <c r="C31" s="1743"/>
      <c r="D31" s="1891"/>
      <c r="E31" s="1855"/>
      <c r="F31" s="1855"/>
      <c r="G31" s="1855"/>
      <c r="H31" s="1855"/>
      <c r="I31" s="1855"/>
      <c r="J31" s="1855"/>
      <c r="K31" s="1855"/>
      <c r="L31" s="1855"/>
      <c r="M31" s="1855"/>
      <c r="N31" s="1855"/>
      <c r="O31" s="1760"/>
      <c r="P31" s="1859"/>
      <c r="Q31" s="1748"/>
      <c r="R31" s="1748"/>
      <c r="S31" s="1748"/>
      <c r="T31" s="1748"/>
      <c r="U31" s="1748"/>
      <c r="V31" s="1859"/>
      <c r="W31" s="1747"/>
      <c r="X31" s="1892"/>
      <c r="Y31" s="1892"/>
      <c r="Z31" s="1892"/>
      <c r="AA31" s="1747"/>
      <c r="AB31" s="1793"/>
      <c r="AC31" s="1787"/>
      <c r="AD31" s="1760"/>
      <c r="AE31" s="1861"/>
      <c r="AF31" s="1742"/>
      <c r="AG31" s="1886"/>
      <c r="AH31" s="1887"/>
      <c r="AI31" s="1887"/>
      <c r="AJ31" s="1887"/>
      <c r="AK31" s="1887"/>
      <c r="AL31" s="1887"/>
      <c r="AM31" s="1887"/>
      <c r="AN31" s="1887"/>
      <c r="AO31" s="1887"/>
      <c r="AP31" s="1887"/>
      <c r="AQ31" s="1888"/>
      <c r="AR31" s="1734"/>
      <c r="AS31" s="1734"/>
      <c r="AU31" s="1734"/>
      <c r="AV31" s="1793"/>
      <c r="AW31" s="1793"/>
      <c r="AX31" s="1793"/>
      <c r="AY31" s="1793"/>
      <c r="AZ31" s="1793"/>
      <c r="BA31" s="1793"/>
      <c r="BB31" s="1793"/>
      <c r="BC31" s="1793"/>
      <c r="BD31" s="1893"/>
      <c r="BE31" s="1894"/>
      <c r="BF31" s="1742"/>
      <c r="BG31" s="1742"/>
      <c r="BH31" s="1742"/>
      <c r="BI31" s="1734"/>
      <c r="BJ31" s="1734"/>
      <c r="BK31" s="1734"/>
      <c r="BL31" s="1712"/>
      <c r="BM31" s="1712"/>
      <c r="BN31" s="1712"/>
    </row>
    <row r="32" spans="1:66" ht="26.25" thickBot="1" x14ac:dyDescent="0.3">
      <c r="A32" s="1743"/>
      <c r="B32" s="1743"/>
      <c r="C32" s="1744"/>
      <c r="D32" s="1734"/>
      <c r="E32" s="1895"/>
      <c r="F32" s="1895"/>
      <c r="G32" s="1895"/>
      <c r="H32" s="1895"/>
      <c r="I32" s="1895"/>
      <c r="J32" s="1895"/>
      <c r="K32" s="1895"/>
      <c r="L32" s="1895"/>
      <c r="M32" s="1895"/>
      <c r="N32" s="1895"/>
      <c r="O32" s="1760"/>
      <c r="P32" s="1859"/>
      <c r="Q32" s="1748"/>
      <c r="R32" s="1748"/>
      <c r="S32" s="1748"/>
      <c r="T32" s="1748"/>
      <c r="U32" s="1748"/>
      <c r="V32" s="1859"/>
      <c r="W32" s="1760"/>
      <c r="X32" s="1892"/>
      <c r="Y32" s="1892"/>
      <c r="Z32" s="1892"/>
      <c r="AA32" s="1787"/>
      <c r="AB32" s="1793"/>
      <c r="AC32" s="1787"/>
      <c r="AD32" s="1760"/>
      <c r="AE32" s="1861"/>
      <c r="AF32" s="1742"/>
      <c r="AG32" s="1886"/>
      <c r="AH32" s="1887"/>
      <c r="AI32" s="1887"/>
      <c r="AJ32" s="1887"/>
      <c r="AK32" s="1887"/>
      <c r="AL32" s="1887"/>
      <c r="AM32" s="1887"/>
      <c r="AN32" s="1887"/>
      <c r="AO32" s="1887"/>
      <c r="AP32" s="1887"/>
      <c r="AQ32" s="1888"/>
      <c r="AR32" s="1734"/>
      <c r="AS32" s="1734"/>
      <c r="AU32" s="1734"/>
      <c r="AV32" s="1793"/>
      <c r="AW32" s="1793"/>
      <c r="AX32" s="1793"/>
      <c r="AY32" s="1793"/>
      <c r="AZ32" s="1793"/>
      <c r="BA32" s="1793"/>
      <c r="BB32" s="1793"/>
      <c r="BC32" s="1793"/>
      <c r="BD32" s="1896"/>
      <c r="BE32" s="1897"/>
      <c r="BF32" s="1742"/>
      <c r="BG32" s="1742"/>
      <c r="BH32" s="1742"/>
      <c r="BI32" s="1734"/>
      <c r="BJ32" s="1734"/>
      <c r="BK32" s="1734"/>
      <c r="BL32" s="1712"/>
      <c r="BM32" s="1712"/>
      <c r="BN32" s="1712"/>
    </row>
    <row r="33" spans="1:66" ht="26.25" thickBot="1" x14ac:dyDescent="0.3">
      <c r="A33" s="1743"/>
      <c r="B33" s="1743"/>
      <c r="C33" s="1744"/>
      <c r="D33" s="1734"/>
      <c r="E33" s="1712"/>
      <c r="F33" s="1714"/>
      <c r="G33" s="1714"/>
      <c r="H33" s="1714"/>
      <c r="I33" s="1714"/>
      <c r="J33" s="1734"/>
      <c r="K33" s="1734"/>
      <c r="L33" s="1714"/>
      <c r="M33" s="1714"/>
      <c r="N33" s="1743"/>
      <c r="O33" s="1760"/>
      <c r="P33" s="1760"/>
      <c r="Q33" s="1859"/>
      <c r="R33" s="1859"/>
      <c r="S33" s="1859"/>
      <c r="T33" s="1859"/>
      <c r="U33" s="1859"/>
      <c r="V33" s="1788"/>
      <c r="W33" s="1742"/>
      <c r="X33" s="1742"/>
      <c r="Y33" s="1742"/>
      <c r="Z33" s="1742"/>
      <c r="AA33" s="1787"/>
      <c r="AB33" s="1793"/>
      <c r="AC33" s="1787"/>
      <c r="AD33" s="1760"/>
      <c r="AE33" s="1861"/>
      <c r="AF33" s="1742"/>
      <c r="AG33" s="1886"/>
      <c r="AH33" s="1887"/>
      <c r="AI33" s="1887"/>
      <c r="AJ33" s="1887"/>
      <c r="AK33" s="1887"/>
      <c r="AL33" s="1887"/>
      <c r="AM33" s="1887"/>
      <c r="AN33" s="1887"/>
      <c r="AO33" s="1887"/>
      <c r="AP33" s="1887"/>
      <c r="AQ33" s="1888"/>
      <c r="AR33" s="1734"/>
      <c r="AS33" s="1734"/>
      <c r="AT33" s="1898"/>
      <c r="AU33" s="1734"/>
      <c r="AV33" s="1793"/>
      <c r="AW33" s="1793"/>
      <c r="AX33" s="1793"/>
      <c r="AY33" s="1793"/>
      <c r="AZ33" s="1793"/>
      <c r="BA33" s="1793"/>
      <c r="BB33" s="1793"/>
      <c r="BC33" s="1793"/>
      <c r="BD33" s="1787"/>
      <c r="BE33" s="1833"/>
      <c r="BF33" s="1742"/>
      <c r="BG33" s="1742"/>
      <c r="BH33" s="1742"/>
      <c r="BI33" s="1734"/>
      <c r="BJ33" s="1734"/>
      <c r="BK33" s="1734"/>
      <c r="BL33" s="1712"/>
      <c r="BM33" s="1712"/>
      <c r="BN33" s="1712"/>
    </row>
    <row r="34" spans="1:66" ht="26.25" thickBot="1" x14ac:dyDescent="0.3">
      <c r="A34" s="1743"/>
      <c r="B34" s="1743"/>
      <c r="C34" s="1744"/>
      <c r="D34" s="1734"/>
      <c r="F34" s="1899"/>
      <c r="G34" s="1900"/>
      <c r="H34" s="1900"/>
      <c r="I34" s="1900"/>
      <c r="J34" s="1900"/>
      <c r="K34" s="1901"/>
      <c r="L34" s="1714"/>
      <c r="M34" s="1714"/>
      <c r="N34" s="1743"/>
      <c r="O34" s="1760"/>
      <c r="P34" s="1760"/>
      <c r="Q34" s="1782"/>
      <c r="R34" s="1782"/>
      <c r="S34" s="1782"/>
      <c r="T34" s="1782"/>
      <c r="U34" s="1782"/>
      <c r="V34" s="1788"/>
      <c r="W34" s="1742"/>
      <c r="X34" s="1742"/>
      <c r="Y34" s="1742"/>
      <c r="Z34" s="1742"/>
      <c r="AA34" s="1787"/>
      <c r="AB34" s="1734"/>
      <c r="AC34" s="1742"/>
      <c r="AD34" s="1760"/>
      <c r="AE34" s="1861"/>
      <c r="AF34" s="1742"/>
      <c r="AG34" s="1902"/>
      <c r="AH34" s="1903"/>
      <c r="AI34" s="1903"/>
      <c r="AJ34" s="1903"/>
      <c r="AK34" s="1903"/>
      <c r="AL34" s="1903"/>
      <c r="AM34" s="1903"/>
      <c r="AN34" s="1903"/>
      <c r="AO34" s="1903"/>
      <c r="AP34" s="1903"/>
      <c r="AQ34" s="1904"/>
      <c r="AR34" s="1905"/>
      <c r="AS34" s="1906"/>
      <c r="AT34" s="1898"/>
      <c r="AU34" s="1734"/>
      <c r="AV34" s="1793"/>
      <c r="AW34" s="1793"/>
      <c r="AX34" s="1793"/>
      <c r="AY34" s="1793"/>
      <c r="AZ34" s="1793"/>
      <c r="BA34" s="1793"/>
      <c r="BB34" s="1793"/>
      <c r="BC34" s="1793"/>
      <c r="BD34" s="1787"/>
      <c r="BE34" s="1833"/>
      <c r="BF34" s="1742"/>
      <c r="BG34" s="1742"/>
      <c r="BH34" s="1742"/>
      <c r="BI34" s="1734"/>
      <c r="BJ34" s="1734"/>
      <c r="BK34" s="1734"/>
      <c r="BL34" s="1712"/>
      <c r="BM34" s="1712"/>
      <c r="BN34" s="1712"/>
    </row>
    <row r="35" spans="1:66" ht="15.75" x14ac:dyDescent="0.25">
      <c r="A35" s="1743"/>
      <c r="B35" s="1743"/>
      <c r="C35" s="1744"/>
      <c r="D35" s="1734"/>
      <c r="E35" s="1712"/>
      <c r="F35" s="1907"/>
      <c r="G35" s="1908"/>
      <c r="H35" s="1908"/>
      <c r="I35" s="1908"/>
      <c r="J35" s="1908"/>
      <c r="K35" s="1909"/>
      <c r="L35" s="1714"/>
      <c r="M35" s="1714"/>
      <c r="N35" s="1743"/>
      <c r="O35" s="1760"/>
      <c r="P35" s="1760"/>
      <c r="Q35" s="1742"/>
      <c r="R35" s="1742"/>
      <c r="S35" s="1742"/>
      <c r="T35" s="1742"/>
      <c r="U35" s="1742"/>
      <c r="V35" s="1788"/>
      <c r="W35" s="1742"/>
      <c r="X35" s="1742"/>
      <c r="Y35" s="1742"/>
      <c r="Z35" s="1742"/>
      <c r="AA35" s="1742"/>
      <c r="AB35" s="1734"/>
      <c r="AC35" s="1742"/>
      <c r="AD35" s="1910"/>
      <c r="AE35" s="1861"/>
      <c r="AF35" s="1742"/>
      <c r="AG35" s="1911"/>
      <c r="AH35" s="1911"/>
      <c r="AI35" s="1911"/>
      <c r="AJ35" s="1911"/>
      <c r="AK35" s="1911"/>
      <c r="AL35" s="1911"/>
      <c r="AM35" s="1911"/>
      <c r="AN35" s="1911"/>
      <c r="AO35" s="1911"/>
      <c r="AP35" s="1911"/>
      <c r="AQ35" s="1911"/>
      <c r="AR35" s="1912"/>
      <c r="AS35" s="1906"/>
      <c r="AT35" s="1712"/>
      <c r="AU35" s="1793"/>
      <c r="AV35" s="1793"/>
      <c r="AW35" s="1793"/>
      <c r="AX35" s="1793"/>
      <c r="AY35" s="1793"/>
      <c r="AZ35" s="1793"/>
      <c r="BA35" s="1793"/>
      <c r="BB35" s="1793"/>
      <c r="BC35" s="1793"/>
      <c r="BD35" s="1787"/>
      <c r="BE35" s="1833"/>
      <c r="BF35" s="1742"/>
      <c r="BG35" s="1742"/>
      <c r="BH35" s="1742"/>
      <c r="BI35" s="1734"/>
      <c r="BJ35" s="1734"/>
      <c r="BK35" s="1734"/>
      <c r="BL35" s="1712"/>
      <c r="BM35" s="1712"/>
      <c r="BN35" s="1712"/>
    </row>
    <row r="36" spans="1:66" ht="15.75" x14ac:dyDescent="0.25">
      <c r="A36" s="1714"/>
      <c r="B36" s="1714"/>
      <c r="C36" s="1744"/>
      <c r="D36" s="1734"/>
      <c r="E36" s="1712"/>
      <c r="F36" s="1907"/>
      <c r="G36" s="1908"/>
      <c r="H36" s="1908"/>
      <c r="I36" s="1908"/>
      <c r="J36" s="1908"/>
      <c r="K36" s="1909"/>
      <c r="L36" s="1714"/>
      <c r="M36" s="1714"/>
      <c r="N36" s="1712"/>
      <c r="O36" s="1760"/>
      <c r="P36" s="1760"/>
      <c r="Q36" s="1742"/>
      <c r="R36" s="1742"/>
      <c r="S36" s="1742"/>
      <c r="T36" s="1742"/>
      <c r="U36" s="1742"/>
      <c r="V36" s="1788"/>
      <c r="W36" s="1742"/>
      <c r="X36" s="1742"/>
      <c r="Y36" s="1742"/>
      <c r="Z36" s="1742"/>
      <c r="AA36" s="1742"/>
      <c r="AB36" s="1734"/>
      <c r="AC36" s="1742"/>
      <c r="AD36" s="1910"/>
      <c r="AE36" s="1861"/>
      <c r="AF36" s="1913"/>
      <c r="AG36" s="1914"/>
      <c r="AH36" s="1760"/>
      <c r="AI36" s="1787"/>
      <c r="AJ36" s="1742"/>
      <c r="AK36" s="1742"/>
      <c r="AL36" s="1742"/>
      <c r="AM36" s="1742"/>
      <c r="AN36" s="1742"/>
      <c r="AO36" s="1742"/>
      <c r="AP36" s="1742"/>
      <c r="AQ36" s="1787"/>
      <c r="AR36" s="1912"/>
      <c r="AS36" s="1906"/>
      <c r="AT36" s="1734"/>
      <c r="AU36" s="1793"/>
      <c r="AV36" s="1793"/>
      <c r="AW36" s="1793"/>
      <c r="AX36" s="1793"/>
      <c r="AY36" s="1793"/>
      <c r="AZ36" s="1793"/>
      <c r="BA36" s="1793"/>
      <c r="BB36" s="1793"/>
      <c r="BC36" s="1793"/>
      <c r="BD36" s="1787"/>
      <c r="BE36" s="1833"/>
      <c r="BF36" s="1742"/>
      <c r="BG36" s="1742"/>
      <c r="BH36" s="1742"/>
      <c r="BI36" s="1734"/>
      <c r="BJ36" s="1734"/>
      <c r="BK36" s="1734"/>
      <c r="BL36" s="1712"/>
      <c r="BM36" s="1712"/>
      <c r="BN36" s="1712"/>
    </row>
    <row r="37" spans="1:66" ht="15.75" x14ac:dyDescent="0.25">
      <c r="A37" s="1714"/>
      <c r="B37" s="1714"/>
      <c r="C37" s="1744"/>
      <c r="D37" s="1915"/>
      <c r="E37" s="1712"/>
      <c r="F37" s="1907"/>
      <c r="G37" s="1908"/>
      <c r="H37" s="1908"/>
      <c r="I37" s="1908"/>
      <c r="J37" s="1908"/>
      <c r="K37" s="1909"/>
      <c r="L37" s="1714"/>
      <c r="M37" s="1714"/>
      <c r="N37" s="1712"/>
      <c r="O37" s="1760"/>
      <c r="P37" s="1760"/>
      <c r="Q37" s="1742"/>
      <c r="R37" s="1742"/>
      <c r="S37" s="1742"/>
      <c r="T37" s="1742"/>
      <c r="U37" s="1742"/>
      <c r="V37" s="1788"/>
      <c r="W37" s="1742"/>
      <c r="X37" s="1742"/>
      <c r="Y37" s="1742"/>
      <c r="Z37" s="1742"/>
      <c r="AA37" s="1778"/>
      <c r="AB37" s="1734"/>
      <c r="AC37" s="1742"/>
      <c r="AD37" s="1910"/>
      <c r="AE37" s="1861"/>
      <c r="AF37" s="1913"/>
      <c r="AG37" s="1914"/>
      <c r="AH37" s="1760"/>
      <c r="AI37" s="1787"/>
      <c r="AJ37" s="1742"/>
      <c r="AK37" s="1742"/>
      <c r="AL37" s="1742"/>
      <c r="AM37" s="1742"/>
      <c r="AN37" s="1742"/>
      <c r="AO37" s="1742"/>
      <c r="AP37" s="1742"/>
      <c r="AQ37" s="1787"/>
      <c r="AR37" s="1912"/>
      <c r="AS37" s="1906"/>
      <c r="AT37" s="1734"/>
      <c r="AU37" s="1793"/>
      <c r="AV37" s="1793"/>
      <c r="AW37" s="1793"/>
      <c r="AX37" s="1793"/>
      <c r="AY37" s="1793"/>
      <c r="AZ37" s="1793"/>
      <c r="BA37" s="1793"/>
      <c r="BB37" s="1793"/>
      <c r="BC37" s="1793"/>
      <c r="BD37" s="1787"/>
      <c r="BE37" s="1833"/>
      <c r="BF37" s="1742"/>
      <c r="BG37" s="1742"/>
      <c r="BH37" s="1742"/>
      <c r="BI37" s="1734"/>
      <c r="BJ37" s="1734"/>
      <c r="BK37" s="1734"/>
      <c r="BL37" s="1712"/>
      <c r="BM37" s="1712"/>
      <c r="BN37" s="1712"/>
    </row>
    <row r="38" spans="1:66" ht="15.75" x14ac:dyDescent="0.25">
      <c r="A38" s="1714"/>
      <c r="B38" s="1714"/>
      <c r="C38" s="1744"/>
      <c r="D38" s="1915"/>
      <c r="E38" s="1712"/>
      <c r="F38" s="1907"/>
      <c r="G38" s="1908"/>
      <c r="H38" s="1908"/>
      <c r="I38" s="1908"/>
      <c r="J38" s="1908"/>
      <c r="K38" s="1909"/>
      <c r="L38" s="1714"/>
      <c r="M38" s="1714"/>
      <c r="N38" s="1712"/>
      <c r="O38" s="1760"/>
      <c r="P38" s="1760"/>
      <c r="Q38" s="1742"/>
      <c r="R38" s="1742"/>
      <c r="S38" s="1742"/>
      <c r="T38" s="1742"/>
      <c r="U38" s="1742"/>
      <c r="V38" s="1788"/>
      <c r="W38" s="1742"/>
      <c r="X38" s="1742"/>
      <c r="Y38" s="1742"/>
      <c r="Z38" s="1742"/>
      <c r="AA38" s="1787"/>
      <c r="AB38" s="1734"/>
      <c r="AC38" s="1742"/>
      <c r="AD38" s="1910"/>
      <c r="AE38" s="1861"/>
      <c r="AF38" s="1913"/>
      <c r="AG38" s="1914"/>
      <c r="AH38" s="1760"/>
      <c r="AI38" s="1787"/>
      <c r="AJ38" s="1742"/>
      <c r="AK38" s="1742"/>
      <c r="AL38" s="1742"/>
      <c r="AM38" s="1742"/>
      <c r="AN38" s="1742"/>
      <c r="AO38" s="1742"/>
      <c r="AP38" s="1742"/>
      <c r="AQ38" s="1787"/>
      <c r="AR38" s="1912"/>
      <c r="AS38" s="1906"/>
      <c r="AT38" s="1734"/>
      <c r="AU38" s="1793"/>
      <c r="AV38" s="1793"/>
      <c r="AW38" s="1793"/>
      <c r="AX38" s="1793"/>
      <c r="AY38" s="1793"/>
      <c r="AZ38" s="1793"/>
      <c r="BA38" s="1793"/>
      <c r="BB38" s="1793"/>
      <c r="BC38" s="1793"/>
      <c r="BD38" s="1787"/>
      <c r="BE38" s="1833"/>
      <c r="BF38" s="1742"/>
      <c r="BG38" s="1742"/>
      <c r="BH38" s="1742"/>
      <c r="BI38" s="1734"/>
      <c r="BJ38" s="1734"/>
      <c r="BK38" s="1734"/>
      <c r="BL38" s="1712"/>
      <c r="BM38" s="1712"/>
      <c r="BN38" s="1712"/>
    </row>
    <row r="39" spans="1:66" ht="16.5" thickBot="1" x14ac:dyDescent="0.3">
      <c r="A39" s="1714"/>
      <c r="B39" s="1714"/>
      <c r="C39" s="1744"/>
      <c r="D39" s="1915"/>
      <c r="E39" s="1712"/>
      <c r="F39" s="1907"/>
      <c r="G39" s="1908"/>
      <c r="H39" s="1908"/>
      <c r="I39" s="1908"/>
      <c r="J39" s="1908"/>
      <c r="K39" s="1909"/>
      <c r="L39" s="1714"/>
      <c r="M39" s="1714"/>
      <c r="N39" s="1712"/>
      <c r="O39" s="1760"/>
      <c r="P39" s="1760"/>
      <c r="Q39" s="1742"/>
      <c r="R39" s="1742"/>
      <c r="S39" s="1742"/>
      <c r="T39" s="1742"/>
      <c r="U39" s="1742"/>
      <c r="V39" s="1788"/>
      <c r="W39" s="1742"/>
      <c r="X39" s="1742"/>
      <c r="Y39" s="1742"/>
      <c r="Z39" s="1742"/>
      <c r="AA39" s="1787"/>
      <c r="AB39" s="1734"/>
      <c r="AC39" s="1742"/>
      <c r="AD39" s="1910"/>
      <c r="AE39" s="1861"/>
      <c r="AF39" s="1913"/>
      <c r="AG39" s="1914"/>
      <c r="AH39" s="1760"/>
      <c r="AI39" s="1787"/>
      <c r="AJ39" s="1742"/>
      <c r="AK39" s="1742"/>
      <c r="AL39" s="1742"/>
      <c r="AM39" s="1742"/>
      <c r="AN39" s="1742"/>
      <c r="AO39" s="1742"/>
      <c r="AP39" s="1742"/>
      <c r="AQ39" s="1787"/>
      <c r="AR39" s="1916"/>
      <c r="AS39" s="1734"/>
      <c r="AT39" s="1734"/>
      <c r="AU39" s="1793"/>
      <c r="AV39" s="1793"/>
      <c r="AW39" s="1793"/>
      <c r="AX39" s="1793"/>
      <c r="AY39" s="1793"/>
      <c r="AZ39" s="1793"/>
      <c r="BA39" s="1793"/>
      <c r="BB39" s="1793"/>
      <c r="BC39" s="1793"/>
      <c r="BD39" s="1787"/>
      <c r="BE39" s="1833"/>
      <c r="BF39" s="1742"/>
      <c r="BG39" s="1742"/>
      <c r="BH39" s="1742"/>
      <c r="BI39" s="1734"/>
      <c r="BJ39" s="1734"/>
      <c r="BK39" s="1734"/>
      <c r="BL39" s="1712"/>
      <c r="BM39" s="1712"/>
      <c r="BN39" s="1712"/>
    </row>
    <row r="40" spans="1:66" x14ac:dyDescent="0.25">
      <c r="A40" s="1714"/>
      <c r="B40" s="1714"/>
      <c r="C40" s="1744"/>
      <c r="D40" s="1915"/>
      <c r="E40" s="1712"/>
      <c r="F40" s="1907"/>
      <c r="G40" s="1908"/>
      <c r="H40" s="1908"/>
      <c r="I40" s="1908"/>
      <c r="J40" s="1908"/>
      <c r="K40" s="1909"/>
      <c r="L40" s="1714"/>
      <c r="M40" s="1714"/>
      <c r="N40" s="1712"/>
      <c r="O40" s="1760"/>
      <c r="P40" s="1760"/>
      <c r="Q40" s="1917"/>
      <c r="R40" s="1788"/>
      <c r="S40" s="1788"/>
      <c r="T40" s="1788"/>
      <c r="U40" s="1788"/>
      <c r="V40" s="1788"/>
      <c r="W40" s="1742"/>
      <c r="X40" s="1742"/>
      <c r="Y40" s="1742"/>
      <c r="Z40" s="1742"/>
      <c r="AA40" s="1778"/>
      <c r="AB40" s="1734"/>
      <c r="AC40" s="1734"/>
      <c r="AD40" s="1915"/>
      <c r="AE40" s="1918"/>
      <c r="AF40" s="1734"/>
      <c r="AG40" s="1742"/>
      <c r="AH40" s="1742"/>
      <c r="AI40" s="1787"/>
      <c r="AJ40" s="1742"/>
      <c r="AK40" s="1742"/>
      <c r="AL40" s="1742"/>
      <c r="AM40" s="1742"/>
      <c r="AN40" s="1742"/>
      <c r="AO40" s="1742"/>
      <c r="AP40" s="1742"/>
      <c r="AQ40" s="1787"/>
      <c r="AR40" s="1742"/>
      <c r="AS40" s="1734"/>
      <c r="AT40" s="1734"/>
      <c r="AU40" s="1734"/>
      <c r="AV40" s="1787"/>
      <c r="AW40" s="1787"/>
      <c r="AX40" s="1787"/>
      <c r="AY40" s="1793"/>
      <c r="AZ40" s="1793"/>
      <c r="BA40" s="1793"/>
      <c r="BB40" s="1793"/>
      <c r="BC40" s="1793"/>
      <c r="BD40" s="1787"/>
      <c r="BE40" s="1919"/>
      <c r="BF40" s="1920"/>
      <c r="BG40" s="1760"/>
      <c r="BH40" s="1742"/>
      <c r="BI40" s="1734"/>
      <c r="BJ40" s="1734"/>
      <c r="BK40" s="1734"/>
      <c r="BL40" s="1712"/>
      <c r="BM40" s="1712"/>
      <c r="BN40" s="1712"/>
    </row>
    <row r="41" spans="1:66" ht="16.5" thickBot="1" x14ac:dyDescent="0.3">
      <c r="A41" s="1714"/>
      <c r="B41" s="1714"/>
      <c r="C41" s="1744"/>
      <c r="D41" s="1915"/>
      <c r="E41" s="1712"/>
      <c r="F41" s="1907"/>
      <c r="G41" s="1908"/>
      <c r="H41" s="1908"/>
      <c r="I41" s="1908"/>
      <c r="J41" s="1908"/>
      <c r="K41" s="1909"/>
      <c r="L41" s="1714"/>
      <c r="M41" s="1714"/>
      <c r="N41" s="1712"/>
      <c r="O41" s="1760"/>
      <c r="P41" s="1760"/>
      <c r="Q41" s="1791"/>
      <c r="R41" s="1788"/>
      <c r="S41" s="1788"/>
      <c r="T41" s="1760"/>
      <c r="U41" s="1788"/>
      <c r="V41" s="1788"/>
      <c r="W41" s="1742"/>
      <c r="X41" s="1742"/>
      <c r="Y41" s="1742"/>
      <c r="Z41" s="1742"/>
      <c r="AA41" s="1921"/>
      <c r="AB41" s="1734"/>
      <c r="AC41" s="1922"/>
      <c r="AD41" s="1923"/>
      <c r="AE41" s="1924"/>
      <c r="AF41" s="1922"/>
      <c r="AG41" s="1786"/>
      <c r="AH41" s="1742"/>
      <c r="AI41" s="1787"/>
      <c r="AJ41" s="1787"/>
      <c r="AK41" s="1787"/>
      <c r="AL41" s="1787"/>
      <c r="AM41" s="1787"/>
      <c r="AN41" s="1840"/>
      <c r="AO41" s="1840"/>
      <c r="AP41" s="1787"/>
      <c r="AQ41" s="1787"/>
      <c r="AR41" s="1742"/>
      <c r="AS41" s="1734"/>
      <c r="AT41" s="1734"/>
      <c r="AU41" s="1734"/>
      <c r="AV41" s="1787"/>
      <c r="AW41" s="1787"/>
      <c r="AX41" s="1787"/>
      <c r="BA41" s="1793"/>
      <c r="BB41" s="1793"/>
      <c r="BC41" s="1793"/>
      <c r="BD41" s="1787"/>
      <c r="BE41" s="1919"/>
      <c r="BF41" s="1925"/>
      <c r="BG41" s="1760"/>
      <c r="BH41" s="1742"/>
      <c r="BI41" s="1734"/>
      <c r="BJ41" s="1734"/>
      <c r="BK41" s="1734"/>
      <c r="BL41" s="1712"/>
      <c r="BM41" s="1712"/>
      <c r="BN41" s="1712"/>
    </row>
    <row r="42" spans="1:66" ht="16.5" thickBot="1" x14ac:dyDescent="0.3">
      <c r="A42" s="1714"/>
      <c r="B42" s="1714"/>
      <c r="C42" s="1744"/>
      <c r="D42" s="1915"/>
      <c r="E42" s="1712"/>
      <c r="F42" s="1907"/>
      <c r="G42" s="1908"/>
      <c r="H42" s="1908"/>
      <c r="I42" s="1908"/>
      <c r="J42" s="1908"/>
      <c r="K42" s="1909"/>
      <c r="L42" s="1714"/>
      <c r="M42" s="1714"/>
      <c r="N42" s="1712"/>
      <c r="O42" s="1760"/>
      <c r="P42" s="1760"/>
      <c r="Q42" s="1791"/>
      <c r="R42" s="1788"/>
      <c r="S42" s="1788"/>
      <c r="T42" s="1760"/>
      <c r="U42" s="1791"/>
      <c r="V42" s="1917"/>
      <c r="W42" s="1760"/>
      <c r="X42" s="1760"/>
      <c r="Y42" s="1760"/>
      <c r="Z42" s="1760"/>
      <c r="AA42" s="1921"/>
      <c r="AB42" s="1926"/>
      <c r="AC42" s="1926"/>
      <c r="AD42" s="1927"/>
      <c r="AE42" s="1928"/>
      <c r="AF42" s="1926"/>
      <c r="AG42" s="1929"/>
      <c r="AH42" s="1786"/>
      <c r="AI42" s="1742"/>
      <c r="AJ42" s="1742"/>
      <c r="AK42" s="1742"/>
      <c r="AL42" s="1742"/>
      <c r="AM42" s="1742"/>
      <c r="AN42" s="1912"/>
      <c r="AO42" s="1912"/>
      <c r="AP42" s="1787"/>
      <c r="AQ42" s="1930"/>
      <c r="AR42" s="1930"/>
      <c r="AS42" s="1734"/>
      <c r="AT42" s="1931"/>
      <c r="AU42" s="1793"/>
      <c r="AV42" s="1787"/>
      <c r="AW42" s="1787"/>
      <c r="AX42" s="1787"/>
      <c r="AY42" s="1793"/>
      <c r="AZ42" s="1793"/>
      <c r="BA42" s="1793"/>
      <c r="BB42" s="1793"/>
      <c r="BC42" s="1793"/>
      <c r="BD42" s="1787"/>
      <c r="BE42" s="1919"/>
      <c r="BF42" s="1932"/>
      <c r="BG42" s="1760"/>
      <c r="BH42" s="1742"/>
      <c r="BI42" s="1734"/>
      <c r="BJ42" s="1734"/>
      <c r="BK42" s="1734"/>
      <c r="BL42" s="1712"/>
      <c r="BM42" s="1712"/>
      <c r="BN42" s="1712"/>
    </row>
    <row r="43" spans="1:66" ht="15.75" x14ac:dyDescent="0.25">
      <c r="A43" s="1714"/>
      <c r="B43" s="1714"/>
      <c r="C43" s="1744"/>
      <c r="D43" s="1915"/>
      <c r="E43" s="1712"/>
      <c r="F43" s="1907"/>
      <c r="G43" s="1908"/>
      <c r="H43" s="1908"/>
      <c r="I43" s="1908"/>
      <c r="J43" s="1908"/>
      <c r="K43" s="1909"/>
      <c r="L43" s="1714"/>
      <c r="M43" s="1714"/>
      <c r="N43" s="1712"/>
      <c r="O43" s="1760"/>
      <c r="P43" s="1760"/>
      <c r="Q43" s="1791"/>
      <c r="R43" s="1788"/>
      <c r="S43" s="1788"/>
      <c r="T43" s="1760"/>
      <c r="U43" s="1933"/>
      <c r="V43" s="1934"/>
      <c r="W43" s="1760"/>
      <c r="X43" s="1760"/>
      <c r="Y43" s="1760"/>
      <c r="Z43" s="1760"/>
      <c r="AA43" s="1778"/>
      <c r="AB43" s="1734"/>
      <c r="AC43" s="1733"/>
      <c r="AD43" s="1733"/>
      <c r="AE43" s="1734"/>
      <c r="AF43" s="1734"/>
      <c r="AG43" s="1742"/>
      <c r="AH43" s="1935"/>
      <c r="AI43" s="1742"/>
      <c r="AJ43" s="1742"/>
      <c r="AK43" s="1742"/>
      <c r="AL43" s="1742"/>
      <c r="AM43" s="1787"/>
      <c r="AN43" s="1912"/>
      <c r="AO43" s="1936"/>
      <c r="AP43" s="1787"/>
      <c r="AQ43" s="1937"/>
      <c r="AR43" s="1937"/>
      <c r="AS43" s="1793"/>
      <c r="AT43" s="1938"/>
      <c r="AU43" s="1793"/>
      <c r="AV43" s="1939"/>
      <c r="AW43" s="1939"/>
      <c r="AX43" s="1939"/>
      <c r="AY43" s="1793"/>
      <c r="AZ43" s="1793"/>
      <c r="BA43" s="1793"/>
      <c r="BB43" s="1793"/>
      <c r="BC43" s="1793"/>
      <c r="BD43" s="1787"/>
      <c r="BE43" s="1919"/>
      <c r="BF43" s="1742"/>
      <c r="BG43" s="1742"/>
      <c r="BH43" s="1742"/>
      <c r="BI43" s="1734"/>
      <c r="BJ43" s="1734"/>
      <c r="BK43" s="1734"/>
      <c r="BL43" s="1712"/>
      <c r="BM43" s="1712"/>
      <c r="BN43" s="1712"/>
    </row>
    <row r="44" spans="1:66" ht="16.5" thickBot="1" x14ac:dyDescent="0.3">
      <c r="A44" s="1714"/>
      <c r="B44" s="1714"/>
      <c r="C44" s="1744"/>
      <c r="D44" s="1712"/>
      <c r="E44" s="1712"/>
      <c r="F44" s="1907"/>
      <c r="G44" s="1908"/>
      <c r="H44" s="1908"/>
      <c r="I44" s="1908"/>
      <c r="J44" s="1908"/>
      <c r="K44" s="1909"/>
      <c r="L44" s="1714"/>
      <c r="M44" s="1714"/>
      <c r="N44" s="1712"/>
      <c r="O44" s="1760"/>
      <c r="P44" s="1760"/>
      <c r="Q44" s="1742"/>
      <c r="R44" s="1940"/>
      <c r="S44" s="1788"/>
      <c r="T44" s="1760"/>
      <c r="U44" s="1941"/>
      <c r="V44" s="1942"/>
      <c r="W44" s="1760"/>
      <c r="X44" s="1760"/>
      <c r="Y44" s="1760"/>
      <c r="Z44" s="1760"/>
      <c r="AA44" s="1778"/>
      <c r="AB44" s="1734"/>
      <c r="AC44" s="1734"/>
      <c r="AD44" s="1734"/>
      <c r="AE44" s="1734"/>
      <c r="AF44" s="1734"/>
      <c r="AG44" s="1742"/>
      <c r="AH44" s="1935"/>
      <c r="AI44" s="1742"/>
      <c r="AJ44" s="1943"/>
      <c r="AK44" s="1943"/>
      <c r="AL44" s="1787"/>
      <c r="AM44" s="1787"/>
      <c r="AN44" s="1912"/>
      <c r="AO44" s="1742"/>
      <c r="AP44" s="1787"/>
      <c r="AQ44" s="1787"/>
      <c r="AR44" s="1742"/>
      <c r="AS44" s="1944"/>
      <c r="AT44" s="1938"/>
      <c r="AU44" s="1793"/>
      <c r="AV44" s="1945"/>
      <c r="AW44" s="1945"/>
      <c r="AX44" s="1945"/>
      <c r="AY44" s="1793"/>
      <c r="AZ44" s="1793"/>
      <c r="BA44" s="1793"/>
      <c r="BB44" s="1793"/>
      <c r="BC44" s="1793"/>
      <c r="BD44" s="1787"/>
      <c r="BE44" s="1833"/>
      <c r="BF44" s="1742"/>
      <c r="BG44" s="1742"/>
      <c r="BH44" s="1742"/>
      <c r="BI44" s="1734"/>
      <c r="BJ44" s="1734"/>
      <c r="BK44" s="1734"/>
      <c r="BL44" s="1712"/>
      <c r="BM44" s="1712"/>
      <c r="BN44" s="1712"/>
    </row>
    <row r="45" spans="1:66" ht="15.75" x14ac:dyDescent="0.25">
      <c r="A45" s="1714"/>
      <c r="B45" s="1714"/>
      <c r="C45" s="1744"/>
      <c r="D45" s="1712"/>
      <c r="E45" s="1712"/>
      <c r="F45" s="1907"/>
      <c r="G45" s="1908"/>
      <c r="H45" s="1908"/>
      <c r="I45" s="1908"/>
      <c r="J45" s="1908"/>
      <c r="K45" s="1909"/>
      <c r="L45" s="1714"/>
      <c r="M45" s="1714"/>
      <c r="N45" s="1712"/>
      <c r="O45" s="1712"/>
      <c r="P45" s="1712"/>
      <c r="Q45" s="1714"/>
      <c r="R45" s="1734"/>
      <c r="S45" s="1714"/>
      <c r="T45" s="1712"/>
      <c r="U45" s="1712"/>
      <c r="V45" s="1712"/>
      <c r="W45" s="1712"/>
      <c r="X45" s="1712"/>
      <c r="Y45" s="1712"/>
      <c r="Z45" s="1712"/>
      <c r="AA45" s="1734"/>
      <c r="AB45" s="1734"/>
      <c r="AC45" s="1734"/>
      <c r="AD45" s="1734"/>
      <c r="AE45" s="1734"/>
      <c r="AF45" s="1734"/>
      <c r="AG45" s="1734"/>
      <c r="AH45" s="1946"/>
      <c r="AI45" s="1734"/>
      <c r="AJ45" s="1742"/>
      <c r="AK45" s="1947"/>
      <c r="AL45" s="1742"/>
      <c r="AM45" s="1742"/>
      <c r="AN45" s="1742"/>
      <c r="AO45" s="1742"/>
      <c r="AP45" s="1787"/>
      <c r="AQ45" s="1787"/>
      <c r="AR45" s="1742"/>
      <c r="AS45" s="1948"/>
      <c r="AT45" s="1938"/>
      <c r="AU45" s="1945"/>
      <c r="AV45" s="1949"/>
      <c r="AW45" s="1949"/>
      <c r="AX45" s="1949"/>
      <c r="AY45" s="1945"/>
      <c r="AZ45" s="1793"/>
      <c r="BA45" s="1793"/>
      <c r="BB45" s="1793"/>
      <c r="BC45" s="1793"/>
      <c r="BD45" s="1793"/>
      <c r="BE45" s="1950"/>
      <c r="BF45" s="1734"/>
      <c r="BG45" s="1734"/>
      <c r="BH45" s="1734"/>
      <c r="BI45" s="1734"/>
      <c r="BJ45" s="1734"/>
      <c r="BK45" s="1734"/>
      <c r="BL45" s="1712"/>
      <c r="BM45" s="1712"/>
      <c r="BN45" s="1712"/>
    </row>
    <row r="46" spans="1:66" ht="18" x14ac:dyDescent="0.25">
      <c r="A46" s="1714"/>
      <c r="B46" s="1714"/>
      <c r="C46" s="1744"/>
      <c r="D46" s="1712"/>
      <c r="E46" s="1712"/>
      <c r="F46" s="1907"/>
      <c r="G46" s="1908"/>
      <c r="H46" s="1908"/>
      <c r="I46" s="1908"/>
      <c r="J46" s="1908"/>
      <c r="K46" s="1909"/>
      <c r="L46" s="1714"/>
      <c r="M46" s="1714"/>
      <c r="N46" s="1712"/>
      <c r="O46" s="1714"/>
      <c r="P46" s="1712"/>
      <c r="Q46" s="1743"/>
      <c r="R46" s="1734"/>
      <c r="S46" s="1734"/>
      <c r="T46" s="1712"/>
      <c r="U46" s="1712"/>
      <c r="V46" s="1712"/>
      <c r="W46" s="1712"/>
      <c r="X46" s="1712"/>
      <c r="Y46" s="1712"/>
      <c r="Z46" s="1712"/>
      <c r="AA46" s="1733"/>
      <c r="AB46" s="1733"/>
      <c r="AC46" s="1733"/>
      <c r="AD46" s="1733"/>
      <c r="AE46" s="1734"/>
      <c r="AF46" s="1734"/>
      <c r="AG46" s="1734"/>
      <c r="AH46" s="1733"/>
      <c r="AI46" s="1733"/>
      <c r="AJ46" s="1742"/>
      <c r="AK46" s="1951"/>
      <c r="AL46" s="1947"/>
      <c r="AM46" s="1742"/>
      <c r="AN46" s="1742"/>
      <c r="AO46" s="1742"/>
      <c r="AP46" s="1936"/>
      <c r="AQ46" s="1787"/>
      <c r="AR46" s="1787"/>
      <c r="AS46" s="1948"/>
      <c r="AT46" s="1938"/>
      <c r="AU46" s="1952"/>
      <c r="AV46" s="1953">
        <v>110557</v>
      </c>
      <c r="AW46" s="1954">
        <v>114977</v>
      </c>
      <c r="AX46" s="1955">
        <v>110559</v>
      </c>
      <c r="AY46" s="1952"/>
      <c r="AZ46" s="1734"/>
      <c r="BA46" s="1734"/>
      <c r="BB46" s="1734"/>
      <c r="BC46" s="1734"/>
      <c r="BD46" s="1734"/>
      <c r="BE46" s="1950"/>
      <c r="BF46" s="1734"/>
      <c r="BG46" s="1734"/>
      <c r="BH46" s="1734"/>
      <c r="BI46" s="1734"/>
      <c r="BJ46" s="1734"/>
      <c r="BK46" s="1734"/>
      <c r="BL46" s="1712"/>
      <c r="BM46" s="1712"/>
      <c r="BN46" s="1712"/>
    </row>
    <row r="47" spans="1:66" ht="18" x14ac:dyDescent="0.25">
      <c r="A47" s="1714"/>
      <c r="B47" s="1714"/>
      <c r="C47" s="1744"/>
      <c r="D47" s="1712"/>
      <c r="E47" s="1712"/>
      <c r="F47" s="1907"/>
      <c r="G47" s="1908"/>
      <c r="H47" s="1908"/>
      <c r="I47" s="1908"/>
      <c r="J47" s="1908"/>
      <c r="K47" s="1909"/>
      <c r="L47" s="1714"/>
      <c r="M47" s="1714"/>
      <c r="N47" s="1712"/>
      <c r="O47" s="1714"/>
      <c r="P47" s="1712"/>
      <c r="Q47" s="1734"/>
      <c r="R47" s="1714"/>
      <c r="S47" s="1714"/>
      <c r="T47" s="1712"/>
      <c r="U47" s="1712"/>
      <c r="V47" s="1712"/>
      <c r="W47" s="1712"/>
      <c r="X47" s="1712"/>
      <c r="Y47" s="1712"/>
      <c r="Z47" s="1712"/>
      <c r="AA47" s="1721"/>
      <c r="AB47" s="1711"/>
      <c r="AC47" s="1711"/>
      <c r="AD47" s="1733"/>
      <c r="AE47" s="1733"/>
      <c r="AF47" s="1733"/>
      <c r="AG47" s="1733"/>
      <c r="AH47" s="1871"/>
      <c r="AI47" s="1871"/>
      <c r="AJ47" s="1956"/>
      <c r="AK47" s="1827"/>
      <c r="AL47" s="1951"/>
      <c r="AM47" s="1947"/>
      <c r="AN47" s="1786"/>
      <c r="AO47" s="1957"/>
      <c r="AP47" s="1742"/>
      <c r="AQ47" s="1788"/>
      <c r="AR47" s="1788"/>
      <c r="AS47" s="1948"/>
      <c r="AT47" s="1938"/>
      <c r="AU47" s="1952"/>
      <c r="AV47" s="1958">
        <v>110592</v>
      </c>
      <c r="AW47" s="1953">
        <v>110551</v>
      </c>
      <c r="AX47" s="1959">
        <v>110582</v>
      </c>
      <c r="AY47" s="1952"/>
      <c r="AZ47" s="1734"/>
      <c r="BA47" s="1734"/>
      <c r="BB47" s="1734"/>
      <c r="BC47" s="1734"/>
      <c r="BD47" s="1734"/>
      <c r="BE47" s="1950"/>
      <c r="BF47" s="1734"/>
      <c r="BG47" s="1734"/>
      <c r="BH47" s="1734"/>
      <c r="BI47" s="1734"/>
      <c r="BJ47" s="1734"/>
      <c r="BK47" s="1734"/>
      <c r="BL47" s="1712"/>
      <c r="BM47" s="1712"/>
      <c r="BN47" s="1712"/>
    </row>
    <row r="48" spans="1:66" ht="15.75" x14ac:dyDescent="0.25">
      <c r="A48" s="1714"/>
      <c r="B48" s="1714"/>
      <c r="C48" s="1744"/>
      <c r="D48" s="1712"/>
      <c r="E48" s="1712"/>
      <c r="F48" s="1907"/>
      <c r="G48" s="1908"/>
      <c r="H48" s="1908"/>
      <c r="I48" s="1908"/>
      <c r="J48" s="1908"/>
      <c r="K48" s="1909"/>
      <c r="L48" s="1714"/>
      <c r="M48" s="1714"/>
      <c r="N48" s="1712"/>
      <c r="O48" s="1714"/>
      <c r="P48" s="1712"/>
      <c r="Q48" s="1734"/>
      <c r="R48" s="1714"/>
      <c r="S48" s="1714"/>
      <c r="T48" s="1712"/>
      <c r="U48" s="1712"/>
      <c r="V48" s="1712"/>
      <c r="W48" s="1712"/>
      <c r="X48" s="1960"/>
      <c r="Y48" s="1960"/>
      <c r="Z48" s="1960"/>
      <c r="AA48" s="1711"/>
      <c r="AB48" s="1711"/>
      <c r="AC48" s="1961"/>
      <c r="AD48" s="1928"/>
      <c r="AE48" s="1928"/>
      <c r="AF48" s="1928"/>
      <c r="AG48" s="1928"/>
      <c r="AH48" s="1962"/>
      <c r="AI48" s="1963"/>
      <c r="AJ48" s="1964"/>
      <c r="AK48" s="1956"/>
      <c r="AL48" s="1827"/>
      <c r="AM48" s="1951"/>
      <c r="AN48" s="1947"/>
      <c r="AO48" s="1742"/>
      <c r="AP48" s="1742"/>
      <c r="AQ48" s="1788"/>
      <c r="AR48" s="1788"/>
      <c r="AS48" s="1965"/>
      <c r="AT48" s="1938"/>
      <c r="AU48" s="1945"/>
      <c r="AV48" s="1949"/>
      <c r="AW48" s="1949"/>
      <c r="AX48" s="1949"/>
      <c r="AY48" s="1945"/>
      <c r="AZ48" s="1734"/>
      <c r="BA48" s="1734"/>
      <c r="BB48" s="1966"/>
      <c r="BC48" s="1966"/>
      <c r="BD48" s="1966"/>
      <c r="BE48" s="1967"/>
      <c r="BF48" s="1734"/>
      <c r="BG48" s="1734"/>
      <c r="BH48" s="1734"/>
      <c r="BI48" s="1734"/>
      <c r="BJ48" s="1734"/>
      <c r="BK48" s="1734"/>
      <c r="BL48" s="1712"/>
      <c r="BM48" s="1712"/>
      <c r="BN48" s="1712"/>
    </row>
    <row r="49" spans="1:66" ht="16.5" thickBot="1" x14ac:dyDescent="0.3">
      <c r="A49" s="1714"/>
      <c r="B49" s="1714"/>
      <c r="C49" s="1744"/>
      <c r="D49" s="1712"/>
      <c r="E49" s="1712"/>
      <c r="F49" s="1907"/>
      <c r="G49" s="1908"/>
      <c r="H49" s="1908"/>
      <c r="I49" s="1908"/>
      <c r="J49" s="1908"/>
      <c r="K49" s="1909"/>
      <c r="L49" s="1714"/>
      <c r="M49" s="1714"/>
      <c r="N49" s="1712"/>
      <c r="O49" s="1714"/>
      <c r="P49" s="1712"/>
      <c r="Q49" s="1712"/>
      <c r="R49" s="1712"/>
      <c r="S49" s="1712"/>
      <c r="T49" s="1712"/>
      <c r="U49" s="1712"/>
      <c r="V49" s="1712"/>
      <c r="W49" s="1712"/>
      <c r="X49" s="1712"/>
      <c r="Y49" s="1712"/>
      <c r="Z49" s="1960"/>
      <c r="AA49" s="1968"/>
      <c r="AB49" s="1968"/>
      <c r="AC49" s="1969"/>
      <c r="AD49" s="1968"/>
      <c r="AE49" s="1734"/>
      <c r="AF49" s="1734"/>
      <c r="AG49" s="1734"/>
      <c r="AH49" s="1963"/>
      <c r="AI49" s="1734"/>
      <c r="AJ49" s="1970"/>
      <c r="AK49" s="1964"/>
      <c r="AL49" s="1956"/>
      <c r="AM49" s="1827"/>
      <c r="AN49" s="1951"/>
      <c r="AO49" s="1947"/>
      <c r="AP49" s="1971"/>
      <c r="AQ49" s="1787"/>
      <c r="AR49" s="1787"/>
      <c r="AS49" s="1793"/>
      <c r="AT49" s="1972"/>
      <c r="AU49" s="1734"/>
      <c r="AV49" s="1945"/>
      <c r="AW49" s="1945"/>
      <c r="AX49" s="1945"/>
      <c r="AY49" s="1973"/>
      <c r="AZ49" s="1974"/>
      <c r="BA49" s="1974"/>
      <c r="BB49" s="1974"/>
      <c r="BC49" s="1740"/>
      <c r="BD49" s="1740"/>
      <c r="BE49" s="1975"/>
      <c r="BF49" s="1734"/>
      <c r="BG49" s="1734"/>
      <c r="BH49" s="1734"/>
      <c r="BI49" s="1734"/>
      <c r="BJ49" s="1734"/>
      <c r="BK49" s="1734"/>
      <c r="BL49" s="1712"/>
      <c r="BM49" s="1712"/>
      <c r="BN49" s="1712"/>
    </row>
    <row r="50" spans="1:66" ht="16.5" thickBot="1" x14ac:dyDescent="0.3">
      <c r="A50" s="1714"/>
      <c r="B50" s="1714"/>
      <c r="C50" s="1744"/>
      <c r="D50" s="1712"/>
      <c r="E50" s="1712"/>
      <c r="F50" s="1907"/>
      <c r="G50" s="1908"/>
      <c r="H50" s="1908"/>
      <c r="I50" s="1908"/>
      <c r="J50" s="1908"/>
      <c r="K50" s="1909"/>
      <c r="L50" s="1712"/>
      <c r="M50" s="1712"/>
      <c r="N50" s="1712"/>
      <c r="O50" s="1714"/>
      <c r="P50" s="1712"/>
      <c r="Q50" s="1712"/>
      <c r="R50" s="1712"/>
      <c r="S50" s="1712"/>
      <c r="T50" s="1712"/>
      <c r="U50" s="1712"/>
      <c r="V50" s="1712"/>
      <c r="W50" s="1712"/>
      <c r="X50" s="1712"/>
      <c r="Y50" s="1712"/>
      <c r="Z50" s="1960"/>
      <c r="AA50" s="1946"/>
      <c r="AB50" s="1734"/>
      <c r="AC50" s="1734"/>
      <c r="AD50" s="1734"/>
      <c r="AE50" s="1976"/>
      <c r="AF50" s="1734"/>
      <c r="AG50" s="1963"/>
      <c r="AH50" s="1734"/>
      <c r="AI50" s="1734"/>
      <c r="AJ50" s="1742"/>
      <c r="AK50" s="1742"/>
      <c r="AL50" s="1742"/>
      <c r="AM50" s="1977"/>
      <c r="AN50" s="1827"/>
      <c r="AO50" s="1951"/>
      <c r="AP50" s="1947"/>
      <c r="AQ50" s="1838"/>
      <c r="AR50" s="1787"/>
      <c r="AS50" s="1950"/>
      <c r="AT50" s="1968"/>
      <c r="AU50" s="1978"/>
      <c r="AV50" s="1979"/>
      <c r="AW50" s="1979"/>
      <c r="AX50" s="1979"/>
      <c r="AY50" s="1871"/>
      <c r="AZ50" s="1871"/>
      <c r="BA50" s="1871"/>
      <c r="BB50" s="1871"/>
      <c r="BC50" s="1871"/>
      <c r="BD50" s="1734"/>
      <c r="BE50" s="1980"/>
      <c r="BF50" s="1734"/>
      <c r="BG50" s="1734"/>
      <c r="BH50" s="1734"/>
      <c r="BI50" s="1734"/>
      <c r="BJ50" s="1734"/>
      <c r="BK50" s="1734"/>
      <c r="BL50" s="1712"/>
      <c r="BM50" s="1712"/>
      <c r="BN50" s="1712"/>
    </row>
    <row r="51" spans="1:66" ht="15.75" x14ac:dyDescent="0.25">
      <c r="A51" s="1714"/>
      <c r="B51" s="1714"/>
      <c r="C51" s="1744"/>
      <c r="D51" s="1714"/>
      <c r="E51" s="1712"/>
      <c r="F51" s="1907"/>
      <c r="G51" s="1908"/>
      <c r="H51" s="1908"/>
      <c r="I51" s="1908"/>
      <c r="J51" s="1908"/>
      <c r="K51" s="1909"/>
      <c r="L51" s="1714"/>
      <c r="M51" s="1714"/>
      <c r="N51" s="1981"/>
      <c r="O51" s="1982"/>
      <c r="P51" s="1982"/>
      <c r="Q51" s="1982"/>
      <c r="R51" s="1982"/>
      <c r="S51" s="1982"/>
      <c r="T51" s="1983"/>
      <c r="U51" s="1712"/>
      <c r="V51" s="1712"/>
      <c r="W51" s="1712"/>
      <c r="X51" s="1712"/>
      <c r="Y51" s="1712"/>
      <c r="Z51" s="1960"/>
      <c r="AA51" s="1946"/>
      <c r="AB51" s="1734"/>
      <c r="AC51" s="1734"/>
      <c r="AD51" s="1871"/>
      <c r="AE51" s="1734"/>
      <c r="AF51" s="1963"/>
      <c r="AG51" s="1734"/>
      <c r="AH51" s="1734"/>
      <c r="AI51" s="1734"/>
      <c r="AJ51" s="1742"/>
      <c r="AK51" s="1742"/>
      <c r="AL51" s="1742"/>
      <c r="AM51" s="1742"/>
      <c r="AN51" s="1984"/>
      <c r="AO51" s="1827"/>
      <c r="AP51" s="1951"/>
      <c r="AQ51" s="1947"/>
      <c r="AR51" s="1787"/>
      <c r="AS51" s="1950"/>
      <c r="AT51" s="1734"/>
      <c r="AU51" s="1734"/>
      <c r="AV51" s="1742"/>
      <c r="AW51" s="1742"/>
      <c r="AX51" s="1742"/>
      <c r="AY51" s="1734"/>
      <c r="BC51" s="1734"/>
      <c r="BD51" s="1734"/>
      <c r="BE51" s="1980"/>
      <c r="BF51" s="1734"/>
      <c r="BG51" s="1734"/>
      <c r="BH51" s="1734"/>
      <c r="BI51" s="1734"/>
      <c r="BJ51" s="1734"/>
      <c r="BK51" s="1734"/>
      <c r="BL51" s="1712"/>
      <c r="BM51" s="1712"/>
      <c r="BN51" s="1712"/>
    </row>
    <row r="52" spans="1:66" ht="15.75" x14ac:dyDescent="0.25">
      <c r="A52" s="1714"/>
      <c r="B52" s="1714"/>
      <c r="C52" s="1744"/>
      <c r="D52" s="1714"/>
      <c r="E52" s="1712"/>
      <c r="F52" s="1907"/>
      <c r="G52" s="1908"/>
      <c r="H52" s="1908"/>
      <c r="I52" s="1908"/>
      <c r="J52" s="1908"/>
      <c r="K52" s="1909"/>
      <c r="L52" s="1714"/>
      <c r="M52" s="1714"/>
      <c r="N52" s="1985"/>
      <c r="O52" s="1986"/>
      <c r="P52" s="1986"/>
      <c r="Q52" s="1986"/>
      <c r="R52" s="1986"/>
      <c r="S52" s="1986"/>
      <c r="T52" s="1987"/>
      <c r="U52" s="1712"/>
      <c r="V52" s="1712"/>
      <c r="W52" s="1712"/>
      <c r="X52" s="1712"/>
      <c r="Y52" s="1712"/>
      <c r="Z52" s="1734"/>
      <c r="AA52" s="1734"/>
      <c r="AB52" s="1734"/>
      <c r="AC52" s="1871"/>
      <c r="AD52" s="1734"/>
      <c r="AE52" s="1963"/>
      <c r="AF52" s="1734"/>
      <c r="AG52" s="1734"/>
      <c r="AH52" s="1734"/>
      <c r="AI52" s="1734"/>
      <c r="AJ52" s="1742"/>
      <c r="AK52" s="1742"/>
      <c r="AL52" s="1742"/>
      <c r="AM52" s="1742"/>
      <c r="AN52" s="1742"/>
      <c r="AO52" s="1988"/>
      <c r="AP52" s="1827"/>
      <c r="AQ52" s="1951"/>
      <c r="AR52" s="1947"/>
      <c r="AS52" s="1989"/>
      <c r="AT52" s="1734"/>
      <c r="AU52" s="1734"/>
      <c r="AV52" s="1734"/>
      <c r="AW52" s="1734"/>
      <c r="AY52" s="1734"/>
      <c r="AZ52" s="1734"/>
      <c r="BA52" s="1734"/>
      <c r="BB52" s="1734"/>
      <c r="BC52" s="1734"/>
      <c r="BD52" s="1734"/>
      <c r="BE52" s="1734"/>
      <c r="BF52" s="1891"/>
      <c r="BG52" s="1734"/>
      <c r="BH52" s="1734"/>
      <c r="BI52" s="1734"/>
      <c r="BJ52" s="1734"/>
      <c r="BK52" s="1734"/>
      <c r="BL52" s="1712"/>
      <c r="BM52" s="1712"/>
      <c r="BN52" s="1712"/>
    </row>
    <row r="53" spans="1:66" ht="16.5" thickBot="1" x14ac:dyDescent="0.3">
      <c r="A53" s="1714"/>
      <c r="B53" s="1714"/>
      <c r="C53" s="1744"/>
      <c r="D53" s="1714"/>
      <c r="E53" s="1712"/>
      <c r="F53" s="1907"/>
      <c r="G53" s="1908"/>
      <c r="H53" s="1908"/>
      <c r="I53" s="1908"/>
      <c r="J53" s="1908"/>
      <c r="K53" s="1909"/>
      <c r="L53" s="1714"/>
      <c r="M53" s="1714"/>
      <c r="N53" s="1985"/>
      <c r="O53" s="1986"/>
      <c r="P53" s="1986"/>
      <c r="Q53" s="1986"/>
      <c r="R53" s="1986"/>
      <c r="S53" s="1986"/>
      <c r="T53" s="1987"/>
      <c r="U53" s="1712"/>
      <c r="V53" s="1712"/>
      <c r="W53" s="1712"/>
      <c r="X53" s="1712"/>
      <c r="Y53" s="1712"/>
      <c r="Z53" s="1793"/>
      <c r="AA53" s="1734"/>
      <c r="AB53" s="1922"/>
      <c r="AC53" s="1734"/>
      <c r="AD53" s="1963"/>
      <c r="AE53" s="1734"/>
      <c r="AF53" s="1734"/>
      <c r="AG53" s="1734"/>
      <c r="AH53" s="1734"/>
      <c r="AI53" s="1734"/>
      <c r="AJ53" s="1742"/>
      <c r="AK53" s="1742"/>
      <c r="AL53" s="1742"/>
      <c r="AM53" s="1742"/>
      <c r="AN53" s="1787"/>
      <c r="AO53" s="1787"/>
      <c r="AP53" s="1956"/>
      <c r="AQ53" s="1827"/>
      <c r="AR53" s="1990"/>
      <c r="AS53" s="1991"/>
      <c r="AT53" s="1734"/>
      <c r="AU53" s="1734"/>
      <c r="AV53" s="1734"/>
      <c r="AW53" s="1734"/>
      <c r="AX53" s="1734"/>
      <c r="AY53" s="1734"/>
      <c r="AZ53" s="1734"/>
      <c r="BA53" s="1734"/>
      <c r="BB53" s="1734"/>
      <c r="BC53" s="1734"/>
      <c r="BD53" s="1734"/>
      <c r="BE53" s="1734"/>
      <c r="BF53" s="1891"/>
      <c r="BG53" s="1734"/>
      <c r="BH53" s="1734"/>
      <c r="BI53" s="1734"/>
      <c r="BJ53" s="1734"/>
      <c r="BK53" s="1734"/>
      <c r="BL53" s="1712"/>
      <c r="BM53" s="1712"/>
      <c r="BN53" s="1712"/>
    </row>
    <row r="54" spans="1:66" x14ac:dyDescent="0.25">
      <c r="A54" s="1714"/>
      <c r="B54" s="1714"/>
      <c r="C54" s="1744"/>
      <c r="D54" s="1714"/>
      <c r="E54" s="1712"/>
      <c r="F54" s="1907"/>
      <c r="G54" s="1908"/>
      <c r="H54" s="1908"/>
      <c r="I54" s="1908"/>
      <c r="J54" s="1908"/>
      <c r="K54" s="1909"/>
      <c r="L54" s="1714"/>
      <c r="M54" s="1714"/>
      <c r="N54" s="1985"/>
      <c r="O54" s="1986"/>
      <c r="P54" s="1986"/>
      <c r="Q54" s="1986"/>
      <c r="R54" s="1986"/>
      <c r="S54" s="1986"/>
      <c r="T54" s="1987"/>
      <c r="U54" s="1712"/>
      <c r="V54" s="1712"/>
      <c r="W54" s="1712"/>
      <c r="X54" s="1712"/>
      <c r="Y54" s="1712"/>
      <c r="Z54" s="1734"/>
      <c r="AA54" s="1922"/>
      <c r="AB54" s="1992"/>
      <c r="AC54" s="1963"/>
      <c r="AD54" s="1734"/>
      <c r="AE54" s="1734"/>
      <c r="AF54" s="1734"/>
      <c r="AG54" s="1734"/>
      <c r="AH54" s="1734"/>
      <c r="AI54" s="1734"/>
      <c r="AJ54" s="1742"/>
      <c r="AK54" s="1742"/>
      <c r="AL54" s="1742"/>
      <c r="AM54" s="1742"/>
      <c r="AN54" s="1742"/>
      <c r="AO54" s="1742"/>
      <c r="AP54" s="1787"/>
      <c r="AQ54" s="1787"/>
      <c r="AR54" s="1993"/>
      <c r="AS54" s="1871"/>
      <c r="AT54" s="1871"/>
      <c r="AU54" s="1734"/>
      <c r="AV54" s="1734"/>
      <c r="AW54" s="1734"/>
      <c r="AX54" s="1734"/>
      <c r="AY54" s="1734"/>
      <c r="AZ54" s="1734"/>
      <c r="BA54" s="1734"/>
      <c r="BB54" s="1734"/>
      <c r="BC54" s="1734"/>
      <c r="BD54" s="1734"/>
      <c r="BE54" s="1734"/>
      <c r="BF54" s="1918"/>
      <c r="BG54" s="1734"/>
      <c r="BH54" s="1734"/>
      <c r="BI54" s="1734"/>
      <c r="BJ54" s="1734"/>
      <c r="BK54" s="1734"/>
      <c r="BL54" s="1712"/>
      <c r="BM54" s="1712"/>
      <c r="BN54" s="1712"/>
    </row>
    <row r="55" spans="1:66" x14ac:dyDescent="0.25">
      <c r="A55" s="1714"/>
      <c r="B55" s="1714"/>
      <c r="C55" s="1744"/>
      <c r="D55" s="1714"/>
      <c r="E55" s="1712"/>
      <c r="F55" s="1907"/>
      <c r="G55" s="1908"/>
      <c r="H55" s="1908"/>
      <c r="I55" s="1908"/>
      <c r="J55" s="1908"/>
      <c r="K55" s="1909"/>
      <c r="L55" s="1714"/>
      <c r="M55" s="1714"/>
      <c r="N55" s="1985"/>
      <c r="O55" s="1986"/>
      <c r="P55" s="1986"/>
      <c r="Q55" s="1986"/>
      <c r="R55" s="1986"/>
      <c r="S55" s="1986"/>
      <c r="T55" s="1987"/>
      <c r="U55" s="1712"/>
      <c r="V55" s="1712"/>
      <c r="W55" s="1712"/>
      <c r="X55" s="1712"/>
      <c r="Y55" s="1712"/>
      <c r="Z55" s="1922"/>
      <c r="AA55" s="1992"/>
      <c r="AB55" s="1994"/>
      <c r="AC55" s="1734"/>
      <c r="AD55" s="1734"/>
      <c r="AE55" s="1734"/>
      <c r="AF55" s="1734"/>
      <c r="AG55" s="1734"/>
      <c r="AH55" s="1734"/>
      <c r="AI55" s="1734"/>
      <c r="AJ55" s="1742"/>
      <c r="AK55" s="1742"/>
      <c r="AL55" s="1742"/>
      <c r="AM55" s="1742"/>
      <c r="AN55" s="1742"/>
      <c r="AO55" s="1742"/>
      <c r="AP55" s="1742"/>
      <c r="AQ55" s="1742"/>
      <c r="AR55" s="1995"/>
      <c r="AS55" s="1871"/>
      <c r="AT55" s="1871"/>
      <c r="AU55" s="1734"/>
      <c r="AV55" s="1734"/>
      <c r="AW55" s="1734"/>
      <c r="AX55" s="1734"/>
      <c r="AY55" s="1734"/>
      <c r="AZ55" s="1734"/>
      <c r="BA55" s="1734"/>
      <c r="BB55" s="1734"/>
      <c r="BC55" s="1734"/>
      <c r="BD55" s="1734"/>
      <c r="BE55" s="1734"/>
      <c r="BF55" s="1918"/>
      <c r="BG55" s="1734"/>
      <c r="BH55" s="1734"/>
      <c r="BI55" s="1734"/>
      <c r="BJ55" s="1734"/>
      <c r="BK55" s="1734"/>
      <c r="BL55" s="1712"/>
      <c r="BM55" s="1712"/>
      <c r="BN55" s="1712"/>
    </row>
    <row r="56" spans="1:66" x14ac:dyDescent="0.25">
      <c r="A56" s="1714"/>
      <c r="B56" s="1714"/>
      <c r="C56" s="1743"/>
      <c r="D56" s="1996"/>
      <c r="E56" s="1712"/>
      <c r="F56" s="1907"/>
      <c r="G56" s="1908"/>
      <c r="H56" s="1908"/>
      <c r="I56" s="1908"/>
      <c r="J56" s="1908"/>
      <c r="K56" s="1909"/>
      <c r="L56" s="1714"/>
      <c r="M56" s="1714"/>
      <c r="N56" s="1985"/>
      <c r="O56" s="1986"/>
      <c r="P56" s="1986"/>
      <c r="Q56" s="1986"/>
      <c r="R56" s="1986"/>
      <c r="S56" s="1986"/>
      <c r="T56" s="1987"/>
      <c r="U56" s="1712"/>
      <c r="V56" s="1712"/>
      <c r="W56" s="1712"/>
      <c r="X56" s="1712"/>
      <c r="Y56" s="1712"/>
      <c r="Z56" s="1734"/>
      <c r="AA56" s="1994"/>
      <c r="AB56" s="1922"/>
      <c r="AC56" s="1734"/>
      <c r="AD56" s="1734"/>
      <c r="AE56" s="1734"/>
      <c r="AF56" s="1734"/>
      <c r="AG56" s="1734"/>
      <c r="AH56" s="1734"/>
      <c r="AI56" s="1734"/>
      <c r="AJ56" s="1742"/>
      <c r="AK56" s="1742"/>
      <c r="AL56" s="1742"/>
      <c r="AM56" s="1742"/>
      <c r="AN56" s="1742"/>
      <c r="AO56" s="1742"/>
      <c r="AP56" s="1742"/>
      <c r="AQ56" s="1742"/>
      <c r="AR56" s="1997"/>
      <c r="AS56" s="1734"/>
      <c r="AT56" s="1734"/>
      <c r="AU56" s="1734"/>
      <c r="AV56" s="1734"/>
      <c r="AW56" s="1734"/>
      <c r="AX56" s="1734"/>
      <c r="AY56" s="1734"/>
      <c r="AZ56" s="1734"/>
      <c r="BA56" s="1734"/>
      <c r="BB56" s="1734"/>
      <c r="BC56" s="1734"/>
      <c r="BD56" s="1734"/>
      <c r="BE56" s="1734"/>
      <c r="BF56" s="1918"/>
      <c r="BG56" s="1734"/>
      <c r="BH56" s="1734"/>
      <c r="BI56" s="1734"/>
      <c r="BJ56" s="1734"/>
      <c r="BK56" s="1734"/>
      <c r="BL56" s="1712"/>
      <c r="BM56" s="1712"/>
      <c r="BN56" s="1712"/>
    </row>
    <row r="57" spans="1:66" ht="15.75" x14ac:dyDescent="0.25">
      <c r="A57" s="1714"/>
      <c r="B57" s="1714"/>
      <c r="C57" s="1743"/>
      <c r="D57" s="1996"/>
      <c r="E57" s="1714"/>
      <c r="F57" s="1907"/>
      <c r="G57" s="1908"/>
      <c r="H57" s="1908"/>
      <c r="I57" s="1908"/>
      <c r="J57" s="1908"/>
      <c r="K57" s="1909"/>
      <c r="L57" s="1714"/>
      <c r="M57" s="1714"/>
      <c r="N57" s="1985"/>
      <c r="O57" s="1986"/>
      <c r="P57" s="1986"/>
      <c r="Q57" s="1986"/>
      <c r="R57" s="1986"/>
      <c r="S57" s="1986"/>
      <c r="T57" s="1987"/>
      <c r="U57" s="1712"/>
      <c r="V57" s="1712"/>
      <c r="W57" s="1712"/>
      <c r="X57" s="1712"/>
      <c r="Y57" s="1712"/>
      <c r="Z57" s="1963"/>
      <c r="AA57" s="1969"/>
      <c r="AB57" s="1862"/>
      <c r="AC57" s="1734"/>
      <c r="AD57" s="1734"/>
      <c r="AE57" s="1734"/>
      <c r="AF57" s="1734"/>
      <c r="AG57" s="1734"/>
      <c r="AH57" s="1734"/>
      <c r="AI57" s="1734"/>
      <c r="AJ57" s="1742"/>
      <c r="AK57" s="1742"/>
      <c r="AL57" s="1742"/>
      <c r="AM57" s="1742"/>
      <c r="AN57" s="1742"/>
      <c r="AO57" s="1742"/>
      <c r="AP57" s="1742"/>
      <c r="AQ57" s="1998"/>
      <c r="AR57" s="1997"/>
      <c r="AS57" s="1734"/>
      <c r="AT57" s="1734"/>
      <c r="AU57" s="1734"/>
      <c r="AV57" s="1734"/>
      <c r="AW57" s="1734"/>
      <c r="AX57" s="1734"/>
      <c r="AY57" s="1734"/>
      <c r="AZ57" s="1734"/>
      <c r="BA57" s="1734"/>
      <c r="BB57" s="1734"/>
      <c r="BC57" s="1734"/>
      <c r="BD57" s="1734"/>
      <c r="BE57" s="1734"/>
      <c r="BF57" s="1918"/>
      <c r="BG57" s="1734"/>
      <c r="BH57" s="1734"/>
      <c r="BI57" s="1734"/>
      <c r="BJ57" s="1734"/>
      <c r="BK57" s="1734"/>
      <c r="BL57" s="1712"/>
      <c r="BM57" s="1712"/>
      <c r="BN57" s="1712"/>
    </row>
    <row r="58" spans="1:66" x14ac:dyDescent="0.25">
      <c r="A58" s="1714"/>
      <c r="B58" s="1714"/>
      <c r="C58" s="1743"/>
      <c r="D58" s="1996"/>
      <c r="E58" s="1714"/>
      <c r="F58" s="1907"/>
      <c r="G58" s="1908"/>
      <c r="H58" s="1908"/>
      <c r="I58" s="1908"/>
      <c r="J58" s="1908"/>
      <c r="K58" s="1909"/>
      <c r="L58" s="1714"/>
      <c r="M58" s="1714"/>
      <c r="N58" s="1985"/>
      <c r="O58" s="1986"/>
      <c r="P58" s="1986"/>
      <c r="Q58" s="1986"/>
      <c r="R58" s="1986"/>
      <c r="S58" s="1986"/>
      <c r="T58" s="1987"/>
      <c r="U58" s="1712"/>
      <c r="V58" s="1712"/>
      <c r="W58" s="1712"/>
      <c r="X58" s="1712"/>
      <c r="Y58" s="1712"/>
      <c r="Z58" s="1734"/>
      <c r="AA58" s="1734"/>
      <c r="AB58" s="1734"/>
      <c r="AC58" s="1734"/>
      <c r="AD58" s="1734"/>
      <c r="AE58" s="1734"/>
      <c r="AF58" s="1734"/>
      <c r="AG58" s="1734"/>
      <c r="AH58" s="1734"/>
      <c r="AI58" s="1734"/>
      <c r="AJ58" s="1734"/>
      <c r="AK58" s="1734"/>
      <c r="AL58" s="1734"/>
      <c r="AM58" s="1734"/>
      <c r="AN58" s="1734"/>
      <c r="AO58" s="1734"/>
      <c r="AP58" s="1734"/>
      <c r="AQ58" s="1734"/>
      <c r="AR58" s="1999"/>
      <c r="AS58" s="1734"/>
      <c r="AT58" s="1734"/>
      <c r="AU58" s="1734"/>
      <c r="AV58" s="1734"/>
      <c r="AW58" s="1734"/>
      <c r="AX58" s="1734"/>
      <c r="AY58" s="1734"/>
      <c r="AZ58" s="1734"/>
      <c r="BA58" s="1734"/>
      <c r="BB58" s="1734"/>
      <c r="BC58" s="1734"/>
      <c r="BD58" s="1734"/>
      <c r="BE58" s="1734"/>
      <c r="BF58" s="1918"/>
      <c r="BG58" s="1734"/>
      <c r="BH58" s="1734"/>
      <c r="BI58" s="1734"/>
      <c r="BJ58" s="1734"/>
      <c r="BK58" s="1734"/>
      <c r="BL58" s="1712"/>
      <c r="BM58" s="1712"/>
      <c r="BN58" s="1712"/>
    </row>
    <row r="59" spans="1:66" x14ac:dyDescent="0.25">
      <c r="A59" s="1714"/>
      <c r="B59" s="1714"/>
      <c r="C59" s="1743"/>
      <c r="D59" s="1996"/>
      <c r="E59" s="1714"/>
      <c r="F59" s="1907"/>
      <c r="G59" s="1908"/>
      <c r="H59" s="1908"/>
      <c r="I59" s="1908"/>
      <c r="J59" s="1908"/>
      <c r="K59" s="1909"/>
      <c r="L59" s="1714"/>
      <c r="M59" s="1714"/>
      <c r="N59" s="1985"/>
      <c r="O59" s="1986"/>
      <c r="P59" s="1986"/>
      <c r="Q59" s="1986"/>
      <c r="R59" s="1986"/>
      <c r="S59" s="1986"/>
      <c r="T59" s="1987"/>
      <c r="U59" s="1712"/>
      <c r="V59" s="1712"/>
      <c r="W59" s="1712"/>
      <c r="X59" s="1712"/>
      <c r="Y59" s="1712"/>
      <c r="Z59" s="1734"/>
      <c r="AA59" s="1734"/>
      <c r="AB59" s="1734"/>
      <c r="AC59" s="1734"/>
      <c r="AD59" s="1734"/>
      <c r="AE59" s="1734"/>
      <c r="AF59" s="1734"/>
      <c r="AG59" s="1734"/>
      <c r="AH59" s="1734"/>
      <c r="AI59" s="1734"/>
      <c r="AJ59" s="1734"/>
      <c r="AK59" s="1734"/>
      <c r="AL59" s="1734"/>
      <c r="AM59" s="1734"/>
      <c r="AN59" s="1734"/>
      <c r="AO59" s="1734"/>
      <c r="AP59" s="1734"/>
      <c r="AQ59" s="1734"/>
      <c r="AR59" s="1871"/>
      <c r="AS59" s="1734"/>
      <c r="AT59" s="1871"/>
      <c r="AU59" s="1734"/>
      <c r="AV59" s="1734"/>
      <c r="AW59" s="1734"/>
      <c r="AX59" s="1734"/>
      <c r="AY59" s="1734"/>
      <c r="AZ59" s="1734"/>
      <c r="BA59" s="1734"/>
      <c r="BB59" s="1734"/>
      <c r="BC59" s="1734"/>
      <c r="BD59" s="1734"/>
      <c r="BE59" s="1734"/>
      <c r="BF59" s="1918"/>
      <c r="BG59" s="1734"/>
      <c r="BH59" s="1734"/>
      <c r="BI59" s="1734"/>
      <c r="BJ59" s="1734"/>
      <c r="BK59" s="1734"/>
      <c r="BL59" s="1712"/>
      <c r="BM59" s="1712"/>
      <c r="BN59" s="1712"/>
    </row>
    <row r="60" spans="1:66" ht="20.25" x14ac:dyDescent="0.25">
      <c r="A60" s="1714"/>
      <c r="B60" s="1714"/>
      <c r="C60" s="1743"/>
      <c r="D60" s="2000"/>
      <c r="E60" s="1852"/>
      <c r="F60" s="1907"/>
      <c r="G60" s="1908"/>
      <c r="H60" s="1908"/>
      <c r="I60" s="1908"/>
      <c r="J60" s="1908"/>
      <c r="K60" s="1909"/>
      <c r="L60" s="1714"/>
      <c r="M60" s="1714"/>
      <c r="N60" s="1985"/>
      <c r="O60" s="1986"/>
      <c r="P60" s="1986"/>
      <c r="Q60" s="1986"/>
      <c r="R60" s="1986"/>
      <c r="S60" s="1986"/>
      <c r="T60" s="1987"/>
      <c r="U60" s="1712"/>
      <c r="V60" s="1712"/>
      <c r="W60" s="1712"/>
      <c r="X60" s="1712"/>
      <c r="Y60" s="1712"/>
      <c r="Z60" s="1712"/>
      <c r="AA60" s="1712"/>
      <c r="AB60" s="1712"/>
      <c r="AC60" s="1734"/>
      <c r="AD60" s="1734"/>
      <c r="AE60" s="1734"/>
      <c r="AF60" s="1734"/>
      <c r="AG60" s="1734"/>
      <c r="AH60" s="1734"/>
      <c r="AI60" s="1734"/>
      <c r="AJ60" s="1734"/>
      <c r="AK60" s="1734"/>
      <c r="AL60" s="1734"/>
      <c r="AM60" s="1734"/>
      <c r="AN60" s="1734"/>
      <c r="AO60" s="1734"/>
      <c r="AP60" s="1734"/>
      <c r="AQ60" s="1734"/>
      <c r="AR60" s="2001"/>
      <c r="AS60" s="1734"/>
      <c r="AT60" s="1871"/>
      <c r="AU60" s="1734"/>
      <c r="AV60" s="1734"/>
      <c r="AW60" s="1734"/>
      <c r="AX60" s="1734"/>
      <c r="AY60" s="1734"/>
      <c r="AZ60" s="1734"/>
      <c r="BA60" s="1734"/>
      <c r="BB60" s="1734"/>
      <c r="BC60" s="1734"/>
      <c r="BD60" s="1734"/>
      <c r="BE60" s="1734"/>
      <c r="BF60" s="1918"/>
      <c r="BG60" s="1734"/>
      <c r="BH60" s="1734"/>
      <c r="BI60" s="1734"/>
      <c r="BJ60" s="1734"/>
      <c r="BK60" s="1734"/>
      <c r="BL60" s="1712"/>
      <c r="BM60" s="1712"/>
      <c r="BN60" s="1712"/>
    </row>
    <row r="61" spans="1:66" ht="15.75" x14ac:dyDescent="0.25">
      <c r="A61" s="1714"/>
      <c r="B61" s="1714"/>
      <c r="C61" s="1743"/>
      <c r="D61" s="2002"/>
      <c r="E61" s="1714"/>
      <c r="F61" s="1907"/>
      <c r="G61" s="1908"/>
      <c r="H61" s="1908"/>
      <c r="I61" s="1908"/>
      <c r="J61" s="1908"/>
      <c r="K61" s="1909"/>
      <c r="L61" s="1714"/>
      <c r="M61" s="1714"/>
      <c r="N61" s="1985"/>
      <c r="O61" s="1986"/>
      <c r="P61" s="1986"/>
      <c r="Q61" s="1986"/>
      <c r="R61" s="1986"/>
      <c r="S61" s="1986"/>
      <c r="T61" s="1987"/>
      <c r="U61" s="1712"/>
      <c r="V61" s="1712"/>
      <c r="W61" s="1712"/>
      <c r="X61" s="1712"/>
      <c r="Y61" s="1712"/>
      <c r="Z61" s="1712"/>
      <c r="AA61" s="1712"/>
      <c r="AB61" s="1712"/>
      <c r="AC61" s="1734"/>
      <c r="AD61" s="1734"/>
      <c r="AE61" s="1734"/>
      <c r="AF61" s="1734"/>
      <c r="AG61" s="1734"/>
      <c r="AH61" s="1734"/>
      <c r="AI61" s="1734"/>
      <c r="AJ61" s="1734"/>
      <c r="AK61" s="1734"/>
      <c r="AL61" s="1734"/>
      <c r="AM61" s="1734"/>
      <c r="AN61" s="1734"/>
      <c r="AO61" s="1734"/>
      <c r="AP61" s="1734"/>
      <c r="AQ61" s="1968"/>
      <c r="AR61" s="2001"/>
      <c r="AS61" s="1734"/>
      <c r="AT61" s="1734"/>
      <c r="AU61" s="1734"/>
      <c r="AV61" s="1734"/>
      <c r="AW61" s="1734"/>
      <c r="AX61" s="1734"/>
      <c r="AY61" s="1734"/>
      <c r="AZ61" s="1734"/>
      <c r="BA61" s="1734"/>
      <c r="BB61" s="1734"/>
      <c r="BC61" s="1734"/>
      <c r="BD61" s="1734"/>
      <c r="BE61" s="1734"/>
      <c r="BF61" s="1918"/>
      <c r="BG61" s="1734"/>
      <c r="BH61" s="1734"/>
      <c r="BI61" s="1734"/>
      <c r="BJ61" s="1734"/>
      <c r="BK61" s="1734"/>
      <c r="BL61" s="1712"/>
      <c r="BM61" s="1712"/>
      <c r="BN61" s="1712"/>
    </row>
    <row r="62" spans="1:66" ht="20.25" x14ac:dyDescent="0.25">
      <c r="A62" s="1714"/>
      <c r="B62" s="1714"/>
      <c r="C62" s="1743"/>
      <c r="D62" s="2003"/>
      <c r="F62" s="1907"/>
      <c r="G62" s="1908"/>
      <c r="H62" s="1908"/>
      <c r="I62" s="1908"/>
      <c r="J62" s="1908"/>
      <c r="K62" s="1909"/>
      <c r="L62" s="1714"/>
      <c r="M62" s="1714"/>
      <c r="N62" s="1985"/>
      <c r="O62" s="1986"/>
      <c r="P62" s="1986"/>
      <c r="Q62" s="1986"/>
      <c r="R62" s="1986"/>
      <c r="S62" s="1986"/>
      <c r="T62" s="1987"/>
      <c r="U62" s="1712"/>
      <c r="V62" s="1712"/>
      <c r="W62" s="1712"/>
      <c r="X62" s="1712"/>
      <c r="Y62" s="1712"/>
      <c r="Z62" s="1712"/>
      <c r="AA62" s="1712"/>
      <c r="AB62" s="1712"/>
      <c r="AC62" s="1734"/>
      <c r="AD62" s="1734"/>
      <c r="AE62" s="1734"/>
      <c r="AF62" s="1734"/>
      <c r="AG62" s="1734"/>
      <c r="AH62" s="1734"/>
      <c r="AI62" s="1734"/>
      <c r="AJ62" s="1734"/>
      <c r="AK62" s="1734"/>
      <c r="AL62" s="1734"/>
      <c r="AM62" s="1734"/>
      <c r="AN62" s="1734"/>
      <c r="AO62" s="1734"/>
      <c r="AP62" s="1734"/>
      <c r="AQ62" s="2001"/>
      <c r="AR62" s="1980"/>
      <c r="AS62" s="1734"/>
      <c r="AT62" s="1734"/>
      <c r="AU62" s="1734"/>
      <c r="AV62" s="1734"/>
      <c r="AW62" s="1734"/>
      <c r="AX62" s="1734"/>
      <c r="AY62" s="1734"/>
      <c r="AZ62" s="1734"/>
      <c r="BA62" s="1734"/>
      <c r="BB62" s="1734"/>
      <c r="BC62" s="1734"/>
      <c r="BD62" s="1734"/>
      <c r="BE62" s="1734"/>
      <c r="BF62" s="1918"/>
      <c r="BG62" s="1734"/>
      <c r="BH62" s="1734"/>
      <c r="BI62" s="1734"/>
      <c r="BJ62" s="1734"/>
      <c r="BK62" s="1734"/>
      <c r="BL62" s="1712"/>
      <c r="BM62" s="1712"/>
      <c r="BN62" s="1712"/>
    </row>
    <row r="63" spans="1:66" ht="21" thickBot="1" x14ac:dyDescent="0.3">
      <c r="A63" s="1714"/>
      <c r="B63" s="1714"/>
      <c r="C63" s="1743"/>
      <c r="D63" s="1996"/>
      <c r="E63" s="1750"/>
      <c r="F63" s="1907"/>
      <c r="G63" s="1908"/>
      <c r="H63" s="1908"/>
      <c r="I63" s="1908"/>
      <c r="J63" s="1908"/>
      <c r="K63" s="1909"/>
      <c r="L63" s="1714"/>
      <c r="M63" s="1714"/>
      <c r="N63" s="2004"/>
      <c r="O63" s="2005"/>
      <c r="P63" s="2005"/>
      <c r="Q63" s="2005"/>
      <c r="R63" s="2005"/>
      <c r="S63" s="2005"/>
      <c r="T63" s="2006"/>
      <c r="U63" s="1743"/>
      <c r="V63" s="1743"/>
      <c r="W63" s="1743"/>
      <c r="X63" s="1743"/>
      <c r="Y63" s="1743"/>
      <c r="Z63" s="2007"/>
      <c r="AA63" s="2007"/>
      <c r="AB63" s="2007"/>
      <c r="AC63" s="1793"/>
      <c r="AD63" s="1734"/>
      <c r="AE63" s="1734"/>
      <c r="AF63" s="1734"/>
      <c r="AG63" s="1734"/>
      <c r="AH63" s="1734"/>
      <c r="AI63" s="1734"/>
      <c r="AJ63" s="1734"/>
      <c r="AK63" s="1734"/>
      <c r="AL63" s="1734"/>
      <c r="AM63" s="1734"/>
      <c r="AN63" s="1734"/>
      <c r="AO63" s="1734"/>
      <c r="AP63" s="1734"/>
      <c r="AQ63" s="2001"/>
      <c r="AR63" s="1980"/>
      <c r="AS63" s="1734"/>
      <c r="AT63" s="1734"/>
      <c r="AU63" s="1734"/>
      <c r="AV63" s="1734"/>
      <c r="AW63" s="1734"/>
      <c r="AX63" s="1734"/>
      <c r="AY63" s="1734"/>
      <c r="AZ63" s="1734"/>
      <c r="BA63" s="1734"/>
      <c r="BB63" s="1734"/>
      <c r="BC63" s="1734"/>
      <c r="BD63" s="1734"/>
      <c r="BE63" s="1734"/>
      <c r="BF63" s="1918"/>
      <c r="BG63" s="1734"/>
      <c r="BH63" s="1734"/>
      <c r="BI63" s="1734"/>
      <c r="BJ63" s="1734"/>
      <c r="BK63" s="1734"/>
      <c r="BL63" s="1712"/>
      <c r="BM63" s="1712"/>
      <c r="BN63" s="1712"/>
    </row>
    <row r="64" spans="1:66" ht="21" thickBot="1" x14ac:dyDescent="0.3">
      <c r="A64" s="1714"/>
      <c r="B64" s="1714"/>
      <c r="C64" s="1743"/>
      <c r="D64" s="1996"/>
      <c r="E64" s="1750"/>
      <c r="F64" s="2008"/>
      <c r="G64" s="2009"/>
      <c r="H64" s="2009"/>
      <c r="I64" s="2009"/>
      <c r="J64" s="2009"/>
      <c r="K64" s="2010"/>
      <c r="L64" s="1743"/>
      <c r="M64" s="1743"/>
      <c r="N64" s="1743"/>
      <c r="O64" s="1743"/>
      <c r="P64" s="1743"/>
      <c r="Q64" s="1743"/>
      <c r="R64" s="1743"/>
      <c r="S64" s="1743"/>
      <c r="T64" s="1743"/>
      <c r="U64" s="1743"/>
      <c r="V64" s="1743"/>
      <c r="W64" s="1743"/>
      <c r="X64" s="1743"/>
      <c r="Y64" s="1743"/>
      <c r="Z64" s="2011"/>
      <c r="AA64" s="1793"/>
      <c r="AB64" s="2007"/>
      <c r="AC64" s="2012"/>
      <c r="AD64" s="1734"/>
      <c r="AE64" s="1734"/>
      <c r="AF64" s="1734"/>
      <c r="AG64" s="1734"/>
      <c r="AH64" s="1734"/>
      <c r="AI64" s="2013"/>
      <c r="AJ64" s="1734"/>
      <c r="AK64" s="2014"/>
      <c r="AL64" s="2014"/>
      <c r="AM64" s="1740"/>
      <c r="AN64" s="2014"/>
      <c r="AO64" s="2015"/>
      <c r="AP64" s="2016"/>
      <c r="AQ64" s="1740"/>
      <c r="AR64" s="1975"/>
      <c r="AS64" s="1734"/>
      <c r="AT64" s="1734"/>
      <c r="AU64" s="1734"/>
      <c r="AV64" s="1734"/>
      <c r="AW64" s="1734"/>
      <c r="AX64" s="1734"/>
      <c r="AY64" s="1734"/>
      <c r="AZ64" s="1734"/>
      <c r="BA64" s="1734"/>
      <c r="BB64" s="1734"/>
      <c r="BC64" s="1734"/>
      <c r="BD64" s="1734"/>
      <c r="BE64" s="2017"/>
      <c r="BF64" s="1918"/>
      <c r="BG64" s="1734"/>
      <c r="BH64" s="1734"/>
      <c r="BI64" s="1734"/>
      <c r="BJ64" s="1734"/>
      <c r="BK64" s="1734"/>
      <c r="BL64" s="1712"/>
      <c r="BM64" s="1712"/>
      <c r="BN64" s="1712"/>
    </row>
    <row r="65" spans="1:66" ht="20.25" x14ac:dyDescent="0.25">
      <c r="A65" s="1714"/>
      <c r="B65" s="1714"/>
      <c r="C65" s="1743"/>
      <c r="D65" s="1996"/>
      <c r="E65" s="1750"/>
      <c r="F65" s="1712"/>
      <c r="G65" s="1712"/>
      <c r="H65" s="1712"/>
      <c r="I65" s="1743"/>
      <c r="J65" s="1743"/>
      <c r="K65" s="1743"/>
      <c r="L65" s="1743"/>
      <c r="M65" s="1743"/>
      <c r="N65" s="1743"/>
      <c r="O65" s="1743"/>
      <c r="P65" s="1743"/>
      <c r="Q65" s="1743"/>
      <c r="R65" s="1743"/>
      <c r="S65" s="1743"/>
      <c r="T65" s="1743"/>
      <c r="U65" s="1743"/>
      <c r="V65" s="1743"/>
      <c r="W65" s="1743"/>
      <c r="X65" s="1743"/>
      <c r="Y65" s="1743"/>
      <c r="Z65" s="2011"/>
      <c r="AA65" s="2018"/>
      <c r="AB65" s="2007"/>
      <c r="AC65" s="2012"/>
      <c r="AD65" s="1734"/>
      <c r="AE65" s="1734"/>
      <c r="AF65" s="1734"/>
      <c r="AG65" s="1734"/>
      <c r="AH65" s="1734"/>
      <c r="AI65" s="1734"/>
      <c r="AJ65" s="2019"/>
      <c r="AK65" s="1734"/>
      <c r="AL65" s="1734"/>
      <c r="AM65" s="1734"/>
      <c r="AN65" s="1734"/>
      <c r="AO65" s="1734"/>
      <c r="AP65" s="1734"/>
      <c r="AQ65" s="1734"/>
      <c r="AR65" s="1734"/>
      <c r="AS65" s="1734"/>
      <c r="AT65" s="1734"/>
      <c r="AU65" s="1734"/>
      <c r="AV65" s="1734"/>
      <c r="AW65" s="1734"/>
      <c r="AX65" s="1734"/>
      <c r="AY65" s="1734"/>
      <c r="AZ65" s="1734"/>
      <c r="BA65" s="1734"/>
      <c r="BB65" s="1734"/>
      <c r="BC65" s="1734"/>
      <c r="BD65" s="1734"/>
      <c r="BE65" s="2020"/>
      <c r="BF65" s="1918"/>
      <c r="BG65" s="1734"/>
      <c r="BH65" s="1734"/>
      <c r="BI65" s="1734"/>
      <c r="BJ65" s="1734"/>
      <c r="BK65" s="1734"/>
      <c r="BL65" s="1712"/>
      <c r="BM65" s="1712"/>
      <c r="BN65" s="1712"/>
    </row>
    <row r="66" spans="1:66" ht="20.25" x14ac:dyDescent="0.25">
      <c r="A66" s="1714"/>
      <c r="B66" s="1714"/>
      <c r="C66" s="1743"/>
      <c r="D66" s="1996"/>
      <c r="E66" s="1750"/>
      <c r="F66" s="1712"/>
      <c r="G66" s="1712"/>
      <c r="H66" s="1712"/>
      <c r="I66" s="1743"/>
      <c r="J66" s="1743"/>
      <c r="K66" s="1743"/>
      <c r="L66" s="1743"/>
      <c r="M66" s="1743"/>
      <c r="N66" s="1743"/>
      <c r="O66" s="1743"/>
      <c r="P66" s="1743"/>
      <c r="Q66" s="1743"/>
      <c r="R66" s="1743"/>
      <c r="S66" s="1743"/>
      <c r="T66" s="1743"/>
      <c r="U66" s="1743"/>
      <c r="V66" s="1743"/>
      <c r="W66" s="1714"/>
      <c r="X66" s="1714"/>
      <c r="Y66" s="1714"/>
      <c r="Z66" s="2011"/>
      <c r="AA66" s="2021"/>
      <c r="AB66" s="2007"/>
      <c r="AC66" s="2012"/>
      <c r="AD66" s="2022"/>
      <c r="AE66" s="1734"/>
      <c r="AF66" s="1946"/>
      <c r="AG66" s="1721"/>
      <c r="AH66" s="1992"/>
      <c r="AI66" s="2019"/>
      <c r="AJ66" s="1922"/>
      <c r="AK66" s="1922"/>
      <c r="AL66" s="1922"/>
      <c r="AM66" s="1922"/>
      <c r="AN66" s="1922"/>
      <c r="AO66" s="1922"/>
      <c r="AP66" s="1734"/>
      <c r="AQ66" s="1734"/>
      <c r="AR66" s="1734"/>
      <c r="AS66" s="1734"/>
      <c r="AT66" s="1734"/>
      <c r="AU66" s="1734"/>
      <c r="AV66" s="1734"/>
      <c r="AW66" s="1734"/>
      <c r="AX66" s="1734"/>
      <c r="AY66" s="1734"/>
      <c r="AZ66" s="1734"/>
      <c r="BA66" s="1734"/>
      <c r="BB66" s="1734"/>
      <c r="BC66" s="1734"/>
      <c r="BD66" s="1734"/>
      <c r="BE66" s="2023"/>
      <c r="BF66" s="1918"/>
      <c r="BG66" s="1734"/>
      <c r="BH66" s="1734"/>
      <c r="BI66" s="1734"/>
      <c r="BJ66" s="1734"/>
      <c r="BK66" s="1734"/>
      <c r="BL66" s="1712"/>
      <c r="BM66" s="1712"/>
      <c r="BN66" s="1712"/>
    </row>
    <row r="67" spans="1:66" ht="20.25" x14ac:dyDescent="0.25">
      <c r="A67" s="1714"/>
      <c r="B67" s="1714"/>
      <c r="C67" s="1714"/>
      <c r="D67" s="1996"/>
      <c r="E67" s="1750"/>
      <c r="F67" s="1712"/>
      <c r="G67" s="1712"/>
      <c r="H67" s="1712"/>
      <c r="I67" s="1743"/>
      <c r="J67" s="1743"/>
      <c r="K67" s="1743"/>
      <c r="L67" s="1743"/>
      <c r="M67" s="1743"/>
      <c r="N67" s="1743"/>
      <c r="O67" s="1743"/>
      <c r="P67" s="1743"/>
      <c r="Q67" s="1743"/>
      <c r="R67" s="1743"/>
      <c r="S67" s="1743"/>
      <c r="T67" s="1743"/>
      <c r="U67" s="1743"/>
      <c r="V67" s="1743"/>
      <c r="W67" s="1714"/>
      <c r="X67" s="1714"/>
      <c r="Y67" s="1714"/>
      <c r="Z67" s="2024"/>
      <c r="AA67" s="2021"/>
      <c r="AB67" s="2007"/>
      <c r="AC67" s="2012"/>
      <c r="AD67" s="1734"/>
      <c r="AE67" s="1946"/>
      <c r="AF67" s="1721"/>
      <c r="AG67" s="1992"/>
      <c r="AH67" s="2019"/>
      <c r="AI67" s="1922"/>
      <c r="AJ67" s="1922"/>
      <c r="AK67" s="1922"/>
      <c r="AL67" s="1922"/>
      <c r="AM67" s="1922"/>
      <c r="AN67" s="1922"/>
      <c r="AO67" s="1922"/>
      <c r="AP67" s="1734"/>
      <c r="AQ67" s="1734"/>
      <c r="AR67" s="1734"/>
      <c r="AS67" s="1734"/>
      <c r="AT67" s="1734"/>
      <c r="AU67" s="1734"/>
      <c r="AV67" s="1734"/>
      <c r="AW67" s="1734"/>
      <c r="AX67" s="1734"/>
      <c r="AY67" s="1734"/>
      <c r="AZ67" s="1734"/>
      <c r="BA67" s="1734"/>
      <c r="BB67" s="1734"/>
      <c r="BC67" s="1734"/>
      <c r="BD67" s="1734"/>
      <c r="BE67" s="2020"/>
      <c r="BF67" s="1918"/>
      <c r="BG67" s="1734"/>
      <c r="BH67" s="1734"/>
      <c r="BI67" s="1734"/>
      <c r="BJ67" s="1734"/>
      <c r="BK67" s="1734"/>
      <c r="BL67" s="1712"/>
      <c r="BM67" s="1712"/>
      <c r="BN67" s="1712"/>
    </row>
    <row r="68" spans="1:66" ht="20.25" x14ac:dyDescent="0.25">
      <c r="A68" s="1714"/>
      <c r="B68" s="1714"/>
      <c r="C68" s="1714"/>
      <c r="D68" s="1996"/>
      <c r="E68" s="1750"/>
      <c r="F68" s="1712"/>
      <c r="G68" s="1712"/>
      <c r="H68" s="1712"/>
      <c r="I68" s="1743"/>
      <c r="J68" s="1743"/>
      <c r="K68" s="1743"/>
      <c r="L68" s="1743"/>
      <c r="M68" s="1743"/>
      <c r="N68" s="1743"/>
      <c r="O68" s="1743"/>
      <c r="P68" s="1743"/>
      <c r="Q68" s="1743"/>
      <c r="R68" s="1743"/>
      <c r="S68" s="1743"/>
      <c r="T68" s="1743"/>
      <c r="U68" s="1743"/>
      <c r="V68" s="1743"/>
      <c r="W68" s="1714"/>
      <c r="X68" s="1714"/>
      <c r="Y68" s="1714"/>
      <c r="Z68" s="1793"/>
      <c r="AA68" s="2024"/>
      <c r="AB68" s="2007"/>
      <c r="AC68" s="2012"/>
      <c r="AD68" s="1946"/>
      <c r="AE68" s="1721"/>
      <c r="AF68" s="1992"/>
      <c r="AG68" s="2019"/>
      <c r="AH68" s="1922"/>
      <c r="AI68" s="1922"/>
      <c r="AJ68" s="1922"/>
      <c r="AK68" s="1922"/>
      <c r="AL68" s="1922"/>
      <c r="AM68" s="1922"/>
      <c r="AN68" s="1922"/>
      <c r="AO68" s="1922"/>
      <c r="AP68" s="1734"/>
      <c r="AQ68" s="1734"/>
      <c r="AR68" s="1734"/>
      <c r="AS68" s="1734"/>
      <c r="AT68" s="1734"/>
      <c r="AU68" s="1734"/>
      <c r="AV68" s="1734"/>
      <c r="AW68" s="1734"/>
      <c r="AX68" s="1734"/>
      <c r="AY68" s="1734"/>
      <c r="AZ68" s="1734"/>
      <c r="BA68" s="1734"/>
      <c r="BB68" s="1734"/>
      <c r="BC68" s="1734"/>
      <c r="BD68" s="1734"/>
      <c r="BE68" s="2020"/>
      <c r="BF68" s="1918"/>
      <c r="BG68" s="1734"/>
      <c r="BH68" s="1734"/>
      <c r="BI68" s="1734"/>
      <c r="BJ68" s="1734"/>
      <c r="BK68" s="1734"/>
      <c r="BL68" s="1712"/>
      <c r="BM68" s="1712"/>
      <c r="BN68" s="1712"/>
    </row>
    <row r="69" spans="1:66" ht="20.25" x14ac:dyDescent="0.25">
      <c r="A69" s="1714"/>
      <c r="B69" s="1714"/>
      <c r="C69" s="1714"/>
      <c r="D69" s="1996"/>
      <c r="E69" s="1750"/>
      <c r="F69" s="2025"/>
      <c r="G69" s="1743"/>
      <c r="H69" s="1743"/>
      <c r="I69" s="1743"/>
      <c r="J69" s="1743"/>
      <c r="K69" s="1743"/>
      <c r="L69" s="1743"/>
      <c r="M69" s="1743"/>
      <c r="N69" s="1743"/>
      <c r="O69" s="1743"/>
      <c r="P69" s="1743"/>
      <c r="Q69" s="1743"/>
      <c r="R69" s="1743"/>
      <c r="S69" s="1743"/>
      <c r="T69" s="1743"/>
      <c r="U69" s="1743"/>
      <c r="V69" s="1743"/>
      <c r="W69" s="1714"/>
      <c r="X69" s="1714"/>
      <c r="Y69" s="1714"/>
      <c r="Z69" s="2007"/>
      <c r="AA69" s="2007"/>
      <c r="AB69" s="2007"/>
      <c r="AC69" s="1734"/>
      <c r="AD69" s="1721"/>
      <c r="AE69" s="1992"/>
      <c r="AF69" s="2019"/>
      <c r="AG69" s="1922"/>
      <c r="AH69" s="1922"/>
      <c r="AI69" s="1734"/>
      <c r="AJ69" s="1734"/>
      <c r="AK69" s="1734"/>
      <c r="AL69" s="1734"/>
      <c r="AM69" s="1734"/>
      <c r="AN69" s="1734"/>
      <c r="AO69" s="1734"/>
      <c r="AP69" s="1734"/>
      <c r="AQ69" s="1734"/>
      <c r="AR69" s="1734"/>
      <c r="AS69" s="1734"/>
      <c r="AT69" s="1734"/>
      <c r="AU69" s="1734"/>
      <c r="AV69" s="1734"/>
      <c r="AW69" s="1734"/>
      <c r="AX69" s="1734"/>
      <c r="AY69" s="1734"/>
      <c r="AZ69" s="1734"/>
      <c r="BA69" s="1734"/>
      <c r="BB69" s="1734"/>
      <c r="BC69" s="1734"/>
      <c r="BD69" s="1734"/>
      <c r="BE69" s="2020"/>
      <c r="BF69" s="1918"/>
      <c r="BG69" s="1734"/>
      <c r="BH69" s="1734"/>
      <c r="BI69" s="1734"/>
      <c r="BJ69" s="1734"/>
      <c r="BK69" s="1734"/>
      <c r="BL69" s="1712"/>
      <c r="BM69" s="1712"/>
      <c r="BN69" s="1712"/>
    </row>
    <row r="70" spans="1:66" ht="21" x14ac:dyDescent="0.25">
      <c r="A70" s="1714"/>
      <c r="B70" s="1714"/>
      <c r="C70" s="1714"/>
      <c r="D70" s="1996"/>
      <c r="E70" s="1750"/>
      <c r="F70" s="2025"/>
      <c r="G70" s="1743"/>
      <c r="H70" s="1743"/>
      <c r="I70" s="1743"/>
      <c r="J70" s="1743"/>
      <c r="K70" s="1743"/>
      <c r="L70" s="1743"/>
      <c r="M70" s="1743"/>
      <c r="N70" s="1743"/>
      <c r="O70" s="1743"/>
      <c r="P70" s="1743"/>
      <c r="Q70" s="1743"/>
      <c r="R70" s="1743"/>
      <c r="S70" s="1743"/>
      <c r="T70" s="1743"/>
      <c r="U70" s="1743"/>
      <c r="V70" s="1743"/>
      <c r="W70" s="1714"/>
      <c r="X70" s="1714"/>
      <c r="Y70" s="1714"/>
      <c r="Z70" s="2007"/>
      <c r="AA70" s="2007"/>
      <c r="AB70" s="1793"/>
      <c r="AC70" s="1734"/>
      <c r="AD70" s="1992"/>
      <c r="AE70" s="2019"/>
      <c r="AF70" s="1922"/>
      <c r="AG70" s="1734"/>
      <c r="AH70" s="1734"/>
      <c r="AI70" s="1734"/>
      <c r="AJ70" s="1734"/>
      <c r="AK70" s="1734"/>
      <c r="AL70" s="1734"/>
      <c r="AM70" s="1734"/>
      <c r="AN70" s="1714"/>
      <c r="AO70" s="1714"/>
      <c r="AP70" s="1734"/>
      <c r="AQ70" s="1734"/>
      <c r="AR70" s="2026"/>
      <c r="AS70" s="2026"/>
      <c r="AT70" s="1734"/>
      <c r="AU70" s="1734"/>
      <c r="AV70" s="1734"/>
      <c r="AW70" s="1734"/>
      <c r="AX70" s="1734"/>
      <c r="AY70" s="1734"/>
      <c r="AZ70" s="1734"/>
      <c r="BA70" s="1734"/>
      <c r="BB70" s="1734"/>
      <c r="BC70" s="1734"/>
      <c r="BD70" s="1734"/>
      <c r="BE70" s="2027"/>
      <c r="BF70" s="1918"/>
      <c r="BG70" s="1734"/>
      <c r="BH70" s="1734"/>
      <c r="BI70" s="1734"/>
      <c r="BJ70" s="1734"/>
      <c r="BK70" s="1734"/>
      <c r="BL70" s="1712"/>
      <c r="BM70" s="1712"/>
      <c r="BN70" s="1712"/>
    </row>
    <row r="71" spans="1:66" ht="21.75" thickBot="1" x14ac:dyDescent="0.3">
      <c r="A71" s="1714"/>
      <c r="B71" s="1714"/>
      <c r="C71" s="2028"/>
      <c r="D71" s="1750"/>
      <c r="E71" s="1743"/>
      <c r="F71" s="2029"/>
      <c r="G71" s="2029"/>
      <c r="H71" s="2029"/>
      <c r="I71" s="2029"/>
      <c r="J71" s="2029"/>
      <c r="K71" s="2029"/>
      <c r="L71" s="1743"/>
      <c r="M71" s="1743"/>
      <c r="N71" s="1743"/>
      <c r="O71" s="1743"/>
      <c r="P71" s="1743"/>
      <c r="Q71" s="1743"/>
      <c r="R71" s="1743"/>
      <c r="S71" s="1743"/>
      <c r="T71" s="1743"/>
      <c r="U71" s="1743"/>
      <c r="V71" s="1743"/>
      <c r="W71" s="1922"/>
      <c r="X71" s="1922"/>
      <c r="Y71" s="1922"/>
      <c r="Z71" s="1922"/>
      <c r="AA71" s="1946"/>
      <c r="AB71" s="1721"/>
      <c r="AC71" s="1992"/>
      <c r="AD71" s="2019"/>
      <c r="AE71" s="1922"/>
      <c r="AF71" s="1922"/>
      <c r="AG71" s="1922"/>
      <c r="AH71" s="1734"/>
      <c r="AI71" s="1734"/>
      <c r="AJ71" s="1734"/>
      <c r="AK71" s="1734"/>
      <c r="AL71" s="1734"/>
      <c r="AM71" s="1734"/>
      <c r="AN71" s="1714"/>
      <c r="AO71" s="1714"/>
      <c r="AP71" s="1734"/>
      <c r="AQ71" s="1734"/>
      <c r="AR71" s="2026"/>
      <c r="AS71" s="2026"/>
      <c r="AT71" s="1734"/>
      <c r="AU71" s="1734"/>
      <c r="AV71" s="1734"/>
      <c r="AW71" s="1734"/>
      <c r="AX71" s="1734"/>
      <c r="AY71" s="1734"/>
      <c r="AZ71" s="1734"/>
      <c r="BA71" s="1734"/>
      <c r="BB71" s="1734"/>
      <c r="BC71" s="1734"/>
      <c r="BD71" s="1734"/>
      <c r="BE71" s="2030"/>
      <c r="BF71" s="1918"/>
      <c r="BG71" s="1734"/>
      <c r="BH71" s="1734"/>
      <c r="BI71" s="1734"/>
      <c r="BJ71" s="1734"/>
      <c r="BK71" s="1734"/>
      <c r="BL71" s="1712"/>
      <c r="BM71" s="1712"/>
      <c r="BN71" s="1712"/>
    </row>
    <row r="72" spans="1:66" ht="21" x14ac:dyDescent="0.25">
      <c r="A72" s="1714"/>
      <c r="B72" s="1714"/>
      <c r="C72" s="1714"/>
      <c r="D72" s="2031"/>
      <c r="E72" s="2031"/>
      <c r="F72" s="1714"/>
      <c r="G72" s="1714"/>
      <c r="H72" s="1714"/>
      <c r="I72" s="1714"/>
      <c r="J72" s="2031"/>
      <c r="K72" s="2032"/>
      <c r="L72" s="1743"/>
      <c r="M72" s="1743"/>
      <c r="N72" s="1743"/>
      <c r="O72" s="1743"/>
      <c r="P72" s="1743"/>
      <c r="Q72" s="1743"/>
      <c r="R72" s="1743"/>
      <c r="S72" s="1743"/>
      <c r="T72" s="1743"/>
      <c r="U72" s="1743"/>
      <c r="V72" s="1743"/>
      <c r="W72" s="1734"/>
      <c r="X72" s="1734"/>
      <c r="Y72" s="1734"/>
      <c r="Z72" s="1734"/>
      <c r="AA72" s="1721"/>
      <c r="AB72" s="1992"/>
      <c r="AC72" s="1963"/>
      <c r="AD72" s="1734"/>
      <c r="AE72" s="1734"/>
      <c r="AF72" s="1734"/>
      <c r="AG72" s="1734"/>
      <c r="AH72" s="1734"/>
      <c r="AI72" s="1734"/>
      <c r="AJ72" s="1734"/>
      <c r="AK72" s="1734"/>
      <c r="AL72" s="1734"/>
      <c r="AM72" s="1734"/>
      <c r="AN72" s="1714"/>
      <c r="AO72" s="1714"/>
      <c r="AP72" s="1734"/>
      <c r="AQ72" s="1734"/>
      <c r="AR72" s="2026"/>
      <c r="AS72" s="2026"/>
      <c r="AT72" s="1734"/>
      <c r="AU72" s="1734"/>
      <c r="AV72" s="1734"/>
      <c r="AW72" s="1734"/>
      <c r="AX72" s="1734"/>
      <c r="AY72" s="1734"/>
      <c r="AZ72" s="1734"/>
      <c r="BA72" s="1734"/>
      <c r="BB72" s="1734"/>
      <c r="BC72" s="1734"/>
      <c r="BD72" s="1734"/>
      <c r="BE72" s="2033"/>
      <c r="BF72" s="1918"/>
      <c r="BG72" s="1734"/>
      <c r="BH72" s="1734"/>
      <c r="BI72" s="1734"/>
      <c r="BJ72" s="1734"/>
      <c r="BK72" s="1734"/>
      <c r="BL72" s="1712"/>
      <c r="BM72" s="1712"/>
      <c r="BN72" s="1712"/>
    </row>
    <row r="73" spans="1:66" ht="21.75" thickBot="1" x14ac:dyDescent="0.3">
      <c r="A73" s="1714"/>
      <c r="B73" s="1714"/>
      <c r="C73" s="1714"/>
      <c r="D73" s="1714"/>
      <c r="E73" s="1714"/>
      <c r="F73" s="1714"/>
      <c r="G73" s="1714"/>
      <c r="H73" s="1714"/>
      <c r="I73" s="1714"/>
      <c r="J73" s="1714"/>
      <c r="K73" s="2028"/>
      <c r="L73" s="1743"/>
      <c r="M73" s="1743"/>
      <c r="N73" s="1743"/>
      <c r="O73" s="1743"/>
      <c r="P73" s="1743"/>
      <c r="Q73" s="1743"/>
      <c r="R73" s="1743"/>
      <c r="S73" s="1743"/>
      <c r="T73" s="1743"/>
      <c r="U73" s="1743"/>
      <c r="V73" s="1743"/>
      <c r="W73" s="2014"/>
      <c r="X73" s="2014"/>
      <c r="Y73" s="2014"/>
      <c r="Z73" s="2014"/>
      <c r="AA73" s="2014"/>
      <c r="AB73" s="2034"/>
      <c r="AC73" s="2014"/>
      <c r="AD73" s="2014"/>
      <c r="AE73" s="2014"/>
      <c r="AF73" s="1922"/>
      <c r="AG73" s="1922"/>
      <c r="AH73" s="1922"/>
      <c r="AI73" s="1922"/>
      <c r="AJ73" s="1922"/>
      <c r="AK73" s="2035"/>
      <c r="AL73" s="2035"/>
      <c r="AM73" s="2035"/>
      <c r="AN73" s="1714"/>
      <c r="AO73" s="1714"/>
      <c r="AP73" s="2035"/>
      <c r="AQ73" s="2035"/>
      <c r="AR73" s="2026"/>
      <c r="AS73" s="2026"/>
      <c r="AT73" s="2036"/>
      <c r="AU73" s="2036"/>
      <c r="AV73" s="2036"/>
      <c r="AW73" s="2036"/>
      <c r="AX73" s="1734"/>
      <c r="AY73" s="1734"/>
      <c r="AZ73" s="1948"/>
      <c r="BA73" s="1948"/>
      <c r="BB73" s="1948"/>
      <c r="BC73" s="1948"/>
      <c r="BD73" s="1734"/>
      <c r="BE73" s="1975"/>
      <c r="BF73" s="1918"/>
      <c r="BG73" s="1734"/>
      <c r="BH73" s="1734"/>
      <c r="BI73" s="1734"/>
      <c r="BJ73" s="1734"/>
      <c r="BK73" s="1734"/>
      <c r="BL73" s="1712"/>
      <c r="BM73" s="1712"/>
      <c r="BN73" s="1712"/>
    </row>
    <row r="74" spans="1:66" x14ac:dyDescent="0.25">
      <c r="A74" s="1714"/>
      <c r="B74" s="1714"/>
      <c r="C74" s="1714"/>
      <c r="D74" s="1714"/>
      <c r="E74" s="1714"/>
      <c r="F74" s="1714"/>
      <c r="G74" s="1714"/>
      <c r="H74" s="1714"/>
      <c r="I74" s="1714"/>
      <c r="J74" s="1714"/>
      <c r="K74" s="2028"/>
      <c r="L74" s="1711"/>
      <c r="M74" s="1734"/>
      <c r="N74" s="1734"/>
      <c r="O74" s="1734"/>
      <c r="P74" s="1922"/>
      <c r="Q74" s="1922"/>
      <c r="R74" s="1922"/>
      <c r="S74" s="1922"/>
      <c r="T74" s="1922"/>
      <c r="U74" s="2037"/>
      <c r="V74" s="1960"/>
      <c r="W74" s="1922"/>
      <c r="X74" s="1922"/>
      <c r="Y74" s="1922"/>
      <c r="Z74" s="1922"/>
      <c r="AA74" s="1922"/>
      <c r="AB74" s="1734"/>
      <c r="AC74" s="1734"/>
      <c r="AD74" s="1734"/>
      <c r="AE74" s="1734"/>
      <c r="AF74" s="2038"/>
      <c r="AG74" s="2038"/>
      <c r="AH74" s="2038"/>
      <c r="AI74" s="2038"/>
      <c r="AJ74" s="2038"/>
      <c r="AK74" s="2039"/>
      <c r="AL74" s="2039"/>
      <c r="AM74" s="2031"/>
      <c r="AN74" s="2031"/>
      <c r="AO74" s="2031"/>
      <c r="AP74" s="2031"/>
      <c r="AQ74" s="2031"/>
      <c r="AR74" s="2031"/>
      <c r="AS74" s="2031"/>
      <c r="AT74" s="2031"/>
      <c r="AU74" s="2038"/>
      <c r="AV74" s="2038"/>
      <c r="AW74" s="2038"/>
      <c r="AX74" s="2038"/>
      <c r="AY74" s="2038"/>
      <c r="AZ74" s="2038"/>
      <c r="BA74" s="2038"/>
      <c r="BB74" s="2038"/>
      <c r="BC74" s="2038"/>
      <c r="BD74" s="2038"/>
      <c r="BE74" s="1734"/>
      <c r="BF74" s="1734"/>
      <c r="BG74" s="1734"/>
      <c r="BH74" s="1734"/>
      <c r="BI74" s="1734"/>
      <c r="BJ74" s="1734"/>
      <c r="BK74" s="1734"/>
      <c r="BL74" s="1712"/>
      <c r="BM74" s="1712"/>
      <c r="BN74" s="1712"/>
    </row>
    <row r="75" spans="1:66" x14ac:dyDescent="0.25">
      <c r="A75" s="1714"/>
      <c r="B75" s="1714"/>
      <c r="C75" s="1714"/>
      <c r="D75" s="1714"/>
      <c r="E75" s="1714"/>
      <c r="F75" s="1714"/>
      <c r="G75" s="1714"/>
      <c r="H75" s="1714"/>
      <c r="I75" s="1714"/>
      <c r="J75" s="1714"/>
      <c r="K75" s="2028"/>
      <c r="L75" s="1711"/>
      <c r="M75" s="1711"/>
      <c r="N75" s="1711"/>
      <c r="O75" s="1711"/>
      <c r="P75" s="1711"/>
      <c r="Q75" s="1711"/>
      <c r="R75" s="1711"/>
      <c r="S75" s="1711"/>
      <c r="T75" s="1711"/>
      <c r="U75" s="1732"/>
      <c r="V75" s="1732"/>
      <c r="W75" s="1711"/>
      <c r="X75" s="1711"/>
      <c r="Y75" s="1711"/>
      <c r="Z75" s="1711"/>
      <c r="AA75" s="1711"/>
      <c r="AB75" s="1711"/>
      <c r="AC75" s="1711"/>
      <c r="AD75" s="1711"/>
      <c r="AE75" s="2040"/>
      <c r="AF75" s="2040"/>
      <c r="AG75" s="2040"/>
      <c r="AH75" s="2040"/>
      <c r="AI75" s="2040"/>
      <c r="AJ75" s="2040"/>
      <c r="AK75" s="2040"/>
      <c r="AL75" s="2040"/>
      <c r="AM75" s="1714"/>
      <c r="AN75" s="1714"/>
      <c r="AO75" s="1714"/>
      <c r="AP75" s="1714"/>
      <c r="AQ75" s="1714"/>
      <c r="AR75" s="1714"/>
      <c r="AS75" s="1714"/>
      <c r="AT75" s="1714"/>
      <c r="AU75" s="2040"/>
      <c r="AV75" s="2040"/>
      <c r="AW75" s="2040"/>
      <c r="AX75" s="2040"/>
      <c r="AY75" s="2040"/>
      <c r="AZ75" s="2040"/>
      <c r="BA75" s="2040"/>
      <c r="BB75" s="2040"/>
      <c r="BC75" s="2040"/>
      <c r="BD75" s="2040"/>
      <c r="BE75" s="2040"/>
      <c r="BF75" s="2040"/>
      <c r="BG75" s="2040"/>
      <c r="BH75" s="2040"/>
      <c r="BI75" s="2040"/>
      <c r="BJ75" s="2040"/>
      <c r="BK75" s="2040"/>
      <c r="BL75" s="1712"/>
      <c r="BM75" s="1712"/>
      <c r="BN75" s="1712"/>
    </row>
    <row r="76" spans="1:66" ht="20.25" x14ac:dyDescent="0.25">
      <c r="A76" s="1714"/>
      <c r="B76" s="1714"/>
      <c r="C76" s="1714"/>
      <c r="D76" s="1714"/>
      <c r="E76" s="1714"/>
      <c r="F76" s="1714"/>
      <c r="G76" s="1714"/>
      <c r="H76" s="1714"/>
      <c r="I76" s="1714"/>
      <c r="J76" s="1714"/>
      <c r="K76" s="2028"/>
      <c r="L76" s="1711"/>
      <c r="M76" s="1711"/>
      <c r="N76" s="1711"/>
      <c r="O76" s="1711"/>
      <c r="P76" s="1711"/>
      <c r="Q76" s="1711"/>
      <c r="R76" s="1711"/>
      <c r="S76" s="1711"/>
      <c r="T76" s="1711"/>
      <c r="U76" s="1732"/>
      <c r="V76" s="1732"/>
      <c r="W76" s="1711"/>
      <c r="X76" s="1711"/>
      <c r="Y76" s="1711"/>
      <c r="Z76" s="1711"/>
      <c r="AA76" s="1711"/>
      <c r="AB76" s="1711"/>
      <c r="AC76" s="1711"/>
      <c r="AD76" s="1711"/>
      <c r="AE76" s="2041"/>
      <c r="AF76" s="2042"/>
      <c r="AG76" s="2040"/>
      <c r="AR76" s="1714"/>
      <c r="AS76" s="1714"/>
      <c r="AT76" s="1714"/>
      <c r="AU76" s="1734"/>
      <c r="AV76" s="1734"/>
      <c r="AW76" s="1734"/>
      <c r="AX76" s="1734"/>
      <c r="AY76" s="1734"/>
      <c r="AZ76" s="1734"/>
      <c r="BA76" s="1734"/>
      <c r="BB76" s="1734"/>
      <c r="BC76" s="1734"/>
      <c r="BD76" s="1734"/>
      <c r="BE76" s="1734"/>
      <c r="BF76" s="1734"/>
      <c r="BG76" s="1734"/>
      <c r="BH76" s="1734"/>
      <c r="BI76" s="1734"/>
      <c r="BJ76" s="1734"/>
      <c r="BK76" s="1734"/>
      <c r="BL76" s="1712"/>
      <c r="BM76" s="1712"/>
      <c r="BN76" s="1712"/>
    </row>
    <row r="77" spans="1:66" ht="20.25" x14ac:dyDescent="0.25">
      <c r="A77" s="1714"/>
      <c r="B77" s="1714"/>
      <c r="C77" s="1714"/>
      <c r="D77" s="1714"/>
      <c r="E77" s="1714"/>
      <c r="F77" s="1714"/>
      <c r="G77" s="1714"/>
      <c r="H77" s="1714"/>
      <c r="I77" s="1714"/>
      <c r="J77" s="1714"/>
      <c r="K77" s="2028"/>
      <c r="L77" s="1711"/>
      <c r="M77" s="1711"/>
      <c r="N77" s="1711"/>
      <c r="O77" s="1711"/>
      <c r="P77" s="1711"/>
      <c r="Q77" s="1711"/>
      <c r="R77" s="1711"/>
      <c r="S77" s="1711"/>
      <c r="T77" s="1711"/>
      <c r="U77" s="1732"/>
      <c r="V77" s="2043"/>
      <c r="W77" s="1778"/>
      <c r="X77" s="1778"/>
      <c r="Y77" s="1778"/>
      <c r="Z77" s="1778"/>
      <c r="AA77" s="1778"/>
      <c r="AB77" s="1778"/>
      <c r="AC77" s="1778"/>
      <c r="AD77" s="1778"/>
      <c r="AE77" s="2044"/>
      <c r="AF77" s="2044"/>
      <c r="AG77" s="1747"/>
      <c r="AH77" s="1747"/>
      <c r="AI77" s="1747"/>
      <c r="AJ77" s="2044"/>
      <c r="AK77" s="2044"/>
      <c r="AL77" s="2044"/>
      <c r="AM77" s="2044"/>
      <c r="AN77" s="2044"/>
      <c r="AO77" s="1760"/>
      <c r="AP77" s="1760"/>
      <c r="AQ77" s="1760"/>
      <c r="AR77" s="1788"/>
      <c r="AS77" s="1714"/>
      <c r="AT77" s="1714"/>
      <c r="AU77" s="1734"/>
      <c r="AV77" s="1734"/>
      <c r="AW77" s="1734"/>
      <c r="AX77" s="1734"/>
      <c r="AY77" s="1734"/>
      <c r="AZ77" s="1734"/>
      <c r="BA77" s="1734"/>
      <c r="BB77" s="1734"/>
      <c r="BC77" s="1734"/>
      <c r="BD77" s="1734"/>
      <c r="BE77" s="1734"/>
      <c r="BF77" s="1734"/>
      <c r="BG77" s="1734"/>
      <c r="BH77" s="1734"/>
      <c r="BI77" s="1734"/>
      <c r="BJ77" s="1734"/>
      <c r="BK77" s="1734"/>
      <c r="BL77" s="1712"/>
      <c r="BM77" s="1712"/>
      <c r="BN77" s="1712"/>
    </row>
    <row r="78" spans="1:66" ht="15.75" thickBot="1" x14ac:dyDescent="0.3">
      <c r="A78" s="1714"/>
      <c r="B78" s="1714"/>
      <c r="C78" s="1743"/>
      <c r="D78" s="1743"/>
      <c r="E78" s="1743"/>
      <c r="F78" s="1743"/>
      <c r="G78" s="1743"/>
      <c r="H78" s="1743"/>
      <c r="I78" s="1743"/>
      <c r="J78" s="1743"/>
      <c r="K78" s="1744"/>
      <c r="L78" s="1711"/>
      <c r="M78" s="1711"/>
      <c r="N78" s="1711"/>
      <c r="O78" s="1711"/>
      <c r="P78" s="1711"/>
      <c r="Q78" s="1711"/>
      <c r="R78" s="1711"/>
      <c r="S78" s="1711"/>
      <c r="T78" s="1711"/>
      <c r="U78" s="2045"/>
      <c r="V78" s="2046"/>
      <c r="W78" s="2047"/>
      <c r="X78" s="2047"/>
      <c r="Y78" s="2047"/>
      <c r="Z78" s="2047"/>
      <c r="AA78" s="2047"/>
      <c r="AB78" s="2048"/>
      <c r="AC78" s="2048"/>
      <c r="AD78" s="2049"/>
      <c r="AE78" s="2049"/>
      <c r="AF78" s="2050"/>
      <c r="AG78" s="2050"/>
      <c r="AH78" s="2050"/>
      <c r="AI78" s="2050"/>
      <c r="AJ78" s="2050"/>
      <c r="AK78" s="2050"/>
      <c r="AL78" s="2050"/>
      <c r="AM78" s="2050"/>
      <c r="AN78" s="2050"/>
      <c r="AO78" s="2050"/>
      <c r="AP78" s="2050"/>
      <c r="AQ78" s="2050"/>
      <c r="AR78" s="2051"/>
      <c r="AS78" s="2052"/>
      <c r="AT78" s="2052"/>
      <c r="AU78" s="2053"/>
      <c r="AV78" s="2054"/>
      <c r="AW78" s="2054"/>
      <c r="AX78" s="2054"/>
      <c r="AY78" s="2054"/>
      <c r="AZ78" s="2054"/>
      <c r="BA78" s="2054"/>
      <c r="BB78" s="2054"/>
      <c r="BC78" s="2054"/>
      <c r="BD78" s="2054"/>
      <c r="BE78" s="2054"/>
      <c r="BF78" s="2054"/>
      <c r="BG78" s="2054"/>
      <c r="BH78" s="2054"/>
      <c r="BI78" s="2054"/>
      <c r="BJ78" s="2054"/>
      <c r="BK78" s="2054"/>
      <c r="BL78" s="2055"/>
      <c r="BM78" s="2055"/>
      <c r="BN78" s="1712"/>
    </row>
    <row r="79" spans="1:66" ht="15.75" x14ac:dyDescent="0.25">
      <c r="A79" s="1714"/>
      <c r="B79" s="1714"/>
      <c r="C79" s="1743"/>
      <c r="D79" s="1743"/>
      <c r="E79" s="1743"/>
      <c r="F79" s="1743"/>
      <c r="G79" s="1743"/>
      <c r="H79" s="1743"/>
      <c r="I79" s="1743"/>
      <c r="J79" s="1743"/>
      <c r="K79" s="1744"/>
      <c r="L79" s="1711"/>
      <c r="M79" s="1711"/>
      <c r="N79" s="1711"/>
      <c r="O79" s="1711"/>
      <c r="P79" s="1711"/>
      <c r="Q79" s="1711"/>
      <c r="R79" s="1711"/>
      <c r="S79" s="1711"/>
      <c r="T79" s="1711"/>
      <c r="U79" s="2056"/>
      <c r="V79" s="1778"/>
      <c r="W79" s="1778"/>
      <c r="X79" s="1778"/>
      <c r="Y79" s="1778"/>
      <c r="Z79" s="2057"/>
      <c r="AA79" s="2057"/>
      <c r="AB79" s="2057"/>
      <c r="AC79" s="2057"/>
      <c r="AD79" s="2057"/>
      <c r="AE79" s="2057"/>
      <c r="AF79" s="2057"/>
      <c r="AG79" s="1747"/>
      <c r="AH79" s="1747"/>
      <c r="AI79" s="2058"/>
      <c r="AJ79" s="1748"/>
      <c r="AK79" s="1748"/>
      <c r="AL79" s="1748"/>
      <c r="AM79" s="1748"/>
      <c r="AN79" s="1748"/>
      <c r="AO79" s="1748"/>
      <c r="AP79" s="1748"/>
      <c r="AQ79" s="1748"/>
      <c r="AR79" s="2058"/>
      <c r="AS79" s="1712"/>
      <c r="AT79" s="1712"/>
      <c r="AU79" s="1712"/>
      <c r="AV79" s="2059"/>
      <c r="AW79" s="1760"/>
      <c r="AX79" s="2060"/>
      <c r="AY79" s="2060"/>
      <c r="AZ79" s="2060"/>
      <c r="BA79" s="2060"/>
      <c r="BB79" s="2060"/>
      <c r="BC79" s="2060"/>
      <c r="BD79" s="2060"/>
      <c r="BE79" s="2060"/>
      <c r="BF79" s="2060"/>
      <c r="BG79" s="2060"/>
      <c r="BH79" s="1760"/>
      <c r="BI79" s="1712"/>
      <c r="BJ79" s="1712"/>
      <c r="BK79" s="1712"/>
      <c r="BL79" s="1712"/>
      <c r="BM79" s="1711"/>
      <c r="BN79" s="2061"/>
    </row>
    <row r="80" spans="1:66" ht="15.75" x14ac:dyDescent="0.25">
      <c r="A80" s="1714"/>
      <c r="B80" s="1714"/>
      <c r="C80" s="1743"/>
      <c r="D80" s="2062"/>
      <c r="E80" s="2062"/>
      <c r="F80" s="2062"/>
      <c r="G80" s="2062"/>
      <c r="H80" s="1743"/>
      <c r="I80" s="1743"/>
      <c r="J80" s="1743"/>
      <c r="K80" s="1744"/>
      <c r="L80" s="1711"/>
      <c r="M80" s="1711"/>
      <c r="N80" s="1711"/>
      <c r="O80" s="1711"/>
      <c r="P80" s="1711"/>
      <c r="Q80" s="1711"/>
      <c r="R80" s="1711"/>
      <c r="S80" s="1711"/>
      <c r="T80" s="1711"/>
      <c r="U80" s="2056"/>
      <c r="V80" s="1778"/>
      <c r="W80" s="1778"/>
      <c r="X80" s="1778"/>
      <c r="Y80" s="1778"/>
      <c r="Z80" s="2063"/>
      <c r="AA80" s="2063"/>
      <c r="AB80" s="2063"/>
      <c r="AC80" s="2063"/>
      <c r="AD80" s="2063"/>
      <c r="AE80" s="2063"/>
      <c r="AF80" s="2063"/>
      <c r="AG80" s="1819"/>
      <c r="AH80" s="1819"/>
      <c r="AI80" s="1819"/>
      <c r="AJ80" s="2058"/>
      <c r="AK80" s="2058"/>
      <c r="AL80" s="2058"/>
      <c r="AM80" s="2058"/>
      <c r="AN80" s="2058"/>
      <c r="AO80" s="2058"/>
      <c r="AP80" s="2058"/>
      <c r="AQ80" s="2058"/>
      <c r="AR80" s="2064"/>
      <c r="AS80" s="1712"/>
      <c r="AT80" s="1712"/>
      <c r="AU80" s="1712"/>
      <c r="AV80" s="2065"/>
      <c r="AW80" s="1711"/>
      <c r="AX80" s="1711"/>
      <c r="AY80" s="1711"/>
      <c r="AZ80" s="1711"/>
      <c r="BA80" s="1734"/>
      <c r="BB80" s="1734"/>
      <c r="BC80" s="1734"/>
      <c r="BD80" s="1712"/>
      <c r="BE80" s="1712"/>
      <c r="BF80" s="1793"/>
      <c r="BG80" s="1793"/>
      <c r="BH80" s="1734"/>
      <c r="BI80" s="1712"/>
      <c r="BJ80" s="1712"/>
      <c r="BK80" s="1734"/>
      <c r="BL80" s="1734"/>
      <c r="BM80" s="2066"/>
      <c r="BN80" s="2061"/>
    </row>
    <row r="81" spans="1:66" ht="15.75" x14ac:dyDescent="0.25">
      <c r="A81" s="1714"/>
      <c r="B81" s="1714"/>
      <c r="C81" s="1743"/>
      <c r="D81" s="2062"/>
      <c r="E81" s="2062"/>
      <c r="F81" s="2062"/>
      <c r="G81" s="2062"/>
      <c r="H81" s="1743"/>
      <c r="I81" s="1743"/>
      <c r="J81" s="1743"/>
      <c r="K81" s="1744"/>
      <c r="L81" s="1711"/>
      <c r="M81" s="1711"/>
      <c r="N81" s="1711"/>
      <c r="O81" s="1711"/>
      <c r="P81" s="1711"/>
      <c r="Q81" s="1711"/>
      <c r="R81" s="1711"/>
      <c r="S81" s="1711"/>
      <c r="T81" s="1711"/>
      <c r="U81" s="2056"/>
      <c r="V81" s="1778"/>
      <c r="W81" s="1778"/>
      <c r="X81" s="1778"/>
      <c r="Y81" s="1778"/>
      <c r="Z81" s="1778"/>
      <c r="AA81" s="1778"/>
      <c r="AB81" s="1778"/>
      <c r="AC81" s="1787"/>
      <c r="AD81" s="1819"/>
      <c r="AE81" s="1819"/>
      <c r="AF81" s="1819"/>
      <c r="AG81" s="1819"/>
      <c r="AH81" s="1819"/>
      <c r="AI81" s="1819"/>
      <c r="AJ81" s="1782"/>
      <c r="AK81" s="1782"/>
      <c r="AL81" s="1782"/>
      <c r="AM81" s="1782"/>
      <c r="AN81" s="1782"/>
      <c r="AO81" s="1782"/>
      <c r="AP81" s="1782"/>
      <c r="AQ81" s="1782"/>
      <c r="AR81" s="1947"/>
      <c r="AS81" s="1712"/>
      <c r="AT81" s="1712"/>
      <c r="AU81" s="1712"/>
      <c r="AV81" s="1712"/>
      <c r="AW81" s="1712"/>
      <c r="AX81" s="1712"/>
      <c r="AY81" s="1712"/>
      <c r="AZ81" s="1712"/>
      <c r="BA81" s="1712"/>
      <c r="BB81" s="1712"/>
      <c r="BC81" s="1734"/>
      <c r="BD81" s="1712"/>
      <c r="BE81" s="1712"/>
      <c r="BF81" s="1793"/>
      <c r="BG81" s="1793"/>
      <c r="BH81" s="1734"/>
      <c r="BI81" s="1712"/>
      <c r="BJ81" s="1712"/>
      <c r="BK81" s="1734"/>
      <c r="BL81" s="1734"/>
      <c r="BM81" s="2066"/>
      <c r="BN81" s="2061"/>
    </row>
    <row r="82" spans="1:66" ht="21" x14ac:dyDescent="0.25">
      <c r="A82" s="1714"/>
      <c r="B82" s="1714"/>
      <c r="C82" s="1743"/>
      <c r="D82" s="2067"/>
      <c r="E82" s="2068"/>
      <c r="F82" s="2062"/>
      <c r="G82" s="2062"/>
      <c r="H82" s="1743"/>
      <c r="I82" s="1743"/>
      <c r="J82" s="1743"/>
      <c r="K82" s="1744"/>
      <c r="L82" s="1711"/>
      <c r="M82" s="1711"/>
      <c r="N82" s="1711"/>
      <c r="O82" s="1711"/>
      <c r="P82" s="1711"/>
      <c r="Q82" s="1711"/>
      <c r="R82" s="1711"/>
      <c r="S82" s="1711"/>
      <c r="T82" s="1711"/>
      <c r="U82" s="2069"/>
      <c r="V82" s="2070"/>
      <c r="W82" s="1875"/>
      <c r="X82" s="1778"/>
      <c r="Y82" s="1778"/>
      <c r="Z82" s="1778"/>
      <c r="AA82" s="1778"/>
      <c r="AB82" s="1778"/>
      <c r="AC82" s="1788"/>
      <c r="AD82" s="1819"/>
      <c r="AE82" s="1819"/>
      <c r="AF82" s="1819"/>
      <c r="AG82" s="1819"/>
      <c r="AH82" s="1819"/>
      <c r="AI82" s="1819"/>
      <c r="AJ82" s="2071"/>
      <c r="AK82" s="2071"/>
      <c r="AL82" s="2071"/>
      <c r="AM82" s="2071"/>
      <c r="AN82" s="2071"/>
      <c r="AO82" s="2071"/>
      <c r="AP82" s="2071"/>
      <c r="AQ82" s="2071"/>
      <c r="AR82" s="1947"/>
      <c r="AS82" s="1712"/>
      <c r="AT82" s="1712"/>
      <c r="AU82" s="1712"/>
      <c r="AV82" s="1712"/>
      <c r="AW82" s="1915"/>
      <c r="AX82" s="1915"/>
      <c r="AY82" s="2072"/>
      <c r="AZ82" s="2072"/>
      <c r="BA82" s="2072"/>
      <c r="BB82" s="1915"/>
      <c r="BC82" s="1734"/>
      <c r="BD82" s="1915"/>
      <c r="BE82" s="1793"/>
      <c r="BF82" s="1793"/>
      <c r="BG82" s="2072"/>
      <c r="BH82" s="2072"/>
      <c r="BI82" s="1915"/>
      <c r="BJ82" s="1734"/>
      <c r="BK82" s="1915"/>
      <c r="BL82" s="1711"/>
      <c r="BM82" s="2066"/>
      <c r="BN82" s="2061"/>
    </row>
    <row r="83" spans="1:66" ht="21" x14ac:dyDescent="0.25">
      <c r="A83" s="1714"/>
      <c r="B83" s="1714"/>
      <c r="C83" s="1743"/>
      <c r="D83" s="2073"/>
      <c r="E83" s="2074"/>
      <c r="F83" s="2068"/>
      <c r="G83" s="2062"/>
      <c r="H83" s="1743"/>
      <c r="I83" s="1743"/>
      <c r="J83" s="1743"/>
      <c r="K83" s="1744"/>
      <c r="L83" s="1711"/>
      <c r="M83" s="1711"/>
      <c r="N83" s="1711"/>
      <c r="O83" s="1711"/>
      <c r="P83" s="1711"/>
      <c r="Q83" s="1711"/>
      <c r="R83" s="1711"/>
      <c r="S83" s="1711"/>
      <c r="T83" s="1711"/>
      <c r="U83" s="2069"/>
      <c r="V83" s="2075"/>
      <c r="W83" s="1819"/>
      <c r="X83" s="1778"/>
      <c r="Y83" s="2076"/>
      <c r="Z83" s="2076"/>
      <c r="AA83" s="1778"/>
      <c r="AB83" s="1778"/>
      <c r="AC83" s="1760"/>
      <c r="AD83" s="1747"/>
      <c r="AE83" s="1747"/>
      <c r="AF83" s="1747"/>
      <c r="AG83" s="1760"/>
      <c r="AH83" s="1747"/>
      <c r="AI83" s="1747"/>
      <c r="AJ83" s="1747"/>
      <c r="AK83" s="1747"/>
      <c r="AL83" s="1747"/>
      <c r="AM83" s="1747"/>
      <c r="AN83" s="2077"/>
      <c r="AO83" s="2077"/>
      <c r="AP83" s="2077"/>
      <c r="AQ83" s="2077"/>
      <c r="AR83" s="1788"/>
      <c r="AS83" s="1714"/>
      <c r="AT83" s="2040"/>
      <c r="AU83" s="1714"/>
      <c r="AV83" s="1712"/>
      <c r="AW83" s="1915"/>
      <c r="AX83" s="1915"/>
      <c r="AY83" s="2078"/>
      <c r="AZ83" s="2078"/>
      <c r="BA83" s="2078"/>
      <c r="BB83" s="1711"/>
      <c r="BC83" s="1734"/>
      <c r="BD83" s="1915"/>
      <c r="BE83" s="1915"/>
      <c r="BF83" s="1915"/>
      <c r="BG83" s="2078"/>
      <c r="BH83" s="2078"/>
      <c r="BI83" s="1915"/>
      <c r="BJ83" s="1734"/>
      <c r="BK83" s="1915"/>
      <c r="BL83" s="1711"/>
      <c r="BM83" s="2066"/>
      <c r="BN83" s="2061"/>
    </row>
    <row r="84" spans="1:66" ht="21" x14ac:dyDescent="0.25">
      <c r="A84" s="1714"/>
      <c r="B84" s="1714"/>
      <c r="C84" s="1743"/>
      <c r="D84" s="2079"/>
      <c r="E84" s="2073"/>
      <c r="F84" s="2080"/>
      <c r="G84" s="2062"/>
      <c r="H84" s="1743"/>
      <c r="I84" s="1743"/>
      <c r="J84" s="1743"/>
      <c r="K84" s="1744"/>
      <c r="L84" s="1711"/>
      <c r="M84" s="1711"/>
      <c r="N84" s="1711"/>
      <c r="O84" s="1711"/>
      <c r="P84" s="1711"/>
      <c r="Q84" s="1734"/>
      <c r="R84" s="1734"/>
      <c r="S84" s="1711"/>
      <c r="T84" s="1711"/>
      <c r="U84" s="2069"/>
      <c r="V84" s="1804"/>
      <c r="W84" s="2075"/>
      <c r="X84" s="1804"/>
      <c r="Y84" s="1804"/>
      <c r="Z84" s="2076"/>
      <c r="AA84" s="1760"/>
      <c r="AB84" s="2081"/>
      <c r="AC84" s="1859"/>
      <c r="AD84" s="1859"/>
      <c r="AE84" s="2082"/>
      <c r="AF84" s="1760"/>
      <c r="AG84" s="2082"/>
      <c r="AH84" s="1859"/>
      <c r="AI84" s="1859"/>
      <c r="AJ84" s="1819"/>
      <c r="AK84" s="1747"/>
      <c r="AL84" s="2077"/>
      <c r="AM84" s="1875"/>
      <c r="AN84" s="1875"/>
      <c r="AO84" s="2083"/>
      <c r="AP84" s="2077"/>
      <c r="AQ84" s="2077"/>
      <c r="AR84" s="1788"/>
      <c r="AS84" s="1714"/>
      <c r="AT84" s="1714"/>
      <c r="AU84" s="1714"/>
      <c r="AV84" s="1712"/>
      <c r="AW84" s="1915"/>
      <c r="AX84" s="2084"/>
      <c r="AY84" s="2085"/>
      <c r="AZ84" s="2085"/>
      <c r="BA84" s="2085"/>
      <c r="BB84" s="2078"/>
      <c r="BC84" s="1734"/>
      <c r="BD84" s="1915"/>
      <c r="BE84" s="1915"/>
      <c r="BF84" s="2084"/>
      <c r="BG84" s="1952"/>
      <c r="BH84" s="1952"/>
      <c r="BI84" s="2078"/>
      <c r="BJ84" s="1734"/>
      <c r="BK84" s="1915"/>
      <c r="BL84" s="1734"/>
      <c r="BM84" s="1742"/>
      <c r="BN84" s="2061"/>
    </row>
    <row r="85" spans="1:66" ht="18.75" thickBot="1" x14ac:dyDescent="0.3">
      <c r="A85" s="1714"/>
      <c r="B85" s="1714"/>
      <c r="C85" s="1743"/>
      <c r="D85" s="2086"/>
      <c r="E85" s="2068"/>
      <c r="F85" s="2062"/>
      <c r="G85" s="2062"/>
      <c r="H85" s="1743"/>
      <c r="I85" s="1743"/>
      <c r="J85" s="1743"/>
      <c r="K85" s="1744"/>
      <c r="L85" s="1711"/>
      <c r="M85" s="1711"/>
      <c r="N85" s="1711"/>
      <c r="O85" s="1711"/>
      <c r="P85" s="1734"/>
      <c r="Q85" s="1734"/>
      <c r="R85" s="1734"/>
      <c r="S85" s="1734"/>
      <c r="T85" s="1711"/>
      <c r="U85" s="2069"/>
      <c r="V85" s="1804"/>
      <c r="W85" s="2075"/>
      <c r="X85" s="1804"/>
      <c r="Y85" s="1804"/>
      <c r="Z85" s="2076"/>
      <c r="AA85" s="2087"/>
      <c r="AB85" s="2088"/>
      <c r="AC85" s="1748"/>
      <c r="AD85" s="1748"/>
      <c r="AE85" s="2088"/>
      <c r="AF85" s="2089"/>
      <c r="AG85" s="2088"/>
      <c r="AH85" s="1748"/>
      <c r="AI85" s="1748"/>
      <c r="AJ85" s="2088"/>
      <c r="AK85" s="1747"/>
      <c r="AL85" s="1760"/>
      <c r="AM85" s="2090"/>
      <c r="AN85" s="2090"/>
      <c r="AO85" s="1782"/>
      <c r="AP85" s="1760"/>
      <c r="AQ85" s="1760"/>
      <c r="AR85" s="1788"/>
      <c r="AS85" s="1714"/>
      <c r="AT85" s="1714"/>
      <c r="AU85" s="2052"/>
      <c r="AV85" s="1712"/>
      <c r="AW85" s="2078"/>
      <c r="AX85" s="2085"/>
      <c r="AY85" s="1955">
        <v>3322573</v>
      </c>
      <c r="AZ85" s="2091">
        <v>3325953</v>
      </c>
      <c r="BA85" s="2091">
        <v>3325946</v>
      </c>
      <c r="BB85" s="2085"/>
      <c r="BC85" s="2078"/>
      <c r="BD85" s="1915"/>
      <c r="BE85" s="2078"/>
      <c r="BF85" s="1952"/>
      <c r="BG85" s="1953">
        <v>110556</v>
      </c>
      <c r="BH85" s="2092">
        <v>113536</v>
      </c>
      <c r="BI85" s="1952"/>
      <c r="BJ85" s="2078"/>
      <c r="BK85" s="1915"/>
      <c r="BL85" s="1734"/>
      <c r="BM85" s="2066"/>
      <c r="BN85" s="2061"/>
    </row>
    <row r="86" spans="1:66" ht="21" thickBot="1" x14ac:dyDescent="0.3">
      <c r="A86" s="1714"/>
      <c r="B86" s="1714"/>
      <c r="C86" s="1743"/>
      <c r="D86" s="2079"/>
      <c r="E86" s="2073"/>
      <c r="F86" s="2080"/>
      <c r="G86" s="2062"/>
      <c r="H86" s="1743"/>
      <c r="I86" s="1743"/>
      <c r="J86" s="1743"/>
      <c r="K86" s="1744"/>
      <c r="L86" s="1711"/>
      <c r="M86" s="1711"/>
      <c r="N86" s="1711"/>
      <c r="O86" s="1711"/>
      <c r="P86" s="1711"/>
      <c r="Q86" s="1734"/>
      <c r="R86" s="1734"/>
      <c r="S86" s="1711"/>
      <c r="T86" s="1711"/>
      <c r="U86" s="2069"/>
      <c r="V86" s="1804"/>
      <c r="W86" s="2075"/>
      <c r="X86" s="2093"/>
      <c r="Y86" s="2093"/>
      <c r="Z86" s="2076"/>
      <c r="AA86" s="2087"/>
      <c r="AB86" s="2088"/>
      <c r="AC86" s="1748"/>
      <c r="AD86" s="1748"/>
      <c r="AE86" s="2088"/>
      <c r="AF86" s="2089"/>
      <c r="AG86" s="2088"/>
      <c r="AH86" s="1748"/>
      <c r="AI86" s="1748"/>
      <c r="AJ86" s="2088"/>
      <c r="AK86" s="1747"/>
      <c r="AL86" s="1819"/>
      <c r="AM86" s="2090"/>
      <c r="AN86" s="2090"/>
      <c r="AO86" s="1859"/>
      <c r="AP86" s="1870"/>
      <c r="AQ86" s="1760"/>
      <c r="AR86" s="2094"/>
      <c r="AS86" s="2095"/>
      <c r="AT86" s="2096"/>
      <c r="AU86" s="1714"/>
      <c r="AV86" s="1712"/>
      <c r="AW86" s="2078"/>
      <c r="AX86" s="2085"/>
      <c r="AY86" s="1955">
        <v>3322577</v>
      </c>
      <c r="AZ86" s="2097">
        <v>3322641</v>
      </c>
      <c r="BA86" s="2097">
        <v>3325928</v>
      </c>
      <c r="BB86" s="2085"/>
      <c r="BC86" s="2078"/>
      <c r="BD86" s="1915"/>
      <c r="BE86" s="2078"/>
      <c r="BF86" s="1952"/>
      <c r="BG86" s="1959">
        <v>112480</v>
      </c>
      <c r="BH86" s="2092">
        <v>113755</v>
      </c>
      <c r="BI86" s="1952"/>
      <c r="BJ86" s="2078"/>
      <c r="BK86" s="1915"/>
      <c r="BL86" s="1734"/>
      <c r="BM86" s="2098"/>
      <c r="BN86" s="2061"/>
    </row>
    <row r="87" spans="1:66" ht="21" thickBot="1" x14ac:dyDescent="0.3">
      <c r="A87" s="1714"/>
      <c r="B87" s="1714"/>
      <c r="C87" s="1743"/>
      <c r="D87" s="2086"/>
      <c r="E87" s="2068"/>
      <c r="F87" s="2062"/>
      <c r="G87" s="2062"/>
      <c r="H87" s="1743"/>
      <c r="I87" s="1743"/>
      <c r="J87" s="1743"/>
      <c r="K87" s="1744"/>
      <c r="L87" s="1711"/>
      <c r="M87" s="1711"/>
      <c r="N87" s="1711"/>
      <c r="O87" s="1711"/>
      <c r="P87" s="1711"/>
      <c r="Q87" s="1734"/>
      <c r="R87" s="1734"/>
      <c r="S87" s="1711"/>
      <c r="T87" s="1711"/>
      <c r="U87" s="2069"/>
      <c r="V87" s="1804"/>
      <c r="W87" s="2075"/>
      <c r="X87" s="2099"/>
      <c r="Y87" s="2100"/>
      <c r="Z87" s="2076"/>
      <c r="AA87" s="2087"/>
      <c r="AB87" s="2088"/>
      <c r="AC87" s="1748"/>
      <c r="AD87" s="1748"/>
      <c r="AE87" s="2088"/>
      <c r="AF87" s="2089"/>
      <c r="AG87" s="2088"/>
      <c r="AH87" s="1748"/>
      <c r="AI87" s="1748"/>
      <c r="AJ87" s="2088"/>
      <c r="AK87" s="1747"/>
      <c r="AL87" s="2090"/>
      <c r="AM87" s="1748"/>
      <c r="AN87" s="1748"/>
      <c r="AO87" s="2090"/>
      <c r="AP87" s="1859"/>
      <c r="AQ87" s="2101"/>
      <c r="AR87" s="2102"/>
      <c r="AS87" s="2103"/>
      <c r="AT87" s="2103"/>
      <c r="AU87" s="2104"/>
      <c r="AV87" s="1712"/>
      <c r="AW87" s="1915"/>
      <c r="AX87" s="2078"/>
      <c r="AY87" s="2085"/>
      <c r="AZ87" s="2085"/>
      <c r="BA87" s="2085"/>
      <c r="BB87" s="2078"/>
      <c r="BC87" s="1734"/>
      <c r="BD87" s="1915"/>
      <c r="BE87" s="1915"/>
      <c r="BF87" s="2078"/>
      <c r="BG87" s="1952"/>
      <c r="BH87" s="1952"/>
      <c r="BI87" s="2078"/>
      <c r="BJ87" s="2105"/>
      <c r="BK87" s="1915"/>
      <c r="BL87" s="1743"/>
      <c r="BM87" s="1760"/>
      <c r="BN87" s="2061"/>
    </row>
    <row r="88" spans="1:66" ht="21" thickBot="1" x14ac:dyDescent="0.3">
      <c r="A88" s="1714"/>
      <c r="B88" s="1714"/>
      <c r="C88" s="1743"/>
      <c r="D88" s="2079"/>
      <c r="E88" s="2073"/>
      <c r="F88" s="2080"/>
      <c r="G88" s="2062"/>
      <c r="H88" s="1743"/>
      <c r="I88" s="1743"/>
      <c r="J88" s="1743"/>
      <c r="K88" s="1744"/>
      <c r="L88" s="1711"/>
      <c r="M88" s="1711"/>
      <c r="N88" s="1711"/>
      <c r="O88" s="1711"/>
      <c r="P88" s="1711"/>
      <c r="Q88" s="1711"/>
      <c r="R88" s="1778"/>
      <c r="S88" s="1778"/>
      <c r="T88" s="1778"/>
      <c r="U88" s="2106"/>
      <c r="V88" s="2075"/>
      <c r="W88" s="2107"/>
      <c r="X88" s="2076"/>
      <c r="Y88" s="2076"/>
      <c r="Z88" s="2076"/>
      <c r="AA88" s="2087"/>
      <c r="AB88" s="2088"/>
      <c r="AC88" s="1748"/>
      <c r="AD88" s="1748"/>
      <c r="AE88" s="2088"/>
      <c r="AF88" s="2089"/>
      <c r="AG88" s="2088"/>
      <c r="AH88" s="1748"/>
      <c r="AI88" s="1748"/>
      <c r="AJ88" s="2088"/>
      <c r="AK88" s="1747"/>
      <c r="AL88" s="2090"/>
      <c r="AM88" s="1748"/>
      <c r="AN88" s="1748"/>
      <c r="AO88" s="2090"/>
      <c r="AP88" s="1859"/>
      <c r="AQ88" s="1840"/>
      <c r="AR88" s="2102"/>
      <c r="AS88" s="2103"/>
      <c r="AT88" s="2103"/>
      <c r="AU88" s="2108"/>
      <c r="AV88" s="1910"/>
      <c r="AW88" s="1915"/>
      <c r="AX88" s="1714"/>
      <c r="AY88" s="2078"/>
      <c r="AZ88" s="2078"/>
      <c r="BA88" s="2078"/>
      <c r="BB88" s="1711"/>
      <c r="BC88" s="1734"/>
      <c r="BD88" s="1915"/>
      <c r="BF88" s="1915"/>
      <c r="BG88" s="2078"/>
      <c r="BH88" s="2078"/>
      <c r="BI88" s="2109"/>
      <c r="BJ88" s="2105"/>
      <c r="BK88" s="1915"/>
      <c r="BL88" s="2110"/>
      <c r="BM88" s="1760"/>
      <c r="BN88" s="2061"/>
    </row>
    <row r="89" spans="1:66" ht="21.75" thickTop="1" thickBot="1" x14ac:dyDescent="0.3">
      <c r="A89" s="1714"/>
      <c r="B89" s="1714"/>
      <c r="C89" s="1743"/>
      <c r="D89" s="2086"/>
      <c r="E89" s="2068"/>
      <c r="F89" s="2062"/>
      <c r="G89" s="2062"/>
      <c r="H89" s="1743"/>
      <c r="I89" s="1743"/>
      <c r="J89" s="1743"/>
      <c r="K89" s="1744"/>
      <c r="L89" s="1711"/>
      <c r="M89" s="1734"/>
      <c r="N89" s="1711"/>
      <c r="O89" s="1711"/>
      <c r="P89" s="1711"/>
      <c r="Q89" s="1711"/>
      <c r="R89" s="1778"/>
      <c r="S89" s="1778"/>
      <c r="T89" s="1778"/>
      <c r="U89" s="2106"/>
      <c r="V89" s="2111"/>
      <c r="W89" s="1742"/>
      <c r="X89" s="2076"/>
      <c r="Y89" s="2076"/>
      <c r="Z89" s="2076"/>
      <c r="AA89" s="1760"/>
      <c r="AB89" s="1742"/>
      <c r="AC89" s="1859"/>
      <c r="AD89" s="1859"/>
      <c r="AE89" s="1788"/>
      <c r="AF89" s="1760"/>
      <c r="AG89" s="1760"/>
      <c r="AH89" s="1859"/>
      <c r="AI89" s="1859"/>
      <c r="AJ89" s="1747"/>
      <c r="AK89" s="1747"/>
      <c r="AL89" s="1760"/>
      <c r="AM89" s="2090"/>
      <c r="AN89" s="2090"/>
      <c r="AO89" s="1859"/>
      <c r="AP89" s="1760"/>
      <c r="AQ89" s="1843"/>
      <c r="AR89" s="2102"/>
      <c r="AS89" s="2103"/>
      <c r="AT89" s="2103"/>
      <c r="AU89" s="1758"/>
      <c r="AV89" s="2112"/>
      <c r="AW89" s="1915"/>
      <c r="AX89" s="1714"/>
      <c r="AY89" s="2110"/>
      <c r="AZ89" s="1711"/>
      <c r="BA89" s="1711"/>
      <c r="BB89" s="1862"/>
      <c r="BC89" s="1734"/>
      <c r="BD89" s="1915"/>
      <c r="BE89" s="1915"/>
      <c r="BF89" s="1915"/>
      <c r="BG89" s="1915"/>
      <c r="BH89" s="1915"/>
      <c r="BI89" s="2062"/>
      <c r="BJ89" s="2113"/>
      <c r="BK89" s="2105"/>
      <c r="BL89" s="2062"/>
      <c r="BM89" s="2114"/>
      <c r="BN89" s="1712"/>
    </row>
    <row r="90" spans="1:66" ht="22.5" thickTop="1" thickBot="1" x14ac:dyDescent="0.3">
      <c r="A90" s="1714"/>
      <c r="B90" s="1714"/>
      <c r="C90" s="1743"/>
      <c r="D90" s="2079"/>
      <c r="E90" s="2073"/>
      <c r="F90" s="2080"/>
      <c r="G90" s="2062"/>
      <c r="H90" s="1743"/>
      <c r="I90" s="1743"/>
      <c r="J90" s="1743"/>
      <c r="K90" s="1744"/>
      <c r="L90" s="1711"/>
      <c r="M90" s="1734"/>
      <c r="N90" s="1734"/>
      <c r="O90" s="1734"/>
      <c r="P90" s="1734"/>
      <c r="Q90" s="1711"/>
      <c r="R90" s="1778"/>
      <c r="S90" s="1778"/>
      <c r="T90" s="1778"/>
      <c r="U90" s="2115"/>
      <c r="V90" s="1760"/>
      <c r="W90" s="1760"/>
      <c r="X90" s="1760"/>
      <c r="Y90" s="1760"/>
      <c r="Z90" s="1760"/>
      <c r="AA90" s="1788"/>
      <c r="AB90" s="1788"/>
      <c r="AC90" s="2116"/>
      <c r="AD90" s="2116"/>
      <c r="AE90" s="1788"/>
      <c r="AF90" s="1760"/>
      <c r="AG90" s="2117"/>
      <c r="AH90" s="2117"/>
      <c r="AI90" s="2117"/>
      <c r="AJ90" s="2117"/>
      <c r="AK90" s="1747"/>
      <c r="AL90" s="1760"/>
      <c r="AM90" s="2090"/>
      <c r="AN90" s="2090"/>
      <c r="AO90" s="1782"/>
      <c r="AP90" s="1760"/>
      <c r="AQ90" s="1843"/>
      <c r="AR90" s="2102"/>
      <c r="AS90" s="2103"/>
      <c r="AT90" s="2103"/>
      <c r="AU90" s="2118"/>
      <c r="AV90" s="2112"/>
      <c r="AW90" s="2119"/>
      <c r="AX90" s="2120"/>
      <c r="AY90" s="2121"/>
      <c r="AZ90" s="2121"/>
      <c r="BA90" s="2121"/>
      <c r="BB90" s="2120"/>
      <c r="BC90" s="2120"/>
      <c r="BD90" s="2120"/>
      <c r="BE90" s="2120"/>
      <c r="BF90" s="2120"/>
      <c r="BG90" s="2121"/>
      <c r="BH90" s="2121"/>
      <c r="BI90" s="2121"/>
      <c r="BJ90" s="2120"/>
      <c r="BK90" s="2122"/>
      <c r="BL90" s="2023"/>
      <c r="BM90" s="2123"/>
      <c r="BN90" s="1712"/>
    </row>
    <row r="91" spans="1:66" ht="18.75" thickBot="1" x14ac:dyDescent="0.3">
      <c r="A91" s="1714"/>
      <c r="B91" s="1714"/>
      <c r="C91" s="1743"/>
      <c r="D91" s="2086"/>
      <c r="E91" s="2068"/>
      <c r="F91" s="2062"/>
      <c r="G91" s="2062"/>
      <c r="H91" s="1743"/>
      <c r="I91" s="1743"/>
      <c r="J91" s="1743"/>
      <c r="K91" s="1744"/>
      <c r="L91" s="1711"/>
      <c r="M91" s="1734"/>
      <c r="N91" s="1734"/>
      <c r="O91" s="1734"/>
      <c r="P91" s="1734"/>
      <c r="Q91" s="1711"/>
      <c r="R91" s="2124"/>
      <c r="S91" s="2125"/>
      <c r="T91" s="2126"/>
      <c r="U91" s="1917"/>
      <c r="V91" s="1760"/>
      <c r="W91" s="1742"/>
      <c r="X91" s="1760"/>
      <c r="Y91" s="1747"/>
      <c r="Z91" s="1747"/>
      <c r="AA91" s="1747"/>
      <c r="AB91" s="1747"/>
      <c r="AC91" s="1747"/>
      <c r="AD91" s="1747"/>
      <c r="AE91" s="1747"/>
      <c r="AF91" s="1747"/>
      <c r="AG91" s="1760"/>
      <c r="AH91" s="1760"/>
      <c r="AI91" s="1760"/>
      <c r="AJ91" s="1760"/>
      <c r="AK91" s="1760"/>
      <c r="AL91" s="1760"/>
      <c r="AM91" s="1747"/>
      <c r="AN91" s="1747"/>
      <c r="AO91" s="1760"/>
      <c r="AP91" s="1760"/>
      <c r="AQ91" s="1843"/>
      <c r="AR91" s="2102"/>
      <c r="AS91" s="2103"/>
      <c r="AT91" s="2103"/>
      <c r="AU91" s="2108"/>
      <c r="AV91" s="1788"/>
      <c r="AW91" s="2127"/>
      <c r="AX91" s="2128"/>
      <c r="AY91" s="2129"/>
      <c r="AZ91" s="2129"/>
      <c r="BA91" s="2129"/>
      <c r="BB91" s="2130"/>
      <c r="BC91" s="1734"/>
      <c r="BD91" s="1915"/>
      <c r="BE91" s="1915"/>
      <c r="BF91" s="2128"/>
      <c r="BG91" s="2129"/>
      <c r="BH91" s="2129"/>
      <c r="BI91" s="2129"/>
      <c r="BJ91" s="2131"/>
      <c r="BK91" s="2132"/>
      <c r="BL91" s="2080"/>
      <c r="BM91" s="1760"/>
      <c r="BN91" s="2061"/>
    </row>
    <row r="92" spans="1:66" ht="19.5" thickTop="1" thickBot="1" x14ac:dyDescent="0.3">
      <c r="A92" s="1714"/>
      <c r="B92" s="1714"/>
      <c r="C92" s="1743"/>
      <c r="D92" s="2079"/>
      <c r="E92" s="2073"/>
      <c r="F92" s="2080"/>
      <c r="G92" s="2062"/>
      <c r="H92" s="1743"/>
      <c r="I92" s="1743"/>
      <c r="J92" s="1743"/>
      <c r="K92" s="1744"/>
      <c r="L92" s="1734"/>
      <c r="M92" s="1734"/>
      <c r="N92" s="1734"/>
      <c r="O92" s="1734"/>
      <c r="P92" s="1734"/>
      <c r="Q92" s="1711"/>
      <c r="R92" s="2133"/>
      <c r="S92" s="1829"/>
      <c r="T92" s="2134"/>
      <c r="U92" s="1917"/>
      <c r="V92" s="1760"/>
      <c r="W92" s="1760"/>
      <c r="X92" s="1760"/>
      <c r="Y92" s="1747"/>
      <c r="Z92" s="1747"/>
      <c r="AA92" s="1747"/>
      <c r="AB92" s="1747"/>
      <c r="AC92" s="1747"/>
      <c r="AD92" s="1747"/>
      <c r="AE92" s="1747"/>
      <c r="AF92" s="1747"/>
      <c r="AG92" s="1760"/>
      <c r="AH92" s="1760"/>
      <c r="AI92" s="1760"/>
      <c r="AJ92" s="1760"/>
      <c r="AK92" s="1760"/>
      <c r="AL92" s="1760"/>
      <c r="AM92" s="1760"/>
      <c r="AN92" s="1760"/>
      <c r="AO92" s="1747"/>
      <c r="AP92" s="1760"/>
      <c r="AQ92" s="1760"/>
      <c r="AR92" s="2102"/>
      <c r="AS92" s="2103"/>
      <c r="AT92" s="2103"/>
      <c r="AU92" s="2135"/>
      <c r="AV92" s="2136"/>
      <c r="AW92" s="2137"/>
      <c r="AX92" s="2138"/>
      <c r="AY92" s="2085"/>
      <c r="AZ92" s="2085"/>
      <c r="BA92" s="2085"/>
      <c r="BB92" s="2129"/>
      <c r="BC92" s="2062"/>
      <c r="BD92" s="1915"/>
      <c r="BE92" s="1915"/>
      <c r="BF92" s="2138"/>
      <c r="BG92" s="1952"/>
      <c r="BH92" s="1952"/>
      <c r="BI92" s="1952"/>
      <c r="BJ92" s="2129"/>
      <c r="BK92" s="2139"/>
      <c r="BL92" s="2062"/>
      <c r="BM92" s="2140"/>
      <c r="BN92" s="2061"/>
    </row>
    <row r="93" spans="1:66" ht="22.5" thickTop="1" thickBot="1" x14ac:dyDescent="0.3">
      <c r="A93" s="1714"/>
      <c r="B93" s="1714"/>
      <c r="C93" s="1743"/>
      <c r="D93" s="2086"/>
      <c r="E93" s="2068"/>
      <c r="F93" s="2062"/>
      <c r="G93" s="2062"/>
      <c r="H93" s="1743"/>
      <c r="I93" s="1743"/>
      <c r="J93" s="1743"/>
      <c r="K93" s="1744"/>
      <c r="L93" s="1734"/>
      <c r="M93" s="1734"/>
      <c r="N93" s="1734"/>
      <c r="O93" s="1734"/>
      <c r="P93" s="1734"/>
      <c r="Q93" s="1711"/>
      <c r="R93" s="2133"/>
      <c r="S93" s="1829"/>
      <c r="T93" s="2134"/>
      <c r="U93" s="1917"/>
      <c r="V93" s="1760"/>
      <c r="W93" s="1760"/>
      <c r="X93" s="1760"/>
      <c r="Y93" s="1760"/>
      <c r="Z93" s="1760"/>
      <c r="AA93" s="1747"/>
      <c r="AB93" s="1785"/>
      <c r="AC93" s="1785"/>
      <c r="AD93" s="1788"/>
      <c r="AE93" s="1788"/>
      <c r="AF93" s="1747"/>
      <c r="AG93" s="1760"/>
      <c r="AH93" s="1760"/>
      <c r="AI93" s="1760"/>
      <c r="AJ93" s="1760"/>
      <c r="AK93" s="1760"/>
      <c r="AL93" s="1760"/>
      <c r="AM93" s="1875"/>
      <c r="AN93" s="1875"/>
      <c r="AO93" s="1760"/>
      <c r="AP93" s="1760"/>
      <c r="AQ93" s="1760"/>
      <c r="AR93" s="2102"/>
      <c r="AS93" s="2103"/>
      <c r="AT93" s="2103"/>
      <c r="AU93" s="2141"/>
      <c r="AV93" s="2136"/>
      <c r="AW93" s="2142"/>
      <c r="AX93" s="2085"/>
      <c r="AY93" s="2143">
        <v>3322560</v>
      </c>
      <c r="AZ93" s="2143">
        <v>3325948</v>
      </c>
      <c r="BA93" s="2143">
        <v>3322642</v>
      </c>
      <c r="BB93" s="2085"/>
      <c r="BC93" s="2129"/>
      <c r="BD93" s="1915"/>
      <c r="BE93" s="2129"/>
      <c r="BF93" s="1952"/>
      <c r="BG93" s="2143">
        <v>110591</v>
      </c>
      <c r="BH93" s="2143">
        <v>110632</v>
      </c>
      <c r="BI93" s="2143">
        <v>110562</v>
      </c>
      <c r="BJ93" s="1952"/>
      <c r="BK93" s="2144"/>
      <c r="BL93" s="2068"/>
      <c r="BM93" s="2140"/>
      <c r="BN93" s="2061"/>
    </row>
    <row r="94" spans="1:66" ht="21.75" thickTop="1" thickBot="1" x14ac:dyDescent="0.3">
      <c r="A94" s="1714"/>
      <c r="B94" s="1714"/>
      <c r="C94" s="1743"/>
      <c r="D94" s="2079"/>
      <c r="E94" s="2073"/>
      <c r="F94" s="2080"/>
      <c r="G94" s="2062"/>
      <c r="H94" s="1743"/>
      <c r="I94" s="1743"/>
      <c r="J94" s="1743"/>
      <c r="K94" s="1744"/>
      <c r="L94" s="1734"/>
      <c r="M94" s="1734"/>
      <c r="N94" s="1711"/>
      <c r="O94" s="1711"/>
      <c r="P94" s="1711"/>
      <c r="Q94" s="1711"/>
      <c r="R94" s="2133"/>
      <c r="S94" s="1829"/>
      <c r="T94" s="2134"/>
      <c r="U94" s="1917"/>
      <c r="V94" s="1760"/>
      <c r="W94" s="1760"/>
      <c r="X94" s="1760"/>
      <c r="Y94" s="1760"/>
      <c r="Z94" s="1760"/>
      <c r="AA94" s="1819"/>
      <c r="AB94" s="2145"/>
      <c r="AC94" s="2145"/>
      <c r="AD94" s="2082"/>
      <c r="AE94" s="1760"/>
      <c r="AF94" s="1747"/>
      <c r="AG94" s="1747"/>
      <c r="AH94" s="2146"/>
      <c r="AI94" s="2146"/>
      <c r="AJ94" s="1747"/>
      <c r="AK94" s="1760"/>
      <c r="AL94" s="2081"/>
      <c r="AM94" s="2147"/>
      <c r="AN94" s="2147"/>
      <c r="AO94" s="2148"/>
      <c r="AP94" s="1760"/>
      <c r="AQ94" s="1760"/>
      <c r="AR94" s="2102"/>
      <c r="AS94" s="2103"/>
      <c r="AT94" s="2103"/>
      <c r="AU94" s="2141"/>
      <c r="AV94" s="2136"/>
      <c r="AW94" s="2142"/>
      <c r="AX94" s="2085"/>
      <c r="AY94" s="2143">
        <v>3325937</v>
      </c>
      <c r="AZ94" s="2143">
        <v>3322634</v>
      </c>
      <c r="BA94" s="2143">
        <v>3322646</v>
      </c>
      <c r="BB94" s="2085"/>
      <c r="BC94" s="2129"/>
      <c r="BD94" s="1915"/>
      <c r="BE94" s="2129"/>
      <c r="BF94" s="1952"/>
      <c r="BG94" s="2097">
        <v>113535</v>
      </c>
      <c r="BH94" s="2097">
        <v>110589</v>
      </c>
      <c r="BI94" s="2149">
        <v>113753</v>
      </c>
      <c r="BJ94" s="1952"/>
      <c r="BK94" s="2144"/>
      <c r="BL94" s="2080"/>
      <c r="BM94" s="2140"/>
      <c r="BN94" s="2061"/>
    </row>
    <row r="95" spans="1:66" ht="19.5" thickTop="1" thickBot="1" x14ac:dyDescent="0.3">
      <c r="A95" s="1714"/>
      <c r="B95" s="1714"/>
      <c r="C95" s="1743"/>
      <c r="D95" s="2086"/>
      <c r="E95" s="2068"/>
      <c r="F95" s="2062"/>
      <c r="G95" s="2062"/>
      <c r="H95" s="1743"/>
      <c r="I95" s="1743"/>
      <c r="J95" s="1743"/>
      <c r="K95" s="1744"/>
      <c r="L95" s="1734"/>
      <c r="M95" s="1734"/>
      <c r="N95" s="1711"/>
      <c r="O95" s="1711"/>
      <c r="P95" s="1711"/>
      <c r="Q95" s="1711"/>
      <c r="R95" s="2133"/>
      <c r="S95" s="1829"/>
      <c r="T95" s="2134"/>
      <c r="U95" s="2043"/>
      <c r="V95" s="1760"/>
      <c r="W95" s="1760"/>
      <c r="X95" s="1760"/>
      <c r="Y95" s="1760"/>
      <c r="Z95" s="2087"/>
      <c r="AA95" s="2147"/>
      <c r="AB95" s="1748"/>
      <c r="AC95" s="1748"/>
      <c r="AD95" s="2147"/>
      <c r="AE95" s="2150"/>
      <c r="AF95" s="1747"/>
      <c r="AG95" s="1747"/>
      <c r="AH95" s="1892"/>
      <c r="AI95" s="1892"/>
      <c r="AJ95" s="1747"/>
      <c r="AK95" s="2087"/>
      <c r="AL95" s="2147"/>
      <c r="AM95" s="1748"/>
      <c r="AN95" s="1748"/>
      <c r="AO95" s="2147"/>
      <c r="AP95" s="2150"/>
      <c r="AQ95" s="2081"/>
      <c r="AR95" s="2102"/>
      <c r="AS95" s="2151"/>
      <c r="AT95" s="2103"/>
      <c r="AU95" s="2152"/>
      <c r="AV95" s="2136"/>
      <c r="AW95" s="2137"/>
      <c r="AX95" s="2129"/>
      <c r="AY95" s="2085"/>
      <c r="AZ95" s="2085"/>
      <c r="BA95" s="2085"/>
      <c r="BB95" s="2129"/>
      <c r="BC95" s="2153"/>
      <c r="BD95" s="1915"/>
      <c r="BE95" s="1915"/>
      <c r="BF95" s="2129"/>
      <c r="BG95" s="1952"/>
      <c r="BH95" s="1952"/>
      <c r="BI95" s="1952"/>
      <c r="BJ95" s="2129"/>
      <c r="BK95" s="2154"/>
      <c r="BL95" s="2062"/>
      <c r="BM95" s="2140"/>
      <c r="BN95" s="2061"/>
    </row>
    <row r="96" spans="1:66" ht="19.5" thickTop="1" thickBot="1" x14ac:dyDescent="0.3">
      <c r="A96" s="1714"/>
      <c r="B96" s="1714"/>
      <c r="C96" s="1743"/>
      <c r="D96" s="2079"/>
      <c r="E96" s="2073"/>
      <c r="F96" s="2080"/>
      <c r="G96" s="2062"/>
      <c r="H96" s="1743"/>
      <c r="I96" s="1743"/>
      <c r="J96" s="1743"/>
      <c r="K96" s="1744"/>
      <c r="L96" s="1711"/>
      <c r="M96" s="1711"/>
      <c r="N96" s="1711"/>
      <c r="O96" s="1711"/>
      <c r="P96" s="1711"/>
      <c r="Q96" s="1711"/>
      <c r="R96" s="2133"/>
      <c r="S96" s="1829"/>
      <c r="T96" s="2134"/>
      <c r="U96" s="2043"/>
      <c r="V96" s="1760"/>
      <c r="W96" s="1760"/>
      <c r="X96" s="1760"/>
      <c r="Y96" s="1760"/>
      <c r="Z96" s="2087"/>
      <c r="AA96" s="2147"/>
      <c r="AB96" s="1748"/>
      <c r="AC96" s="1748"/>
      <c r="AD96" s="2147"/>
      <c r="AE96" s="2150"/>
      <c r="AF96" s="1747"/>
      <c r="AG96" s="1747"/>
      <c r="AH96" s="1892"/>
      <c r="AI96" s="1892"/>
      <c r="AJ96" s="1747"/>
      <c r="AK96" s="2087"/>
      <c r="AL96" s="2147"/>
      <c r="AM96" s="1748"/>
      <c r="AN96" s="1748"/>
      <c r="AO96" s="2147"/>
      <c r="AP96" s="2150"/>
      <c r="AQ96" s="2155"/>
      <c r="AR96" s="2156"/>
      <c r="AS96" s="2157"/>
      <c r="AT96" s="2158"/>
      <c r="AU96" s="2159"/>
      <c r="AV96" s="2153"/>
      <c r="AW96" s="2160"/>
      <c r="AX96" s="2052"/>
      <c r="AY96" s="2161"/>
      <c r="AZ96" s="2161"/>
      <c r="BA96" s="2161"/>
      <c r="BB96" s="2162"/>
      <c r="BC96" s="2051"/>
      <c r="BD96" s="2163"/>
      <c r="BE96" s="2163"/>
      <c r="BF96" s="2163"/>
      <c r="BG96" s="2161"/>
      <c r="BH96" s="2161"/>
      <c r="BI96" s="2161"/>
      <c r="BJ96" s="2164"/>
      <c r="BK96" s="2165"/>
      <c r="BL96" s="2080"/>
      <c r="BM96" s="2140"/>
      <c r="BN96" s="2061"/>
    </row>
    <row r="97" spans="1:66" ht="19.5" thickTop="1" thickBot="1" x14ac:dyDescent="0.3">
      <c r="A97" s="1714"/>
      <c r="B97" s="1714"/>
      <c r="C97" s="1743"/>
      <c r="D97" s="2086"/>
      <c r="E97" s="2068"/>
      <c r="F97" s="2062"/>
      <c r="G97" s="2062"/>
      <c r="H97" s="1743"/>
      <c r="I97" s="1743"/>
      <c r="J97" s="1743"/>
      <c r="K97" s="1744"/>
      <c r="L97" s="1711"/>
      <c r="M97" s="1711"/>
      <c r="N97" s="1711"/>
      <c r="O97" s="1711"/>
      <c r="P97" s="1711"/>
      <c r="Q97" s="1711"/>
      <c r="R97" s="2133"/>
      <c r="S97" s="1829"/>
      <c r="T97" s="2134"/>
      <c r="U97" s="2043"/>
      <c r="V97" s="1760"/>
      <c r="W97" s="1760"/>
      <c r="X97" s="1760"/>
      <c r="Y97" s="1760"/>
      <c r="Z97" s="2087"/>
      <c r="AA97" s="2147"/>
      <c r="AB97" s="1748"/>
      <c r="AC97" s="1748"/>
      <c r="AD97" s="2147"/>
      <c r="AE97" s="2150"/>
      <c r="AF97" s="1747"/>
      <c r="AG97" s="1747"/>
      <c r="AH97" s="1892"/>
      <c r="AI97" s="1892"/>
      <c r="AJ97" s="1747"/>
      <c r="AK97" s="2087"/>
      <c r="AL97" s="2147"/>
      <c r="AM97" s="1748"/>
      <c r="AN97" s="1748"/>
      <c r="AO97" s="2147"/>
      <c r="AP97" s="2166"/>
      <c r="AQ97" s="2058"/>
      <c r="AR97" s="1748"/>
      <c r="AS97" s="2167"/>
      <c r="AT97" s="2103"/>
      <c r="AU97" s="2168"/>
      <c r="AV97" s="2112"/>
      <c r="AW97" s="1915"/>
      <c r="AX97" s="1788"/>
      <c r="AY97" s="1788"/>
      <c r="AZ97" s="1788"/>
      <c r="BA97" s="1788"/>
      <c r="BC97" s="1788"/>
      <c r="BD97" s="1915"/>
      <c r="BE97" s="1915"/>
      <c r="BF97" s="1915"/>
      <c r="BG97" s="1915"/>
      <c r="BH97" s="2169"/>
      <c r="BI97" s="2169"/>
      <c r="BJ97" s="2062"/>
      <c r="BK97" s="2080"/>
      <c r="BL97" s="2080"/>
      <c r="BM97" s="2140"/>
      <c r="BN97" s="2061"/>
    </row>
    <row r="98" spans="1:66" ht="24.75" thickTop="1" thickBot="1" x14ac:dyDescent="0.3">
      <c r="A98" s="1714"/>
      <c r="B98" s="1714"/>
      <c r="C98" s="1743"/>
      <c r="D98" s="2079"/>
      <c r="E98" s="2073"/>
      <c r="F98" s="2080"/>
      <c r="G98" s="2062"/>
      <c r="H98" s="1743"/>
      <c r="I98" s="1743"/>
      <c r="J98" s="1743"/>
      <c r="K98" s="1744"/>
      <c r="L98" s="1711"/>
      <c r="M98" s="1711"/>
      <c r="N98" s="1711"/>
      <c r="O98" s="1711"/>
      <c r="P98" s="1711"/>
      <c r="Q98" s="1711"/>
      <c r="R98" s="2133"/>
      <c r="S98" s="1829"/>
      <c r="T98" s="2134"/>
      <c r="U98" s="2043"/>
      <c r="V98" s="1760"/>
      <c r="W98" s="1760"/>
      <c r="X98" s="1760"/>
      <c r="Y98" s="1760"/>
      <c r="Z98" s="2087"/>
      <c r="AA98" s="2170"/>
      <c r="AB98" s="2145"/>
      <c r="AC98" s="2145"/>
      <c r="AD98" s="2171"/>
      <c r="AE98" s="1947"/>
      <c r="AF98" s="1788"/>
      <c r="AG98" s="1788"/>
      <c r="AH98" s="1747"/>
      <c r="AI98" s="1747"/>
      <c r="AJ98" s="1788"/>
      <c r="AK98" s="1788"/>
      <c r="AL98" s="1760"/>
      <c r="AM98" s="2147"/>
      <c r="AN98" s="2147"/>
      <c r="AO98" s="1788"/>
      <c r="AP98" s="2166"/>
      <c r="AQ98" s="2058"/>
      <c r="AR98" s="1748"/>
      <c r="AS98" s="2151"/>
      <c r="AT98" s="2103"/>
      <c r="AU98" s="2168"/>
      <c r="AV98" s="2112"/>
      <c r="AW98" s="1915"/>
      <c r="AX98" s="1915"/>
      <c r="AY98" s="2072"/>
      <c r="AZ98" s="2072"/>
      <c r="BA98" s="2072"/>
      <c r="BB98" s="1915"/>
      <c r="BC98" s="1915"/>
      <c r="BD98" s="1915"/>
      <c r="BE98" s="1915"/>
      <c r="BF98" s="1915"/>
      <c r="BG98" s="2072"/>
      <c r="BH98" s="2072"/>
      <c r="BI98" s="1915"/>
      <c r="BJ98" s="1965"/>
      <c r="BK98" s="1915"/>
      <c r="BL98" s="2080"/>
      <c r="BM98" s="1760"/>
      <c r="BN98" s="2061"/>
    </row>
    <row r="99" spans="1:66" ht="19.5" thickTop="1" thickBot="1" x14ac:dyDescent="0.3">
      <c r="A99" s="1714"/>
      <c r="B99" s="1714"/>
      <c r="C99" s="1743"/>
      <c r="D99" s="2086"/>
      <c r="E99" s="2068"/>
      <c r="F99" s="2062"/>
      <c r="G99" s="2062"/>
      <c r="H99" s="1743"/>
      <c r="I99" s="1743"/>
      <c r="J99" s="1743"/>
      <c r="K99" s="1744"/>
      <c r="L99" s="1711"/>
      <c r="M99" s="1711"/>
      <c r="N99" s="1711"/>
      <c r="O99" s="1711"/>
      <c r="P99" s="1711"/>
      <c r="Q99" s="2172"/>
      <c r="R99" s="2173"/>
      <c r="S99" s="2174"/>
      <c r="T99" s="2175"/>
      <c r="U99" s="2043"/>
      <c r="V99" s="2043"/>
      <c r="W99" s="1778"/>
      <c r="X99" s="1742"/>
      <c r="Y99" s="1742"/>
      <c r="Z99" s="1722"/>
      <c r="AA99" s="1778"/>
      <c r="AB99" s="1742"/>
      <c r="AC99" s="1742"/>
      <c r="AD99" s="1742"/>
      <c r="AE99" s="1742"/>
      <c r="AF99" s="1742"/>
      <c r="AG99" s="1788"/>
      <c r="AH99" s="1788"/>
      <c r="AI99" s="1788"/>
      <c r="AJ99" s="1747"/>
      <c r="AK99" s="1747"/>
      <c r="AL99" s="1760"/>
      <c r="AM99" s="1788"/>
      <c r="AN99" s="1747"/>
      <c r="AO99" s="1747"/>
      <c r="AP99" s="2166"/>
      <c r="AQ99" s="2058"/>
      <c r="AR99" s="1748"/>
      <c r="AS99" s="2151"/>
      <c r="AT99" s="2103"/>
      <c r="AU99" s="1756"/>
      <c r="AV99" s="2112"/>
      <c r="AW99" s="1915"/>
      <c r="AX99" s="1915"/>
      <c r="AY99" s="2078"/>
      <c r="AZ99" s="2078"/>
      <c r="BA99" s="2078"/>
      <c r="BB99" s="1711"/>
      <c r="BC99" s="1915"/>
      <c r="BD99" s="1915"/>
      <c r="BE99" s="1915"/>
      <c r="BF99" s="1915"/>
      <c r="BG99" s="2078"/>
      <c r="BH99" s="2078"/>
      <c r="BI99" s="2105"/>
      <c r="BJ99" s="2105"/>
      <c r="BK99" s="1915"/>
      <c r="BL99" s="2080"/>
      <c r="BM99" s="1760"/>
      <c r="BN99" s="2061"/>
    </row>
    <row r="100" spans="1:66" ht="19.5" thickTop="1" thickBot="1" x14ac:dyDescent="0.3">
      <c r="A100" s="1714"/>
      <c r="B100" s="1714"/>
      <c r="C100" s="1743"/>
      <c r="D100" s="2079"/>
      <c r="E100" s="2073"/>
      <c r="F100" s="2080"/>
      <c r="G100" s="2062"/>
      <c r="H100" s="1743"/>
      <c r="I100" s="1743"/>
      <c r="J100" s="1743"/>
      <c r="K100" s="1744"/>
      <c r="L100" s="1711"/>
      <c r="M100" s="1734"/>
      <c r="N100" s="1734"/>
      <c r="O100" s="1734"/>
      <c r="P100" s="1734"/>
      <c r="Q100" s="1734"/>
      <c r="R100" s="1742"/>
      <c r="S100" s="1742"/>
      <c r="T100" s="1742"/>
      <c r="U100" s="2176"/>
      <c r="V100" s="1917"/>
      <c r="W100" s="1742"/>
      <c r="X100" s="2177"/>
      <c r="Y100" s="2178"/>
      <c r="Z100" s="2179"/>
      <c r="AA100" s="2180"/>
      <c r="AB100" s="2180"/>
      <c r="AC100" s="2177"/>
      <c r="AD100" s="2177"/>
      <c r="AE100" s="2177"/>
      <c r="AF100" s="2177"/>
      <c r="AG100" s="2178"/>
      <c r="AH100" s="1788"/>
      <c r="AI100" s="1788"/>
      <c r="AJ100" s="1788"/>
      <c r="AK100" s="1788"/>
      <c r="AL100" s="1788"/>
      <c r="AM100" s="1747"/>
      <c r="AN100" s="1747"/>
      <c r="AO100" s="1747"/>
      <c r="AP100" s="2166"/>
      <c r="AQ100" s="2058"/>
      <c r="AR100" s="1748"/>
      <c r="AS100" s="2151"/>
      <c r="AT100" s="2103"/>
      <c r="AU100" s="2168"/>
      <c r="AV100" s="2112"/>
      <c r="AW100" s="1915"/>
      <c r="AX100" s="2084"/>
      <c r="AY100" s="2085"/>
      <c r="AZ100" s="2085"/>
      <c r="BA100" s="2085"/>
      <c r="BB100" s="2078"/>
      <c r="BC100" s="1915"/>
      <c r="BD100" s="1915"/>
      <c r="BE100" s="1915"/>
      <c r="BF100" s="2084"/>
      <c r="BG100" s="1952"/>
      <c r="BH100" s="1952"/>
      <c r="BI100" s="2078"/>
      <c r="BJ100" s="2181"/>
      <c r="BK100" s="1915"/>
      <c r="BL100" s="2080"/>
      <c r="BM100" s="2182"/>
      <c r="BN100" s="1712"/>
    </row>
    <row r="101" spans="1:66" ht="22.5" thickTop="1" thickBot="1" x14ac:dyDescent="0.3">
      <c r="A101" s="1714"/>
      <c r="B101" s="1714"/>
      <c r="C101" s="1743"/>
      <c r="D101" s="2086"/>
      <c r="E101" s="2068"/>
      <c r="F101" s="2062"/>
      <c r="G101" s="2062"/>
      <c r="H101" s="1743"/>
      <c r="I101" s="1743"/>
      <c r="J101" s="1743"/>
      <c r="K101" s="1744"/>
      <c r="L101" s="1711"/>
      <c r="M101" s="1734"/>
      <c r="N101" s="1734"/>
      <c r="O101" s="1734"/>
      <c r="P101" s="1734"/>
      <c r="Q101" s="1734"/>
      <c r="R101" s="1742"/>
      <c r="S101" s="1742"/>
      <c r="T101" s="1742"/>
      <c r="U101" s="2183"/>
      <c r="V101" s="1917"/>
      <c r="W101" s="1742"/>
      <c r="X101" s="1742"/>
      <c r="Y101" s="1919"/>
      <c r="Z101" s="2184"/>
      <c r="AA101" s="1778"/>
      <c r="AB101" s="1778"/>
      <c r="AC101" s="1742"/>
      <c r="AD101" s="1778"/>
      <c r="AE101" s="1742"/>
      <c r="AF101" s="1742"/>
      <c r="AG101" s="1919"/>
      <c r="AH101" s="1788"/>
      <c r="AI101" s="1747"/>
      <c r="AJ101" s="1875"/>
      <c r="AK101" s="1875"/>
      <c r="AL101" s="1788"/>
      <c r="AM101" s="1747"/>
      <c r="AN101" s="1747"/>
      <c r="AO101" s="1747"/>
      <c r="AP101" s="2166"/>
      <c r="AQ101" s="2058"/>
      <c r="AR101" s="1748"/>
      <c r="AU101" s="2159"/>
      <c r="AV101" s="2185"/>
      <c r="AW101" s="2078"/>
      <c r="AX101" s="2085"/>
      <c r="AY101" s="1955">
        <v>3322656</v>
      </c>
      <c r="AZ101" s="1955">
        <v>3325934</v>
      </c>
      <c r="BA101" s="1955">
        <v>3322636</v>
      </c>
      <c r="BB101" s="2085"/>
      <c r="BC101" s="2078"/>
      <c r="BD101" s="1915"/>
      <c r="BE101" s="2078"/>
      <c r="BF101" s="1952"/>
      <c r="BG101" s="1955">
        <v>110629</v>
      </c>
      <c r="BH101" s="2186">
        <v>110583</v>
      </c>
      <c r="BI101" s="1952"/>
      <c r="BJ101" s="2078"/>
      <c r="BK101" s="1915"/>
      <c r="BL101" s="2080"/>
      <c r="BM101" s="2114"/>
      <c r="BN101" s="1712"/>
    </row>
    <row r="102" spans="1:66" ht="18.75" thickBot="1" x14ac:dyDescent="0.3">
      <c r="A102" s="1714"/>
      <c r="B102" s="1714"/>
      <c r="C102" s="1743"/>
      <c r="D102" s="2079"/>
      <c r="E102" s="2073"/>
      <c r="F102" s="2080"/>
      <c r="G102" s="2062"/>
      <c r="H102" s="1743"/>
      <c r="I102" s="1743"/>
      <c r="J102" s="1743"/>
      <c r="K102" s="1744"/>
      <c r="L102" s="1711"/>
      <c r="M102" s="1721"/>
      <c r="N102" s="1721"/>
      <c r="O102" s="1721"/>
      <c r="P102" s="1721"/>
      <c r="Q102" s="1721"/>
      <c r="R102" s="1722"/>
      <c r="S102" s="1722"/>
      <c r="T102" s="1722"/>
      <c r="U102" s="2187"/>
      <c r="V102" s="1921"/>
      <c r="W102" s="1722"/>
      <c r="X102" s="1722"/>
      <c r="Y102" s="2188"/>
      <c r="Z102" s="2184"/>
      <c r="AA102" s="1778"/>
      <c r="AB102" s="1778"/>
      <c r="AC102" s="1742"/>
      <c r="AD102" s="1778"/>
      <c r="AE102" s="1742"/>
      <c r="AF102" s="1742"/>
      <c r="AG102" s="2189"/>
      <c r="AH102" s="1760"/>
      <c r="AI102" s="2081"/>
      <c r="AJ102" s="2090"/>
      <c r="AK102" s="2090"/>
      <c r="AL102" s="2082"/>
      <c r="AM102" s="1747"/>
      <c r="AN102" s="1747"/>
      <c r="AO102" s="1747"/>
      <c r="AP102" s="1747"/>
      <c r="AQ102" s="2058"/>
      <c r="AR102" s="1748"/>
      <c r="AS102" s="1714"/>
      <c r="AT102" s="2190"/>
      <c r="AU102" s="2191"/>
      <c r="AV102" s="2192"/>
      <c r="AW102" s="2078"/>
      <c r="AX102" s="2085"/>
      <c r="AY102" s="2193">
        <v>3322576</v>
      </c>
      <c r="AZ102" s="2097">
        <v>3325955</v>
      </c>
      <c r="BA102" s="2097">
        <v>3325930</v>
      </c>
      <c r="BB102" s="2085"/>
      <c r="BC102" s="2078"/>
      <c r="BD102" s="1915"/>
      <c r="BE102" s="2078"/>
      <c r="BF102" s="1952"/>
      <c r="BG102" s="1959">
        <v>110567</v>
      </c>
      <c r="BH102" s="2186">
        <v>110561</v>
      </c>
      <c r="BI102" s="1952"/>
      <c r="BJ102" s="2078"/>
      <c r="BK102" s="1915"/>
      <c r="BL102" s="2068"/>
      <c r="BM102" s="2123"/>
      <c r="BN102" s="1712"/>
    </row>
    <row r="103" spans="1:66" ht="21" x14ac:dyDescent="0.25">
      <c r="A103" s="1714"/>
      <c r="B103" s="1714"/>
      <c r="C103" s="1743"/>
      <c r="D103" s="2086"/>
      <c r="E103" s="2068"/>
      <c r="F103" s="2062"/>
      <c r="G103" s="2062"/>
      <c r="H103" s="1743"/>
      <c r="I103" s="1743"/>
      <c r="J103" s="1743"/>
      <c r="K103" s="1744"/>
      <c r="L103" s="1734"/>
      <c r="M103" s="1734"/>
      <c r="N103" s="1734"/>
      <c r="O103" s="1732"/>
      <c r="P103" s="1862"/>
      <c r="Q103" s="1734"/>
      <c r="R103" s="1778"/>
      <c r="S103" s="1778"/>
      <c r="T103" s="1778"/>
      <c r="U103" s="2183"/>
      <c r="V103" s="2043"/>
      <c r="W103" s="1742"/>
      <c r="X103" s="1742"/>
      <c r="Y103" s="1818"/>
      <c r="Z103" s="2184"/>
      <c r="AA103" s="1778"/>
      <c r="AB103" s="2194"/>
      <c r="AC103" s="2194"/>
      <c r="AD103" s="2194"/>
      <c r="AE103" s="2194"/>
      <c r="AF103" s="1742"/>
      <c r="AG103" s="2195"/>
      <c r="AH103" s="2087"/>
      <c r="AI103" s="2090"/>
      <c r="AJ103" s="1748"/>
      <c r="AK103" s="1748"/>
      <c r="AL103" s="2090"/>
      <c r="AM103" s="1747"/>
      <c r="AN103" s="1747"/>
      <c r="AO103" s="1747"/>
      <c r="AP103" s="1747"/>
      <c r="AQ103" s="2155"/>
      <c r="AR103" s="2156"/>
      <c r="AS103" s="1714"/>
      <c r="AT103" s="2196"/>
      <c r="AU103" s="2197"/>
      <c r="AV103" s="2198"/>
      <c r="AW103" s="1915"/>
      <c r="AX103" s="2078"/>
      <c r="AY103" s="2085"/>
      <c r="AZ103" s="2085"/>
      <c r="BA103" s="2085"/>
      <c r="BB103" s="2078"/>
      <c r="BC103" s="1915"/>
      <c r="BD103" s="1915"/>
      <c r="BE103" s="1915"/>
      <c r="BF103" s="2078"/>
      <c r="BG103" s="1952"/>
      <c r="BH103" s="1952"/>
      <c r="BI103" s="2078"/>
      <c r="BJ103" s="2105"/>
      <c r="BK103" s="1915"/>
      <c r="BL103" s="2199"/>
      <c r="BM103" s="1760"/>
      <c r="BN103" s="2061"/>
    </row>
    <row r="104" spans="1:66" ht="18" x14ac:dyDescent="0.25">
      <c r="A104" s="1714"/>
      <c r="B104" s="1714"/>
      <c r="C104" s="1743"/>
      <c r="D104" s="2079"/>
      <c r="E104" s="2073"/>
      <c r="F104" s="2080"/>
      <c r="G104" s="2062"/>
      <c r="H104" s="1743"/>
      <c r="I104" s="1743"/>
      <c r="J104" s="1743"/>
      <c r="K104" s="1744"/>
      <c r="L104" s="1734"/>
      <c r="M104" s="1734"/>
      <c r="N104" s="1734"/>
      <c r="O104" s="1732"/>
      <c r="P104" s="1711"/>
      <c r="Q104" s="1734"/>
      <c r="R104" s="1742"/>
      <c r="S104" s="1742"/>
      <c r="T104" s="1742"/>
      <c r="U104" s="2183"/>
      <c r="V104" s="1917"/>
      <c r="W104" s="1742"/>
      <c r="X104" s="1742"/>
      <c r="Y104" s="1818"/>
      <c r="Z104" s="2184"/>
      <c r="AA104" s="1778"/>
      <c r="AB104" s="2194"/>
      <c r="AC104" s="2194"/>
      <c r="AD104" s="2194"/>
      <c r="AE104" s="2194"/>
      <c r="AF104" s="1742"/>
      <c r="AG104" s="2189"/>
      <c r="AH104" s="2087"/>
      <c r="AI104" s="2090"/>
      <c r="AJ104" s="1748"/>
      <c r="AK104" s="1748"/>
      <c r="AL104" s="2090"/>
      <c r="AM104" s="2150"/>
      <c r="AN104" s="1747"/>
      <c r="AO104" s="1747"/>
      <c r="AP104" s="1742"/>
      <c r="AQ104" s="2155"/>
      <c r="AR104" s="2156"/>
      <c r="AS104" s="2200"/>
      <c r="AT104" s="2196"/>
      <c r="AU104" s="2201"/>
      <c r="AV104" s="2112"/>
      <c r="AW104" s="1915"/>
      <c r="AX104" s="1714"/>
      <c r="AY104" s="2078"/>
      <c r="AZ104" s="2078"/>
      <c r="BA104" s="2078"/>
      <c r="BB104" s="1711"/>
      <c r="BC104" s="1915"/>
      <c r="BD104" s="1915"/>
      <c r="BE104" s="1915"/>
      <c r="BF104" s="1915"/>
      <c r="BG104" s="2078"/>
      <c r="BH104" s="2078"/>
      <c r="BI104" s="2105"/>
      <c r="BJ104" s="2105"/>
      <c r="BK104" s="1915"/>
      <c r="BL104" s="2080"/>
      <c r="BM104" s="1747"/>
      <c r="BN104" s="2061"/>
    </row>
    <row r="105" spans="1:66" ht="18.75" thickBot="1" x14ac:dyDescent="0.3">
      <c r="A105" s="1714"/>
      <c r="B105" s="1714"/>
      <c r="C105" s="1743"/>
      <c r="D105" s="2086"/>
      <c r="E105" s="2068"/>
      <c r="F105" s="2062"/>
      <c r="G105" s="2062"/>
      <c r="H105" s="1743"/>
      <c r="I105" s="1743"/>
      <c r="J105" s="1743"/>
      <c r="K105" s="1744"/>
      <c r="L105" s="1960"/>
      <c r="M105" s="1734"/>
      <c r="N105" s="1734"/>
      <c r="O105" s="1734"/>
      <c r="P105" s="1734"/>
      <c r="Q105" s="1734"/>
      <c r="R105" s="1742"/>
      <c r="S105" s="1742"/>
      <c r="T105" s="1742"/>
      <c r="U105" s="2183"/>
      <c r="V105" s="1917"/>
      <c r="W105" s="1742"/>
      <c r="X105" s="1742"/>
      <c r="Y105" s="1919"/>
      <c r="Z105" s="2184"/>
      <c r="AA105" s="1778"/>
      <c r="AB105" s="1778"/>
      <c r="AC105" s="1742"/>
      <c r="AD105" s="1778"/>
      <c r="AE105" s="1742"/>
      <c r="AF105" s="1742"/>
      <c r="AG105" s="2189"/>
      <c r="AH105" s="2087"/>
      <c r="AI105" s="2090"/>
      <c r="AJ105" s="1748"/>
      <c r="AK105" s="1748"/>
      <c r="AL105" s="2090"/>
      <c r="AM105" s="2150"/>
      <c r="AN105" s="1747"/>
      <c r="AO105" s="1747"/>
      <c r="AP105" s="1742"/>
      <c r="AQ105" s="2202"/>
      <c r="AR105" s="2203"/>
      <c r="AS105" s="2200"/>
      <c r="AT105" s="2196"/>
      <c r="AU105" s="1760"/>
      <c r="AV105" s="1760"/>
      <c r="AW105" s="1915"/>
      <c r="AX105" s="1915"/>
      <c r="AY105" s="1915"/>
      <c r="AZ105" s="1915"/>
      <c r="BA105" s="1915"/>
      <c r="BB105" s="1915"/>
      <c r="BC105" s="1915"/>
      <c r="BD105" s="1915"/>
      <c r="BE105" s="1915"/>
      <c r="BF105" s="1915"/>
      <c r="BG105" s="2072"/>
      <c r="BH105" s="2072"/>
      <c r="BI105" s="2105"/>
      <c r="BJ105" s="1965"/>
      <c r="BK105" s="1915"/>
      <c r="BL105" s="2204"/>
      <c r="BM105" s="1747"/>
      <c r="BN105" s="2061"/>
    </row>
    <row r="106" spans="1:66" ht="20.25" thickTop="1" thickBot="1" x14ac:dyDescent="0.3">
      <c r="A106" s="1714"/>
      <c r="B106" s="1714"/>
      <c r="C106" s="1743"/>
      <c r="D106" s="2079"/>
      <c r="E106" s="2073"/>
      <c r="F106" s="2080"/>
      <c r="G106" s="2062"/>
      <c r="H106" s="1743"/>
      <c r="I106" s="1743"/>
      <c r="J106" s="1743"/>
      <c r="K106" s="1744"/>
      <c r="L106" s="1734"/>
      <c r="M106" s="1734"/>
      <c r="N106" s="1734"/>
      <c r="O106" s="1734"/>
      <c r="P106" s="1734"/>
      <c r="Q106" s="1734"/>
      <c r="R106" s="1742"/>
      <c r="S106" s="1742"/>
      <c r="T106" s="1742"/>
      <c r="U106" s="2183"/>
      <c r="V106" s="1917"/>
      <c r="W106" s="1742"/>
      <c r="X106" s="1742"/>
      <c r="Y106" s="1919"/>
      <c r="Z106" s="2184"/>
      <c r="AA106" s="1778"/>
      <c r="AB106" s="1778"/>
      <c r="AC106" s="1742"/>
      <c r="AD106" s="1778"/>
      <c r="AE106" s="1742"/>
      <c r="AF106" s="1742"/>
      <c r="AG106" s="1919"/>
      <c r="AH106" s="1760"/>
      <c r="AI106" s="1788"/>
      <c r="AJ106" s="2090"/>
      <c r="AK106" s="2205"/>
      <c r="AL106" s="1788"/>
      <c r="AM106" s="1947"/>
      <c r="AN106" s="1747"/>
      <c r="AO106" s="1747"/>
      <c r="AP106" s="1742"/>
      <c r="AQ106" s="2153"/>
      <c r="AR106" s="2206"/>
      <c r="AS106" s="2200"/>
      <c r="AT106" s="2196"/>
      <c r="AU106" s="1712"/>
      <c r="AV106" s="1712"/>
      <c r="AW106" s="1915"/>
      <c r="AX106" s="1915"/>
      <c r="AY106" s="1915"/>
      <c r="AZ106" s="1915"/>
      <c r="BA106" s="1915"/>
      <c r="BB106" s="1915"/>
      <c r="BC106" s="1915"/>
      <c r="BD106" s="1915"/>
      <c r="BE106" s="1915"/>
      <c r="BF106" s="1915"/>
      <c r="BG106" s="2078"/>
      <c r="BH106" s="2078"/>
      <c r="BI106" s="1915"/>
      <c r="BK106" s="1965"/>
      <c r="BL106" s="2073"/>
      <c r="BM106" s="1747"/>
      <c r="BN106" s="2061"/>
    </row>
    <row r="107" spans="1:66" ht="22.5" thickTop="1" thickBot="1" x14ac:dyDescent="0.3">
      <c r="A107" s="1714"/>
      <c r="B107" s="1714"/>
      <c r="C107" s="1743"/>
      <c r="D107" s="2073"/>
      <c r="E107" s="2080"/>
      <c r="F107" s="2207"/>
      <c r="G107" s="2062"/>
      <c r="H107" s="1743"/>
      <c r="I107" s="1743"/>
      <c r="J107" s="1743"/>
      <c r="K107" s="1744"/>
      <c r="L107" s="1793"/>
      <c r="M107" s="1793"/>
      <c r="N107" s="1743"/>
      <c r="O107" s="1743"/>
      <c r="P107" s="1743"/>
      <c r="Q107" s="1743"/>
      <c r="R107" s="1791"/>
      <c r="S107" s="1791"/>
      <c r="T107" s="1791"/>
      <c r="U107" s="2183"/>
      <c r="V107" s="1917"/>
      <c r="W107" s="1742"/>
      <c r="X107" s="1737"/>
      <c r="Y107" s="2208"/>
      <c r="Z107" s="2209"/>
      <c r="AA107" s="2210"/>
      <c r="AB107" s="2210"/>
      <c r="AC107" s="1737"/>
      <c r="AD107" s="2210"/>
      <c r="AE107" s="1737"/>
      <c r="AF107" s="1737"/>
      <c r="AG107" s="2208"/>
      <c r="AH107" s="1760"/>
      <c r="AI107" s="1760"/>
      <c r="AJ107" s="2211"/>
      <c r="AK107" s="2211"/>
      <c r="AL107" s="1788"/>
      <c r="AM107" s="1788"/>
      <c r="AN107" s="1747"/>
      <c r="AO107" s="1747"/>
      <c r="AP107" s="1788"/>
      <c r="AQ107" s="2212"/>
      <c r="AR107" s="2213"/>
      <c r="AS107" s="2200"/>
      <c r="AT107" s="2196"/>
      <c r="AU107" s="1712"/>
      <c r="AV107" s="1712"/>
      <c r="AW107" s="2068"/>
      <c r="AX107" s="2068"/>
      <c r="AY107" s="1788"/>
      <c r="AZ107" s="1788"/>
      <c r="BA107" s="1760"/>
      <c r="BB107" s="1712"/>
      <c r="BC107" s="2068"/>
      <c r="BD107" s="1712"/>
      <c r="BE107" s="1712"/>
      <c r="BF107" s="2078"/>
      <c r="BG107" s="1949"/>
      <c r="BH107" s="1949"/>
      <c r="BI107" s="2078"/>
      <c r="BJ107" s="2214"/>
      <c r="BK107" s="2105"/>
      <c r="BL107" s="2073"/>
      <c r="BM107" s="1747"/>
      <c r="BN107" s="2061"/>
    </row>
    <row r="108" spans="1:66" ht="18.75" thickBot="1" x14ac:dyDescent="0.3">
      <c r="A108" s="1714"/>
      <c r="B108" s="1714"/>
      <c r="C108" s="1743"/>
      <c r="D108" s="1743"/>
      <c r="E108" s="1743"/>
      <c r="F108" s="1743"/>
      <c r="G108" s="1743"/>
      <c r="H108" s="1743"/>
      <c r="I108" s="1743"/>
      <c r="J108" s="1743"/>
      <c r="K108" s="1744"/>
      <c r="L108" s="1793"/>
      <c r="M108" s="1793"/>
      <c r="N108" s="1743"/>
      <c r="O108" s="1743"/>
      <c r="P108" s="1743"/>
      <c r="Q108" s="1743"/>
      <c r="R108" s="1791"/>
      <c r="S108" s="1791"/>
      <c r="T108" s="2215"/>
      <c r="U108" s="2216"/>
      <c r="V108" s="1917"/>
      <c r="W108" s="1742"/>
      <c r="X108" s="1742"/>
      <c r="Y108" s="1742"/>
      <c r="Z108" s="1778"/>
      <c r="AA108" s="1778"/>
      <c r="AB108" s="1778"/>
      <c r="AC108" s="1742"/>
      <c r="AD108" s="1742"/>
      <c r="AE108" s="1742"/>
      <c r="AF108" s="1742"/>
      <c r="AG108" s="1742"/>
      <c r="AH108" s="1742"/>
      <c r="AI108" s="1788"/>
      <c r="AJ108" s="1788"/>
      <c r="AK108" s="1788"/>
      <c r="AL108" s="1788"/>
      <c r="AM108" s="1788"/>
      <c r="AN108" s="1788"/>
      <c r="AO108" s="1788"/>
      <c r="AP108" s="1788"/>
      <c r="AQ108" s="1788"/>
      <c r="AR108" s="2203"/>
      <c r="AS108" s="2200"/>
      <c r="AT108" s="2196"/>
      <c r="AU108" s="1712"/>
      <c r="AV108" s="1712"/>
      <c r="AW108" s="2068"/>
      <c r="AY108" s="1914"/>
      <c r="AZ108" s="1914"/>
      <c r="BA108" s="1914"/>
      <c r="BB108" s="1712"/>
      <c r="BC108" s="1712"/>
      <c r="BD108" s="1712"/>
      <c r="BE108" s="2078"/>
      <c r="BF108" s="1952"/>
      <c r="BG108" s="1959">
        <v>110576</v>
      </c>
      <c r="BH108" s="1953">
        <v>110555</v>
      </c>
      <c r="BI108" s="1952"/>
      <c r="BJ108" s="2078"/>
      <c r="BK108" s="1712"/>
      <c r="BL108" s="2073"/>
      <c r="BM108" s="2140"/>
      <c r="BN108" s="2061"/>
    </row>
    <row r="109" spans="1:66" ht="19.5" thickTop="1" thickBot="1" x14ac:dyDescent="0.3">
      <c r="A109" s="1714"/>
      <c r="B109" s="1714"/>
      <c r="C109" s="1743"/>
      <c r="D109" s="1743"/>
      <c r="E109" s="1743"/>
      <c r="F109" s="1743"/>
      <c r="G109" s="1743"/>
      <c r="H109" s="1743"/>
      <c r="I109" s="1743"/>
      <c r="J109" s="1743"/>
      <c r="K109" s="1744"/>
      <c r="L109" s="1793"/>
      <c r="M109" s="1793"/>
      <c r="N109" s="1743"/>
      <c r="O109" s="1743"/>
      <c r="P109" s="1743"/>
      <c r="Q109" s="1743"/>
      <c r="R109" s="1791"/>
      <c r="S109" s="1791"/>
      <c r="T109" s="2215"/>
      <c r="U109" s="1917"/>
      <c r="V109" s="1917"/>
      <c r="W109" s="1742"/>
      <c r="X109" s="1742"/>
      <c r="Y109" s="1742"/>
      <c r="Z109" s="1742"/>
      <c r="AA109" s="1742"/>
      <c r="AB109" s="1742"/>
      <c r="AC109" s="1742"/>
      <c r="AD109" s="1742"/>
      <c r="AE109" s="1742"/>
      <c r="AF109" s="1742"/>
      <c r="AG109" s="1742"/>
      <c r="AH109" s="1742"/>
      <c r="AI109" s="1742"/>
      <c r="AJ109" s="1742"/>
      <c r="AK109" s="1788"/>
      <c r="AL109" s="1788"/>
      <c r="AM109" s="1788"/>
      <c r="AN109" s="1788"/>
      <c r="AO109" s="1788"/>
      <c r="AP109" s="1788"/>
      <c r="AQ109" s="2202"/>
      <c r="AR109" s="2206"/>
      <c r="AS109" s="2200"/>
      <c r="AT109" s="2217"/>
      <c r="AU109" s="1712"/>
      <c r="AV109" s="1712"/>
      <c r="AW109" s="2068"/>
      <c r="AY109" s="1914"/>
      <c r="AZ109" s="1914"/>
      <c r="BA109" s="1914"/>
      <c r="BB109" s="1712"/>
      <c r="BE109" s="2078"/>
      <c r="BF109" s="1952"/>
      <c r="BG109" s="1959">
        <v>110570</v>
      </c>
      <c r="BH109" s="1954">
        <v>113751</v>
      </c>
      <c r="BI109" s="1952"/>
      <c r="BJ109" s="2078"/>
      <c r="BK109" s="1712"/>
      <c r="BL109" s="2073"/>
      <c r="BM109" s="2140"/>
      <c r="BN109" s="2061"/>
    </row>
    <row r="110" spans="1:66" ht="20.25" thickTop="1" thickBot="1" x14ac:dyDescent="0.3">
      <c r="A110" s="1714"/>
      <c r="B110" s="1714"/>
      <c r="C110" s="1743"/>
      <c r="D110" s="1743"/>
      <c r="E110" s="1743"/>
      <c r="F110" s="1743"/>
      <c r="G110" s="1743"/>
      <c r="H110" s="1743"/>
      <c r="I110" s="1743"/>
      <c r="J110" s="1743"/>
      <c r="K110" s="1744"/>
      <c r="L110" s="1793"/>
      <c r="M110" s="1793"/>
      <c r="N110" s="1743"/>
      <c r="O110" s="1743"/>
      <c r="P110" s="1743"/>
      <c r="Q110" s="1743"/>
      <c r="R110" s="1791"/>
      <c r="S110" s="2218"/>
      <c r="T110" s="2219"/>
      <c r="U110" s="2185"/>
      <c r="V110" s="2185"/>
      <c r="W110" s="1791"/>
      <c r="X110" s="1742"/>
      <c r="Y110" s="1791"/>
      <c r="Z110" s="1791"/>
      <c r="AA110" s="1742"/>
      <c r="AB110" s="1742"/>
      <c r="AC110" s="1742"/>
      <c r="AD110" s="1787"/>
      <c r="AE110" s="1787"/>
      <c r="AF110" s="1787"/>
      <c r="AG110" s="1791"/>
      <c r="AH110" s="1791"/>
      <c r="AI110" s="1791"/>
      <c r="AJ110" s="1791"/>
      <c r="AK110" s="1747"/>
      <c r="AL110" s="1747"/>
      <c r="AM110" s="1747"/>
      <c r="AN110" s="1747"/>
      <c r="AO110" s="1747"/>
      <c r="AP110" s="1747"/>
      <c r="AQ110" s="1747"/>
      <c r="AR110" s="2213"/>
      <c r="AS110" s="2200"/>
      <c r="AT110" s="2220"/>
      <c r="AU110" s="1712"/>
      <c r="AV110" s="1712"/>
      <c r="AW110" s="2068"/>
      <c r="AX110" s="1712"/>
      <c r="AY110" s="2221"/>
      <c r="AZ110" s="2221"/>
      <c r="BA110" s="2221"/>
      <c r="BB110" s="1712"/>
      <c r="BF110" s="2078"/>
      <c r="BG110" s="1949"/>
      <c r="BH110" s="1949"/>
      <c r="BI110" s="2078"/>
      <c r="BJ110" s="1714"/>
      <c r="BK110" s="1712"/>
      <c r="BL110" s="2073"/>
      <c r="BM110" s="2140"/>
      <c r="BN110" s="2061"/>
    </row>
    <row r="111" spans="1:66" ht="19.5" thickTop="1" thickBot="1" x14ac:dyDescent="0.3">
      <c r="A111" s="1714"/>
      <c r="B111" s="1714"/>
      <c r="C111" s="1743"/>
      <c r="D111" s="1743"/>
      <c r="E111" s="1743"/>
      <c r="F111" s="1743"/>
      <c r="G111" s="1743"/>
      <c r="H111" s="1743"/>
      <c r="I111" s="1743"/>
      <c r="J111" s="1743"/>
      <c r="K111" s="1744"/>
      <c r="L111" s="1793"/>
      <c r="M111" s="1793"/>
      <c r="N111" s="1743"/>
      <c r="O111" s="1743"/>
      <c r="P111" s="1743"/>
      <c r="Q111" s="1743"/>
      <c r="R111" s="1791"/>
      <c r="S111" s="2222"/>
      <c r="T111" s="2223"/>
      <c r="U111" s="2185"/>
      <c r="V111" s="2185"/>
      <c r="W111" s="1791"/>
      <c r="X111" s="1742"/>
      <c r="Y111" s="1791"/>
      <c r="Z111" s="1788"/>
      <c r="AA111" s="1788"/>
      <c r="AB111" s="1788"/>
      <c r="AC111" s="1788"/>
      <c r="AD111" s="1788"/>
      <c r="AE111" s="1788"/>
      <c r="AF111" s="1788"/>
      <c r="AG111" s="1788"/>
      <c r="AH111" s="1788"/>
      <c r="AI111" s="1788"/>
      <c r="AJ111" s="1788"/>
      <c r="AK111" s="1747"/>
      <c r="AL111" s="1747"/>
      <c r="AM111" s="1747"/>
      <c r="AN111" s="1747"/>
      <c r="AO111" s="1747"/>
      <c r="AP111" s="1747"/>
      <c r="AQ111" s="1747"/>
      <c r="AR111" s="2203"/>
      <c r="AS111" s="2200"/>
      <c r="AT111" s="2103"/>
      <c r="AU111" s="1712"/>
      <c r="AV111" s="2080"/>
      <c r="AW111" s="2068"/>
      <c r="AX111" s="1712"/>
      <c r="AY111" s="1760"/>
      <c r="AZ111" s="1760"/>
      <c r="BA111" s="1760"/>
      <c r="BB111" s="1712"/>
      <c r="BF111" s="1712"/>
      <c r="BG111" s="2224"/>
      <c r="BH111" s="2224"/>
      <c r="BI111" s="2062"/>
      <c r="BJ111" s="1714"/>
      <c r="BK111" s="1712"/>
      <c r="BL111" s="2073"/>
      <c r="BM111" s="2140"/>
      <c r="BN111" s="2061"/>
    </row>
    <row r="112" spans="1:66" ht="19.5" thickTop="1" thickBot="1" x14ac:dyDescent="0.3">
      <c r="A112" s="1714"/>
      <c r="B112" s="1714"/>
      <c r="C112" s="1743"/>
      <c r="D112" s="1743"/>
      <c r="E112" s="1743"/>
      <c r="F112" s="2029"/>
      <c r="G112" s="2029"/>
      <c r="H112" s="2029"/>
      <c r="I112" s="2029"/>
      <c r="J112" s="2029"/>
      <c r="K112" s="2225"/>
      <c r="L112" s="2226"/>
      <c r="M112" s="2226"/>
      <c r="N112" s="2029"/>
      <c r="O112" s="2029"/>
      <c r="P112" s="2029"/>
      <c r="Q112" s="2029"/>
      <c r="R112" s="2227"/>
      <c r="S112" s="2228"/>
      <c r="T112" s="2229"/>
      <c r="U112" s="2185"/>
      <c r="V112" s="2185"/>
      <c r="W112" s="1791"/>
      <c r="X112" s="1742"/>
      <c r="Y112" s="1791"/>
      <c r="Z112" s="1788"/>
      <c r="AA112" s="1788"/>
      <c r="AB112" s="1788"/>
      <c r="AC112" s="1788"/>
      <c r="AD112" s="1788"/>
      <c r="AE112" s="1788"/>
      <c r="AF112" s="1788"/>
      <c r="AG112" s="1788"/>
      <c r="AH112" s="1788"/>
      <c r="AI112" s="1788"/>
      <c r="AJ112" s="1788"/>
      <c r="AK112" s="1747"/>
      <c r="AL112" s="1747"/>
      <c r="AM112" s="1747"/>
      <c r="AN112" s="1747"/>
      <c r="AO112" s="1747"/>
      <c r="AP112" s="1747"/>
      <c r="AQ112" s="1747"/>
      <c r="AR112" s="2206"/>
      <c r="AS112" s="2200"/>
      <c r="AT112" s="2103"/>
      <c r="AU112" s="2023"/>
      <c r="AV112" s="2204"/>
      <c r="AW112" s="2068"/>
      <c r="AX112" s="1712"/>
      <c r="AY112" s="1712"/>
      <c r="AZ112" s="1712"/>
      <c r="BA112" s="1712"/>
      <c r="BB112" s="1712"/>
      <c r="BC112" s="1712"/>
      <c r="BD112" s="1712"/>
      <c r="BE112" s="1712"/>
      <c r="BK112" s="1712"/>
      <c r="BL112" s="2073"/>
      <c r="BM112" s="2140"/>
      <c r="BN112" s="2061"/>
    </row>
    <row r="113" spans="1:66" ht="21.75" thickBot="1" x14ac:dyDescent="0.3">
      <c r="A113" s="1714"/>
      <c r="B113" s="1714"/>
      <c r="C113" s="1743"/>
      <c r="D113" s="1743"/>
      <c r="E113" s="1744"/>
      <c r="F113" s="1714"/>
      <c r="G113" s="1714"/>
      <c r="H113" s="1714"/>
      <c r="I113" s="1743"/>
      <c r="J113" s="1743"/>
      <c r="K113" s="1743"/>
      <c r="L113" s="1743"/>
      <c r="M113" s="1743"/>
      <c r="N113" s="1743"/>
      <c r="O113" s="1743"/>
      <c r="P113" s="1743"/>
      <c r="Q113" s="1743"/>
      <c r="R113" s="1791"/>
      <c r="S113" s="1791"/>
      <c r="T113" s="1791"/>
      <c r="U113" s="2185"/>
      <c r="V113" s="2230"/>
      <c r="W113" s="1760"/>
      <c r="X113" s="1747"/>
      <c r="Y113" s="2083"/>
      <c r="Z113" s="2083"/>
      <c r="AA113" s="1788"/>
      <c r="AB113" s="1788"/>
      <c r="AC113" s="1747"/>
      <c r="AD113" s="1747"/>
      <c r="AE113" s="1747"/>
      <c r="AF113" s="1788"/>
      <c r="AG113" s="1788"/>
      <c r="AH113" s="1788"/>
      <c r="AI113" s="1788"/>
      <c r="AJ113" s="1788"/>
      <c r="AK113" s="1788"/>
      <c r="AL113" s="2083"/>
      <c r="AM113" s="2083"/>
      <c r="AN113" s="2083"/>
      <c r="AO113" s="1788"/>
      <c r="AP113" s="2202"/>
      <c r="AQ113" s="1747"/>
      <c r="AR113" s="2213"/>
      <c r="AS113" s="2231"/>
      <c r="AT113" s="1793"/>
      <c r="AU113" s="1793"/>
      <c r="AV113" s="1714"/>
      <c r="AW113" s="2068"/>
      <c r="AX113" s="1712"/>
      <c r="AY113" s="1712"/>
      <c r="AZ113" s="1712"/>
      <c r="BA113" s="1712"/>
      <c r="BB113" s="1712"/>
      <c r="BC113" s="1712"/>
      <c r="BD113" s="1712"/>
      <c r="BE113" s="1712"/>
      <c r="BF113" s="1712"/>
      <c r="BG113" s="1712"/>
      <c r="BH113" s="1712"/>
      <c r="BK113" s="1712"/>
      <c r="BL113" s="2073"/>
      <c r="BM113" s="2140"/>
      <c r="BN113" s="2061"/>
    </row>
    <row r="114" spans="1:66" ht="19.5" thickTop="1" thickBot="1" x14ac:dyDescent="0.3">
      <c r="A114" s="1714"/>
      <c r="B114" s="1714"/>
      <c r="C114" s="1791"/>
      <c r="D114" s="1791"/>
      <c r="E114" s="2215"/>
      <c r="F114" s="1788"/>
      <c r="G114" s="1788"/>
      <c r="H114" s="1788"/>
      <c r="I114" s="1791"/>
      <c r="J114" s="1791"/>
      <c r="K114" s="1791"/>
      <c r="L114" s="1787"/>
      <c r="M114" s="1787"/>
      <c r="N114" s="1791"/>
      <c r="O114" s="1791"/>
      <c r="P114" s="1791"/>
      <c r="Q114" s="1743"/>
      <c r="R114" s="1791"/>
      <c r="S114" s="1791"/>
      <c r="T114" s="1791"/>
      <c r="U114" s="2185"/>
      <c r="V114" s="2230"/>
      <c r="W114" s="1760"/>
      <c r="X114" s="2081"/>
      <c r="Y114" s="2058"/>
      <c r="Z114" s="2058"/>
      <c r="AA114" s="2082"/>
      <c r="AB114" s="1760"/>
      <c r="AC114" s="1747"/>
      <c r="AD114" s="1747"/>
      <c r="AE114" s="1747"/>
      <c r="AF114" s="2232"/>
      <c r="AG114" s="1755"/>
      <c r="AH114" s="1755"/>
      <c r="AI114" s="2233"/>
      <c r="AJ114" s="1788"/>
      <c r="AK114" s="1788"/>
      <c r="AL114" s="1788"/>
      <c r="AM114" s="2090"/>
      <c r="AN114" s="1788"/>
      <c r="AO114" s="1788"/>
      <c r="AP114" s="1791"/>
      <c r="AQ114" s="1747"/>
      <c r="AR114" s="2234"/>
      <c r="AS114" s="2235"/>
      <c r="AT114" s="2236"/>
      <c r="AU114" s="1793"/>
      <c r="AV114" s="1714"/>
      <c r="AW114" s="1915"/>
      <c r="AX114" s="1915"/>
      <c r="AY114" s="1915"/>
      <c r="AZ114" s="1915"/>
      <c r="BA114" s="1915"/>
      <c r="BB114" s="1915"/>
      <c r="BC114" s="1915"/>
      <c r="BD114" s="1915"/>
      <c r="BE114" s="1915"/>
      <c r="BF114" s="1915"/>
      <c r="BG114" s="1915"/>
      <c r="BH114" s="1915"/>
      <c r="BI114" s="1915"/>
      <c r="BJ114" s="1915"/>
      <c r="BK114" s="2105"/>
      <c r="BL114" s="2073"/>
      <c r="BM114" s="2140"/>
      <c r="BN114" s="2061"/>
    </row>
    <row r="115" spans="1:66" ht="18.75" thickTop="1" x14ac:dyDescent="0.25">
      <c r="A115" s="1714"/>
      <c r="B115" s="1714"/>
      <c r="C115" s="1791"/>
      <c r="D115" s="1791"/>
      <c r="E115" s="2215"/>
      <c r="F115" s="1788"/>
      <c r="G115" s="1788"/>
      <c r="H115" s="1788"/>
      <c r="I115" s="1791"/>
      <c r="J115" s="1791"/>
      <c r="K115" s="1791"/>
      <c r="L115" s="1787"/>
      <c r="M115" s="1787"/>
      <c r="N115" s="1791"/>
      <c r="O115" s="1791"/>
      <c r="P115" s="1791"/>
      <c r="Q115" s="1743"/>
      <c r="R115" s="1791"/>
      <c r="S115" s="1791"/>
      <c r="T115" s="1791"/>
      <c r="U115" s="2185"/>
      <c r="V115" s="1788"/>
      <c r="W115" s="2087"/>
      <c r="X115" s="2058"/>
      <c r="Y115" s="1748"/>
      <c r="Z115" s="1748"/>
      <c r="AA115" s="2058"/>
      <c r="AB115" s="2150"/>
      <c r="AC115" s="1747"/>
      <c r="AD115" s="1747"/>
      <c r="AE115" s="1747"/>
      <c r="AF115" s="2232"/>
      <c r="AG115" s="1755"/>
      <c r="AH115" s="1755"/>
      <c r="AI115" s="2233"/>
      <c r="AJ115" s="1788"/>
      <c r="AK115" s="1788"/>
      <c r="AL115" s="2148"/>
      <c r="AM115" s="2147"/>
      <c r="AN115" s="1747"/>
      <c r="AO115" s="1742"/>
      <c r="AP115" s="1791"/>
      <c r="AQ115" s="1747"/>
      <c r="AR115" s="1747"/>
      <c r="AS115" s="1953">
        <v>110577</v>
      </c>
      <c r="AT115" s="1949"/>
      <c r="AU115" s="2237"/>
      <c r="AV115" s="2238"/>
      <c r="AW115" s="1788"/>
      <c r="AX115" s="1788"/>
      <c r="AY115" s="2072"/>
      <c r="AZ115" s="2072"/>
      <c r="BA115" s="2072"/>
      <c r="BB115" s="1788"/>
      <c r="BC115" s="1915"/>
      <c r="BD115" s="1915"/>
      <c r="BE115" s="1915"/>
      <c r="BF115" s="1915"/>
      <c r="BG115" s="2072"/>
      <c r="BH115" s="2072"/>
      <c r="BI115" s="1965"/>
      <c r="BJ115" s="2105"/>
      <c r="BK115" s="1712"/>
      <c r="BL115" s="2073"/>
      <c r="BM115" s="2140"/>
      <c r="BN115" s="2061"/>
    </row>
    <row r="116" spans="1:66" ht="18.75" thickBot="1" x14ac:dyDescent="0.3">
      <c r="A116" s="1714"/>
      <c r="B116" s="1714"/>
      <c r="C116" s="1791"/>
      <c r="D116" s="1791"/>
      <c r="E116" s="2215"/>
      <c r="F116" s="1788"/>
      <c r="G116" s="1788"/>
      <c r="H116" s="1788"/>
      <c r="I116" s="1791"/>
      <c r="J116" s="1791"/>
      <c r="K116" s="1791"/>
      <c r="L116" s="1787"/>
      <c r="M116" s="1787"/>
      <c r="N116" s="1791"/>
      <c r="O116" s="1791"/>
      <c r="P116" s="1791"/>
      <c r="Q116" s="1743"/>
      <c r="R116" s="1791"/>
      <c r="S116" s="1791"/>
      <c r="T116" s="1791"/>
      <c r="U116" s="2185"/>
      <c r="V116" s="1788"/>
      <c r="W116" s="2087"/>
      <c r="X116" s="2058"/>
      <c r="Y116" s="1748"/>
      <c r="Z116" s="1748"/>
      <c r="AA116" s="2058"/>
      <c r="AB116" s="2150"/>
      <c r="AC116" s="1747"/>
      <c r="AD116" s="1747"/>
      <c r="AE116" s="1747"/>
      <c r="AF116" s="2232"/>
      <c r="AG116" s="1755"/>
      <c r="AH116" s="1755"/>
      <c r="AI116" s="2233"/>
      <c r="AJ116" s="1760"/>
      <c r="AK116" s="2081"/>
      <c r="AL116" s="2148"/>
      <c r="AM116" s="1748"/>
      <c r="AN116" s="2148"/>
      <c r="AO116" s="1760"/>
      <c r="AP116" s="1791"/>
      <c r="AQ116" s="1747"/>
      <c r="AR116" s="2239"/>
      <c r="AS116" s="1953">
        <v>110584</v>
      </c>
      <c r="AT116" s="1949"/>
      <c r="AU116" s="2237"/>
      <c r="AV116" s="2238"/>
      <c r="AW116" s="1788"/>
      <c r="AX116" s="1915"/>
      <c r="AY116" s="2078"/>
      <c r="AZ116" s="2078"/>
      <c r="BA116" s="2078"/>
      <c r="BB116" s="1788"/>
      <c r="BC116" s="1915"/>
      <c r="BD116" s="1915"/>
      <c r="BE116" s="1915"/>
      <c r="BF116" s="1915"/>
      <c r="BG116" s="2078"/>
      <c r="BH116" s="2078"/>
      <c r="BI116" s="1965"/>
      <c r="BJ116" s="2105"/>
      <c r="BK116" s="1712"/>
      <c r="BL116" s="2073"/>
      <c r="BM116" s="2240"/>
      <c r="BN116" s="2061"/>
    </row>
    <row r="117" spans="1:66" ht="18.75" thickBot="1" x14ac:dyDescent="0.3">
      <c r="A117" s="1714"/>
      <c r="B117" s="1714"/>
      <c r="C117" s="1791"/>
      <c r="D117" s="1791"/>
      <c r="E117" s="2215"/>
      <c r="F117" s="1788"/>
      <c r="G117" s="1788"/>
      <c r="H117" s="2241"/>
      <c r="I117" s="2242"/>
      <c r="J117" s="2242"/>
      <c r="K117" s="2242"/>
      <c r="L117" s="2242"/>
      <c r="M117" s="2242"/>
      <c r="N117" s="2242"/>
      <c r="O117" s="2242"/>
      <c r="P117" s="2243"/>
      <c r="Q117" s="1743"/>
      <c r="R117" s="2244"/>
      <c r="S117" s="2244"/>
      <c r="T117" s="2244"/>
      <c r="U117" s="2185"/>
      <c r="V117" s="1788"/>
      <c r="W117" s="2087"/>
      <c r="X117" s="2058"/>
      <c r="Y117" s="1748"/>
      <c r="Z117" s="1748"/>
      <c r="AA117" s="2058"/>
      <c r="AB117" s="2150"/>
      <c r="AC117" s="1747"/>
      <c r="AD117" s="1747"/>
      <c r="AE117" s="1747"/>
      <c r="AF117" s="2232"/>
      <c r="AG117" s="1755"/>
      <c r="AH117" s="1755"/>
      <c r="AI117" s="2233"/>
      <c r="AJ117" s="2245"/>
      <c r="AK117" s="2147"/>
      <c r="AL117" s="1748"/>
      <c r="AM117" s="2148"/>
      <c r="AN117" s="1748"/>
      <c r="AO117" s="2147"/>
      <c r="AP117" s="2246"/>
      <c r="AQ117" s="1747"/>
      <c r="AR117" s="2247"/>
      <c r="AS117" s="2235"/>
      <c r="AT117" s="2078"/>
      <c r="AU117" s="1793"/>
      <c r="AV117" s="2007"/>
      <c r="AW117" s="1915"/>
      <c r="AX117" s="2084"/>
      <c r="AY117" s="1952"/>
      <c r="AZ117" s="1952"/>
      <c r="BA117" s="1952"/>
      <c r="BB117" s="2078"/>
      <c r="BC117" s="1915"/>
      <c r="BD117" s="1915"/>
      <c r="BE117" s="1915"/>
      <c r="BF117" s="2084"/>
      <c r="BG117" s="1952"/>
      <c r="BH117" s="1952"/>
      <c r="BI117" s="2078"/>
      <c r="BJ117" s="1714"/>
      <c r="BK117" s="1712"/>
      <c r="BL117" s="2073"/>
      <c r="BM117" s="2248"/>
      <c r="BN117" s="2061"/>
    </row>
    <row r="118" spans="1:66" ht="24" thickBot="1" x14ac:dyDescent="0.3">
      <c r="A118" s="1714"/>
      <c r="B118" s="1714"/>
      <c r="C118" s="1791"/>
      <c r="D118" s="1791"/>
      <c r="E118" s="2215"/>
      <c r="F118" s="1788"/>
      <c r="G118" s="1788"/>
      <c r="H118" s="2249"/>
      <c r="I118" s="2250"/>
      <c r="J118" s="2250"/>
      <c r="K118" s="2250"/>
      <c r="L118" s="2250"/>
      <c r="M118" s="2250"/>
      <c r="N118" s="2250"/>
      <c r="O118" s="2250"/>
      <c r="P118" s="2251"/>
      <c r="Q118" s="1793"/>
      <c r="R118" s="2244"/>
      <c r="S118" s="2244"/>
      <c r="T118" s="2244"/>
      <c r="U118" s="2230"/>
      <c r="V118" s="1788"/>
      <c r="W118" s="1760"/>
      <c r="X118" s="2170"/>
      <c r="Y118" s="2145"/>
      <c r="Z118" s="2145"/>
      <c r="AA118" s="2171"/>
      <c r="AB118" s="1947"/>
      <c r="AC118" s="1747"/>
      <c r="AD118" s="1747"/>
      <c r="AE118" s="1747"/>
      <c r="AF118" s="1760"/>
      <c r="AG118" s="1760"/>
      <c r="AH118" s="1760"/>
      <c r="AI118" s="1760"/>
      <c r="AJ118" s="1788"/>
      <c r="AK118" s="1788"/>
      <c r="AL118" s="2148"/>
      <c r="AM118" s="1748"/>
      <c r="AN118" s="2148"/>
      <c r="AO118" s="1747"/>
      <c r="AP118" s="1747"/>
      <c r="AQ118" s="1747"/>
      <c r="AR118" s="1805"/>
      <c r="AS118" s="2252"/>
      <c r="AT118" s="1742"/>
      <c r="AU118" s="1742"/>
      <c r="AV118" s="1859"/>
      <c r="AW118" s="2078"/>
      <c r="AX118" s="1952"/>
      <c r="AY118" s="2253">
        <v>113539</v>
      </c>
      <c r="AZ118" s="2253">
        <v>113754</v>
      </c>
      <c r="BA118" s="1959">
        <v>110565</v>
      </c>
      <c r="BB118" s="1952"/>
      <c r="BC118" s="2078"/>
      <c r="BD118" s="1915"/>
      <c r="BE118" s="2078"/>
      <c r="BF118" s="1952"/>
      <c r="BG118" s="1955">
        <v>110566</v>
      </c>
      <c r="BH118" s="1959">
        <v>110630</v>
      </c>
      <c r="BI118" s="1952"/>
      <c r="BJ118" s="2078"/>
      <c r="BK118" s="1712"/>
      <c r="BL118" s="2204"/>
      <c r="BM118" s="1914"/>
      <c r="BN118" s="2254"/>
    </row>
    <row r="119" spans="1:66" ht="18" x14ac:dyDescent="0.25">
      <c r="A119" s="1714"/>
      <c r="B119" s="1714"/>
      <c r="C119" s="1791"/>
      <c r="D119" s="1791"/>
      <c r="E119" s="2215"/>
      <c r="F119" s="1788"/>
      <c r="G119" s="1788"/>
      <c r="H119" s="2249"/>
      <c r="I119" s="2250"/>
      <c r="J119" s="2250"/>
      <c r="K119" s="2250"/>
      <c r="L119" s="2250"/>
      <c r="M119" s="2250"/>
      <c r="N119" s="2250"/>
      <c r="O119" s="2250"/>
      <c r="P119" s="2251"/>
      <c r="Q119" s="1793"/>
      <c r="R119" s="2244"/>
      <c r="S119" s="2244"/>
      <c r="T119" s="2244"/>
      <c r="U119" s="2230"/>
      <c r="V119" s="1747"/>
      <c r="W119" s="1747"/>
      <c r="X119" s="1747"/>
      <c r="Y119" s="1760"/>
      <c r="Z119" s="1760"/>
      <c r="AA119" s="1760"/>
      <c r="AB119" s="1760"/>
      <c r="AC119" s="1760"/>
      <c r="AD119" s="1747"/>
      <c r="AE119" s="1747"/>
      <c r="AF119" s="1747"/>
      <c r="AG119" s="1747"/>
      <c r="AH119" s="1747"/>
      <c r="AI119" s="1747"/>
      <c r="AJ119" s="1760"/>
      <c r="AK119" s="1788"/>
      <c r="AL119" s="1747"/>
      <c r="AM119" s="2147"/>
      <c r="AN119" s="1747"/>
      <c r="AO119" s="2255"/>
      <c r="AP119" s="1788"/>
      <c r="AQ119" s="1747"/>
      <c r="AR119" s="1805"/>
      <c r="AS119" s="2256"/>
      <c r="AT119" s="2257"/>
      <c r="AU119" s="1742"/>
      <c r="AV119" s="2258"/>
      <c r="AW119" s="2078"/>
      <c r="AX119" s="1952"/>
      <c r="AY119" s="2253">
        <v>110574</v>
      </c>
      <c r="AZ119" s="2253">
        <v>110548</v>
      </c>
      <c r="BA119" s="1959">
        <v>110631</v>
      </c>
      <c r="BB119" s="1952"/>
      <c r="BC119" s="2078"/>
      <c r="BD119" s="1915"/>
      <c r="BE119" s="2078"/>
      <c r="BF119" s="1952"/>
      <c r="BG119" s="2193">
        <v>110585</v>
      </c>
      <c r="BH119" s="2259">
        <v>110633</v>
      </c>
      <c r="BI119" s="1952"/>
      <c r="BJ119" s="2078"/>
      <c r="BK119" s="1712"/>
      <c r="BL119" s="2260"/>
      <c r="BM119" s="1914"/>
      <c r="BN119" s="2254"/>
    </row>
    <row r="120" spans="1:66" ht="21" x14ac:dyDescent="0.25">
      <c r="A120" s="1714"/>
      <c r="B120" s="1714"/>
      <c r="C120" s="1791"/>
      <c r="D120" s="1791"/>
      <c r="E120" s="2215"/>
      <c r="F120" s="1788"/>
      <c r="G120" s="1788"/>
      <c r="H120" s="2249"/>
      <c r="I120" s="2250"/>
      <c r="J120" s="2250"/>
      <c r="K120" s="2250"/>
      <c r="L120" s="2250"/>
      <c r="M120" s="2250"/>
      <c r="N120" s="2250"/>
      <c r="O120" s="2250"/>
      <c r="P120" s="2251"/>
      <c r="Q120" s="1793"/>
      <c r="R120" s="2244"/>
      <c r="S120" s="2244"/>
      <c r="T120" s="2244"/>
      <c r="U120" s="2230"/>
      <c r="V120" s="1747"/>
      <c r="W120" s="1747"/>
      <c r="X120" s="1747"/>
      <c r="Y120" s="1747"/>
      <c r="Z120" s="1747"/>
      <c r="AA120" s="1760"/>
      <c r="AB120" s="1760"/>
      <c r="AC120" s="1760"/>
      <c r="AD120" s="1788"/>
      <c r="AE120" s="1875"/>
      <c r="AF120" s="1875"/>
      <c r="AG120" s="1875"/>
      <c r="AH120" s="1760"/>
      <c r="AI120" s="1747"/>
      <c r="AJ120" s="1760"/>
      <c r="AK120" s="1788"/>
      <c r="AL120" s="1788"/>
      <c r="AM120" s="2090"/>
      <c r="AN120" s="1788"/>
      <c r="AO120" s="2255"/>
      <c r="AP120" s="1788"/>
      <c r="AQ120" s="1747"/>
      <c r="AR120" s="1805"/>
      <c r="AS120" s="2261"/>
      <c r="AT120" s="1760"/>
      <c r="AU120" s="1760"/>
      <c r="AV120" s="1859"/>
      <c r="AW120" s="1788"/>
      <c r="AX120" s="2078"/>
      <c r="AY120" s="1952"/>
      <c r="AZ120" s="1952"/>
      <c r="BA120" s="1952"/>
      <c r="BB120" s="2078"/>
      <c r="BC120" s="1788"/>
      <c r="BD120" s="1915"/>
      <c r="BE120" s="1915"/>
      <c r="BF120" s="2078"/>
      <c r="BG120" s="1952"/>
      <c r="BH120" s="1952"/>
      <c r="BI120" s="2078"/>
      <c r="BJ120" s="1714"/>
      <c r="BK120" s="1712"/>
      <c r="BL120" s="2260"/>
      <c r="BM120" s="1914"/>
      <c r="BN120" s="2254"/>
    </row>
    <row r="121" spans="1:66" ht="15.75" x14ac:dyDescent="0.25">
      <c r="A121" s="1714"/>
      <c r="B121" s="1714"/>
      <c r="C121" s="1791"/>
      <c r="D121" s="1791"/>
      <c r="E121" s="2215"/>
      <c r="F121" s="1791"/>
      <c r="G121" s="1791"/>
      <c r="H121" s="2249"/>
      <c r="I121" s="2250"/>
      <c r="J121" s="2250"/>
      <c r="K121" s="2250"/>
      <c r="L121" s="2250"/>
      <c r="M121" s="2250"/>
      <c r="N121" s="2250"/>
      <c r="O121" s="2250"/>
      <c r="P121" s="2251"/>
      <c r="Q121" s="1793"/>
      <c r="R121" s="2244"/>
      <c r="S121" s="2244"/>
      <c r="T121" s="2244"/>
      <c r="U121" s="2230"/>
      <c r="V121" s="1747"/>
      <c r="W121" s="1747"/>
      <c r="X121" s="1747"/>
      <c r="Y121" s="1747"/>
      <c r="Z121" s="1747"/>
      <c r="AA121" s="1760"/>
      <c r="AB121" s="1760"/>
      <c r="AC121" s="1760"/>
      <c r="AD121" s="1788"/>
      <c r="AE121" s="1782"/>
      <c r="AF121" s="1760"/>
      <c r="AG121" s="1760"/>
      <c r="AH121" s="1760"/>
      <c r="AI121" s="1747"/>
      <c r="AJ121" s="1747"/>
      <c r="AK121" s="1747"/>
      <c r="AL121" s="1747"/>
      <c r="AM121" s="1747"/>
      <c r="AN121" s="1747"/>
      <c r="AO121" s="1747"/>
      <c r="AP121" s="2255"/>
      <c r="AQ121" s="1788"/>
      <c r="AR121" s="1805"/>
      <c r="AS121" s="2262"/>
      <c r="AT121" s="2257"/>
      <c r="AU121" s="1758"/>
      <c r="AV121" s="2263"/>
      <c r="AW121" s="1788"/>
      <c r="AX121" s="1788"/>
      <c r="AY121" s="2078"/>
      <c r="AZ121" s="2078"/>
      <c r="BA121" s="2078"/>
      <c r="BB121" s="1788"/>
      <c r="BC121" s="1788"/>
      <c r="BD121" s="1915"/>
      <c r="BE121" s="1965"/>
      <c r="BF121" s="2105"/>
      <c r="BG121" s="2078"/>
      <c r="BH121" s="2078"/>
      <c r="BI121" s="1915"/>
      <c r="BJ121" s="1714"/>
      <c r="BK121" s="1712"/>
      <c r="BL121" s="2260"/>
      <c r="BM121" s="1914"/>
      <c r="BN121" s="2254"/>
    </row>
    <row r="122" spans="1:66" ht="19.5" thickBot="1" x14ac:dyDescent="0.3">
      <c r="A122" s="1714"/>
      <c r="B122" s="1714"/>
      <c r="C122" s="1791"/>
      <c r="D122" s="1791"/>
      <c r="E122" s="2215"/>
      <c r="F122" s="1788"/>
      <c r="G122" s="1791"/>
      <c r="H122" s="2249"/>
      <c r="I122" s="2250"/>
      <c r="J122" s="2250"/>
      <c r="K122" s="2250"/>
      <c r="L122" s="2250"/>
      <c r="M122" s="2250"/>
      <c r="N122" s="2250"/>
      <c r="O122" s="2250"/>
      <c r="P122" s="2251"/>
      <c r="Q122" s="1793"/>
      <c r="R122" s="2244"/>
      <c r="S122" s="2244"/>
      <c r="T122" s="2244"/>
      <c r="U122" s="2230"/>
      <c r="V122" s="1747"/>
      <c r="W122" s="1747"/>
      <c r="X122" s="1747"/>
      <c r="Y122" s="1747"/>
      <c r="Z122" s="1747"/>
      <c r="AA122" s="2264"/>
      <c r="AB122" s="1788"/>
      <c r="AC122" s="1788"/>
      <c r="AD122" s="2081"/>
      <c r="AE122" s="2058"/>
      <c r="AF122" s="1782"/>
      <c r="AG122" s="2265"/>
      <c r="AH122" s="2266"/>
      <c r="AI122" s="1747"/>
      <c r="AJ122" s="1747"/>
      <c r="AK122" s="1747"/>
      <c r="AL122" s="1747"/>
      <c r="AM122" s="1747"/>
      <c r="AN122" s="1747"/>
      <c r="AO122" s="1747"/>
      <c r="AP122" s="2267"/>
      <c r="AQ122" s="1788"/>
      <c r="AR122" s="1805"/>
      <c r="AS122" s="2268"/>
      <c r="AT122" s="1742"/>
      <c r="AU122" s="1758"/>
      <c r="AV122" s="2263"/>
      <c r="AW122" s="1712"/>
      <c r="AX122" s="1712"/>
      <c r="AY122" s="1712"/>
      <c r="AZ122" s="1712"/>
      <c r="BA122" s="1712"/>
      <c r="BB122" s="1712"/>
      <c r="BC122" s="1712"/>
      <c r="BD122" s="1712"/>
      <c r="BE122" s="1712"/>
      <c r="BF122" s="1712"/>
      <c r="BG122" s="1712"/>
      <c r="BH122" s="1712"/>
      <c r="BI122" s="1712"/>
      <c r="BJ122" s="1712"/>
      <c r="BK122" s="1712"/>
      <c r="BL122" s="2260"/>
      <c r="BM122" s="1914"/>
      <c r="BN122" s="2254"/>
    </row>
    <row r="123" spans="1:66" ht="24" thickBot="1" x14ac:dyDescent="0.3">
      <c r="A123" s="1714"/>
      <c r="B123" s="1714"/>
      <c r="C123" s="1791"/>
      <c r="D123" s="1791"/>
      <c r="E123" s="2215"/>
      <c r="F123" s="1791"/>
      <c r="G123" s="1791"/>
      <c r="H123" s="2249"/>
      <c r="I123" s="2250"/>
      <c r="J123" s="2250"/>
      <c r="K123" s="2250"/>
      <c r="L123" s="2250"/>
      <c r="M123" s="2250"/>
      <c r="N123" s="2250"/>
      <c r="O123" s="2250"/>
      <c r="P123" s="2251"/>
      <c r="Q123" s="1793"/>
      <c r="R123" s="2244"/>
      <c r="S123" s="2244"/>
      <c r="T123" s="2244"/>
      <c r="U123" s="2230"/>
      <c r="V123" s="1747"/>
      <c r="W123" s="1747"/>
      <c r="X123" s="1747"/>
      <c r="Y123" s="1747"/>
      <c r="Z123" s="1747"/>
      <c r="AA123" s="1868"/>
      <c r="AB123" s="1788"/>
      <c r="AC123" s="1788"/>
      <c r="AD123" s="2264"/>
      <c r="AE123" s="1748"/>
      <c r="AF123" s="2058"/>
      <c r="AG123" s="1782"/>
      <c r="AH123" s="2264"/>
      <c r="AI123" s="1747"/>
      <c r="AJ123" s="1791"/>
      <c r="AK123" s="1747"/>
      <c r="AL123" s="1875"/>
      <c r="AM123" s="1875"/>
      <c r="AN123" s="1760"/>
      <c r="AO123" s="1788"/>
      <c r="AP123" s="1788"/>
      <c r="AQ123" s="1788"/>
      <c r="AR123" s="1788"/>
      <c r="AS123" s="2269"/>
      <c r="AT123" s="2270"/>
      <c r="AU123" s="2271"/>
      <c r="AV123" s="2272"/>
      <c r="AW123" s="1712"/>
      <c r="AX123" s="1712"/>
      <c r="AY123" s="1712"/>
      <c r="AZ123" s="1712"/>
      <c r="BA123" s="1712"/>
      <c r="BB123" s="1712"/>
      <c r="BC123" s="1712"/>
      <c r="BD123" s="2273"/>
      <c r="BE123" s="1760"/>
      <c r="BF123" s="1712"/>
      <c r="BG123" s="1712"/>
      <c r="BH123" s="1712"/>
      <c r="BI123" s="1712"/>
      <c r="BJ123" s="1712"/>
      <c r="BK123" s="1712"/>
      <c r="BL123" s="2274"/>
      <c r="BM123" s="1914"/>
      <c r="BN123" s="2254"/>
    </row>
    <row r="124" spans="1:66" ht="23.25" x14ac:dyDescent="0.25">
      <c r="A124" s="1714"/>
      <c r="B124" s="1714"/>
      <c r="C124" s="1791"/>
      <c r="D124" s="1791"/>
      <c r="E124" s="2215"/>
      <c r="F124" s="1791"/>
      <c r="G124" s="1791"/>
      <c r="H124" s="2249"/>
      <c r="I124" s="2250"/>
      <c r="J124" s="2250"/>
      <c r="K124" s="2250"/>
      <c r="L124" s="2250"/>
      <c r="M124" s="2250"/>
      <c r="N124" s="2250"/>
      <c r="O124" s="2250"/>
      <c r="P124" s="2251"/>
      <c r="Q124" s="1793"/>
      <c r="R124" s="2244"/>
      <c r="S124" s="2244"/>
      <c r="T124" s="2244"/>
      <c r="U124" s="2230"/>
      <c r="V124" s="1747"/>
      <c r="W124" s="1747"/>
      <c r="X124" s="1747"/>
      <c r="Y124" s="1747"/>
      <c r="Z124" s="1747"/>
      <c r="AA124" s="1868"/>
      <c r="AB124" s="1788"/>
      <c r="AC124" s="1788"/>
      <c r="AD124" s="2264"/>
      <c r="AE124" s="1748"/>
      <c r="AF124" s="1748"/>
      <c r="AG124" s="2058"/>
      <c r="AH124" s="2082"/>
      <c r="AI124" s="1760"/>
      <c r="AJ124" s="2275"/>
      <c r="AK124" s="2081"/>
      <c r="AL124" s="1859"/>
      <c r="AM124" s="1859"/>
      <c r="AN124" s="2082"/>
      <c r="AO124" s="2090"/>
      <c r="AP124" s="1788"/>
      <c r="AQ124" s="1788"/>
      <c r="AR124" s="1857"/>
      <c r="AS124" s="2276"/>
      <c r="AT124" s="2277"/>
      <c r="AU124" s="2278"/>
      <c r="AV124" s="2279"/>
      <c r="AW124" s="2280"/>
      <c r="AX124" s="2280"/>
      <c r="AY124" s="2280"/>
      <c r="AZ124" s="2280"/>
      <c r="BA124" s="2280"/>
      <c r="BB124" s="2280"/>
      <c r="BC124" s="2280"/>
      <c r="BD124" s="1712"/>
      <c r="BE124" s="2280"/>
      <c r="BF124" s="2280"/>
      <c r="BG124" s="2280"/>
      <c r="BH124" s="2280"/>
      <c r="BI124" s="2280"/>
      <c r="BJ124" s="2280"/>
      <c r="BK124" s="2280"/>
      <c r="BL124" s="2280"/>
      <c r="BM124" s="2280"/>
      <c r="BN124" s="1712"/>
    </row>
    <row r="125" spans="1:66" ht="18.75" x14ac:dyDescent="0.25">
      <c r="A125" s="1714"/>
      <c r="B125" s="1714"/>
      <c r="C125" s="1791"/>
      <c r="D125" s="1791"/>
      <c r="E125" s="2215"/>
      <c r="F125" s="1791"/>
      <c r="G125" s="1791"/>
      <c r="H125" s="2249"/>
      <c r="I125" s="2250"/>
      <c r="J125" s="2250"/>
      <c r="K125" s="2250"/>
      <c r="L125" s="2250"/>
      <c r="M125" s="2250"/>
      <c r="N125" s="2250"/>
      <c r="O125" s="2250"/>
      <c r="P125" s="2251"/>
      <c r="Q125" s="1793"/>
      <c r="R125" s="2244"/>
      <c r="S125" s="2244"/>
      <c r="T125" s="2244"/>
      <c r="U125" s="2230"/>
      <c r="V125" s="1747"/>
      <c r="W125" s="1747"/>
      <c r="X125" s="1747"/>
      <c r="Y125" s="1747"/>
      <c r="Z125" s="1747"/>
      <c r="AA125" s="2264"/>
      <c r="AB125" s="1788"/>
      <c r="AC125" s="1788"/>
      <c r="AD125" s="2230"/>
      <c r="AE125" s="2058"/>
      <c r="AF125" s="1748"/>
      <c r="AG125" s="1748"/>
      <c r="AH125" s="2264"/>
      <c r="AI125" s="1760"/>
      <c r="AJ125" s="2245"/>
      <c r="AK125" s="2088"/>
      <c r="AL125" s="1748"/>
      <c r="AM125" s="1748"/>
      <c r="AN125" s="2088"/>
      <c r="AO125" s="2089"/>
      <c r="AP125" s="1788"/>
      <c r="AQ125" s="1788"/>
      <c r="AR125" s="1857"/>
      <c r="AS125" s="2104"/>
      <c r="AT125" s="1714"/>
      <c r="AU125" s="2113"/>
      <c r="AV125" s="2105"/>
      <c r="AW125" s="1712"/>
      <c r="AX125" s="1712"/>
      <c r="AY125" s="1712"/>
      <c r="AZ125" s="1712"/>
      <c r="BA125" s="1712"/>
      <c r="BB125" s="1712"/>
      <c r="BC125" s="1712"/>
      <c r="BD125" s="1712"/>
      <c r="BE125" s="1712"/>
      <c r="BF125" s="1712"/>
      <c r="BG125" s="1712"/>
      <c r="BH125" s="1712"/>
      <c r="BI125" s="1712"/>
      <c r="BJ125" s="1712"/>
      <c r="BK125" s="1712"/>
      <c r="BL125" s="1712"/>
      <c r="BM125" s="1712"/>
      <c r="BN125" s="1712"/>
    </row>
    <row r="126" spans="1:66" ht="19.5" thickBot="1" x14ac:dyDescent="0.3">
      <c r="A126" s="1714"/>
      <c r="B126" s="1714"/>
      <c r="C126" s="1791"/>
      <c r="D126" s="1791"/>
      <c r="E126" s="2215"/>
      <c r="F126" s="1791"/>
      <c r="G126" s="1791"/>
      <c r="H126" s="2249"/>
      <c r="I126" s="2250"/>
      <c r="J126" s="2250"/>
      <c r="K126" s="2250"/>
      <c r="L126" s="2250"/>
      <c r="M126" s="2250"/>
      <c r="N126" s="2250"/>
      <c r="O126" s="2250"/>
      <c r="P126" s="2251"/>
      <c r="Q126" s="1793"/>
      <c r="R126" s="2244"/>
      <c r="S126" s="2244"/>
      <c r="T126" s="2244"/>
      <c r="U126" s="2230"/>
      <c r="V126" s="1747"/>
      <c r="W126" s="1747"/>
      <c r="X126" s="1747"/>
      <c r="Y126" s="1747"/>
      <c r="Z126" s="1747"/>
      <c r="AA126" s="2281"/>
      <c r="AB126" s="1788"/>
      <c r="AC126" s="1788"/>
      <c r="AD126" s="2230"/>
      <c r="AE126" s="1782"/>
      <c r="AF126" s="2058"/>
      <c r="AG126" s="1748"/>
      <c r="AH126" s="2264"/>
      <c r="AI126" s="1760"/>
      <c r="AJ126" s="2245"/>
      <c r="AK126" s="2088"/>
      <c r="AL126" s="1748"/>
      <c r="AM126" s="1748"/>
      <c r="AN126" s="2088"/>
      <c r="AO126" s="2089"/>
      <c r="AP126" s="1788"/>
      <c r="AQ126" s="1788"/>
      <c r="AR126" s="1857"/>
      <c r="AS126" s="2061"/>
      <c r="AT126" s="1712"/>
      <c r="AU126" s="1712"/>
      <c r="AV126" s="2282"/>
      <c r="AW126" s="1712"/>
      <c r="AX126" s="1712"/>
      <c r="AY126" s="1712"/>
      <c r="AZ126" s="1712"/>
      <c r="BA126" s="1712"/>
      <c r="BB126" s="1712"/>
      <c r="BC126" s="1712"/>
      <c r="BD126" s="1712"/>
      <c r="BE126" s="1712"/>
      <c r="BF126" s="1712"/>
      <c r="BG126" s="1712"/>
      <c r="BH126" s="1712"/>
      <c r="BI126" s="1712"/>
      <c r="BJ126" s="1712"/>
      <c r="BK126" s="1712"/>
      <c r="BL126" s="1712"/>
      <c r="BM126" s="1712"/>
      <c r="BN126" s="1712"/>
    </row>
    <row r="127" spans="1:66" ht="15.75" x14ac:dyDescent="0.25">
      <c r="A127" s="1714"/>
      <c r="B127" s="1714"/>
      <c r="C127" s="1791"/>
      <c r="D127" s="2218"/>
      <c r="E127" s="2283"/>
      <c r="F127" s="1791"/>
      <c r="G127" s="1791"/>
      <c r="H127" s="2249"/>
      <c r="I127" s="2250"/>
      <c r="J127" s="2250"/>
      <c r="K127" s="2250"/>
      <c r="L127" s="2250"/>
      <c r="M127" s="2250"/>
      <c r="N127" s="2250"/>
      <c r="O127" s="2250"/>
      <c r="P127" s="2251"/>
      <c r="Q127" s="1793"/>
      <c r="R127" s="2244"/>
      <c r="S127" s="2244"/>
      <c r="T127" s="2244"/>
      <c r="U127" s="2230"/>
      <c r="V127" s="1747"/>
      <c r="W127" s="1747"/>
      <c r="X127" s="1747"/>
      <c r="Y127" s="1747"/>
      <c r="Z127" s="1747"/>
      <c r="AA127" s="2230"/>
      <c r="AB127" s="1788"/>
      <c r="AC127" s="1788"/>
      <c r="AD127" s="2230"/>
      <c r="AE127" s="2230"/>
      <c r="AF127" s="1782"/>
      <c r="AG127" s="2058"/>
      <c r="AH127" s="1760"/>
      <c r="AI127" s="1788"/>
      <c r="AJ127" s="2284"/>
      <c r="AK127" s="2088"/>
      <c r="AL127" s="1748"/>
      <c r="AM127" s="1748"/>
      <c r="AN127" s="2088"/>
      <c r="AO127" s="2089"/>
      <c r="AP127" s="1788"/>
      <c r="AQ127" s="1788"/>
      <c r="AR127" s="1857"/>
      <c r="AS127" s="2061"/>
      <c r="AT127" s="1712"/>
      <c r="AU127" s="1712"/>
      <c r="AV127" s="2282"/>
      <c r="AW127" s="1712"/>
      <c r="AX127" s="1712"/>
      <c r="AY127" s="1712"/>
      <c r="AZ127" s="1712"/>
      <c r="BA127" s="1712"/>
      <c r="BB127" s="1712"/>
      <c r="BC127" s="1712"/>
      <c r="BD127" s="1712"/>
      <c r="BE127" s="1712"/>
      <c r="BF127" s="1712"/>
      <c r="BG127" s="1712"/>
      <c r="BH127" s="1712"/>
      <c r="BI127" s="1712"/>
      <c r="BJ127" s="1712"/>
      <c r="BK127" s="1712"/>
      <c r="BL127" s="1712"/>
      <c r="BM127" s="1712"/>
      <c r="BN127" s="1712"/>
    </row>
    <row r="128" spans="1:66" ht="24" thickBot="1" x14ac:dyDescent="0.3">
      <c r="A128" s="1714"/>
      <c r="B128" s="1714"/>
      <c r="C128" s="1791"/>
      <c r="D128" s="2222"/>
      <c r="E128" s="2285"/>
      <c r="F128" s="1791"/>
      <c r="G128" s="1791"/>
      <c r="H128" s="2249"/>
      <c r="I128" s="2250"/>
      <c r="J128" s="2250"/>
      <c r="K128" s="2250"/>
      <c r="L128" s="2250"/>
      <c r="M128" s="2250"/>
      <c r="N128" s="2250"/>
      <c r="O128" s="2250"/>
      <c r="P128" s="2251"/>
      <c r="Q128" s="1793"/>
      <c r="R128" s="2244"/>
      <c r="S128" s="2244"/>
      <c r="T128" s="1803"/>
      <c r="U128" s="1803"/>
      <c r="V128" s="2230"/>
      <c r="W128" s="1787"/>
      <c r="X128" s="1760"/>
      <c r="Y128" s="1742"/>
      <c r="Z128" s="2286"/>
      <c r="AA128" s="2287"/>
      <c r="AB128" s="1788"/>
      <c r="AC128" s="1788"/>
      <c r="AD128" s="2230"/>
      <c r="AE128" s="2230"/>
      <c r="AF128" s="2230"/>
      <c r="AG128" s="1782"/>
      <c r="AH128" s="2230"/>
      <c r="AI128" s="1747"/>
      <c r="AJ128" s="2245"/>
      <c r="AK128" s="2088"/>
      <c r="AL128" s="1748"/>
      <c r="AM128" s="1748"/>
      <c r="AN128" s="2088"/>
      <c r="AO128" s="2089"/>
      <c r="AP128" s="1788"/>
      <c r="AQ128" s="1788"/>
      <c r="AR128" s="1857"/>
      <c r="AS128" s="2061"/>
      <c r="AT128" s="1712"/>
      <c r="AU128" s="1712"/>
      <c r="AV128" s="2080"/>
      <c r="AW128" s="1712"/>
      <c r="AX128" s="1712"/>
      <c r="AY128" s="1712"/>
      <c r="AZ128" s="1712"/>
      <c r="BA128" s="1712"/>
      <c r="BB128" s="1712"/>
      <c r="BC128" s="1712"/>
      <c r="BD128" s="1712"/>
      <c r="BE128" s="1712"/>
      <c r="BF128" s="1712"/>
      <c r="BG128" s="1712"/>
      <c r="BH128" s="1712"/>
      <c r="BI128" s="1712"/>
      <c r="BJ128" s="1712"/>
      <c r="BK128" s="1712"/>
      <c r="BL128" s="2288"/>
      <c r="BM128" s="1712"/>
      <c r="BN128" s="1712"/>
    </row>
    <row r="129" spans="1:66" ht="20.25" x14ac:dyDescent="0.25">
      <c r="A129" s="1714"/>
      <c r="B129" s="1714"/>
      <c r="C129" s="1791"/>
      <c r="D129" s="2222"/>
      <c r="E129" s="2285"/>
      <c r="F129" s="1791"/>
      <c r="G129" s="1791"/>
      <c r="H129" s="2249"/>
      <c r="I129" s="2250"/>
      <c r="J129" s="2250"/>
      <c r="K129" s="2250"/>
      <c r="L129" s="2250"/>
      <c r="M129" s="2250"/>
      <c r="N129" s="2250"/>
      <c r="O129" s="2250"/>
      <c r="P129" s="2251"/>
      <c r="Q129" s="1793"/>
      <c r="R129" s="2244"/>
      <c r="S129" s="2244"/>
      <c r="T129" s="1803"/>
      <c r="U129" s="1803"/>
      <c r="V129" s="2230"/>
      <c r="W129" s="1889"/>
      <c r="X129" s="2289"/>
      <c r="Y129" s="2289"/>
      <c r="Z129" s="2289"/>
      <c r="AA129" s="2289"/>
      <c r="AB129" s="2289"/>
      <c r="AC129" s="2289"/>
      <c r="AD129" s="2289"/>
      <c r="AE129" s="2289"/>
      <c r="AF129" s="1890"/>
      <c r="AG129" s="1747"/>
      <c r="AH129" s="1747"/>
      <c r="AI129" s="1788"/>
      <c r="AJ129" s="2290"/>
      <c r="AK129" s="1788"/>
      <c r="AL129" s="1859"/>
      <c r="AM129" s="1859"/>
      <c r="AN129" s="1788"/>
      <c r="AO129" s="1788"/>
      <c r="AP129" s="1760"/>
      <c r="AQ129" s="1788"/>
      <c r="AR129" s="2291"/>
      <c r="AS129" s="2061"/>
      <c r="AT129" s="1712"/>
      <c r="AU129" s="1712"/>
      <c r="AV129" s="2080"/>
      <c r="AW129" s="2068"/>
      <c r="AX129" s="2068"/>
      <c r="AY129" s="2068"/>
      <c r="AZ129" s="2068"/>
      <c r="BA129" s="2068"/>
      <c r="BB129" s="2068"/>
      <c r="BC129" s="1712"/>
      <c r="BD129" s="1712"/>
      <c r="BE129" s="1712"/>
      <c r="BF129" s="1712"/>
      <c r="BG129" s="1712"/>
      <c r="BH129" s="2292"/>
      <c r="BI129" s="2293"/>
      <c r="BJ129" s="1965"/>
      <c r="BK129" s="2105"/>
      <c r="BL129" s="2288"/>
      <c r="BM129" s="1712"/>
      <c r="BN129" s="1712"/>
    </row>
    <row r="130" spans="1:66" ht="16.5" thickBot="1" x14ac:dyDescent="0.3">
      <c r="A130" s="1714"/>
      <c r="B130" s="1714"/>
      <c r="C130" s="1791"/>
      <c r="D130" s="2228"/>
      <c r="E130" s="2294"/>
      <c r="F130" s="1791"/>
      <c r="G130" s="1791"/>
      <c r="H130" s="2249"/>
      <c r="I130" s="2250"/>
      <c r="J130" s="2250"/>
      <c r="K130" s="2250"/>
      <c r="L130" s="2250"/>
      <c r="M130" s="2250"/>
      <c r="N130" s="2250"/>
      <c r="O130" s="2250"/>
      <c r="P130" s="2251"/>
      <c r="Q130" s="1793"/>
      <c r="R130" s="2244"/>
      <c r="S130" s="2244"/>
      <c r="T130" s="1803"/>
      <c r="U130" s="1803"/>
      <c r="V130" s="1788"/>
      <c r="W130" s="1893"/>
      <c r="X130" s="2295"/>
      <c r="Y130" s="2295"/>
      <c r="Z130" s="2295"/>
      <c r="AA130" s="2295"/>
      <c r="AB130" s="2295"/>
      <c r="AC130" s="2295"/>
      <c r="AD130" s="2295"/>
      <c r="AE130" s="2295"/>
      <c r="AF130" s="1894"/>
      <c r="AG130" s="1747"/>
      <c r="AH130" s="2239"/>
      <c r="AI130" s="2239"/>
      <c r="AJ130" s="1747"/>
      <c r="AK130" s="1747"/>
      <c r="AL130" s="1747"/>
      <c r="AM130" s="1747"/>
      <c r="AN130" s="1747"/>
      <c r="AO130" s="1760"/>
      <c r="AP130" s="1760"/>
      <c r="AQ130" s="1788"/>
      <c r="AR130" s="1804"/>
      <c r="AS130" s="2061"/>
      <c r="AT130" s="1712"/>
      <c r="AU130" s="1712"/>
      <c r="AV130" s="1714"/>
      <c r="AW130" s="1712"/>
      <c r="AX130" s="1712"/>
      <c r="AY130" s="1712"/>
      <c r="AZ130" s="1712"/>
      <c r="BA130" s="1712"/>
      <c r="BB130" s="1712"/>
      <c r="BC130" s="1712"/>
      <c r="BD130" s="1712"/>
      <c r="BE130" s="1712"/>
      <c r="BF130" s="1712"/>
      <c r="BG130" s="1712"/>
      <c r="BH130" s="1712"/>
      <c r="BI130" s="1712"/>
      <c r="BJ130" s="1712"/>
      <c r="BK130" s="1712"/>
      <c r="BL130" s="2288"/>
      <c r="BM130" s="1712"/>
      <c r="BN130" s="1712"/>
    </row>
    <row r="131" spans="1:66" ht="15.75" x14ac:dyDescent="0.25">
      <c r="A131" s="1714"/>
      <c r="B131" s="1714"/>
      <c r="C131" s="1791"/>
      <c r="D131" s="1791"/>
      <c r="E131" s="1791"/>
      <c r="F131" s="1791"/>
      <c r="G131" s="1791"/>
      <c r="H131" s="2249"/>
      <c r="I131" s="2250"/>
      <c r="J131" s="2250"/>
      <c r="K131" s="2250"/>
      <c r="L131" s="2250"/>
      <c r="M131" s="2250"/>
      <c r="N131" s="2250"/>
      <c r="O131" s="2250"/>
      <c r="P131" s="2251"/>
      <c r="Q131" s="1793"/>
      <c r="R131" s="2244"/>
      <c r="S131" s="2244"/>
      <c r="T131" s="2296"/>
      <c r="U131" s="2296"/>
      <c r="V131" s="1788"/>
      <c r="W131" s="1893"/>
      <c r="X131" s="2295"/>
      <c r="Y131" s="2295"/>
      <c r="Z131" s="2295"/>
      <c r="AA131" s="2295"/>
      <c r="AB131" s="2295"/>
      <c r="AC131" s="2295"/>
      <c r="AD131" s="2295"/>
      <c r="AE131" s="2295"/>
      <c r="AF131" s="1894"/>
      <c r="AG131" s="1747"/>
      <c r="AH131" s="2239"/>
      <c r="AI131" s="2239"/>
      <c r="AJ131" s="1747"/>
      <c r="AK131" s="1747"/>
      <c r="AL131" s="1747"/>
      <c r="AM131" s="1747"/>
      <c r="AN131" s="1747"/>
      <c r="AO131" s="1760"/>
      <c r="AP131" s="1760"/>
      <c r="AQ131" s="1760"/>
      <c r="AR131" s="1804"/>
      <c r="AS131" s="2061"/>
      <c r="AT131" s="1712"/>
      <c r="AU131" s="1712"/>
      <c r="AV131" s="1714"/>
      <c r="AW131" s="1712"/>
      <c r="AX131" s="1712"/>
      <c r="AY131" s="1712"/>
      <c r="AZ131" s="1712"/>
      <c r="BA131" s="1712"/>
      <c r="BB131" s="1712"/>
      <c r="BC131" s="1712"/>
      <c r="BD131" s="1712"/>
      <c r="BE131" s="1712"/>
      <c r="BF131" s="1712"/>
      <c r="BG131" s="1712"/>
      <c r="BH131" s="1712"/>
      <c r="BI131" s="1712"/>
      <c r="BJ131" s="1712"/>
      <c r="BK131" s="1712"/>
      <c r="BL131" s="2288"/>
      <c r="BM131" s="1712"/>
      <c r="BN131" s="1712"/>
    </row>
    <row r="132" spans="1:66" ht="15.75" x14ac:dyDescent="0.25">
      <c r="A132" s="1714"/>
      <c r="B132" s="1714"/>
      <c r="C132" s="1791"/>
      <c r="D132" s="1791"/>
      <c r="E132" s="1791"/>
      <c r="F132" s="1791"/>
      <c r="G132" s="1791"/>
      <c r="H132" s="2249"/>
      <c r="I132" s="2250"/>
      <c r="J132" s="2250"/>
      <c r="K132" s="2250"/>
      <c r="L132" s="2250"/>
      <c r="M132" s="2250"/>
      <c r="N132" s="2250"/>
      <c r="O132" s="2250"/>
      <c r="P132" s="2251"/>
      <c r="Q132" s="1793"/>
      <c r="R132" s="2244"/>
      <c r="S132" s="2244"/>
      <c r="T132" s="2244"/>
      <c r="U132" s="1788"/>
      <c r="V132" s="1788"/>
      <c r="W132" s="1893"/>
      <c r="X132" s="2295"/>
      <c r="Y132" s="2295"/>
      <c r="Z132" s="2295"/>
      <c r="AA132" s="2295"/>
      <c r="AB132" s="2295"/>
      <c r="AC132" s="2295"/>
      <c r="AD132" s="2295"/>
      <c r="AE132" s="2295"/>
      <c r="AF132" s="1894"/>
      <c r="AG132" s="1788"/>
      <c r="AH132" s="1760"/>
      <c r="AI132" s="1760"/>
      <c r="AJ132" s="1747"/>
      <c r="AK132" s="1747"/>
      <c r="AL132" s="1747"/>
      <c r="AM132" s="1747"/>
      <c r="AN132" s="1747"/>
      <c r="AO132" s="1791"/>
      <c r="AP132" s="1788"/>
      <c r="AQ132" s="1760"/>
      <c r="AR132" s="1804"/>
      <c r="AS132" s="2061"/>
      <c r="AT132" s="1712"/>
      <c r="AU132" s="1712"/>
      <c r="AV132" s="1793"/>
      <c r="AW132" s="1712"/>
      <c r="AX132" s="1712"/>
      <c r="AY132" s="1712"/>
      <c r="AZ132" s="1712"/>
      <c r="BA132" s="1712"/>
      <c r="BB132" s="1712"/>
      <c r="BC132" s="1712"/>
      <c r="BD132" s="1712"/>
      <c r="BE132" s="1712"/>
      <c r="BF132" s="1712"/>
      <c r="BG132" s="1712"/>
      <c r="BH132" s="1712"/>
      <c r="BI132" s="1712"/>
      <c r="BJ132" s="1712"/>
      <c r="BK132" s="1712"/>
      <c r="BL132" s="1712"/>
      <c r="BM132" s="1712"/>
      <c r="BN132" s="1712"/>
    </row>
    <row r="133" spans="1:66" ht="15.75" thickBot="1" x14ac:dyDescent="0.3">
      <c r="A133" s="1714"/>
      <c r="B133" s="1714"/>
      <c r="C133" s="1791"/>
      <c r="D133" s="1791"/>
      <c r="E133" s="2215"/>
      <c r="F133" s="1791"/>
      <c r="G133" s="1791"/>
      <c r="H133" s="2249"/>
      <c r="I133" s="2250"/>
      <c r="J133" s="2250"/>
      <c r="K133" s="2250"/>
      <c r="L133" s="2250"/>
      <c r="M133" s="2250"/>
      <c r="N133" s="2250"/>
      <c r="O133" s="2250"/>
      <c r="P133" s="2251"/>
      <c r="Q133" s="1793"/>
      <c r="R133" s="2244"/>
      <c r="S133" s="2244"/>
      <c r="T133" s="2244"/>
      <c r="U133" s="1788"/>
      <c r="V133" s="1788"/>
      <c r="W133" s="1893"/>
      <c r="X133" s="2295"/>
      <c r="Y133" s="2295"/>
      <c r="Z133" s="2295"/>
      <c r="AA133" s="2295"/>
      <c r="AB133" s="2295"/>
      <c r="AC133" s="2295"/>
      <c r="AD133" s="2295"/>
      <c r="AE133" s="2295"/>
      <c r="AF133" s="1894"/>
      <c r="AG133" s="1747"/>
      <c r="AH133" s="2297"/>
      <c r="AI133" s="2245"/>
      <c r="AJ133" s="1747"/>
      <c r="AK133" s="1747"/>
      <c r="AL133" s="1747"/>
      <c r="AM133" s="1747"/>
      <c r="AN133" s="1747"/>
      <c r="AO133" s="2089"/>
      <c r="AP133" s="1788"/>
      <c r="AQ133" s="1788"/>
      <c r="AR133" s="1760"/>
      <c r="AS133" s="2061"/>
      <c r="AT133" s="1712"/>
      <c r="AU133" s="1712"/>
      <c r="AV133" s="1793"/>
      <c r="AW133" s="1712"/>
      <c r="AX133" s="1712"/>
      <c r="AY133" s="1712"/>
      <c r="AZ133" s="1712"/>
      <c r="BA133" s="1712"/>
      <c r="BB133" s="1712"/>
      <c r="BC133" s="1712"/>
      <c r="BD133" s="1712"/>
      <c r="BE133" s="1712"/>
      <c r="BF133" s="1712"/>
      <c r="BG133" s="1712"/>
      <c r="BH133" s="1712"/>
      <c r="BI133" s="1712"/>
      <c r="BJ133" s="1712"/>
      <c r="BK133" s="1712"/>
      <c r="BL133" s="1712"/>
      <c r="BM133" s="1712"/>
      <c r="BN133" s="1712"/>
    </row>
    <row r="134" spans="1:66" ht="18.75" x14ac:dyDescent="0.25">
      <c r="A134" s="1714"/>
      <c r="B134" s="1714"/>
      <c r="C134" s="1791"/>
      <c r="D134" s="1791"/>
      <c r="E134" s="2215"/>
      <c r="F134" s="1791"/>
      <c r="G134" s="1791"/>
      <c r="H134" s="2249"/>
      <c r="I134" s="2250"/>
      <c r="J134" s="2250"/>
      <c r="K134" s="2250"/>
      <c r="L134" s="2250"/>
      <c r="M134" s="2250"/>
      <c r="N134" s="2250"/>
      <c r="O134" s="2250"/>
      <c r="P134" s="2251"/>
      <c r="Q134" s="1793"/>
      <c r="R134" s="2244"/>
      <c r="S134" s="2244"/>
      <c r="T134" s="2244"/>
      <c r="U134" s="1788"/>
      <c r="V134" s="1788"/>
      <c r="W134" s="1893"/>
      <c r="X134" s="2295"/>
      <c r="Y134" s="2295"/>
      <c r="Z134" s="2295"/>
      <c r="AA134" s="2295"/>
      <c r="AB134" s="2295"/>
      <c r="AC134" s="2295"/>
      <c r="AD134" s="2295"/>
      <c r="AE134" s="2295"/>
      <c r="AF134" s="1894"/>
      <c r="AG134" s="1788"/>
      <c r="AH134" s="2298"/>
      <c r="AI134" s="1788"/>
      <c r="AJ134" s="1747"/>
      <c r="AK134" s="1747"/>
      <c r="AL134" s="1747"/>
      <c r="AM134" s="1747"/>
      <c r="AN134" s="1747"/>
      <c r="AO134" s="1788"/>
      <c r="AP134" s="2299"/>
      <c r="AQ134" s="1723"/>
      <c r="AR134" s="1760"/>
      <c r="AS134" s="2061"/>
      <c r="AT134" s="1712"/>
      <c r="AU134" s="1712"/>
      <c r="AV134" s="1793"/>
      <c r="AW134" s="1712"/>
      <c r="AX134" s="1712"/>
      <c r="AY134" s="1712"/>
      <c r="AZ134" s="1712"/>
      <c r="BA134" s="1712"/>
      <c r="BB134" s="1712"/>
      <c r="BC134" s="1712"/>
      <c r="BD134" s="1712"/>
      <c r="BE134" s="1712"/>
      <c r="BF134" s="1712"/>
      <c r="BG134" s="1712"/>
      <c r="BH134" s="1712"/>
      <c r="BI134" s="1712"/>
      <c r="BJ134" s="1712"/>
      <c r="BK134" s="1712"/>
      <c r="BL134" s="1712"/>
      <c r="BM134" s="1712"/>
      <c r="BN134" s="1712"/>
    </row>
    <row r="135" spans="1:66" ht="19.5" thickBot="1" x14ac:dyDescent="0.3">
      <c r="A135" s="1714"/>
      <c r="B135" s="1714"/>
      <c r="C135" s="1791"/>
      <c r="D135" s="1791"/>
      <c r="E135" s="2215"/>
      <c r="F135" s="1791"/>
      <c r="G135" s="1791"/>
      <c r="H135" s="2249"/>
      <c r="I135" s="2250"/>
      <c r="J135" s="2250"/>
      <c r="K135" s="2250"/>
      <c r="L135" s="2250"/>
      <c r="M135" s="2250"/>
      <c r="N135" s="2250"/>
      <c r="O135" s="2250"/>
      <c r="P135" s="2251"/>
      <c r="Q135" s="1793"/>
      <c r="R135" s="2244"/>
      <c r="S135" s="2244"/>
      <c r="T135" s="2244"/>
      <c r="U135" s="1788"/>
      <c r="V135" s="1788"/>
      <c r="W135" s="1893"/>
      <c r="X135" s="2295"/>
      <c r="Y135" s="2295"/>
      <c r="Z135" s="2295"/>
      <c r="AA135" s="2295"/>
      <c r="AB135" s="2295"/>
      <c r="AC135" s="2295"/>
      <c r="AD135" s="2295"/>
      <c r="AE135" s="2295"/>
      <c r="AF135" s="1894"/>
      <c r="AG135" s="1747"/>
      <c r="AH135" s="2300"/>
      <c r="AI135" s="1760"/>
      <c r="AJ135" s="1747"/>
      <c r="AK135" s="1747"/>
      <c r="AL135" s="1747"/>
      <c r="AM135" s="1747"/>
      <c r="AN135" s="1747"/>
      <c r="AO135" s="2239"/>
      <c r="AP135" s="2301"/>
      <c r="AQ135" s="2299"/>
      <c r="AR135" s="1760"/>
      <c r="AS135" s="2061"/>
      <c r="AT135" s="1712"/>
      <c r="AU135" s="1712"/>
      <c r="AV135" s="1793"/>
      <c r="AW135" s="1712"/>
      <c r="AX135" s="1712"/>
      <c r="AY135" s="1712"/>
      <c r="AZ135" s="1712"/>
      <c r="BA135" s="1712"/>
      <c r="BB135" s="1712"/>
      <c r="BC135" s="1712"/>
      <c r="BD135" s="1712"/>
      <c r="BE135" s="1712"/>
      <c r="BF135" s="1712"/>
      <c r="BG135" s="1712"/>
      <c r="BH135" s="1712"/>
      <c r="BI135" s="1712"/>
      <c r="BJ135" s="1712"/>
      <c r="BK135" s="1712"/>
      <c r="BL135" s="1712"/>
      <c r="BM135" s="1712"/>
      <c r="BN135" s="1712"/>
    </row>
    <row r="136" spans="1:66" ht="18.75" x14ac:dyDescent="0.25">
      <c r="A136" s="1714"/>
      <c r="B136" s="1714"/>
      <c r="C136" s="1791"/>
      <c r="D136" s="1791"/>
      <c r="E136" s="2215"/>
      <c r="F136" s="1791"/>
      <c r="G136" s="1791"/>
      <c r="H136" s="2249"/>
      <c r="I136" s="2250"/>
      <c r="J136" s="2250"/>
      <c r="K136" s="2250"/>
      <c r="L136" s="2250"/>
      <c r="M136" s="2250"/>
      <c r="N136" s="2250"/>
      <c r="O136" s="2250"/>
      <c r="P136" s="2251"/>
      <c r="Q136" s="1793"/>
      <c r="R136" s="2302"/>
      <c r="S136" s="2302"/>
      <c r="T136" s="2302"/>
      <c r="U136" s="1714"/>
      <c r="V136" s="1788"/>
      <c r="W136" s="1893"/>
      <c r="X136" s="2295"/>
      <c r="Y136" s="2295"/>
      <c r="Z136" s="2295"/>
      <c r="AA136" s="2295"/>
      <c r="AB136" s="2295"/>
      <c r="AC136" s="2295"/>
      <c r="AD136" s="2295"/>
      <c r="AE136" s="2295"/>
      <c r="AF136" s="1894"/>
      <c r="AG136" s="1788"/>
      <c r="AH136" s="1788"/>
      <c r="AI136" s="1760"/>
      <c r="AJ136" s="1747"/>
      <c r="AK136" s="1747"/>
      <c r="AL136" s="1747"/>
      <c r="AM136" s="1747"/>
      <c r="AN136" s="1747"/>
      <c r="AO136" s="2239"/>
      <c r="AP136" s="2301"/>
      <c r="AQ136" s="2303"/>
      <c r="AR136" s="1760"/>
      <c r="AS136" s="2061"/>
      <c r="AT136" s="1712"/>
      <c r="AU136" s="1712"/>
      <c r="AV136" s="1793"/>
      <c r="AW136" s="2068"/>
      <c r="AX136" s="2068"/>
      <c r="AY136" s="2068"/>
      <c r="AZ136" s="2068"/>
      <c r="BA136" s="2068"/>
      <c r="BB136" s="2068"/>
      <c r="BC136" s="2068"/>
      <c r="BD136" s="1712"/>
      <c r="BE136" s="1712"/>
      <c r="BF136" s="1965"/>
      <c r="BG136" s="2105"/>
      <c r="BH136" s="2105"/>
      <c r="BI136" s="1712"/>
      <c r="BJ136" s="1712"/>
      <c r="BK136" s="1714"/>
      <c r="BL136" s="1712"/>
      <c r="BM136" s="1712"/>
      <c r="BN136" s="1712"/>
    </row>
    <row r="137" spans="1:66" ht="18.75" x14ac:dyDescent="0.25">
      <c r="A137" s="1714"/>
      <c r="B137" s="1714"/>
      <c r="C137" s="1791"/>
      <c r="D137" s="1791"/>
      <c r="E137" s="2215"/>
      <c r="F137" s="1791"/>
      <c r="G137" s="1791"/>
      <c r="H137" s="2249"/>
      <c r="I137" s="2250"/>
      <c r="J137" s="2250"/>
      <c r="K137" s="2250"/>
      <c r="L137" s="2250"/>
      <c r="M137" s="2250"/>
      <c r="N137" s="2250"/>
      <c r="O137" s="2250"/>
      <c r="P137" s="2251"/>
      <c r="Q137" s="1793"/>
      <c r="R137" s="2302"/>
      <c r="S137" s="2302"/>
      <c r="T137" s="2302"/>
      <c r="U137" s="1793"/>
      <c r="V137" s="1787"/>
      <c r="W137" s="1893"/>
      <c r="X137" s="2295"/>
      <c r="Y137" s="2295"/>
      <c r="Z137" s="2295"/>
      <c r="AA137" s="2295"/>
      <c r="AB137" s="2295"/>
      <c r="AC137" s="2295"/>
      <c r="AD137" s="2295"/>
      <c r="AE137" s="2295"/>
      <c r="AF137" s="1894"/>
      <c r="AG137" s="1747"/>
      <c r="AH137" s="1788"/>
      <c r="AI137" s="1788"/>
      <c r="AJ137" s="1788"/>
      <c r="AK137" s="1788"/>
      <c r="AL137" s="1788"/>
      <c r="AM137" s="1788"/>
      <c r="AN137" s="1788"/>
      <c r="AO137" s="1788"/>
      <c r="AP137" s="2303"/>
      <c r="AQ137" s="1787"/>
      <c r="AR137" s="1760"/>
      <c r="AS137" s="2061"/>
      <c r="AT137" s="1712"/>
      <c r="AU137" s="1712"/>
      <c r="AV137" s="1793"/>
      <c r="AW137" s="2068"/>
      <c r="AX137" s="2068"/>
      <c r="AY137" s="2068"/>
      <c r="AZ137" s="2068"/>
      <c r="BA137" s="2068"/>
      <c r="BB137" s="2068"/>
      <c r="BC137" s="2068"/>
      <c r="BD137" s="1712"/>
      <c r="BE137" s="1712"/>
      <c r="BF137" s="1714"/>
      <c r="BG137" s="1714"/>
      <c r="BH137" s="1714"/>
      <c r="BI137" s="1712"/>
      <c r="BJ137" s="1712"/>
      <c r="BK137" s="1714"/>
      <c r="BL137" s="1712"/>
      <c r="BM137" s="1712"/>
      <c r="BN137" s="1712"/>
    </row>
    <row r="138" spans="1:66" x14ac:dyDescent="0.25">
      <c r="A138" s="1714"/>
      <c r="B138" s="1714"/>
      <c r="C138" s="1791"/>
      <c r="D138" s="1791"/>
      <c r="E138" s="2215"/>
      <c r="F138" s="1791"/>
      <c r="G138" s="1791"/>
      <c r="H138" s="2249"/>
      <c r="I138" s="2250"/>
      <c r="J138" s="2250"/>
      <c r="K138" s="2250"/>
      <c r="L138" s="2250"/>
      <c r="M138" s="2250"/>
      <c r="N138" s="2250"/>
      <c r="O138" s="2250"/>
      <c r="P138" s="2251"/>
      <c r="Q138" s="1793"/>
      <c r="R138" s="2302"/>
      <c r="S138" s="2302"/>
      <c r="T138" s="2302"/>
      <c r="U138" s="1793"/>
      <c r="V138" s="1787"/>
      <c r="W138" s="1893"/>
      <c r="X138" s="2295"/>
      <c r="Y138" s="2295"/>
      <c r="Z138" s="2295"/>
      <c r="AA138" s="2295"/>
      <c r="AB138" s="2295"/>
      <c r="AC138" s="2295"/>
      <c r="AD138" s="2295"/>
      <c r="AE138" s="2295"/>
      <c r="AF138" s="1894"/>
      <c r="AG138" s="1788"/>
      <c r="AH138" s="1742"/>
      <c r="AI138" s="1742"/>
      <c r="AJ138" s="1742"/>
      <c r="AK138" s="1742"/>
      <c r="AL138" s="1742"/>
      <c r="AM138" s="1742"/>
      <c r="AN138" s="1742"/>
      <c r="AO138" s="1788"/>
      <c r="AP138" s="1788"/>
      <c r="AQ138" s="1788"/>
      <c r="AR138" s="1742"/>
      <c r="AS138" s="2061"/>
      <c r="AT138" s="1712"/>
      <c r="AU138" s="1712"/>
      <c r="AV138" s="1793"/>
      <c r="AW138" s="2068"/>
      <c r="AX138" s="2068"/>
      <c r="AY138" s="2068"/>
      <c r="AZ138" s="2068"/>
      <c r="BA138" s="2068"/>
      <c r="BB138" s="2068"/>
      <c r="BC138" s="2068"/>
      <c r="BD138" s="1712"/>
      <c r="BE138" s="1712"/>
      <c r="BF138" s="2105"/>
      <c r="BG138" s="2105"/>
      <c r="BH138" s="2105"/>
      <c r="BI138" s="1712"/>
      <c r="BJ138" s="1712"/>
      <c r="BK138" s="1714"/>
      <c r="BL138" s="1712"/>
      <c r="BM138" s="1712"/>
      <c r="BN138" s="1712"/>
    </row>
    <row r="139" spans="1:66" ht="15.75" thickBot="1" x14ac:dyDescent="0.3">
      <c r="A139" s="1714"/>
      <c r="B139" s="1714"/>
      <c r="C139" s="1791"/>
      <c r="D139" s="1791"/>
      <c r="E139" s="2215"/>
      <c r="F139" s="1791"/>
      <c r="G139" s="1791"/>
      <c r="H139" s="2249"/>
      <c r="I139" s="2250"/>
      <c r="J139" s="2250"/>
      <c r="K139" s="2250"/>
      <c r="L139" s="2250"/>
      <c r="M139" s="2250"/>
      <c r="N139" s="2250"/>
      <c r="O139" s="2250"/>
      <c r="P139" s="2251"/>
      <c r="Q139" s="1793"/>
      <c r="R139" s="2302"/>
      <c r="S139" s="2302"/>
      <c r="T139" s="2302"/>
      <c r="U139" s="1793"/>
      <c r="V139" s="1787"/>
      <c r="W139" s="1893"/>
      <c r="X139" s="2295"/>
      <c r="Y139" s="2295"/>
      <c r="Z139" s="2295"/>
      <c r="AA139" s="2295"/>
      <c r="AB139" s="2295"/>
      <c r="AC139" s="2295"/>
      <c r="AD139" s="2295"/>
      <c r="AE139" s="2295"/>
      <c r="AF139" s="1894"/>
      <c r="AG139" s="2304"/>
      <c r="AH139" s="2304"/>
      <c r="AI139" s="2304"/>
      <c r="AJ139" s="1742"/>
      <c r="AK139" s="1742"/>
      <c r="AL139" s="1742"/>
      <c r="AM139" s="1742"/>
      <c r="AN139" s="1742"/>
      <c r="AO139" s="1742"/>
      <c r="AP139" s="1742"/>
      <c r="AQ139" s="1742"/>
      <c r="AR139" s="1742"/>
      <c r="AS139" s="2061"/>
      <c r="AT139" s="1712"/>
      <c r="AU139" s="1712"/>
      <c r="AV139" s="1712"/>
      <c r="AW139" s="1712"/>
      <c r="AX139" s="1712"/>
      <c r="AY139" s="1793"/>
      <c r="AZ139" s="1793"/>
      <c r="BA139" s="1793"/>
      <c r="BB139" s="1734"/>
      <c r="BC139" s="2105"/>
      <c r="BD139" s="1712"/>
      <c r="BE139" s="1712"/>
      <c r="BF139" s="2105"/>
      <c r="BG139" s="2105"/>
      <c r="BH139" s="2105"/>
      <c r="BI139" s="1712"/>
      <c r="BJ139" s="1712"/>
      <c r="BK139" s="1714"/>
      <c r="BL139" s="1712"/>
      <c r="BM139" s="1712"/>
      <c r="BN139" s="1712"/>
    </row>
    <row r="140" spans="1:66" x14ac:dyDescent="0.25">
      <c r="A140" s="1714"/>
      <c r="B140" s="1714"/>
      <c r="C140" s="1791"/>
      <c r="D140" s="1791"/>
      <c r="E140" s="1791"/>
      <c r="F140" s="1933"/>
      <c r="G140" s="2305"/>
      <c r="H140" s="2249"/>
      <c r="I140" s="2250"/>
      <c r="J140" s="2250"/>
      <c r="K140" s="2250"/>
      <c r="L140" s="2250"/>
      <c r="M140" s="2250"/>
      <c r="N140" s="2250"/>
      <c r="O140" s="2250"/>
      <c r="P140" s="2251"/>
      <c r="Q140" s="1793"/>
      <c r="R140" s="2302"/>
      <c r="S140" s="2302"/>
      <c r="T140" s="2302"/>
      <c r="U140" s="2306"/>
      <c r="V140" s="2230"/>
      <c r="W140" s="1893"/>
      <c r="X140" s="2295"/>
      <c r="Y140" s="2295"/>
      <c r="Z140" s="2295"/>
      <c r="AA140" s="2295"/>
      <c r="AB140" s="2295"/>
      <c r="AC140" s="2295"/>
      <c r="AD140" s="2295"/>
      <c r="AE140" s="2295"/>
      <c r="AF140" s="1894"/>
      <c r="AG140" s="1935"/>
      <c r="AH140" s="2304"/>
      <c r="AI140" s="2304"/>
      <c r="AJ140" s="2304"/>
      <c r="AK140" s="2304"/>
      <c r="AL140" s="2304"/>
      <c r="AM140" s="1742"/>
      <c r="AN140" s="1742"/>
      <c r="AO140" s="1742"/>
      <c r="AP140" s="1742"/>
      <c r="AQ140" s="1742"/>
      <c r="AR140" s="1742"/>
      <c r="AS140" s="2061"/>
      <c r="AT140" s="1712"/>
      <c r="AU140" s="1712"/>
      <c r="AV140" s="1712"/>
      <c r="AW140" s="1712"/>
      <c r="AX140" s="1712"/>
      <c r="AY140" s="1734"/>
      <c r="AZ140" s="1734"/>
      <c r="BA140" s="1734"/>
      <c r="BB140" s="1734"/>
      <c r="BC140" s="1734"/>
      <c r="BD140" s="1712"/>
      <c r="BE140" s="1712"/>
      <c r="BF140" s="2105"/>
      <c r="BG140" s="2105"/>
      <c r="BH140" s="2105"/>
      <c r="BI140" s="1712"/>
      <c r="BJ140" s="1712"/>
      <c r="BK140" s="2105"/>
      <c r="BL140" s="1712"/>
      <c r="BM140" s="1712"/>
      <c r="BN140" s="1712"/>
    </row>
    <row r="141" spans="1:66" ht="16.5" thickBot="1" x14ac:dyDescent="0.3">
      <c r="A141" s="1714"/>
      <c r="B141" s="1714"/>
      <c r="C141" s="1791"/>
      <c r="D141" s="1791"/>
      <c r="E141" s="1791"/>
      <c r="F141" s="2307"/>
      <c r="G141" s="1776"/>
      <c r="H141" s="2308"/>
      <c r="I141" s="2309"/>
      <c r="J141" s="2309"/>
      <c r="K141" s="2309"/>
      <c r="L141" s="2309"/>
      <c r="M141" s="2309"/>
      <c r="N141" s="2309"/>
      <c r="O141" s="2309"/>
      <c r="P141" s="2310"/>
      <c r="Q141" s="1793"/>
      <c r="R141" s="2302"/>
      <c r="S141" s="2302"/>
      <c r="T141" s="2302"/>
      <c r="U141" s="2306"/>
      <c r="V141" s="2230"/>
      <c r="W141" s="1893"/>
      <c r="X141" s="2295"/>
      <c r="Y141" s="2295"/>
      <c r="Z141" s="2295"/>
      <c r="AA141" s="2295"/>
      <c r="AB141" s="2295"/>
      <c r="AC141" s="2295"/>
      <c r="AD141" s="2295"/>
      <c r="AE141" s="2295"/>
      <c r="AF141" s="1894"/>
      <c r="AG141" s="2304"/>
      <c r="AH141" s="1935"/>
      <c r="AI141" s="1935"/>
      <c r="AJ141" s="1935"/>
      <c r="AK141" s="1935"/>
      <c r="AL141" s="1935"/>
      <c r="AM141" s="1935"/>
      <c r="AN141" s="1935"/>
      <c r="AO141" s="1935"/>
      <c r="AP141" s="1935"/>
      <c r="AQ141" s="1935"/>
      <c r="AR141" s="1935"/>
      <c r="AS141" s="1891"/>
      <c r="AT141" s="1712"/>
      <c r="AU141" s="1712"/>
      <c r="AV141" s="1712"/>
      <c r="AW141" s="1712"/>
      <c r="AX141" s="1712"/>
      <c r="AY141" s="1734"/>
      <c r="AZ141" s="1734"/>
      <c r="BA141" s="1734"/>
      <c r="BB141" s="1734"/>
      <c r="BC141" s="1734"/>
      <c r="BD141" s="1712"/>
      <c r="BE141" s="1712"/>
      <c r="BF141" s="2105"/>
      <c r="BG141" s="2105"/>
      <c r="BH141" s="2105"/>
      <c r="BI141" s="1712"/>
      <c r="BJ141" s="1712"/>
      <c r="BK141" s="2105"/>
      <c r="BL141" s="1734"/>
      <c r="BM141" s="1948"/>
      <c r="BN141" s="1712"/>
    </row>
    <row r="142" spans="1:66" ht="15.75" thickBot="1" x14ac:dyDescent="0.3">
      <c r="A142" s="1714"/>
      <c r="B142" s="1714"/>
      <c r="C142" s="1791"/>
      <c r="D142" s="1791"/>
      <c r="E142" s="1791"/>
      <c r="F142" s="2307"/>
      <c r="G142" s="1776"/>
      <c r="H142" s="2286"/>
      <c r="I142" s="1791"/>
      <c r="J142" s="1791"/>
      <c r="K142" s="1791"/>
      <c r="L142" s="1787"/>
      <c r="M142" s="1787"/>
      <c r="N142" s="1787"/>
      <c r="O142" s="1787"/>
      <c r="P142" s="1787"/>
      <c r="Q142" s="1793"/>
      <c r="R142" s="1793"/>
      <c r="S142" s="1793"/>
      <c r="T142" s="1793"/>
      <c r="U142" s="2306"/>
      <c r="V142" s="2230"/>
      <c r="W142" s="1893"/>
      <c r="X142" s="2295"/>
      <c r="Y142" s="2295"/>
      <c r="Z142" s="2295"/>
      <c r="AA142" s="2295"/>
      <c r="AB142" s="2295"/>
      <c r="AC142" s="2295"/>
      <c r="AD142" s="2295"/>
      <c r="AE142" s="2295"/>
      <c r="AF142" s="1894"/>
      <c r="AG142" s="1935"/>
      <c r="AH142" s="1935"/>
      <c r="AI142" s="1935"/>
      <c r="AJ142" s="1935"/>
      <c r="AK142" s="1935"/>
      <c r="AL142" s="1935"/>
      <c r="AM142" s="1935"/>
      <c r="AN142" s="1935"/>
      <c r="AO142" s="1935"/>
      <c r="AP142" s="1935"/>
      <c r="AQ142" s="1935"/>
      <c r="AR142" s="1935"/>
      <c r="AS142" s="1891"/>
      <c r="AT142" s="1712"/>
      <c r="AU142" s="1712"/>
      <c r="AV142" s="1712"/>
      <c r="AW142" s="1712"/>
      <c r="AX142" s="1712"/>
      <c r="AY142" s="1734"/>
      <c r="AZ142" s="1734"/>
      <c r="BA142" s="1734"/>
      <c r="BB142" s="1734"/>
      <c r="BC142" s="1734"/>
      <c r="BD142" s="1712"/>
      <c r="BE142" s="1712"/>
      <c r="BF142" s="2105"/>
      <c r="BG142" s="2105"/>
      <c r="BH142" s="2105"/>
      <c r="BI142" s="1712"/>
      <c r="BJ142" s="1712"/>
      <c r="BK142" s="2105"/>
      <c r="BL142" s="1734"/>
      <c r="BM142" s="1734"/>
      <c r="BN142" s="1712"/>
    </row>
    <row r="143" spans="1:66" ht="15.75" x14ac:dyDescent="0.25">
      <c r="A143" s="1714"/>
      <c r="B143" s="1714"/>
      <c r="C143" s="1791"/>
      <c r="D143" s="1791"/>
      <c r="E143" s="1791"/>
      <c r="F143" s="2307"/>
      <c r="G143" s="1776"/>
      <c r="H143" s="1791"/>
      <c r="I143" s="1791"/>
      <c r="J143" s="1791"/>
      <c r="K143" s="1791"/>
      <c r="L143" s="1787"/>
      <c r="M143" s="2304"/>
      <c r="N143" s="2304"/>
      <c r="O143" s="2304"/>
      <c r="P143" s="2304"/>
      <c r="Q143" s="1922"/>
      <c r="R143" s="1922"/>
      <c r="S143" s="1922"/>
      <c r="T143" s="1922"/>
      <c r="U143" s="2037"/>
      <c r="V143" s="2198"/>
      <c r="W143" s="1893"/>
      <c r="X143" s="2295"/>
      <c r="Y143" s="2295"/>
      <c r="Z143" s="2295"/>
      <c r="AA143" s="2295"/>
      <c r="AB143" s="2295"/>
      <c r="AC143" s="2295"/>
      <c r="AD143" s="2295"/>
      <c r="AE143" s="2295"/>
      <c r="AF143" s="1894"/>
      <c r="AG143" s="1935"/>
      <c r="AH143" s="1935"/>
      <c r="AI143" s="1935"/>
      <c r="AJ143" s="1935"/>
      <c r="AK143" s="1935"/>
      <c r="AL143" s="2311"/>
      <c r="AM143" s="1914"/>
      <c r="AN143" s="2312"/>
      <c r="AO143" s="2311"/>
      <c r="AP143" s="1914"/>
      <c r="AQ143" s="1935"/>
      <c r="AR143" s="1935"/>
      <c r="AS143" s="1891"/>
      <c r="AT143" s="1712"/>
      <c r="AU143" s="1734"/>
      <c r="AV143" s="1734"/>
      <c r="AW143" s="1734"/>
      <c r="AX143" s="1871"/>
      <c r="AY143" s="1734"/>
      <c r="AZ143" s="1734"/>
      <c r="BA143" s="1871"/>
      <c r="BB143" s="2105"/>
      <c r="BC143" s="1734"/>
      <c r="BD143" s="1734"/>
      <c r="BE143" s="1712"/>
      <c r="BF143" s="1712"/>
      <c r="BG143" s="1712"/>
      <c r="BH143" s="1712"/>
      <c r="BI143" s="1712"/>
      <c r="BJ143" s="1712"/>
      <c r="BK143" s="1712"/>
      <c r="BL143" s="1712"/>
      <c r="BM143" s="1712"/>
      <c r="BN143" s="1712"/>
    </row>
    <row r="144" spans="1:66" ht="16.5" thickBot="1" x14ac:dyDescent="0.3">
      <c r="A144" s="1714"/>
      <c r="B144" s="1714"/>
      <c r="C144" s="1791"/>
      <c r="D144" s="1791"/>
      <c r="E144" s="1791"/>
      <c r="F144" s="2307"/>
      <c r="G144" s="1776"/>
      <c r="H144" s="1791"/>
      <c r="I144" s="1791"/>
      <c r="J144" s="1791"/>
      <c r="K144" s="1791"/>
      <c r="L144" s="1787"/>
      <c r="M144" s="2304"/>
      <c r="N144" s="2304"/>
      <c r="O144" s="2304"/>
      <c r="P144" s="2304"/>
      <c r="Q144" s="1922"/>
      <c r="R144" s="1922"/>
      <c r="S144" s="1922"/>
      <c r="T144" s="1793"/>
      <c r="U144" s="2306"/>
      <c r="V144" s="2230"/>
      <c r="W144" s="1896"/>
      <c r="X144" s="2313"/>
      <c r="Y144" s="2313"/>
      <c r="Z144" s="2313"/>
      <c r="AA144" s="2313"/>
      <c r="AB144" s="2313"/>
      <c r="AC144" s="2313"/>
      <c r="AD144" s="2313"/>
      <c r="AE144" s="2313"/>
      <c r="AF144" s="1897"/>
      <c r="AG144" s="1935"/>
      <c r="AH144" s="2314"/>
      <c r="AI144" s="2314"/>
      <c r="AJ144" s="2314"/>
      <c r="AK144" s="2314"/>
      <c r="AL144" s="2311"/>
      <c r="AM144" s="1914"/>
      <c r="AN144" s="2315"/>
      <c r="AO144" s="2311"/>
      <c r="AP144" s="1914"/>
      <c r="AQ144" s="2314"/>
      <c r="AR144" s="2314"/>
      <c r="AS144" s="1891"/>
      <c r="AT144" s="1712"/>
      <c r="AU144" s="1864"/>
      <c r="AV144" s="1712"/>
      <c r="AW144" s="1712"/>
      <c r="AX144" s="1712"/>
      <c r="AY144" s="1734"/>
      <c r="AZ144" s="1734"/>
      <c r="BA144" s="1871"/>
      <c r="BB144" s="2105"/>
      <c r="BC144" s="1734"/>
      <c r="BD144" s="1734"/>
      <c r="BE144" s="1712"/>
      <c r="BF144" s="1712"/>
      <c r="BG144" s="1712"/>
      <c r="BH144" s="1712"/>
      <c r="BI144" s="1712"/>
      <c r="BJ144" s="1712"/>
      <c r="BK144" s="1712"/>
      <c r="BL144" s="1712"/>
      <c r="BM144" s="1712"/>
      <c r="BN144" s="1712"/>
    </row>
    <row r="145" spans="1:66" ht="18.75" x14ac:dyDescent="0.25">
      <c r="A145" s="1714"/>
      <c r="B145" s="1714"/>
      <c r="C145" s="1791"/>
      <c r="D145" s="1791"/>
      <c r="E145" s="1791"/>
      <c r="F145" s="2307"/>
      <c r="G145" s="1776"/>
      <c r="H145" s="1791"/>
      <c r="I145" s="1791"/>
      <c r="J145" s="1791"/>
      <c r="K145" s="1791"/>
      <c r="L145" s="1742"/>
      <c r="M145" s="2304"/>
      <c r="N145" s="2304"/>
      <c r="O145" s="2304"/>
      <c r="P145" s="2304"/>
      <c r="Q145" s="1922"/>
      <c r="R145" s="1922"/>
      <c r="S145" s="1922"/>
      <c r="T145" s="1793"/>
      <c r="U145" s="2306"/>
      <c r="V145" s="2306"/>
      <c r="W145" s="1793"/>
      <c r="X145" s="1793"/>
      <c r="Y145" s="1793"/>
      <c r="Z145" s="1793"/>
      <c r="AA145" s="1946"/>
      <c r="AB145" s="1793"/>
      <c r="AC145" s="1922"/>
      <c r="AD145" s="1946"/>
      <c r="AE145" s="1946"/>
      <c r="AF145" s="1946"/>
      <c r="AG145" s="1946"/>
      <c r="AH145" s="2220"/>
      <c r="AI145" s="2220"/>
      <c r="AJ145" s="2299"/>
      <c r="AK145" s="2299"/>
      <c r="AL145" s="2299"/>
      <c r="AM145" s="2299"/>
      <c r="AN145" s="2299"/>
      <c r="AO145" s="2299"/>
      <c r="AP145" s="2299"/>
      <c r="AQ145" s="2299"/>
      <c r="AR145" s="2220"/>
      <c r="AS145" s="1891"/>
      <c r="AT145" s="1712"/>
      <c r="AU145" s="1864"/>
      <c r="AV145" s="1734"/>
      <c r="AW145" s="1734"/>
      <c r="AX145" s="1712"/>
      <c r="AY145" s="1712"/>
      <c r="AZ145" s="1734"/>
      <c r="BA145" s="1871"/>
      <c r="BB145" s="2105"/>
      <c r="BC145" s="1734"/>
      <c r="BD145" s="1734"/>
      <c r="BE145" s="1712"/>
      <c r="BF145" s="1712"/>
      <c r="BG145" s="1712"/>
      <c r="BH145" s="1712"/>
      <c r="BI145" s="1712"/>
      <c r="BJ145" s="1712"/>
      <c r="BK145" s="1712"/>
      <c r="BL145" s="1712"/>
      <c r="BM145" s="1712"/>
      <c r="BN145" s="1712"/>
    </row>
    <row r="146" spans="1:66" ht="16.5" thickBot="1" x14ac:dyDescent="0.3">
      <c r="A146" s="1714"/>
      <c r="B146" s="1714"/>
      <c r="C146" s="1791"/>
      <c r="D146" s="1791"/>
      <c r="E146" s="1791"/>
      <c r="F146" s="2307"/>
      <c r="G146" s="1776"/>
      <c r="H146" s="1791"/>
      <c r="I146" s="1791"/>
      <c r="J146" s="1791"/>
      <c r="K146" s="1791"/>
      <c r="L146" s="2051"/>
      <c r="M146" s="2051"/>
      <c r="N146" s="2316"/>
      <c r="O146" s="2316"/>
      <c r="P146" s="2316"/>
      <c r="Q146" s="2029"/>
      <c r="R146" s="2029"/>
      <c r="S146" s="2029"/>
      <c r="T146" s="2029"/>
      <c r="U146" s="2317"/>
      <c r="V146" s="2317"/>
      <c r="W146" s="1743"/>
      <c r="X146" s="2226"/>
      <c r="Y146" s="1743"/>
      <c r="Z146" s="1712"/>
      <c r="AA146" s="1712"/>
      <c r="AB146" s="1712"/>
      <c r="AC146" s="1712"/>
      <c r="AD146" s="1712"/>
      <c r="AE146" s="1712"/>
      <c r="AF146" s="1946"/>
      <c r="AG146" s="1946"/>
      <c r="AH146" s="2318"/>
      <c r="AI146" s="2318"/>
      <c r="AJ146" s="1827"/>
      <c r="AK146" s="1827"/>
      <c r="AL146" s="1827"/>
      <c r="AM146" s="1827"/>
      <c r="AN146" s="1827"/>
      <c r="AO146" s="1827"/>
      <c r="AP146" s="1827"/>
      <c r="AQ146" s="1827"/>
      <c r="AR146" s="2318"/>
      <c r="AS146" s="1891"/>
      <c r="AT146" s="1712"/>
      <c r="AU146" s="1734"/>
      <c r="AV146" s="1734"/>
      <c r="AW146" s="1734"/>
      <c r="AX146" s="1712"/>
      <c r="AY146" s="1712"/>
      <c r="AZ146" s="1712"/>
      <c r="BA146" s="1871"/>
      <c r="BB146" s="2105"/>
      <c r="BC146" s="1712"/>
      <c r="BD146" s="1734"/>
      <c r="BE146" s="1712"/>
      <c r="BF146" s="1712"/>
      <c r="BG146" s="1712"/>
      <c r="BH146" s="1712"/>
      <c r="BI146" s="1712"/>
      <c r="BJ146" s="1712"/>
      <c r="BK146" s="1712"/>
      <c r="BL146" s="1712"/>
      <c r="BM146" s="1712"/>
      <c r="BN146" s="1712"/>
    </row>
    <row r="147" spans="1:66" x14ac:dyDescent="0.25">
      <c r="A147" s="1714"/>
      <c r="B147" s="1714"/>
      <c r="C147" s="1791"/>
      <c r="D147" s="1791"/>
      <c r="E147" s="1791"/>
      <c r="F147" s="2307"/>
      <c r="G147" s="1776"/>
      <c r="H147" s="1791"/>
      <c r="I147" s="1791"/>
      <c r="J147" s="1791"/>
      <c r="K147" s="2215"/>
      <c r="L147" s="1788"/>
      <c r="M147" s="1788"/>
      <c r="N147" s="1791"/>
      <c r="O147" s="1791"/>
      <c r="P147" s="1791"/>
      <c r="Q147" s="1743"/>
      <c r="R147" s="1743"/>
      <c r="S147" s="1743"/>
      <c r="T147" s="2319"/>
      <c r="U147" s="2320"/>
      <c r="V147" s="2320"/>
      <c r="W147" s="2321"/>
      <c r="X147" s="1714"/>
      <c r="Y147" s="2031"/>
      <c r="Z147" s="2321"/>
      <c r="AA147" s="2321"/>
      <c r="AB147" s="2321"/>
      <c r="AC147" s="2322"/>
      <c r="AD147" s="2322"/>
      <c r="AE147" s="2322"/>
      <c r="AF147" s="2322"/>
      <c r="AG147" s="2322"/>
      <c r="AH147" s="1793"/>
      <c r="AI147" s="1918"/>
      <c r="AJ147" s="2323"/>
      <c r="AK147" s="2323"/>
      <c r="AL147" s="2323"/>
      <c r="AM147" s="2323"/>
      <c r="AN147" s="2323"/>
      <c r="AO147" s="2323"/>
      <c r="AP147" s="2323"/>
      <c r="AQ147" s="2323"/>
      <c r="AR147" s="2324"/>
      <c r="AS147" s="2324"/>
      <c r="AT147" s="2324"/>
      <c r="AU147" s="2324"/>
      <c r="AV147" s="1712"/>
      <c r="AW147" s="1712"/>
      <c r="AX147" s="1712"/>
      <c r="AY147" s="2324"/>
      <c r="AZ147" s="2324"/>
      <c r="BA147" s="2324"/>
      <c r="BB147" s="1712"/>
      <c r="BC147" s="2324"/>
      <c r="BD147" s="2324"/>
      <c r="BE147" s="2324"/>
      <c r="BF147" s="2325"/>
      <c r="BG147" s="2325"/>
      <c r="BH147" s="2325"/>
      <c r="BI147" s="2325"/>
      <c r="BJ147" s="2325"/>
      <c r="BK147" s="2325"/>
      <c r="BL147" s="1712"/>
      <c r="BM147" s="1712"/>
      <c r="BN147" s="1712"/>
    </row>
    <row r="148" spans="1:66" x14ac:dyDescent="0.25">
      <c r="A148" s="1714"/>
      <c r="B148" s="1714"/>
      <c r="C148" s="1791"/>
      <c r="D148" s="1791"/>
      <c r="E148" s="1791"/>
      <c r="F148" s="2307"/>
      <c r="G148" s="1776"/>
      <c r="H148" s="1791"/>
      <c r="I148" s="1791"/>
      <c r="J148" s="1791"/>
      <c r="K148" s="2215"/>
      <c r="L148" s="1788"/>
      <c r="M148" s="1788"/>
      <c r="N148" s="1791"/>
      <c r="O148" s="1791"/>
      <c r="P148" s="1787"/>
      <c r="Q148" s="1793"/>
      <c r="R148" s="2306"/>
      <c r="S148" s="2306"/>
      <c r="T148" s="1793"/>
      <c r="U148" s="1793"/>
      <c r="V148" s="1793"/>
      <c r="W148" s="1793"/>
      <c r="X148" s="1734"/>
      <c r="Y148" s="1946"/>
      <c r="Z148" s="1946"/>
      <c r="AA148" s="1793"/>
      <c r="AB148" s="1793"/>
      <c r="AC148" s="1793"/>
      <c r="AD148" s="1793"/>
      <c r="AE148" s="1793"/>
      <c r="AF148" s="1734"/>
      <c r="AG148" s="1946"/>
      <c r="AH148" s="1743"/>
      <c r="AI148" s="1918"/>
      <c r="AJ148" s="2324"/>
      <c r="AK148" s="2324"/>
      <c r="AL148" s="2326"/>
      <c r="AM148" s="2326"/>
      <c r="AN148" s="2326"/>
      <c r="AO148" s="2326"/>
      <c r="AP148" s="2326"/>
      <c r="AQ148" s="2324"/>
      <c r="AR148" s="2324"/>
      <c r="AS148" s="2324"/>
      <c r="AT148" s="2324"/>
      <c r="AU148" s="2324"/>
      <c r="AV148" s="2324"/>
      <c r="AW148" s="2324"/>
      <c r="AX148" s="2324"/>
      <c r="AY148" s="2324"/>
      <c r="AZ148" s="2324"/>
      <c r="BA148" s="2324"/>
      <c r="BB148" s="2324"/>
      <c r="BC148" s="2324"/>
      <c r="BD148" s="2324"/>
      <c r="BE148" s="2324"/>
      <c r="BF148" s="2324"/>
      <c r="BG148" s="2324"/>
      <c r="BH148" s="2324"/>
      <c r="BI148" s="2324"/>
      <c r="BJ148" s="2324"/>
      <c r="BK148" s="2324"/>
      <c r="BL148" s="1712"/>
      <c r="BM148" s="1712"/>
      <c r="BN148" s="1712"/>
    </row>
    <row r="149" spans="1:66" ht="15.75" thickBot="1" x14ac:dyDescent="0.3">
      <c r="A149" s="1714"/>
      <c r="B149" s="1714"/>
      <c r="C149" s="1791"/>
      <c r="D149" s="1791"/>
      <c r="E149" s="1791"/>
      <c r="F149" s="1941"/>
      <c r="G149" s="2327"/>
      <c r="H149" s="2316"/>
      <c r="I149" s="2316"/>
      <c r="J149" s="2316"/>
      <c r="K149" s="2227"/>
      <c r="L149" s="1788"/>
      <c r="M149" s="1788"/>
      <c r="N149" s="1791"/>
      <c r="O149" s="1791"/>
      <c r="P149" s="1787"/>
      <c r="Q149" s="1793"/>
      <c r="R149" s="2306"/>
      <c r="S149" s="2306"/>
      <c r="T149" s="1793"/>
      <c r="U149" s="1793"/>
      <c r="V149" s="1793"/>
      <c r="W149" s="1793"/>
      <c r="X149" s="1734"/>
      <c r="Y149" s="1946"/>
      <c r="Z149" s="1946"/>
      <c r="AA149" s="1793"/>
      <c r="AB149" s="1793"/>
      <c r="AC149" s="1793"/>
      <c r="AD149" s="1793"/>
      <c r="AE149" s="1793"/>
      <c r="AF149" s="2022"/>
      <c r="AG149" s="1946"/>
      <c r="AH149" s="1743"/>
      <c r="AI149" s="1918"/>
      <c r="AJ149" s="1793"/>
      <c r="AK149" s="1793"/>
      <c r="AL149" s="1793"/>
      <c r="AM149" s="1793"/>
      <c r="AN149" s="1793"/>
      <c r="AO149" s="1793"/>
      <c r="AP149" s="1793"/>
      <c r="AQ149" s="1793"/>
      <c r="AR149" s="1793"/>
      <c r="AS149" s="1793"/>
      <c r="AT149" s="1793"/>
      <c r="AU149" s="1793"/>
      <c r="AV149" s="1793"/>
      <c r="AW149" s="1793"/>
      <c r="AX149" s="1793"/>
      <c r="AY149" s="1793"/>
      <c r="AZ149" s="1793"/>
      <c r="BA149" s="1793"/>
      <c r="BB149" s="1793"/>
      <c r="BC149" s="1793"/>
      <c r="BD149" s="1793"/>
      <c r="BE149" s="1793"/>
      <c r="BF149" s="1793"/>
      <c r="BG149" s="2328"/>
      <c r="BH149" s="1793"/>
      <c r="BI149" s="1793"/>
      <c r="BJ149" s="1793"/>
      <c r="BK149" s="1793"/>
      <c r="BL149" s="1712"/>
      <c r="BM149" s="1712"/>
      <c r="BN149" s="1712"/>
    </row>
    <row r="150" spans="1:66" x14ac:dyDescent="0.25">
      <c r="A150" s="1714"/>
      <c r="B150" s="1714"/>
      <c r="C150" s="1743"/>
      <c r="D150" s="1743"/>
      <c r="E150" s="1743"/>
      <c r="F150" s="1743"/>
      <c r="G150" s="1743"/>
      <c r="H150" s="1743"/>
      <c r="I150" s="1743"/>
      <c r="J150" s="1743"/>
      <c r="K150" s="1744"/>
      <c r="L150" s="1714"/>
      <c r="M150" s="1714"/>
      <c r="N150" s="1743"/>
      <c r="O150" s="1743"/>
      <c r="P150" s="1793"/>
      <c r="Q150" s="1793"/>
      <c r="R150" s="2306"/>
      <c r="S150" s="2306"/>
      <c r="T150" s="1793"/>
      <c r="U150" s="1793"/>
      <c r="V150" s="1793"/>
      <c r="W150" s="1793"/>
      <c r="X150" s="1734"/>
      <c r="Y150" s="1946"/>
      <c r="Z150" s="1946"/>
      <c r="AA150" s="1734"/>
      <c r="AB150" s="1922"/>
      <c r="AC150" s="1734"/>
      <c r="AD150" s="1922"/>
      <c r="AE150" s="1922"/>
      <c r="AF150" s="2022"/>
      <c r="AG150" s="1946"/>
      <c r="AH150" s="1743"/>
      <c r="AI150" s="1918"/>
      <c r="AJ150" s="1793"/>
      <c r="AK150" s="1793"/>
      <c r="AL150" s="1714"/>
      <c r="AM150" s="1714"/>
      <c r="AN150" s="1714"/>
      <c r="AO150" s="1714"/>
      <c r="AP150" s="1714"/>
      <c r="AQ150" s="1714"/>
      <c r="AR150" s="2040"/>
      <c r="AS150" s="1793"/>
      <c r="AT150" s="1793"/>
      <c r="AU150" s="1793"/>
      <c r="AV150" s="1793"/>
      <c r="AW150" s="1793"/>
      <c r="AX150" s="1793"/>
      <c r="AY150" s="1793"/>
      <c r="AZ150" s="1793"/>
      <c r="BA150" s="1793"/>
      <c r="BB150" s="1793"/>
      <c r="BC150" s="1793"/>
      <c r="BD150" s="1793"/>
      <c r="BE150" s="1793"/>
      <c r="BF150" s="1793"/>
      <c r="BG150" s="1793"/>
      <c r="BH150" s="1793"/>
      <c r="BI150" s="1793"/>
      <c r="BJ150" s="1793"/>
      <c r="BK150" s="1793"/>
      <c r="BL150" s="1712"/>
      <c r="BM150" s="1712"/>
      <c r="BN150" s="1712"/>
    </row>
    <row r="151" spans="1:66" ht="18" x14ac:dyDescent="0.25">
      <c r="A151" s="1714"/>
      <c r="B151" s="1714"/>
      <c r="C151" s="1714"/>
      <c r="D151" s="1714"/>
      <c r="E151" s="1714"/>
      <c r="F151" s="1714"/>
      <c r="G151" s="1714"/>
      <c r="H151" s="1714"/>
      <c r="I151" s="1714"/>
      <c r="J151" s="1714"/>
      <c r="K151" s="1744"/>
      <c r="L151" s="1714"/>
      <c r="M151" s="1714"/>
      <c r="N151" s="1714"/>
      <c r="O151" s="1714"/>
      <c r="P151" s="1714"/>
      <c r="Q151" s="1714"/>
      <c r="R151" s="1743"/>
      <c r="S151" s="1714"/>
      <c r="T151" s="2329"/>
      <c r="U151" s="2329"/>
      <c r="V151" s="2329"/>
      <c r="W151" s="2329"/>
      <c r="X151" s="2329"/>
      <c r="Y151" s="2329"/>
      <c r="Z151" s="2329"/>
      <c r="AA151" s="2329"/>
      <c r="AB151" s="2329"/>
      <c r="AC151" s="2329"/>
      <c r="AD151" s="2329"/>
      <c r="AE151" s="2329"/>
      <c r="AF151" s="2329"/>
      <c r="AG151" s="2329"/>
      <c r="AH151" s="1743"/>
      <c r="AI151" s="1918"/>
      <c r="AJ151" s="1743"/>
      <c r="AK151" s="1743"/>
      <c r="AL151" s="2068"/>
      <c r="AM151" s="2073"/>
      <c r="AN151" s="2073"/>
      <c r="AO151" s="2068"/>
      <c r="AP151" s="2062"/>
      <c r="AQ151" s="2068"/>
      <c r="AR151" s="2068"/>
      <c r="AS151" s="2062"/>
      <c r="AT151" s="2062"/>
      <c r="AU151" s="2062"/>
      <c r="AV151" s="2062"/>
      <c r="AW151" s="2062"/>
      <c r="AX151" s="1743"/>
      <c r="AY151" s="1743"/>
      <c r="AZ151" s="1743"/>
      <c r="BA151" s="1743"/>
      <c r="BB151" s="1743"/>
      <c r="BC151" s="1743"/>
      <c r="BD151" s="1743"/>
      <c r="BE151" s="1743"/>
      <c r="BF151" s="1743"/>
      <c r="BG151" s="1743"/>
      <c r="BH151" s="1743"/>
      <c r="BI151" s="1743"/>
      <c r="BJ151" s="1743"/>
      <c r="BK151" s="1743"/>
      <c r="BL151" s="1712"/>
      <c r="BM151" s="1712"/>
      <c r="BN151" s="1712"/>
    </row>
    <row r="152" spans="1:66" ht="18" x14ac:dyDescent="0.25">
      <c r="A152" s="1714"/>
      <c r="B152" s="1714"/>
      <c r="C152" s="1714"/>
      <c r="D152" s="1714"/>
      <c r="E152" s="1714"/>
      <c r="F152" s="1714"/>
      <c r="G152" s="1714"/>
      <c r="H152" s="1714"/>
      <c r="I152" s="1714"/>
      <c r="J152" s="1714"/>
      <c r="K152" s="1744"/>
      <c r="L152" s="1714"/>
      <c r="M152" s="1714"/>
      <c r="N152" s="1788"/>
      <c r="O152" s="1788"/>
      <c r="P152" s="1788"/>
      <c r="Q152" s="1788"/>
      <c r="R152" s="1791"/>
      <c r="S152" s="1743"/>
      <c r="T152" s="2329"/>
      <c r="U152" s="2329"/>
      <c r="V152" s="2329"/>
      <c r="W152" s="2329"/>
      <c r="X152" s="2329"/>
      <c r="Y152" s="2329"/>
      <c r="Z152" s="2329"/>
      <c r="AA152" s="2329"/>
      <c r="AB152" s="2329"/>
      <c r="AC152" s="2329"/>
      <c r="AD152" s="2329"/>
      <c r="AE152" s="2329"/>
      <c r="AF152" s="2329"/>
      <c r="AG152" s="2329"/>
      <c r="AH152" s="1743"/>
      <c r="AI152" s="1918"/>
      <c r="AJ152" s="1743"/>
      <c r="AK152" s="2330"/>
      <c r="AL152" s="2073"/>
      <c r="AM152" s="2079"/>
      <c r="AN152" s="2079"/>
      <c r="AO152" s="2073"/>
      <c r="AP152" s="2062"/>
      <c r="AQ152" s="2204"/>
      <c r="AR152" s="2073"/>
      <c r="AS152" s="2062"/>
      <c r="AT152" s="2062"/>
      <c r="AU152" s="2062"/>
      <c r="AV152" s="2062"/>
      <c r="AW152" s="2062"/>
      <c r="AX152" s="1743"/>
      <c r="AY152" s="1743"/>
      <c r="AZ152" s="1743"/>
      <c r="BA152" s="1743"/>
      <c r="BB152" s="1743"/>
      <c r="BC152" s="1743"/>
      <c r="BD152" s="1743"/>
      <c r="BE152" s="1743"/>
      <c r="BF152" s="1743"/>
      <c r="BG152" s="1743"/>
      <c r="BH152" s="1743"/>
      <c r="BI152" s="1743"/>
      <c r="BJ152" s="1743"/>
      <c r="BK152" s="1743"/>
      <c r="BL152" s="1712"/>
      <c r="BM152" s="1712"/>
      <c r="BN152" s="1712"/>
    </row>
    <row r="153" spans="1:66" ht="18" x14ac:dyDescent="0.25">
      <c r="A153" s="1714"/>
      <c r="B153" s="1714"/>
      <c r="C153" s="1714"/>
      <c r="D153" s="1714"/>
      <c r="E153" s="1714"/>
      <c r="F153" s="1714"/>
      <c r="G153" s="1714"/>
      <c r="H153" s="1714"/>
      <c r="I153" s="1714"/>
      <c r="J153" s="1714"/>
      <c r="K153" s="1744"/>
      <c r="L153" s="1714"/>
      <c r="M153" s="1714"/>
      <c r="N153" s="1788"/>
      <c r="O153" s="1788"/>
      <c r="P153" s="1788"/>
      <c r="Q153" s="1788"/>
      <c r="R153" s="1788"/>
      <c r="S153" s="1714"/>
      <c r="T153" s="2329"/>
      <c r="U153" s="2329"/>
      <c r="V153" s="2329"/>
      <c r="W153" s="2329"/>
      <c r="X153" s="2329"/>
      <c r="Y153" s="2329"/>
      <c r="Z153" s="2329"/>
      <c r="AA153" s="2329"/>
      <c r="AB153" s="2329"/>
      <c r="AC153" s="2329"/>
      <c r="AD153" s="2329"/>
      <c r="AE153" s="2329"/>
      <c r="AF153" s="2329"/>
      <c r="AG153" s="2329"/>
      <c r="AH153" s="1743"/>
      <c r="AI153" s="1918"/>
      <c r="AJ153" s="1743"/>
      <c r="AK153" s="1714"/>
      <c r="AL153" s="2073"/>
      <c r="AM153" s="2079"/>
      <c r="AN153" s="2079"/>
      <c r="AO153" s="2073"/>
      <c r="AP153" s="2204"/>
      <c r="AQ153" s="2073"/>
      <c r="AR153" s="2079"/>
      <c r="AS153" s="2062"/>
      <c r="AT153" s="2062"/>
      <c r="AU153" s="2062"/>
      <c r="AV153" s="2062"/>
      <c r="AW153" s="2062"/>
      <c r="AX153" s="1743"/>
      <c r="AY153" s="1743"/>
      <c r="AZ153" s="1743"/>
      <c r="BA153" s="1743"/>
      <c r="BB153" s="1743"/>
      <c r="BC153" s="1743"/>
      <c r="BD153" s="1743"/>
      <c r="BE153" s="1743"/>
      <c r="BF153" s="1743"/>
      <c r="BG153" s="1743"/>
      <c r="BH153" s="1743"/>
      <c r="BI153" s="1743"/>
      <c r="BJ153" s="1743"/>
      <c r="BK153" s="1743"/>
      <c r="BL153" s="1712"/>
      <c r="BM153" s="1712"/>
      <c r="BN153" s="1712"/>
    </row>
    <row r="154" spans="1:66" ht="18.75" thickBot="1" x14ac:dyDescent="0.3">
      <c r="A154" s="1714"/>
      <c r="B154" s="1714"/>
      <c r="C154" s="1714"/>
      <c r="D154" s="1714"/>
      <c r="E154" s="1714"/>
      <c r="F154" s="1714"/>
      <c r="G154" s="1714"/>
      <c r="H154" s="1714"/>
      <c r="I154" s="1714"/>
      <c r="J154" s="1714"/>
      <c r="K154" s="1744"/>
      <c r="L154" s="1714"/>
      <c r="M154" s="1714"/>
      <c r="N154" s="1788"/>
      <c r="O154" s="1788"/>
      <c r="P154" s="1788"/>
      <c r="Q154" s="1788"/>
      <c r="R154" s="1788"/>
      <c r="S154" s="1714"/>
      <c r="T154" s="2329"/>
      <c r="U154" s="2329"/>
      <c r="V154" s="2329"/>
      <c r="W154" s="2329"/>
      <c r="X154" s="2329"/>
      <c r="Y154" s="2329"/>
      <c r="Z154" s="2329"/>
      <c r="AA154" s="2329"/>
      <c r="AB154" s="2329"/>
      <c r="AC154" s="2329"/>
      <c r="AD154" s="2329"/>
      <c r="AE154" s="2329"/>
      <c r="AF154" s="2329"/>
      <c r="AG154" s="2329"/>
      <c r="AH154" s="1743"/>
      <c r="AI154" s="1918"/>
      <c r="AJ154" s="1743"/>
      <c r="AK154" s="1714"/>
      <c r="AL154" s="2068"/>
      <c r="AM154" s="2073"/>
      <c r="AN154" s="2073"/>
      <c r="AO154" s="2068"/>
      <c r="AP154" s="2204"/>
      <c r="AQ154" s="2073"/>
      <c r="AR154" s="2079"/>
      <c r="AS154" s="2062"/>
      <c r="AT154" s="2062"/>
      <c r="AU154" s="2062"/>
      <c r="AV154" s="2062"/>
      <c r="AW154" s="2062"/>
      <c r="AX154" s="1743"/>
      <c r="AY154" s="1743"/>
      <c r="AZ154" s="1743"/>
      <c r="BA154" s="1743"/>
      <c r="BB154" s="1743"/>
      <c r="BC154" s="1743"/>
      <c r="BD154" s="1743"/>
      <c r="BE154" s="1743"/>
      <c r="BF154" s="1743"/>
      <c r="BG154" s="1743"/>
      <c r="BH154" s="1743"/>
      <c r="BI154" s="1743"/>
      <c r="BJ154" s="1743"/>
      <c r="BK154" s="1743"/>
      <c r="BL154" s="1712"/>
      <c r="BM154" s="1712"/>
      <c r="BN154" s="1712"/>
    </row>
    <row r="155" spans="1:66" ht="18" x14ac:dyDescent="0.25">
      <c r="A155" s="1714"/>
      <c r="B155" s="1714"/>
      <c r="C155" s="1714"/>
      <c r="D155" s="1714"/>
      <c r="E155" s="1714"/>
      <c r="F155" s="1714"/>
      <c r="G155" s="1714"/>
      <c r="H155" s="1714"/>
      <c r="I155" s="1714"/>
      <c r="J155" s="1714"/>
      <c r="K155" s="1744"/>
      <c r="L155" s="2331"/>
      <c r="M155" s="2031"/>
      <c r="N155" s="2332"/>
      <c r="O155" s="2332"/>
      <c r="P155" s="2332"/>
      <c r="Q155" s="2333"/>
      <c r="R155" s="1788"/>
      <c r="S155" s="1714"/>
      <c r="T155" s="2329"/>
      <c r="U155" s="2329"/>
      <c r="V155" s="2329"/>
      <c r="W155" s="2329"/>
      <c r="X155" s="2329"/>
      <c r="Y155" s="2329"/>
      <c r="Z155" s="2329"/>
      <c r="AA155" s="2329"/>
      <c r="AB155" s="2329"/>
      <c r="AC155" s="2329"/>
      <c r="AD155" s="2329"/>
      <c r="AE155" s="2329"/>
      <c r="AF155" s="2329"/>
      <c r="AG155" s="2329"/>
      <c r="AH155" s="1743"/>
      <c r="AI155" s="1918"/>
      <c r="AJ155" s="1743"/>
      <c r="AK155" s="1714"/>
      <c r="AL155" s="2068"/>
      <c r="AM155" s="2068"/>
      <c r="AN155" s="2068"/>
      <c r="AO155" s="2068"/>
      <c r="AP155" s="2204"/>
      <c r="AQ155" s="2073"/>
      <c r="AR155" s="2079"/>
      <c r="AS155" s="2062"/>
      <c r="AT155" s="2062"/>
      <c r="AU155" s="2062"/>
      <c r="AV155" s="2062"/>
      <c r="AW155" s="2062"/>
      <c r="AX155" s="1743"/>
      <c r="AY155" s="1743"/>
      <c r="AZ155" s="1743"/>
      <c r="BA155" s="1743"/>
      <c r="BB155" s="1743"/>
      <c r="BC155" s="1743"/>
      <c r="BD155" s="1743"/>
      <c r="BE155" s="1743"/>
      <c r="BF155" s="1743"/>
      <c r="BG155" s="1743"/>
      <c r="BH155" s="1743"/>
      <c r="BI155" s="1743"/>
      <c r="BJ155" s="1743"/>
      <c r="BK155" s="1743"/>
      <c r="BL155" s="1712"/>
      <c r="BM155" s="1712"/>
      <c r="BN155" s="1712"/>
    </row>
    <row r="156" spans="1:66" ht="15.75" x14ac:dyDescent="0.25">
      <c r="A156" s="1714"/>
      <c r="B156" s="1714"/>
      <c r="C156" s="1714"/>
      <c r="D156" s="1714"/>
      <c r="E156" s="1714"/>
      <c r="F156" s="1714"/>
      <c r="G156" s="1714"/>
      <c r="H156" s="1714"/>
      <c r="I156" s="1714"/>
      <c r="J156" s="1714"/>
      <c r="K156" s="1744"/>
      <c r="L156" s="2331"/>
      <c r="M156" s="1714"/>
      <c r="N156" s="1788"/>
      <c r="O156" s="1788"/>
      <c r="P156" s="1788"/>
      <c r="Q156" s="2334"/>
      <c r="R156" s="1788"/>
      <c r="S156" s="1714"/>
      <c r="T156" s="2329"/>
      <c r="U156" s="2329"/>
      <c r="V156" s="2329"/>
      <c r="W156" s="2329"/>
      <c r="X156" s="2329"/>
      <c r="Y156" s="2329"/>
      <c r="Z156" s="2329"/>
      <c r="AA156" s="2329"/>
      <c r="AB156" s="2329"/>
      <c r="AC156" s="2329"/>
      <c r="AD156" s="2329"/>
      <c r="AE156" s="2329"/>
      <c r="AF156" s="2329"/>
      <c r="AG156" s="2329"/>
      <c r="AH156" s="1743"/>
      <c r="AI156" s="1918"/>
      <c r="AJ156" s="1743"/>
      <c r="AK156" s="1714"/>
      <c r="AL156" s="2068"/>
      <c r="AM156" s="2068"/>
      <c r="AN156" s="2062"/>
      <c r="AO156" s="2062"/>
      <c r="AP156" s="2204"/>
      <c r="AQ156" s="2079"/>
      <c r="AR156" s="2079"/>
      <c r="AS156" s="2062"/>
      <c r="AT156" s="2062"/>
      <c r="AU156" s="2062"/>
      <c r="AV156" s="2062"/>
      <c r="AW156" s="2062"/>
      <c r="AX156" s="1743"/>
      <c r="AY156" s="1743"/>
      <c r="AZ156" s="1743"/>
      <c r="BA156" s="1743"/>
      <c r="BB156" s="1743"/>
      <c r="BC156" s="1743"/>
      <c r="BD156" s="1743"/>
      <c r="BE156" s="1743"/>
      <c r="BF156" s="1743"/>
      <c r="BG156" s="1743"/>
      <c r="BH156" s="1743"/>
      <c r="BI156" s="1743"/>
      <c r="BJ156" s="1743"/>
      <c r="BK156" s="1743"/>
      <c r="BL156" s="1712"/>
      <c r="BM156" s="1712"/>
      <c r="BN156" s="1712"/>
    </row>
    <row r="157" spans="1:66" ht="18" x14ac:dyDescent="0.25">
      <c r="A157" s="1714"/>
      <c r="B157" s="1714"/>
      <c r="C157" s="1714"/>
      <c r="D157" s="1714"/>
      <c r="E157" s="1714"/>
      <c r="F157" s="1714"/>
      <c r="G157" s="1714"/>
      <c r="H157" s="1714"/>
      <c r="I157" s="1714"/>
      <c r="J157" s="1714"/>
      <c r="K157" s="1744"/>
      <c r="L157" s="2331"/>
      <c r="M157" s="1714"/>
      <c r="N157" s="1788"/>
      <c r="O157" s="1788"/>
      <c r="P157" s="1788"/>
      <c r="Q157" s="2334"/>
      <c r="R157" s="1788"/>
      <c r="S157" s="1714"/>
      <c r="T157" s="2329"/>
      <c r="U157" s="2329"/>
      <c r="V157" s="2329"/>
      <c r="W157" s="2329"/>
      <c r="X157" s="2329"/>
      <c r="Y157" s="2329"/>
      <c r="Z157" s="2329"/>
      <c r="AA157" s="2329"/>
      <c r="AB157" s="2329"/>
      <c r="AC157" s="2329"/>
      <c r="AD157" s="2329"/>
      <c r="AE157" s="2329"/>
      <c r="AF157" s="2329"/>
      <c r="AG157" s="2329"/>
      <c r="AH157" s="1743"/>
      <c r="AI157" s="1918"/>
      <c r="AJ157" s="1743"/>
      <c r="AK157" s="1714"/>
      <c r="AL157" s="2068"/>
      <c r="AM157" s="2068"/>
      <c r="AN157" s="2068"/>
      <c r="AO157" s="2062"/>
      <c r="AP157" s="2068"/>
      <c r="AQ157" s="2204"/>
      <c r="AR157" s="2073"/>
      <c r="AS157" s="2062"/>
      <c r="AT157" s="2062"/>
      <c r="AU157" s="2062"/>
      <c r="AV157" s="2062"/>
      <c r="AW157" s="2062"/>
      <c r="AX157" s="1743"/>
      <c r="AY157" s="1743"/>
      <c r="AZ157" s="1743"/>
      <c r="BA157" s="1743"/>
      <c r="BB157" s="1743"/>
      <c r="BC157" s="1743"/>
      <c r="BD157" s="1743"/>
      <c r="BE157" s="1743"/>
      <c r="BF157" s="1743"/>
      <c r="BG157" s="1743"/>
      <c r="BH157" s="1743"/>
      <c r="BI157" s="1743"/>
      <c r="BJ157" s="1743"/>
      <c r="BK157" s="1743"/>
      <c r="BL157" s="1712"/>
      <c r="BM157" s="1712"/>
      <c r="BN157" s="1712"/>
    </row>
    <row r="158" spans="1:66" ht="15.75" x14ac:dyDescent="0.25">
      <c r="A158" s="1714"/>
      <c r="B158" s="1714"/>
      <c r="C158" s="1714"/>
      <c r="D158" s="1714"/>
      <c r="E158" s="1714"/>
      <c r="F158" s="1714"/>
      <c r="G158" s="1714"/>
      <c r="H158" s="1714"/>
      <c r="I158" s="1714"/>
      <c r="J158" s="1714"/>
      <c r="K158" s="1744"/>
      <c r="L158" s="2331"/>
      <c r="M158" s="1714"/>
      <c r="N158" s="1788"/>
      <c r="O158" s="1788"/>
      <c r="P158" s="1788"/>
      <c r="Q158" s="2335"/>
      <c r="R158" s="1788"/>
      <c r="S158" s="1714"/>
      <c r="T158" s="2329"/>
      <c r="U158" s="2329"/>
      <c r="V158" s="2329"/>
      <c r="W158" s="2329"/>
      <c r="X158" s="2329"/>
      <c r="Y158" s="2329"/>
      <c r="Z158" s="2329"/>
      <c r="AA158" s="2329"/>
      <c r="AB158" s="2329"/>
      <c r="AC158" s="2329"/>
      <c r="AD158" s="2329"/>
      <c r="AE158" s="2329"/>
      <c r="AF158" s="2329"/>
      <c r="AG158" s="2329"/>
      <c r="AH158" s="1743"/>
      <c r="AI158" s="1918"/>
      <c r="AJ158" s="1743"/>
      <c r="AK158" s="1743"/>
      <c r="AL158" s="2068"/>
      <c r="AM158" s="2068"/>
      <c r="AN158" s="2204"/>
      <c r="AO158" s="2204"/>
      <c r="AP158" s="2068"/>
      <c r="AQ158" s="2068"/>
      <c r="AR158" s="2062"/>
      <c r="AS158" s="2062"/>
      <c r="AT158" s="2062"/>
      <c r="AU158" s="2062"/>
      <c r="AV158" s="2062"/>
      <c r="AW158" s="2062"/>
      <c r="AX158" s="1743"/>
      <c r="AY158" s="1743"/>
      <c r="AZ158" s="1743"/>
      <c r="BA158" s="1743"/>
      <c r="BB158" s="1743"/>
      <c r="BC158" s="1743"/>
      <c r="BD158" s="1743"/>
      <c r="BE158" s="1743"/>
      <c r="BF158" s="1743"/>
      <c r="BG158" s="1743"/>
      <c r="BH158" s="1743"/>
      <c r="BI158" s="1743"/>
      <c r="BJ158" s="1743"/>
      <c r="BK158" s="1743"/>
      <c r="BL158" s="1712"/>
      <c r="BM158" s="1712"/>
      <c r="BN158" s="1712"/>
    </row>
    <row r="159" spans="1:66" ht="18" x14ac:dyDescent="0.25">
      <c r="A159" s="1714"/>
      <c r="B159" s="1714"/>
      <c r="C159" s="1714"/>
      <c r="D159" s="1714"/>
      <c r="E159" s="1714"/>
      <c r="F159" s="1714"/>
      <c r="G159" s="1714"/>
      <c r="H159" s="1714"/>
      <c r="I159" s="1714"/>
      <c r="J159" s="1714"/>
      <c r="K159" s="1744"/>
      <c r="L159" s="2331"/>
      <c r="M159" s="1714"/>
      <c r="N159" s="1788"/>
      <c r="O159" s="1788"/>
      <c r="P159" s="1788"/>
      <c r="Q159" s="2334"/>
      <c r="R159" s="1791"/>
      <c r="S159" s="1743"/>
      <c r="T159" s="2329"/>
      <c r="U159" s="2329"/>
      <c r="V159" s="2329"/>
      <c r="W159" s="2329"/>
      <c r="X159" s="2329"/>
      <c r="Y159" s="2329"/>
      <c r="Z159" s="2329"/>
      <c r="AA159" s="2329"/>
      <c r="AB159" s="2329"/>
      <c r="AC159" s="2329"/>
      <c r="AD159" s="2329"/>
      <c r="AE159" s="2329"/>
      <c r="AF159" s="2329"/>
      <c r="AG159" s="2329"/>
      <c r="AH159" s="1743"/>
      <c r="AI159" s="1918"/>
      <c r="AJ159" s="1714"/>
      <c r="AK159" s="2336"/>
      <c r="AL159" s="2068"/>
      <c r="AM159" s="2204"/>
      <c r="AN159" s="2073"/>
      <c r="AO159" s="2073"/>
      <c r="AP159" s="2204"/>
      <c r="AQ159" s="2068"/>
      <c r="AR159" s="2062"/>
      <c r="AS159" s="2068"/>
      <c r="AT159" s="2068"/>
      <c r="AU159" s="2068"/>
      <c r="AV159" s="2068"/>
      <c r="AW159" s="2068"/>
      <c r="AX159" s="1714"/>
      <c r="AY159" s="1714"/>
      <c r="AZ159" s="1714"/>
      <c r="BA159" s="1714"/>
      <c r="BB159" s="1714"/>
      <c r="BC159" s="1714"/>
      <c r="BD159" s="1714"/>
      <c r="BE159" s="1714"/>
      <c r="BF159" s="1714"/>
      <c r="BG159" s="1714"/>
      <c r="BH159" s="1714"/>
      <c r="BI159" s="1714"/>
      <c r="BJ159" s="1714"/>
      <c r="BK159" s="1714"/>
      <c r="BL159" s="1712"/>
      <c r="BM159" s="1712"/>
      <c r="BN159" s="1712"/>
    </row>
    <row r="160" spans="1:66" ht="18" x14ac:dyDescent="0.25">
      <c r="A160" s="1714"/>
      <c r="B160" s="1714"/>
      <c r="C160" s="1714"/>
      <c r="D160" s="1714"/>
      <c r="E160" s="1714"/>
      <c r="F160" s="1714"/>
      <c r="G160" s="1714"/>
      <c r="H160" s="1714"/>
      <c r="I160" s="1714"/>
      <c r="J160" s="1714"/>
      <c r="K160" s="1744"/>
      <c r="L160" s="2331"/>
      <c r="M160" s="1714"/>
      <c r="N160" s="1788"/>
      <c r="O160" s="1788"/>
      <c r="P160" s="1788"/>
      <c r="Q160" s="2334"/>
      <c r="R160" s="1791"/>
      <c r="S160" s="1743"/>
      <c r="T160" s="2329"/>
      <c r="U160" s="2329"/>
      <c r="V160" s="2329"/>
      <c r="W160" s="2329"/>
      <c r="X160" s="2329"/>
      <c r="Y160" s="2329"/>
      <c r="Z160" s="2329"/>
      <c r="AA160" s="2329"/>
      <c r="AB160" s="2329"/>
      <c r="AC160" s="2329"/>
      <c r="AD160" s="2329"/>
      <c r="AE160" s="2329"/>
      <c r="AF160" s="2329"/>
      <c r="AG160" s="2329"/>
      <c r="AH160" s="1743"/>
      <c r="AI160" s="1918"/>
      <c r="AJ160" s="1714"/>
      <c r="AK160" s="1714"/>
      <c r="AL160" s="2204"/>
      <c r="AM160" s="2073"/>
      <c r="AN160" s="2079"/>
      <c r="AO160" s="2079"/>
      <c r="AP160" s="2073"/>
      <c r="AQ160" s="2204"/>
      <c r="AR160" s="2062"/>
      <c r="AS160" s="2068"/>
      <c r="AT160" s="2068"/>
      <c r="AU160" s="2068"/>
      <c r="AV160" s="2068"/>
      <c r="AW160" s="2068"/>
      <c r="AX160" s="1714"/>
      <c r="AY160" s="1714"/>
      <c r="AZ160" s="1714"/>
      <c r="BA160" s="1714"/>
      <c r="BB160" s="1714"/>
      <c r="BC160" s="1714"/>
      <c r="BD160" s="1714"/>
      <c r="BE160" s="1714"/>
      <c r="BF160" s="1714"/>
      <c r="BG160" s="1714"/>
      <c r="BH160" s="1714"/>
      <c r="BI160" s="1714"/>
      <c r="BJ160" s="1714"/>
      <c r="BK160" s="1714"/>
      <c r="BL160" s="1712"/>
      <c r="BM160" s="1712"/>
      <c r="BN160" s="1712"/>
    </row>
    <row r="161" spans="1:66" ht="18.75" thickBot="1" x14ac:dyDescent="0.3">
      <c r="A161" s="1714"/>
      <c r="B161" s="1714"/>
      <c r="C161" s="1714"/>
      <c r="D161" s="1714"/>
      <c r="E161" s="1714"/>
      <c r="F161" s="1714"/>
      <c r="G161" s="1714"/>
      <c r="H161" s="1714"/>
      <c r="I161" s="1714"/>
      <c r="J161" s="1714"/>
      <c r="K161" s="1744"/>
      <c r="L161" s="2337"/>
      <c r="M161" s="2338"/>
      <c r="N161" s="2339"/>
      <c r="O161" s="2051"/>
      <c r="P161" s="2340"/>
      <c r="Q161" s="2341"/>
      <c r="R161" s="1791"/>
      <c r="S161" s="1743"/>
      <c r="T161" s="2329"/>
      <c r="U161" s="2329"/>
      <c r="V161" s="2329"/>
      <c r="W161" s="2329"/>
      <c r="X161" s="2329"/>
      <c r="Y161" s="2329"/>
      <c r="Z161" s="2329"/>
      <c r="AA161" s="2329"/>
      <c r="AB161" s="2329"/>
      <c r="AC161" s="2329"/>
      <c r="AD161" s="2329"/>
      <c r="AE161" s="2329"/>
      <c r="AF161" s="2329"/>
      <c r="AG161" s="2329"/>
      <c r="AH161" s="1793"/>
      <c r="AI161" s="1918"/>
      <c r="AJ161" s="1714"/>
      <c r="AK161" s="1714"/>
      <c r="AL161" s="2204"/>
      <c r="AM161" s="2073"/>
      <c r="AN161" s="2079"/>
      <c r="AO161" s="2079"/>
      <c r="AP161" s="2073"/>
      <c r="AQ161" s="2204"/>
      <c r="AR161" s="2062"/>
      <c r="AS161" s="2068"/>
      <c r="AT161" s="2068"/>
      <c r="AU161" s="2068"/>
      <c r="AV161" s="2068"/>
      <c r="AW161" s="2068"/>
      <c r="AX161" s="1714"/>
      <c r="AY161" s="1714"/>
      <c r="AZ161" s="1714"/>
      <c r="BA161" s="1714"/>
      <c r="BB161" s="1714"/>
      <c r="BC161" s="1714"/>
      <c r="BD161" s="1714"/>
      <c r="BE161" s="1714"/>
      <c r="BF161" s="1714"/>
      <c r="BG161" s="1714"/>
      <c r="BH161" s="1714"/>
      <c r="BI161" s="1714"/>
      <c r="BJ161" s="1714"/>
      <c r="BK161" s="1714"/>
      <c r="BL161" s="1712"/>
      <c r="BM161" s="1712"/>
      <c r="BN161" s="1712"/>
    </row>
    <row r="162" spans="1:66" ht="18" x14ac:dyDescent="0.25">
      <c r="A162" s="1714"/>
      <c r="B162" s="1714"/>
      <c r="C162" s="1714"/>
      <c r="D162" s="1714"/>
      <c r="E162" s="1714"/>
      <c r="F162" s="1714"/>
      <c r="G162" s="1714"/>
      <c r="H162" s="1714"/>
      <c r="I162" s="1714"/>
      <c r="J162" s="1714"/>
      <c r="K162" s="1744"/>
      <c r="L162" s="2331"/>
      <c r="M162" s="1743"/>
      <c r="N162" s="1791"/>
      <c r="O162" s="1791"/>
      <c r="P162" s="1791"/>
      <c r="Q162" s="1791"/>
      <c r="R162" s="1791"/>
      <c r="S162" s="1743"/>
      <c r="T162" s="2329"/>
      <c r="U162" s="2329"/>
      <c r="V162" s="2329"/>
      <c r="W162" s="2329"/>
      <c r="X162" s="2329"/>
      <c r="Y162" s="2329"/>
      <c r="Z162" s="2329"/>
      <c r="AA162" s="2329"/>
      <c r="AB162" s="2329"/>
      <c r="AC162" s="2329"/>
      <c r="AD162" s="2329"/>
      <c r="AE162" s="2329"/>
      <c r="AF162" s="2329"/>
      <c r="AG162" s="2329"/>
      <c r="AH162" s="1793"/>
      <c r="AI162" s="1918"/>
      <c r="AJ162" s="1714"/>
      <c r="AK162" s="1714"/>
      <c r="AL162" s="2068"/>
      <c r="AM162" s="2204"/>
      <c r="AN162" s="2073"/>
      <c r="AO162" s="2073"/>
      <c r="AP162" s="2204"/>
      <c r="AQ162" s="2068"/>
      <c r="AR162" s="2062"/>
      <c r="AS162" s="2068"/>
      <c r="AT162" s="2068"/>
      <c r="AU162" s="2068"/>
      <c r="AV162" s="2068"/>
      <c r="AW162" s="2068"/>
      <c r="AX162" s="1714"/>
      <c r="AY162" s="1714"/>
      <c r="AZ162" s="1714"/>
      <c r="BA162" s="1714"/>
      <c r="BB162" s="1714"/>
      <c r="BC162" s="1714"/>
      <c r="BD162" s="1714"/>
      <c r="BE162" s="1714"/>
      <c r="BF162" s="1714"/>
      <c r="BG162" s="1714"/>
      <c r="BH162" s="1714"/>
      <c r="BI162" s="1714"/>
      <c r="BJ162" s="1714"/>
      <c r="BK162" s="1714"/>
      <c r="BL162" s="1712"/>
      <c r="BM162" s="1712"/>
      <c r="BN162" s="1712"/>
    </row>
    <row r="163" spans="1:66" ht="15.75" x14ac:dyDescent="0.25">
      <c r="A163" s="1714"/>
      <c r="B163" s="1714"/>
      <c r="C163" s="1714"/>
      <c r="D163" s="1714"/>
      <c r="E163" s="1714"/>
      <c r="F163" s="1714"/>
      <c r="G163" s="1714"/>
      <c r="H163" s="1714"/>
      <c r="I163" s="1714"/>
      <c r="J163" s="1714"/>
      <c r="K163" s="1744"/>
      <c r="L163" s="1714"/>
      <c r="M163" s="1714"/>
      <c r="N163" s="1788"/>
      <c r="O163" s="1788"/>
      <c r="P163" s="1788"/>
      <c r="Q163" s="1788"/>
      <c r="R163" s="1791"/>
      <c r="S163" s="1743"/>
      <c r="T163" s="2329"/>
      <c r="U163" s="2329"/>
      <c r="V163" s="2329"/>
      <c r="W163" s="2329"/>
      <c r="X163" s="2329"/>
      <c r="Y163" s="2329"/>
      <c r="Z163" s="2329"/>
      <c r="AA163" s="2329"/>
      <c r="AB163" s="2329"/>
      <c r="AC163" s="2329"/>
      <c r="AD163" s="2329"/>
      <c r="AE163" s="2329"/>
      <c r="AF163" s="2329"/>
      <c r="AG163" s="2329"/>
      <c r="AH163" s="1793"/>
      <c r="AI163" s="1918"/>
      <c r="AJ163" s="1714"/>
      <c r="AK163" s="1714"/>
      <c r="AL163" s="2068"/>
      <c r="AM163" s="2068"/>
      <c r="AN163" s="2204"/>
      <c r="AO163" s="2204"/>
      <c r="AP163" s="2068"/>
      <c r="AQ163" s="2068"/>
      <c r="AR163" s="2068"/>
      <c r="AS163" s="2068"/>
      <c r="AT163" s="2068"/>
      <c r="AU163" s="2068"/>
      <c r="AV163" s="2068"/>
      <c r="AW163" s="2068"/>
      <c r="AX163" s="1714"/>
      <c r="AY163" s="1743"/>
      <c r="AZ163" s="1743"/>
      <c r="BA163" s="1743"/>
      <c r="BB163" s="1743"/>
      <c r="BC163" s="1743"/>
      <c r="BD163" s="1743"/>
      <c r="BE163" s="1743"/>
      <c r="BF163" s="1714"/>
      <c r="BG163" s="1714"/>
      <c r="BH163" s="1714"/>
      <c r="BI163" s="1714"/>
      <c r="BJ163" s="1714"/>
      <c r="BK163" s="1714"/>
      <c r="BL163" s="1712"/>
      <c r="BM163" s="1712"/>
      <c r="BN163" s="1712"/>
    </row>
    <row r="164" spans="1:66" x14ac:dyDescent="0.25">
      <c r="A164" s="1714"/>
      <c r="B164" s="1714"/>
      <c r="C164" s="1714"/>
      <c r="D164" s="1714"/>
      <c r="E164" s="1714"/>
      <c r="F164" s="1714"/>
      <c r="G164" s="1714"/>
      <c r="H164" s="1714"/>
      <c r="I164" s="1714"/>
      <c r="J164" s="1714"/>
      <c r="K164" s="1744"/>
      <c r="L164" s="1714"/>
      <c r="M164" s="1714"/>
      <c r="N164" s="1788"/>
      <c r="O164" s="1788"/>
      <c r="P164" s="1788"/>
      <c r="Q164" s="1788"/>
      <c r="R164" s="1791"/>
      <c r="S164" s="1743"/>
      <c r="T164" s="2329"/>
      <c r="U164" s="2329"/>
      <c r="V164" s="2329"/>
      <c r="W164" s="2329"/>
      <c r="X164" s="2329"/>
      <c r="Y164" s="2329"/>
      <c r="Z164" s="2329"/>
      <c r="AA164" s="2329"/>
      <c r="AB164" s="2329"/>
      <c r="AC164" s="2329"/>
      <c r="AD164" s="2329"/>
      <c r="AE164" s="2329"/>
      <c r="AF164" s="2329"/>
      <c r="AG164" s="2329"/>
      <c r="AH164" s="1793"/>
      <c r="AI164" s="1918"/>
      <c r="AJ164" s="1714"/>
      <c r="AK164" s="1714"/>
      <c r="AL164" s="2068"/>
      <c r="AM164" s="2068"/>
      <c r="AN164" s="2068"/>
      <c r="AO164" s="2342"/>
      <c r="AP164" s="2342"/>
      <c r="AQ164" s="2068"/>
      <c r="AR164" s="2068"/>
      <c r="AS164" s="2068"/>
      <c r="AT164" s="2068"/>
      <c r="AU164" s="2068"/>
      <c r="AV164" s="2068"/>
      <c r="AW164" s="2068"/>
      <c r="AX164" s="1714"/>
      <c r="AY164" s="1743"/>
      <c r="AZ164" s="1743"/>
      <c r="BA164" s="1743"/>
      <c r="BB164" s="1743"/>
      <c r="BC164" s="1743"/>
      <c r="BD164" s="1743"/>
      <c r="BE164" s="1743"/>
      <c r="BF164" s="1714"/>
      <c r="BG164" s="1714"/>
      <c r="BH164" s="1714"/>
      <c r="BI164" s="1714"/>
      <c r="BJ164" s="1714"/>
      <c r="BK164" s="1714"/>
      <c r="BL164" s="1712"/>
      <c r="BM164" s="1712"/>
      <c r="BN164" s="1712"/>
    </row>
    <row r="165" spans="1:66" x14ac:dyDescent="0.25">
      <c r="A165" s="1714"/>
      <c r="B165" s="2068"/>
      <c r="C165" s="2068"/>
      <c r="D165" s="2079"/>
      <c r="E165" s="2079"/>
      <c r="F165" s="2068"/>
      <c r="G165" s="2068"/>
      <c r="H165" s="1714"/>
      <c r="I165" s="1714"/>
      <c r="J165" s="1714"/>
      <c r="K165" s="1744"/>
      <c r="L165" s="1714"/>
      <c r="M165" s="1714"/>
      <c r="N165" s="1788"/>
      <c r="O165" s="1788"/>
      <c r="P165" s="1788"/>
      <c r="Q165" s="1788"/>
      <c r="R165" s="1791"/>
      <c r="S165" s="1743"/>
      <c r="T165" s="2329"/>
      <c r="U165" s="2329"/>
      <c r="V165" s="2329"/>
      <c r="W165" s="2329"/>
      <c r="X165" s="2329"/>
      <c r="Y165" s="2329"/>
      <c r="Z165" s="2329"/>
      <c r="AA165" s="2329"/>
      <c r="AB165" s="2329"/>
      <c r="AC165" s="2329"/>
      <c r="AD165" s="2329"/>
      <c r="AE165" s="2329"/>
      <c r="AF165" s="2329"/>
      <c r="AG165" s="2329"/>
      <c r="AH165" s="1793"/>
      <c r="AI165" s="1918"/>
      <c r="AJ165" s="1714"/>
      <c r="AK165" s="1714"/>
      <c r="AL165" s="2342"/>
      <c r="AM165" s="2342"/>
      <c r="AN165" s="2342"/>
      <c r="AO165" s="2342"/>
      <c r="AP165" s="2342"/>
      <c r="AQ165" s="2068"/>
      <c r="AR165" s="2068"/>
      <c r="AS165" s="2068"/>
      <c r="AT165" s="2068"/>
      <c r="AU165" s="2068"/>
      <c r="AV165" s="2068"/>
      <c r="AW165" s="2068"/>
      <c r="AX165" s="1714"/>
      <c r="AY165" s="1743"/>
      <c r="AZ165" s="1743"/>
      <c r="BA165" s="1743"/>
      <c r="BB165" s="1743"/>
      <c r="BC165" s="1743"/>
      <c r="BD165" s="1743"/>
      <c r="BE165" s="1743"/>
      <c r="BF165" s="1714"/>
      <c r="BG165" s="1714"/>
      <c r="BH165" s="1714"/>
      <c r="BI165" s="1714"/>
      <c r="BJ165" s="1714"/>
      <c r="BK165" s="1714"/>
      <c r="BL165" s="1712"/>
      <c r="BM165" s="1712"/>
      <c r="BN165" s="1712"/>
    </row>
    <row r="166" spans="1:66" ht="15.75" x14ac:dyDescent="0.25">
      <c r="A166" s="1714"/>
      <c r="B166" s="2068"/>
      <c r="C166" s="2204"/>
      <c r="D166" s="2079"/>
      <c r="E166" s="2079"/>
      <c r="F166" s="2204"/>
      <c r="G166" s="2068"/>
      <c r="H166" s="1714"/>
      <c r="I166" s="1714"/>
      <c r="J166" s="1714"/>
      <c r="K166" s="1744"/>
      <c r="L166" s="1714"/>
      <c r="M166" s="1714"/>
      <c r="N166" s="1788"/>
      <c r="O166" s="1788"/>
      <c r="P166" s="1788"/>
      <c r="Q166" s="1788"/>
      <c r="R166" s="2343"/>
      <c r="S166" s="2344"/>
      <c r="T166" s="2329"/>
      <c r="U166" s="2329"/>
      <c r="V166" s="2329"/>
      <c r="W166" s="2329"/>
      <c r="X166" s="2329"/>
      <c r="Y166" s="2329"/>
      <c r="Z166" s="2329"/>
      <c r="AA166" s="2329"/>
      <c r="AB166" s="2329"/>
      <c r="AC166" s="2329"/>
      <c r="AD166" s="2329"/>
      <c r="AE166" s="2329"/>
      <c r="AF166" s="2329"/>
      <c r="AG166" s="2329"/>
      <c r="AH166" s="1793"/>
      <c r="AI166" s="1918"/>
      <c r="AJ166" s="1714"/>
      <c r="AK166" s="1714"/>
      <c r="AL166" s="2342"/>
      <c r="AM166" s="2342"/>
      <c r="AN166" s="2342"/>
      <c r="AO166" s="2342"/>
      <c r="AP166" s="2342"/>
      <c r="AQ166" s="2068"/>
      <c r="AR166" s="2068"/>
      <c r="AS166" s="2068"/>
      <c r="AT166" s="2068"/>
      <c r="AU166" s="2068"/>
      <c r="AV166" s="2068"/>
      <c r="AW166" s="2068"/>
      <c r="AX166" s="1714"/>
      <c r="AY166" s="1743"/>
      <c r="AZ166" s="1743"/>
      <c r="BA166" s="1743"/>
      <c r="BB166" s="1743"/>
      <c r="BC166" s="1743"/>
      <c r="BD166" s="1743"/>
      <c r="BE166" s="1743"/>
      <c r="BF166" s="1714"/>
      <c r="BG166" s="1714"/>
      <c r="BH166" s="1714"/>
      <c r="BI166" s="1714"/>
      <c r="BJ166" s="1714"/>
      <c r="BK166" s="1714"/>
      <c r="BL166" s="1712"/>
      <c r="BM166" s="1712"/>
      <c r="BN166" s="1712"/>
    </row>
    <row r="167" spans="1:66" ht="18" x14ac:dyDescent="0.25">
      <c r="A167" s="1714"/>
      <c r="B167" s="2068"/>
      <c r="C167" s="2086"/>
      <c r="D167" s="2079"/>
      <c r="E167" s="2079"/>
      <c r="F167" s="2079"/>
      <c r="G167" s="2204"/>
      <c r="H167" s="1714"/>
      <c r="I167" s="1714"/>
      <c r="J167" s="1714"/>
      <c r="K167" s="1744"/>
      <c r="L167" s="1714"/>
      <c r="M167" s="1714"/>
      <c r="N167" s="1788"/>
      <c r="O167" s="1788"/>
      <c r="P167" s="1788"/>
      <c r="Q167" s="1791"/>
      <c r="R167" s="1791"/>
      <c r="S167" s="1743"/>
      <c r="T167" s="2329"/>
      <c r="U167" s="2329"/>
      <c r="V167" s="2329"/>
      <c r="W167" s="2329"/>
      <c r="X167" s="2329"/>
      <c r="Y167" s="2329"/>
      <c r="Z167" s="2329"/>
      <c r="AA167" s="2329"/>
      <c r="AB167" s="2329"/>
      <c r="AC167" s="2329"/>
      <c r="AD167" s="2329"/>
      <c r="AE167" s="2329"/>
      <c r="AF167" s="2329"/>
      <c r="AG167" s="2329"/>
      <c r="AH167" s="1793"/>
      <c r="AI167" s="1918"/>
      <c r="AJ167" s="1714"/>
      <c r="AK167" s="1714"/>
      <c r="AL167" s="2342"/>
      <c r="AM167" s="2342"/>
      <c r="AN167" s="2342"/>
      <c r="AO167" s="2342"/>
      <c r="AP167" s="2342"/>
      <c r="AQ167" s="2068"/>
      <c r="AR167" s="2068"/>
      <c r="AS167" s="2068"/>
      <c r="AT167" s="2068"/>
      <c r="AU167" s="2068"/>
      <c r="AV167" s="2068"/>
      <c r="AW167" s="2068"/>
      <c r="AX167" s="1714"/>
      <c r="AY167" s="1743"/>
      <c r="AZ167" s="1743"/>
      <c r="BA167" s="1743"/>
      <c r="BB167" s="1743"/>
      <c r="BC167" s="1743"/>
      <c r="BD167" s="1743"/>
      <c r="BE167" s="1743"/>
      <c r="BF167" s="1714"/>
      <c r="BG167" s="1714"/>
      <c r="BH167" s="1714"/>
      <c r="BI167" s="1714"/>
      <c r="BJ167" s="1714"/>
      <c r="BK167" s="1714"/>
      <c r="BL167" s="1712"/>
      <c r="BM167" s="1712"/>
      <c r="BN167" s="1712"/>
    </row>
    <row r="168" spans="1:66" ht="18" x14ac:dyDescent="0.25">
      <c r="A168" s="1714"/>
      <c r="B168" s="2068"/>
      <c r="C168" s="2086"/>
      <c r="D168" s="2079"/>
      <c r="E168" s="2079"/>
      <c r="F168" s="2086"/>
      <c r="G168" s="2204"/>
      <c r="H168" s="1714"/>
      <c r="I168" s="1714"/>
      <c r="J168" s="1714"/>
      <c r="K168" s="1744"/>
      <c r="L168" s="1714"/>
      <c r="M168" s="1714"/>
      <c r="N168" s="1788"/>
      <c r="O168" s="1788"/>
      <c r="P168" s="1788"/>
      <c r="Q168" s="1788"/>
      <c r="R168" s="1788"/>
      <c r="S168" s="1714"/>
      <c r="T168" s="2329"/>
      <c r="U168" s="2329"/>
      <c r="V168" s="2329"/>
      <c r="W168" s="2329"/>
      <c r="X168" s="2329"/>
      <c r="Y168" s="2329"/>
      <c r="Z168" s="2329"/>
      <c r="AA168" s="2329"/>
      <c r="AB168" s="2329"/>
      <c r="AC168" s="2329"/>
      <c r="AD168" s="2329"/>
      <c r="AE168" s="2329"/>
      <c r="AF168" s="2329"/>
      <c r="AG168" s="2329"/>
      <c r="AH168" s="1714"/>
      <c r="AI168" s="1918"/>
      <c r="AJ168" s="1714"/>
      <c r="AK168" s="1714"/>
      <c r="AL168" s="2342"/>
      <c r="AM168" s="2342"/>
      <c r="AN168" s="2342"/>
      <c r="AO168" s="2342"/>
      <c r="AP168" s="2342"/>
      <c r="AQ168" s="2068"/>
      <c r="AR168" s="2068"/>
      <c r="AS168" s="2068"/>
      <c r="AT168" s="2068"/>
      <c r="AU168" s="2068"/>
      <c r="AV168" s="2068"/>
      <c r="AW168" s="2068"/>
      <c r="AX168" s="1714"/>
      <c r="AY168" s="1743"/>
      <c r="AZ168" s="1743"/>
      <c r="BA168" s="1743"/>
      <c r="BB168" s="1743"/>
      <c r="BC168" s="1743"/>
      <c r="BD168" s="1743"/>
      <c r="BE168" s="1743"/>
      <c r="BF168" s="1714"/>
      <c r="BG168" s="1714"/>
      <c r="BH168" s="1714"/>
      <c r="BI168" s="1714"/>
      <c r="BJ168" s="1714"/>
      <c r="BK168" s="1714"/>
      <c r="BL168" s="1712"/>
      <c r="BM168" s="1712"/>
      <c r="BN168" s="1712"/>
    </row>
    <row r="169" spans="1:66" ht="18" x14ac:dyDescent="0.25">
      <c r="A169" s="1714"/>
      <c r="B169" s="2068"/>
      <c r="C169" s="2086"/>
      <c r="D169" s="2079"/>
      <c r="E169" s="2079"/>
      <c r="F169" s="2086"/>
      <c r="G169" s="2204"/>
      <c r="H169" s="1714"/>
      <c r="I169" s="1714"/>
      <c r="J169" s="1714"/>
      <c r="K169" s="1744"/>
      <c r="L169" s="1714"/>
      <c r="M169" s="1714"/>
      <c r="N169" s="1788"/>
      <c r="O169" s="1788"/>
      <c r="P169" s="1788"/>
      <c r="Q169" s="1788"/>
      <c r="R169" s="1788"/>
      <c r="S169" s="1714"/>
      <c r="T169" s="1714"/>
      <c r="U169" s="1714"/>
      <c r="V169" s="2345"/>
      <c r="W169" s="2346"/>
      <c r="X169" s="1714"/>
      <c r="Y169" s="1714"/>
      <c r="Z169" s="1714"/>
      <c r="AA169" s="1714"/>
      <c r="AB169" s="1714"/>
      <c r="AC169" s="1714"/>
      <c r="AD169" s="1714"/>
      <c r="AE169" s="1714"/>
      <c r="AF169" s="1714"/>
      <c r="AG169" s="1714"/>
      <c r="AH169" s="1714"/>
      <c r="AI169" s="1918"/>
      <c r="AJ169" s="1714"/>
      <c r="AK169" s="1714"/>
      <c r="AL169" s="2342"/>
      <c r="AM169" s="2342"/>
      <c r="AN169" s="2342"/>
      <c r="AO169" s="2342"/>
      <c r="AP169" s="2342"/>
      <c r="AQ169" s="2068"/>
      <c r="AR169" s="2068"/>
      <c r="AS169" s="2068"/>
      <c r="AT169" s="2068"/>
      <c r="AU169" s="2068"/>
      <c r="AV169" s="2068"/>
      <c r="AW169" s="2068"/>
      <c r="AX169" s="1714"/>
      <c r="AY169" s="1743"/>
      <c r="AZ169" s="1743"/>
      <c r="BA169" s="1743"/>
      <c r="BB169" s="1743"/>
      <c r="BC169" s="1743"/>
      <c r="BD169" s="1743"/>
      <c r="BE169" s="1743"/>
      <c r="BF169" s="1714"/>
      <c r="BG169" s="1714"/>
      <c r="BH169" s="1714"/>
      <c r="BI169" s="1714"/>
      <c r="BJ169" s="1714"/>
      <c r="BK169" s="1714"/>
      <c r="BL169" s="1712"/>
      <c r="BM169" s="1712"/>
      <c r="BN169" s="1712"/>
    </row>
    <row r="170" spans="1:66" ht="18.75" thickBot="1" x14ac:dyDescent="0.3">
      <c r="A170" s="1714"/>
      <c r="B170" s="2068"/>
      <c r="C170" s="2086"/>
      <c r="D170" s="2079"/>
      <c r="E170" s="2079"/>
      <c r="F170" s="2086"/>
      <c r="G170" s="2204"/>
      <c r="H170" s="1714"/>
      <c r="I170" s="1714"/>
      <c r="J170" s="1714"/>
      <c r="K170" s="1744"/>
      <c r="L170" s="1714"/>
      <c r="M170" s="1714"/>
      <c r="N170" s="1788"/>
      <c r="O170" s="1788"/>
      <c r="P170" s="1788"/>
      <c r="Q170" s="1788"/>
      <c r="R170" s="1788"/>
      <c r="S170" s="1714"/>
      <c r="T170" s="1714"/>
      <c r="U170" s="1714"/>
      <c r="V170" s="1714"/>
      <c r="W170" s="1714"/>
      <c r="X170" s="1714"/>
      <c r="Y170" s="1714"/>
      <c r="Z170" s="1714"/>
      <c r="AA170" s="1714"/>
      <c r="AB170" s="1714"/>
      <c r="AC170" s="1714"/>
      <c r="AD170" s="1714"/>
      <c r="AE170" s="1714"/>
      <c r="AF170" s="1714"/>
      <c r="AG170" s="1714"/>
      <c r="AH170" s="1714"/>
      <c r="AI170" s="1918"/>
      <c r="AJ170" s="1714"/>
      <c r="AK170" s="1714"/>
      <c r="AL170" s="2342"/>
      <c r="AM170" s="2342"/>
      <c r="AN170" s="2342"/>
      <c r="AO170" s="2342"/>
      <c r="AP170" s="2342"/>
      <c r="AQ170" s="2068"/>
      <c r="AR170" s="2068"/>
      <c r="AS170" s="2068"/>
      <c r="AT170" s="2068"/>
      <c r="AU170" s="2068"/>
      <c r="AV170" s="2068"/>
      <c r="AW170" s="2068"/>
      <c r="AX170" s="1714"/>
      <c r="AY170" s="1743"/>
      <c r="AZ170" s="1743"/>
      <c r="BA170" s="1743"/>
      <c r="BB170" s="1743"/>
      <c r="BC170" s="1743"/>
      <c r="BD170" s="1743"/>
      <c r="BE170" s="1743"/>
      <c r="BF170" s="1714"/>
      <c r="BG170" s="1714"/>
      <c r="BH170" s="1714"/>
      <c r="BI170" s="1714"/>
      <c r="BJ170" s="1714"/>
      <c r="BK170" s="1714"/>
      <c r="BL170" s="1712"/>
      <c r="BM170" s="1712"/>
      <c r="BN170" s="1712"/>
    </row>
    <row r="171" spans="1:66" ht="21" x14ac:dyDescent="0.25">
      <c r="A171" s="1714"/>
      <c r="B171" s="2068"/>
      <c r="C171" s="2204"/>
      <c r="D171" s="2086"/>
      <c r="E171" s="2086"/>
      <c r="F171" s="2204"/>
      <c r="G171" s="2068"/>
      <c r="H171" s="1714"/>
      <c r="I171" s="1714"/>
      <c r="J171" s="1714"/>
      <c r="K171" s="1744"/>
      <c r="L171" s="1714"/>
      <c r="M171" s="1714"/>
      <c r="N171" s="1788"/>
      <c r="O171" s="1788"/>
      <c r="P171" s="1788"/>
      <c r="Q171" s="1791"/>
      <c r="R171" s="2347"/>
      <c r="S171" s="2348"/>
      <c r="T171" s="2348"/>
      <c r="U171" s="2348"/>
      <c r="V171" s="2348"/>
      <c r="W171" s="2349"/>
      <c r="X171" s="2349"/>
      <c r="Y171" s="2321"/>
      <c r="Z171" s="2321"/>
      <c r="AA171" s="2321"/>
      <c r="AB171" s="2321"/>
      <c r="AC171" s="2321"/>
      <c r="AD171" s="2321"/>
      <c r="AE171" s="2321"/>
      <c r="AF171" s="2321"/>
      <c r="AG171" s="2321"/>
      <c r="AH171" s="2321"/>
      <c r="AI171" s="1918"/>
      <c r="AJ171" s="1714"/>
      <c r="AK171" s="1714"/>
      <c r="AL171" s="2342"/>
      <c r="AM171" s="2342"/>
      <c r="AN171" s="2342"/>
      <c r="AO171" s="2342"/>
      <c r="AP171" s="2342"/>
      <c r="AQ171" s="2068"/>
      <c r="AR171" s="2068"/>
      <c r="AS171" s="2068"/>
      <c r="AT171" s="2068"/>
      <c r="AU171" s="2068"/>
      <c r="AV171" s="2068"/>
      <c r="AW171" s="2068"/>
      <c r="AX171" s="1714"/>
      <c r="AY171" s="1743"/>
      <c r="AZ171" s="1743"/>
      <c r="BA171" s="1743"/>
      <c r="BB171" s="1743"/>
      <c r="BC171" s="1743"/>
      <c r="BD171" s="1743"/>
      <c r="BE171" s="1743"/>
      <c r="BF171" s="1714"/>
      <c r="BG171" s="1714"/>
      <c r="BH171" s="1714"/>
      <c r="BI171" s="1714"/>
      <c r="BJ171" s="1714"/>
      <c r="BK171" s="1714"/>
      <c r="BL171" s="1712"/>
      <c r="BM171" s="1712"/>
      <c r="BN171" s="1712"/>
    </row>
    <row r="172" spans="1:66" ht="18" x14ac:dyDescent="0.25">
      <c r="A172" s="1714"/>
      <c r="B172" s="2068"/>
      <c r="C172" s="2068"/>
      <c r="D172" s="2204"/>
      <c r="E172" s="2204"/>
      <c r="F172" s="2068"/>
      <c r="G172" s="2068"/>
      <c r="H172" s="1714"/>
      <c r="I172" s="1714"/>
      <c r="J172" s="1714"/>
      <c r="K172" s="1744"/>
      <c r="L172" s="2331"/>
      <c r="M172" s="1714"/>
      <c r="N172" s="1788"/>
      <c r="O172" s="1788"/>
      <c r="P172" s="2350"/>
      <c r="Q172" s="1791"/>
      <c r="R172" s="2351"/>
      <c r="S172" s="1743"/>
      <c r="T172" s="1743"/>
      <c r="U172" s="2320"/>
      <c r="V172" s="2320"/>
      <c r="W172" s="1743"/>
      <c r="X172" s="1743"/>
      <c r="Y172" s="1743"/>
      <c r="Z172" s="1743"/>
      <c r="AA172" s="1743"/>
      <c r="AB172" s="1743"/>
      <c r="AC172" s="1743"/>
      <c r="AD172" s="1743"/>
      <c r="AE172" s="1743"/>
      <c r="AF172" s="1714"/>
      <c r="AG172" s="1714"/>
      <c r="AH172" s="1793"/>
      <c r="AI172" s="1918"/>
      <c r="AJ172" s="1714"/>
      <c r="AK172" s="1714"/>
      <c r="AL172" s="2079"/>
      <c r="AM172" s="2086"/>
      <c r="AN172" s="2079"/>
      <c r="AO172" s="2086"/>
      <c r="AP172" s="2079"/>
      <c r="AQ172" s="2086"/>
      <c r="AR172" s="2079"/>
      <c r="AS172" s="2086"/>
      <c r="AT172" s="2079"/>
      <c r="AU172" s="2086"/>
      <c r="AV172" s="2079"/>
      <c r="AW172" s="2352"/>
      <c r="AX172" s="1714"/>
      <c r="AY172" s="1743"/>
      <c r="AZ172" s="1743"/>
      <c r="BA172" s="1743"/>
      <c r="BB172" s="1743"/>
      <c r="BC172" s="1743"/>
      <c r="BD172" s="1743"/>
      <c r="BE172" s="1743"/>
      <c r="BF172" s="1714"/>
      <c r="BG172" s="1714"/>
      <c r="BH172" s="1714"/>
      <c r="BI172" s="1714"/>
      <c r="BJ172" s="1714"/>
      <c r="BK172" s="1714"/>
      <c r="BL172" s="1712"/>
      <c r="BM172" s="1712"/>
      <c r="BN172" s="1712"/>
    </row>
    <row r="173" spans="1:66" ht="18" x14ac:dyDescent="0.25">
      <c r="A173" s="1714"/>
      <c r="B173" s="2068"/>
      <c r="C173" s="2068"/>
      <c r="D173" s="2068"/>
      <c r="E173" s="2068"/>
      <c r="F173" s="2068"/>
      <c r="G173" s="2068"/>
      <c r="H173" s="1714"/>
      <c r="I173" s="1714"/>
      <c r="J173" s="1714"/>
      <c r="K173" s="1714"/>
      <c r="L173" s="2353"/>
      <c r="M173" s="1714"/>
      <c r="N173" s="1788"/>
      <c r="O173" s="1788"/>
      <c r="P173" s="2350"/>
      <c r="Q173" s="1788"/>
      <c r="R173" s="2354"/>
      <c r="S173" s="1714"/>
      <c r="T173" s="1714"/>
      <c r="U173" s="2355"/>
      <c r="V173" s="2355"/>
      <c r="W173" s="1714"/>
      <c r="X173" s="1714"/>
      <c r="Y173" s="1714"/>
      <c r="Z173" s="2331"/>
      <c r="AA173" s="1743"/>
      <c r="AB173" s="1743"/>
      <c r="AC173" s="1743"/>
      <c r="AD173" s="1743"/>
      <c r="AE173" s="1743"/>
      <c r="AF173" s="1714"/>
      <c r="AG173" s="1714"/>
      <c r="AH173" s="1793"/>
      <c r="AI173" s="1918"/>
      <c r="AJ173" s="1714"/>
      <c r="AK173" s="1714"/>
      <c r="AL173" s="2073"/>
      <c r="AM173" s="2204"/>
      <c r="AN173" s="2073"/>
      <c r="AO173" s="2204"/>
      <c r="AP173" s="2073"/>
      <c r="AQ173" s="2204"/>
      <c r="AR173" s="2073"/>
      <c r="AS173" s="2204"/>
      <c r="AT173" s="2073"/>
      <c r="AU173" s="2204"/>
      <c r="AV173" s="2073"/>
      <c r="AW173" s="2356"/>
      <c r="AX173" s="1714"/>
      <c r="AY173" s="1743"/>
      <c r="AZ173" s="1743"/>
      <c r="BA173" s="1743"/>
      <c r="BB173" s="1743"/>
      <c r="BC173" s="1743"/>
      <c r="BD173" s="1743"/>
      <c r="BE173" s="1743"/>
      <c r="BF173" s="1714"/>
      <c r="BG173" s="1714"/>
      <c r="BH173" s="1714"/>
      <c r="BI173" s="1714"/>
      <c r="BJ173" s="1714"/>
      <c r="BK173" s="1714"/>
      <c r="BL173" s="1712"/>
      <c r="BM173" s="1712"/>
      <c r="BN173" s="1712"/>
    </row>
    <row r="174" spans="1:66" ht="15.75" x14ac:dyDescent="0.25">
      <c r="A174" s="1714"/>
      <c r="B174" s="2068"/>
      <c r="C174" s="2068"/>
      <c r="D174" s="2068"/>
      <c r="E174" s="2068"/>
      <c r="F174" s="2068"/>
      <c r="G174" s="2068"/>
      <c r="H174" s="1714"/>
      <c r="I174" s="1714"/>
      <c r="J174" s="1714"/>
      <c r="K174" s="1714"/>
      <c r="L174" s="2357"/>
      <c r="M174" s="1714"/>
      <c r="N174" s="1788"/>
      <c r="O174" s="1788"/>
      <c r="P174" s="2350"/>
      <c r="Q174" s="1788"/>
      <c r="R174" s="2354"/>
      <c r="S174" s="1714"/>
      <c r="T174" s="1714"/>
      <c r="U174" s="2355"/>
      <c r="V174" s="2355"/>
      <c r="W174" s="1714"/>
      <c r="X174" s="1714"/>
      <c r="Y174" s="1714"/>
      <c r="Z174" s="1714"/>
      <c r="AA174" s="1714"/>
      <c r="AB174" s="1714"/>
      <c r="AC174" s="1714"/>
      <c r="AD174" s="1714"/>
      <c r="AE174" s="1714"/>
      <c r="AF174" s="1714"/>
      <c r="AG174" s="1714"/>
      <c r="AH174" s="1793"/>
      <c r="AI174" s="1918"/>
      <c r="AJ174" s="1714"/>
      <c r="AK174" s="1714"/>
      <c r="AL174" s="2204"/>
      <c r="AM174" s="2062"/>
      <c r="AN174" s="2204"/>
      <c r="AO174" s="2062"/>
      <c r="AP174" s="2204"/>
      <c r="AQ174" s="2062"/>
      <c r="AR174" s="2204"/>
      <c r="AS174" s="2062"/>
      <c r="AT174" s="2204"/>
      <c r="AU174" s="2062"/>
      <c r="AV174" s="2204"/>
      <c r="AW174" s="2105"/>
      <c r="AX174" s="1714"/>
      <c r="AY174" s="1743"/>
      <c r="AZ174" s="1743"/>
      <c r="BA174" s="1743"/>
      <c r="BB174" s="1743"/>
      <c r="BC174" s="1743"/>
      <c r="BD174" s="1743"/>
      <c r="BE174" s="1743"/>
      <c r="BF174" s="1714"/>
      <c r="BG174" s="1714"/>
      <c r="BH174" s="1714"/>
      <c r="BI174" s="1714"/>
      <c r="BJ174" s="1714"/>
      <c r="BK174" s="1714"/>
      <c r="BL174" s="1712"/>
      <c r="BM174" s="1712"/>
      <c r="BN174" s="1712"/>
    </row>
    <row r="175" spans="1:66" x14ac:dyDescent="0.25">
      <c r="A175" s="1714"/>
      <c r="B175" s="2068"/>
      <c r="C175" s="2068"/>
      <c r="D175" s="2068"/>
      <c r="E175" s="2068"/>
      <c r="F175" s="2068"/>
      <c r="G175" s="2068"/>
      <c r="H175" s="1714"/>
      <c r="I175" s="1714"/>
      <c r="J175" s="1714"/>
      <c r="K175" s="1714"/>
      <c r="L175" s="2357"/>
      <c r="M175" s="1714"/>
      <c r="N175" s="1788"/>
      <c r="O175" s="1788"/>
      <c r="P175" s="2358"/>
      <c r="Q175" s="1788"/>
      <c r="R175" s="2354"/>
      <c r="S175" s="1714"/>
      <c r="T175" s="1714"/>
      <c r="U175" s="2355"/>
      <c r="V175" s="2355"/>
      <c r="W175" s="1714"/>
      <c r="X175" s="1714"/>
      <c r="Y175" s="1714"/>
      <c r="Z175" s="2331"/>
      <c r="AA175" s="1743"/>
      <c r="AB175" s="1743"/>
      <c r="AC175" s="1743"/>
      <c r="AD175" s="1743"/>
      <c r="AE175" s="1743"/>
      <c r="AF175" s="1714"/>
      <c r="AG175" s="1714"/>
      <c r="AH175" s="1793"/>
      <c r="AI175" s="1918"/>
      <c r="AJ175" s="1714"/>
      <c r="AK175" s="1714"/>
      <c r="AL175" s="2342"/>
      <c r="AM175" s="2342"/>
      <c r="AN175" s="2342"/>
      <c r="AO175" s="2342"/>
      <c r="AP175" s="2342"/>
      <c r="AQ175" s="2068"/>
      <c r="AR175" s="2068"/>
      <c r="AS175" s="2068"/>
      <c r="AT175" s="2068"/>
      <c r="AU175" s="2068"/>
      <c r="AV175" s="2068"/>
      <c r="AW175" s="2068"/>
      <c r="AX175" s="1714"/>
      <c r="AY175" s="1743"/>
      <c r="AZ175" s="1743"/>
      <c r="BA175" s="1743"/>
      <c r="BB175" s="1743"/>
      <c r="BC175" s="1743"/>
      <c r="BD175" s="1743"/>
      <c r="BE175" s="1743"/>
      <c r="BF175" s="1714"/>
      <c r="BG175" s="1714"/>
      <c r="BH175" s="1714"/>
      <c r="BI175" s="1714"/>
      <c r="BJ175" s="1714"/>
      <c r="BK175" s="1714"/>
      <c r="BL175" s="1712"/>
      <c r="BM175" s="1712"/>
      <c r="BN175" s="1712"/>
    </row>
    <row r="176" spans="1:66" x14ac:dyDescent="0.25">
      <c r="A176" s="1714"/>
      <c r="B176" s="2068"/>
      <c r="C176" s="2068"/>
      <c r="D176" s="2068"/>
      <c r="E176" s="2068"/>
      <c r="F176" s="2068"/>
      <c r="G176" s="2068"/>
      <c r="H176" s="1714"/>
      <c r="I176" s="1714"/>
      <c r="J176" s="1714"/>
      <c r="K176" s="1714"/>
      <c r="L176" s="2357"/>
      <c r="M176" s="1714"/>
      <c r="N176" s="1788"/>
      <c r="O176" s="1788"/>
      <c r="P176" s="2350"/>
      <c r="Q176" s="1788"/>
      <c r="R176" s="2354"/>
      <c r="S176" s="1714"/>
      <c r="T176" s="1714"/>
      <c r="U176" s="2355"/>
      <c r="V176" s="2355"/>
      <c r="W176" s="1714"/>
      <c r="X176" s="1714"/>
      <c r="Y176" s="1714"/>
      <c r="Z176" s="2331"/>
      <c r="AA176" s="1714"/>
      <c r="AB176" s="1714"/>
      <c r="AC176" s="1714"/>
      <c r="AD176" s="1714"/>
      <c r="AE176" s="1714"/>
      <c r="AF176" s="1714"/>
      <c r="AG176" s="1714"/>
      <c r="AH176" s="1793"/>
      <c r="AI176" s="1918"/>
      <c r="AJ176" s="1714"/>
      <c r="AK176" s="1714"/>
      <c r="AL176" s="2342"/>
      <c r="AM176" s="2342"/>
      <c r="AN176" s="2342"/>
      <c r="AO176" s="2342"/>
      <c r="AP176" s="2342"/>
      <c r="AQ176" s="2068"/>
      <c r="AR176" s="2068"/>
      <c r="AS176" s="2068"/>
      <c r="AT176" s="2068"/>
      <c r="AU176" s="2068"/>
      <c r="AV176" s="2068"/>
      <c r="AW176" s="2068"/>
      <c r="AX176" s="1714"/>
      <c r="AY176" s="1743"/>
      <c r="AZ176" s="1743"/>
      <c r="BA176" s="1743"/>
      <c r="BB176" s="1743"/>
      <c r="BC176" s="1743"/>
      <c r="BD176" s="1743"/>
      <c r="BE176" s="1743"/>
      <c r="BF176" s="1714"/>
      <c r="BG176" s="1714"/>
      <c r="BH176" s="1714"/>
      <c r="BI176" s="1714"/>
      <c r="BJ176" s="1714"/>
      <c r="BK176" s="1714"/>
      <c r="BL176" s="1712"/>
      <c r="BM176" s="1712"/>
      <c r="BN176" s="1712"/>
    </row>
    <row r="177" spans="1:197" ht="15.75" x14ac:dyDescent="0.25">
      <c r="A177" s="1714"/>
      <c r="B177" s="2068"/>
      <c r="C177" s="2068"/>
      <c r="D177" s="2204"/>
      <c r="E177" s="2204"/>
      <c r="F177" s="2068"/>
      <c r="G177" s="2068"/>
      <c r="H177" s="1714"/>
      <c r="I177" s="1714"/>
      <c r="J177" s="1714"/>
      <c r="K177" s="1714"/>
      <c r="L177" s="2357"/>
      <c r="M177" s="1714"/>
      <c r="N177" s="1788"/>
      <c r="O177" s="1788"/>
      <c r="P177" s="2350"/>
      <c r="Q177" s="1788"/>
      <c r="R177" s="2354"/>
      <c r="S177" s="1714"/>
      <c r="T177" s="1714"/>
      <c r="U177" s="2355"/>
      <c r="V177" s="2355"/>
      <c r="W177" s="1714"/>
      <c r="X177" s="1714"/>
      <c r="Y177" s="1714"/>
      <c r="Z177" s="2331"/>
      <c r="AA177" s="1714"/>
      <c r="AB177" s="1714"/>
      <c r="AC177" s="1714"/>
      <c r="AD177" s="1714"/>
      <c r="AE177" s="1714"/>
      <c r="AF177" s="1714"/>
      <c r="AG177" s="1714"/>
      <c r="AH177" s="1793"/>
      <c r="AI177" s="1918"/>
      <c r="AJ177" s="1714"/>
      <c r="AK177" s="1714"/>
      <c r="AL177" s="2320"/>
      <c r="AM177" s="2320"/>
      <c r="AN177" s="2342"/>
      <c r="AO177" s="2342"/>
      <c r="AP177" s="2342"/>
      <c r="AQ177" s="2068"/>
      <c r="AR177" s="1714"/>
      <c r="AS177" s="1714"/>
      <c r="AT177" s="1714"/>
      <c r="AU177" s="1714"/>
      <c r="AV177" s="1714"/>
      <c r="AW177" s="1714"/>
      <c r="AX177" s="1714"/>
      <c r="AY177" s="1743"/>
      <c r="AZ177" s="1743"/>
      <c r="BA177" s="1743"/>
      <c r="BB177" s="1743"/>
      <c r="BC177" s="1743"/>
      <c r="BD177" s="1743"/>
      <c r="BE177" s="1743"/>
      <c r="BF177" s="1714"/>
      <c r="BG177" s="1714"/>
      <c r="BH177" s="1714"/>
      <c r="BI177" s="1714"/>
      <c r="BJ177" s="1714"/>
      <c r="BK177" s="1714"/>
      <c r="BL177" s="1712"/>
      <c r="BM177" s="1712"/>
      <c r="BN177" s="1712"/>
    </row>
    <row r="178" spans="1:197" ht="20.25" x14ac:dyDescent="0.25">
      <c r="A178" s="1714"/>
      <c r="B178" s="2068"/>
      <c r="C178" s="2204"/>
      <c r="D178" s="2086"/>
      <c r="E178" s="2086"/>
      <c r="F178" s="2204"/>
      <c r="G178" s="2068"/>
      <c r="H178" s="1714"/>
      <c r="I178" s="1714"/>
      <c r="J178" s="1714"/>
      <c r="K178" s="1714"/>
      <c r="L178" s="2357"/>
      <c r="M178" s="1714"/>
      <c r="N178" s="1788"/>
      <c r="O178" s="1788"/>
      <c r="P178" s="2350"/>
      <c r="Q178" s="1788"/>
      <c r="R178" s="2354"/>
      <c r="S178" s="1714"/>
      <c r="T178" s="1714"/>
      <c r="U178" s="2355"/>
      <c r="V178" s="2355"/>
      <c r="W178" s="1714"/>
      <c r="X178" s="1714"/>
      <c r="Y178" s="1714"/>
      <c r="Z178" s="2331"/>
      <c r="AA178" s="1714"/>
      <c r="AB178" s="1714"/>
      <c r="AC178" s="1714"/>
      <c r="AD178" s="1714"/>
      <c r="AE178" s="1714"/>
      <c r="AF178" s="1714"/>
      <c r="AG178" s="1714"/>
      <c r="AH178" s="1793"/>
      <c r="AI178" s="1918"/>
      <c r="AJ178" s="1714"/>
      <c r="AK178" s="1714"/>
      <c r="AL178" s="2320"/>
      <c r="AM178" s="2320"/>
      <c r="AN178" s="2068"/>
      <c r="AO178" s="2359"/>
      <c r="AP178" s="2360"/>
      <c r="AQ178" s="1965"/>
      <c r="AR178" s="1714"/>
      <c r="AS178" s="1714"/>
      <c r="AT178" s="1714"/>
      <c r="AU178" s="1714"/>
      <c r="AV178" s="1714"/>
      <c r="AW178" s="1714"/>
      <c r="AX178" s="1714"/>
      <c r="AY178" s="1743"/>
      <c r="AZ178" s="1743"/>
      <c r="BA178" s="1743"/>
      <c r="BB178" s="1743"/>
      <c r="BC178" s="1743"/>
      <c r="BD178" s="1743"/>
      <c r="BE178" s="1743"/>
      <c r="BF178" s="1714"/>
      <c r="BG178" s="1714"/>
      <c r="BH178" s="1714"/>
      <c r="BI178" s="1714"/>
      <c r="BJ178" s="1714"/>
      <c r="BK178" s="1714"/>
      <c r="BL178" s="1712"/>
      <c r="BM178" s="1712"/>
      <c r="BN178" s="1712"/>
    </row>
    <row r="179" spans="1:197" ht="23.25" x14ac:dyDescent="0.25">
      <c r="A179" s="1714"/>
      <c r="B179" s="2204"/>
      <c r="C179" s="2086"/>
      <c r="D179" s="2079"/>
      <c r="E179" s="2079"/>
      <c r="F179" s="2086"/>
      <c r="G179" s="2068"/>
      <c r="H179" s="1714"/>
      <c r="I179" s="1714"/>
      <c r="J179" s="1714"/>
      <c r="K179" s="1714"/>
      <c r="L179" s="2357"/>
      <c r="M179" s="1714"/>
      <c r="N179" s="1788"/>
      <c r="O179" s="1788"/>
      <c r="P179" s="1788"/>
      <c r="Q179" s="1788"/>
      <c r="R179" s="1788"/>
      <c r="S179" s="1714"/>
      <c r="T179" s="1714"/>
      <c r="U179" s="2355"/>
      <c r="V179" s="2355"/>
      <c r="W179" s="1714"/>
      <c r="X179" s="1714"/>
      <c r="Y179" s="1714"/>
      <c r="Z179" s="2331"/>
      <c r="AA179" s="1714"/>
      <c r="AB179" s="1714"/>
      <c r="AC179" s="1714"/>
      <c r="AD179" s="1714"/>
      <c r="AE179" s="1714"/>
      <c r="AF179" s="1714"/>
      <c r="AG179" s="1714"/>
      <c r="AH179" s="1793"/>
      <c r="AI179" s="1918"/>
      <c r="AJ179" s="1714"/>
      <c r="AK179" s="1714"/>
      <c r="AL179" s="2320"/>
      <c r="AM179" s="2320"/>
      <c r="AN179" s="2361"/>
      <c r="AO179" s="2360"/>
      <c r="AP179" s="2362"/>
      <c r="AQ179" s="2360"/>
      <c r="AR179" s="1714"/>
      <c r="AS179" s="1714"/>
      <c r="AT179" s="1714"/>
      <c r="AU179" s="1714"/>
      <c r="AV179" s="1714"/>
      <c r="AW179" s="1714"/>
      <c r="AX179" s="1714"/>
      <c r="AY179" s="1743"/>
      <c r="AZ179" s="1743"/>
      <c r="BA179" s="1743"/>
      <c r="BB179" s="1743"/>
      <c r="BC179" s="1743"/>
      <c r="BD179" s="1743"/>
      <c r="BE179" s="1743"/>
      <c r="BF179" s="1714"/>
      <c r="BG179" s="1714"/>
      <c r="BH179" s="1714"/>
      <c r="BI179" s="1714"/>
      <c r="BJ179" s="1714"/>
      <c r="BK179" s="1714"/>
      <c r="BL179" s="1712"/>
      <c r="BM179" s="1712"/>
      <c r="BN179" s="1712"/>
    </row>
    <row r="180" spans="1:197" ht="23.25" x14ac:dyDescent="0.25">
      <c r="A180" s="1714"/>
      <c r="B180" s="2204"/>
      <c r="C180" s="2086"/>
      <c r="D180" s="2079"/>
      <c r="E180" s="2079"/>
      <c r="F180" s="2086"/>
      <c r="G180" s="2068"/>
      <c r="H180" s="1714"/>
      <c r="I180" s="1714"/>
      <c r="J180" s="1714"/>
      <c r="K180" s="1714"/>
      <c r="L180" s="2357"/>
      <c r="M180" s="1714"/>
      <c r="N180" s="1788"/>
      <c r="O180" s="1788"/>
      <c r="P180" s="1788"/>
      <c r="Q180" s="1788"/>
      <c r="R180" s="2363"/>
      <c r="S180" s="1714"/>
      <c r="T180" s="1714"/>
      <c r="U180" s="2355"/>
      <c r="V180" s="2355"/>
      <c r="W180" s="1714"/>
      <c r="X180" s="1714"/>
      <c r="Y180" s="1714"/>
      <c r="Z180" s="2364"/>
      <c r="AA180" s="1714"/>
      <c r="AB180" s="1714"/>
      <c r="AC180" s="1714"/>
      <c r="AD180" s="1714"/>
      <c r="AE180" s="1714"/>
      <c r="AF180" s="1714"/>
      <c r="AG180" s="1714"/>
      <c r="AH180" s="1793"/>
      <c r="AI180" s="1918"/>
      <c r="AJ180" s="1714"/>
      <c r="AK180" s="1714"/>
      <c r="AL180" s="2320"/>
      <c r="AM180" s="2320"/>
      <c r="AN180" s="2360"/>
      <c r="AO180" s="2362"/>
      <c r="AP180" s="2362"/>
      <c r="AQ180" s="2360"/>
      <c r="AR180" s="1714"/>
      <c r="AS180" s="1714"/>
      <c r="AT180" s="1714"/>
      <c r="AU180" s="1714"/>
      <c r="AV180" s="1714"/>
      <c r="AW180" s="1714"/>
      <c r="AX180" s="1714"/>
      <c r="AY180" s="1743"/>
      <c r="AZ180" s="1743"/>
      <c r="BA180" s="1743"/>
      <c r="BB180" s="1743"/>
      <c r="BC180" s="1743"/>
      <c r="BD180" s="1743"/>
      <c r="BE180" s="1743"/>
      <c r="BF180" s="1714"/>
      <c r="BG180" s="1714"/>
      <c r="BH180" s="1714"/>
      <c r="BI180" s="1714"/>
      <c r="BJ180" s="1714"/>
      <c r="BK180" s="1714"/>
      <c r="BL180" s="1712"/>
      <c r="BM180" s="1712"/>
      <c r="BN180" s="1712"/>
    </row>
    <row r="181" spans="1:197" ht="23.25" x14ac:dyDescent="0.25">
      <c r="A181" s="1714"/>
      <c r="B181" s="2204"/>
      <c r="C181" s="2086"/>
      <c r="D181" s="2079"/>
      <c r="E181" s="2079"/>
      <c r="F181" s="2086"/>
      <c r="G181" s="2068"/>
      <c r="H181" s="1714"/>
      <c r="I181" s="1714"/>
      <c r="J181" s="1714"/>
      <c r="K181" s="1714"/>
      <c r="L181" s="2357"/>
      <c r="M181" s="2365"/>
      <c r="N181" s="2365"/>
      <c r="O181" s="2365"/>
      <c r="P181" s="2365"/>
      <c r="Q181" s="2365"/>
      <c r="R181" s="2365"/>
      <c r="S181" s="2365"/>
      <c r="T181" s="2365"/>
      <c r="U181" s="2366"/>
      <c r="V181" s="2366"/>
      <c r="W181" s="2331"/>
      <c r="X181" s="2365"/>
      <c r="Y181" s="2365"/>
      <c r="Z181" s="2364"/>
      <c r="AA181" s="1714"/>
      <c r="AB181" s="1714"/>
      <c r="AC181" s="1714"/>
      <c r="AD181" s="1714"/>
      <c r="AE181" s="1714"/>
      <c r="AF181" s="1714"/>
      <c r="AG181" s="1714"/>
      <c r="AH181" s="1793"/>
      <c r="AI181" s="1918"/>
      <c r="AJ181" s="1714"/>
      <c r="AK181" s="1714"/>
      <c r="AL181" s="2320"/>
      <c r="AM181" s="2320"/>
      <c r="AN181" s="2360"/>
      <c r="AO181" s="2362"/>
      <c r="AP181" s="2360"/>
      <c r="AQ181" s="2068"/>
      <c r="AR181" s="1714"/>
      <c r="AS181" s="1714"/>
      <c r="AT181" s="1714"/>
      <c r="AU181" s="1714"/>
      <c r="AV181" s="1714"/>
      <c r="AW181" s="1714"/>
      <c r="AX181" s="1714"/>
      <c r="AY181" s="1743"/>
      <c r="AZ181" s="1743"/>
      <c r="BA181" s="1743"/>
      <c r="BB181" s="1743"/>
      <c r="BC181" s="1743"/>
      <c r="BD181" s="1743"/>
      <c r="BE181" s="1743"/>
      <c r="BF181" s="1714"/>
      <c r="BG181" s="1714"/>
      <c r="BH181" s="1714"/>
      <c r="BI181" s="1714"/>
      <c r="BJ181" s="1714"/>
      <c r="BK181" s="1714"/>
      <c r="BL181" s="1712"/>
      <c r="BM181" s="1712"/>
      <c r="BN181" s="1712"/>
    </row>
    <row r="182" spans="1:197" ht="20.25" x14ac:dyDescent="0.25">
      <c r="A182" s="1714"/>
      <c r="B182" s="2204"/>
      <c r="C182" s="2086"/>
      <c r="D182" s="2079"/>
      <c r="E182" s="2079"/>
      <c r="F182" s="2086"/>
      <c r="G182" s="2068"/>
      <c r="H182" s="1714"/>
      <c r="I182" s="1714"/>
      <c r="J182" s="1714"/>
      <c r="K182" s="1714"/>
      <c r="L182" s="2357"/>
      <c r="M182" s="2365"/>
      <c r="N182" s="2365"/>
      <c r="O182" s="2365"/>
      <c r="P182" s="2365"/>
      <c r="Q182" s="2365"/>
      <c r="R182" s="2365"/>
      <c r="S182" s="2365"/>
      <c r="T182" s="2365"/>
      <c r="U182" s="2367"/>
      <c r="V182" s="2366"/>
      <c r="W182" s="2331"/>
      <c r="X182" s="2365"/>
      <c r="Y182" s="2365"/>
      <c r="Z182" s="2331"/>
      <c r="AA182" s="1714"/>
      <c r="AB182" s="1714"/>
      <c r="AC182" s="1714"/>
      <c r="AD182" s="1714"/>
      <c r="AE182" s="1714"/>
      <c r="AF182" s="1714"/>
      <c r="AG182" s="1714"/>
      <c r="AH182" s="1793"/>
      <c r="AI182" s="1918"/>
      <c r="AJ182" s="1714"/>
      <c r="AK182" s="1714"/>
      <c r="AL182" s="1714"/>
      <c r="AM182" s="1714"/>
      <c r="AN182" s="2368"/>
      <c r="AO182" s="2360"/>
      <c r="AP182" s="2369"/>
      <c r="AQ182" s="1965"/>
      <c r="AR182" s="1714"/>
      <c r="AS182" s="1714"/>
      <c r="AT182" s="1714"/>
      <c r="AU182" s="1714"/>
      <c r="AV182" s="1714"/>
      <c r="AW182" s="1714"/>
      <c r="AX182" s="1714"/>
      <c r="AY182" s="1714"/>
      <c r="AZ182" s="1714"/>
      <c r="BA182" s="1714"/>
      <c r="BB182" s="1714"/>
      <c r="BC182" s="1714"/>
      <c r="BD182" s="1714"/>
      <c r="BE182" s="1714"/>
      <c r="BF182" s="1714"/>
      <c r="BG182" s="1714"/>
      <c r="BH182" s="1714"/>
      <c r="BI182" s="1714"/>
      <c r="BJ182" s="1714"/>
      <c r="BK182" s="1714"/>
      <c r="BL182" s="1712"/>
      <c r="BM182" s="1712"/>
      <c r="BN182" s="1712"/>
    </row>
    <row r="183" spans="1:197" ht="18" x14ac:dyDescent="0.25">
      <c r="A183" s="1714"/>
      <c r="B183" s="2204"/>
      <c r="C183" s="2086"/>
      <c r="D183" s="2079"/>
      <c r="E183" s="2079"/>
      <c r="F183" s="2086"/>
      <c r="G183" s="2068"/>
      <c r="H183" s="1714"/>
      <c r="I183" s="1714"/>
      <c r="J183" s="1714"/>
      <c r="K183" s="1714"/>
      <c r="L183" s="2357"/>
      <c r="M183" s="2365"/>
      <c r="N183" s="2365"/>
      <c r="O183" s="2365"/>
      <c r="P183" s="2365"/>
      <c r="Q183" s="2365"/>
      <c r="R183" s="2331"/>
      <c r="S183" s="1714"/>
      <c r="T183" s="1714"/>
      <c r="U183" s="2355"/>
      <c r="V183" s="2355"/>
      <c r="W183" s="1714"/>
      <c r="X183" s="1714"/>
      <c r="Y183" s="1714"/>
      <c r="Z183" s="1714"/>
      <c r="AA183" s="1714"/>
      <c r="AB183" s="1714"/>
      <c r="AC183" s="1714"/>
      <c r="AD183" s="1714"/>
      <c r="AE183" s="1714"/>
      <c r="AF183" s="1714"/>
      <c r="AG183" s="1714"/>
      <c r="AH183" s="1793"/>
      <c r="AI183" s="1918"/>
      <c r="AJ183" s="1714"/>
      <c r="AK183" s="1714"/>
      <c r="AL183" s="1714"/>
      <c r="AM183" s="1714"/>
      <c r="AN183" s="2067"/>
      <c r="AO183" s="2067"/>
      <c r="AP183" s="2105"/>
      <c r="AQ183" s="1965"/>
      <c r="AR183" s="1714"/>
      <c r="AS183" s="1714"/>
      <c r="AT183" s="1714"/>
      <c r="AU183" s="1714"/>
      <c r="AV183" s="1714"/>
      <c r="AW183" s="1714"/>
      <c r="AX183" s="1714"/>
      <c r="AY183" s="1714"/>
      <c r="AZ183" s="1714"/>
      <c r="BA183" s="1714"/>
      <c r="BB183" s="1714"/>
      <c r="BC183" s="1714"/>
      <c r="BD183" s="1714"/>
      <c r="BE183" s="1714"/>
      <c r="BF183" s="1714"/>
      <c r="BG183" s="1714"/>
      <c r="BH183" s="1714"/>
      <c r="BI183" s="1714"/>
      <c r="BJ183" s="1714"/>
      <c r="BK183" s="1714"/>
      <c r="BL183" s="1712"/>
      <c r="BM183" s="1712"/>
      <c r="BN183" s="1712"/>
    </row>
    <row r="184" spans="1:197" ht="18" x14ac:dyDescent="0.25">
      <c r="A184" s="1714"/>
      <c r="B184" s="2370"/>
      <c r="C184" s="2204"/>
      <c r="D184" s="2086"/>
      <c r="E184" s="2086"/>
      <c r="F184" s="2204"/>
      <c r="G184" s="2068"/>
      <c r="H184" s="1714"/>
      <c r="I184" s="1714"/>
      <c r="J184" s="1714"/>
      <c r="K184" s="1714"/>
      <c r="L184" s="2371"/>
      <c r="M184" s="2331"/>
      <c r="N184" s="2331"/>
      <c r="O184" s="2331"/>
      <c r="P184" s="2331"/>
      <c r="Q184" s="2331"/>
      <c r="R184" s="1714"/>
      <c r="S184" s="1714"/>
      <c r="T184" s="1714"/>
      <c r="U184" s="2355"/>
      <c r="V184" s="2355"/>
      <c r="W184" s="1714"/>
      <c r="X184" s="1714"/>
      <c r="Y184" s="1714"/>
      <c r="Z184" s="1714"/>
      <c r="AA184" s="1714"/>
      <c r="AB184" s="1714"/>
      <c r="AC184" s="1714"/>
      <c r="AD184" s="1714"/>
      <c r="AE184" s="1714"/>
      <c r="AF184" s="1714"/>
      <c r="AG184" s="1714"/>
      <c r="AH184" s="1793"/>
      <c r="AI184" s="1918"/>
      <c r="AJ184" s="1714"/>
      <c r="AK184" s="1714"/>
      <c r="AL184" s="1714"/>
      <c r="AM184" s="1714"/>
      <c r="AN184" s="2068"/>
      <c r="AO184" s="2068"/>
      <c r="AP184" s="2068"/>
      <c r="AQ184" s="2068"/>
      <c r="AR184" s="1714"/>
      <c r="AS184" s="1714"/>
      <c r="AT184" s="1714"/>
      <c r="AU184" s="1714"/>
      <c r="AV184" s="1714"/>
      <c r="AW184" s="1714"/>
      <c r="AX184" s="1714"/>
      <c r="AY184" s="1714"/>
      <c r="AZ184" s="1714"/>
      <c r="BA184" s="1714"/>
      <c r="BB184" s="1714"/>
      <c r="BC184" s="1714"/>
      <c r="BD184" s="1714"/>
      <c r="BE184" s="1714"/>
      <c r="BF184" s="1714"/>
      <c r="BG184" s="1714"/>
      <c r="BH184" s="1714"/>
      <c r="BI184" s="1714"/>
      <c r="BJ184" s="1714"/>
      <c r="BK184" s="1714"/>
      <c r="BL184" s="1712"/>
      <c r="BM184" s="1712"/>
      <c r="BN184" s="1712"/>
    </row>
    <row r="185" spans="1:197" ht="16.5" thickBot="1" x14ac:dyDescent="0.3">
      <c r="A185" s="1714"/>
      <c r="B185" s="2105"/>
      <c r="C185" s="2105"/>
      <c r="D185" s="2204"/>
      <c r="E185" s="2204"/>
      <c r="F185" s="2105"/>
      <c r="G185" s="2068"/>
      <c r="H185" s="1714"/>
      <c r="I185" s="1714"/>
      <c r="J185" s="1714"/>
      <c r="K185" s="1714"/>
      <c r="L185" s="2372"/>
      <c r="M185" s="2373"/>
      <c r="N185" s="2373"/>
      <c r="O185" s="2373"/>
      <c r="P185" s="2373"/>
      <c r="Q185" s="2373"/>
      <c r="R185" s="2373"/>
      <c r="S185" s="2052"/>
      <c r="T185" s="2052"/>
      <c r="U185" s="2374"/>
      <c r="V185" s="2374"/>
      <c r="W185" s="2052"/>
      <c r="X185" s="2052"/>
      <c r="Y185" s="2052"/>
      <c r="Z185" s="2052"/>
      <c r="AA185" s="2052"/>
      <c r="AB185" s="2029"/>
      <c r="AC185" s="2029"/>
      <c r="AD185" s="2029"/>
      <c r="AE185" s="2029"/>
      <c r="AF185" s="2029"/>
      <c r="AG185" s="2029"/>
      <c r="AH185" s="2375"/>
      <c r="AI185" s="1918"/>
      <c r="AJ185" s="1714"/>
      <c r="AK185" s="1714"/>
      <c r="AL185" s="1714"/>
      <c r="AM185" s="1714"/>
      <c r="AN185" s="1714"/>
      <c r="AO185" s="1714"/>
      <c r="AP185" s="1714"/>
      <c r="AQ185" s="1714"/>
      <c r="AR185" s="1714"/>
      <c r="AS185" s="1714"/>
      <c r="AT185" s="1714"/>
      <c r="AU185" s="1714"/>
      <c r="AV185" s="1714"/>
      <c r="AW185" s="1714"/>
      <c r="AX185" s="1714"/>
      <c r="AY185" s="1714"/>
      <c r="AZ185" s="1714"/>
      <c r="BA185" s="1714"/>
      <c r="BB185" s="1714"/>
      <c r="BC185" s="1714"/>
      <c r="BD185" s="1714"/>
      <c r="BE185" s="1714"/>
      <c r="BF185" s="1714"/>
      <c r="BG185" s="1714"/>
      <c r="BH185" s="1714"/>
      <c r="BI185" s="1714"/>
      <c r="BJ185" s="1714"/>
      <c r="BK185" s="1714"/>
      <c r="BL185" s="1712"/>
      <c r="BM185" s="1712"/>
      <c r="BN185" s="1712"/>
    </row>
    <row r="186" spans="1:197" x14ac:dyDescent="0.25">
      <c r="A186" s="1714"/>
      <c r="B186" s="2068"/>
      <c r="C186" s="2068"/>
      <c r="D186" s="2068"/>
      <c r="E186" s="2068"/>
      <c r="F186" s="2068"/>
      <c r="G186" s="2068"/>
      <c r="H186" s="1714"/>
      <c r="I186" s="1714"/>
      <c r="J186" s="1714"/>
      <c r="K186" s="1714"/>
      <c r="L186" s="1714"/>
      <c r="M186" s="1714"/>
      <c r="N186" s="1714"/>
      <c r="O186" s="1714"/>
      <c r="P186" s="1714"/>
      <c r="Q186" s="1714"/>
      <c r="R186" s="1714"/>
      <c r="S186" s="1714"/>
      <c r="T186" s="1714"/>
      <c r="U186" s="2320"/>
      <c r="V186" s="2320"/>
      <c r="W186" s="1714"/>
      <c r="X186" s="1714"/>
      <c r="Y186" s="1714"/>
      <c r="Z186" s="1714"/>
      <c r="AA186" s="1714"/>
      <c r="AB186" s="1714"/>
      <c r="AC186" s="1714"/>
      <c r="AD186" s="1714"/>
      <c r="AE186" s="1714"/>
      <c r="AF186" s="1714"/>
      <c r="AG186" s="1714"/>
      <c r="AH186" s="1714"/>
      <c r="AI186" s="1714"/>
      <c r="AJ186" s="1714"/>
      <c r="AK186" s="1714"/>
      <c r="AL186" s="1714"/>
      <c r="AM186" s="1714"/>
      <c r="AN186" s="1714"/>
      <c r="AO186" s="1714"/>
      <c r="AP186" s="1714"/>
      <c r="AQ186" s="1714"/>
      <c r="AR186" s="1714"/>
      <c r="AS186" s="1714"/>
      <c r="AT186" s="1714"/>
      <c r="AU186" s="1714"/>
      <c r="AV186" s="1714"/>
      <c r="AW186" s="1714"/>
      <c r="AX186" s="1714"/>
      <c r="AY186" s="1714"/>
      <c r="AZ186" s="1714"/>
      <c r="BA186" s="1714"/>
      <c r="BB186" s="1714"/>
      <c r="BC186" s="1714"/>
      <c r="BD186" s="1714"/>
      <c r="BE186" s="1714"/>
      <c r="BF186" s="1714"/>
      <c r="BG186" s="1714"/>
      <c r="BH186" s="1714"/>
      <c r="BI186" s="1714"/>
      <c r="BJ186" s="1714"/>
      <c r="BK186" s="1714"/>
      <c r="BL186" s="1712"/>
      <c r="BM186" s="1712"/>
      <c r="BN186" s="1712"/>
    </row>
    <row r="187" spans="1:197" x14ac:dyDescent="0.25">
      <c r="A187" s="1712"/>
      <c r="B187" s="1712"/>
      <c r="C187" s="1712"/>
      <c r="D187" s="1712"/>
      <c r="E187" s="1712"/>
      <c r="F187" s="1712"/>
      <c r="G187" s="1712"/>
      <c r="H187" s="1712"/>
      <c r="I187" s="1712"/>
      <c r="J187" s="1712"/>
      <c r="K187" s="1712"/>
      <c r="L187" s="1712"/>
      <c r="M187" s="1712"/>
      <c r="N187" s="1712"/>
      <c r="O187" s="1712"/>
      <c r="P187" s="1712"/>
      <c r="Q187" s="1712"/>
      <c r="R187" s="1712"/>
      <c r="S187" s="1712"/>
      <c r="T187" s="1712"/>
      <c r="U187" s="1712"/>
      <c r="V187" s="1712"/>
      <c r="W187" s="1712"/>
      <c r="X187" s="1712"/>
      <c r="Y187" s="1712"/>
      <c r="Z187" s="1712"/>
      <c r="AA187" s="1712"/>
      <c r="AB187" s="1712"/>
      <c r="AC187" s="1712"/>
      <c r="AD187" s="1712"/>
      <c r="AE187" s="1712"/>
      <c r="AF187" s="1712"/>
      <c r="AG187" s="1712"/>
      <c r="AH187" s="1712"/>
      <c r="AI187" s="1712"/>
      <c r="AJ187" s="1712"/>
      <c r="AK187" s="1712"/>
      <c r="AL187" s="1712"/>
      <c r="AM187" s="1712"/>
      <c r="AN187" s="1712"/>
      <c r="AO187" s="1712"/>
      <c r="AP187" s="1712"/>
      <c r="AQ187" s="1712"/>
      <c r="AR187" s="1712"/>
      <c r="AS187" s="1712"/>
      <c r="AT187" s="1712"/>
      <c r="AU187" s="1712"/>
      <c r="AV187" s="1712"/>
      <c r="AW187" s="1712"/>
      <c r="AX187" s="1712"/>
      <c r="AY187" s="1712"/>
      <c r="AZ187" s="1712"/>
      <c r="BA187" s="1712"/>
      <c r="BB187" s="1712"/>
      <c r="BC187" s="1712"/>
      <c r="BD187" s="1712"/>
      <c r="BE187" s="1712"/>
      <c r="BF187" s="1712"/>
      <c r="BG187" s="1712"/>
      <c r="BH187" s="1712"/>
      <c r="BI187" s="1712"/>
      <c r="BJ187" s="1712"/>
      <c r="BK187" s="1712"/>
      <c r="BL187" s="1712"/>
      <c r="BM187" s="1712"/>
      <c r="BN187" s="1712"/>
      <c r="BO187" s="1712"/>
      <c r="BP187" s="1712"/>
      <c r="BQ187" s="1712"/>
      <c r="BR187" s="1712"/>
      <c r="BS187" s="1712"/>
      <c r="BT187" s="1712"/>
      <c r="BU187" s="1712"/>
      <c r="BV187" s="1712"/>
      <c r="BW187" s="1712"/>
      <c r="BX187" s="1712"/>
      <c r="BY187" s="1712"/>
      <c r="BZ187" s="1712"/>
      <c r="CA187" s="1712"/>
      <c r="CB187" s="1712"/>
      <c r="CC187" s="1712"/>
      <c r="CD187" s="1712"/>
      <c r="CE187" s="1712"/>
      <c r="CF187" s="1712"/>
    </row>
    <row r="188" spans="1:197" x14ac:dyDescent="0.25">
      <c r="A188" s="1712"/>
      <c r="B188" s="1712"/>
      <c r="C188" s="1712"/>
      <c r="D188" s="1712"/>
      <c r="E188" s="1712"/>
      <c r="F188" s="1712"/>
      <c r="G188" s="1712"/>
      <c r="H188" s="1712"/>
      <c r="I188" s="1712"/>
      <c r="J188" s="1712"/>
      <c r="K188" s="1712"/>
      <c r="L188" s="1712"/>
      <c r="M188" s="1712"/>
      <c r="N188" s="1712"/>
      <c r="O188" s="1712"/>
      <c r="P188" s="1712"/>
      <c r="Q188" s="1712"/>
      <c r="R188" s="1712"/>
      <c r="S188" s="1712"/>
      <c r="T188" s="1712"/>
      <c r="U188" s="1712"/>
      <c r="V188" s="1712"/>
      <c r="W188" s="1712"/>
      <c r="X188" s="1712"/>
      <c r="Y188" s="1712"/>
      <c r="Z188" s="1712"/>
      <c r="AA188" s="1712"/>
      <c r="AB188" s="1712"/>
      <c r="AC188" s="1712"/>
      <c r="AD188" s="1712"/>
      <c r="AE188" s="1712"/>
      <c r="AF188" s="1712"/>
      <c r="AG188" s="1712"/>
      <c r="AH188" s="1712"/>
      <c r="AI188" s="1712"/>
      <c r="AJ188" s="1712"/>
      <c r="AK188" s="1712"/>
      <c r="AL188" s="1712"/>
      <c r="AM188" s="1712"/>
      <c r="AN188" s="1712"/>
      <c r="AO188" s="1712"/>
      <c r="AP188" s="1712"/>
      <c r="AQ188" s="1712"/>
      <c r="AR188" s="1712"/>
      <c r="AS188" s="1712"/>
      <c r="AT188" s="1712"/>
      <c r="AU188" s="1712"/>
      <c r="AV188" s="1712"/>
      <c r="AW188" s="1712"/>
      <c r="AX188" s="1712"/>
      <c r="AY188" s="1712"/>
      <c r="AZ188" s="1712"/>
      <c r="BA188" s="1712"/>
      <c r="BB188" s="1712"/>
      <c r="BC188" s="1712"/>
      <c r="BD188" s="1712"/>
      <c r="BE188" s="1712"/>
      <c r="BF188" s="1712"/>
      <c r="BG188" s="1712"/>
      <c r="BH188" s="1712"/>
      <c r="BI188" s="1712"/>
      <c r="BJ188" s="1712"/>
      <c r="BK188" s="1712"/>
      <c r="BL188" s="1712"/>
      <c r="BM188" s="1712"/>
      <c r="BN188" s="1712"/>
      <c r="BO188" s="1712"/>
      <c r="BP188" s="1712"/>
      <c r="BQ188" s="1712"/>
      <c r="BR188" s="1712"/>
      <c r="BS188" s="1712"/>
      <c r="BT188" s="1712"/>
      <c r="BU188" s="1712"/>
      <c r="BV188" s="1712"/>
      <c r="BW188" s="1712"/>
      <c r="BX188" s="1712"/>
      <c r="BY188" s="1712"/>
      <c r="BZ188" s="1712"/>
      <c r="CA188" s="1712"/>
      <c r="CB188" s="1712"/>
      <c r="CC188" s="1712"/>
      <c r="CD188" s="1712"/>
      <c r="CE188" s="1712"/>
      <c r="CF188" s="1712"/>
    </row>
    <row r="191" spans="1:197" x14ac:dyDescent="0.25">
      <c r="A191" s="1714"/>
      <c r="B191" s="1714"/>
      <c r="C191" s="1714"/>
      <c r="D191" s="1714"/>
      <c r="E191" s="1714"/>
      <c r="F191" s="1714"/>
      <c r="G191" s="1714"/>
      <c r="H191" s="1714"/>
      <c r="I191" s="1714"/>
      <c r="J191" s="1714"/>
      <c r="K191" s="1714"/>
      <c r="L191" s="1714"/>
      <c r="M191" s="1714"/>
      <c r="N191" s="1714"/>
      <c r="O191" s="1714"/>
      <c r="P191" s="1714"/>
      <c r="Q191" s="1714"/>
      <c r="R191" s="1714"/>
      <c r="S191" s="1714"/>
      <c r="T191" s="1714"/>
      <c r="U191" s="1714"/>
      <c r="V191" s="1714"/>
      <c r="W191" s="1714"/>
      <c r="X191" s="1714"/>
      <c r="Y191" s="1714"/>
      <c r="Z191" s="1714"/>
      <c r="AA191" s="1714"/>
      <c r="AB191" s="1714"/>
      <c r="AC191" s="1714"/>
      <c r="AD191" s="1714"/>
      <c r="AE191" s="1714"/>
      <c r="AF191" s="1714"/>
      <c r="AG191" s="1714"/>
      <c r="AH191" s="1714"/>
      <c r="AI191" s="1714"/>
      <c r="AJ191" s="1714"/>
      <c r="AK191" s="1714"/>
      <c r="AL191" s="1714"/>
      <c r="AM191" s="1714"/>
      <c r="AN191" s="1714"/>
      <c r="AO191" s="1714"/>
      <c r="AP191" s="1714"/>
      <c r="AQ191" s="1714"/>
      <c r="AR191" s="1714"/>
      <c r="AS191" s="1714"/>
      <c r="AT191" s="1714"/>
      <c r="AU191" s="1714"/>
      <c r="AV191" s="1714"/>
      <c r="AW191" s="1714"/>
      <c r="AX191" s="1714"/>
      <c r="AY191" s="1714"/>
      <c r="AZ191" s="1714"/>
      <c r="BA191" s="1714"/>
      <c r="BB191" s="1714"/>
      <c r="BC191" s="1714"/>
      <c r="BD191" s="1714"/>
      <c r="BE191" s="1714"/>
      <c r="BF191" s="1714"/>
      <c r="BG191" s="1714"/>
      <c r="BH191" s="1714"/>
      <c r="BI191" s="1714"/>
      <c r="BJ191" s="1714"/>
      <c r="BK191" s="1714"/>
      <c r="BL191" s="1915"/>
      <c r="BM191" s="1915"/>
      <c r="BN191" s="1915"/>
      <c r="BO191" s="1915"/>
      <c r="BP191" s="1915"/>
      <c r="BQ191" s="1915"/>
      <c r="BR191" s="1915"/>
      <c r="BS191" s="1915"/>
      <c r="BT191" s="1915"/>
      <c r="BU191" s="1915"/>
      <c r="BV191" s="1915"/>
      <c r="BW191" s="1915"/>
      <c r="BX191" s="1915"/>
      <c r="BY191" s="1915"/>
      <c r="BZ191" s="1915"/>
      <c r="CA191" s="1915"/>
      <c r="CB191" s="1915"/>
      <c r="CC191" s="1915"/>
      <c r="CD191" s="1915"/>
      <c r="CE191" s="1915"/>
      <c r="CF191" s="1915"/>
      <c r="CG191" s="1915"/>
      <c r="CH191" s="1915"/>
      <c r="CI191" s="1915"/>
      <c r="CJ191" s="1915"/>
      <c r="CK191" s="1915"/>
      <c r="CL191" s="1915"/>
      <c r="CM191" s="1915"/>
      <c r="CN191" s="1915"/>
      <c r="CO191" s="1915"/>
      <c r="CP191" s="1915"/>
      <c r="CQ191" s="1915"/>
      <c r="CR191" s="1915"/>
      <c r="CS191" s="1915"/>
      <c r="CT191" s="1915"/>
      <c r="CU191" s="1915"/>
      <c r="CV191" s="1915"/>
      <c r="CW191" s="1915"/>
      <c r="CX191" s="1915"/>
      <c r="CY191" s="1915"/>
      <c r="CZ191" s="1915"/>
      <c r="DA191" s="1915"/>
      <c r="DB191" s="1915"/>
      <c r="DC191" s="1915"/>
      <c r="DD191" s="1915"/>
      <c r="DE191" s="1915"/>
      <c r="DF191" s="1915"/>
      <c r="DG191" s="1915"/>
      <c r="DH191" s="1915"/>
      <c r="DI191" s="1915"/>
      <c r="DJ191" s="1915"/>
      <c r="DK191" s="1915"/>
      <c r="DL191" s="1915"/>
      <c r="DM191" s="1915"/>
      <c r="DN191" s="1915"/>
      <c r="DO191" s="1915"/>
      <c r="DP191" s="1915"/>
      <c r="DQ191" s="1915"/>
      <c r="DR191" s="1915"/>
      <c r="DS191" s="1915"/>
      <c r="DT191" s="1915"/>
      <c r="DU191" s="1915"/>
      <c r="DV191" s="1915"/>
      <c r="DW191" s="1915"/>
      <c r="DX191" s="1915"/>
      <c r="DY191" s="1915"/>
      <c r="DZ191" s="1915"/>
      <c r="EA191" s="1915"/>
      <c r="EB191" s="1915"/>
      <c r="EC191" s="1915"/>
      <c r="ED191" s="1915"/>
      <c r="EE191" s="1915"/>
      <c r="EF191" s="1915"/>
      <c r="EG191" s="1915"/>
      <c r="EH191" s="1915"/>
      <c r="EI191" s="1915"/>
      <c r="EJ191" s="1915"/>
      <c r="EK191" s="1915"/>
      <c r="EL191" s="1915"/>
      <c r="EM191" s="1915"/>
      <c r="EN191" s="1915"/>
      <c r="EO191" s="1915"/>
      <c r="EP191" s="1915"/>
      <c r="EQ191" s="1915"/>
      <c r="ER191" s="1915"/>
      <c r="ES191" s="1915"/>
      <c r="ET191" s="1915"/>
      <c r="EU191" s="1915"/>
      <c r="EV191" s="1915"/>
      <c r="EW191" s="1915"/>
      <c r="EX191" s="1915"/>
      <c r="EY191" s="1915"/>
      <c r="EZ191" s="1915"/>
      <c r="FA191" s="1915"/>
      <c r="FB191" s="1915"/>
      <c r="FC191" s="1915"/>
      <c r="FD191" s="1915"/>
      <c r="FE191" s="1915"/>
      <c r="FF191" s="1915"/>
      <c r="FG191" s="1915"/>
      <c r="FH191" s="1915"/>
      <c r="FI191" s="1915"/>
      <c r="FJ191" s="1915"/>
      <c r="FK191" s="1915"/>
      <c r="FL191" s="1915"/>
      <c r="FM191" s="1915"/>
      <c r="FN191" s="1915"/>
      <c r="FO191" s="1915"/>
      <c r="FP191" s="1915"/>
      <c r="FQ191" s="1915"/>
      <c r="FR191" s="1915"/>
      <c r="FS191" s="1915"/>
      <c r="FT191" s="1915"/>
      <c r="FU191" s="1915"/>
      <c r="FV191" s="1915"/>
      <c r="FW191" s="1915"/>
      <c r="FX191" s="1915"/>
      <c r="FY191" s="1915"/>
      <c r="FZ191" s="1915"/>
      <c r="GA191" s="1915"/>
      <c r="GB191" s="1915"/>
      <c r="GC191" s="1915"/>
      <c r="GD191" s="1915"/>
      <c r="GE191" s="1915"/>
      <c r="GF191" s="1915"/>
      <c r="GG191" s="1915"/>
      <c r="GH191" s="1915"/>
      <c r="GI191" s="1915"/>
      <c r="GJ191" s="1915"/>
      <c r="GK191" s="1915"/>
      <c r="GL191" s="1915"/>
      <c r="GM191" s="1915"/>
      <c r="GN191" s="1915"/>
      <c r="GO191" s="1915"/>
    </row>
    <row r="192" spans="1:197" x14ac:dyDescent="0.25">
      <c r="A192" s="1714"/>
      <c r="B192" s="1714"/>
      <c r="C192" s="1714"/>
      <c r="D192" s="1714"/>
      <c r="E192" s="1714"/>
      <c r="F192" s="1714"/>
      <c r="G192" s="1714"/>
      <c r="H192" s="1714"/>
      <c r="I192" s="1714"/>
      <c r="J192" s="1714"/>
      <c r="K192" s="1714"/>
      <c r="L192" s="1714"/>
      <c r="M192" s="1714"/>
      <c r="N192" s="1714"/>
      <c r="O192" s="1714"/>
      <c r="P192" s="1714"/>
      <c r="Q192" s="1714"/>
      <c r="R192" s="1714"/>
      <c r="S192" s="1714"/>
      <c r="T192" s="1714"/>
      <c r="U192" s="1714"/>
      <c r="V192" s="1714"/>
      <c r="W192" s="1714"/>
      <c r="X192" s="1714"/>
      <c r="Y192" s="1714"/>
      <c r="Z192" s="1714"/>
      <c r="AA192" s="1714"/>
      <c r="AB192" s="1714"/>
      <c r="AC192" s="1714"/>
      <c r="AD192" s="1714"/>
      <c r="AE192" s="1714"/>
      <c r="AF192" s="1714"/>
      <c r="AG192" s="1714"/>
      <c r="AH192" s="1714"/>
      <c r="AI192" s="1714"/>
      <c r="AJ192" s="1714"/>
      <c r="AK192" s="1714"/>
      <c r="AL192" s="1714"/>
      <c r="AM192" s="1714"/>
      <c r="AN192" s="1714"/>
      <c r="AO192" s="1714"/>
      <c r="AP192" s="1714"/>
      <c r="AQ192" s="1714"/>
      <c r="AR192" s="1714"/>
      <c r="AS192" s="1714"/>
      <c r="AT192" s="1714"/>
      <c r="AU192" s="1714"/>
      <c r="AV192" s="1714"/>
      <c r="AW192" s="1714"/>
      <c r="AX192" s="1714"/>
      <c r="AY192" s="1714"/>
      <c r="AZ192" s="1714"/>
      <c r="BA192" s="1714"/>
      <c r="BB192" s="1714"/>
      <c r="BC192" s="1714"/>
      <c r="BD192" s="1714"/>
      <c r="BE192" s="1714"/>
      <c r="BF192" s="1714"/>
      <c r="BG192" s="1714"/>
      <c r="BH192" s="1714"/>
      <c r="BI192" s="1714"/>
      <c r="BJ192" s="1714"/>
      <c r="BK192" s="1714"/>
      <c r="BL192" s="1915"/>
      <c r="BM192" s="1915"/>
      <c r="BN192" s="1915"/>
      <c r="BO192" s="1915"/>
      <c r="BP192" s="1915"/>
      <c r="BQ192" s="1915"/>
      <c r="BR192" s="1915"/>
      <c r="BS192" s="1915"/>
      <c r="BT192" s="1915"/>
      <c r="BU192" s="1915"/>
      <c r="BV192" s="1915"/>
      <c r="BW192" s="1915"/>
      <c r="BX192" s="1915"/>
      <c r="BY192" s="1915"/>
      <c r="BZ192" s="1915"/>
      <c r="CA192" s="1915"/>
      <c r="CB192" s="1915"/>
      <c r="CC192" s="1915"/>
      <c r="CD192" s="1915"/>
      <c r="CE192" s="1915"/>
      <c r="CF192" s="1915"/>
      <c r="CG192" s="1915"/>
      <c r="CH192" s="1915"/>
      <c r="CI192" s="1915"/>
      <c r="CJ192" s="1915"/>
      <c r="CK192" s="1915"/>
      <c r="CL192" s="1915"/>
      <c r="CM192" s="1915"/>
      <c r="CN192" s="1915"/>
      <c r="CO192" s="1915"/>
      <c r="CP192" s="1915"/>
      <c r="CQ192" s="1915"/>
      <c r="CR192" s="1915"/>
      <c r="CS192" s="1915"/>
      <c r="CT192" s="1915"/>
      <c r="CU192" s="1915"/>
      <c r="CV192" s="1915"/>
      <c r="CW192" s="1915"/>
      <c r="CX192" s="1915"/>
      <c r="CY192" s="1915"/>
      <c r="CZ192" s="1915"/>
      <c r="DA192" s="1915"/>
      <c r="DB192" s="1915"/>
      <c r="DC192" s="1915"/>
      <c r="DD192" s="1915"/>
      <c r="DE192" s="1915"/>
      <c r="DF192" s="1915"/>
      <c r="DG192" s="1915"/>
      <c r="DH192" s="1915"/>
      <c r="DI192" s="1915"/>
      <c r="DJ192" s="1915"/>
      <c r="DK192" s="1915"/>
      <c r="DL192" s="1915"/>
      <c r="DM192" s="1915"/>
      <c r="DN192" s="1915"/>
      <c r="DO192" s="1915"/>
      <c r="DP192" s="1915"/>
      <c r="DQ192" s="1915"/>
      <c r="DR192" s="1915"/>
      <c r="DS192" s="1915"/>
      <c r="DT192" s="1915"/>
      <c r="DU192" s="1915"/>
      <c r="DV192" s="1915"/>
      <c r="DW192" s="1915"/>
      <c r="DX192" s="1915"/>
      <c r="DY192" s="1915"/>
      <c r="DZ192" s="1915"/>
      <c r="EA192" s="1915"/>
      <c r="EB192" s="1915"/>
      <c r="EC192" s="1915"/>
      <c r="ED192" s="1915"/>
      <c r="EE192" s="1915"/>
      <c r="EF192" s="1915"/>
      <c r="EG192" s="1915"/>
      <c r="EH192" s="1915"/>
      <c r="EI192" s="1915"/>
      <c r="EJ192" s="1915"/>
      <c r="EK192" s="1915"/>
      <c r="EL192" s="1915"/>
      <c r="EM192" s="1915"/>
      <c r="EN192" s="1915"/>
      <c r="EO192" s="1915"/>
      <c r="EP192" s="1915"/>
      <c r="EQ192" s="1915"/>
      <c r="ER192" s="1915"/>
      <c r="ES192" s="1915"/>
      <c r="ET192" s="1915"/>
      <c r="EU192" s="1915"/>
      <c r="EV192" s="1915"/>
      <c r="EW192" s="1915"/>
      <c r="EX192" s="1915"/>
      <c r="EY192" s="1915"/>
      <c r="EZ192" s="1915"/>
      <c r="FA192" s="1915"/>
      <c r="FB192" s="1915"/>
      <c r="FC192" s="1915"/>
      <c r="FD192" s="1915"/>
      <c r="FE192" s="1915"/>
      <c r="FF192" s="1915"/>
      <c r="FG192" s="1915"/>
      <c r="FH192" s="1915"/>
      <c r="FI192" s="1915"/>
      <c r="FJ192" s="1915"/>
      <c r="FK192" s="1915"/>
      <c r="FL192" s="1915"/>
      <c r="FM192" s="1915"/>
      <c r="FN192" s="1915"/>
      <c r="FO192" s="1915"/>
      <c r="FP192" s="1915"/>
      <c r="FQ192" s="1915"/>
      <c r="FR192" s="1915"/>
      <c r="FS192" s="1915"/>
      <c r="FT192" s="1915"/>
      <c r="FU192" s="1915"/>
      <c r="FV192" s="1915"/>
      <c r="FW192" s="1915"/>
      <c r="FX192" s="1915"/>
      <c r="FY192" s="1915"/>
      <c r="FZ192" s="1915"/>
      <c r="GA192" s="1915"/>
      <c r="GB192" s="1915"/>
      <c r="GC192" s="1915"/>
      <c r="GD192" s="1915"/>
      <c r="GE192" s="1915"/>
      <c r="GF192" s="1915"/>
      <c r="GG192" s="1915"/>
      <c r="GH192" s="1915"/>
      <c r="GI192" s="1915"/>
      <c r="GJ192" s="1915"/>
      <c r="GK192" s="1915"/>
      <c r="GL192" s="1915"/>
      <c r="GM192" s="1915"/>
      <c r="GN192" s="1915"/>
      <c r="GO192" s="1915"/>
    </row>
    <row r="193" spans="1:197" x14ac:dyDescent="0.25">
      <c r="A193" s="1915"/>
      <c r="B193" s="1915"/>
      <c r="C193" s="1915"/>
      <c r="D193" s="1915"/>
      <c r="E193" s="1915"/>
      <c r="F193" s="1915"/>
      <c r="G193" s="1915"/>
      <c r="H193" s="1915"/>
      <c r="I193" s="1915"/>
      <c r="J193" s="1915"/>
      <c r="K193" s="1915"/>
      <c r="L193" s="1915"/>
      <c r="M193" s="1915"/>
      <c r="N193" s="1915"/>
      <c r="O193" s="1915"/>
      <c r="P193" s="1915"/>
      <c r="Q193" s="1915"/>
      <c r="R193" s="1915"/>
      <c r="S193" s="1915"/>
      <c r="T193" s="1915"/>
      <c r="U193" s="1915"/>
      <c r="V193" s="1915"/>
      <c r="W193" s="1915"/>
      <c r="X193" s="1915"/>
      <c r="Y193" s="1915"/>
      <c r="Z193" s="1915"/>
      <c r="AA193" s="1915"/>
      <c r="AB193" s="1915"/>
      <c r="AC193" s="1915"/>
      <c r="AD193" s="1915"/>
      <c r="AE193" s="1915"/>
      <c r="AF193" s="1915"/>
      <c r="AG193" s="1915"/>
      <c r="AH193" s="1915"/>
      <c r="AI193" s="1915"/>
      <c r="AJ193" s="1915"/>
      <c r="AK193" s="1915"/>
      <c r="AL193" s="1915"/>
      <c r="AM193" s="1915"/>
      <c r="AN193" s="1915"/>
      <c r="AO193" s="1915"/>
      <c r="AP193" s="1915"/>
      <c r="AQ193" s="1915"/>
      <c r="AR193" s="1915"/>
      <c r="AS193" s="1915"/>
      <c r="AT193" s="1915"/>
      <c r="AU193" s="1915"/>
      <c r="AV193" s="1915"/>
      <c r="AW193" s="1915"/>
      <c r="AX193" s="1915"/>
      <c r="AY193" s="1915"/>
      <c r="AZ193" s="1915"/>
      <c r="BA193" s="1915"/>
      <c r="BB193" s="1915"/>
      <c r="BC193" s="1915"/>
      <c r="BD193" s="1915"/>
      <c r="BE193" s="1915"/>
      <c r="BF193" s="1915"/>
      <c r="BG193" s="1915"/>
      <c r="BH193" s="1915"/>
      <c r="BI193" s="1915"/>
      <c r="BJ193" s="1915"/>
      <c r="BK193" s="1915"/>
      <c r="BL193" s="1915"/>
      <c r="BM193" s="1915"/>
      <c r="BN193" s="1915"/>
      <c r="BO193" s="1915"/>
      <c r="BP193" s="1915"/>
      <c r="BQ193" s="1915"/>
      <c r="BR193" s="1915"/>
      <c r="BS193" s="1915"/>
      <c r="BT193" s="1915"/>
      <c r="BU193" s="1915"/>
      <c r="BV193" s="1915"/>
      <c r="BW193" s="1915"/>
      <c r="BX193" s="1915"/>
      <c r="BY193" s="1915"/>
      <c r="BZ193" s="1915"/>
      <c r="CA193" s="1915"/>
      <c r="CB193" s="1915"/>
      <c r="CC193" s="1915"/>
      <c r="CD193" s="1915"/>
      <c r="CE193" s="1915"/>
      <c r="CF193" s="1915"/>
      <c r="CG193" s="1915"/>
      <c r="CH193" s="1915"/>
      <c r="CI193" s="1915"/>
      <c r="CJ193" s="1915"/>
      <c r="CK193" s="1915"/>
      <c r="CL193" s="1915"/>
      <c r="CM193" s="1915"/>
      <c r="CN193" s="1915"/>
      <c r="CO193" s="1915"/>
      <c r="CP193" s="1915"/>
      <c r="CQ193" s="1915"/>
      <c r="CR193" s="1915"/>
      <c r="CS193" s="1915"/>
      <c r="CT193" s="1915"/>
      <c r="CU193" s="1915"/>
      <c r="CV193" s="1915"/>
      <c r="CW193" s="1915"/>
      <c r="CX193" s="1915"/>
      <c r="CY193" s="1915"/>
      <c r="CZ193" s="1915"/>
      <c r="DA193" s="1915"/>
      <c r="DB193" s="1915"/>
      <c r="DC193" s="1915"/>
      <c r="DD193" s="1915"/>
      <c r="DE193" s="1915"/>
      <c r="DF193" s="1915"/>
      <c r="DG193" s="1915"/>
      <c r="DH193" s="1915"/>
      <c r="DI193" s="1915"/>
      <c r="DJ193" s="1915"/>
      <c r="DK193" s="1915"/>
      <c r="DL193" s="1915"/>
      <c r="DM193" s="1915"/>
      <c r="DN193" s="1915"/>
      <c r="DO193" s="1915"/>
      <c r="DP193" s="1915"/>
      <c r="DQ193" s="1915"/>
      <c r="DR193" s="1915"/>
      <c r="DS193" s="1915"/>
      <c r="DT193" s="1915"/>
      <c r="DU193" s="1915"/>
      <c r="DV193" s="1915"/>
      <c r="DW193" s="1915"/>
      <c r="DX193" s="1915"/>
      <c r="DY193" s="1915"/>
      <c r="DZ193" s="1915"/>
      <c r="EA193" s="1915"/>
      <c r="EB193" s="1915"/>
      <c r="EC193" s="1915"/>
      <c r="ED193" s="1915"/>
      <c r="EE193" s="1915"/>
      <c r="EF193" s="1915"/>
      <c r="EG193" s="1915"/>
      <c r="EH193" s="1915"/>
      <c r="EI193" s="1915"/>
      <c r="EJ193" s="1915"/>
      <c r="EK193" s="1915"/>
      <c r="EL193" s="1915"/>
      <c r="EM193" s="1915"/>
      <c r="EN193" s="1915"/>
      <c r="EO193" s="1915"/>
      <c r="EP193" s="1915"/>
      <c r="EQ193" s="1915"/>
      <c r="ER193" s="1915"/>
      <c r="ES193" s="1915"/>
      <c r="ET193" s="1915"/>
      <c r="EU193" s="1915"/>
      <c r="EV193" s="1915"/>
      <c r="EW193" s="1915"/>
      <c r="EX193" s="1915"/>
      <c r="EY193" s="1915"/>
      <c r="EZ193" s="1915"/>
      <c r="FA193" s="1915"/>
      <c r="FB193" s="1915"/>
      <c r="FC193" s="1915"/>
      <c r="FD193" s="1915"/>
      <c r="FE193" s="1915"/>
      <c r="FF193" s="1915"/>
      <c r="FG193" s="1915"/>
      <c r="FH193" s="1915"/>
      <c r="FI193" s="1915"/>
      <c r="FJ193" s="1915"/>
      <c r="FK193" s="1915"/>
      <c r="FL193" s="1915"/>
      <c r="FM193" s="1915"/>
      <c r="FN193" s="1915"/>
      <c r="FO193" s="1915"/>
      <c r="FP193" s="1915"/>
      <c r="FQ193" s="1915"/>
      <c r="FR193" s="1915"/>
      <c r="FS193" s="1915"/>
      <c r="FT193" s="1915"/>
      <c r="FU193" s="1915"/>
      <c r="FV193" s="1915"/>
      <c r="FW193" s="1915"/>
      <c r="FX193" s="1915"/>
      <c r="FY193" s="1915"/>
      <c r="FZ193" s="1915"/>
      <c r="GA193" s="1915"/>
      <c r="GB193" s="1915"/>
      <c r="GC193" s="1915"/>
      <c r="GD193" s="1915"/>
      <c r="GE193" s="1915"/>
      <c r="GF193" s="1915"/>
      <c r="GG193" s="1915"/>
      <c r="GH193" s="1915"/>
      <c r="GI193" s="1915"/>
      <c r="GJ193" s="1915"/>
      <c r="GK193" s="1915"/>
      <c r="GL193" s="1915"/>
      <c r="GM193" s="1915"/>
      <c r="GN193" s="1915"/>
      <c r="GO193" s="1915"/>
    </row>
    <row r="194" spans="1:197" x14ac:dyDescent="0.25">
      <c r="A194" s="1915"/>
      <c r="B194" s="1915"/>
      <c r="C194" s="1915"/>
      <c r="D194" s="1915"/>
      <c r="E194" s="1915"/>
      <c r="F194" s="1915"/>
      <c r="G194" s="1915"/>
      <c r="H194" s="1915"/>
      <c r="I194" s="1915"/>
      <c r="J194" s="1915"/>
      <c r="K194" s="1915"/>
      <c r="L194" s="1915"/>
      <c r="M194" s="1915"/>
      <c r="N194" s="1915"/>
      <c r="O194" s="1915"/>
      <c r="P194" s="1915"/>
      <c r="Q194" s="1915"/>
      <c r="R194" s="1915"/>
      <c r="S194" s="1915"/>
      <c r="T194" s="1915"/>
      <c r="U194" s="1915"/>
      <c r="V194" s="1915"/>
      <c r="W194" s="1915"/>
      <c r="X194" s="1915"/>
      <c r="Y194" s="1915"/>
      <c r="Z194" s="1915"/>
      <c r="AA194" s="1915"/>
      <c r="AB194" s="1915"/>
      <c r="AC194" s="1915"/>
      <c r="AD194" s="1915"/>
      <c r="AE194" s="1915"/>
      <c r="AF194" s="1915"/>
      <c r="AG194" s="1915"/>
      <c r="AH194" s="1915"/>
      <c r="AI194" s="1915"/>
      <c r="AJ194" s="1915"/>
      <c r="AK194" s="1915"/>
      <c r="AL194" s="1915"/>
      <c r="AM194" s="1915"/>
      <c r="AN194" s="1915"/>
      <c r="AO194" s="1915"/>
      <c r="AP194" s="1915"/>
      <c r="AQ194" s="1915"/>
      <c r="AR194" s="1915"/>
      <c r="AS194" s="1915"/>
      <c r="AT194" s="1915"/>
      <c r="AU194" s="1915"/>
      <c r="AV194" s="1915"/>
      <c r="AW194" s="1915"/>
      <c r="AX194" s="1915"/>
      <c r="AY194" s="1915"/>
      <c r="AZ194" s="1915"/>
      <c r="BA194" s="1915"/>
      <c r="BB194" s="1915"/>
      <c r="BC194" s="1915"/>
      <c r="BD194" s="1915"/>
      <c r="BE194" s="1915"/>
      <c r="BF194" s="1915"/>
      <c r="BG194" s="1915"/>
      <c r="BH194" s="1915"/>
      <c r="BI194" s="1915"/>
      <c r="BJ194" s="1915"/>
      <c r="BK194" s="1915"/>
      <c r="BL194" s="1915"/>
      <c r="BM194" s="1915"/>
      <c r="BN194" s="1915"/>
      <c r="BO194" s="1915"/>
      <c r="BP194" s="1915"/>
      <c r="BQ194" s="1915"/>
      <c r="BR194" s="1915"/>
      <c r="BS194" s="1915"/>
      <c r="BT194" s="1915"/>
      <c r="BU194" s="1915"/>
      <c r="BV194" s="1915"/>
      <c r="BW194" s="1915"/>
      <c r="BX194" s="1915"/>
      <c r="BY194" s="1915"/>
      <c r="BZ194" s="1915"/>
      <c r="CA194" s="1915"/>
      <c r="CB194" s="1915"/>
      <c r="CC194" s="1915"/>
      <c r="CD194" s="1915"/>
      <c r="CE194" s="1915"/>
      <c r="CF194" s="1915"/>
      <c r="CG194" s="1915"/>
      <c r="CH194" s="1915"/>
      <c r="CI194" s="1915"/>
      <c r="CJ194" s="1915"/>
      <c r="CK194" s="1915"/>
      <c r="CL194" s="1915"/>
      <c r="CM194" s="1915"/>
      <c r="CN194" s="1915"/>
      <c r="CO194" s="1915"/>
      <c r="CP194" s="1915"/>
      <c r="CQ194" s="1915"/>
      <c r="CR194" s="1915"/>
      <c r="CS194" s="1915"/>
      <c r="CT194" s="1915"/>
      <c r="CU194" s="1915"/>
      <c r="CV194" s="1915"/>
      <c r="CW194" s="1915"/>
      <c r="CX194" s="1915"/>
      <c r="CY194" s="1915"/>
      <c r="CZ194" s="1915"/>
      <c r="DA194" s="1915"/>
      <c r="DB194" s="1915"/>
      <c r="DC194" s="1915"/>
      <c r="DD194" s="1915"/>
      <c r="DE194" s="1915"/>
      <c r="DF194" s="1915"/>
      <c r="DG194" s="1915"/>
      <c r="DH194" s="1915"/>
      <c r="DI194" s="1915"/>
      <c r="DJ194" s="1915"/>
      <c r="DK194" s="1915"/>
      <c r="DL194" s="1915"/>
      <c r="DM194" s="1915"/>
      <c r="DN194" s="1915"/>
      <c r="DO194" s="1915"/>
      <c r="DP194" s="1915"/>
      <c r="DQ194" s="1915"/>
      <c r="DR194" s="1915"/>
      <c r="DS194" s="1915"/>
      <c r="DT194" s="1915"/>
      <c r="DU194" s="1915"/>
      <c r="DV194" s="1915"/>
      <c r="DW194" s="1915"/>
      <c r="DX194" s="1915"/>
      <c r="DY194" s="1915"/>
      <c r="DZ194" s="1915"/>
      <c r="EA194" s="1915"/>
      <c r="EB194" s="1915"/>
      <c r="EC194" s="1915"/>
      <c r="ED194" s="1915"/>
      <c r="EE194" s="1915"/>
      <c r="EF194" s="1915"/>
      <c r="EG194" s="1915"/>
      <c r="EH194" s="1915"/>
      <c r="EI194" s="1915"/>
      <c r="EJ194" s="1915"/>
      <c r="EK194" s="1915"/>
      <c r="EL194" s="1915"/>
      <c r="EM194" s="1915"/>
      <c r="EN194" s="1915"/>
      <c r="EO194" s="1915"/>
      <c r="EP194" s="1915"/>
      <c r="EQ194" s="1915"/>
      <c r="ER194" s="1915"/>
      <c r="ES194" s="1915"/>
      <c r="ET194" s="1915"/>
      <c r="EU194" s="1915"/>
      <c r="EV194" s="1915"/>
      <c r="EW194" s="1915"/>
      <c r="EX194" s="1915"/>
      <c r="EY194" s="1915"/>
      <c r="EZ194" s="1915"/>
      <c r="FA194" s="1915"/>
      <c r="FB194" s="1915"/>
      <c r="FC194" s="1915"/>
      <c r="FD194" s="1915"/>
      <c r="FE194" s="1915"/>
      <c r="FF194" s="1915"/>
      <c r="FG194" s="1915"/>
      <c r="FH194" s="1915"/>
      <c r="FI194" s="1915"/>
      <c r="FJ194" s="1915"/>
      <c r="FK194" s="1915"/>
      <c r="FL194" s="1915"/>
      <c r="FM194" s="1915"/>
      <c r="FN194" s="1915"/>
      <c r="FO194" s="1915"/>
      <c r="FP194" s="1915"/>
      <c r="FQ194" s="1915"/>
      <c r="FR194" s="1915"/>
      <c r="FS194" s="1915"/>
      <c r="FT194" s="1915"/>
      <c r="FU194" s="1915"/>
      <c r="FV194" s="1915"/>
      <c r="FW194" s="1915"/>
      <c r="FX194" s="1915"/>
      <c r="FY194" s="1915"/>
      <c r="FZ194" s="1915"/>
      <c r="GA194" s="1915"/>
      <c r="GB194" s="1915"/>
      <c r="GC194" s="1915"/>
      <c r="GD194" s="1915"/>
      <c r="GE194" s="1915"/>
      <c r="GF194" s="1915"/>
      <c r="GG194" s="1915"/>
      <c r="GH194" s="1915"/>
      <c r="GI194" s="1915"/>
      <c r="GJ194" s="1915"/>
      <c r="GK194" s="1915"/>
      <c r="GL194" s="1915"/>
      <c r="GM194" s="1915"/>
      <c r="GN194" s="1915"/>
      <c r="GO194" s="1915"/>
    </row>
    <row r="195" spans="1:197" x14ac:dyDescent="0.25">
      <c r="A195" s="1915"/>
      <c r="B195" s="1915"/>
      <c r="C195" s="1915"/>
      <c r="D195" s="1915"/>
      <c r="E195" s="1915"/>
      <c r="F195" s="1915"/>
      <c r="G195" s="1915"/>
      <c r="H195" s="1915"/>
      <c r="I195" s="1915"/>
      <c r="J195" s="1915"/>
      <c r="K195" s="1915"/>
      <c r="L195" s="1915"/>
      <c r="M195" s="1915"/>
      <c r="N195" s="1915"/>
      <c r="O195" s="1915"/>
      <c r="P195" s="1915"/>
      <c r="Q195" s="1915"/>
      <c r="R195" s="1915"/>
      <c r="S195" s="1915"/>
      <c r="T195" s="1915"/>
      <c r="U195" s="1915"/>
      <c r="V195" s="1915"/>
      <c r="W195" s="1915"/>
      <c r="X195" s="1915"/>
      <c r="Y195" s="1915"/>
      <c r="Z195" s="1915"/>
      <c r="AA195" s="1915"/>
      <c r="AB195" s="1915"/>
      <c r="AC195" s="1915"/>
      <c r="AD195" s="1915"/>
      <c r="AE195" s="1915"/>
      <c r="AF195" s="1915"/>
      <c r="AG195" s="1915"/>
      <c r="AH195" s="1915"/>
      <c r="AI195" s="1915"/>
      <c r="AJ195" s="1915"/>
      <c r="AK195" s="1915"/>
      <c r="AL195" s="1915"/>
      <c r="AM195" s="1915"/>
      <c r="AN195" s="1915"/>
      <c r="AO195" s="1915"/>
      <c r="AP195" s="1915"/>
      <c r="AQ195" s="1915"/>
      <c r="AR195" s="1915"/>
      <c r="AS195" s="1915"/>
      <c r="AT195" s="1915"/>
      <c r="AU195" s="1915"/>
      <c r="AV195" s="1915"/>
      <c r="AW195" s="1915"/>
      <c r="AX195" s="1915"/>
      <c r="AY195" s="1915"/>
      <c r="AZ195" s="1915"/>
      <c r="BA195" s="1915"/>
      <c r="BB195" s="1915"/>
      <c r="BC195" s="1915"/>
      <c r="BD195" s="1915"/>
      <c r="BE195" s="1915"/>
      <c r="BF195" s="1915"/>
      <c r="BG195" s="1915"/>
      <c r="BH195" s="1915"/>
      <c r="BI195" s="1915"/>
      <c r="BJ195" s="1915"/>
      <c r="BK195" s="1915"/>
      <c r="BL195" s="1915"/>
      <c r="BM195" s="1915"/>
      <c r="BN195" s="1915"/>
      <c r="BO195" s="1915"/>
      <c r="BP195" s="1915"/>
      <c r="BQ195" s="1915"/>
      <c r="BR195" s="1915"/>
      <c r="BS195" s="1915"/>
      <c r="BT195" s="1915"/>
      <c r="BU195" s="1915"/>
      <c r="BV195" s="1915"/>
      <c r="BW195" s="1915"/>
      <c r="BX195" s="1915"/>
      <c r="BY195" s="1915"/>
      <c r="BZ195" s="1915"/>
      <c r="CA195" s="1915"/>
      <c r="CB195" s="1915"/>
      <c r="CC195" s="1915"/>
      <c r="CD195" s="1915"/>
      <c r="CE195" s="1915"/>
      <c r="CF195" s="1915"/>
      <c r="CG195" s="1915"/>
      <c r="CH195" s="1915"/>
      <c r="CI195" s="1915"/>
      <c r="CJ195" s="1915"/>
      <c r="CK195" s="1915"/>
      <c r="CL195" s="1915"/>
      <c r="CM195" s="1915"/>
      <c r="CN195" s="1915"/>
      <c r="CO195" s="1915"/>
      <c r="CP195" s="1915"/>
      <c r="CQ195" s="1915"/>
      <c r="CR195" s="1915"/>
      <c r="CS195" s="1915"/>
      <c r="CT195" s="1915"/>
      <c r="CU195" s="1915"/>
      <c r="CV195" s="1915"/>
      <c r="CW195" s="1915"/>
      <c r="CX195" s="1915"/>
      <c r="CY195" s="1915"/>
      <c r="CZ195" s="1915"/>
      <c r="DA195" s="1915"/>
      <c r="DB195" s="1915"/>
      <c r="DC195" s="1915"/>
      <c r="DD195" s="1915"/>
      <c r="DE195" s="1915"/>
      <c r="DF195" s="1915"/>
      <c r="DG195" s="1915"/>
      <c r="DH195" s="1915"/>
      <c r="DI195" s="1915"/>
      <c r="DJ195" s="1915"/>
      <c r="DK195" s="1915"/>
      <c r="DL195" s="1915"/>
      <c r="DM195" s="1915"/>
      <c r="DN195" s="1915"/>
      <c r="DO195" s="1915"/>
      <c r="DP195" s="1915"/>
      <c r="DQ195" s="1915"/>
      <c r="DR195" s="1915"/>
      <c r="DS195" s="1915"/>
      <c r="DT195" s="1915"/>
      <c r="DU195" s="1915"/>
      <c r="DV195" s="1915"/>
      <c r="DW195" s="1915"/>
      <c r="DX195" s="1915"/>
      <c r="DY195" s="1915"/>
      <c r="DZ195" s="1915"/>
      <c r="EA195" s="1915"/>
      <c r="EB195" s="1915"/>
      <c r="EC195" s="1915"/>
      <c r="ED195" s="1915"/>
      <c r="EE195" s="1915"/>
      <c r="EF195" s="1915"/>
      <c r="EG195" s="1915"/>
      <c r="EH195" s="1915"/>
      <c r="EI195" s="1915"/>
      <c r="EJ195" s="1915"/>
      <c r="EK195" s="1915"/>
      <c r="EL195" s="1915"/>
      <c r="EM195" s="1915"/>
      <c r="EN195" s="1915"/>
      <c r="EO195" s="1915"/>
      <c r="EP195" s="1915"/>
      <c r="EQ195" s="1915"/>
      <c r="ER195" s="1915"/>
      <c r="ES195" s="1915"/>
      <c r="ET195" s="1915"/>
      <c r="EU195" s="1915"/>
      <c r="EV195" s="1915"/>
      <c r="EW195" s="1915"/>
      <c r="EX195" s="1915"/>
      <c r="EY195" s="1915"/>
      <c r="EZ195" s="1915"/>
      <c r="FA195" s="1915"/>
      <c r="FB195" s="1915"/>
      <c r="FC195" s="1915"/>
      <c r="FD195" s="1915"/>
      <c r="FE195" s="1915"/>
      <c r="FF195" s="1915"/>
      <c r="FG195" s="1915"/>
      <c r="FH195" s="1915"/>
      <c r="FI195" s="1915"/>
      <c r="FJ195" s="1915"/>
      <c r="FK195" s="1915"/>
      <c r="FL195" s="1915"/>
      <c r="FM195" s="1915"/>
      <c r="FN195" s="1915"/>
      <c r="FO195" s="1915"/>
      <c r="FP195" s="1915"/>
      <c r="FQ195" s="1915"/>
      <c r="FR195" s="1915"/>
      <c r="FS195" s="1915"/>
      <c r="FT195" s="1915"/>
      <c r="FU195" s="1915"/>
      <c r="FV195" s="1915"/>
      <c r="FW195" s="1915"/>
      <c r="FX195" s="1915"/>
      <c r="FY195" s="1915"/>
      <c r="FZ195" s="1915"/>
      <c r="GA195" s="1915"/>
      <c r="GB195" s="1915"/>
      <c r="GC195" s="1915"/>
      <c r="GD195" s="1915"/>
      <c r="GE195" s="1915"/>
      <c r="GF195" s="1915"/>
      <c r="GG195" s="1915"/>
      <c r="GH195" s="1915"/>
      <c r="GI195" s="1915"/>
      <c r="GJ195" s="1915"/>
      <c r="GK195" s="1915"/>
      <c r="GL195" s="1915"/>
      <c r="GM195" s="1915"/>
      <c r="GN195" s="1915"/>
      <c r="GO195" s="1915"/>
    </row>
    <row r="196" spans="1:197" x14ac:dyDescent="0.25">
      <c r="A196" s="1915"/>
      <c r="B196" s="1915"/>
      <c r="C196" s="1915"/>
      <c r="D196" s="1915"/>
      <c r="E196" s="1915"/>
      <c r="F196" s="1915"/>
      <c r="G196" s="1915"/>
      <c r="H196" s="1915"/>
      <c r="I196" s="1915"/>
      <c r="J196" s="1915"/>
      <c r="K196" s="1915"/>
      <c r="L196" s="1915"/>
      <c r="M196" s="1915"/>
      <c r="N196" s="1915"/>
      <c r="O196" s="1915"/>
      <c r="P196" s="1915"/>
      <c r="Q196" s="1915"/>
      <c r="R196" s="1915"/>
      <c r="S196" s="1915"/>
      <c r="T196" s="1915"/>
      <c r="U196" s="1915"/>
      <c r="V196" s="1915"/>
      <c r="W196" s="1915"/>
      <c r="X196" s="1915"/>
      <c r="Y196" s="1915"/>
      <c r="Z196" s="1915"/>
      <c r="AA196" s="1915"/>
      <c r="AB196" s="1915"/>
      <c r="AC196" s="1915"/>
      <c r="AD196" s="1915"/>
      <c r="AE196" s="1915"/>
      <c r="AF196" s="1915"/>
      <c r="AG196" s="1915"/>
      <c r="AH196" s="1915"/>
      <c r="AI196" s="1915"/>
      <c r="AJ196" s="1915"/>
      <c r="AK196" s="1915"/>
      <c r="AL196" s="1915"/>
      <c r="AM196" s="1915"/>
      <c r="AN196" s="1915"/>
      <c r="AO196" s="1915"/>
      <c r="AP196" s="1915"/>
      <c r="AQ196" s="1915"/>
      <c r="AR196" s="1915"/>
      <c r="AS196" s="1915"/>
      <c r="AT196" s="1915"/>
      <c r="AU196" s="1915"/>
      <c r="AV196" s="1915"/>
      <c r="AW196" s="1915"/>
      <c r="AX196" s="1915"/>
      <c r="AY196" s="1915"/>
      <c r="AZ196" s="1915"/>
      <c r="BA196" s="1915"/>
      <c r="BB196" s="1915"/>
      <c r="BC196" s="1915"/>
      <c r="BD196" s="1915"/>
      <c r="BE196" s="1915"/>
      <c r="BF196" s="1915"/>
      <c r="BG196" s="1915"/>
      <c r="BH196" s="1915"/>
      <c r="BI196" s="1915"/>
      <c r="BJ196" s="1915"/>
      <c r="BK196" s="1915"/>
      <c r="BL196" s="1915"/>
      <c r="BM196" s="1915"/>
      <c r="BN196" s="1915"/>
      <c r="BO196" s="1915"/>
      <c r="BP196" s="1915"/>
      <c r="BQ196" s="1915"/>
      <c r="BR196" s="1915"/>
      <c r="BS196" s="1915"/>
      <c r="BT196" s="1915"/>
      <c r="BU196" s="1915"/>
      <c r="BV196" s="1915"/>
      <c r="BW196" s="1915"/>
      <c r="BX196" s="1915"/>
      <c r="BY196" s="1915"/>
      <c r="BZ196" s="1915"/>
      <c r="CA196" s="1915"/>
      <c r="CB196" s="1915"/>
      <c r="CC196" s="1915"/>
      <c r="CD196" s="1915"/>
      <c r="CE196" s="1915"/>
      <c r="CF196" s="1915"/>
      <c r="CG196" s="1915"/>
      <c r="CH196" s="1915"/>
      <c r="CI196" s="1915"/>
      <c r="CJ196" s="1915"/>
      <c r="CK196" s="1915"/>
      <c r="CL196" s="1915"/>
      <c r="CM196" s="1915"/>
      <c r="CN196" s="1915"/>
      <c r="CO196" s="1915"/>
      <c r="CP196" s="1915"/>
      <c r="CQ196" s="1915"/>
      <c r="CR196" s="1915"/>
      <c r="CS196" s="1915"/>
      <c r="CT196" s="1915"/>
      <c r="CU196" s="1915"/>
      <c r="CV196" s="1915"/>
      <c r="CW196" s="1915"/>
      <c r="CX196" s="1915"/>
      <c r="CY196" s="1915"/>
      <c r="CZ196" s="1915"/>
      <c r="DA196" s="1915"/>
      <c r="DB196" s="1915"/>
      <c r="DC196" s="1915"/>
      <c r="DD196" s="1915"/>
      <c r="DE196" s="1915"/>
      <c r="DF196" s="1915"/>
      <c r="DG196" s="1915"/>
      <c r="DH196" s="1915"/>
      <c r="DI196" s="1915"/>
      <c r="DJ196" s="1915"/>
      <c r="DK196" s="1915"/>
      <c r="DL196" s="1915"/>
      <c r="DM196" s="1915"/>
      <c r="DN196" s="1915"/>
      <c r="DO196" s="1915"/>
      <c r="DP196" s="1915"/>
      <c r="DQ196" s="1915"/>
      <c r="DR196" s="1915"/>
      <c r="DS196" s="1915"/>
      <c r="DT196" s="1915"/>
      <c r="DU196" s="1915"/>
      <c r="DV196" s="1915"/>
      <c r="DW196" s="1915"/>
      <c r="DX196" s="1915"/>
      <c r="DY196" s="1915"/>
      <c r="DZ196" s="1915"/>
      <c r="EA196" s="1915"/>
      <c r="EB196" s="1915"/>
      <c r="EC196" s="1915"/>
      <c r="ED196" s="1915"/>
      <c r="EE196" s="1915"/>
      <c r="EF196" s="1915"/>
      <c r="EG196" s="1915"/>
      <c r="EH196" s="1915"/>
      <c r="EI196" s="1915"/>
      <c r="EJ196" s="1915"/>
      <c r="EK196" s="1915"/>
      <c r="EL196" s="1915"/>
      <c r="EM196" s="1915"/>
      <c r="EN196" s="1915"/>
      <c r="EO196" s="1915"/>
      <c r="EP196" s="1915"/>
      <c r="EQ196" s="1915"/>
      <c r="ER196" s="1915"/>
      <c r="ES196" s="1915"/>
      <c r="ET196" s="1915"/>
      <c r="EU196" s="1915"/>
      <c r="EV196" s="1915"/>
      <c r="EW196" s="1915"/>
      <c r="EX196" s="1915"/>
      <c r="EY196" s="1915"/>
      <c r="EZ196" s="1915"/>
      <c r="FA196" s="1915"/>
      <c r="FB196" s="1915"/>
      <c r="FC196" s="1915"/>
      <c r="FD196" s="1915"/>
      <c r="FE196" s="1915"/>
      <c r="FF196" s="1915"/>
      <c r="FG196" s="1915"/>
      <c r="FH196" s="1915"/>
      <c r="FI196" s="1915"/>
      <c r="FJ196" s="1915"/>
      <c r="FK196" s="1915"/>
      <c r="FL196" s="1915"/>
      <c r="FM196" s="1915"/>
      <c r="FN196" s="1915"/>
      <c r="FO196" s="1915"/>
      <c r="FP196" s="1915"/>
      <c r="FQ196" s="1915"/>
      <c r="FR196" s="1915"/>
      <c r="FS196" s="1915"/>
      <c r="FT196" s="1915"/>
      <c r="FU196" s="1915"/>
      <c r="FV196" s="1915"/>
      <c r="FW196" s="1915"/>
      <c r="FX196" s="1915"/>
      <c r="FY196" s="1915"/>
      <c r="FZ196" s="1915"/>
      <c r="GA196" s="1915"/>
      <c r="GB196" s="1915"/>
      <c r="GC196" s="1915"/>
      <c r="GD196" s="1915"/>
      <c r="GE196" s="1915"/>
      <c r="GF196" s="1915"/>
      <c r="GG196" s="1915"/>
      <c r="GH196" s="1915"/>
      <c r="GI196" s="1915"/>
      <c r="GJ196" s="1915"/>
      <c r="GK196" s="1915"/>
      <c r="GL196" s="1915"/>
      <c r="GM196" s="1915"/>
      <c r="GN196" s="1915"/>
      <c r="GO196" s="1915"/>
    </row>
    <row r="197" spans="1:197" x14ac:dyDescent="0.25">
      <c r="A197" s="1915"/>
      <c r="B197" s="1915"/>
      <c r="C197" s="1915"/>
      <c r="D197" s="1915"/>
      <c r="E197" s="1915"/>
      <c r="F197" s="1915"/>
      <c r="G197" s="1915"/>
      <c r="H197" s="1915"/>
      <c r="I197" s="1915"/>
      <c r="J197" s="1915"/>
      <c r="K197" s="1915"/>
      <c r="L197" s="1915"/>
      <c r="M197" s="2376"/>
      <c r="N197" s="1915"/>
      <c r="O197" s="1915"/>
      <c r="P197" s="1915"/>
      <c r="Q197" s="1915"/>
      <c r="R197" s="1915"/>
      <c r="S197" s="1915"/>
      <c r="T197" s="1915"/>
      <c r="U197" s="1915"/>
      <c r="V197" s="1915"/>
      <c r="W197" s="1915"/>
      <c r="X197" s="1915"/>
      <c r="Y197" s="1915"/>
      <c r="Z197" s="1915"/>
      <c r="AA197" s="1915"/>
      <c r="AB197" s="1915"/>
      <c r="AC197" s="1915"/>
      <c r="AD197" s="1915"/>
      <c r="AE197" s="1915"/>
      <c r="AF197" s="1915"/>
      <c r="AG197" s="1915"/>
      <c r="AH197" s="1915"/>
      <c r="AI197" s="1915"/>
      <c r="AJ197" s="1915"/>
      <c r="AK197" s="1915"/>
      <c r="AL197" s="1915"/>
      <c r="AM197" s="1915"/>
      <c r="AN197" s="1915"/>
      <c r="AO197" s="1915"/>
      <c r="AP197" s="1915"/>
      <c r="AQ197" s="1915"/>
      <c r="AR197" s="1915"/>
      <c r="AS197" s="1915"/>
      <c r="AT197" s="1915"/>
      <c r="AU197" s="1915"/>
      <c r="AV197" s="1915"/>
      <c r="AW197" s="1915"/>
      <c r="AX197" s="1915"/>
      <c r="AY197" s="1915"/>
      <c r="AZ197" s="1915"/>
      <c r="BA197" s="1915"/>
      <c r="BB197" s="1915"/>
      <c r="BC197" s="1915"/>
      <c r="BD197" s="1915"/>
      <c r="BE197" s="1915"/>
      <c r="BF197" s="1915"/>
      <c r="BG197" s="1915"/>
      <c r="BH197" s="1915"/>
      <c r="BI197" s="1915"/>
      <c r="BJ197" s="1915"/>
      <c r="BK197" s="1915"/>
      <c r="BL197" s="1915"/>
      <c r="BM197" s="1915"/>
      <c r="BN197" s="1915"/>
      <c r="BO197" s="1915"/>
      <c r="BP197" s="1915"/>
      <c r="BQ197" s="1915"/>
      <c r="BR197" s="1915"/>
      <c r="BS197" s="1915"/>
      <c r="BT197" s="1915"/>
      <c r="BU197" s="1915"/>
      <c r="BV197" s="1915"/>
      <c r="BW197" s="1915"/>
      <c r="BX197" s="1915"/>
      <c r="BY197" s="1915"/>
      <c r="BZ197" s="1915"/>
      <c r="CA197" s="1915"/>
      <c r="CB197" s="1915"/>
      <c r="CC197" s="1915"/>
      <c r="CD197" s="1915"/>
      <c r="CE197" s="1915"/>
      <c r="CF197" s="1915"/>
      <c r="CG197" s="1915"/>
      <c r="CH197" s="1915"/>
      <c r="CI197" s="1915"/>
      <c r="CJ197" s="1915"/>
      <c r="CK197" s="1915"/>
      <c r="CL197" s="1915"/>
      <c r="CM197" s="1915"/>
      <c r="CN197" s="1915"/>
      <c r="CO197" s="1915"/>
      <c r="CP197" s="1915"/>
      <c r="CQ197" s="1915"/>
      <c r="CR197" s="1915"/>
      <c r="CS197" s="1915"/>
      <c r="CT197" s="1915"/>
      <c r="CU197" s="1915"/>
      <c r="CV197" s="1915"/>
      <c r="CW197" s="1915"/>
      <c r="CX197" s="1915"/>
      <c r="CY197" s="1915"/>
      <c r="CZ197" s="1915"/>
      <c r="DA197" s="1915"/>
      <c r="DB197" s="1915"/>
      <c r="DC197" s="1915"/>
      <c r="DD197" s="1915"/>
      <c r="DE197" s="1915"/>
      <c r="DF197" s="1915"/>
      <c r="DG197" s="1915"/>
      <c r="DH197" s="1915"/>
      <c r="DI197" s="1915"/>
      <c r="DJ197" s="1915"/>
      <c r="DK197" s="1915"/>
      <c r="DL197" s="1915"/>
      <c r="DM197" s="1915"/>
      <c r="DN197" s="1915"/>
      <c r="DO197" s="1915"/>
      <c r="DP197" s="1915"/>
      <c r="DQ197" s="1915"/>
      <c r="DR197" s="1915"/>
      <c r="DS197" s="1915"/>
      <c r="DT197" s="1915"/>
      <c r="DU197" s="1915"/>
      <c r="DV197" s="1915"/>
      <c r="DW197" s="1915"/>
      <c r="DX197" s="1915"/>
      <c r="DY197" s="1915"/>
      <c r="DZ197" s="1915"/>
      <c r="EA197" s="1915"/>
      <c r="EB197" s="1915"/>
      <c r="EC197" s="1915"/>
      <c r="ED197" s="1915"/>
      <c r="EE197" s="1915"/>
      <c r="EF197" s="1915"/>
      <c r="EG197" s="1915"/>
      <c r="EH197" s="1915"/>
      <c r="EI197" s="1915"/>
      <c r="EJ197" s="1915"/>
      <c r="EK197" s="1915"/>
      <c r="EL197" s="1915"/>
      <c r="EM197" s="1915"/>
      <c r="EN197" s="1915"/>
      <c r="EO197" s="1915"/>
      <c r="EP197" s="1915"/>
      <c r="EQ197" s="1915"/>
      <c r="ER197" s="1915"/>
      <c r="ES197" s="1915"/>
      <c r="ET197" s="1915"/>
      <c r="EU197" s="1915"/>
      <c r="EV197" s="1915"/>
      <c r="EW197" s="1915"/>
      <c r="EX197" s="1915"/>
      <c r="EY197" s="1915"/>
      <c r="EZ197" s="1915"/>
      <c r="FA197" s="1915"/>
      <c r="FB197" s="1915"/>
      <c r="FC197" s="1915"/>
      <c r="FD197" s="1915"/>
      <c r="FE197" s="1915"/>
      <c r="FF197" s="1915"/>
      <c r="FG197" s="1915"/>
      <c r="FH197" s="1915"/>
      <c r="FI197" s="1915"/>
      <c r="FJ197" s="1915"/>
      <c r="FK197" s="1915"/>
      <c r="FL197" s="1915"/>
      <c r="FM197" s="1915"/>
      <c r="FN197" s="1915"/>
      <c r="FO197" s="1915"/>
      <c r="FP197" s="1915"/>
      <c r="FQ197" s="1915"/>
      <c r="FR197" s="1915"/>
      <c r="FS197" s="1915"/>
      <c r="FT197" s="1915"/>
      <c r="FU197" s="1915"/>
      <c r="FV197" s="1915"/>
      <c r="FW197" s="1915"/>
      <c r="FX197" s="1915"/>
      <c r="FY197" s="1915"/>
      <c r="FZ197" s="1915"/>
      <c r="GA197" s="1915"/>
      <c r="GB197" s="1915"/>
      <c r="GC197" s="1915"/>
      <c r="GD197" s="1915"/>
      <c r="GE197" s="1915"/>
      <c r="GF197" s="1915"/>
      <c r="GG197" s="1915"/>
      <c r="GH197" s="1915"/>
      <c r="GI197" s="1915"/>
      <c r="GJ197" s="1915"/>
      <c r="GK197" s="1915"/>
      <c r="GL197" s="1915"/>
      <c r="GM197" s="1915"/>
      <c r="GN197" s="1915"/>
      <c r="GO197" s="1915"/>
    </row>
    <row r="198" spans="1:197" x14ac:dyDescent="0.25">
      <c r="A198" s="1915"/>
      <c r="B198" s="1915"/>
      <c r="C198" s="1915"/>
      <c r="D198" s="1915"/>
      <c r="E198" s="1915"/>
      <c r="F198" s="1915"/>
      <c r="G198" s="1915"/>
      <c r="H198" s="1915"/>
      <c r="I198" s="1915"/>
      <c r="J198" s="1915"/>
      <c r="K198" s="1915"/>
      <c r="L198" s="1915"/>
      <c r="M198" s="2376"/>
      <c r="N198" s="1915"/>
      <c r="O198" s="1915"/>
      <c r="P198" s="1915"/>
      <c r="Q198" s="1915"/>
      <c r="R198" s="1915"/>
      <c r="S198" s="1915"/>
      <c r="T198" s="1915"/>
      <c r="U198" s="1915"/>
      <c r="V198" s="1915"/>
      <c r="W198" s="1915"/>
      <c r="X198" s="1915"/>
      <c r="Y198" s="1915"/>
      <c r="Z198" s="1915"/>
      <c r="AA198" s="1915"/>
      <c r="AB198" s="1915"/>
      <c r="AC198" s="1915"/>
      <c r="AD198" s="1915"/>
      <c r="AE198" s="1915"/>
      <c r="AF198" s="1915"/>
      <c r="AG198" s="1915"/>
      <c r="AH198" s="1915"/>
      <c r="AI198" s="1915"/>
      <c r="AJ198" s="1915"/>
      <c r="AK198" s="1915"/>
      <c r="AL198" s="1915"/>
      <c r="AM198" s="1915"/>
      <c r="AN198" s="1915"/>
      <c r="AO198" s="1915"/>
      <c r="AP198" s="1915"/>
      <c r="AQ198" s="1915"/>
      <c r="AR198" s="1915"/>
      <c r="AS198" s="1915"/>
      <c r="AT198" s="1915"/>
      <c r="AU198" s="1915"/>
      <c r="AV198" s="1915"/>
      <c r="AW198" s="1915"/>
      <c r="AX198" s="1915"/>
      <c r="AY198" s="1915"/>
      <c r="AZ198" s="1915"/>
      <c r="BA198" s="1915"/>
      <c r="BB198" s="1915"/>
      <c r="BC198" s="1915"/>
      <c r="BD198" s="1915"/>
      <c r="BE198" s="1915"/>
      <c r="BF198" s="1915"/>
      <c r="BG198" s="1915"/>
      <c r="BH198" s="1915"/>
      <c r="BI198" s="1915"/>
      <c r="BJ198" s="1915"/>
      <c r="BK198" s="1915"/>
      <c r="BL198" s="1915"/>
      <c r="BM198" s="1915"/>
      <c r="BN198" s="1915"/>
      <c r="BO198" s="1915"/>
      <c r="BP198" s="1915"/>
      <c r="BQ198" s="1915"/>
      <c r="BR198" s="1915"/>
      <c r="BS198" s="1915"/>
      <c r="BT198" s="1915"/>
      <c r="BU198" s="1915"/>
      <c r="BV198" s="1915"/>
      <c r="BW198" s="1915"/>
      <c r="BX198" s="1915"/>
      <c r="BY198" s="1915"/>
      <c r="BZ198" s="1915"/>
      <c r="CA198" s="1915"/>
      <c r="CB198" s="1915"/>
      <c r="CC198" s="1915"/>
      <c r="CD198" s="1915"/>
      <c r="CE198" s="1915"/>
      <c r="CF198" s="1915"/>
      <c r="CG198" s="1915"/>
      <c r="CH198" s="1915"/>
      <c r="CI198" s="1915"/>
      <c r="CJ198" s="1915"/>
      <c r="CK198" s="1915"/>
      <c r="CL198" s="1915"/>
      <c r="CM198" s="1915"/>
      <c r="CN198" s="1915"/>
      <c r="CO198" s="1915"/>
      <c r="CP198" s="1915"/>
      <c r="CQ198" s="1915"/>
      <c r="CR198" s="1915"/>
      <c r="CS198" s="1915"/>
      <c r="CT198" s="1915"/>
      <c r="CU198" s="1915"/>
      <c r="CV198" s="1915"/>
      <c r="CW198" s="1915"/>
      <c r="CX198" s="1915"/>
      <c r="CY198" s="1915"/>
      <c r="CZ198" s="1915"/>
      <c r="DA198" s="1915"/>
      <c r="DB198" s="1915"/>
      <c r="DC198" s="1915"/>
      <c r="DD198" s="1915"/>
      <c r="DE198" s="1915"/>
      <c r="DF198" s="1915"/>
      <c r="DG198" s="1915"/>
      <c r="DH198" s="1915"/>
      <c r="DI198" s="1915"/>
      <c r="DJ198" s="1915"/>
      <c r="DK198" s="1915"/>
      <c r="DL198" s="1915"/>
      <c r="DM198" s="1915"/>
      <c r="DN198" s="1915"/>
      <c r="DO198" s="1915"/>
      <c r="DP198" s="1915"/>
      <c r="DQ198" s="1915"/>
      <c r="DR198" s="1915"/>
      <c r="DS198" s="1915"/>
      <c r="DT198" s="1915"/>
      <c r="DU198" s="1915"/>
      <c r="DV198" s="1915"/>
      <c r="DW198" s="1915"/>
      <c r="DX198" s="1915"/>
      <c r="DY198" s="1915"/>
      <c r="DZ198" s="1915"/>
      <c r="EA198" s="1915"/>
      <c r="EB198" s="1915"/>
      <c r="EC198" s="1915"/>
      <c r="ED198" s="1915"/>
      <c r="EE198" s="1915"/>
      <c r="EF198" s="1915"/>
      <c r="EG198" s="1915"/>
      <c r="EH198" s="1915"/>
      <c r="EI198" s="1915"/>
      <c r="EJ198" s="1915"/>
      <c r="EK198" s="1915"/>
      <c r="EL198" s="1915"/>
      <c r="EM198" s="1915"/>
      <c r="EN198" s="1915"/>
      <c r="EO198" s="1915"/>
      <c r="EP198" s="1915"/>
      <c r="EQ198" s="1915"/>
      <c r="ER198" s="1915"/>
      <c r="ES198" s="1915"/>
      <c r="ET198" s="1915"/>
      <c r="EU198" s="1915"/>
      <c r="EV198" s="1915"/>
      <c r="EW198" s="1915"/>
      <c r="EX198" s="1915"/>
      <c r="EY198" s="1915"/>
      <c r="EZ198" s="1915"/>
      <c r="FA198" s="1915"/>
      <c r="FB198" s="1915"/>
      <c r="FC198" s="1915"/>
      <c r="FD198" s="1915"/>
      <c r="FE198" s="1915"/>
      <c r="FF198" s="1915"/>
      <c r="FG198" s="1915"/>
      <c r="FH198" s="1915"/>
      <c r="FI198" s="1915"/>
      <c r="FJ198" s="1915"/>
      <c r="FK198" s="1915"/>
      <c r="FL198" s="1915"/>
      <c r="FM198" s="1915"/>
      <c r="FN198" s="1915"/>
      <c r="FO198" s="1915"/>
      <c r="FP198" s="1915"/>
      <c r="FQ198" s="1915"/>
      <c r="FR198" s="1915"/>
      <c r="FS198" s="1915"/>
      <c r="FT198" s="1915"/>
      <c r="FU198" s="1915"/>
      <c r="FV198" s="1915"/>
      <c r="FW198" s="1915"/>
      <c r="FX198" s="1915"/>
      <c r="FY198" s="1915"/>
      <c r="FZ198" s="1915"/>
      <c r="GA198" s="1915"/>
      <c r="GB198" s="1915"/>
      <c r="GC198" s="1915"/>
      <c r="GD198" s="1915"/>
      <c r="GE198" s="1915"/>
      <c r="GF198" s="1915"/>
      <c r="GG198" s="1915"/>
      <c r="GH198" s="1915"/>
      <c r="GI198" s="1915"/>
      <c r="GJ198" s="1915"/>
      <c r="GK198" s="1915"/>
      <c r="GL198" s="1915"/>
      <c r="GM198" s="1915"/>
      <c r="GN198" s="1915"/>
      <c r="GO198" s="1915"/>
    </row>
    <row r="199" spans="1:197" x14ac:dyDescent="0.25">
      <c r="A199" s="1915"/>
      <c r="B199" s="1915"/>
      <c r="C199" s="1915"/>
      <c r="D199" s="1915"/>
      <c r="E199" s="1915"/>
      <c r="F199" s="1915"/>
      <c r="G199" s="1915"/>
      <c r="H199" s="1915"/>
      <c r="I199" s="1915"/>
      <c r="J199" s="1915"/>
      <c r="K199" s="1915"/>
      <c r="L199" s="1915"/>
      <c r="M199" s="2376"/>
      <c r="N199" s="1915"/>
      <c r="O199" s="1915"/>
      <c r="P199" s="1915"/>
      <c r="Q199" s="1915"/>
      <c r="R199" s="1915"/>
      <c r="S199" s="1915"/>
      <c r="T199" s="1915"/>
      <c r="U199" s="1915"/>
      <c r="V199" s="1915"/>
      <c r="W199" s="1915"/>
      <c r="X199" s="1915"/>
      <c r="Y199" s="1915"/>
      <c r="Z199" s="1915"/>
      <c r="AA199" s="1915"/>
      <c r="AB199" s="1915"/>
      <c r="AC199" s="1915"/>
      <c r="AD199" s="1915"/>
      <c r="AE199" s="1915"/>
      <c r="AF199" s="1915"/>
      <c r="AG199" s="1915"/>
      <c r="AH199" s="1915"/>
      <c r="AI199" s="1915"/>
      <c r="AJ199" s="1915"/>
      <c r="AK199" s="1915"/>
      <c r="AL199" s="1915"/>
      <c r="AM199" s="1915"/>
      <c r="AN199" s="1915"/>
      <c r="AO199" s="1915"/>
      <c r="AP199" s="1915"/>
      <c r="AQ199" s="1915"/>
      <c r="AR199" s="1915"/>
      <c r="AS199" s="1915"/>
      <c r="AT199" s="1915"/>
      <c r="AU199" s="1915"/>
      <c r="AV199" s="1915"/>
      <c r="AW199" s="1915"/>
      <c r="AX199" s="1915"/>
      <c r="AY199" s="1915"/>
      <c r="AZ199" s="1915"/>
      <c r="BA199" s="1915"/>
      <c r="BB199" s="1915"/>
      <c r="BC199" s="1915"/>
      <c r="BD199" s="1915"/>
      <c r="BE199" s="1915"/>
      <c r="BF199" s="1915"/>
      <c r="BG199" s="1915"/>
      <c r="BH199" s="1915"/>
      <c r="BI199" s="1915"/>
      <c r="BJ199" s="1915"/>
      <c r="BK199" s="1915"/>
      <c r="BL199" s="1915"/>
      <c r="BM199" s="1915"/>
      <c r="BN199" s="1915"/>
      <c r="BO199" s="1915"/>
      <c r="BP199" s="1915"/>
      <c r="BQ199" s="1915"/>
      <c r="BR199" s="1915"/>
      <c r="BS199" s="1915"/>
      <c r="BT199" s="1915"/>
      <c r="BU199" s="1915"/>
      <c r="BV199" s="1915"/>
      <c r="BW199" s="1915"/>
      <c r="BX199" s="1915"/>
      <c r="BY199" s="1915"/>
      <c r="BZ199" s="1915"/>
      <c r="CA199" s="1915"/>
      <c r="CB199" s="1915"/>
      <c r="CC199" s="1915"/>
      <c r="CD199" s="1915"/>
      <c r="CE199" s="1915"/>
      <c r="CF199" s="1915"/>
      <c r="CG199" s="1915"/>
      <c r="CH199" s="1915"/>
      <c r="CI199" s="1915"/>
      <c r="CJ199" s="1915"/>
      <c r="CK199" s="1915"/>
      <c r="CL199" s="1915"/>
      <c r="CM199" s="1915"/>
      <c r="CN199" s="1915"/>
      <c r="CO199" s="1915"/>
      <c r="CP199" s="1915"/>
      <c r="CQ199" s="1915"/>
      <c r="CR199" s="1915"/>
      <c r="CS199" s="1915"/>
      <c r="CT199" s="1915"/>
      <c r="CU199" s="1915"/>
      <c r="CV199" s="1915"/>
      <c r="CW199" s="1915"/>
      <c r="CX199" s="1915"/>
      <c r="CY199" s="1915"/>
      <c r="CZ199" s="1915"/>
      <c r="DA199" s="1915"/>
      <c r="DB199" s="1915"/>
      <c r="DC199" s="1915"/>
      <c r="DD199" s="1915"/>
      <c r="DE199" s="1915"/>
      <c r="DF199" s="1915"/>
      <c r="DG199" s="1915"/>
      <c r="DH199" s="1915"/>
      <c r="DI199" s="1915"/>
      <c r="DJ199" s="1915"/>
      <c r="DK199" s="1915"/>
      <c r="DL199" s="1915"/>
      <c r="DM199" s="1915"/>
      <c r="DN199" s="1915"/>
      <c r="DO199" s="1915"/>
      <c r="DP199" s="1915"/>
      <c r="DQ199" s="1915"/>
      <c r="DR199" s="1915"/>
      <c r="DS199" s="1915"/>
      <c r="DT199" s="1915"/>
      <c r="DU199" s="1915"/>
      <c r="DV199" s="1915"/>
      <c r="DW199" s="1915"/>
      <c r="DX199" s="1915"/>
      <c r="DY199" s="1915"/>
      <c r="DZ199" s="1915"/>
      <c r="EA199" s="1915"/>
      <c r="EB199" s="1915"/>
      <c r="EC199" s="1915"/>
      <c r="ED199" s="1915"/>
      <c r="EE199" s="1915"/>
      <c r="EF199" s="1915"/>
      <c r="EG199" s="1915"/>
      <c r="EH199" s="1915"/>
      <c r="EI199" s="1915"/>
      <c r="EJ199" s="1915"/>
      <c r="EK199" s="1915"/>
      <c r="EL199" s="1915"/>
      <c r="EM199" s="1915"/>
      <c r="EN199" s="1915"/>
      <c r="EO199" s="1915"/>
      <c r="EP199" s="1915"/>
      <c r="EQ199" s="1915"/>
      <c r="ER199" s="1915"/>
      <c r="ES199" s="1915"/>
      <c r="ET199" s="1915"/>
      <c r="EU199" s="1915"/>
      <c r="EV199" s="1915"/>
      <c r="EW199" s="1915"/>
      <c r="EX199" s="1915"/>
      <c r="EY199" s="1915"/>
      <c r="EZ199" s="1915"/>
      <c r="FA199" s="1915"/>
      <c r="FB199" s="1915"/>
      <c r="FC199" s="1915"/>
      <c r="FD199" s="1915"/>
      <c r="FE199" s="1915"/>
      <c r="FF199" s="1915"/>
      <c r="FG199" s="1915"/>
      <c r="FH199" s="1915"/>
      <c r="FI199" s="1915"/>
      <c r="FJ199" s="1915"/>
      <c r="FK199" s="1915"/>
      <c r="FL199" s="1915"/>
      <c r="FM199" s="1915"/>
      <c r="FN199" s="1915"/>
      <c r="FO199" s="1915"/>
      <c r="FP199" s="1915"/>
      <c r="FQ199" s="1915"/>
      <c r="FR199" s="1915"/>
      <c r="FS199" s="1915"/>
      <c r="FT199" s="1915"/>
      <c r="FU199" s="1915"/>
      <c r="FV199" s="1915"/>
      <c r="FW199" s="1915"/>
      <c r="FX199" s="1915"/>
      <c r="FY199" s="1915"/>
      <c r="FZ199" s="1915"/>
      <c r="GA199" s="1915"/>
      <c r="GB199" s="1915"/>
      <c r="GC199" s="1915"/>
      <c r="GD199" s="1915"/>
      <c r="GE199" s="1915"/>
      <c r="GF199" s="1915"/>
      <c r="GG199" s="1915"/>
      <c r="GH199" s="1915"/>
      <c r="GI199" s="1915"/>
      <c r="GJ199" s="1915"/>
      <c r="GK199" s="1915"/>
      <c r="GL199" s="1915"/>
      <c r="GM199" s="1915"/>
      <c r="GN199" s="1915"/>
      <c r="GO199" s="1915"/>
    </row>
  </sheetData>
  <mergeCells count="82">
    <mergeCell ref="A1:BE1"/>
    <mergeCell ref="AE4:AQ4"/>
    <mergeCell ref="AD5:AG5"/>
    <mergeCell ref="O6:O11"/>
    <mergeCell ref="AX6:AY14"/>
    <mergeCell ref="AZ6:BB14"/>
    <mergeCell ref="BC6:BE14"/>
    <mergeCell ref="BF8:BG11"/>
    <mergeCell ref="S9:Z9"/>
    <mergeCell ref="AF10:AG10"/>
    <mergeCell ref="AF15:AG15"/>
    <mergeCell ref="AP16:AT22"/>
    <mergeCell ref="AZ17:BA17"/>
    <mergeCell ref="W20:X20"/>
    <mergeCell ref="AZ21:BA21"/>
    <mergeCell ref="AY82:BA82"/>
    <mergeCell ref="N51:T63"/>
    <mergeCell ref="P28:V28"/>
    <mergeCell ref="X30:Z30"/>
    <mergeCell ref="BD30:BE32"/>
    <mergeCell ref="E32:N32"/>
    <mergeCell ref="F34:K64"/>
    <mergeCell ref="AG35:AQ35"/>
    <mergeCell ref="AF36:AF39"/>
    <mergeCell ref="AD78:AE78"/>
    <mergeCell ref="AF78:AI78"/>
    <mergeCell ref="AJ78:AM78"/>
    <mergeCell ref="AN78:AQ78"/>
    <mergeCell ref="Z80:AF80"/>
    <mergeCell ref="BF40:BF42"/>
    <mergeCell ref="AT42:AT49"/>
    <mergeCell ref="U43:V44"/>
    <mergeCell ref="AQ43:AR43"/>
    <mergeCell ref="AZ49:BB49"/>
    <mergeCell ref="BM89:BM90"/>
    <mergeCell ref="AC90:AD90"/>
    <mergeCell ref="AG90:AJ90"/>
    <mergeCell ref="AY90:BA90"/>
    <mergeCell ref="BG90:BI90"/>
    <mergeCell ref="BG82:BH82"/>
    <mergeCell ref="AM84:AN84"/>
    <mergeCell ref="AS86:AT86"/>
    <mergeCell ref="X87:Y87"/>
    <mergeCell ref="R91:T99"/>
    <mergeCell ref="AU92:AU95"/>
    <mergeCell ref="AB93:AC93"/>
    <mergeCell ref="AM93:AN93"/>
    <mergeCell ref="AH94:AI94"/>
    <mergeCell ref="AQ96:AR96"/>
    <mergeCell ref="AS96:AT96"/>
    <mergeCell ref="AY98:BA98"/>
    <mergeCell ref="BG98:BH98"/>
    <mergeCell ref="V82:W82"/>
    <mergeCell ref="AJ82:AM82"/>
    <mergeCell ref="AN82:AQ82"/>
    <mergeCell ref="AJ101:AK101"/>
    <mergeCell ref="BM101:BM102"/>
    <mergeCell ref="AB103:AE104"/>
    <mergeCell ref="AQ103:AR103"/>
    <mergeCell ref="AQ104:AR104"/>
    <mergeCell ref="BG105:BH105"/>
    <mergeCell ref="S110:T112"/>
    <mergeCell ref="AY110:BA110"/>
    <mergeCell ref="AF114:AF115"/>
    <mergeCell ref="AI114:AI117"/>
    <mergeCell ref="AY115:BA115"/>
    <mergeCell ref="BG115:BH115"/>
    <mergeCell ref="AF116:AF117"/>
    <mergeCell ref="AN143:AN144"/>
    <mergeCell ref="AJ147:AQ147"/>
    <mergeCell ref="H117:P141"/>
    <mergeCell ref="BN118:BN123"/>
    <mergeCell ref="BL119:BL123"/>
    <mergeCell ref="AE120:AG120"/>
    <mergeCell ref="AV121:AV123"/>
    <mergeCell ref="AL123:AM123"/>
    <mergeCell ref="T151:AG168"/>
    <mergeCell ref="D127:E130"/>
    <mergeCell ref="W129:AF144"/>
    <mergeCell ref="T131:U131"/>
    <mergeCell ref="AH134:AH135"/>
    <mergeCell ref="F140:G149"/>
  </mergeCells>
  <phoneticPr fontId="0" type="noConversion"/>
  <conditionalFormatting sqref="BB91">
    <cfRule type="duplicateValues" dxfId="65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GO598"/>
  <sheetViews>
    <sheetView topLeftCell="AS74" zoomScale="55" zoomScaleNormal="55" workbookViewId="0">
      <selection activeCell="BQ95" sqref="BQ95"/>
    </sheetView>
  </sheetViews>
  <sheetFormatPr baseColWidth="10" defaultColWidth="16.7109375" defaultRowHeight="15" x14ac:dyDescent="0.25"/>
  <sheetData>
    <row r="1" spans="1:66" ht="45.75" thickBot="1" x14ac:dyDescent="0.3">
      <c r="A1" s="1325" t="s">
        <v>148</v>
      </c>
      <c r="B1" s="1325"/>
      <c r="C1" s="1325"/>
      <c r="D1" s="1325"/>
      <c r="E1" s="1325"/>
      <c r="F1" s="1325"/>
      <c r="G1" s="1325"/>
      <c r="H1" s="1325"/>
      <c r="I1" s="1325"/>
      <c r="J1" s="1325"/>
      <c r="K1" s="1325"/>
      <c r="L1" s="1325"/>
      <c r="M1" s="1325"/>
      <c r="N1" s="1325"/>
      <c r="O1" s="1325"/>
      <c r="P1" s="1325"/>
      <c r="Q1" s="1325"/>
      <c r="R1" s="1325"/>
      <c r="S1" s="1325"/>
      <c r="T1" s="1325"/>
      <c r="U1" s="1325"/>
      <c r="V1" s="1325"/>
      <c r="W1" s="1325"/>
      <c r="X1" s="1325"/>
      <c r="Y1" s="1325"/>
      <c r="Z1" s="1325"/>
      <c r="AA1" s="1325"/>
      <c r="AB1" s="1325"/>
      <c r="AC1" s="1325"/>
      <c r="AD1" s="1325"/>
      <c r="AE1" s="1325"/>
      <c r="AF1" s="1325"/>
      <c r="AG1" s="1325"/>
      <c r="AH1" s="1325"/>
      <c r="AI1" s="1325"/>
      <c r="AJ1" s="1325"/>
      <c r="AK1" s="1325"/>
      <c r="AL1" s="1325"/>
      <c r="AM1" s="1325"/>
      <c r="AN1" s="1325"/>
      <c r="AO1" s="1325"/>
      <c r="AP1" s="1325"/>
      <c r="AQ1" s="1325"/>
      <c r="AR1" s="1325"/>
      <c r="AS1" s="1325"/>
      <c r="AT1" s="1325"/>
      <c r="AU1" s="1325"/>
      <c r="AV1" s="1325"/>
      <c r="AW1" s="1325"/>
      <c r="AX1" s="1325"/>
      <c r="AY1" s="1325"/>
      <c r="AZ1" s="1325"/>
      <c r="BA1" s="1325"/>
      <c r="BB1" s="1325"/>
      <c r="BC1" s="1325"/>
      <c r="BD1" s="1325"/>
      <c r="BE1" s="1326"/>
      <c r="BF1" s="32"/>
      <c r="BG1" s="32"/>
      <c r="BH1" s="32"/>
      <c r="BI1" s="32"/>
      <c r="BJ1" s="32"/>
      <c r="BK1" s="32"/>
      <c r="BL1" s="33"/>
      <c r="BM1" s="33"/>
      <c r="BN1" s="33"/>
    </row>
    <row r="2" spans="1:66" ht="35.2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6"/>
      <c r="N2" s="36"/>
      <c r="O2" s="36"/>
      <c r="P2" s="36"/>
      <c r="Q2" s="36"/>
      <c r="R2" s="36"/>
      <c r="S2" s="36"/>
      <c r="T2" s="36"/>
      <c r="U2" s="37"/>
      <c r="V2" s="37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2"/>
      <c r="BG2" s="32"/>
      <c r="BH2" s="32"/>
      <c r="BI2" s="32"/>
      <c r="BJ2" s="32"/>
      <c r="BK2" s="32"/>
      <c r="BL2" s="33"/>
      <c r="BM2" s="33"/>
      <c r="BN2" s="33"/>
    </row>
    <row r="3" spans="1:66" ht="1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2"/>
      <c r="M3" s="36"/>
      <c r="N3" s="36"/>
      <c r="O3" s="36"/>
      <c r="P3" s="36"/>
      <c r="Q3" s="36"/>
      <c r="R3" s="36"/>
      <c r="S3" s="36"/>
      <c r="T3" s="36"/>
      <c r="U3" s="37"/>
      <c r="V3" s="37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2"/>
      <c r="BG3" s="32"/>
      <c r="BH3" s="32"/>
      <c r="BI3" s="32"/>
      <c r="BJ3" s="32"/>
      <c r="BK3" s="32"/>
      <c r="BL3" s="33"/>
      <c r="BM3" s="33"/>
      <c r="BN3" s="33"/>
    </row>
    <row r="4" spans="1:66" ht="20.25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8"/>
      <c r="M4" s="39"/>
      <c r="N4" s="39"/>
      <c r="O4" s="39"/>
      <c r="P4" s="40"/>
      <c r="Q4" s="39"/>
      <c r="R4" s="39"/>
      <c r="S4" s="39"/>
      <c r="T4" s="39"/>
      <c r="U4" s="41"/>
      <c r="V4" s="41"/>
      <c r="W4" s="41"/>
      <c r="X4" s="41"/>
      <c r="Y4" s="41"/>
      <c r="Z4" s="42"/>
      <c r="AA4" s="43"/>
      <c r="AB4" s="41"/>
      <c r="AC4" s="41"/>
      <c r="AD4" s="41"/>
      <c r="AE4" s="1683"/>
      <c r="AF4" s="1683"/>
      <c r="AG4" s="1683"/>
      <c r="AH4" s="1683"/>
      <c r="AI4" s="1683"/>
      <c r="AJ4" s="1683"/>
      <c r="AK4" s="1683"/>
      <c r="AL4" s="1683"/>
      <c r="AM4" s="1683"/>
      <c r="AN4" s="1683"/>
      <c r="AO4" s="1683"/>
      <c r="AP4" s="1683"/>
      <c r="AQ4" s="1683"/>
      <c r="AR4" s="44"/>
      <c r="AS4" s="42"/>
      <c r="AT4" s="42"/>
      <c r="AU4" s="42"/>
      <c r="AV4" s="42"/>
      <c r="AW4" s="41"/>
      <c r="AX4" s="41"/>
      <c r="AY4" s="41"/>
      <c r="AZ4" s="41"/>
      <c r="BA4" s="41"/>
      <c r="BB4" s="42"/>
      <c r="BC4" s="43"/>
      <c r="BD4" s="45"/>
      <c r="BE4" s="45"/>
      <c r="BF4" s="45"/>
      <c r="BG4" s="45"/>
      <c r="BH4" s="45"/>
      <c r="BI4" s="46"/>
      <c r="BJ4" s="42"/>
      <c r="BK4" s="47"/>
      <c r="BL4" s="33"/>
      <c r="BM4" s="33"/>
      <c r="BN4" s="33"/>
    </row>
    <row r="5" spans="1:66" ht="21" thickBo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47"/>
      <c r="M5" s="39"/>
      <c r="N5" s="47"/>
      <c r="O5" s="48"/>
      <c r="P5" s="49"/>
      <c r="Q5" s="50"/>
      <c r="R5" s="50"/>
      <c r="S5" s="50"/>
      <c r="T5" s="50"/>
      <c r="U5" s="51"/>
      <c r="V5" s="51"/>
      <c r="W5" s="50"/>
      <c r="X5" s="50"/>
      <c r="Y5" s="50"/>
      <c r="Z5" s="48"/>
      <c r="AA5" s="48"/>
      <c r="AB5" s="48"/>
      <c r="AC5" s="50"/>
      <c r="AD5" s="1684" t="s">
        <v>149</v>
      </c>
      <c r="AE5" s="1684"/>
      <c r="AF5" s="1684"/>
      <c r="AG5" s="1684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47"/>
      <c r="AY5" s="47"/>
      <c r="AZ5" s="50"/>
      <c r="BA5" s="50"/>
      <c r="BB5" s="50"/>
      <c r="BC5" s="47"/>
      <c r="BD5" s="47"/>
      <c r="BE5" s="47"/>
      <c r="BF5" s="47"/>
      <c r="BG5" s="47"/>
      <c r="BH5" s="47"/>
      <c r="BI5" s="47"/>
      <c r="BJ5" s="47"/>
      <c r="BK5" s="47"/>
      <c r="BL5" s="33"/>
      <c r="BM5" s="33"/>
      <c r="BN5" s="33"/>
    </row>
    <row r="6" spans="1:66" ht="21" thickBo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52"/>
      <c r="L6" s="33"/>
      <c r="N6" s="53"/>
      <c r="O6" s="1685" t="s">
        <v>150</v>
      </c>
      <c r="P6" s="54" t="s">
        <v>151</v>
      </c>
      <c r="Q6" s="54" t="s">
        <v>151</v>
      </c>
      <c r="S6" s="55" t="s">
        <v>48</v>
      </c>
      <c r="T6" s="55" t="s">
        <v>48</v>
      </c>
      <c r="U6" s="55" t="s">
        <v>48</v>
      </c>
      <c r="V6" s="55" t="s">
        <v>48</v>
      </c>
      <c r="W6" s="55" t="s">
        <v>48</v>
      </c>
      <c r="X6" s="55" t="s">
        <v>48</v>
      </c>
      <c r="Y6" s="55" t="s">
        <v>48</v>
      </c>
      <c r="Z6" s="55" t="s">
        <v>48</v>
      </c>
      <c r="AA6" s="56"/>
      <c r="AB6" s="56"/>
      <c r="AC6" s="56"/>
      <c r="AD6" s="56"/>
      <c r="AE6" s="56"/>
      <c r="AF6" s="56"/>
      <c r="AG6" s="57" t="s">
        <v>152</v>
      </c>
      <c r="AH6" s="58" t="s">
        <v>153</v>
      </c>
      <c r="AI6" s="59" t="s">
        <v>154</v>
      </c>
      <c r="AJ6" s="60" t="s">
        <v>155</v>
      </c>
      <c r="AK6" s="61" t="s">
        <v>156</v>
      </c>
      <c r="AL6" s="62" t="s">
        <v>157</v>
      </c>
      <c r="AM6" s="63" t="s">
        <v>158</v>
      </c>
      <c r="AN6" s="61" t="s">
        <v>156</v>
      </c>
      <c r="AO6" s="62" t="s">
        <v>157</v>
      </c>
      <c r="AP6" s="60" t="s">
        <v>155</v>
      </c>
      <c r="AQ6" s="62" t="s">
        <v>157</v>
      </c>
      <c r="AR6" s="60" t="s">
        <v>155</v>
      </c>
      <c r="AS6" s="64" t="s">
        <v>159</v>
      </c>
      <c r="AT6" s="65" t="s">
        <v>160</v>
      </c>
      <c r="AU6" s="33"/>
      <c r="AV6" s="33"/>
      <c r="AW6" s="33"/>
      <c r="AX6" s="1688" t="s">
        <v>161</v>
      </c>
      <c r="AY6" s="1689"/>
      <c r="AZ6" s="1688" t="s">
        <v>162</v>
      </c>
      <c r="BA6" s="1694"/>
      <c r="BB6" s="1695"/>
      <c r="BC6" s="1700" t="s">
        <v>163</v>
      </c>
      <c r="BD6" s="1701"/>
      <c r="BE6" s="1702"/>
      <c r="BF6" s="32"/>
      <c r="BG6" s="32"/>
      <c r="BH6" s="32"/>
      <c r="BI6" s="32"/>
      <c r="BJ6" s="32"/>
      <c r="BK6" s="47"/>
      <c r="BL6" s="33"/>
      <c r="BM6" s="33"/>
      <c r="BN6" s="33"/>
    </row>
    <row r="7" spans="1:66" ht="21" thickBot="1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52"/>
      <c r="L7" s="33"/>
      <c r="N7" s="53"/>
      <c r="O7" s="1686"/>
      <c r="P7" s="66"/>
      <c r="S7" s="67" t="s">
        <v>164</v>
      </c>
      <c r="T7" s="67" t="s">
        <v>164</v>
      </c>
      <c r="U7" s="67" t="s">
        <v>164</v>
      </c>
      <c r="V7" s="67" t="s">
        <v>164</v>
      </c>
      <c r="W7" s="67" t="s">
        <v>164</v>
      </c>
      <c r="X7" s="67" t="s">
        <v>164</v>
      </c>
      <c r="Y7" s="67" t="s">
        <v>164</v>
      </c>
      <c r="Z7" s="67" t="s">
        <v>164</v>
      </c>
      <c r="AA7" s="56"/>
      <c r="AB7" s="56"/>
      <c r="AC7" s="56"/>
      <c r="AD7" s="56"/>
      <c r="AE7" s="56"/>
      <c r="AF7" s="56"/>
      <c r="AG7" s="1" t="s">
        <v>165</v>
      </c>
      <c r="AH7" s="1" t="s">
        <v>165</v>
      </c>
      <c r="AI7" s="1" t="s">
        <v>166</v>
      </c>
      <c r="AJ7" s="1" t="s">
        <v>166</v>
      </c>
      <c r="AK7" s="1"/>
      <c r="AL7" s="1" t="s">
        <v>166</v>
      </c>
      <c r="AM7" s="1" t="s">
        <v>166</v>
      </c>
      <c r="AN7" s="1"/>
      <c r="AO7" s="1" t="s">
        <v>166</v>
      </c>
      <c r="AP7" s="1" t="s">
        <v>166</v>
      </c>
      <c r="AQ7" s="1" t="s">
        <v>166</v>
      </c>
      <c r="AR7" s="1" t="s">
        <v>166</v>
      </c>
      <c r="AS7" s="1" t="s">
        <v>166</v>
      </c>
      <c r="AT7" s="1" t="s">
        <v>166</v>
      </c>
      <c r="AU7" s="33"/>
      <c r="AV7" s="33"/>
      <c r="AW7" s="33"/>
      <c r="AX7" s="1690"/>
      <c r="AY7" s="1691"/>
      <c r="AZ7" s="1690"/>
      <c r="BA7" s="1696"/>
      <c r="BB7" s="1697"/>
      <c r="BC7" s="1703"/>
      <c r="BD7" s="1599"/>
      <c r="BE7" s="1704"/>
      <c r="BF7" s="32"/>
      <c r="BG7" s="32"/>
      <c r="BH7" s="68"/>
      <c r="BI7" s="68"/>
      <c r="BJ7" s="68"/>
      <c r="BK7" s="68"/>
      <c r="BL7" s="33"/>
      <c r="BM7" s="33"/>
      <c r="BN7" s="33"/>
    </row>
    <row r="8" spans="1:66" ht="20.25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52"/>
      <c r="L8" s="33"/>
      <c r="N8" s="53"/>
      <c r="O8" s="1686"/>
      <c r="P8" s="69"/>
      <c r="S8" s="70">
        <v>1</v>
      </c>
      <c r="T8" s="70">
        <v>2</v>
      </c>
      <c r="U8" s="70">
        <v>3</v>
      </c>
      <c r="V8" s="70">
        <v>4</v>
      </c>
      <c r="W8" s="70">
        <v>5</v>
      </c>
      <c r="X8" s="70">
        <v>6</v>
      </c>
      <c r="Y8" s="70">
        <v>7</v>
      </c>
      <c r="Z8" s="70">
        <v>8</v>
      </c>
      <c r="AA8" s="56"/>
      <c r="AB8" s="56"/>
      <c r="AC8" s="56"/>
      <c r="AD8" s="56"/>
      <c r="AE8" s="56"/>
      <c r="AF8" s="56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1690"/>
      <c r="AY8" s="1691"/>
      <c r="AZ8" s="1690"/>
      <c r="BA8" s="1696"/>
      <c r="BB8" s="1697"/>
      <c r="BC8" s="1703"/>
      <c r="BD8" s="1599"/>
      <c r="BE8" s="1704"/>
      <c r="BF8" s="1661" t="s">
        <v>167</v>
      </c>
      <c r="BG8" s="1662"/>
      <c r="BH8" s="41"/>
      <c r="BI8" s="41"/>
      <c r="BJ8" s="41"/>
      <c r="BK8" s="41"/>
      <c r="BL8" s="33"/>
      <c r="BM8" s="33"/>
      <c r="BN8" s="33"/>
    </row>
    <row r="9" spans="1:66" ht="21" thickBot="1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52"/>
      <c r="L9" s="33"/>
      <c r="N9" s="53"/>
      <c r="O9" s="1686"/>
      <c r="P9" s="69"/>
      <c r="S9" s="1637" t="s">
        <v>168</v>
      </c>
      <c r="T9" s="1637"/>
      <c r="U9" s="1637"/>
      <c r="V9" s="1637"/>
      <c r="W9" s="1637"/>
      <c r="X9" s="1637"/>
      <c r="Y9" s="1637"/>
      <c r="Z9" s="1637"/>
      <c r="AA9" s="71"/>
      <c r="AB9" s="34"/>
      <c r="AC9" s="33"/>
      <c r="AD9" s="33"/>
      <c r="AE9" s="33"/>
      <c r="AF9" s="33"/>
      <c r="AG9" s="33"/>
      <c r="AH9" s="33"/>
      <c r="AI9" s="33"/>
      <c r="AJ9" s="33"/>
      <c r="AK9" s="33"/>
      <c r="AL9" s="71"/>
      <c r="AM9" s="71"/>
      <c r="AN9" s="71"/>
      <c r="AO9" s="72"/>
      <c r="AP9" s="72"/>
      <c r="AQ9" s="72"/>
      <c r="AR9" s="72"/>
      <c r="AS9" s="47"/>
      <c r="AT9" s="47"/>
      <c r="AU9" s="34"/>
      <c r="AV9" s="33"/>
      <c r="AW9" s="54" t="s">
        <v>151</v>
      </c>
      <c r="AX9" s="1690"/>
      <c r="AY9" s="1691"/>
      <c r="AZ9" s="1690"/>
      <c r="BA9" s="1696"/>
      <c r="BB9" s="1697"/>
      <c r="BC9" s="1703"/>
      <c r="BD9" s="1599"/>
      <c r="BE9" s="1704"/>
      <c r="BF9" s="1663"/>
      <c r="BG9" s="1664"/>
      <c r="BH9" s="41"/>
      <c r="BI9" s="41"/>
      <c r="BJ9" s="41"/>
      <c r="BK9" s="41"/>
      <c r="BL9" s="33"/>
      <c r="BM9" s="33"/>
      <c r="BN9" s="33"/>
    </row>
    <row r="10" spans="1:66" ht="16.5" thickBo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3"/>
      <c r="L10" s="33"/>
      <c r="N10" s="53"/>
      <c r="O10" s="1686"/>
      <c r="P10" s="52"/>
      <c r="Q10" s="52"/>
      <c r="R10" s="52"/>
      <c r="S10" s="47"/>
      <c r="T10" s="47"/>
      <c r="U10" s="73"/>
      <c r="V10" s="73"/>
      <c r="W10" s="34"/>
      <c r="X10" s="33"/>
      <c r="Y10" s="33"/>
      <c r="Z10" s="72"/>
      <c r="AA10" s="72"/>
      <c r="AB10" s="72"/>
      <c r="AC10" s="32"/>
      <c r="AD10" s="47"/>
      <c r="AE10" s="74"/>
      <c r="AF10" s="1667" t="s">
        <v>169</v>
      </c>
      <c r="AG10" s="1667"/>
      <c r="AH10" s="72"/>
      <c r="AI10" s="71"/>
      <c r="AJ10" s="71"/>
      <c r="AK10" s="71"/>
      <c r="AL10" s="71"/>
      <c r="AM10" s="71"/>
      <c r="AN10" s="71"/>
      <c r="AO10" s="75"/>
      <c r="AP10" s="76"/>
      <c r="AQ10" s="77"/>
      <c r="AR10" s="34"/>
      <c r="AS10" s="34"/>
      <c r="AT10" s="47"/>
      <c r="AU10" s="47"/>
      <c r="AV10" s="33"/>
      <c r="AW10" s="54" t="s">
        <v>151</v>
      </c>
      <c r="AX10" s="1690"/>
      <c r="AY10" s="1691"/>
      <c r="AZ10" s="1690"/>
      <c r="BA10" s="1696"/>
      <c r="BB10" s="1697"/>
      <c r="BC10" s="1703"/>
      <c r="BD10" s="1599"/>
      <c r="BE10" s="1704"/>
      <c r="BF10" s="1663"/>
      <c r="BG10" s="1664"/>
      <c r="BH10" s="41"/>
      <c r="BI10" s="41"/>
      <c r="BJ10" s="41"/>
      <c r="BK10" s="41"/>
      <c r="BL10" s="33"/>
      <c r="BM10" s="33"/>
      <c r="BN10" s="33"/>
    </row>
    <row r="11" spans="1:66" ht="16.5" thickBot="1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3"/>
      <c r="L11" s="33"/>
      <c r="N11" s="53"/>
      <c r="O11" s="1687"/>
      <c r="P11" s="52"/>
      <c r="Q11" s="52"/>
      <c r="R11" s="52"/>
      <c r="S11" s="47"/>
      <c r="T11" s="47"/>
      <c r="U11" s="73"/>
      <c r="V11" s="73"/>
      <c r="W11" s="34"/>
      <c r="X11" s="33"/>
      <c r="Y11" s="33"/>
      <c r="Z11" s="72"/>
      <c r="AA11" s="72"/>
      <c r="AB11" s="72"/>
      <c r="AC11" s="34"/>
      <c r="AD11" s="34"/>
      <c r="AE11" s="34"/>
      <c r="AF11" s="78" t="s">
        <v>170</v>
      </c>
      <c r="AG11" s="78" t="s">
        <v>170</v>
      </c>
      <c r="AH11" s="72"/>
      <c r="AI11" s="71"/>
      <c r="AJ11" s="71"/>
      <c r="AK11" s="79" t="s">
        <v>171</v>
      </c>
      <c r="AL11" s="79" t="s">
        <v>171</v>
      </c>
      <c r="AM11" s="71"/>
      <c r="AN11" s="47"/>
      <c r="AO11" s="76"/>
      <c r="AP11" s="77"/>
      <c r="AQ11" s="76"/>
      <c r="AR11" s="34"/>
      <c r="AS11" s="34"/>
      <c r="AT11" s="47"/>
      <c r="AU11" s="47"/>
      <c r="AV11" s="33"/>
      <c r="AW11" s="54" t="s">
        <v>151</v>
      </c>
      <c r="AX11" s="1690"/>
      <c r="AY11" s="1691"/>
      <c r="AZ11" s="1690"/>
      <c r="BA11" s="1696"/>
      <c r="BB11" s="1697"/>
      <c r="BC11" s="1703"/>
      <c r="BD11" s="1599"/>
      <c r="BE11" s="1704"/>
      <c r="BF11" s="1665"/>
      <c r="BG11" s="1666"/>
      <c r="BH11" s="41"/>
      <c r="BI11" s="41"/>
      <c r="BJ11" s="41"/>
      <c r="BK11" s="41"/>
      <c r="BL11" s="33"/>
      <c r="BM11" s="33"/>
      <c r="BN11" s="33"/>
    </row>
    <row r="12" spans="1:66" ht="16.5" thickBo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3"/>
      <c r="L12" s="33"/>
      <c r="N12" s="80"/>
      <c r="O12" s="34"/>
      <c r="P12" s="34"/>
      <c r="Q12" s="52"/>
      <c r="R12" s="34"/>
      <c r="T12" s="34"/>
      <c r="U12" s="34"/>
      <c r="Y12" s="33"/>
      <c r="Z12" s="34"/>
      <c r="AC12" s="34"/>
      <c r="AD12" s="34"/>
      <c r="AE12" s="34"/>
      <c r="AF12" s="78" t="s">
        <v>170</v>
      </c>
      <c r="AG12" s="78" t="s">
        <v>170</v>
      </c>
      <c r="AH12" s="72"/>
      <c r="AI12" s="72"/>
      <c r="AJ12" s="72"/>
      <c r="AK12" s="79" t="s">
        <v>171</v>
      </c>
      <c r="AL12" s="79" t="s">
        <v>171</v>
      </c>
      <c r="AM12" s="71"/>
      <c r="AN12" s="47"/>
      <c r="AO12" s="77"/>
      <c r="AP12" s="76"/>
      <c r="AQ12" s="77"/>
      <c r="AR12" s="34"/>
      <c r="AS12" s="34"/>
      <c r="AT12" s="47"/>
      <c r="AU12" s="47"/>
      <c r="AV12" s="33"/>
      <c r="AW12" s="54" t="s">
        <v>151</v>
      </c>
      <c r="AX12" s="1690"/>
      <c r="AY12" s="1691"/>
      <c r="AZ12" s="1690"/>
      <c r="BA12" s="1696"/>
      <c r="BB12" s="1697"/>
      <c r="BC12" s="1703"/>
      <c r="BD12" s="1599"/>
      <c r="BE12" s="1704"/>
      <c r="BF12" s="32"/>
      <c r="BG12" s="32"/>
      <c r="BH12" s="41"/>
      <c r="BI12" s="41"/>
      <c r="BJ12" s="41"/>
      <c r="BK12" s="41"/>
      <c r="BL12" s="33"/>
      <c r="BM12" s="33"/>
      <c r="BN12" s="33"/>
    </row>
    <row r="13" spans="1:66" ht="16.5" thickBot="1" x14ac:dyDescent="0.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3"/>
      <c r="L13" s="33"/>
      <c r="N13" s="80"/>
      <c r="P13" s="34"/>
      <c r="Q13" s="52"/>
      <c r="R13" s="81" t="s">
        <v>172</v>
      </c>
      <c r="S13" s="81" t="s">
        <v>172</v>
      </c>
      <c r="U13" s="34"/>
      <c r="Y13" s="34"/>
      <c r="Z13" s="34"/>
      <c r="AC13" s="34"/>
      <c r="AD13" s="34"/>
      <c r="AE13" s="72"/>
      <c r="AF13" s="78" t="s">
        <v>170</v>
      </c>
      <c r="AG13" s="78" t="s">
        <v>170</v>
      </c>
      <c r="AH13" s="72"/>
      <c r="AI13" s="72"/>
      <c r="AJ13" s="72"/>
      <c r="AK13" s="79" t="s">
        <v>171</v>
      </c>
      <c r="AL13" s="79" t="s">
        <v>171</v>
      </c>
      <c r="AM13" s="71"/>
      <c r="AN13" s="71"/>
      <c r="AO13" s="47"/>
      <c r="AP13" s="47"/>
      <c r="AQ13" s="47"/>
      <c r="AR13" s="34"/>
      <c r="AS13" s="34"/>
      <c r="AT13" s="47"/>
      <c r="AU13" s="47"/>
      <c r="AV13" s="33"/>
      <c r="AW13" s="54" t="s">
        <v>151</v>
      </c>
      <c r="AX13" s="1690"/>
      <c r="AY13" s="1691"/>
      <c r="AZ13" s="1690"/>
      <c r="BA13" s="1696"/>
      <c r="BB13" s="1697"/>
      <c r="BC13" s="1703"/>
      <c r="BD13" s="1599"/>
      <c r="BE13" s="1704"/>
      <c r="BF13" s="32"/>
      <c r="BG13" s="32"/>
      <c r="BH13" s="41"/>
      <c r="BI13" s="41"/>
      <c r="BJ13" s="41"/>
      <c r="BK13" s="41"/>
      <c r="BL13" s="33"/>
      <c r="BM13" s="33"/>
      <c r="BN13" s="33"/>
    </row>
    <row r="14" spans="1:66" ht="16.5" thickBo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3"/>
      <c r="L14" s="33"/>
      <c r="N14" s="80"/>
      <c r="O14" s="82" t="s">
        <v>173</v>
      </c>
      <c r="P14" s="34"/>
      <c r="Q14" s="52"/>
      <c r="R14" s="81" t="s">
        <v>172</v>
      </c>
      <c r="S14" s="81" t="s">
        <v>172</v>
      </c>
      <c r="U14" s="34"/>
      <c r="Y14" s="34"/>
      <c r="Z14" s="34"/>
      <c r="AA14" s="34"/>
      <c r="AB14" s="34"/>
      <c r="AC14" s="34"/>
      <c r="AD14" s="34"/>
      <c r="AE14" s="72"/>
      <c r="AF14" s="83" t="s">
        <v>174</v>
      </c>
      <c r="AG14" s="83" t="s">
        <v>174</v>
      </c>
      <c r="AI14" s="72"/>
      <c r="AJ14" s="72"/>
      <c r="AK14" s="72"/>
      <c r="AL14" s="72"/>
      <c r="AM14" s="72"/>
      <c r="AN14" s="71"/>
      <c r="AO14" s="71"/>
      <c r="AP14" s="72"/>
      <c r="AQ14" s="72"/>
      <c r="AR14" s="47"/>
      <c r="AS14" s="47"/>
      <c r="AT14" s="47"/>
      <c r="AU14" s="47"/>
      <c r="AV14" s="33"/>
      <c r="AW14" s="72"/>
      <c r="AX14" s="1692"/>
      <c r="AY14" s="1693"/>
      <c r="AZ14" s="1692"/>
      <c r="BA14" s="1698"/>
      <c r="BB14" s="1699"/>
      <c r="BC14" s="1705"/>
      <c r="BD14" s="1706"/>
      <c r="BE14" s="1707"/>
      <c r="BF14" s="32"/>
      <c r="BG14" s="32"/>
      <c r="BH14" s="41"/>
      <c r="BI14" s="41"/>
      <c r="BJ14" s="41"/>
      <c r="BK14" s="41"/>
      <c r="BL14" s="33"/>
      <c r="BM14" s="33"/>
      <c r="BN14" s="33"/>
    </row>
    <row r="15" spans="1:66" ht="21" thickBo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3"/>
      <c r="L15" s="33"/>
      <c r="N15" s="80"/>
      <c r="O15" s="82" t="s">
        <v>173</v>
      </c>
      <c r="P15" s="84"/>
      <c r="Q15" s="84"/>
      <c r="R15" s="81" t="s">
        <v>172</v>
      </c>
      <c r="S15" s="81" t="s">
        <v>172</v>
      </c>
      <c r="T15" s="34"/>
      <c r="U15" s="33"/>
      <c r="Y15" s="33"/>
      <c r="Z15" s="33"/>
      <c r="AA15" s="33"/>
      <c r="AB15" s="33"/>
      <c r="AC15" s="33"/>
      <c r="AD15" s="33"/>
      <c r="AE15" s="72"/>
      <c r="AF15" s="1668" t="s">
        <v>174</v>
      </c>
      <c r="AG15" s="1669"/>
      <c r="AI15" s="72"/>
      <c r="AJ15" s="72"/>
      <c r="AK15" s="72"/>
      <c r="AL15" s="47"/>
      <c r="AM15" s="39"/>
      <c r="AN15" s="85"/>
      <c r="AO15" s="85"/>
      <c r="AP15" s="72"/>
      <c r="AQ15" s="72"/>
      <c r="AR15" s="47"/>
      <c r="AS15" s="47"/>
      <c r="AT15" s="47"/>
      <c r="AU15" s="50"/>
      <c r="AV15" s="50"/>
      <c r="AW15" s="86"/>
      <c r="AX15" s="32"/>
      <c r="AY15" s="32"/>
      <c r="AZ15" s="32"/>
      <c r="BA15" s="47"/>
      <c r="BB15" s="47"/>
      <c r="BC15" s="47"/>
      <c r="BD15" s="47"/>
      <c r="BE15" s="87"/>
      <c r="BF15" s="32"/>
      <c r="BG15" s="32"/>
      <c r="BH15" s="41"/>
      <c r="BI15" s="41"/>
      <c r="BJ15" s="41"/>
      <c r="BK15" s="41"/>
      <c r="BL15" s="33"/>
      <c r="BM15" s="33"/>
      <c r="BN15" s="33"/>
    </row>
    <row r="16" spans="1:66" ht="15.75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3"/>
      <c r="L16" s="33"/>
      <c r="N16" s="80"/>
      <c r="O16" s="82" t="s">
        <v>173</v>
      </c>
      <c r="P16" s="88"/>
      <c r="Q16" s="34"/>
      <c r="R16" s="33"/>
      <c r="S16" s="33"/>
      <c r="T16" s="33"/>
      <c r="U16" s="33"/>
      <c r="V16" s="34"/>
      <c r="W16" s="34"/>
      <c r="X16" s="34"/>
      <c r="Y16" s="33"/>
      <c r="Z16" s="33"/>
      <c r="AA16" s="33"/>
      <c r="AB16" s="33"/>
      <c r="AC16" s="33"/>
      <c r="AD16" s="33"/>
      <c r="AE16" s="72"/>
      <c r="AF16" s="72"/>
      <c r="AI16" s="72"/>
      <c r="AJ16" s="72"/>
      <c r="AK16" s="72"/>
      <c r="AL16" s="47"/>
      <c r="AM16" s="89"/>
      <c r="AN16" s="90"/>
      <c r="AO16" s="72"/>
      <c r="AP16" s="1670" t="s">
        <v>175</v>
      </c>
      <c r="AQ16" s="1671"/>
      <c r="AR16" s="1671"/>
      <c r="AS16" s="1671"/>
      <c r="AT16" s="1672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91"/>
      <c r="BF16" s="47"/>
      <c r="BG16" s="47"/>
      <c r="BH16" s="41"/>
      <c r="BI16" s="41"/>
      <c r="BJ16" s="41"/>
      <c r="BK16" s="41"/>
      <c r="BL16" s="33"/>
      <c r="BM16" s="33"/>
      <c r="BN16" s="33"/>
    </row>
    <row r="17" spans="1:66" ht="23.25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3"/>
      <c r="L17" s="33"/>
      <c r="N17" s="80"/>
      <c r="O17" s="82" t="s">
        <v>173</v>
      </c>
      <c r="P17" s="56"/>
      <c r="Q17" s="92"/>
      <c r="R17" s="33"/>
      <c r="S17" s="33"/>
      <c r="T17" s="33"/>
      <c r="U17" s="33"/>
      <c r="V17" s="34"/>
      <c r="W17" s="93" t="s">
        <v>176</v>
      </c>
      <c r="X17" s="93" t="s">
        <v>176</v>
      </c>
      <c r="Y17" s="84"/>
      <c r="Z17" s="33"/>
      <c r="AA17" s="33"/>
      <c r="AB17" s="33"/>
      <c r="AC17" s="33"/>
      <c r="AE17" s="72"/>
      <c r="AF17" s="72"/>
      <c r="AG17" s="72"/>
      <c r="AH17" s="72"/>
      <c r="AI17" s="72"/>
      <c r="AJ17" s="72"/>
      <c r="AK17" s="72"/>
      <c r="AL17" s="89"/>
      <c r="AM17" s="72"/>
      <c r="AN17" s="72"/>
      <c r="AO17" s="72"/>
      <c r="AP17" s="1673"/>
      <c r="AQ17" s="1674"/>
      <c r="AR17" s="1674"/>
      <c r="AS17" s="1674"/>
      <c r="AT17" s="1675"/>
      <c r="AU17" s="47"/>
      <c r="AV17" s="47"/>
      <c r="AW17" s="94"/>
      <c r="AX17" s="47"/>
      <c r="AY17" s="47"/>
      <c r="AZ17" s="1679" t="s">
        <v>177</v>
      </c>
      <c r="BA17" s="1679"/>
      <c r="BB17" s="47"/>
      <c r="BC17" s="72"/>
      <c r="BD17" s="72"/>
      <c r="BE17" s="95"/>
      <c r="BF17" s="47"/>
      <c r="BG17" s="47"/>
      <c r="BH17" s="41"/>
      <c r="BI17" s="41"/>
      <c r="BJ17" s="41"/>
      <c r="BK17" s="41"/>
      <c r="BL17" s="33"/>
      <c r="BM17" s="33"/>
      <c r="BN17" s="33"/>
    </row>
    <row r="18" spans="1:66" ht="20.25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3"/>
      <c r="L18" s="33"/>
      <c r="N18" s="80"/>
      <c r="O18" s="92"/>
      <c r="P18" s="56"/>
      <c r="Q18" s="92"/>
      <c r="R18" s="33"/>
      <c r="S18" s="33"/>
      <c r="T18" s="33"/>
      <c r="U18" s="33"/>
      <c r="V18" s="34"/>
      <c r="W18" s="93" t="s">
        <v>176</v>
      </c>
      <c r="X18" s="93" t="s">
        <v>176</v>
      </c>
      <c r="Y18" s="33"/>
      <c r="Z18" s="33"/>
      <c r="AA18" s="33"/>
      <c r="AB18" s="33"/>
      <c r="AC18" s="33"/>
      <c r="AE18" s="72"/>
      <c r="AF18" s="72"/>
      <c r="AG18" s="72"/>
      <c r="AH18" s="47"/>
      <c r="AI18" s="47"/>
      <c r="AJ18" s="47"/>
      <c r="AK18" s="89"/>
      <c r="AL18" s="90"/>
      <c r="AM18" s="72"/>
      <c r="AN18" s="72"/>
      <c r="AO18" s="72"/>
      <c r="AP18" s="1673"/>
      <c r="AQ18" s="1674"/>
      <c r="AR18" s="1674"/>
      <c r="AS18" s="1674"/>
      <c r="AT18" s="1675"/>
      <c r="AU18" s="47"/>
      <c r="AV18" s="47"/>
      <c r="AW18" s="47"/>
      <c r="AX18" s="47"/>
      <c r="AY18" s="47"/>
      <c r="AZ18" s="78" t="s">
        <v>170</v>
      </c>
      <c r="BA18" s="78" t="s">
        <v>170</v>
      </c>
      <c r="BB18" s="47"/>
      <c r="BC18" s="72"/>
      <c r="BD18" s="72"/>
      <c r="BE18" s="96" t="s">
        <v>178</v>
      </c>
      <c r="BF18" s="47"/>
      <c r="BG18" s="47"/>
      <c r="BH18" s="41"/>
      <c r="BI18" s="41"/>
      <c r="BJ18" s="41"/>
      <c r="BK18" s="41"/>
      <c r="BL18" s="33"/>
      <c r="BM18" s="33"/>
      <c r="BN18" s="33"/>
    </row>
    <row r="19" spans="1:66" ht="21" thickBot="1" x14ac:dyDescent="0.3">
      <c r="A19" s="34"/>
      <c r="B19" s="34"/>
      <c r="C19" s="34"/>
      <c r="D19" s="52"/>
      <c r="E19" s="52"/>
      <c r="F19" s="52"/>
      <c r="G19" s="52"/>
      <c r="H19" s="52"/>
      <c r="I19" s="52"/>
      <c r="J19" s="52"/>
      <c r="K19" s="33"/>
      <c r="L19" s="33"/>
      <c r="N19" s="80"/>
      <c r="O19" s="92"/>
      <c r="P19" s="56"/>
      <c r="Q19" s="92"/>
      <c r="R19" s="34"/>
      <c r="S19" s="33"/>
      <c r="T19" s="52"/>
      <c r="U19" s="72"/>
      <c r="V19" s="47"/>
      <c r="W19" s="97" t="s">
        <v>176</v>
      </c>
      <c r="X19" s="97" t="s">
        <v>176</v>
      </c>
      <c r="AB19" s="34"/>
      <c r="AC19" s="34"/>
      <c r="AE19" s="72"/>
      <c r="AF19" s="72"/>
      <c r="AG19" s="72"/>
      <c r="AH19" s="98"/>
      <c r="AI19" s="99"/>
      <c r="AJ19" s="47"/>
      <c r="AK19" s="100"/>
      <c r="AL19" s="72"/>
      <c r="AM19" s="72"/>
      <c r="AN19" s="72"/>
      <c r="AO19" s="72"/>
      <c r="AP19" s="1673"/>
      <c r="AQ19" s="1674"/>
      <c r="AR19" s="1674"/>
      <c r="AS19" s="1674"/>
      <c r="AT19" s="1675"/>
      <c r="AU19" s="47"/>
      <c r="AV19" s="47"/>
      <c r="AW19" s="47"/>
      <c r="AX19" s="47"/>
      <c r="AY19" s="47"/>
      <c r="AZ19" s="78" t="s">
        <v>170</v>
      </c>
      <c r="BA19" s="78" t="s">
        <v>170</v>
      </c>
      <c r="BB19" s="47"/>
      <c r="BC19" s="72"/>
      <c r="BD19" s="72"/>
      <c r="BE19" s="96" t="s">
        <v>178</v>
      </c>
      <c r="BF19" s="47"/>
      <c r="BG19" s="47"/>
      <c r="BH19" s="41"/>
      <c r="BI19" s="41"/>
      <c r="BJ19" s="41"/>
      <c r="BK19" s="41"/>
      <c r="BL19" s="33"/>
      <c r="BM19" s="33"/>
      <c r="BN19" s="33"/>
    </row>
    <row r="20" spans="1:66" ht="21" thickBot="1" x14ac:dyDescent="0.3">
      <c r="A20" s="34"/>
      <c r="B20" s="34"/>
      <c r="C20" s="52"/>
      <c r="D20" s="52"/>
      <c r="E20" s="52"/>
      <c r="F20" s="52"/>
      <c r="G20" s="52"/>
      <c r="H20" s="52"/>
      <c r="I20" s="52"/>
      <c r="J20" s="52"/>
      <c r="K20" s="33"/>
      <c r="L20" s="33"/>
      <c r="N20" s="80"/>
      <c r="O20" s="92"/>
      <c r="P20" s="56"/>
      <c r="Q20" s="92"/>
      <c r="R20" s="34"/>
      <c r="S20" s="33"/>
      <c r="T20" s="52"/>
      <c r="U20" s="47"/>
      <c r="V20" s="101" t="s">
        <v>179</v>
      </c>
      <c r="W20" s="1680" t="s">
        <v>180</v>
      </c>
      <c r="X20" s="1681"/>
      <c r="Y20" s="101" t="s">
        <v>179</v>
      </c>
      <c r="AB20" s="72"/>
      <c r="AC20" s="72"/>
      <c r="AD20" s="72"/>
      <c r="AE20" s="74"/>
      <c r="AF20" s="72"/>
      <c r="AG20" s="72"/>
      <c r="AH20" s="47"/>
      <c r="AI20" s="47"/>
      <c r="AJ20" s="47"/>
      <c r="AK20" s="47"/>
      <c r="AL20" s="39"/>
      <c r="AM20" s="71"/>
      <c r="AN20" s="71"/>
      <c r="AO20" s="71"/>
      <c r="AP20" s="1673"/>
      <c r="AQ20" s="1674"/>
      <c r="AR20" s="1674"/>
      <c r="AS20" s="1674"/>
      <c r="AT20" s="1675"/>
      <c r="AU20" s="47"/>
      <c r="AV20" s="47"/>
      <c r="AW20" s="47"/>
      <c r="AX20" s="47"/>
      <c r="AY20" s="47"/>
      <c r="AZ20" s="78" t="s">
        <v>170</v>
      </c>
      <c r="BA20" s="78" t="s">
        <v>170</v>
      </c>
      <c r="BB20" s="47"/>
      <c r="BC20" s="72"/>
      <c r="BD20" s="72"/>
      <c r="BE20" s="96" t="s">
        <v>178</v>
      </c>
      <c r="BF20" s="47"/>
      <c r="BG20" s="47"/>
      <c r="BH20" s="41"/>
      <c r="BI20" s="41"/>
      <c r="BJ20" s="41"/>
      <c r="BK20" s="41"/>
      <c r="BL20" s="33"/>
      <c r="BM20" s="33"/>
      <c r="BN20" s="33"/>
    </row>
    <row r="21" spans="1:66" ht="20.25" x14ac:dyDescent="0.25">
      <c r="A21" s="34"/>
      <c r="B21" s="34"/>
      <c r="C21" s="52"/>
      <c r="D21" s="52"/>
      <c r="E21" s="52"/>
      <c r="F21" s="52"/>
      <c r="G21" s="52"/>
      <c r="H21" s="52"/>
      <c r="I21" s="52"/>
      <c r="J21" s="52"/>
      <c r="K21" s="33"/>
      <c r="L21" s="33"/>
      <c r="N21" s="80"/>
      <c r="O21" s="92"/>
      <c r="P21" s="56"/>
      <c r="Q21" s="92"/>
      <c r="R21" s="33"/>
      <c r="S21" s="33"/>
      <c r="T21" s="47"/>
      <c r="U21" s="47"/>
      <c r="W21" s="102" t="s">
        <v>179</v>
      </c>
      <c r="X21" s="102" t="s">
        <v>179</v>
      </c>
      <c r="AB21" s="103"/>
      <c r="AC21" s="103"/>
      <c r="AD21" s="103"/>
      <c r="AE21" s="74"/>
      <c r="AF21" s="47"/>
      <c r="AG21" s="47"/>
      <c r="AH21" s="47"/>
      <c r="AI21" s="47"/>
      <c r="AJ21" s="47"/>
      <c r="AK21" s="47"/>
      <c r="AL21" s="47"/>
      <c r="AM21" s="71"/>
      <c r="AN21" s="71"/>
      <c r="AO21" s="71"/>
      <c r="AP21" s="1673"/>
      <c r="AQ21" s="1674"/>
      <c r="AR21" s="1674"/>
      <c r="AS21" s="1674"/>
      <c r="AT21" s="1675"/>
      <c r="AU21" s="47"/>
      <c r="AV21" s="72"/>
      <c r="AW21" s="72"/>
      <c r="AX21" s="47"/>
      <c r="AY21" s="47"/>
      <c r="AZ21" s="1682" t="s">
        <v>181</v>
      </c>
      <c r="BA21" s="1682"/>
      <c r="BB21" s="47"/>
      <c r="BC21" s="72"/>
      <c r="BD21" s="72"/>
      <c r="BE21" s="96" t="s">
        <v>178</v>
      </c>
      <c r="BF21" s="47"/>
      <c r="BG21" s="47"/>
      <c r="BH21" s="47"/>
      <c r="BI21" s="41"/>
      <c r="BJ21" s="41"/>
      <c r="BK21" s="41"/>
      <c r="BL21" s="33"/>
      <c r="BM21" s="33"/>
      <c r="BN21" s="33"/>
    </row>
    <row r="22" spans="1:66" ht="21" thickBot="1" x14ac:dyDescent="0.3">
      <c r="A22" s="34"/>
      <c r="B22" s="34"/>
      <c r="C22" s="52"/>
      <c r="D22" s="52"/>
      <c r="E22" s="52"/>
      <c r="F22" s="52"/>
      <c r="G22" s="52"/>
      <c r="H22" s="52"/>
      <c r="I22" s="52"/>
      <c r="J22" s="52"/>
      <c r="K22" s="33"/>
      <c r="L22" s="33"/>
      <c r="N22" s="53"/>
      <c r="O22" s="92"/>
      <c r="P22" s="56"/>
      <c r="Q22" s="92"/>
      <c r="R22" s="33"/>
      <c r="S22" s="47"/>
      <c r="T22" s="47"/>
      <c r="U22" s="47"/>
      <c r="V22" s="47"/>
      <c r="Y22" s="72"/>
      <c r="Z22" s="72"/>
      <c r="AA22" s="72"/>
      <c r="AB22" s="72"/>
      <c r="AC22" s="72"/>
      <c r="AD22" s="72"/>
      <c r="AE22" s="73"/>
      <c r="AF22" s="103"/>
      <c r="AG22" s="73"/>
      <c r="AH22" s="72"/>
      <c r="AI22" s="72"/>
      <c r="AJ22" s="47"/>
      <c r="AK22" s="72"/>
      <c r="AL22" s="47"/>
      <c r="AM22" s="71"/>
      <c r="AN22" s="71"/>
      <c r="AO22" s="71"/>
      <c r="AP22" s="1676"/>
      <c r="AQ22" s="1677"/>
      <c r="AR22" s="1677"/>
      <c r="AS22" s="1677"/>
      <c r="AT22" s="1678"/>
      <c r="AU22" s="47"/>
      <c r="AV22" s="72"/>
      <c r="AW22" s="72"/>
      <c r="AX22" s="47"/>
      <c r="AY22" s="47"/>
      <c r="AZ22" s="104" t="s">
        <v>182</v>
      </c>
      <c r="BA22" s="104" t="s">
        <v>182</v>
      </c>
      <c r="BB22" s="47"/>
      <c r="BC22" s="72"/>
      <c r="BD22" s="72"/>
      <c r="BE22" s="96" t="s">
        <v>178</v>
      </c>
      <c r="BF22" s="47"/>
      <c r="BG22" s="47"/>
      <c r="BH22" s="41"/>
      <c r="BI22" s="47"/>
      <c r="BJ22" s="47"/>
      <c r="BK22" s="47"/>
      <c r="BL22" s="33"/>
      <c r="BM22" s="33"/>
      <c r="BN22" s="33"/>
    </row>
    <row r="23" spans="1:66" ht="21" x14ac:dyDescent="0.25">
      <c r="A23" s="34"/>
      <c r="B23" s="34"/>
      <c r="C23" s="52"/>
      <c r="D23" s="52"/>
      <c r="E23" s="52"/>
      <c r="F23" s="52"/>
      <c r="G23" s="52"/>
      <c r="H23" s="52"/>
      <c r="I23" s="52"/>
      <c r="J23" s="52"/>
      <c r="K23" s="33"/>
      <c r="L23" s="33"/>
      <c r="N23" s="53"/>
      <c r="O23" s="92"/>
      <c r="P23" s="56"/>
      <c r="Q23" s="92"/>
      <c r="V23" s="105"/>
      <c r="W23" s="105"/>
      <c r="X23" s="105"/>
      <c r="Y23" s="84"/>
      <c r="AA23" s="84"/>
      <c r="AB23" s="84"/>
      <c r="AC23" s="72"/>
      <c r="AD23" s="103"/>
      <c r="AE23" s="73"/>
      <c r="AF23" s="106"/>
      <c r="AG23" s="47"/>
      <c r="AH23" s="72"/>
      <c r="AI23" s="72"/>
      <c r="AJ23" s="47"/>
      <c r="AK23" s="72"/>
      <c r="AL23" s="47"/>
      <c r="AM23" s="71"/>
      <c r="AN23" s="71"/>
      <c r="AO23" s="71"/>
      <c r="AP23" s="71"/>
      <c r="AQ23" s="71"/>
      <c r="AR23" s="71"/>
      <c r="AS23" s="71"/>
      <c r="AT23" s="71"/>
      <c r="AU23" s="47"/>
      <c r="AV23" s="72"/>
      <c r="AW23" s="72"/>
      <c r="AX23" s="47"/>
      <c r="AY23" s="47"/>
      <c r="AZ23" s="104" t="s">
        <v>182</v>
      </c>
      <c r="BA23" s="104" t="s">
        <v>182</v>
      </c>
      <c r="BD23" s="72"/>
      <c r="BE23" s="95"/>
      <c r="BF23" s="47"/>
      <c r="BG23" s="47"/>
      <c r="BH23" s="41"/>
      <c r="BI23" s="47"/>
      <c r="BJ23" s="47"/>
      <c r="BK23" s="47"/>
      <c r="BL23" s="33"/>
      <c r="BM23" s="33"/>
      <c r="BN23" s="33"/>
    </row>
    <row r="24" spans="1:66" ht="20.25" x14ac:dyDescent="0.25">
      <c r="A24" s="34"/>
      <c r="B24" s="34"/>
      <c r="C24" s="52"/>
      <c r="D24" s="52"/>
      <c r="E24" s="52"/>
      <c r="F24" s="52"/>
      <c r="G24" s="52"/>
      <c r="H24" s="52"/>
      <c r="I24" s="52"/>
      <c r="J24" s="52"/>
      <c r="K24" s="33"/>
      <c r="L24" s="33"/>
      <c r="N24" s="53"/>
      <c r="O24" s="92"/>
      <c r="P24" s="56"/>
      <c r="Q24" s="92"/>
      <c r="V24" s="107"/>
      <c r="W24" s="107"/>
      <c r="X24" s="107"/>
      <c r="Y24" s="107"/>
      <c r="Z24" s="107"/>
      <c r="AA24" s="107"/>
      <c r="AB24" s="107"/>
      <c r="AC24" s="108"/>
      <c r="AD24" s="103"/>
      <c r="AE24" s="106"/>
      <c r="AF24" s="72"/>
      <c r="AG24" s="109" t="s">
        <v>183</v>
      </c>
      <c r="AH24" s="33"/>
      <c r="AI24" s="72"/>
      <c r="AJ24" s="47"/>
      <c r="AK24" s="72"/>
      <c r="AL24" s="47"/>
      <c r="AM24" s="71"/>
      <c r="AN24" s="71"/>
      <c r="AO24" s="71"/>
      <c r="AP24" s="71"/>
      <c r="AQ24" s="71"/>
      <c r="AR24" s="71"/>
      <c r="AS24" s="72"/>
      <c r="AT24" s="34"/>
      <c r="AU24" s="47"/>
      <c r="AV24" s="72"/>
      <c r="AW24" s="72"/>
      <c r="AX24" s="47"/>
      <c r="AY24" s="47"/>
      <c r="AZ24" s="104" t="s">
        <v>182</v>
      </c>
      <c r="BA24" s="104" t="s">
        <v>182</v>
      </c>
      <c r="BD24" s="72"/>
      <c r="BE24" s="95"/>
      <c r="BF24" s="47"/>
      <c r="BG24" s="47"/>
      <c r="BH24" s="41"/>
      <c r="BI24" s="47"/>
      <c r="BJ24" s="47"/>
      <c r="BK24" s="47"/>
      <c r="BL24" s="33"/>
      <c r="BM24" s="33"/>
      <c r="BN24" s="33"/>
    </row>
    <row r="25" spans="1:66" ht="20.25" x14ac:dyDescent="0.25">
      <c r="A25" s="34"/>
      <c r="B25" s="34"/>
      <c r="C25" s="52"/>
      <c r="N25" s="110"/>
      <c r="O25" s="92"/>
      <c r="V25" s="111"/>
      <c r="W25" s="111"/>
      <c r="X25" s="111"/>
      <c r="Y25" s="56"/>
      <c r="Z25" s="56"/>
      <c r="AA25" s="56"/>
      <c r="AB25" s="56"/>
      <c r="AC25" s="66"/>
      <c r="AD25" s="112"/>
      <c r="AE25" s="113"/>
      <c r="AF25" s="72"/>
      <c r="AG25" s="109" t="s">
        <v>183</v>
      </c>
      <c r="AH25" s="33"/>
      <c r="AI25" s="72"/>
      <c r="AJ25" s="47"/>
      <c r="AK25" s="72"/>
      <c r="AL25" s="47"/>
      <c r="AM25" s="71"/>
      <c r="AN25" s="71"/>
      <c r="AO25" s="71"/>
      <c r="AP25" s="71"/>
      <c r="AQ25" s="71"/>
      <c r="AR25" s="71"/>
      <c r="AS25" s="47"/>
      <c r="AT25" s="72"/>
      <c r="AU25" s="72"/>
      <c r="AV25" s="72"/>
      <c r="AW25" s="72"/>
      <c r="AX25" s="47"/>
      <c r="AY25" s="47"/>
      <c r="BD25" s="72"/>
      <c r="BE25" s="114"/>
      <c r="BF25" s="47"/>
      <c r="BG25" s="47"/>
      <c r="BH25" s="41"/>
      <c r="BI25" s="47"/>
      <c r="BJ25" s="47"/>
      <c r="BK25" s="47"/>
      <c r="BL25" s="33"/>
      <c r="BM25" s="33"/>
      <c r="BN25" s="33"/>
    </row>
    <row r="26" spans="1:66" ht="23.25" x14ac:dyDescent="0.25">
      <c r="A26" s="34"/>
      <c r="B26" s="34"/>
      <c r="C26" s="52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0"/>
      <c r="O26" s="116"/>
      <c r="P26" s="84"/>
      <c r="V26" s="117"/>
      <c r="W26" s="117"/>
      <c r="X26" s="117"/>
      <c r="Y26" s="118"/>
      <c r="Z26" s="118"/>
      <c r="AA26" s="119"/>
      <c r="AB26" s="119"/>
      <c r="AC26" s="56"/>
      <c r="AD26" s="120" t="s">
        <v>184</v>
      </c>
      <c r="AE26" s="113"/>
      <c r="AF26" s="72"/>
      <c r="AG26" s="109" t="s">
        <v>183</v>
      </c>
      <c r="AH26" s="33"/>
      <c r="AI26" s="72"/>
      <c r="AJ26" s="72"/>
      <c r="AK26" s="121"/>
      <c r="AL26" s="47"/>
      <c r="AM26" s="71"/>
      <c r="AN26" s="71"/>
      <c r="AO26" s="71"/>
      <c r="AP26" s="71"/>
      <c r="AQ26" s="71"/>
      <c r="AR26" s="72"/>
      <c r="AS26" s="122"/>
      <c r="AT26" s="72"/>
      <c r="AU26" s="72"/>
      <c r="AV26" s="47"/>
      <c r="AW26" s="47"/>
      <c r="AX26" s="47"/>
      <c r="AY26" s="47"/>
      <c r="BD26" s="72"/>
      <c r="BE26" s="91"/>
      <c r="BF26" s="47"/>
      <c r="BG26" s="47"/>
      <c r="BH26" s="41"/>
      <c r="BI26" s="47"/>
      <c r="BJ26" s="47"/>
      <c r="BK26" s="47"/>
      <c r="BL26" s="33"/>
      <c r="BM26" s="33"/>
      <c r="BN26" s="33"/>
    </row>
    <row r="27" spans="1:66" ht="15.75" x14ac:dyDescent="0.25">
      <c r="A27" s="34"/>
      <c r="B27" s="52"/>
      <c r="C27" s="52"/>
      <c r="N27" s="110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47"/>
      <c r="Z27" s="47"/>
      <c r="AA27" s="72"/>
      <c r="AB27" s="72"/>
      <c r="AC27" s="72"/>
      <c r="AD27" s="101" t="s">
        <v>179</v>
      </c>
      <c r="AE27" s="47"/>
      <c r="AF27" s="72"/>
      <c r="AG27" s="109" t="s">
        <v>183</v>
      </c>
      <c r="AH27" s="33"/>
      <c r="AI27" s="72"/>
      <c r="AJ27" s="47"/>
      <c r="AK27" s="47"/>
      <c r="AL27" s="47"/>
      <c r="AM27" s="71"/>
      <c r="AN27" s="71"/>
      <c r="AO27" s="71"/>
      <c r="AP27" s="71"/>
      <c r="AQ27" s="71"/>
      <c r="AR27" s="72"/>
      <c r="AS27" s="47"/>
      <c r="AT27" s="72"/>
      <c r="AU27" s="72"/>
      <c r="AV27" s="47"/>
      <c r="AW27" s="47"/>
      <c r="AX27" s="47"/>
      <c r="AY27" s="47"/>
      <c r="BD27" s="72"/>
      <c r="BE27" s="91"/>
      <c r="BF27" s="47"/>
      <c r="BG27" s="47"/>
      <c r="BH27" s="41"/>
      <c r="BI27" s="47"/>
      <c r="BJ27" s="47"/>
      <c r="BK27" s="47"/>
      <c r="BL27" s="33"/>
      <c r="BM27" s="33"/>
      <c r="BN27" s="33"/>
    </row>
    <row r="28" spans="1:66" ht="21.75" thickBot="1" x14ac:dyDescent="0.3">
      <c r="A28" s="34"/>
      <c r="B28" s="52"/>
      <c r="C28" s="123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5"/>
      <c r="O28" s="33"/>
      <c r="P28" s="1613" t="s">
        <v>185</v>
      </c>
      <c r="Q28" s="1613"/>
      <c r="R28" s="1613"/>
      <c r="S28" s="1613"/>
      <c r="T28" s="1613"/>
      <c r="U28" s="1613"/>
      <c r="V28" s="1613"/>
      <c r="AA28" s="127"/>
      <c r="AB28" s="127"/>
      <c r="AC28" s="127"/>
      <c r="AD28" s="101" t="s">
        <v>179</v>
      </c>
      <c r="AE28" s="113"/>
      <c r="AF28" s="47"/>
      <c r="AG28" s="47"/>
      <c r="AH28" s="47"/>
      <c r="AI28" s="47"/>
      <c r="AJ28" s="47"/>
      <c r="AK28" s="71"/>
      <c r="AL28" s="90"/>
      <c r="AM28" s="72"/>
      <c r="AN28" s="72"/>
      <c r="AO28" s="72"/>
      <c r="AP28" s="72"/>
      <c r="AQ28" s="72"/>
      <c r="AR28" s="72"/>
      <c r="AS28" s="47"/>
      <c r="AT28" s="47"/>
      <c r="AU28" s="47"/>
      <c r="AV28" s="47"/>
      <c r="AW28" s="47"/>
      <c r="AX28" s="47"/>
      <c r="AY28" s="72"/>
      <c r="BD28" s="72"/>
      <c r="BE28" s="91"/>
      <c r="BF28" s="47"/>
      <c r="BG28" s="47"/>
      <c r="BH28" s="41"/>
      <c r="BI28" s="47"/>
      <c r="BJ28" s="47"/>
      <c r="BK28" s="47"/>
      <c r="BL28" s="33"/>
      <c r="BM28" s="33"/>
      <c r="BN28" s="33"/>
    </row>
    <row r="29" spans="1:66" ht="26.25" thickBot="1" x14ac:dyDescent="0.3">
      <c r="A29" s="52"/>
      <c r="B29" s="52"/>
      <c r="C29" s="123"/>
      <c r="D29" s="128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129"/>
      <c r="P29" s="33"/>
      <c r="Q29" s="70">
        <v>1</v>
      </c>
      <c r="R29" s="70">
        <v>2</v>
      </c>
      <c r="S29" s="70">
        <v>3</v>
      </c>
      <c r="T29" s="70">
        <v>4</v>
      </c>
      <c r="U29" s="70">
        <v>5</v>
      </c>
      <c r="AA29" s="72"/>
      <c r="AB29" s="47"/>
      <c r="AC29" s="47"/>
      <c r="AD29" s="101" t="s">
        <v>179</v>
      </c>
      <c r="AE29" s="113"/>
      <c r="AF29" s="47"/>
      <c r="AG29" s="130"/>
      <c r="AH29" s="131"/>
      <c r="AI29" s="131"/>
      <c r="AJ29" s="131"/>
      <c r="AK29" s="131"/>
      <c r="AL29" s="131"/>
      <c r="AM29" s="131"/>
      <c r="AN29" s="131"/>
      <c r="AO29" s="131"/>
      <c r="AP29" s="131"/>
      <c r="AQ29" s="132"/>
      <c r="AR29" s="47"/>
      <c r="AS29" s="47"/>
      <c r="AU29" s="47"/>
      <c r="AV29" s="47"/>
      <c r="AW29" s="47"/>
      <c r="AX29" s="47"/>
      <c r="AY29" s="72"/>
      <c r="BD29" s="72"/>
      <c r="BE29" s="114"/>
      <c r="BF29" s="47"/>
      <c r="BG29" s="47"/>
      <c r="BH29" s="41"/>
      <c r="BI29" s="47"/>
      <c r="BJ29" s="47"/>
      <c r="BK29" s="47"/>
      <c r="BL29" s="33"/>
      <c r="BM29" s="33"/>
      <c r="BN29" s="33"/>
    </row>
    <row r="30" spans="1:66" ht="25.5" x14ac:dyDescent="0.25">
      <c r="A30" s="52"/>
      <c r="B30" s="52"/>
      <c r="C30" s="123"/>
      <c r="D30" s="133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66"/>
      <c r="P30" s="33"/>
      <c r="Q30" s="134" t="s">
        <v>164</v>
      </c>
      <c r="R30" s="134" t="s">
        <v>164</v>
      </c>
      <c r="S30" s="134" t="s">
        <v>164</v>
      </c>
      <c r="T30" s="134" t="s">
        <v>164</v>
      </c>
      <c r="U30" s="134" t="s">
        <v>164</v>
      </c>
      <c r="X30" s="1658" t="s">
        <v>186</v>
      </c>
      <c r="Y30" s="1658"/>
      <c r="Z30" s="1658"/>
      <c r="AA30" s="72"/>
      <c r="AB30" s="72"/>
      <c r="AC30" s="72"/>
      <c r="AD30" s="101" t="s">
        <v>179</v>
      </c>
      <c r="AE30" s="113"/>
      <c r="AF30" s="47"/>
      <c r="AG30" s="135"/>
      <c r="AH30" s="136"/>
      <c r="AI30" s="136"/>
      <c r="AJ30" s="136"/>
      <c r="AK30" s="136"/>
      <c r="AL30" s="136"/>
      <c r="AM30" s="136"/>
      <c r="AN30" s="136"/>
      <c r="AO30" s="136"/>
      <c r="AP30" s="136"/>
      <c r="AQ30" s="137"/>
      <c r="AR30" s="47"/>
      <c r="AS30" s="47"/>
      <c r="AU30" s="47"/>
      <c r="AV30" s="72"/>
      <c r="AW30" s="72"/>
      <c r="AX30" s="72"/>
      <c r="AY30" s="72"/>
      <c r="AZ30" s="72"/>
      <c r="BA30" s="72"/>
      <c r="BB30" s="72"/>
      <c r="BC30" s="72"/>
      <c r="BD30" s="1584" t="s">
        <v>180</v>
      </c>
      <c r="BE30" s="1586"/>
      <c r="BF30" s="47"/>
      <c r="BG30" s="47"/>
      <c r="BH30" s="41"/>
      <c r="BI30" s="47"/>
      <c r="BJ30" s="47"/>
      <c r="BK30" s="47"/>
      <c r="BL30" s="33"/>
      <c r="BM30" s="33"/>
      <c r="BN30" s="33"/>
    </row>
    <row r="31" spans="1:66" ht="25.5" x14ac:dyDescent="0.25">
      <c r="A31" s="52"/>
      <c r="B31" s="52"/>
      <c r="C31" s="123"/>
      <c r="D31" s="138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33"/>
      <c r="P31" s="134"/>
      <c r="Q31" s="55" t="s">
        <v>48</v>
      </c>
      <c r="R31" s="55" t="s">
        <v>48</v>
      </c>
      <c r="S31" s="55" t="s">
        <v>48</v>
      </c>
      <c r="T31" s="55" t="s">
        <v>48</v>
      </c>
      <c r="U31" s="55" t="s">
        <v>48</v>
      </c>
      <c r="V31" s="134"/>
      <c r="X31" s="139" t="s">
        <v>187</v>
      </c>
      <c r="Y31" s="139" t="s">
        <v>187</v>
      </c>
      <c r="Z31" s="139" t="s">
        <v>187</v>
      </c>
      <c r="AB31" s="72"/>
      <c r="AC31" s="72"/>
      <c r="AD31" s="33"/>
      <c r="AE31" s="113"/>
      <c r="AF31" s="47"/>
      <c r="AG31" s="135"/>
      <c r="AH31" s="136"/>
      <c r="AI31" s="136"/>
      <c r="AJ31" s="136"/>
      <c r="AK31" s="136"/>
      <c r="AL31" s="136"/>
      <c r="AM31" s="136"/>
      <c r="AN31" s="136"/>
      <c r="AO31" s="136"/>
      <c r="AP31" s="136"/>
      <c r="AQ31" s="137"/>
      <c r="AR31" s="47"/>
      <c r="AS31" s="47"/>
      <c r="AU31" s="47"/>
      <c r="AV31" s="72"/>
      <c r="AW31" s="72"/>
      <c r="AX31" s="72"/>
      <c r="AY31" s="72"/>
      <c r="AZ31" s="72"/>
      <c r="BA31" s="72"/>
      <c r="BB31" s="72"/>
      <c r="BC31" s="72"/>
      <c r="BD31" s="1587"/>
      <c r="BE31" s="1589"/>
      <c r="BF31" s="47"/>
      <c r="BG31" s="47"/>
      <c r="BH31" s="47"/>
      <c r="BI31" s="47"/>
      <c r="BJ31" s="47"/>
      <c r="BK31" s="47"/>
      <c r="BL31" s="33"/>
      <c r="BM31" s="33"/>
      <c r="BN31" s="33"/>
    </row>
    <row r="32" spans="1:66" ht="26.25" thickBot="1" x14ac:dyDescent="0.3">
      <c r="A32" s="52"/>
      <c r="B32" s="52"/>
      <c r="C32" s="140"/>
      <c r="D32" s="47"/>
      <c r="E32" s="1291"/>
      <c r="F32" s="1291"/>
      <c r="G32" s="1291"/>
      <c r="H32" s="1291"/>
      <c r="I32" s="1291"/>
      <c r="J32" s="1291"/>
      <c r="K32" s="1291"/>
      <c r="L32" s="1291"/>
      <c r="M32" s="1291"/>
      <c r="N32" s="1291"/>
      <c r="O32" s="33"/>
      <c r="P32" s="134"/>
      <c r="Q32" s="55" t="s">
        <v>48</v>
      </c>
      <c r="R32" s="55" t="s">
        <v>48</v>
      </c>
      <c r="S32" s="55" t="s">
        <v>48</v>
      </c>
      <c r="T32" s="55" t="s">
        <v>48</v>
      </c>
      <c r="U32" s="55" t="s">
        <v>48</v>
      </c>
      <c r="V32" s="134"/>
      <c r="W32" s="33"/>
      <c r="X32" s="139" t="s">
        <v>187</v>
      </c>
      <c r="Y32" s="139" t="s">
        <v>187</v>
      </c>
      <c r="Z32" s="139" t="s">
        <v>187</v>
      </c>
      <c r="AA32" s="72"/>
      <c r="AB32" s="72"/>
      <c r="AC32" s="72"/>
      <c r="AD32" s="33"/>
      <c r="AE32" s="113"/>
      <c r="AF32" s="47"/>
      <c r="AG32" s="135"/>
      <c r="AH32" s="136"/>
      <c r="AI32" s="136"/>
      <c r="AJ32" s="136"/>
      <c r="AK32" s="136"/>
      <c r="AL32" s="136"/>
      <c r="AM32" s="136"/>
      <c r="AN32" s="136"/>
      <c r="AO32" s="136"/>
      <c r="AP32" s="136"/>
      <c r="AQ32" s="137"/>
      <c r="AR32" s="47"/>
      <c r="AS32" s="47"/>
      <c r="AU32" s="47"/>
      <c r="AV32" s="72"/>
      <c r="AW32" s="72"/>
      <c r="AX32" s="72"/>
      <c r="AY32" s="72"/>
      <c r="AZ32" s="72"/>
      <c r="BA32" s="72"/>
      <c r="BB32" s="72"/>
      <c r="BC32" s="72"/>
      <c r="BD32" s="1590"/>
      <c r="BE32" s="1592"/>
      <c r="BF32" s="47"/>
      <c r="BG32" s="47"/>
      <c r="BH32" s="47"/>
      <c r="BI32" s="47"/>
      <c r="BJ32" s="47"/>
      <c r="BK32" s="47"/>
      <c r="BL32" s="33"/>
      <c r="BM32" s="33"/>
      <c r="BN32" s="33"/>
    </row>
    <row r="33" spans="1:66" ht="26.25" thickBot="1" x14ac:dyDescent="0.3">
      <c r="A33" s="52"/>
      <c r="B33" s="52"/>
      <c r="C33" s="140"/>
      <c r="D33" s="47"/>
      <c r="E33" s="33"/>
      <c r="F33" s="34"/>
      <c r="G33" s="34"/>
      <c r="H33" s="34"/>
      <c r="I33" s="34"/>
      <c r="J33" s="47"/>
      <c r="K33" s="47"/>
      <c r="L33" s="34"/>
      <c r="M33" s="34"/>
      <c r="N33" s="52"/>
      <c r="O33" s="33"/>
      <c r="P33" s="33"/>
      <c r="Q33" s="134" t="s">
        <v>164</v>
      </c>
      <c r="R33" s="134" t="s">
        <v>164</v>
      </c>
      <c r="S33" s="134" t="s">
        <v>164</v>
      </c>
      <c r="T33" s="134" t="s">
        <v>164</v>
      </c>
      <c r="U33" s="134" t="s">
        <v>164</v>
      </c>
      <c r="V33" s="34"/>
      <c r="W33" s="47"/>
      <c r="X33" s="47"/>
      <c r="Y33" s="47"/>
      <c r="Z33" s="47"/>
      <c r="AA33" s="72"/>
      <c r="AB33" s="72"/>
      <c r="AC33" s="72"/>
      <c r="AD33" s="33"/>
      <c r="AE33" s="113"/>
      <c r="AF33" s="47"/>
      <c r="AG33" s="135"/>
      <c r="AH33" s="136"/>
      <c r="AI33" s="136"/>
      <c r="AJ33" s="136"/>
      <c r="AK33" s="136"/>
      <c r="AL33" s="136"/>
      <c r="AM33" s="136"/>
      <c r="AN33" s="136"/>
      <c r="AO33" s="136"/>
      <c r="AP33" s="136"/>
      <c r="AQ33" s="137"/>
      <c r="AR33" s="47"/>
      <c r="AS33" s="47"/>
      <c r="AT33" s="141"/>
      <c r="AU33" s="47"/>
      <c r="AV33" s="72"/>
      <c r="AW33" s="72"/>
      <c r="AX33" s="72"/>
      <c r="AY33" s="72"/>
      <c r="AZ33" s="72"/>
      <c r="BA33" s="72"/>
      <c r="BB33" s="72"/>
      <c r="BC33" s="72"/>
      <c r="BD33" s="72"/>
      <c r="BE33" s="95"/>
      <c r="BF33" s="47"/>
      <c r="BG33" s="47"/>
      <c r="BH33" s="47"/>
      <c r="BI33" s="47"/>
      <c r="BJ33" s="47"/>
      <c r="BK33" s="47"/>
      <c r="BL33" s="33"/>
      <c r="BM33" s="33"/>
      <c r="BN33" s="33"/>
    </row>
    <row r="34" spans="1:66" ht="26.25" thickBot="1" x14ac:dyDescent="0.3">
      <c r="A34" s="52"/>
      <c r="B34" s="52"/>
      <c r="C34" s="140"/>
      <c r="D34" s="47"/>
      <c r="F34" s="1292" t="s">
        <v>188</v>
      </c>
      <c r="G34" s="1293"/>
      <c r="H34" s="1293"/>
      <c r="I34" s="1293"/>
      <c r="J34" s="1293"/>
      <c r="K34" s="1294"/>
      <c r="L34" s="34"/>
      <c r="M34" s="34"/>
      <c r="N34" s="52"/>
      <c r="O34" s="33"/>
      <c r="P34" s="33"/>
      <c r="Q34" s="70">
        <v>6</v>
      </c>
      <c r="R34" s="70">
        <v>7</v>
      </c>
      <c r="S34" s="70">
        <v>8</v>
      </c>
      <c r="T34" s="70">
        <v>9</v>
      </c>
      <c r="U34" s="70">
        <v>10</v>
      </c>
      <c r="V34" s="34"/>
      <c r="W34" s="47"/>
      <c r="X34" s="47"/>
      <c r="Y34" s="47"/>
      <c r="Z34" s="47"/>
      <c r="AA34" s="72"/>
      <c r="AB34" s="47"/>
      <c r="AC34" s="47"/>
      <c r="AD34" s="33"/>
      <c r="AE34" s="113"/>
      <c r="AF34" s="47"/>
      <c r="AG34" s="142"/>
      <c r="AH34" s="143"/>
      <c r="AI34" s="143"/>
      <c r="AJ34" s="143"/>
      <c r="AK34" s="143"/>
      <c r="AL34" s="143"/>
      <c r="AM34" s="143"/>
      <c r="AN34" s="143"/>
      <c r="AO34" s="143"/>
      <c r="AP34" s="143"/>
      <c r="AQ34" s="144"/>
      <c r="AR34" s="145"/>
      <c r="AS34" s="146"/>
      <c r="AT34" s="141"/>
      <c r="AU34" s="47"/>
      <c r="AV34" s="72"/>
      <c r="AW34" s="72"/>
      <c r="AX34" s="72"/>
      <c r="AY34" s="72"/>
      <c r="AZ34" s="72"/>
      <c r="BA34" s="72"/>
      <c r="BB34" s="72"/>
      <c r="BC34" s="72"/>
      <c r="BD34" s="72"/>
      <c r="BE34" s="95"/>
      <c r="BF34" s="47"/>
      <c r="BG34" s="47"/>
      <c r="BH34" s="47"/>
      <c r="BI34" s="47"/>
      <c r="BJ34" s="47"/>
      <c r="BK34" s="47"/>
      <c r="BL34" s="33"/>
      <c r="BM34" s="33"/>
      <c r="BN34" s="33"/>
    </row>
    <row r="35" spans="1:66" ht="15.75" x14ac:dyDescent="0.25">
      <c r="A35" s="52"/>
      <c r="B35" s="52"/>
      <c r="C35" s="140"/>
      <c r="D35" s="47"/>
      <c r="E35" s="33"/>
      <c r="F35" s="1295"/>
      <c r="G35" s="1296"/>
      <c r="H35" s="1296"/>
      <c r="I35" s="1296"/>
      <c r="J35" s="1296"/>
      <c r="K35" s="1297"/>
      <c r="L35" s="34"/>
      <c r="M35" s="34"/>
      <c r="N35" s="52"/>
      <c r="O35" s="33"/>
      <c r="P35" s="33"/>
      <c r="Q35" s="47"/>
      <c r="R35" s="47"/>
      <c r="S35" s="47"/>
      <c r="T35" s="47"/>
      <c r="U35" s="47"/>
      <c r="V35" s="34"/>
      <c r="W35" s="47"/>
      <c r="X35" s="47"/>
      <c r="Y35" s="47"/>
      <c r="Z35" s="47"/>
      <c r="AA35" s="47"/>
      <c r="AB35" s="47"/>
      <c r="AC35" s="47"/>
      <c r="AD35" s="147"/>
      <c r="AE35" s="113"/>
      <c r="AF35" s="47"/>
      <c r="AG35" s="1659" t="s">
        <v>189</v>
      </c>
      <c r="AH35" s="1659"/>
      <c r="AI35" s="1659"/>
      <c r="AJ35" s="1659"/>
      <c r="AK35" s="1659"/>
      <c r="AL35" s="1659"/>
      <c r="AM35" s="1659"/>
      <c r="AN35" s="1659"/>
      <c r="AO35" s="1659"/>
      <c r="AP35" s="1659"/>
      <c r="AQ35" s="1659"/>
      <c r="AR35" s="146"/>
      <c r="AS35" s="146"/>
      <c r="AT35" s="33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95"/>
      <c r="BF35" s="47"/>
      <c r="BG35" s="47"/>
      <c r="BH35" s="47"/>
      <c r="BI35" s="47"/>
      <c r="BJ35" s="47"/>
      <c r="BK35" s="47"/>
      <c r="BL35" s="33"/>
      <c r="BM35" s="33"/>
      <c r="BN35" s="33"/>
    </row>
    <row r="36" spans="1:66" ht="15.75" x14ac:dyDescent="0.25">
      <c r="A36" s="34"/>
      <c r="B36" s="34"/>
      <c r="C36" s="140"/>
      <c r="D36" s="47"/>
      <c r="E36" s="33"/>
      <c r="F36" s="1295"/>
      <c r="G36" s="1296"/>
      <c r="H36" s="1296"/>
      <c r="I36" s="1296"/>
      <c r="J36" s="1296"/>
      <c r="K36" s="1297"/>
      <c r="L36" s="34"/>
      <c r="M36" s="34"/>
      <c r="N36" s="33"/>
      <c r="O36" s="33"/>
      <c r="P36" s="33"/>
      <c r="Q36" s="47"/>
      <c r="R36" s="47"/>
      <c r="S36" s="47"/>
      <c r="T36" s="47"/>
      <c r="U36" s="47"/>
      <c r="V36" s="34"/>
      <c r="W36" s="47"/>
      <c r="X36" s="47"/>
      <c r="Y36" s="47"/>
      <c r="Z36" s="47"/>
      <c r="AA36" s="47"/>
      <c r="AB36" s="47"/>
      <c r="AC36" s="47"/>
      <c r="AD36" s="147"/>
      <c r="AE36" s="113"/>
      <c r="AF36" s="1660" t="s">
        <v>190</v>
      </c>
      <c r="AG36" s="148" t="s">
        <v>170</v>
      </c>
      <c r="AH36" s="33"/>
      <c r="AI36" s="72"/>
      <c r="AJ36" s="47"/>
      <c r="AK36" s="47"/>
      <c r="AL36" s="47"/>
      <c r="AM36" s="47"/>
      <c r="AN36" s="47"/>
      <c r="AO36" s="47"/>
      <c r="AP36" s="47"/>
      <c r="AQ36" s="72"/>
      <c r="AR36" s="146"/>
      <c r="AS36" s="146"/>
      <c r="AT36" s="47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95"/>
      <c r="BF36" s="47"/>
      <c r="BG36" s="47"/>
      <c r="BH36" s="47"/>
      <c r="BI36" s="47"/>
      <c r="BJ36" s="47"/>
      <c r="BK36" s="47"/>
      <c r="BL36" s="33"/>
      <c r="BM36" s="33"/>
      <c r="BN36" s="33"/>
    </row>
    <row r="37" spans="1:66" ht="15.75" x14ac:dyDescent="0.25">
      <c r="A37" s="34"/>
      <c r="B37" s="34"/>
      <c r="C37" s="140"/>
      <c r="D37" s="147"/>
      <c r="E37" s="33"/>
      <c r="F37" s="1295"/>
      <c r="G37" s="1296"/>
      <c r="H37" s="1296"/>
      <c r="I37" s="1296"/>
      <c r="J37" s="1296"/>
      <c r="K37" s="1297"/>
      <c r="L37" s="34"/>
      <c r="M37" s="34"/>
      <c r="N37" s="33"/>
      <c r="O37" s="33"/>
      <c r="P37" s="33"/>
      <c r="Q37" s="47"/>
      <c r="R37" s="47"/>
      <c r="S37" s="47"/>
      <c r="T37" s="47"/>
      <c r="U37" s="47"/>
      <c r="V37" s="34"/>
      <c r="W37" s="47"/>
      <c r="X37" s="47"/>
      <c r="Y37" s="47"/>
      <c r="Z37" s="47"/>
      <c r="AA37" s="32"/>
      <c r="AB37" s="47"/>
      <c r="AC37" s="47"/>
      <c r="AD37" s="147"/>
      <c r="AE37" s="113"/>
      <c r="AF37" s="1660"/>
      <c r="AG37" s="148" t="s">
        <v>170</v>
      </c>
      <c r="AH37" s="33"/>
      <c r="AI37" s="72"/>
      <c r="AJ37" s="47"/>
      <c r="AK37" s="47"/>
      <c r="AL37" s="47"/>
      <c r="AM37" s="47"/>
      <c r="AN37" s="47"/>
      <c r="AO37" s="47"/>
      <c r="AP37" s="47"/>
      <c r="AQ37" s="72"/>
      <c r="AR37" s="146"/>
      <c r="AS37" s="146"/>
      <c r="AT37" s="47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95"/>
      <c r="BF37" s="47"/>
      <c r="BG37" s="47"/>
      <c r="BH37" s="47"/>
      <c r="BI37" s="47"/>
      <c r="BJ37" s="47"/>
      <c r="BK37" s="47"/>
      <c r="BL37" s="33"/>
      <c r="BM37" s="33"/>
      <c r="BN37" s="33"/>
    </row>
    <row r="38" spans="1:66" ht="15.75" x14ac:dyDescent="0.25">
      <c r="A38" s="34"/>
      <c r="B38" s="34"/>
      <c r="C38" s="140"/>
      <c r="D38" s="147"/>
      <c r="E38" s="33"/>
      <c r="F38" s="1295"/>
      <c r="G38" s="1296"/>
      <c r="H38" s="1296"/>
      <c r="I38" s="1296"/>
      <c r="J38" s="1296"/>
      <c r="K38" s="1297"/>
      <c r="L38" s="34"/>
      <c r="M38" s="34"/>
      <c r="N38" s="33"/>
      <c r="O38" s="33"/>
      <c r="P38" s="33"/>
      <c r="Q38" s="47"/>
      <c r="R38" s="47"/>
      <c r="S38" s="47"/>
      <c r="T38" s="47"/>
      <c r="U38" s="47"/>
      <c r="V38" s="34"/>
      <c r="W38" s="47"/>
      <c r="X38" s="47"/>
      <c r="Y38" s="47"/>
      <c r="Z38" s="47"/>
      <c r="AA38" s="72"/>
      <c r="AB38" s="47"/>
      <c r="AC38" s="47"/>
      <c r="AD38" s="147"/>
      <c r="AE38" s="113"/>
      <c r="AF38" s="1660"/>
      <c r="AG38" s="148" t="s">
        <v>170</v>
      </c>
      <c r="AH38" s="33"/>
      <c r="AI38" s="72"/>
      <c r="AJ38" s="47"/>
      <c r="AK38" s="47"/>
      <c r="AL38" s="47"/>
      <c r="AM38" s="47"/>
      <c r="AN38" s="47"/>
      <c r="AO38" s="47"/>
      <c r="AP38" s="47"/>
      <c r="AQ38" s="72"/>
      <c r="AR38" s="146"/>
      <c r="AS38" s="146"/>
      <c r="AT38" s="47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95"/>
      <c r="BF38" s="47"/>
      <c r="BG38" s="47"/>
      <c r="BH38" s="47"/>
      <c r="BI38" s="47"/>
      <c r="BJ38" s="47"/>
      <c r="BK38" s="47"/>
      <c r="BL38" s="33"/>
      <c r="BM38" s="33"/>
      <c r="BN38" s="33"/>
    </row>
    <row r="39" spans="1:66" ht="16.5" thickBot="1" x14ac:dyDescent="0.3">
      <c r="A39" s="34"/>
      <c r="B39" s="34"/>
      <c r="C39" s="140"/>
      <c r="D39" s="147"/>
      <c r="E39" s="33"/>
      <c r="F39" s="1295"/>
      <c r="G39" s="1296"/>
      <c r="H39" s="1296"/>
      <c r="I39" s="1296"/>
      <c r="J39" s="1296"/>
      <c r="K39" s="1297"/>
      <c r="L39" s="34"/>
      <c r="M39" s="34"/>
      <c r="N39" s="33"/>
      <c r="O39" s="33"/>
      <c r="P39" s="33"/>
      <c r="Q39" s="47"/>
      <c r="R39" s="47"/>
      <c r="S39" s="47"/>
      <c r="T39" s="47"/>
      <c r="U39" s="47"/>
      <c r="V39" s="34"/>
      <c r="W39" s="47"/>
      <c r="X39" s="47"/>
      <c r="Y39" s="47"/>
      <c r="Z39" s="47"/>
      <c r="AA39" s="72"/>
      <c r="AB39" s="47"/>
      <c r="AC39" s="47"/>
      <c r="AD39" s="147"/>
      <c r="AE39" s="113"/>
      <c r="AF39" s="1660"/>
      <c r="AG39" s="148" t="s">
        <v>170</v>
      </c>
      <c r="AH39" s="33"/>
      <c r="AI39" s="72"/>
      <c r="AJ39" s="47"/>
      <c r="AK39" s="47"/>
      <c r="AL39" s="47"/>
      <c r="AM39" s="47"/>
      <c r="AN39" s="47"/>
      <c r="AO39" s="47"/>
      <c r="AP39" s="47"/>
      <c r="AQ39" s="72"/>
      <c r="AR39" s="122"/>
      <c r="AS39" s="47"/>
      <c r="AT39" s="47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95"/>
      <c r="BF39" s="47"/>
      <c r="BG39" s="47"/>
      <c r="BH39" s="47"/>
      <c r="BI39" s="47"/>
      <c r="BJ39" s="47"/>
      <c r="BK39" s="47"/>
      <c r="BL39" s="33"/>
      <c r="BM39" s="33"/>
      <c r="BN39" s="33"/>
    </row>
    <row r="40" spans="1:66" x14ac:dyDescent="0.25">
      <c r="A40" s="34"/>
      <c r="B40" s="34"/>
      <c r="C40" s="140"/>
      <c r="D40" s="147"/>
      <c r="E40" s="33"/>
      <c r="F40" s="1295"/>
      <c r="G40" s="1296"/>
      <c r="H40" s="1296"/>
      <c r="I40" s="1296"/>
      <c r="J40" s="1296"/>
      <c r="K40" s="1297"/>
      <c r="L40" s="34"/>
      <c r="M40" s="34"/>
      <c r="N40" s="33"/>
      <c r="O40" s="33"/>
      <c r="P40" s="33"/>
      <c r="Q40" s="149"/>
      <c r="R40" s="34"/>
      <c r="S40" s="34"/>
      <c r="T40" s="34"/>
      <c r="U40" s="34"/>
      <c r="V40" s="34"/>
      <c r="W40" s="47"/>
      <c r="X40" s="47"/>
      <c r="Y40" s="47"/>
      <c r="Z40" s="47"/>
      <c r="AA40" s="32"/>
      <c r="AB40" s="47"/>
      <c r="AC40" s="47"/>
      <c r="AD40" s="147"/>
      <c r="AE40" s="113"/>
      <c r="AF40" s="47"/>
      <c r="AG40" s="47"/>
      <c r="AH40" s="47"/>
      <c r="AI40" s="72"/>
      <c r="AJ40" s="47"/>
      <c r="AK40" s="47"/>
      <c r="AL40" s="47"/>
      <c r="AM40" s="47"/>
      <c r="AN40" s="47"/>
      <c r="AO40" s="47"/>
      <c r="AP40" s="47"/>
      <c r="AQ40" s="72"/>
      <c r="AR40" s="47"/>
      <c r="AS40" s="47"/>
      <c r="AT40" s="47"/>
      <c r="AU40" s="47"/>
      <c r="AV40" s="72"/>
      <c r="AW40" s="72"/>
      <c r="AX40" s="72"/>
      <c r="AY40" s="72"/>
      <c r="AZ40" s="72"/>
      <c r="BA40" s="72"/>
      <c r="BB40" s="72"/>
      <c r="BC40" s="72"/>
      <c r="BD40" s="72"/>
      <c r="BE40" s="150"/>
      <c r="BF40" s="1647" t="s">
        <v>191</v>
      </c>
      <c r="BG40" s="33"/>
      <c r="BH40" s="47"/>
      <c r="BI40" s="47"/>
      <c r="BJ40" s="47"/>
      <c r="BK40" s="47"/>
      <c r="BL40" s="33"/>
      <c r="BM40" s="33"/>
      <c r="BN40" s="33"/>
    </row>
    <row r="41" spans="1:66" ht="16.5" thickBot="1" x14ac:dyDescent="0.3">
      <c r="A41" s="34"/>
      <c r="B41" s="34"/>
      <c r="C41" s="140"/>
      <c r="D41" s="147"/>
      <c r="E41" s="33"/>
      <c r="F41" s="1295"/>
      <c r="G41" s="1296"/>
      <c r="H41" s="1296"/>
      <c r="I41" s="1296"/>
      <c r="J41" s="1296"/>
      <c r="K41" s="1297"/>
      <c r="L41" s="34"/>
      <c r="M41" s="34"/>
      <c r="N41" s="33"/>
      <c r="O41" s="33"/>
      <c r="P41" s="33"/>
      <c r="Q41" s="52"/>
      <c r="R41" s="34"/>
      <c r="S41" s="34"/>
      <c r="T41" s="33"/>
      <c r="U41" s="34"/>
      <c r="V41" s="34"/>
      <c r="W41" s="47"/>
      <c r="X41" s="47"/>
      <c r="Y41" s="47"/>
      <c r="Z41" s="47"/>
      <c r="AA41" s="151"/>
      <c r="AB41" s="47"/>
      <c r="AC41" s="152"/>
      <c r="AD41" s="153"/>
      <c r="AE41" s="154"/>
      <c r="AF41" s="152"/>
      <c r="AG41" s="71"/>
      <c r="AH41" s="47"/>
      <c r="AI41" s="72"/>
      <c r="AJ41" s="72"/>
      <c r="AK41" s="72"/>
      <c r="AL41" s="72"/>
      <c r="AM41" s="72"/>
      <c r="AN41" s="101" t="s">
        <v>179</v>
      </c>
      <c r="AO41" s="101" t="s">
        <v>179</v>
      </c>
      <c r="AP41" s="72"/>
      <c r="AQ41" s="72"/>
      <c r="AR41" s="47"/>
      <c r="AS41" s="47"/>
      <c r="AT41" s="47"/>
      <c r="AU41" s="47"/>
      <c r="AV41" s="72"/>
      <c r="AW41" s="72"/>
      <c r="AX41" s="72"/>
      <c r="BA41" s="72"/>
      <c r="BB41" s="72"/>
      <c r="BC41" s="72"/>
      <c r="BD41" s="72"/>
      <c r="BE41" s="150"/>
      <c r="BF41" s="1648"/>
      <c r="BG41" s="33"/>
      <c r="BH41" s="47"/>
      <c r="BI41" s="47"/>
      <c r="BJ41" s="47"/>
      <c r="BK41" s="47"/>
      <c r="BL41" s="33"/>
      <c r="BM41" s="33"/>
      <c r="BN41" s="33"/>
    </row>
    <row r="42" spans="1:66" ht="16.5" thickBot="1" x14ac:dyDescent="0.3">
      <c r="A42" s="34"/>
      <c r="B42" s="34"/>
      <c r="C42" s="140"/>
      <c r="D42" s="147"/>
      <c r="E42" s="33"/>
      <c r="F42" s="1295"/>
      <c r="G42" s="1296"/>
      <c r="H42" s="1296"/>
      <c r="I42" s="1296"/>
      <c r="J42" s="1296"/>
      <c r="K42" s="1297"/>
      <c r="L42" s="34"/>
      <c r="M42" s="34"/>
      <c r="N42" s="33"/>
      <c r="O42" s="33"/>
      <c r="P42" s="33"/>
      <c r="Q42" s="52"/>
      <c r="R42" s="34"/>
      <c r="S42" s="34"/>
      <c r="T42" s="33"/>
      <c r="U42" s="155"/>
      <c r="V42" s="156"/>
      <c r="W42" s="33"/>
      <c r="X42" s="33"/>
      <c r="Y42" s="33"/>
      <c r="Z42" s="33"/>
      <c r="AA42" s="151"/>
      <c r="AB42" s="157"/>
      <c r="AC42" s="157"/>
      <c r="AD42" s="108"/>
      <c r="AE42" s="158"/>
      <c r="AF42" s="157"/>
      <c r="AG42" s="157"/>
      <c r="AH42" s="71"/>
      <c r="AI42" s="47"/>
      <c r="AJ42" s="47"/>
      <c r="AK42" s="47"/>
      <c r="AL42" s="47"/>
      <c r="AM42" s="47"/>
      <c r="AN42" s="146"/>
      <c r="AO42" s="146"/>
      <c r="AP42" s="72"/>
      <c r="AQ42" s="159"/>
      <c r="AR42" s="159"/>
      <c r="AS42" s="47"/>
      <c r="AT42" s="1650" t="s">
        <v>192</v>
      </c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150"/>
      <c r="BF42" s="1649"/>
      <c r="BG42" s="33"/>
      <c r="BH42" s="47"/>
      <c r="BI42" s="47"/>
      <c r="BJ42" s="47"/>
      <c r="BK42" s="47"/>
      <c r="BL42" s="33"/>
      <c r="BM42" s="33"/>
      <c r="BN42" s="33"/>
    </row>
    <row r="43" spans="1:66" ht="15.75" x14ac:dyDescent="0.25">
      <c r="A43" s="34"/>
      <c r="B43" s="34"/>
      <c r="C43" s="140"/>
      <c r="D43" s="147"/>
      <c r="E43" s="33"/>
      <c r="F43" s="1295"/>
      <c r="G43" s="1296"/>
      <c r="H43" s="1296"/>
      <c r="I43" s="1296"/>
      <c r="J43" s="1296"/>
      <c r="K43" s="1297"/>
      <c r="L43" s="34"/>
      <c r="M43" s="34"/>
      <c r="N43" s="33"/>
      <c r="O43" s="33"/>
      <c r="P43" s="33"/>
      <c r="Q43" s="123"/>
      <c r="R43" s="34"/>
      <c r="S43" s="34"/>
      <c r="T43" s="33"/>
      <c r="U43" s="1653" t="s">
        <v>180</v>
      </c>
      <c r="V43" s="1654"/>
      <c r="W43" s="33"/>
      <c r="X43" s="33"/>
      <c r="Y43" s="33"/>
      <c r="Z43" s="33"/>
      <c r="AA43" s="32"/>
      <c r="AB43" s="47"/>
      <c r="AC43" s="160"/>
      <c r="AD43" s="160"/>
      <c r="AE43" s="47"/>
      <c r="AF43" s="47"/>
      <c r="AG43" s="47"/>
      <c r="AH43" s="161"/>
      <c r="AI43" s="47"/>
      <c r="AJ43" s="47"/>
      <c r="AK43" s="47"/>
      <c r="AL43" s="47"/>
      <c r="AM43" s="72"/>
      <c r="AN43" s="146"/>
      <c r="AO43" s="162"/>
      <c r="AP43" s="72"/>
      <c r="AQ43" s="1657"/>
      <c r="AR43" s="1657"/>
      <c r="AS43" s="72"/>
      <c r="AT43" s="1651"/>
      <c r="AU43" s="72"/>
      <c r="AV43" s="163">
        <v>1</v>
      </c>
      <c r="AW43" s="163">
        <v>2</v>
      </c>
      <c r="AX43" s="163">
        <v>3</v>
      </c>
      <c r="AY43" s="72"/>
      <c r="AZ43" s="72"/>
      <c r="BA43" s="72"/>
      <c r="BB43" s="72"/>
      <c r="BC43" s="72"/>
      <c r="BD43" s="72"/>
      <c r="BE43" s="150"/>
      <c r="BF43" s="47"/>
      <c r="BG43" s="47"/>
      <c r="BH43" s="47"/>
      <c r="BI43" s="47"/>
      <c r="BJ43" s="47"/>
      <c r="BK43" s="47"/>
      <c r="BL43" s="33"/>
      <c r="BM43" s="33"/>
      <c r="BN43" s="33"/>
    </row>
    <row r="44" spans="1:66" ht="16.5" thickBot="1" x14ac:dyDescent="0.3">
      <c r="A44" s="34"/>
      <c r="B44" s="34"/>
      <c r="C44" s="140"/>
      <c r="D44" s="33"/>
      <c r="E44" s="33"/>
      <c r="F44" s="1295"/>
      <c r="G44" s="1296"/>
      <c r="H44" s="1296"/>
      <c r="I44" s="1296"/>
      <c r="J44" s="1296"/>
      <c r="K44" s="1297"/>
      <c r="L44" s="34"/>
      <c r="M44" s="34"/>
      <c r="N44" s="33"/>
      <c r="O44" s="33"/>
      <c r="P44" s="33"/>
      <c r="Q44" s="47"/>
      <c r="R44" s="164"/>
      <c r="S44" s="34"/>
      <c r="T44" s="33"/>
      <c r="U44" s="1655"/>
      <c r="V44" s="1656"/>
      <c r="W44" s="33"/>
      <c r="X44" s="33"/>
      <c r="Y44" s="33"/>
      <c r="Z44" s="33"/>
      <c r="AA44" s="32"/>
      <c r="AB44" s="47"/>
      <c r="AC44" s="47"/>
      <c r="AD44" s="47"/>
      <c r="AE44" s="47"/>
      <c r="AF44" s="47"/>
      <c r="AG44" s="47"/>
      <c r="AH44" s="161"/>
      <c r="AI44" s="47"/>
      <c r="AJ44" s="165"/>
      <c r="AK44" s="165"/>
      <c r="AL44" s="72"/>
      <c r="AM44" s="72"/>
      <c r="AN44" s="146"/>
      <c r="AO44" s="47"/>
      <c r="AP44" s="72"/>
      <c r="AQ44" s="75"/>
      <c r="AR44" s="77"/>
      <c r="AS44" s="159"/>
      <c r="AT44" s="1651"/>
      <c r="AU44" s="72"/>
      <c r="AV44" s="166"/>
      <c r="AW44" s="166"/>
      <c r="AX44" s="166"/>
      <c r="AY44" s="72"/>
      <c r="AZ44" s="72"/>
      <c r="BA44" s="72"/>
      <c r="BB44" s="72"/>
      <c r="BC44" s="72"/>
      <c r="BD44" s="72"/>
      <c r="BE44" s="95"/>
      <c r="BF44" s="47"/>
      <c r="BG44" s="47"/>
      <c r="BH44" s="47"/>
      <c r="BI44" s="47"/>
      <c r="BJ44" s="47"/>
      <c r="BK44" s="47"/>
      <c r="BL44" s="33"/>
      <c r="BM44" s="33"/>
      <c r="BN44" s="33"/>
    </row>
    <row r="45" spans="1:66" ht="15.75" x14ac:dyDescent="0.25">
      <c r="A45" s="34"/>
      <c r="B45" s="34"/>
      <c r="C45" s="140"/>
      <c r="D45" s="33"/>
      <c r="E45" s="33"/>
      <c r="F45" s="1295"/>
      <c r="G45" s="1296"/>
      <c r="H45" s="1296"/>
      <c r="I45" s="1296"/>
      <c r="J45" s="1296"/>
      <c r="K45" s="1297"/>
      <c r="L45" s="34"/>
      <c r="M45" s="34"/>
      <c r="N45" s="33"/>
      <c r="O45" s="33"/>
      <c r="P45" s="33"/>
      <c r="Q45" s="34"/>
      <c r="R45" s="47"/>
      <c r="S45" s="34"/>
      <c r="T45" s="33"/>
      <c r="U45" s="33"/>
      <c r="V45" s="33"/>
      <c r="W45" s="33"/>
      <c r="X45" s="33"/>
      <c r="Y45" s="33"/>
      <c r="Z45" s="33"/>
      <c r="AA45" s="47"/>
      <c r="AB45" s="47"/>
      <c r="AC45" s="47"/>
      <c r="AD45" s="47"/>
      <c r="AE45" s="47"/>
      <c r="AF45" s="47"/>
      <c r="AG45" s="47"/>
      <c r="AH45" s="161"/>
      <c r="AI45" s="47"/>
      <c r="AJ45" s="47"/>
      <c r="AK45" s="167"/>
      <c r="AL45" s="77"/>
      <c r="AM45" s="77"/>
      <c r="AN45" s="77"/>
      <c r="AO45" s="47"/>
      <c r="AP45" s="72"/>
      <c r="AQ45" s="75"/>
      <c r="AR45" s="77"/>
      <c r="AS45" s="168"/>
      <c r="AT45" s="1651"/>
      <c r="AU45" s="166"/>
      <c r="AV45" s="169" t="s">
        <v>193</v>
      </c>
      <c r="AW45" s="169" t="s">
        <v>193</v>
      </c>
      <c r="AX45" s="169" t="s">
        <v>193</v>
      </c>
      <c r="AY45" s="166"/>
      <c r="AZ45" s="72"/>
      <c r="BA45" s="72"/>
      <c r="BB45" s="72"/>
      <c r="BC45" s="72"/>
      <c r="BD45" s="72"/>
      <c r="BE45" s="95"/>
      <c r="BF45" s="47"/>
      <c r="BG45" s="47"/>
      <c r="BH45" s="47"/>
      <c r="BI45" s="47"/>
      <c r="BJ45" s="47"/>
      <c r="BK45" s="47"/>
      <c r="BL45" s="33"/>
      <c r="BM45" s="33"/>
      <c r="BN45" s="33"/>
    </row>
    <row r="46" spans="1:66" ht="18" x14ac:dyDescent="0.25">
      <c r="A46" s="34"/>
      <c r="B46" s="34"/>
      <c r="C46" s="140"/>
      <c r="D46" s="33"/>
      <c r="E46" s="33"/>
      <c r="F46" s="1295"/>
      <c r="G46" s="1296"/>
      <c r="H46" s="1296"/>
      <c r="I46" s="1296"/>
      <c r="J46" s="1296"/>
      <c r="K46" s="1297"/>
      <c r="L46" s="34"/>
      <c r="M46" s="34"/>
      <c r="N46" s="33"/>
      <c r="O46" s="34"/>
      <c r="P46" s="33"/>
      <c r="Q46" s="52"/>
      <c r="R46" s="47"/>
      <c r="S46" s="47"/>
      <c r="T46" s="33"/>
      <c r="U46" s="33"/>
      <c r="V46" s="33"/>
      <c r="W46" s="33"/>
      <c r="X46" s="33"/>
      <c r="Y46" s="33"/>
      <c r="Z46" s="33"/>
      <c r="AA46" s="160"/>
      <c r="AB46" s="160"/>
      <c r="AC46" s="160"/>
      <c r="AD46" s="160"/>
      <c r="AE46" s="47"/>
      <c r="AF46" s="47"/>
      <c r="AG46" s="47"/>
      <c r="AH46" s="46"/>
      <c r="AI46" s="46"/>
      <c r="AJ46" s="47"/>
      <c r="AK46" s="168"/>
      <c r="AL46" s="167"/>
      <c r="AM46" s="77"/>
      <c r="AN46" s="77"/>
      <c r="AO46" s="47"/>
      <c r="AP46" s="162"/>
      <c r="AQ46" s="72"/>
      <c r="AR46" s="72"/>
      <c r="AS46" s="168"/>
      <c r="AT46" s="1651"/>
      <c r="AU46" s="170"/>
      <c r="AV46" s="20" t="s">
        <v>0</v>
      </c>
      <c r="AW46" s="19" t="s">
        <v>24</v>
      </c>
      <c r="AX46" s="17" t="s">
        <v>84</v>
      </c>
      <c r="AY46" s="170"/>
      <c r="AZ46" s="47"/>
      <c r="BA46" s="47"/>
      <c r="BB46" s="47"/>
      <c r="BC46" s="47"/>
      <c r="BD46" s="47"/>
      <c r="BE46" s="95"/>
      <c r="BF46" s="47"/>
      <c r="BG46" s="47"/>
      <c r="BH46" s="47"/>
      <c r="BI46" s="47"/>
      <c r="BJ46" s="47"/>
      <c r="BK46" s="47"/>
      <c r="BL46" s="33"/>
      <c r="BM46" s="33"/>
      <c r="BN46" s="33"/>
    </row>
    <row r="47" spans="1:66" ht="18" x14ac:dyDescent="0.25">
      <c r="A47" s="34"/>
      <c r="B47" s="34"/>
      <c r="C47" s="140"/>
      <c r="D47" s="33"/>
      <c r="E47" s="33"/>
      <c r="F47" s="1295"/>
      <c r="G47" s="1296"/>
      <c r="H47" s="1296"/>
      <c r="I47" s="1296"/>
      <c r="J47" s="1296"/>
      <c r="K47" s="1297"/>
      <c r="L47" s="34"/>
      <c r="M47" s="34"/>
      <c r="N47" s="33"/>
      <c r="O47" s="34"/>
      <c r="P47" s="33"/>
      <c r="Q47" s="47"/>
      <c r="R47" s="34"/>
      <c r="S47" s="34"/>
      <c r="T47" s="33"/>
      <c r="U47" s="33"/>
      <c r="V47" s="33"/>
      <c r="W47" s="33"/>
      <c r="X47" s="33"/>
      <c r="Y47" s="33"/>
      <c r="Z47" s="33"/>
      <c r="AA47" s="39"/>
      <c r="AB47" s="32"/>
      <c r="AC47" s="32"/>
      <c r="AD47" s="46"/>
      <c r="AE47" s="46"/>
      <c r="AF47" s="46"/>
      <c r="AG47" s="46"/>
      <c r="AH47" s="121"/>
      <c r="AI47" s="121"/>
      <c r="AJ47" s="171"/>
      <c r="AK47" s="93" t="s">
        <v>176</v>
      </c>
      <c r="AL47" s="168"/>
      <c r="AM47" s="167"/>
      <c r="AN47" s="172"/>
      <c r="AO47" s="173"/>
      <c r="AP47" s="47"/>
      <c r="AQ47" s="34"/>
      <c r="AR47" s="34"/>
      <c r="AS47" s="168"/>
      <c r="AT47" s="1651"/>
      <c r="AU47" s="170"/>
      <c r="AV47" s="21" t="s">
        <v>47</v>
      </c>
      <c r="AW47" s="20" t="s">
        <v>0</v>
      </c>
      <c r="AX47" s="15" t="s">
        <v>68</v>
      </c>
      <c r="AY47" s="170"/>
      <c r="AZ47" s="47"/>
      <c r="BA47" s="47"/>
      <c r="BB47" s="47"/>
      <c r="BC47" s="47"/>
      <c r="BD47" s="47"/>
      <c r="BE47" s="95"/>
      <c r="BF47" s="47"/>
      <c r="BG47" s="47"/>
      <c r="BH47" s="47"/>
      <c r="BI47" s="47"/>
      <c r="BJ47" s="47"/>
      <c r="BK47" s="47"/>
      <c r="BL47" s="33"/>
      <c r="BM47" s="33"/>
      <c r="BN47" s="33"/>
    </row>
    <row r="48" spans="1:66" ht="15.75" x14ac:dyDescent="0.25">
      <c r="A48" s="34"/>
      <c r="B48" s="34"/>
      <c r="C48" s="140"/>
      <c r="D48" s="33"/>
      <c r="E48" s="33"/>
      <c r="F48" s="1295"/>
      <c r="G48" s="1296"/>
      <c r="H48" s="1296"/>
      <c r="I48" s="1296"/>
      <c r="J48" s="1296"/>
      <c r="K48" s="1297"/>
      <c r="L48" s="34"/>
      <c r="M48" s="34"/>
      <c r="N48" s="33"/>
      <c r="O48" s="34"/>
      <c r="P48" s="33"/>
      <c r="Q48" s="47"/>
      <c r="R48" s="34"/>
      <c r="S48" s="34"/>
      <c r="T48" s="33"/>
      <c r="U48" s="33"/>
      <c r="V48" s="33"/>
      <c r="W48" s="33"/>
      <c r="X48" s="149"/>
      <c r="Y48" s="149"/>
      <c r="Z48" s="149"/>
      <c r="AA48" s="32"/>
      <c r="AB48" s="32"/>
      <c r="AC48" s="174"/>
      <c r="AD48" s="158"/>
      <c r="AE48" s="158"/>
      <c r="AF48" s="158"/>
      <c r="AG48" s="158"/>
      <c r="AH48" s="175"/>
      <c r="AI48" s="89"/>
      <c r="AJ48" s="176"/>
      <c r="AK48" s="171"/>
      <c r="AL48" s="93" t="s">
        <v>176</v>
      </c>
      <c r="AM48" s="168"/>
      <c r="AN48" s="167"/>
      <c r="AO48" s="77"/>
      <c r="AP48" s="77"/>
      <c r="AQ48" s="34"/>
      <c r="AR48" s="34"/>
      <c r="AS48" s="75"/>
      <c r="AT48" s="1651"/>
      <c r="AU48" s="166"/>
      <c r="AV48" s="169" t="s">
        <v>193</v>
      </c>
      <c r="AW48" s="169" t="s">
        <v>193</v>
      </c>
      <c r="AX48" s="169" t="s">
        <v>193</v>
      </c>
      <c r="AY48" s="166"/>
      <c r="AZ48" s="47"/>
      <c r="BA48" s="47"/>
      <c r="BB48" s="177"/>
      <c r="BC48" s="177"/>
      <c r="BD48" s="177"/>
      <c r="BE48" s="178"/>
      <c r="BF48" s="47"/>
      <c r="BG48" s="47"/>
      <c r="BH48" s="47"/>
      <c r="BI48" s="47"/>
      <c r="BJ48" s="47"/>
      <c r="BK48" s="47"/>
      <c r="BL48" s="33"/>
      <c r="BM48" s="33"/>
      <c r="BN48" s="33"/>
    </row>
    <row r="49" spans="1:66" ht="16.5" thickBot="1" x14ac:dyDescent="0.3">
      <c r="A49" s="34"/>
      <c r="B49" s="34"/>
      <c r="C49" s="140"/>
      <c r="D49" s="33"/>
      <c r="E49" s="33"/>
      <c r="F49" s="1295"/>
      <c r="G49" s="1296"/>
      <c r="H49" s="1296"/>
      <c r="I49" s="1296"/>
      <c r="J49" s="1296"/>
      <c r="K49" s="1297"/>
      <c r="L49" s="34"/>
      <c r="M49" s="34"/>
      <c r="N49" s="33"/>
      <c r="O49" s="3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149"/>
      <c r="AA49" s="99"/>
      <c r="AB49" s="99"/>
      <c r="AC49" s="179"/>
      <c r="AD49" s="99"/>
      <c r="AE49" s="47"/>
      <c r="AF49" s="47"/>
      <c r="AG49" s="47"/>
      <c r="AH49" s="89"/>
      <c r="AI49" s="47"/>
      <c r="AJ49" s="180"/>
      <c r="AK49" s="176"/>
      <c r="AL49" s="171"/>
      <c r="AM49" s="93" t="s">
        <v>176</v>
      </c>
      <c r="AN49" s="168"/>
      <c r="AO49" s="167"/>
      <c r="AP49" s="181"/>
      <c r="AQ49" s="72"/>
      <c r="AR49" s="72"/>
      <c r="AS49" s="72"/>
      <c r="AT49" s="1652"/>
      <c r="AU49" s="47"/>
      <c r="AV49" s="166"/>
      <c r="AW49" s="166"/>
      <c r="AX49" s="166"/>
      <c r="AY49" s="182"/>
      <c r="AZ49" s="1277" t="s">
        <v>194</v>
      </c>
      <c r="BA49" s="1277"/>
      <c r="BB49" s="1277"/>
      <c r="BC49" s="50"/>
      <c r="BD49" s="50"/>
      <c r="BE49" s="183"/>
      <c r="BF49" s="47"/>
      <c r="BG49" s="47"/>
      <c r="BH49" s="47"/>
      <c r="BI49" s="47"/>
      <c r="BJ49" s="47"/>
      <c r="BK49" s="47"/>
      <c r="BL49" s="33"/>
      <c r="BM49" s="33"/>
      <c r="BN49" s="33"/>
    </row>
    <row r="50" spans="1:66" ht="16.5" thickBot="1" x14ac:dyDescent="0.3">
      <c r="A50" s="34"/>
      <c r="B50" s="34"/>
      <c r="C50" s="140"/>
      <c r="D50" s="33"/>
      <c r="E50" s="33"/>
      <c r="F50" s="1295"/>
      <c r="G50" s="1296"/>
      <c r="H50" s="1296"/>
      <c r="I50" s="1296"/>
      <c r="J50" s="1296"/>
      <c r="K50" s="1297"/>
      <c r="L50" s="33"/>
      <c r="M50" s="33"/>
      <c r="N50" s="33"/>
      <c r="O50" s="3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149"/>
      <c r="AA50" s="161"/>
      <c r="AB50" s="47"/>
      <c r="AC50" s="47"/>
      <c r="AD50" s="47"/>
      <c r="AE50" s="184"/>
      <c r="AF50" s="47"/>
      <c r="AG50" s="89"/>
      <c r="AH50" s="47"/>
      <c r="AI50" s="47"/>
      <c r="AJ50" s="47"/>
      <c r="AK50" s="47"/>
      <c r="AL50" s="47"/>
      <c r="AM50" s="185"/>
      <c r="AN50" s="93" t="s">
        <v>176</v>
      </c>
      <c r="AO50" s="168"/>
      <c r="AP50" s="167"/>
      <c r="AQ50" s="186"/>
      <c r="AR50" s="75"/>
      <c r="AS50" s="95"/>
      <c r="AT50" s="99"/>
      <c r="AU50" s="187"/>
      <c r="AV50" s="188">
        <v>6</v>
      </c>
      <c r="AW50" s="188">
        <v>5</v>
      </c>
      <c r="AX50" s="188">
        <v>4</v>
      </c>
      <c r="AY50" s="121"/>
      <c r="AZ50" s="121"/>
      <c r="BA50" s="121"/>
      <c r="BB50" s="121"/>
      <c r="BC50" s="121"/>
      <c r="BD50" s="47"/>
      <c r="BE50" s="150"/>
      <c r="BF50" s="47"/>
      <c r="BG50" s="47"/>
      <c r="BH50" s="47"/>
      <c r="BI50" s="47"/>
      <c r="BJ50" s="47"/>
      <c r="BK50" s="47"/>
      <c r="BL50" s="33"/>
      <c r="BM50" s="33"/>
      <c r="BN50" s="33"/>
    </row>
    <row r="51" spans="1:66" ht="15.75" x14ac:dyDescent="0.25">
      <c r="A51" s="34"/>
      <c r="B51" s="34"/>
      <c r="C51" s="140"/>
      <c r="D51" s="34"/>
      <c r="E51" s="33"/>
      <c r="F51" s="1295"/>
      <c r="G51" s="1296"/>
      <c r="H51" s="1296"/>
      <c r="I51" s="1296"/>
      <c r="J51" s="1296"/>
      <c r="K51" s="1297"/>
      <c r="L51" s="34"/>
      <c r="M51" s="34"/>
      <c r="N51" s="1281" t="s">
        <v>195</v>
      </c>
      <c r="O51" s="1282"/>
      <c r="P51" s="1282"/>
      <c r="Q51" s="1282"/>
      <c r="R51" s="1282"/>
      <c r="S51" s="1282"/>
      <c r="T51" s="1283"/>
      <c r="U51" s="33"/>
      <c r="V51" s="33"/>
      <c r="W51" s="33"/>
      <c r="X51" s="33"/>
      <c r="Y51" s="33"/>
      <c r="Z51" s="149"/>
      <c r="AA51" s="161"/>
      <c r="AB51" s="47"/>
      <c r="AC51" s="47"/>
      <c r="AD51" s="121"/>
      <c r="AE51" s="47"/>
      <c r="AF51" s="89"/>
      <c r="AG51" s="47"/>
      <c r="AH51" s="47"/>
      <c r="AI51" s="47"/>
      <c r="AJ51" s="47"/>
      <c r="AK51" s="47"/>
      <c r="AL51" s="47"/>
      <c r="AM51" s="47"/>
      <c r="AN51" s="189"/>
      <c r="AO51" s="93" t="s">
        <v>176</v>
      </c>
      <c r="AP51" s="168"/>
      <c r="AQ51" s="167"/>
      <c r="AR51" s="75"/>
      <c r="AS51" s="95"/>
      <c r="AT51" s="47"/>
      <c r="AU51" s="47"/>
      <c r="AV51" s="47"/>
      <c r="AW51" s="47"/>
      <c r="AX51" s="47"/>
      <c r="AY51" s="47"/>
      <c r="BC51" s="47"/>
      <c r="BD51" s="47"/>
      <c r="BE51" s="150"/>
      <c r="BF51" s="47"/>
      <c r="BG51" s="47"/>
      <c r="BH51" s="47"/>
      <c r="BI51" s="47"/>
      <c r="BJ51" s="47"/>
      <c r="BK51" s="47"/>
      <c r="BL51" s="33"/>
      <c r="BM51" s="33"/>
      <c r="BN51" s="33"/>
    </row>
    <row r="52" spans="1:66" ht="15.75" x14ac:dyDescent="0.25">
      <c r="A52" s="34"/>
      <c r="B52" s="34"/>
      <c r="C52" s="140"/>
      <c r="D52" s="34"/>
      <c r="E52" s="33"/>
      <c r="F52" s="1295"/>
      <c r="G52" s="1296"/>
      <c r="H52" s="1296"/>
      <c r="I52" s="1296"/>
      <c r="J52" s="1296"/>
      <c r="K52" s="1297"/>
      <c r="L52" s="34"/>
      <c r="M52" s="34"/>
      <c r="N52" s="1284"/>
      <c r="O52" s="1285"/>
      <c r="P52" s="1285"/>
      <c r="Q52" s="1285"/>
      <c r="R52" s="1285"/>
      <c r="S52" s="1285"/>
      <c r="T52" s="1286"/>
      <c r="U52" s="33"/>
      <c r="V52" s="33"/>
      <c r="W52" s="33"/>
      <c r="X52" s="33"/>
      <c r="Y52" s="33"/>
      <c r="Z52" s="47"/>
      <c r="AA52" s="47"/>
      <c r="AB52" s="47"/>
      <c r="AC52" s="121"/>
      <c r="AD52" s="47"/>
      <c r="AE52" s="89"/>
      <c r="AF52" s="47"/>
      <c r="AG52" s="47"/>
      <c r="AH52" s="47"/>
      <c r="AI52" s="47"/>
      <c r="AJ52" s="47"/>
      <c r="AK52" s="47"/>
      <c r="AL52" s="47"/>
      <c r="AM52" s="47"/>
      <c r="AN52" s="47"/>
      <c r="AO52" s="190"/>
      <c r="AP52" s="93" t="s">
        <v>176</v>
      </c>
      <c r="AQ52" s="168"/>
      <c r="AR52" s="167"/>
      <c r="AS52" s="191"/>
      <c r="AT52" s="47"/>
      <c r="AU52" s="47"/>
      <c r="AV52" s="47"/>
      <c r="AW52" s="47"/>
      <c r="AY52" s="47"/>
      <c r="AZ52" s="47"/>
      <c r="BA52" s="47"/>
      <c r="BB52" s="47"/>
      <c r="BC52" s="47"/>
      <c r="BD52" s="47"/>
      <c r="BE52" s="47"/>
      <c r="BF52" s="138"/>
      <c r="BG52" s="47"/>
      <c r="BH52" s="47"/>
      <c r="BI52" s="47"/>
      <c r="BJ52" s="47"/>
      <c r="BK52" s="47"/>
      <c r="BL52" s="33"/>
      <c r="BM52" s="33"/>
      <c r="BN52" s="33"/>
    </row>
    <row r="53" spans="1:66" ht="16.5" thickBot="1" x14ac:dyDescent="0.3">
      <c r="A53" s="34"/>
      <c r="B53" s="34"/>
      <c r="C53" s="140"/>
      <c r="D53" s="34"/>
      <c r="E53" s="33"/>
      <c r="F53" s="1295"/>
      <c r="G53" s="1296"/>
      <c r="H53" s="1296"/>
      <c r="I53" s="1296"/>
      <c r="J53" s="1296"/>
      <c r="K53" s="1297"/>
      <c r="L53" s="34"/>
      <c r="M53" s="34"/>
      <c r="N53" s="1284"/>
      <c r="O53" s="1285"/>
      <c r="P53" s="1285"/>
      <c r="Q53" s="1285"/>
      <c r="R53" s="1285"/>
      <c r="S53" s="1285"/>
      <c r="T53" s="1286"/>
      <c r="U53" s="33"/>
      <c r="V53" s="33"/>
      <c r="W53" s="33"/>
      <c r="X53" s="33"/>
      <c r="Y53" s="33"/>
      <c r="Z53" s="72"/>
      <c r="AA53" s="47"/>
      <c r="AB53" s="152"/>
      <c r="AC53" s="47"/>
      <c r="AD53" s="89"/>
      <c r="AE53" s="47"/>
      <c r="AF53" s="47"/>
      <c r="AG53" s="47"/>
      <c r="AH53" s="47"/>
      <c r="AI53" s="47"/>
      <c r="AJ53" s="47"/>
      <c r="AK53" s="47"/>
      <c r="AL53" s="47"/>
      <c r="AM53" s="47"/>
      <c r="AN53" s="72"/>
      <c r="AO53" s="72"/>
      <c r="AP53" s="171"/>
      <c r="AQ53" s="93" t="s">
        <v>176</v>
      </c>
      <c r="AR53" s="192"/>
      <c r="AS53" s="193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138"/>
      <c r="BG53" s="47"/>
      <c r="BH53" s="47"/>
      <c r="BI53" s="47"/>
      <c r="BJ53" s="47"/>
      <c r="BK53" s="47"/>
      <c r="BL53" s="33"/>
      <c r="BM53" s="33"/>
      <c r="BN53" s="33"/>
    </row>
    <row r="54" spans="1:66" x14ac:dyDescent="0.25">
      <c r="A54" s="34"/>
      <c r="B54" s="34"/>
      <c r="C54" s="140"/>
      <c r="D54" s="34"/>
      <c r="E54" s="33"/>
      <c r="F54" s="1295"/>
      <c r="G54" s="1296"/>
      <c r="H54" s="1296"/>
      <c r="I54" s="1296"/>
      <c r="J54" s="1296"/>
      <c r="K54" s="1297"/>
      <c r="L54" s="34"/>
      <c r="M54" s="34"/>
      <c r="N54" s="1284"/>
      <c r="O54" s="1285"/>
      <c r="P54" s="1285"/>
      <c r="Q54" s="1285"/>
      <c r="R54" s="1285"/>
      <c r="S54" s="1285"/>
      <c r="T54" s="1286"/>
      <c r="U54" s="33"/>
      <c r="V54" s="33"/>
      <c r="W54" s="33"/>
      <c r="X54" s="33"/>
      <c r="Y54" s="33"/>
      <c r="Z54" s="47"/>
      <c r="AA54" s="152"/>
      <c r="AB54" s="100"/>
      <c r="AC54" s="89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72"/>
      <c r="AQ54" s="72"/>
      <c r="AR54" s="194"/>
      <c r="AS54" s="121"/>
      <c r="AT54" s="121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113"/>
      <c r="BG54" s="47"/>
      <c r="BH54" s="47"/>
      <c r="BI54" s="47"/>
      <c r="BJ54" s="47"/>
      <c r="BK54" s="47"/>
      <c r="BL54" s="33"/>
      <c r="BM54" s="33"/>
      <c r="BN54" s="33"/>
    </row>
    <row r="55" spans="1:66" x14ac:dyDescent="0.25">
      <c r="A55" s="34"/>
      <c r="B55" s="34"/>
      <c r="C55" s="140"/>
      <c r="D55" s="34"/>
      <c r="E55" s="33"/>
      <c r="F55" s="1295"/>
      <c r="G55" s="1296"/>
      <c r="H55" s="1296"/>
      <c r="I55" s="1296"/>
      <c r="J55" s="1296"/>
      <c r="K55" s="1297"/>
      <c r="L55" s="34"/>
      <c r="M55" s="34"/>
      <c r="N55" s="1284"/>
      <c r="O55" s="1285"/>
      <c r="P55" s="1285"/>
      <c r="Q55" s="1285"/>
      <c r="R55" s="1285"/>
      <c r="S55" s="1285"/>
      <c r="T55" s="1286"/>
      <c r="U55" s="33"/>
      <c r="V55" s="33"/>
      <c r="W55" s="33"/>
      <c r="X55" s="33"/>
      <c r="Y55" s="33"/>
      <c r="Z55" s="152"/>
      <c r="AA55" s="100"/>
      <c r="AB55" s="195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196"/>
      <c r="AS55" s="121"/>
      <c r="AT55" s="121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113"/>
      <c r="BG55" s="47"/>
      <c r="BH55" s="47"/>
      <c r="BI55" s="47"/>
      <c r="BJ55" s="47"/>
      <c r="BK55" s="47"/>
      <c r="BL55" s="33"/>
      <c r="BM55" s="33"/>
      <c r="BN55" s="33"/>
    </row>
    <row r="56" spans="1:66" x14ac:dyDescent="0.25">
      <c r="A56" s="34"/>
      <c r="B56" s="34"/>
      <c r="C56" s="123"/>
      <c r="D56" s="197"/>
      <c r="E56" s="33"/>
      <c r="F56" s="1295"/>
      <c r="G56" s="1296"/>
      <c r="H56" s="1296"/>
      <c r="I56" s="1296"/>
      <c r="J56" s="1296"/>
      <c r="K56" s="1297"/>
      <c r="L56" s="34"/>
      <c r="M56" s="34"/>
      <c r="N56" s="1284"/>
      <c r="O56" s="1285"/>
      <c r="P56" s="1285"/>
      <c r="Q56" s="1285"/>
      <c r="R56" s="1285"/>
      <c r="S56" s="1285"/>
      <c r="T56" s="1286"/>
      <c r="U56" s="33"/>
      <c r="V56" s="33"/>
      <c r="W56" s="33"/>
      <c r="X56" s="33"/>
      <c r="Y56" s="33"/>
      <c r="Z56" s="47"/>
      <c r="AA56" s="195"/>
      <c r="AB56" s="152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198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113"/>
      <c r="BG56" s="47"/>
      <c r="BH56" s="47"/>
      <c r="BI56" s="47"/>
      <c r="BJ56" s="47"/>
      <c r="BK56" s="47"/>
      <c r="BL56" s="33"/>
      <c r="BM56" s="33"/>
      <c r="BN56" s="33"/>
    </row>
    <row r="57" spans="1:66" ht="15.75" x14ac:dyDescent="0.25">
      <c r="A57" s="34"/>
      <c r="B57" s="34"/>
      <c r="C57" s="123"/>
      <c r="D57" s="197"/>
      <c r="E57" s="34"/>
      <c r="F57" s="1295"/>
      <c r="G57" s="1296"/>
      <c r="H57" s="1296"/>
      <c r="I57" s="1296"/>
      <c r="J57" s="1296"/>
      <c r="K57" s="1297"/>
      <c r="L57" s="34"/>
      <c r="M57" s="34"/>
      <c r="N57" s="1284"/>
      <c r="O57" s="1285"/>
      <c r="P57" s="1285"/>
      <c r="Q57" s="1285"/>
      <c r="R57" s="1285"/>
      <c r="S57" s="1285"/>
      <c r="T57" s="1286"/>
      <c r="U57" s="33"/>
      <c r="V57" s="33"/>
      <c r="W57" s="33"/>
      <c r="X57" s="33"/>
      <c r="Y57" s="33"/>
      <c r="Z57" s="89"/>
      <c r="AA57" s="179"/>
      <c r="AB57" s="71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199"/>
      <c r="AR57" s="198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113"/>
      <c r="BG57" s="47"/>
      <c r="BH57" s="47"/>
      <c r="BI57" s="47"/>
      <c r="BJ57" s="47"/>
      <c r="BK57" s="47"/>
      <c r="BL57" s="33"/>
      <c r="BM57" s="33"/>
      <c r="BN57" s="33"/>
    </row>
    <row r="58" spans="1:66" x14ac:dyDescent="0.25">
      <c r="A58" s="34"/>
      <c r="B58" s="34"/>
      <c r="C58" s="123"/>
      <c r="D58" s="197"/>
      <c r="E58" s="34"/>
      <c r="F58" s="1295"/>
      <c r="G58" s="1296"/>
      <c r="H58" s="1296"/>
      <c r="I58" s="1296"/>
      <c r="J58" s="1296"/>
      <c r="K58" s="1297"/>
      <c r="L58" s="34"/>
      <c r="M58" s="34"/>
      <c r="N58" s="1284"/>
      <c r="O58" s="1285"/>
      <c r="P58" s="1285"/>
      <c r="Q58" s="1285"/>
      <c r="R58" s="1285"/>
      <c r="S58" s="1285"/>
      <c r="T58" s="1286"/>
      <c r="U58" s="33"/>
      <c r="V58" s="33"/>
      <c r="W58" s="33"/>
      <c r="X58" s="33"/>
      <c r="Y58" s="33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196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113"/>
      <c r="BG58" s="47"/>
      <c r="BH58" s="47"/>
      <c r="BI58" s="47"/>
      <c r="BJ58" s="47"/>
      <c r="BK58" s="47"/>
      <c r="BL58" s="33"/>
      <c r="BM58" s="33"/>
      <c r="BN58" s="33"/>
    </row>
    <row r="59" spans="1:66" x14ac:dyDescent="0.25">
      <c r="A59" s="34"/>
      <c r="B59" s="34"/>
      <c r="C59" s="123"/>
      <c r="D59" s="197"/>
      <c r="E59" s="34"/>
      <c r="F59" s="1295"/>
      <c r="G59" s="1296"/>
      <c r="H59" s="1296"/>
      <c r="I59" s="1296"/>
      <c r="J59" s="1296"/>
      <c r="K59" s="1297"/>
      <c r="L59" s="34"/>
      <c r="M59" s="34"/>
      <c r="N59" s="1284"/>
      <c r="O59" s="1285"/>
      <c r="P59" s="1285"/>
      <c r="Q59" s="1285"/>
      <c r="R59" s="1285"/>
      <c r="S59" s="1285"/>
      <c r="T59" s="1286"/>
      <c r="U59" s="33"/>
      <c r="V59" s="33"/>
      <c r="W59" s="33"/>
      <c r="X59" s="33"/>
      <c r="Y59" s="33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121"/>
      <c r="AS59" s="47"/>
      <c r="AT59" s="121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113"/>
      <c r="BG59" s="47"/>
      <c r="BH59" s="47"/>
      <c r="BI59" s="47"/>
      <c r="BJ59" s="47"/>
      <c r="BK59" s="47"/>
      <c r="BL59" s="33"/>
      <c r="BM59" s="33"/>
      <c r="BN59" s="33"/>
    </row>
    <row r="60" spans="1:66" ht="20.25" x14ac:dyDescent="0.25">
      <c r="A60" s="34"/>
      <c r="B60" s="34"/>
      <c r="C60" s="123"/>
      <c r="D60" s="200"/>
      <c r="E60" s="84"/>
      <c r="F60" s="1295"/>
      <c r="G60" s="1296"/>
      <c r="H60" s="1296"/>
      <c r="I60" s="1296"/>
      <c r="J60" s="1296"/>
      <c r="K60" s="1297"/>
      <c r="L60" s="34"/>
      <c r="M60" s="34"/>
      <c r="N60" s="1284"/>
      <c r="O60" s="1285"/>
      <c r="P60" s="1285"/>
      <c r="Q60" s="1285"/>
      <c r="R60" s="1285"/>
      <c r="S60" s="1285"/>
      <c r="T60" s="1286"/>
      <c r="U60" s="33"/>
      <c r="V60" s="33"/>
      <c r="W60" s="33"/>
      <c r="X60" s="33"/>
      <c r="Y60" s="33"/>
      <c r="Z60" s="33"/>
      <c r="AA60" s="33"/>
      <c r="AB60" s="33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201"/>
      <c r="AS60" s="47"/>
      <c r="AT60" s="121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113"/>
      <c r="BG60" s="47"/>
      <c r="BH60" s="47"/>
      <c r="BI60" s="47"/>
      <c r="BJ60" s="47"/>
      <c r="BK60" s="47"/>
      <c r="BL60" s="33"/>
      <c r="BM60" s="33"/>
      <c r="BN60" s="33"/>
    </row>
    <row r="61" spans="1:66" ht="15.75" x14ac:dyDescent="0.25">
      <c r="A61" s="34"/>
      <c r="B61" s="34"/>
      <c r="C61" s="123"/>
      <c r="D61" s="202"/>
      <c r="E61" s="34"/>
      <c r="F61" s="1295"/>
      <c r="G61" s="1296"/>
      <c r="H61" s="1296"/>
      <c r="I61" s="1296"/>
      <c r="J61" s="1296"/>
      <c r="K61" s="1297"/>
      <c r="L61" s="34"/>
      <c r="M61" s="34"/>
      <c r="N61" s="1284"/>
      <c r="O61" s="1285"/>
      <c r="P61" s="1285"/>
      <c r="Q61" s="1285"/>
      <c r="R61" s="1285"/>
      <c r="S61" s="1285"/>
      <c r="T61" s="1286"/>
      <c r="U61" s="33"/>
      <c r="V61" s="33"/>
      <c r="W61" s="33"/>
      <c r="X61" s="33"/>
      <c r="Y61" s="33"/>
      <c r="Z61" s="33"/>
      <c r="AA61" s="33"/>
      <c r="AB61" s="33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99"/>
      <c r="AR61" s="201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113"/>
      <c r="BG61" s="47"/>
      <c r="BH61" s="47"/>
      <c r="BI61" s="47"/>
      <c r="BJ61" s="47"/>
      <c r="BK61" s="47"/>
      <c r="BL61" s="33"/>
      <c r="BM61" s="33"/>
      <c r="BN61" s="33"/>
    </row>
    <row r="62" spans="1:66" ht="20.25" x14ac:dyDescent="0.25">
      <c r="A62" s="34"/>
      <c r="B62" s="34"/>
      <c r="C62" s="123"/>
      <c r="D62" s="203"/>
      <c r="F62" s="1295"/>
      <c r="G62" s="1296"/>
      <c r="H62" s="1296"/>
      <c r="I62" s="1296"/>
      <c r="J62" s="1296"/>
      <c r="K62" s="1297"/>
      <c r="L62" s="34"/>
      <c r="M62" s="34"/>
      <c r="N62" s="1284"/>
      <c r="O62" s="1285"/>
      <c r="P62" s="1285"/>
      <c r="Q62" s="1285"/>
      <c r="R62" s="1285"/>
      <c r="S62" s="1285"/>
      <c r="T62" s="1286"/>
      <c r="U62" s="33"/>
      <c r="V62" s="33"/>
      <c r="W62" s="33"/>
      <c r="X62" s="33"/>
      <c r="Y62" s="33"/>
      <c r="Z62" s="33"/>
      <c r="AA62" s="33"/>
      <c r="AB62" s="33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201"/>
      <c r="AR62" s="150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113"/>
      <c r="BG62" s="47"/>
      <c r="BH62" s="47"/>
      <c r="BI62" s="47"/>
      <c r="BJ62" s="47"/>
      <c r="BK62" s="47"/>
      <c r="BL62" s="33"/>
      <c r="BM62" s="33"/>
      <c r="BN62" s="33"/>
    </row>
    <row r="63" spans="1:66" ht="21" thickBot="1" x14ac:dyDescent="0.3">
      <c r="A63" s="34"/>
      <c r="B63" s="34"/>
      <c r="C63" s="123"/>
      <c r="D63" s="197"/>
      <c r="E63" s="56"/>
      <c r="F63" s="1295"/>
      <c r="G63" s="1296"/>
      <c r="H63" s="1296"/>
      <c r="I63" s="1296"/>
      <c r="J63" s="1296"/>
      <c r="K63" s="1297"/>
      <c r="L63" s="34"/>
      <c r="M63" s="34"/>
      <c r="N63" s="1287"/>
      <c r="O63" s="1288"/>
      <c r="P63" s="1288"/>
      <c r="Q63" s="1288"/>
      <c r="R63" s="1288"/>
      <c r="S63" s="1288"/>
      <c r="T63" s="1289"/>
      <c r="U63" s="52"/>
      <c r="V63" s="52"/>
      <c r="W63" s="52"/>
      <c r="X63" s="52"/>
      <c r="Y63" s="52"/>
      <c r="Z63" s="204"/>
      <c r="AA63" s="204"/>
      <c r="AB63" s="204"/>
      <c r="AC63" s="72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201"/>
      <c r="AR63" s="150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113"/>
      <c r="BG63" s="47"/>
      <c r="BH63" s="47"/>
      <c r="BI63" s="47"/>
      <c r="BJ63" s="47"/>
      <c r="BK63" s="47"/>
      <c r="BL63" s="33"/>
      <c r="BM63" s="33"/>
      <c r="BN63" s="33"/>
    </row>
    <row r="64" spans="1:66" ht="21" thickBot="1" x14ac:dyDescent="0.3">
      <c r="A64" s="34"/>
      <c r="B64" s="34"/>
      <c r="C64" s="123"/>
      <c r="D64" s="197"/>
      <c r="E64" s="56"/>
      <c r="F64" s="1298"/>
      <c r="G64" s="1299"/>
      <c r="H64" s="1299"/>
      <c r="I64" s="1299"/>
      <c r="J64" s="1299"/>
      <c r="K64" s="1300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205"/>
      <c r="AA64" s="72"/>
      <c r="AB64" s="204"/>
      <c r="AC64" s="206"/>
      <c r="AD64" s="47"/>
      <c r="AE64" s="47"/>
      <c r="AF64" s="47"/>
      <c r="AG64" s="47"/>
      <c r="AH64" s="47"/>
      <c r="AI64" s="207"/>
      <c r="AJ64" s="47"/>
      <c r="AK64" s="208"/>
      <c r="AL64" s="208"/>
      <c r="AM64" s="50"/>
      <c r="AN64" s="208"/>
      <c r="AO64" s="209"/>
      <c r="AP64" s="210"/>
      <c r="AQ64" s="50"/>
      <c r="AR64" s="183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211"/>
      <c r="BF64" s="113"/>
      <c r="BG64" s="47"/>
      <c r="BH64" s="47"/>
      <c r="BI64" s="47"/>
      <c r="BJ64" s="47"/>
      <c r="BK64" s="47"/>
      <c r="BL64" s="33"/>
      <c r="BM64" s="33"/>
      <c r="BN64" s="33"/>
    </row>
    <row r="65" spans="1:66" ht="20.25" x14ac:dyDescent="0.25">
      <c r="A65" s="34"/>
      <c r="B65" s="34"/>
      <c r="C65" s="123"/>
      <c r="D65" s="197"/>
      <c r="E65" s="56"/>
      <c r="F65" s="33"/>
      <c r="G65" s="33"/>
      <c r="H65" s="33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205"/>
      <c r="AA65" s="212"/>
      <c r="AB65" s="204"/>
      <c r="AC65" s="206"/>
      <c r="AD65" s="47"/>
      <c r="AE65" s="47"/>
      <c r="AF65" s="47"/>
      <c r="AG65" s="47"/>
      <c r="AH65" s="47"/>
      <c r="AI65" s="47"/>
      <c r="AJ65" s="213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214"/>
      <c r="BF65" s="113"/>
      <c r="BG65" s="47"/>
      <c r="BH65" s="47"/>
      <c r="BI65" s="47"/>
      <c r="BJ65" s="47"/>
      <c r="BK65" s="47"/>
      <c r="BL65" s="33"/>
      <c r="BM65" s="33"/>
      <c r="BN65" s="33"/>
    </row>
    <row r="66" spans="1:66" ht="20.25" x14ac:dyDescent="0.25">
      <c r="A66" s="34"/>
      <c r="B66" s="34"/>
      <c r="C66" s="123"/>
      <c r="D66" s="197"/>
      <c r="E66" s="56"/>
      <c r="F66" s="33"/>
      <c r="G66" s="33"/>
      <c r="H66" s="33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34"/>
      <c r="X66" s="34"/>
      <c r="Y66" s="34"/>
      <c r="Z66" s="205"/>
      <c r="AA66" s="215"/>
      <c r="AB66" s="204"/>
      <c r="AC66" s="206"/>
      <c r="AD66" s="216"/>
      <c r="AE66" s="47"/>
      <c r="AF66" s="161"/>
      <c r="AG66" s="217"/>
      <c r="AH66" s="100"/>
      <c r="AI66" s="213"/>
      <c r="AJ66" s="152"/>
      <c r="AK66" s="152"/>
      <c r="AL66" s="152"/>
      <c r="AM66" s="152"/>
      <c r="AN66" s="152"/>
      <c r="AO66" s="152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218"/>
      <c r="BF66" s="113"/>
      <c r="BG66" s="47"/>
      <c r="BH66" s="47"/>
      <c r="BI66" s="47"/>
      <c r="BJ66" s="47"/>
      <c r="BK66" s="47"/>
      <c r="BL66" s="33"/>
      <c r="BM66" s="33"/>
      <c r="BN66" s="33"/>
    </row>
    <row r="67" spans="1:66" ht="20.25" x14ac:dyDescent="0.25">
      <c r="A67" s="34"/>
      <c r="B67" s="34"/>
      <c r="C67" s="34"/>
      <c r="D67" s="197"/>
      <c r="E67" s="56"/>
      <c r="F67" s="33"/>
      <c r="G67" s="33"/>
      <c r="H67" s="33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34"/>
      <c r="X67" s="34"/>
      <c r="Y67" s="34"/>
      <c r="Z67" s="219"/>
      <c r="AA67" s="215"/>
      <c r="AB67" s="204"/>
      <c r="AC67" s="206"/>
      <c r="AD67" s="47"/>
      <c r="AE67" s="161"/>
      <c r="AF67" s="217"/>
      <c r="AG67" s="100"/>
      <c r="AH67" s="213"/>
      <c r="AI67" s="152"/>
      <c r="AJ67" s="152"/>
      <c r="AK67" s="152"/>
      <c r="AL67" s="152"/>
      <c r="AM67" s="152"/>
      <c r="AN67" s="152"/>
      <c r="AO67" s="152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214"/>
      <c r="BF67" s="113"/>
      <c r="BG67" s="47"/>
      <c r="BH67" s="47"/>
      <c r="BI67" s="47"/>
      <c r="BJ67" s="47"/>
      <c r="BK67" s="47"/>
      <c r="BL67" s="33"/>
      <c r="BM67" s="33"/>
      <c r="BN67" s="33"/>
    </row>
    <row r="68" spans="1:66" ht="20.25" x14ac:dyDescent="0.25">
      <c r="A68" s="34"/>
      <c r="B68" s="34"/>
      <c r="C68" s="34"/>
      <c r="D68" s="197"/>
      <c r="E68" s="56"/>
      <c r="F68" s="33"/>
      <c r="G68" s="33"/>
      <c r="H68" s="33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34"/>
      <c r="X68" s="34"/>
      <c r="Y68" s="34"/>
      <c r="Z68" s="72"/>
      <c r="AA68" s="219"/>
      <c r="AB68" s="204"/>
      <c r="AC68" s="206"/>
      <c r="AD68" s="161"/>
      <c r="AE68" s="217"/>
      <c r="AF68" s="100"/>
      <c r="AG68" s="213"/>
      <c r="AH68" s="152"/>
      <c r="AI68" s="152"/>
      <c r="AJ68" s="152"/>
      <c r="AK68" s="152"/>
      <c r="AL68" s="152"/>
      <c r="AM68" s="152"/>
      <c r="AN68" s="152"/>
      <c r="AO68" s="152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214"/>
      <c r="BF68" s="113"/>
      <c r="BG68" s="47"/>
      <c r="BH68" s="47"/>
      <c r="BI68" s="47"/>
      <c r="BJ68" s="47"/>
      <c r="BK68" s="47"/>
      <c r="BL68" s="33"/>
      <c r="BM68" s="33"/>
      <c r="BN68" s="33"/>
    </row>
    <row r="69" spans="1:66" ht="20.25" x14ac:dyDescent="0.25">
      <c r="A69" s="34"/>
      <c r="B69" s="34"/>
      <c r="C69" s="34"/>
      <c r="D69" s="197"/>
      <c r="E69" s="56"/>
      <c r="F69" s="220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34"/>
      <c r="X69" s="34"/>
      <c r="Y69" s="34"/>
      <c r="Z69" s="204"/>
      <c r="AA69" s="204"/>
      <c r="AB69" s="204"/>
      <c r="AC69" s="47"/>
      <c r="AD69" s="217"/>
      <c r="AE69" s="100"/>
      <c r="AF69" s="213"/>
      <c r="AG69" s="152"/>
      <c r="AH69" s="152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214"/>
      <c r="BF69" s="113"/>
      <c r="BG69" s="47"/>
      <c r="BH69" s="47"/>
      <c r="BI69" s="47"/>
      <c r="BJ69" s="47"/>
      <c r="BK69" s="47"/>
      <c r="BL69" s="33"/>
      <c r="BM69" s="33"/>
      <c r="BN69" s="33"/>
    </row>
    <row r="70" spans="1:66" ht="21" x14ac:dyDescent="0.25">
      <c r="A70" s="34"/>
      <c r="B70" s="34"/>
      <c r="C70" s="34"/>
      <c r="D70" s="197"/>
      <c r="E70" s="56"/>
      <c r="F70" s="220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34"/>
      <c r="X70" s="34"/>
      <c r="Y70" s="34"/>
      <c r="Z70" s="204"/>
      <c r="AA70" s="204"/>
      <c r="AB70" s="72"/>
      <c r="AC70" s="47"/>
      <c r="AD70" s="100"/>
      <c r="AE70" s="213"/>
      <c r="AF70" s="152"/>
      <c r="AG70" s="47"/>
      <c r="AH70" s="47"/>
      <c r="AI70" s="47"/>
      <c r="AJ70" s="47"/>
      <c r="AK70" s="47"/>
      <c r="AL70" s="47"/>
      <c r="AM70" s="47"/>
      <c r="AN70" s="34"/>
      <c r="AO70" s="34"/>
      <c r="AP70" s="47"/>
      <c r="AQ70" s="47"/>
      <c r="AR70" s="105"/>
      <c r="AS70" s="105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221"/>
      <c r="BF70" s="113"/>
      <c r="BG70" s="47"/>
      <c r="BH70" s="47"/>
      <c r="BI70" s="47"/>
      <c r="BJ70" s="47"/>
      <c r="BK70" s="47"/>
      <c r="BL70" s="33"/>
      <c r="BM70" s="33"/>
      <c r="BN70" s="33"/>
    </row>
    <row r="71" spans="1:66" ht="21.75" thickBot="1" x14ac:dyDescent="0.3">
      <c r="A71" s="34"/>
      <c r="B71" s="34"/>
      <c r="C71" s="222"/>
      <c r="D71" s="56"/>
      <c r="E71" s="52"/>
      <c r="F71" s="223"/>
      <c r="G71" s="223"/>
      <c r="H71" s="223"/>
      <c r="I71" s="223"/>
      <c r="J71" s="223"/>
      <c r="K71" s="223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152"/>
      <c r="X71" s="152"/>
      <c r="Y71" s="152"/>
      <c r="Z71" s="152"/>
      <c r="AA71" s="161"/>
      <c r="AB71" s="217"/>
      <c r="AC71" s="100"/>
      <c r="AD71" s="213"/>
      <c r="AE71" s="152"/>
      <c r="AF71" s="152"/>
      <c r="AG71" s="152"/>
      <c r="AH71" s="47"/>
      <c r="AI71" s="47"/>
      <c r="AJ71" s="47"/>
      <c r="AK71" s="47"/>
      <c r="AL71" s="47"/>
      <c r="AM71" s="47"/>
      <c r="AN71" s="34"/>
      <c r="AO71" s="34"/>
      <c r="AP71" s="47"/>
      <c r="AQ71" s="47"/>
      <c r="AR71" s="105"/>
      <c r="AS71" s="105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224"/>
      <c r="BF71" s="113"/>
      <c r="BG71" s="47"/>
      <c r="BH71" s="47"/>
      <c r="BI71" s="47"/>
      <c r="BJ71" s="47"/>
      <c r="BK71" s="47"/>
      <c r="BL71" s="33"/>
      <c r="BM71" s="33"/>
      <c r="BN71" s="33"/>
    </row>
    <row r="72" spans="1:66" ht="21" x14ac:dyDescent="0.25">
      <c r="A72" s="34"/>
      <c r="B72" s="34"/>
      <c r="C72" s="34"/>
      <c r="D72" s="225"/>
      <c r="E72" s="225"/>
      <c r="F72" s="34"/>
      <c r="G72" s="34"/>
      <c r="H72" s="34"/>
      <c r="I72" s="34"/>
      <c r="J72" s="225"/>
      <c r="K72" s="226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47"/>
      <c r="X72" s="47"/>
      <c r="Y72" s="47"/>
      <c r="Z72" s="47"/>
      <c r="AA72" s="217"/>
      <c r="AB72" s="100"/>
      <c r="AC72" s="89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34"/>
      <c r="AO72" s="34"/>
      <c r="AP72" s="47"/>
      <c r="AQ72" s="47"/>
      <c r="AR72" s="105"/>
      <c r="AS72" s="105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227"/>
      <c r="BF72" s="113"/>
      <c r="BG72" s="47"/>
      <c r="BH72" s="47"/>
      <c r="BI72" s="47"/>
      <c r="BJ72" s="47"/>
      <c r="BK72" s="47"/>
      <c r="BL72" s="33"/>
      <c r="BM72" s="33"/>
      <c r="BN72" s="33"/>
    </row>
    <row r="73" spans="1:66" ht="21.75" thickBot="1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22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208"/>
      <c r="X73" s="208"/>
      <c r="Y73" s="208"/>
      <c r="Z73" s="208"/>
      <c r="AA73" s="208"/>
      <c r="AB73" s="228"/>
      <c r="AC73" s="208"/>
      <c r="AD73" s="208"/>
      <c r="AE73" s="208"/>
      <c r="AF73" s="152"/>
      <c r="AG73" s="152"/>
      <c r="AH73" s="152"/>
      <c r="AI73" s="152"/>
      <c r="AJ73" s="152"/>
      <c r="AK73" s="229"/>
      <c r="AL73" s="229"/>
      <c r="AM73" s="229"/>
      <c r="AN73" s="34"/>
      <c r="AO73" s="34"/>
      <c r="AP73" s="229"/>
      <c r="AQ73" s="229"/>
      <c r="AR73" s="105"/>
      <c r="AS73" s="105"/>
      <c r="AT73" s="230"/>
      <c r="AU73" s="230"/>
      <c r="AV73" s="230"/>
      <c r="AW73" s="230"/>
      <c r="AX73" s="47"/>
      <c r="AY73" s="47"/>
      <c r="AZ73" s="168"/>
      <c r="BA73" s="168"/>
      <c r="BB73" s="168"/>
      <c r="BC73" s="168"/>
      <c r="BD73" s="47"/>
      <c r="BE73" s="183"/>
      <c r="BF73" s="113"/>
      <c r="BG73" s="47"/>
      <c r="BH73" s="47"/>
      <c r="BI73" s="47"/>
      <c r="BJ73" s="47"/>
      <c r="BK73" s="47"/>
      <c r="BL73" s="33"/>
      <c r="BM73" s="33"/>
      <c r="BN73" s="33"/>
    </row>
    <row r="74" spans="1:66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222"/>
      <c r="L74" s="32"/>
      <c r="M74" s="47"/>
      <c r="N74" s="47"/>
      <c r="O74" s="47"/>
      <c r="P74" s="152"/>
      <c r="Q74" s="152"/>
      <c r="R74" s="152"/>
      <c r="S74" s="152"/>
      <c r="T74" s="152"/>
      <c r="U74" s="199"/>
      <c r="V74" s="149"/>
      <c r="W74" s="152"/>
      <c r="X74" s="152"/>
      <c r="Y74" s="152"/>
      <c r="Z74" s="152"/>
      <c r="AA74" s="152"/>
      <c r="AB74" s="47"/>
      <c r="AC74" s="47"/>
      <c r="AD74" s="47"/>
      <c r="AE74" s="47"/>
      <c r="AF74" s="231"/>
      <c r="AG74" s="231"/>
      <c r="AH74" s="231"/>
      <c r="AI74" s="231"/>
      <c r="AJ74" s="231"/>
      <c r="AK74" s="232"/>
      <c r="AL74" s="232"/>
      <c r="AM74" s="225"/>
      <c r="AN74" s="225"/>
      <c r="AO74" s="225"/>
      <c r="AP74" s="225"/>
      <c r="AQ74" s="225"/>
      <c r="AR74" s="225"/>
      <c r="AS74" s="225"/>
      <c r="AT74" s="225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47"/>
      <c r="BF74" s="47"/>
      <c r="BG74" s="47"/>
      <c r="BH74" s="47"/>
      <c r="BI74" s="47"/>
      <c r="BJ74" s="47"/>
      <c r="BK74" s="47"/>
      <c r="BL74" s="33"/>
      <c r="BM74" s="33"/>
      <c r="BN74" s="33"/>
    </row>
    <row r="75" spans="1:66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222"/>
      <c r="L75" s="32"/>
      <c r="M75" s="32"/>
      <c r="N75" s="32"/>
      <c r="O75" s="32"/>
      <c r="P75" s="32"/>
      <c r="Q75" s="32"/>
      <c r="R75" s="32"/>
      <c r="S75" s="32"/>
      <c r="T75" s="32"/>
      <c r="U75" s="45"/>
      <c r="V75" s="45"/>
      <c r="W75" s="32"/>
      <c r="X75" s="32"/>
      <c r="Y75" s="32"/>
      <c r="Z75" s="32"/>
      <c r="AA75" s="32"/>
      <c r="AB75" s="32"/>
      <c r="AC75" s="32"/>
      <c r="AD75" s="32"/>
      <c r="AE75" s="233"/>
      <c r="AF75" s="233"/>
      <c r="AG75" s="233"/>
      <c r="AH75" s="233"/>
      <c r="AI75" s="233"/>
      <c r="AJ75" s="233"/>
      <c r="AK75" s="233"/>
      <c r="AL75" s="233"/>
      <c r="AM75" s="34"/>
      <c r="AN75" s="34"/>
      <c r="AO75" s="34"/>
      <c r="AP75" s="34"/>
      <c r="AQ75" s="34"/>
      <c r="AR75" s="34"/>
      <c r="AS75" s="34"/>
      <c r="AT75" s="34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33"/>
      <c r="BM75" s="33"/>
      <c r="BN75" s="33"/>
    </row>
    <row r="76" spans="1:66" ht="20.25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222"/>
      <c r="L76" s="32"/>
      <c r="M76" s="32"/>
      <c r="N76" s="32"/>
      <c r="O76" s="32"/>
      <c r="P76" s="32"/>
      <c r="Q76" s="32"/>
      <c r="R76" s="32"/>
      <c r="S76" s="32"/>
      <c r="T76" s="32"/>
      <c r="U76" s="45"/>
      <c r="V76" s="45"/>
      <c r="W76" s="32"/>
      <c r="X76" s="32"/>
      <c r="Y76" s="32"/>
      <c r="Z76" s="32"/>
      <c r="AA76" s="32"/>
      <c r="AB76" s="32"/>
      <c r="AC76" s="32"/>
      <c r="AD76" s="32"/>
      <c r="AE76" s="234" t="s">
        <v>196</v>
      </c>
      <c r="AF76" s="235"/>
      <c r="AG76" s="233"/>
      <c r="AR76" s="34"/>
      <c r="AS76" s="34"/>
      <c r="AT76" s="34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33"/>
      <c r="BM76" s="33"/>
      <c r="BN76" s="33"/>
    </row>
    <row r="77" spans="1:66" ht="20.25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222"/>
      <c r="L77" s="32"/>
      <c r="M77" s="32"/>
      <c r="N77" s="32"/>
      <c r="O77" s="32"/>
      <c r="P77" s="32"/>
      <c r="Q77" s="32"/>
      <c r="R77" s="32"/>
      <c r="S77" s="32"/>
      <c r="T77" s="32"/>
      <c r="U77" s="45"/>
      <c r="V77" s="45"/>
      <c r="W77" s="32"/>
      <c r="X77" s="32"/>
      <c r="Y77" s="32"/>
      <c r="Z77" s="32"/>
      <c r="AA77" s="32"/>
      <c r="AB77" s="32"/>
      <c r="AC77" s="32"/>
      <c r="AD77" s="32"/>
      <c r="AE77" s="235"/>
      <c r="AF77" s="235"/>
      <c r="AJ77" s="235"/>
      <c r="AK77" s="235"/>
      <c r="AL77" s="235"/>
      <c r="AM77" s="235"/>
      <c r="AN77" s="235"/>
      <c r="AO77" s="33"/>
      <c r="AP77" s="33"/>
      <c r="AQ77" s="33"/>
      <c r="AR77" s="34"/>
      <c r="AS77" s="34"/>
      <c r="AT77" s="34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33"/>
      <c r="BM77" s="33"/>
      <c r="BN77" s="33"/>
    </row>
    <row r="78" spans="1:66" ht="15.75" thickBot="1" x14ac:dyDescent="0.3">
      <c r="A78" s="34"/>
      <c r="B78" s="34"/>
      <c r="C78" s="52"/>
      <c r="D78" s="52"/>
      <c r="E78" s="52"/>
      <c r="F78" s="52"/>
      <c r="G78" s="52"/>
      <c r="H78" s="52"/>
      <c r="I78" s="52"/>
      <c r="J78" s="52"/>
      <c r="K78" s="53"/>
      <c r="L78" s="32"/>
      <c r="M78" s="32"/>
      <c r="N78" s="32"/>
      <c r="O78" s="32"/>
      <c r="P78" s="32"/>
      <c r="Q78" s="32"/>
      <c r="R78" s="32"/>
      <c r="S78" s="32"/>
      <c r="T78" s="32"/>
      <c r="U78" s="236"/>
      <c r="V78" s="237"/>
      <c r="W78" s="238"/>
      <c r="X78" s="238"/>
      <c r="Y78" s="238"/>
      <c r="Z78" s="238"/>
      <c r="AA78" s="238"/>
      <c r="AB78" s="239"/>
      <c r="AC78" s="239"/>
      <c r="AD78" s="1278"/>
      <c r="AE78" s="1278"/>
      <c r="AF78" s="1279"/>
      <c r="AG78" s="1279"/>
      <c r="AH78" s="1279"/>
      <c r="AI78" s="1279"/>
      <c r="AJ78" s="1708" t="s">
        <v>197</v>
      </c>
      <c r="AK78" s="1708"/>
      <c r="AL78" s="1708"/>
      <c r="AM78" s="1708"/>
      <c r="AN78" s="1708" t="s">
        <v>198</v>
      </c>
      <c r="AO78" s="1708"/>
      <c r="AP78" s="1708"/>
      <c r="AQ78" s="1708"/>
      <c r="AR78" s="240"/>
      <c r="AS78" s="240"/>
      <c r="AT78" s="240"/>
      <c r="AU78" s="238"/>
      <c r="AV78" s="241"/>
      <c r="AW78" s="241"/>
      <c r="AX78" s="241"/>
      <c r="AY78" s="241"/>
      <c r="AZ78" s="241"/>
      <c r="BA78" s="241"/>
      <c r="BB78" s="241"/>
      <c r="BC78" s="241"/>
      <c r="BD78" s="241"/>
      <c r="BE78" s="241"/>
      <c r="BF78" s="241"/>
      <c r="BG78" s="241"/>
      <c r="BH78" s="241"/>
      <c r="BI78" s="241"/>
      <c r="BJ78" s="241"/>
      <c r="BK78" s="241"/>
      <c r="BL78" s="242"/>
      <c r="BM78" s="242"/>
      <c r="BN78" s="33"/>
    </row>
    <row r="79" spans="1:66" ht="15.75" x14ac:dyDescent="0.25">
      <c r="A79" s="34"/>
      <c r="B79" s="34"/>
      <c r="C79" s="52"/>
      <c r="D79" s="52"/>
      <c r="E79" s="52"/>
      <c r="F79" s="52"/>
      <c r="G79" s="52"/>
      <c r="H79" s="52"/>
      <c r="I79" s="52"/>
      <c r="J79" s="52"/>
      <c r="K79" s="53"/>
      <c r="L79" s="32"/>
      <c r="M79" s="32"/>
      <c r="N79" s="32"/>
      <c r="O79" s="32"/>
      <c r="P79" s="32"/>
      <c r="Q79" s="32"/>
      <c r="R79" s="32"/>
      <c r="S79" s="32"/>
      <c r="T79" s="32"/>
      <c r="U79" s="243"/>
      <c r="V79" s="32"/>
      <c r="W79" s="32"/>
      <c r="X79" s="32"/>
      <c r="Y79" s="32"/>
      <c r="Z79" s="244" t="s">
        <v>176</v>
      </c>
      <c r="AA79" s="244" t="s">
        <v>176</v>
      </c>
      <c r="AB79" s="244" t="s">
        <v>176</v>
      </c>
      <c r="AC79" s="244" t="s">
        <v>176</v>
      </c>
      <c r="AD79" s="244" t="s">
        <v>176</v>
      </c>
      <c r="AE79" s="244" t="s">
        <v>176</v>
      </c>
      <c r="AF79" s="244" t="s">
        <v>176</v>
      </c>
      <c r="AI79" s="245"/>
      <c r="AJ79" s="55" t="s">
        <v>48</v>
      </c>
      <c r="AK79" s="55" t="s">
        <v>48</v>
      </c>
      <c r="AL79" s="55" t="s">
        <v>48</v>
      </c>
      <c r="AM79" s="55" t="s">
        <v>48</v>
      </c>
      <c r="AN79" s="55" t="s">
        <v>48</v>
      </c>
      <c r="AO79" s="55" t="s">
        <v>48</v>
      </c>
      <c r="AP79" s="55" t="s">
        <v>48</v>
      </c>
      <c r="AQ79" s="55" t="s">
        <v>48</v>
      </c>
      <c r="AR79" s="245"/>
      <c r="AS79" s="33"/>
      <c r="AT79" s="33"/>
      <c r="AU79" s="33"/>
      <c r="AV79" s="246"/>
      <c r="AW79" s="33"/>
      <c r="AX79" s="247" t="s">
        <v>151</v>
      </c>
      <c r="AY79" s="247" t="s">
        <v>151</v>
      </c>
      <c r="AZ79" s="247" t="s">
        <v>151</v>
      </c>
      <c r="BA79" s="247" t="s">
        <v>151</v>
      </c>
      <c r="BB79" s="247" t="s">
        <v>151</v>
      </c>
      <c r="BC79" s="247" t="s">
        <v>151</v>
      </c>
      <c r="BD79" s="247" t="s">
        <v>151</v>
      </c>
      <c r="BE79" s="247" t="s">
        <v>151</v>
      </c>
      <c r="BF79" s="247" t="s">
        <v>151</v>
      </c>
      <c r="BG79" s="247" t="s">
        <v>151</v>
      </c>
      <c r="BH79" s="33"/>
      <c r="BI79" s="33"/>
      <c r="BJ79" s="33"/>
      <c r="BK79" s="33"/>
      <c r="BL79" s="33"/>
      <c r="BM79" s="32"/>
      <c r="BN79" s="248"/>
    </row>
    <row r="80" spans="1:66" ht="15.75" x14ac:dyDescent="0.25">
      <c r="A80" s="34"/>
      <c r="B80" s="34"/>
      <c r="C80" s="52"/>
      <c r="D80" s="155"/>
      <c r="E80" s="155"/>
      <c r="F80" s="155"/>
      <c r="G80" s="155"/>
      <c r="H80" s="52"/>
      <c r="I80" s="52"/>
      <c r="J80" s="52"/>
      <c r="K80" s="53"/>
      <c r="L80" s="32"/>
      <c r="M80" s="32"/>
      <c r="N80" s="32"/>
      <c r="O80" s="32"/>
      <c r="P80" s="32"/>
      <c r="Q80" s="32"/>
      <c r="R80" s="32"/>
      <c r="S80" s="32"/>
      <c r="T80" s="32"/>
      <c r="U80" s="243"/>
      <c r="V80" s="32"/>
      <c r="W80" s="32"/>
      <c r="X80" s="32"/>
      <c r="Y80" s="32"/>
      <c r="Z80" s="1643" t="s">
        <v>199</v>
      </c>
      <c r="AA80" s="1643"/>
      <c r="AB80" s="1643"/>
      <c r="AC80" s="1643"/>
      <c r="AD80" s="1643"/>
      <c r="AE80" s="1643"/>
      <c r="AF80" s="1643"/>
      <c r="AG80" s="88"/>
      <c r="AH80" s="88"/>
      <c r="AI80" s="88" t="s">
        <v>200</v>
      </c>
      <c r="AJ80" s="245" t="s">
        <v>164</v>
      </c>
      <c r="AK80" s="245" t="s">
        <v>164</v>
      </c>
      <c r="AL80" s="245" t="s">
        <v>164</v>
      </c>
      <c r="AM80" s="245" t="s">
        <v>164</v>
      </c>
      <c r="AN80" s="245" t="s">
        <v>164</v>
      </c>
      <c r="AO80" s="245" t="s">
        <v>164</v>
      </c>
      <c r="AP80" s="245" t="s">
        <v>164</v>
      </c>
      <c r="AQ80" s="245" t="s">
        <v>164</v>
      </c>
      <c r="AR80" s="249"/>
      <c r="AS80" s="33"/>
      <c r="AT80" s="33"/>
      <c r="AU80" s="33"/>
      <c r="AV80" s="250"/>
      <c r="AW80" s="32"/>
      <c r="AX80" s="32"/>
      <c r="AY80" s="32"/>
      <c r="AZ80" s="32"/>
      <c r="BA80" s="47"/>
      <c r="BB80" s="47"/>
      <c r="BC80" s="47"/>
      <c r="BD80" s="33"/>
      <c r="BE80" s="33"/>
      <c r="BF80" s="72"/>
      <c r="BG80" s="72"/>
      <c r="BH80" s="47"/>
      <c r="BI80" s="33"/>
      <c r="BJ80" s="33"/>
      <c r="BK80" s="47"/>
      <c r="BL80" s="47"/>
      <c r="BM80" s="251" t="s">
        <v>151</v>
      </c>
      <c r="BN80" s="248"/>
    </row>
    <row r="81" spans="1:66" ht="15.75" x14ac:dyDescent="0.25">
      <c r="A81" s="34"/>
      <c r="B81" s="34"/>
      <c r="C81" s="52"/>
      <c r="D81" s="155"/>
      <c r="E81" s="155"/>
      <c r="F81" s="155"/>
      <c r="G81" s="155"/>
      <c r="H81" s="52"/>
      <c r="I81" s="52"/>
      <c r="J81" s="52"/>
      <c r="K81" s="53"/>
      <c r="L81" s="32"/>
      <c r="M81" s="32"/>
      <c r="N81" s="32"/>
      <c r="O81" s="32"/>
      <c r="P81" s="32"/>
      <c r="Q81" s="32"/>
      <c r="R81" s="32"/>
      <c r="S81" s="32"/>
      <c r="T81" s="32"/>
      <c r="U81" s="243"/>
      <c r="V81" s="32"/>
      <c r="W81" s="32"/>
      <c r="X81" s="32"/>
      <c r="Y81" s="32"/>
      <c r="Z81" s="32"/>
      <c r="AA81" s="32"/>
      <c r="AB81" s="32"/>
      <c r="AC81" s="72"/>
      <c r="AD81" s="88"/>
      <c r="AE81" s="88"/>
      <c r="AF81" s="88"/>
      <c r="AG81" s="88"/>
      <c r="AH81" s="88"/>
      <c r="AI81" s="88"/>
      <c r="AJ81" s="70">
        <v>1</v>
      </c>
      <c r="AK81" s="70">
        <v>2</v>
      </c>
      <c r="AL81" s="70">
        <v>3</v>
      </c>
      <c r="AM81" s="70">
        <v>4</v>
      </c>
      <c r="AN81" s="70">
        <v>5</v>
      </c>
      <c r="AO81" s="70">
        <v>6</v>
      </c>
      <c r="AP81" s="70">
        <v>7</v>
      </c>
      <c r="AQ81" s="70">
        <v>8</v>
      </c>
      <c r="AR81" s="252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47"/>
      <c r="BD81" s="33"/>
      <c r="BE81" s="33"/>
      <c r="BF81" s="72"/>
      <c r="BG81" s="72"/>
      <c r="BH81" s="47"/>
      <c r="BI81" s="33"/>
      <c r="BJ81" s="33"/>
      <c r="BK81" s="47"/>
      <c r="BL81" s="47"/>
      <c r="BM81" s="251" t="s">
        <v>151</v>
      </c>
      <c r="BN81" s="248"/>
    </row>
    <row r="82" spans="1:66" ht="21" x14ac:dyDescent="0.25">
      <c r="A82" s="34"/>
      <c r="B82" s="34"/>
      <c r="C82" s="52"/>
      <c r="D82" s="253"/>
      <c r="E82" s="254"/>
      <c r="F82" s="155"/>
      <c r="G82" s="155"/>
      <c r="H82" s="52"/>
      <c r="I82" s="52"/>
      <c r="J82" s="52"/>
      <c r="K82" s="53"/>
      <c r="L82" s="32"/>
      <c r="M82" s="32"/>
      <c r="N82" s="32"/>
      <c r="O82" s="32"/>
      <c r="P82" s="32"/>
      <c r="Q82" s="32"/>
      <c r="R82" s="32"/>
      <c r="S82" s="32"/>
      <c r="T82" s="32"/>
      <c r="U82" s="255"/>
      <c r="V82" s="1644"/>
      <c r="W82" s="1645"/>
      <c r="X82" s="32"/>
      <c r="Y82" s="32"/>
      <c r="Z82" s="32"/>
      <c r="AA82" s="32"/>
      <c r="AB82" s="32"/>
      <c r="AC82" s="34"/>
      <c r="AD82" s="88"/>
      <c r="AE82" s="88"/>
      <c r="AF82" s="88"/>
      <c r="AG82" s="88"/>
      <c r="AH82" s="88"/>
      <c r="AI82" s="88"/>
      <c r="AJ82" s="1646" t="s">
        <v>201</v>
      </c>
      <c r="AK82" s="1646"/>
      <c r="AL82" s="1646"/>
      <c r="AM82" s="1646"/>
      <c r="AN82" s="1646" t="s">
        <v>202</v>
      </c>
      <c r="AO82" s="1646"/>
      <c r="AP82" s="1646"/>
      <c r="AQ82" s="1646"/>
      <c r="AR82" s="252"/>
      <c r="AS82" s="33"/>
      <c r="AT82" s="33"/>
      <c r="AU82" s="33"/>
      <c r="AV82" s="33"/>
      <c r="AW82" s="147"/>
      <c r="AX82" s="147"/>
      <c r="AY82" s="1231" t="s">
        <v>203</v>
      </c>
      <c r="AZ82" s="1231"/>
      <c r="BA82" s="1231"/>
      <c r="BB82" s="147"/>
      <c r="BC82" s="47"/>
      <c r="BD82" s="147"/>
      <c r="BE82" s="72"/>
      <c r="BF82" s="72"/>
      <c r="BG82" s="1231" t="s">
        <v>203</v>
      </c>
      <c r="BH82" s="1231"/>
      <c r="BI82" s="147"/>
      <c r="BJ82" s="47"/>
      <c r="BK82" s="147"/>
      <c r="BL82" s="32"/>
      <c r="BM82" s="251" t="s">
        <v>151</v>
      </c>
      <c r="BN82" s="248"/>
    </row>
    <row r="83" spans="1:66" ht="21" x14ac:dyDescent="0.25">
      <c r="A83" s="34"/>
      <c r="B83" s="34"/>
      <c r="C83" s="52"/>
      <c r="D83" s="257"/>
      <c r="E83" s="258"/>
      <c r="F83" s="254"/>
      <c r="G83" s="155"/>
      <c r="H83" s="52"/>
      <c r="I83" s="52"/>
      <c r="J83" s="52"/>
      <c r="K83" s="53"/>
      <c r="L83" s="32"/>
      <c r="M83" s="32"/>
      <c r="N83" s="32"/>
      <c r="O83" s="32"/>
      <c r="P83" s="32"/>
      <c r="Q83" s="32"/>
      <c r="R83" s="32"/>
      <c r="S83" s="32"/>
      <c r="T83" s="32"/>
      <c r="U83" s="255"/>
      <c r="V83" s="259"/>
      <c r="W83" s="88"/>
      <c r="X83" s="32"/>
      <c r="Y83" s="260"/>
      <c r="Z83" s="260"/>
      <c r="AA83" s="32"/>
      <c r="AB83" s="32"/>
      <c r="AC83" s="33"/>
      <c r="AG83" s="33"/>
      <c r="AN83" s="261"/>
      <c r="AO83" s="261"/>
      <c r="AP83" s="261"/>
      <c r="AQ83" s="261"/>
      <c r="AR83" s="34"/>
      <c r="AS83" s="34"/>
      <c r="AT83" s="233"/>
      <c r="AU83" s="34"/>
      <c r="AV83" s="33"/>
      <c r="AW83" s="147"/>
      <c r="AX83" s="147"/>
      <c r="AY83" s="262">
        <v>1</v>
      </c>
      <c r="AZ83" s="262">
        <v>2</v>
      </c>
      <c r="BA83" s="262">
        <v>3</v>
      </c>
      <c r="BB83" s="32"/>
      <c r="BC83" s="47"/>
      <c r="BD83" s="147"/>
      <c r="BE83" s="147"/>
      <c r="BF83" s="147"/>
      <c r="BG83" s="262">
        <v>1</v>
      </c>
      <c r="BH83" s="262">
        <v>2</v>
      </c>
      <c r="BI83" s="147"/>
      <c r="BJ83" s="47"/>
      <c r="BK83" s="147"/>
      <c r="BL83" s="32"/>
      <c r="BM83" s="251" t="s">
        <v>151</v>
      </c>
      <c r="BN83" s="248"/>
    </row>
    <row r="84" spans="1:66" ht="21" x14ac:dyDescent="0.25">
      <c r="A84" s="34"/>
      <c r="B84" s="34"/>
      <c r="C84" s="52"/>
      <c r="D84" s="263"/>
      <c r="E84" s="257"/>
      <c r="F84" s="264"/>
      <c r="G84" s="155"/>
      <c r="H84" s="52"/>
      <c r="I84" s="52"/>
      <c r="J84" s="52"/>
      <c r="K84" s="53"/>
      <c r="L84" s="32"/>
      <c r="M84" s="32"/>
      <c r="N84" s="32"/>
      <c r="O84" s="32"/>
      <c r="P84" s="32"/>
      <c r="Q84" s="47"/>
      <c r="R84" s="47"/>
      <c r="S84" s="32"/>
      <c r="T84" s="32"/>
      <c r="U84" s="255"/>
      <c r="V84" s="82" t="s">
        <v>173</v>
      </c>
      <c r="W84" s="259"/>
      <c r="X84" s="82" t="s">
        <v>173</v>
      </c>
      <c r="Y84" s="82" t="s">
        <v>173</v>
      </c>
      <c r="Z84" s="260"/>
      <c r="AA84" s="33"/>
      <c r="AB84" s="265" t="s">
        <v>204</v>
      </c>
      <c r="AC84" s="134"/>
      <c r="AD84" s="134"/>
      <c r="AE84" s="266" t="s">
        <v>205</v>
      </c>
      <c r="AF84" s="33"/>
      <c r="AG84" s="266" t="s">
        <v>206</v>
      </c>
      <c r="AH84" s="134"/>
      <c r="AI84" s="134"/>
      <c r="AJ84" s="88" t="s">
        <v>207</v>
      </c>
      <c r="AL84" s="261"/>
      <c r="AM84" s="1613" t="s">
        <v>208</v>
      </c>
      <c r="AN84" s="1613"/>
      <c r="AO84" s="256"/>
      <c r="AP84" s="261"/>
      <c r="AQ84" s="261"/>
      <c r="AR84" s="34"/>
      <c r="AS84" s="34"/>
      <c r="AT84" s="34"/>
      <c r="AU84" s="34"/>
      <c r="AV84" s="33"/>
      <c r="AW84" s="147"/>
      <c r="AX84" s="267" t="s">
        <v>200</v>
      </c>
      <c r="AY84" s="268" t="s">
        <v>209</v>
      </c>
      <c r="AZ84" s="268" t="s">
        <v>209</v>
      </c>
      <c r="BA84" s="268" t="s">
        <v>209</v>
      </c>
      <c r="BB84" s="262"/>
      <c r="BC84" s="47"/>
      <c r="BD84" s="147"/>
      <c r="BE84" s="147"/>
      <c r="BF84" s="267" t="s">
        <v>210</v>
      </c>
      <c r="BG84" s="170" t="s">
        <v>209</v>
      </c>
      <c r="BH84" s="170" t="s">
        <v>209</v>
      </c>
      <c r="BI84" s="262"/>
      <c r="BJ84" s="47"/>
      <c r="BK84" s="147"/>
      <c r="BL84" s="47"/>
      <c r="BM84" s="47"/>
      <c r="BN84" s="248"/>
    </row>
    <row r="85" spans="1:66" ht="18.75" thickBot="1" x14ac:dyDescent="0.3">
      <c r="A85" s="34"/>
      <c r="B85" s="34"/>
      <c r="C85" s="52"/>
      <c r="D85" s="269"/>
      <c r="E85" s="254"/>
      <c r="F85" s="155"/>
      <c r="G85" s="155"/>
      <c r="H85" s="52"/>
      <c r="I85" s="52"/>
      <c r="J85" s="52"/>
      <c r="K85" s="53"/>
      <c r="L85" s="32"/>
      <c r="M85" s="32"/>
      <c r="N85" s="32"/>
      <c r="O85" s="32"/>
      <c r="P85" s="47"/>
      <c r="Q85" s="47"/>
      <c r="R85" s="47"/>
      <c r="S85" s="47"/>
      <c r="T85" s="32"/>
      <c r="U85" s="255"/>
      <c r="V85" s="82" t="s">
        <v>173</v>
      </c>
      <c r="W85" s="259"/>
      <c r="X85" s="82" t="s">
        <v>173</v>
      </c>
      <c r="Y85" s="82" t="s">
        <v>173</v>
      </c>
      <c r="Z85" s="260"/>
      <c r="AA85" s="270">
        <v>1</v>
      </c>
      <c r="AB85" s="271" t="s">
        <v>211</v>
      </c>
      <c r="AC85" s="55" t="s">
        <v>48</v>
      </c>
      <c r="AD85" s="55" t="s">
        <v>48</v>
      </c>
      <c r="AE85" s="271" t="s">
        <v>211</v>
      </c>
      <c r="AF85" s="272">
        <v>5</v>
      </c>
      <c r="AG85" s="271" t="s">
        <v>211</v>
      </c>
      <c r="AH85" s="55" t="s">
        <v>48</v>
      </c>
      <c r="AI85" s="55" t="s">
        <v>48</v>
      </c>
      <c r="AJ85" s="271" t="s">
        <v>211</v>
      </c>
      <c r="AL85" s="33"/>
      <c r="AM85" s="273">
        <v>1</v>
      </c>
      <c r="AN85" s="273">
        <v>2</v>
      </c>
      <c r="AO85" s="70"/>
      <c r="AP85" s="33"/>
      <c r="AQ85" s="33"/>
      <c r="AR85" s="34"/>
      <c r="AS85" s="34"/>
      <c r="AT85" s="34"/>
      <c r="AU85" s="240"/>
      <c r="AV85" s="33"/>
      <c r="AW85" s="262"/>
      <c r="AX85" s="268"/>
      <c r="AY85" s="17" t="s">
        <v>84</v>
      </c>
      <c r="AZ85" s="13" t="s">
        <v>46</v>
      </c>
      <c r="BA85" s="13" t="s">
        <v>46</v>
      </c>
      <c r="BB85" s="268"/>
      <c r="BC85" s="262"/>
      <c r="BD85" s="147"/>
      <c r="BE85" s="262"/>
      <c r="BF85" s="170"/>
      <c r="BG85" s="20" t="s">
        <v>0</v>
      </c>
      <c r="BH85" s="11" t="s">
        <v>25</v>
      </c>
      <c r="BI85" s="170"/>
      <c r="BJ85" s="262"/>
      <c r="BK85" s="147"/>
      <c r="BL85" s="47"/>
      <c r="BM85" s="251" t="s">
        <v>151</v>
      </c>
      <c r="BN85" s="248"/>
    </row>
    <row r="86" spans="1:66" ht="21" thickBot="1" x14ac:dyDescent="0.3">
      <c r="A86" s="34"/>
      <c r="B86" s="34"/>
      <c r="C86" s="52"/>
      <c r="D86" s="263"/>
      <c r="E86" s="257"/>
      <c r="F86" s="264"/>
      <c r="G86" s="155"/>
      <c r="H86" s="52"/>
      <c r="I86" s="52"/>
      <c r="J86" s="52"/>
      <c r="K86" s="53"/>
      <c r="L86" s="32"/>
      <c r="M86" s="32"/>
      <c r="N86" s="32"/>
      <c r="O86" s="32"/>
      <c r="P86" s="32"/>
      <c r="Q86" s="47"/>
      <c r="R86" s="47"/>
      <c r="S86" s="32"/>
      <c r="T86" s="32"/>
      <c r="U86" s="255"/>
      <c r="V86" s="82" t="s">
        <v>173</v>
      </c>
      <c r="W86" s="259"/>
      <c r="X86" s="274" t="s">
        <v>173</v>
      </c>
      <c r="Y86" s="274" t="s">
        <v>173</v>
      </c>
      <c r="Z86" s="260"/>
      <c r="AA86" s="270">
        <v>2</v>
      </c>
      <c r="AB86" s="271" t="s">
        <v>211</v>
      </c>
      <c r="AC86" s="55" t="s">
        <v>48</v>
      </c>
      <c r="AD86" s="55" t="s">
        <v>48</v>
      </c>
      <c r="AE86" s="271" t="s">
        <v>211</v>
      </c>
      <c r="AF86" s="272">
        <v>6</v>
      </c>
      <c r="AG86" s="271" t="s">
        <v>211</v>
      </c>
      <c r="AH86" s="55" t="s">
        <v>48</v>
      </c>
      <c r="AI86" s="55" t="s">
        <v>48</v>
      </c>
      <c r="AJ86" s="271" t="s">
        <v>211</v>
      </c>
      <c r="AL86" s="88" t="s">
        <v>210</v>
      </c>
      <c r="AM86" s="275" t="s">
        <v>164</v>
      </c>
      <c r="AN86" s="275" t="s">
        <v>164</v>
      </c>
      <c r="AO86" s="111"/>
      <c r="AP86" s="129"/>
      <c r="AQ86" s="33"/>
      <c r="AR86" s="276"/>
      <c r="AS86" s="1243" t="s">
        <v>212</v>
      </c>
      <c r="AT86" s="1244"/>
      <c r="AU86" s="34"/>
      <c r="AV86" s="33"/>
      <c r="AW86" s="262"/>
      <c r="AX86" s="268"/>
      <c r="AY86" s="17" t="s">
        <v>84</v>
      </c>
      <c r="AZ86" s="12" t="s">
        <v>71</v>
      </c>
      <c r="BA86" s="12" t="s">
        <v>71</v>
      </c>
      <c r="BB86" s="268"/>
      <c r="BC86" s="262"/>
      <c r="BD86" s="147"/>
      <c r="BE86" s="262"/>
      <c r="BF86" s="170"/>
      <c r="BG86" s="15" t="s">
        <v>68</v>
      </c>
      <c r="BH86" s="11" t="s">
        <v>25</v>
      </c>
      <c r="BI86" s="170"/>
      <c r="BJ86" s="262"/>
      <c r="BK86" s="147"/>
      <c r="BL86" s="47"/>
      <c r="BM86" s="277" t="s">
        <v>151</v>
      </c>
      <c r="BN86" s="248"/>
    </row>
    <row r="87" spans="1:66" ht="21" thickBot="1" x14ac:dyDescent="0.3">
      <c r="A87" s="34"/>
      <c r="B87" s="34"/>
      <c r="C87" s="52"/>
      <c r="D87" s="269"/>
      <c r="E87" s="254"/>
      <c r="F87" s="155"/>
      <c r="G87" s="155"/>
      <c r="H87" s="52"/>
      <c r="I87" s="52"/>
      <c r="J87" s="52"/>
      <c r="K87" s="53"/>
      <c r="L87" s="32"/>
      <c r="M87" s="32"/>
      <c r="N87" s="32"/>
      <c r="O87" s="32"/>
      <c r="P87" s="32"/>
      <c r="Q87" s="47"/>
      <c r="R87" s="47"/>
      <c r="S87" s="32"/>
      <c r="T87" s="32"/>
      <c r="U87" s="255"/>
      <c r="V87" s="82" t="s">
        <v>173</v>
      </c>
      <c r="W87" s="259"/>
      <c r="X87" s="1639" t="s">
        <v>180</v>
      </c>
      <c r="Y87" s="1640"/>
      <c r="Z87" s="260"/>
      <c r="AA87" s="270">
        <v>3</v>
      </c>
      <c r="AB87" s="271" t="s">
        <v>211</v>
      </c>
      <c r="AC87" s="55" t="s">
        <v>48</v>
      </c>
      <c r="AD87" s="55" t="s">
        <v>48</v>
      </c>
      <c r="AE87" s="271" t="s">
        <v>211</v>
      </c>
      <c r="AF87" s="272">
        <v>7</v>
      </c>
      <c r="AG87" s="271" t="s">
        <v>211</v>
      </c>
      <c r="AH87" s="55" t="s">
        <v>48</v>
      </c>
      <c r="AI87" s="55" t="s">
        <v>48</v>
      </c>
      <c r="AJ87" s="271" t="s">
        <v>211</v>
      </c>
      <c r="AL87" s="275"/>
      <c r="AM87" s="55" t="s">
        <v>48</v>
      </c>
      <c r="AN87" s="55" t="s">
        <v>48</v>
      </c>
      <c r="AO87" s="275"/>
      <c r="AP87" s="111"/>
      <c r="AQ87" s="278" t="s">
        <v>184</v>
      </c>
      <c r="AR87" s="279"/>
      <c r="AS87" s="280"/>
      <c r="AT87" s="280"/>
      <c r="AU87" s="281"/>
      <c r="AV87" s="33"/>
      <c r="AW87" s="147"/>
      <c r="AX87" s="262"/>
      <c r="AY87" s="268" t="s">
        <v>209</v>
      </c>
      <c r="AZ87" s="268" t="s">
        <v>209</v>
      </c>
      <c r="BA87" s="268" t="s">
        <v>209</v>
      </c>
      <c r="BB87" s="262"/>
      <c r="BC87" s="47"/>
      <c r="BD87" s="147"/>
      <c r="BE87" s="147"/>
      <c r="BF87" s="262"/>
      <c r="BG87" s="170" t="s">
        <v>209</v>
      </c>
      <c r="BH87" s="170" t="s">
        <v>209</v>
      </c>
      <c r="BI87" s="262"/>
      <c r="BJ87" s="77"/>
      <c r="BK87" s="147"/>
      <c r="BL87" s="52"/>
      <c r="BM87" s="33"/>
      <c r="BN87" s="248"/>
    </row>
    <row r="88" spans="1:66" ht="21" thickBot="1" x14ac:dyDescent="0.3">
      <c r="A88" s="34"/>
      <c r="B88" s="34"/>
      <c r="C88" s="52"/>
      <c r="D88" s="263"/>
      <c r="E88" s="257"/>
      <c r="F88" s="264"/>
      <c r="G88" s="155"/>
      <c r="H88" s="52"/>
      <c r="I88" s="52"/>
      <c r="J88" s="52"/>
      <c r="K88" s="53"/>
      <c r="L88" s="32"/>
      <c r="M88" s="32"/>
      <c r="N88" s="32"/>
      <c r="O88" s="32"/>
      <c r="P88" s="32"/>
      <c r="Q88" s="32"/>
      <c r="R88" s="32"/>
      <c r="S88" s="32"/>
      <c r="T88" s="32"/>
      <c r="U88" s="255"/>
      <c r="V88" s="259"/>
      <c r="W88" s="282"/>
      <c r="X88" s="260"/>
      <c r="Y88" s="260"/>
      <c r="Z88" s="260"/>
      <c r="AA88" s="270">
        <v>4</v>
      </c>
      <c r="AB88" s="271" t="s">
        <v>211</v>
      </c>
      <c r="AC88" s="55" t="s">
        <v>48</v>
      </c>
      <c r="AD88" s="55" t="s">
        <v>48</v>
      </c>
      <c r="AE88" s="271" t="s">
        <v>211</v>
      </c>
      <c r="AF88" s="272">
        <v>8</v>
      </c>
      <c r="AG88" s="271" t="s">
        <v>211</v>
      </c>
      <c r="AH88" s="55" t="s">
        <v>48</v>
      </c>
      <c r="AI88" s="55" t="s">
        <v>48</v>
      </c>
      <c r="AJ88" s="271" t="s">
        <v>211</v>
      </c>
      <c r="AL88" s="275"/>
      <c r="AM88" s="55" t="s">
        <v>48</v>
      </c>
      <c r="AN88" s="55" t="s">
        <v>48</v>
      </c>
      <c r="AO88" s="275"/>
      <c r="AP88" s="111"/>
      <c r="AQ88" s="101" t="s">
        <v>179</v>
      </c>
      <c r="AR88" s="279"/>
      <c r="AS88" s="280"/>
      <c r="AT88" s="280"/>
      <c r="AU88" s="283"/>
      <c r="AV88" s="147"/>
      <c r="AW88" s="147"/>
      <c r="AX88" s="34"/>
      <c r="AY88" s="262">
        <v>6</v>
      </c>
      <c r="AZ88" s="262">
        <v>5</v>
      </c>
      <c r="BA88" s="262">
        <v>4</v>
      </c>
      <c r="BB88" s="32"/>
      <c r="BC88" s="47"/>
      <c r="BD88" s="147"/>
      <c r="BF88" s="147"/>
      <c r="BG88" s="262">
        <v>4</v>
      </c>
      <c r="BH88" s="262">
        <v>3</v>
      </c>
      <c r="BI88" s="284"/>
      <c r="BJ88" s="77"/>
      <c r="BK88" s="147"/>
      <c r="BL88" s="145"/>
      <c r="BM88" s="33"/>
      <c r="BN88" s="248"/>
    </row>
    <row r="89" spans="1:66" ht="21.75" thickTop="1" thickBot="1" x14ac:dyDescent="0.3">
      <c r="A89" s="34"/>
      <c r="B89" s="34"/>
      <c r="C89" s="52"/>
      <c r="D89" s="269"/>
      <c r="E89" s="254"/>
      <c r="F89" s="155"/>
      <c r="G89" s="155"/>
      <c r="H89" s="52"/>
      <c r="I89" s="52"/>
      <c r="J89" s="52"/>
      <c r="K89" s="53"/>
      <c r="L89" s="32"/>
      <c r="M89" s="47"/>
      <c r="N89" s="32"/>
      <c r="O89" s="32"/>
      <c r="P89" s="32"/>
      <c r="Q89" s="32"/>
      <c r="R89" s="32"/>
      <c r="S89" s="32"/>
      <c r="T89" s="32"/>
      <c r="U89" s="255"/>
      <c r="V89" s="285"/>
      <c r="W89" s="47"/>
      <c r="X89" s="260"/>
      <c r="Y89" s="260"/>
      <c r="Z89" s="260"/>
      <c r="AA89" s="33"/>
      <c r="AB89" s="47"/>
      <c r="AC89" s="134"/>
      <c r="AD89" s="134"/>
      <c r="AE89" s="34"/>
      <c r="AF89" s="33"/>
      <c r="AG89" s="33"/>
      <c r="AH89" s="134"/>
      <c r="AI89" s="134"/>
      <c r="AL89" s="33"/>
      <c r="AM89" s="275" t="s">
        <v>164</v>
      </c>
      <c r="AN89" s="275" t="s">
        <v>164</v>
      </c>
      <c r="AO89" s="111"/>
      <c r="AP89" s="33"/>
      <c r="AQ89" s="102" t="s">
        <v>179</v>
      </c>
      <c r="AR89" s="279"/>
      <c r="AS89" s="280"/>
      <c r="AT89" s="280"/>
      <c r="AU89" s="64" t="s">
        <v>159</v>
      </c>
      <c r="AV89" s="286" t="s">
        <v>166</v>
      </c>
      <c r="AW89" s="147"/>
      <c r="AX89" s="34"/>
      <c r="AY89" s="145"/>
      <c r="AZ89" s="32"/>
      <c r="BA89" s="32"/>
      <c r="BB89" s="71"/>
      <c r="BC89" s="47"/>
      <c r="BD89" s="147"/>
      <c r="BE89" s="147"/>
      <c r="BF89" s="147"/>
      <c r="BG89" s="147"/>
      <c r="BH89" s="147"/>
      <c r="BI89" s="155"/>
      <c r="BJ89" s="287"/>
      <c r="BK89" s="77"/>
      <c r="BL89" s="155"/>
      <c r="BM89" s="1620" t="s">
        <v>180</v>
      </c>
      <c r="BN89" s="33"/>
    </row>
    <row r="90" spans="1:66" ht="22.5" thickTop="1" thickBot="1" x14ac:dyDescent="0.3">
      <c r="A90" s="34"/>
      <c r="B90" s="34"/>
      <c r="C90" s="52"/>
      <c r="D90" s="263"/>
      <c r="E90" s="257"/>
      <c r="F90" s="264"/>
      <c r="G90" s="155"/>
      <c r="H90" s="52"/>
      <c r="I90" s="52"/>
      <c r="J90" s="52"/>
      <c r="K90" s="53"/>
      <c r="L90" s="32"/>
      <c r="M90" s="47"/>
      <c r="N90" s="47"/>
      <c r="O90" s="47"/>
      <c r="P90" s="47"/>
      <c r="Q90" s="32"/>
      <c r="R90" s="32"/>
      <c r="S90" s="32"/>
      <c r="T90" s="32"/>
      <c r="U90" s="288"/>
      <c r="V90" s="33"/>
      <c r="W90" s="33"/>
      <c r="X90" s="33"/>
      <c r="Y90" s="33"/>
      <c r="Z90" s="33"/>
      <c r="AA90" s="34"/>
      <c r="AB90" s="34"/>
      <c r="AC90" s="1641" t="s">
        <v>213</v>
      </c>
      <c r="AD90" s="1641"/>
      <c r="AE90" s="34"/>
      <c r="AF90" s="33"/>
      <c r="AG90" s="1642" t="s">
        <v>213</v>
      </c>
      <c r="AH90" s="1642"/>
      <c r="AI90" s="1642"/>
      <c r="AJ90" s="1642"/>
      <c r="AL90" s="33"/>
      <c r="AM90" s="273">
        <v>4</v>
      </c>
      <c r="AN90" s="273">
        <v>3</v>
      </c>
      <c r="AO90" s="70"/>
      <c r="AP90" s="33"/>
      <c r="AQ90" s="102" t="s">
        <v>179</v>
      </c>
      <c r="AR90" s="279"/>
      <c r="AS90" s="280"/>
      <c r="AT90" s="280"/>
      <c r="AU90" s="289" t="s">
        <v>160</v>
      </c>
      <c r="AV90" s="286" t="s">
        <v>166</v>
      </c>
      <c r="AW90" s="290"/>
      <c r="AX90" s="291"/>
      <c r="AY90" s="1265" t="s">
        <v>203</v>
      </c>
      <c r="AZ90" s="1265"/>
      <c r="BA90" s="1265"/>
      <c r="BB90" s="291"/>
      <c r="BC90" s="291"/>
      <c r="BD90" s="291"/>
      <c r="BE90" s="291"/>
      <c r="BF90" s="291"/>
      <c r="BG90" s="1265" t="s">
        <v>203</v>
      </c>
      <c r="BH90" s="1265"/>
      <c r="BI90" s="1265"/>
      <c r="BJ90" s="291"/>
      <c r="BK90" s="292"/>
      <c r="BL90" s="218"/>
      <c r="BM90" s="1621"/>
      <c r="BN90" s="33"/>
    </row>
    <row r="91" spans="1:66" ht="18.75" thickBot="1" x14ac:dyDescent="0.3">
      <c r="A91" s="34"/>
      <c r="B91" s="34"/>
      <c r="C91" s="52"/>
      <c r="D91" s="269"/>
      <c r="E91" s="254"/>
      <c r="F91" s="155"/>
      <c r="G91" s="155"/>
      <c r="H91" s="52"/>
      <c r="I91" s="52"/>
      <c r="J91" s="52"/>
      <c r="K91" s="53"/>
      <c r="L91" s="32"/>
      <c r="M91" s="47"/>
      <c r="N91" s="47"/>
      <c r="O91" s="47"/>
      <c r="P91" s="47"/>
      <c r="Q91" s="32"/>
      <c r="R91" s="1625" t="s">
        <v>150</v>
      </c>
      <c r="S91" s="1626"/>
      <c r="T91" s="1627"/>
      <c r="U91" s="149"/>
      <c r="V91" s="33"/>
      <c r="W91" s="47"/>
      <c r="X91" s="33"/>
      <c r="AG91" s="33"/>
      <c r="AH91" s="33"/>
      <c r="AI91" s="33"/>
      <c r="AJ91" s="33"/>
      <c r="AK91" s="33"/>
      <c r="AL91" s="33"/>
      <c r="AO91" s="33"/>
      <c r="AP91" s="33"/>
      <c r="AQ91" s="102" t="s">
        <v>179</v>
      </c>
      <c r="AR91" s="279"/>
      <c r="AS91" s="280"/>
      <c r="AT91" s="280"/>
      <c r="AU91" s="283"/>
      <c r="AV91" s="34"/>
      <c r="AW91" s="293"/>
      <c r="AX91" s="294" t="s">
        <v>214</v>
      </c>
      <c r="AY91" s="295">
        <v>1</v>
      </c>
      <c r="AZ91" s="295">
        <v>2</v>
      </c>
      <c r="BA91" s="295">
        <v>3</v>
      </c>
      <c r="BB91" s="296" t="s">
        <v>215</v>
      </c>
      <c r="BC91" s="47"/>
      <c r="BD91" s="147"/>
      <c r="BE91" s="147"/>
      <c r="BF91" s="294" t="s">
        <v>214</v>
      </c>
      <c r="BG91" s="295">
        <v>1</v>
      </c>
      <c r="BH91" s="295">
        <v>2</v>
      </c>
      <c r="BI91" s="295">
        <v>3</v>
      </c>
      <c r="BJ91" s="297"/>
      <c r="BK91" s="298"/>
      <c r="BL91" s="264"/>
      <c r="BM91" s="33"/>
      <c r="BN91" s="248"/>
    </row>
    <row r="92" spans="1:66" ht="19.5" thickTop="1" thickBot="1" x14ac:dyDescent="0.3">
      <c r="A92" s="34"/>
      <c r="B92" s="34"/>
      <c r="C92" s="52"/>
      <c r="D92" s="263"/>
      <c r="E92" s="257"/>
      <c r="F92" s="264"/>
      <c r="G92" s="155"/>
      <c r="H92" s="52"/>
      <c r="I92" s="52"/>
      <c r="J92" s="52"/>
      <c r="K92" s="53"/>
      <c r="L92" s="47"/>
      <c r="M92" s="47"/>
      <c r="N92" s="47"/>
      <c r="O92" s="47"/>
      <c r="P92" s="47"/>
      <c r="Q92" s="32"/>
      <c r="R92" s="1628"/>
      <c r="S92" s="1629"/>
      <c r="T92" s="1630"/>
      <c r="U92" s="149"/>
      <c r="V92" s="33"/>
      <c r="W92" s="33"/>
      <c r="X92" s="33"/>
      <c r="AG92" s="33"/>
      <c r="AH92" s="33"/>
      <c r="AI92" s="33"/>
      <c r="AJ92" s="33"/>
      <c r="AK92" s="33"/>
      <c r="AL92" s="33"/>
      <c r="AM92" s="33"/>
      <c r="AN92" s="33"/>
      <c r="AP92" s="33"/>
      <c r="AQ92" s="33"/>
      <c r="AR92" s="279"/>
      <c r="AS92" s="280"/>
      <c r="AT92" s="280"/>
      <c r="AU92" s="1634" t="s">
        <v>216</v>
      </c>
      <c r="AV92" s="299"/>
      <c r="AW92" s="300"/>
      <c r="AX92" s="301" t="s">
        <v>204</v>
      </c>
      <c r="AY92" s="268" t="s">
        <v>209</v>
      </c>
      <c r="AZ92" s="268" t="s">
        <v>209</v>
      </c>
      <c r="BA92" s="268" t="s">
        <v>209</v>
      </c>
      <c r="BB92" s="295"/>
      <c r="BC92" s="155"/>
      <c r="BD92" s="147"/>
      <c r="BE92" s="147"/>
      <c r="BF92" s="301" t="s">
        <v>207</v>
      </c>
      <c r="BG92" s="170" t="s">
        <v>193</v>
      </c>
      <c r="BH92" s="170" t="s">
        <v>193</v>
      </c>
      <c r="BI92" s="170" t="s">
        <v>193</v>
      </c>
      <c r="BJ92" s="295"/>
      <c r="BK92" s="302"/>
      <c r="BL92" s="155"/>
      <c r="BM92" s="303" t="s">
        <v>174</v>
      </c>
      <c r="BN92" s="248"/>
    </row>
    <row r="93" spans="1:66" ht="22.5" thickTop="1" thickBot="1" x14ac:dyDescent="0.3">
      <c r="A93" s="34"/>
      <c r="B93" s="34"/>
      <c r="C93" s="52"/>
      <c r="D93" s="269"/>
      <c r="E93" s="254"/>
      <c r="F93" s="155"/>
      <c r="G93" s="155"/>
      <c r="H93" s="52"/>
      <c r="I93" s="52"/>
      <c r="J93" s="52"/>
      <c r="K93" s="53"/>
      <c r="L93" s="47"/>
      <c r="M93" s="47"/>
      <c r="N93" s="47"/>
      <c r="O93" s="47"/>
      <c r="P93" s="47"/>
      <c r="Q93" s="32"/>
      <c r="R93" s="1628"/>
      <c r="S93" s="1629"/>
      <c r="T93" s="1630"/>
      <c r="U93" s="149"/>
      <c r="V93" s="33"/>
      <c r="W93" s="33"/>
      <c r="X93" s="33"/>
      <c r="Y93" s="33"/>
      <c r="Z93" s="33"/>
      <c r="AB93" s="1637" t="s">
        <v>217</v>
      </c>
      <c r="AC93" s="1637"/>
      <c r="AD93" s="34"/>
      <c r="AE93" s="34"/>
      <c r="AG93" s="33"/>
      <c r="AH93" s="33"/>
      <c r="AI93" s="33"/>
      <c r="AJ93" s="33"/>
      <c r="AK93" s="33"/>
      <c r="AL93" s="33"/>
      <c r="AM93" s="1613" t="s">
        <v>217</v>
      </c>
      <c r="AN93" s="1613"/>
      <c r="AO93" s="33"/>
      <c r="AP93" s="33"/>
      <c r="AQ93" s="33"/>
      <c r="AR93" s="279"/>
      <c r="AS93" s="280"/>
      <c r="AT93" s="280"/>
      <c r="AU93" s="1635"/>
      <c r="AV93" s="299"/>
      <c r="AW93" s="304"/>
      <c r="AX93" s="268"/>
      <c r="AY93" s="305" t="s">
        <v>218</v>
      </c>
      <c r="AZ93" s="305" t="s">
        <v>218</v>
      </c>
      <c r="BA93" s="305" t="s">
        <v>218</v>
      </c>
      <c r="BB93" s="268"/>
      <c r="BC93" s="295"/>
      <c r="BD93" s="147"/>
      <c r="BE93" s="295"/>
      <c r="BF93" s="170"/>
      <c r="BG93" s="305" t="s">
        <v>218</v>
      </c>
      <c r="BH93" s="305" t="s">
        <v>218</v>
      </c>
      <c r="BI93" s="305" t="s">
        <v>218</v>
      </c>
      <c r="BJ93" s="170"/>
      <c r="BK93" s="306"/>
      <c r="BL93" s="254"/>
      <c r="BM93" s="303" t="s">
        <v>174</v>
      </c>
      <c r="BN93" s="248"/>
    </row>
    <row r="94" spans="1:66" ht="21.75" thickTop="1" thickBot="1" x14ac:dyDescent="0.3">
      <c r="A94" s="34"/>
      <c r="B94" s="34"/>
      <c r="C94" s="52"/>
      <c r="D94" s="263"/>
      <c r="E94" s="257"/>
      <c r="F94" s="264"/>
      <c r="G94" s="155"/>
      <c r="H94" s="52"/>
      <c r="I94" s="52"/>
      <c r="J94" s="52"/>
      <c r="K94" s="53"/>
      <c r="L94" s="47"/>
      <c r="M94" s="47"/>
      <c r="N94" s="32"/>
      <c r="O94" s="32"/>
      <c r="P94" s="32"/>
      <c r="Q94" s="32"/>
      <c r="R94" s="1628"/>
      <c r="S94" s="1629"/>
      <c r="T94" s="1630"/>
      <c r="U94" s="149"/>
      <c r="V94" s="33"/>
      <c r="W94" s="33"/>
      <c r="X94" s="33"/>
      <c r="Y94" s="33"/>
      <c r="Z94" s="33"/>
      <c r="AA94" s="88" t="s">
        <v>219</v>
      </c>
      <c r="AB94" s="307"/>
      <c r="AC94" s="307"/>
      <c r="AD94" s="266" t="s">
        <v>220</v>
      </c>
      <c r="AE94" s="33"/>
      <c r="AH94" s="1638" t="s">
        <v>221</v>
      </c>
      <c r="AI94" s="1638"/>
      <c r="AK94" s="33"/>
      <c r="AL94" s="265" t="s">
        <v>222</v>
      </c>
      <c r="AM94" s="308"/>
      <c r="AN94" s="308"/>
      <c r="AO94" s="296" t="s">
        <v>223</v>
      </c>
      <c r="AP94" s="33"/>
      <c r="AQ94" s="33"/>
      <c r="AR94" s="279"/>
      <c r="AS94" s="280"/>
      <c r="AT94" s="280"/>
      <c r="AU94" s="1635"/>
      <c r="AV94" s="299"/>
      <c r="AW94" s="304"/>
      <c r="AX94" s="268"/>
      <c r="AY94" s="305" t="s">
        <v>218</v>
      </c>
      <c r="AZ94" s="305" t="s">
        <v>218</v>
      </c>
      <c r="BA94" s="305" t="s">
        <v>218</v>
      </c>
      <c r="BB94" s="268"/>
      <c r="BC94" s="295"/>
      <c r="BD94" s="147"/>
      <c r="BE94" s="295"/>
      <c r="BF94" s="170"/>
      <c r="BG94" s="12" t="s">
        <v>71</v>
      </c>
      <c r="BH94" s="12" t="s">
        <v>71</v>
      </c>
      <c r="BI94" s="14" t="s">
        <v>115</v>
      </c>
      <c r="BJ94" s="170"/>
      <c r="BK94" s="306"/>
      <c r="BL94" s="264"/>
      <c r="BM94" s="303" t="s">
        <v>174</v>
      </c>
      <c r="BN94" s="248"/>
    </row>
    <row r="95" spans="1:66" ht="19.5" thickTop="1" thickBot="1" x14ac:dyDescent="0.3">
      <c r="A95" s="34"/>
      <c r="B95" s="34"/>
      <c r="C95" s="52"/>
      <c r="D95" s="269"/>
      <c r="E95" s="254"/>
      <c r="F95" s="155"/>
      <c r="G95" s="155"/>
      <c r="H95" s="52"/>
      <c r="I95" s="52"/>
      <c r="J95" s="52"/>
      <c r="K95" s="53"/>
      <c r="L95" s="47"/>
      <c r="M95" s="47"/>
      <c r="N95" s="32"/>
      <c r="O95" s="32"/>
      <c r="P95" s="32"/>
      <c r="Q95" s="32"/>
      <c r="R95" s="1628"/>
      <c r="S95" s="1629"/>
      <c r="T95" s="1630"/>
      <c r="U95" s="45"/>
      <c r="V95" s="33"/>
      <c r="W95" s="33"/>
      <c r="X95" s="33"/>
      <c r="Y95" s="33"/>
      <c r="Z95" s="270">
        <v>1</v>
      </c>
      <c r="AA95" s="308" t="s">
        <v>164</v>
      </c>
      <c r="AB95" s="55" t="s">
        <v>48</v>
      </c>
      <c r="AC95" s="55" t="s">
        <v>48</v>
      </c>
      <c r="AD95" s="308" t="s">
        <v>164</v>
      </c>
      <c r="AE95" s="309">
        <v>6</v>
      </c>
      <c r="AH95" s="139" t="s">
        <v>187</v>
      </c>
      <c r="AI95" s="139" t="s">
        <v>187</v>
      </c>
      <c r="AK95" s="270">
        <v>1</v>
      </c>
      <c r="AL95" s="308" t="s">
        <v>164</v>
      </c>
      <c r="AM95" s="55" t="s">
        <v>48</v>
      </c>
      <c r="AN95" s="55" t="s">
        <v>48</v>
      </c>
      <c r="AO95" s="308" t="s">
        <v>164</v>
      </c>
      <c r="AP95" s="309">
        <v>6</v>
      </c>
      <c r="AQ95" s="265" t="s">
        <v>224</v>
      </c>
      <c r="AR95" s="279"/>
      <c r="AS95" s="310"/>
      <c r="AT95" s="280"/>
      <c r="AU95" s="1636"/>
      <c r="AV95" s="299"/>
      <c r="AW95" s="300"/>
      <c r="AX95" s="295"/>
      <c r="AY95" s="268" t="s">
        <v>209</v>
      </c>
      <c r="AZ95" s="268" t="s">
        <v>209</v>
      </c>
      <c r="BA95" s="268" t="s">
        <v>209</v>
      </c>
      <c r="BB95" s="295"/>
      <c r="BC95" s="311"/>
      <c r="BD95" s="147"/>
      <c r="BE95" s="147"/>
      <c r="BF95" s="295"/>
      <c r="BG95" s="170" t="s">
        <v>193</v>
      </c>
      <c r="BH95" s="170" t="s">
        <v>193</v>
      </c>
      <c r="BI95" s="170" t="s">
        <v>193</v>
      </c>
      <c r="BJ95" s="295"/>
      <c r="BK95" s="312"/>
      <c r="BL95" s="155"/>
      <c r="BM95" s="303" t="s">
        <v>174</v>
      </c>
      <c r="BN95" s="248"/>
    </row>
    <row r="96" spans="1:66" ht="19.5" thickTop="1" thickBot="1" x14ac:dyDescent="0.3">
      <c r="A96" s="34"/>
      <c r="B96" s="34"/>
      <c r="C96" s="52"/>
      <c r="D96" s="263"/>
      <c r="E96" s="257"/>
      <c r="F96" s="264"/>
      <c r="G96" s="155"/>
      <c r="H96" s="52"/>
      <c r="I96" s="52"/>
      <c r="J96" s="52"/>
      <c r="K96" s="53"/>
      <c r="L96" s="32"/>
      <c r="M96" s="32"/>
      <c r="N96" s="32"/>
      <c r="O96" s="32"/>
      <c r="P96" s="32"/>
      <c r="Q96" s="32"/>
      <c r="R96" s="1628"/>
      <c r="S96" s="1629"/>
      <c r="T96" s="1630"/>
      <c r="U96" s="45"/>
      <c r="V96" s="33"/>
      <c r="W96" s="33"/>
      <c r="X96" s="33"/>
      <c r="Y96" s="33"/>
      <c r="Z96" s="270">
        <v>2</v>
      </c>
      <c r="AA96" s="308" t="s">
        <v>164</v>
      </c>
      <c r="AB96" s="55" t="s">
        <v>48</v>
      </c>
      <c r="AC96" s="55" t="s">
        <v>48</v>
      </c>
      <c r="AD96" s="308" t="s">
        <v>164</v>
      </c>
      <c r="AE96" s="309">
        <v>5</v>
      </c>
      <c r="AH96" s="139" t="s">
        <v>187</v>
      </c>
      <c r="AI96" s="139" t="s">
        <v>187</v>
      </c>
      <c r="AK96" s="270">
        <v>2</v>
      </c>
      <c r="AL96" s="308" t="s">
        <v>164</v>
      </c>
      <c r="AM96" s="55" t="s">
        <v>48</v>
      </c>
      <c r="AN96" s="55" t="s">
        <v>48</v>
      </c>
      <c r="AO96" s="308" t="s">
        <v>164</v>
      </c>
      <c r="AP96" s="309">
        <v>5</v>
      </c>
      <c r="AQ96" s="1623" t="s">
        <v>225</v>
      </c>
      <c r="AR96" s="1624"/>
      <c r="AS96" s="1261"/>
      <c r="AT96" s="1262"/>
      <c r="AU96" s="313"/>
      <c r="AV96" s="314"/>
      <c r="AW96" s="315"/>
      <c r="AX96" s="240"/>
      <c r="AY96" s="316">
        <v>6</v>
      </c>
      <c r="AZ96" s="316">
        <v>5</v>
      </c>
      <c r="BA96" s="316">
        <v>4</v>
      </c>
      <c r="BB96" s="317"/>
      <c r="BC96" s="318"/>
      <c r="BD96" s="319"/>
      <c r="BE96" s="319"/>
      <c r="BF96" s="319"/>
      <c r="BG96" s="316">
        <v>6</v>
      </c>
      <c r="BH96" s="316">
        <v>5</v>
      </c>
      <c r="BI96" s="316">
        <v>4</v>
      </c>
      <c r="BJ96" s="320"/>
      <c r="BK96" s="321"/>
      <c r="BL96" s="264"/>
      <c r="BM96" s="303" t="s">
        <v>174</v>
      </c>
      <c r="BN96" s="248"/>
    </row>
    <row r="97" spans="1:66" ht="19.5" thickTop="1" thickBot="1" x14ac:dyDescent="0.3">
      <c r="A97" s="34"/>
      <c r="B97" s="34"/>
      <c r="C97" s="52"/>
      <c r="D97" s="269"/>
      <c r="E97" s="254"/>
      <c r="F97" s="155"/>
      <c r="G97" s="155"/>
      <c r="H97" s="52"/>
      <c r="I97" s="52"/>
      <c r="J97" s="52"/>
      <c r="K97" s="53"/>
      <c r="L97" s="32"/>
      <c r="M97" s="32"/>
      <c r="N97" s="32"/>
      <c r="O97" s="32"/>
      <c r="P97" s="32"/>
      <c r="Q97" s="32"/>
      <c r="R97" s="1628"/>
      <c r="S97" s="1629"/>
      <c r="T97" s="1630"/>
      <c r="U97" s="45"/>
      <c r="V97" s="33"/>
      <c r="W97" s="33"/>
      <c r="X97" s="33"/>
      <c r="Y97" s="33"/>
      <c r="Z97" s="270">
        <v>3</v>
      </c>
      <c r="AA97" s="308" t="s">
        <v>164</v>
      </c>
      <c r="AB97" s="55" t="s">
        <v>48</v>
      </c>
      <c r="AC97" s="55" t="s">
        <v>48</v>
      </c>
      <c r="AD97" s="308" t="s">
        <v>164</v>
      </c>
      <c r="AE97" s="309">
        <v>4</v>
      </c>
      <c r="AH97" s="139" t="s">
        <v>187</v>
      </c>
      <c r="AI97" s="139" t="s">
        <v>187</v>
      </c>
      <c r="AK97" s="270">
        <v>3</v>
      </c>
      <c r="AL97" s="308" t="s">
        <v>164</v>
      </c>
      <c r="AM97" s="55" t="s">
        <v>48</v>
      </c>
      <c r="AN97" s="55" t="s">
        <v>48</v>
      </c>
      <c r="AO97" s="308" t="s">
        <v>164</v>
      </c>
      <c r="AP97" s="141">
        <v>1</v>
      </c>
      <c r="AQ97" s="245" t="s">
        <v>164</v>
      </c>
      <c r="AR97" s="55" t="s">
        <v>48</v>
      </c>
      <c r="AS97" s="322"/>
      <c r="AT97" s="280"/>
      <c r="AU97" s="323" t="s">
        <v>155</v>
      </c>
      <c r="AV97" s="286" t="s">
        <v>166</v>
      </c>
      <c r="AW97" s="147"/>
      <c r="AX97" s="324"/>
      <c r="AY97" s="324"/>
      <c r="AZ97" s="324"/>
      <c r="BA97" s="324"/>
      <c r="BC97" s="324"/>
      <c r="BD97" s="147"/>
      <c r="BE97" s="147"/>
      <c r="BF97" s="147"/>
      <c r="BG97" s="147"/>
      <c r="BH97" s="325"/>
      <c r="BI97" s="325"/>
      <c r="BJ97" s="155"/>
      <c r="BK97" s="264"/>
      <c r="BL97" s="264"/>
      <c r="BM97" s="303" t="s">
        <v>174</v>
      </c>
      <c r="BN97" s="248"/>
    </row>
    <row r="98" spans="1:66" ht="24.75" thickTop="1" thickBot="1" x14ac:dyDescent="0.3">
      <c r="A98" s="34"/>
      <c r="B98" s="34"/>
      <c r="C98" s="52"/>
      <c r="D98" s="263"/>
      <c r="E98" s="257"/>
      <c r="F98" s="264"/>
      <c r="G98" s="155"/>
      <c r="H98" s="52"/>
      <c r="I98" s="52"/>
      <c r="J98" s="52"/>
      <c r="K98" s="53"/>
      <c r="L98" s="32"/>
      <c r="M98" s="32"/>
      <c r="N98" s="32"/>
      <c r="O98" s="32"/>
      <c r="P98" s="32"/>
      <c r="Q98" s="32"/>
      <c r="R98" s="1628"/>
      <c r="S98" s="1629"/>
      <c r="T98" s="1630"/>
      <c r="U98" s="45"/>
      <c r="V98" s="33"/>
      <c r="W98" s="33"/>
      <c r="X98" s="33"/>
      <c r="Y98" s="33"/>
      <c r="Z98" s="270"/>
      <c r="AA98" s="326"/>
      <c r="AB98" s="307"/>
      <c r="AC98" s="307"/>
      <c r="AD98" s="327"/>
      <c r="AE98" s="167"/>
      <c r="AF98" s="34"/>
      <c r="AG98" s="34"/>
      <c r="AJ98" s="34"/>
      <c r="AK98" s="34"/>
      <c r="AL98" s="33"/>
      <c r="AM98" s="308"/>
      <c r="AN98" s="308"/>
      <c r="AO98" s="34"/>
      <c r="AP98" s="141">
        <v>2</v>
      </c>
      <c r="AQ98" s="245" t="s">
        <v>164</v>
      </c>
      <c r="AR98" s="55" t="s">
        <v>48</v>
      </c>
      <c r="AS98" s="310"/>
      <c r="AT98" s="280"/>
      <c r="AU98" s="323" t="s">
        <v>155</v>
      </c>
      <c r="AV98" s="286" t="s">
        <v>166</v>
      </c>
      <c r="AW98" s="147"/>
      <c r="AX98" s="147"/>
      <c r="AY98" s="1231" t="s">
        <v>203</v>
      </c>
      <c r="AZ98" s="1231"/>
      <c r="BA98" s="1231"/>
      <c r="BB98" s="147"/>
      <c r="BC98" s="147"/>
      <c r="BD98" s="147"/>
      <c r="BE98" s="147"/>
      <c r="BF98" s="147"/>
      <c r="BG98" s="1231" t="s">
        <v>203</v>
      </c>
      <c r="BH98" s="1231"/>
      <c r="BI98" s="147"/>
      <c r="BJ98" s="75"/>
      <c r="BK98" s="147"/>
      <c r="BL98" s="264"/>
      <c r="BM98" s="33"/>
      <c r="BN98" s="248"/>
    </row>
    <row r="99" spans="1:66" ht="19.5" thickTop="1" thickBot="1" x14ac:dyDescent="0.3">
      <c r="A99" s="34"/>
      <c r="B99" s="34"/>
      <c r="C99" s="52"/>
      <c r="D99" s="269"/>
      <c r="E99" s="254"/>
      <c r="F99" s="155"/>
      <c r="G99" s="155"/>
      <c r="H99" s="52"/>
      <c r="I99" s="52"/>
      <c r="J99" s="52"/>
      <c r="K99" s="53"/>
      <c r="L99" s="32"/>
      <c r="M99" s="32"/>
      <c r="N99" s="32"/>
      <c r="O99" s="32"/>
      <c r="P99" s="32"/>
      <c r="Q99" s="87"/>
      <c r="R99" s="1631"/>
      <c r="S99" s="1632"/>
      <c r="T99" s="1633"/>
      <c r="U99" s="45"/>
      <c r="V99" s="45"/>
      <c r="W99" s="32"/>
      <c r="X99" s="47"/>
      <c r="Y99" s="47"/>
      <c r="Z99" s="39"/>
      <c r="AA99" s="32"/>
      <c r="AB99" s="47"/>
      <c r="AC99" s="47"/>
      <c r="AD99" s="47"/>
      <c r="AE99" s="47"/>
      <c r="AF99" s="47"/>
      <c r="AG99" s="34"/>
      <c r="AH99" s="34"/>
      <c r="AI99" s="34"/>
      <c r="AL99" s="33"/>
      <c r="AM99" s="34"/>
      <c r="AP99" s="141">
        <v>3</v>
      </c>
      <c r="AQ99" s="245" t="s">
        <v>164</v>
      </c>
      <c r="AR99" s="55" t="s">
        <v>48</v>
      </c>
      <c r="AS99" s="310"/>
      <c r="AT99" s="280"/>
      <c r="AU99" s="62" t="s">
        <v>157</v>
      </c>
      <c r="AV99" s="286" t="s">
        <v>166</v>
      </c>
      <c r="AW99" s="147"/>
      <c r="AX99" s="147"/>
      <c r="AY99" s="262">
        <v>1</v>
      </c>
      <c r="AZ99" s="262">
        <v>2</v>
      </c>
      <c r="BA99" s="262">
        <v>3</v>
      </c>
      <c r="BB99" s="32"/>
      <c r="BC99" s="147"/>
      <c r="BD99" s="147"/>
      <c r="BE99" s="147"/>
      <c r="BF99" s="147"/>
      <c r="BG99" s="262">
        <v>1</v>
      </c>
      <c r="BH99" s="262">
        <v>2</v>
      </c>
      <c r="BI99" s="77"/>
      <c r="BJ99" s="77"/>
      <c r="BK99" s="147"/>
      <c r="BL99" s="264"/>
      <c r="BM99" s="33"/>
      <c r="BN99" s="248"/>
    </row>
    <row r="100" spans="1:66" ht="19.5" thickTop="1" thickBot="1" x14ac:dyDescent="0.3">
      <c r="A100" s="34"/>
      <c r="B100" s="34"/>
      <c r="C100" s="52"/>
      <c r="D100" s="263"/>
      <c r="E100" s="257"/>
      <c r="F100" s="264"/>
      <c r="G100" s="155"/>
      <c r="H100" s="52"/>
      <c r="I100" s="52"/>
      <c r="J100" s="52"/>
      <c r="K100" s="53"/>
      <c r="L100" s="32"/>
      <c r="M100" s="47"/>
      <c r="N100" s="47"/>
      <c r="O100" s="47"/>
      <c r="P100" s="47"/>
      <c r="Q100" s="47"/>
      <c r="R100" s="47"/>
      <c r="S100" s="47"/>
      <c r="T100" s="47"/>
      <c r="U100" s="328"/>
      <c r="V100" s="149"/>
      <c r="W100" s="47"/>
      <c r="X100" s="231"/>
      <c r="Y100" s="329"/>
      <c r="Z100" s="330"/>
      <c r="AA100" s="331"/>
      <c r="AB100" s="331"/>
      <c r="AC100" s="231"/>
      <c r="AD100" s="231"/>
      <c r="AE100" s="231"/>
      <c r="AF100" s="231"/>
      <c r="AG100" s="329"/>
      <c r="AH100" s="34"/>
      <c r="AI100" s="34"/>
      <c r="AJ100" s="34"/>
      <c r="AK100" s="34"/>
      <c r="AL100" s="34"/>
      <c r="AP100" s="141">
        <v>4</v>
      </c>
      <c r="AQ100" s="245" t="s">
        <v>164</v>
      </c>
      <c r="AR100" s="55" t="s">
        <v>48</v>
      </c>
      <c r="AS100" s="310"/>
      <c r="AT100" s="280"/>
      <c r="AU100" s="323" t="s">
        <v>155</v>
      </c>
      <c r="AV100" s="286" t="s">
        <v>166</v>
      </c>
      <c r="AW100" s="147"/>
      <c r="AX100" s="267" t="s">
        <v>226</v>
      </c>
      <c r="AY100" s="268" t="s">
        <v>209</v>
      </c>
      <c r="AZ100" s="268" t="s">
        <v>209</v>
      </c>
      <c r="BA100" s="268" t="s">
        <v>209</v>
      </c>
      <c r="BB100" s="262"/>
      <c r="BC100" s="147"/>
      <c r="BD100" s="147"/>
      <c r="BE100" s="147"/>
      <c r="BF100" s="267" t="s">
        <v>219</v>
      </c>
      <c r="BG100" s="170" t="s">
        <v>209</v>
      </c>
      <c r="BH100" s="170" t="s">
        <v>209</v>
      </c>
      <c r="BI100" s="262"/>
      <c r="BJ100" s="332"/>
      <c r="BK100" s="147"/>
      <c r="BL100" s="264"/>
      <c r="BM100" s="333"/>
      <c r="BN100" s="33"/>
    </row>
    <row r="101" spans="1:66" ht="22.5" thickTop="1" thickBot="1" x14ac:dyDescent="0.3">
      <c r="A101" s="34"/>
      <c r="B101" s="34"/>
      <c r="C101" s="52"/>
      <c r="D101" s="269"/>
      <c r="E101" s="254"/>
      <c r="F101" s="155"/>
      <c r="G101" s="155"/>
      <c r="H101" s="52"/>
      <c r="I101" s="52"/>
      <c r="J101" s="52"/>
      <c r="K101" s="53"/>
      <c r="L101" s="32"/>
      <c r="M101" s="47"/>
      <c r="N101" s="47"/>
      <c r="O101" s="47"/>
      <c r="P101" s="47"/>
      <c r="Q101" s="47"/>
      <c r="R101" s="47"/>
      <c r="S101" s="47"/>
      <c r="T101" s="47"/>
      <c r="U101" s="334"/>
      <c r="V101" s="149"/>
      <c r="W101" s="47"/>
      <c r="X101" s="47"/>
      <c r="Y101" s="150"/>
      <c r="Z101" s="335"/>
      <c r="AA101" s="32"/>
      <c r="AB101" s="32"/>
      <c r="AC101" s="47"/>
      <c r="AD101" s="32"/>
      <c r="AE101" s="47"/>
      <c r="AF101" s="47"/>
      <c r="AG101" s="150"/>
      <c r="AH101" s="34"/>
      <c r="AJ101" s="1613" t="s">
        <v>185</v>
      </c>
      <c r="AK101" s="1613"/>
      <c r="AL101" s="34"/>
      <c r="AP101" s="141">
        <v>5</v>
      </c>
      <c r="AQ101" s="245" t="s">
        <v>164</v>
      </c>
      <c r="AR101" s="55" t="s">
        <v>48</v>
      </c>
      <c r="AU101" s="313"/>
      <c r="AV101" s="336"/>
      <c r="AW101" s="262"/>
      <c r="AX101" s="268"/>
      <c r="AY101" s="17" t="s">
        <v>84</v>
      </c>
      <c r="AZ101" s="17" t="s">
        <v>84</v>
      </c>
      <c r="BA101" s="17" t="s">
        <v>84</v>
      </c>
      <c r="BB101" s="268"/>
      <c r="BC101" s="262"/>
      <c r="BD101" s="147"/>
      <c r="BE101" s="262"/>
      <c r="BF101" s="170"/>
      <c r="BG101" s="17" t="s">
        <v>84</v>
      </c>
      <c r="BH101" s="18" t="s">
        <v>6</v>
      </c>
      <c r="BI101" s="170"/>
      <c r="BJ101" s="262"/>
      <c r="BK101" s="147"/>
      <c r="BL101" s="264"/>
      <c r="BM101" s="1620" t="s">
        <v>180</v>
      </c>
      <c r="BN101" s="33"/>
    </row>
    <row r="102" spans="1:66" ht="18.75" thickBot="1" x14ac:dyDescent="0.3">
      <c r="A102" s="34"/>
      <c r="B102" s="34"/>
      <c r="C102" s="52"/>
      <c r="D102" s="263"/>
      <c r="E102" s="257"/>
      <c r="F102" s="264"/>
      <c r="G102" s="155"/>
      <c r="H102" s="52"/>
      <c r="I102" s="52"/>
      <c r="J102" s="52"/>
      <c r="K102" s="53"/>
      <c r="L102" s="32"/>
      <c r="M102" s="39"/>
      <c r="N102" s="39"/>
      <c r="O102" s="39"/>
      <c r="P102" s="39"/>
      <c r="Q102" s="39"/>
      <c r="R102" s="39"/>
      <c r="S102" s="39"/>
      <c r="T102" s="39"/>
      <c r="U102" s="337"/>
      <c r="V102" s="151"/>
      <c r="W102" s="39"/>
      <c r="X102" s="39"/>
      <c r="Y102" s="338"/>
      <c r="Z102" s="335"/>
      <c r="AA102" s="32"/>
      <c r="AB102" s="32"/>
      <c r="AC102" s="47"/>
      <c r="AD102" s="32"/>
      <c r="AE102" s="47"/>
      <c r="AF102" s="47"/>
      <c r="AG102" s="339"/>
      <c r="AH102" s="33"/>
      <c r="AI102" s="265" t="s">
        <v>227</v>
      </c>
      <c r="AJ102" s="275"/>
      <c r="AK102" s="275"/>
      <c r="AL102" s="266" t="s">
        <v>228</v>
      </c>
      <c r="AQ102" s="245" t="s">
        <v>164</v>
      </c>
      <c r="AR102" s="55" t="s">
        <v>48</v>
      </c>
      <c r="AS102" s="34"/>
      <c r="AT102" s="340"/>
      <c r="AU102" s="341" t="s">
        <v>180</v>
      </c>
      <c r="AV102" s="342"/>
      <c r="AW102" s="262"/>
      <c r="AX102" s="268"/>
      <c r="AY102" s="22" t="s">
        <v>4</v>
      </c>
      <c r="AZ102" s="12" t="s">
        <v>71</v>
      </c>
      <c r="BA102" s="12" t="s">
        <v>71</v>
      </c>
      <c r="BB102" s="268"/>
      <c r="BC102" s="262"/>
      <c r="BD102" s="147"/>
      <c r="BE102" s="262"/>
      <c r="BF102" s="170"/>
      <c r="BG102" s="15" t="s">
        <v>9</v>
      </c>
      <c r="BH102" s="18" t="s">
        <v>6</v>
      </c>
      <c r="BI102" s="170"/>
      <c r="BJ102" s="262"/>
      <c r="BK102" s="147"/>
      <c r="BL102" s="254"/>
      <c r="BM102" s="1621"/>
      <c r="BN102" s="33"/>
    </row>
    <row r="103" spans="1:66" ht="21" x14ac:dyDescent="0.25">
      <c r="A103" s="34"/>
      <c r="B103" s="34"/>
      <c r="C103" s="52"/>
      <c r="D103" s="269"/>
      <c r="E103" s="254"/>
      <c r="F103" s="155"/>
      <c r="G103" s="155"/>
      <c r="H103" s="52"/>
      <c r="I103" s="52"/>
      <c r="J103" s="52"/>
      <c r="K103" s="53"/>
      <c r="L103" s="47"/>
      <c r="M103" s="47"/>
      <c r="N103" s="47"/>
      <c r="O103" s="45"/>
      <c r="P103" s="71"/>
      <c r="Q103" s="47"/>
      <c r="R103" s="32"/>
      <c r="S103" s="32"/>
      <c r="T103" s="32"/>
      <c r="U103" s="334"/>
      <c r="V103" s="45"/>
      <c r="W103" s="47"/>
      <c r="X103" s="47"/>
      <c r="Y103" s="87"/>
      <c r="Z103" s="335"/>
      <c r="AA103" s="32"/>
      <c r="AB103" s="1622" t="s">
        <v>229</v>
      </c>
      <c r="AC103" s="1622"/>
      <c r="AD103" s="1622"/>
      <c r="AE103" s="1622"/>
      <c r="AF103" s="47"/>
      <c r="AG103" s="343"/>
      <c r="AH103" s="270">
        <v>1</v>
      </c>
      <c r="AI103" s="275" t="s">
        <v>164</v>
      </c>
      <c r="AJ103" s="55" t="s">
        <v>48</v>
      </c>
      <c r="AK103" s="55" t="s">
        <v>48</v>
      </c>
      <c r="AL103" s="275" t="s">
        <v>164</v>
      </c>
      <c r="AQ103" s="1623" t="s">
        <v>230</v>
      </c>
      <c r="AR103" s="1624"/>
      <c r="AS103" s="34"/>
      <c r="AT103" s="344"/>
      <c r="AU103" s="345" t="s">
        <v>156</v>
      </c>
      <c r="AV103" s="346"/>
      <c r="AW103" s="147"/>
      <c r="AX103" s="262"/>
      <c r="AY103" s="268" t="s">
        <v>209</v>
      </c>
      <c r="AZ103" s="268" t="s">
        <v>209</v>
      </c>
      <c r="BA103" s="268" t="s">
        <v>209</v>
      </c>
      <c r="BB103" s="262"/>
      <c r="BC103" s="147"/>
      <c r="BD103" s="147"/>
      <c r="BE103" s="147"/>
      <c r="BF103" s="262"/>
      <c r="BG103" s="170" t="s">
        <v>209</v>
      </c>
      <c r="BH103" s="170" t="s">
        <v>209</v>
      </c>
      <c r="BI103" s="262"/>
      <c r="BJ103" s="77"/>
      <c r="BK103" s="147"/>
      <c r="BL103" s="347"/>
      <c r="BM103" s="33"/>
      <c r="BN103" s="248"/>
    </row>
    <row r="104" spans="1:66" ht="18" x14ac:dyDescent="0.25">
      <c r="A104" s="34"/>
      <c r="B104" s="34"/>
      <c r="C104" s="52"/>
      <c r="D104" s="263"/>
      <c r="E104" s="257"/>
      <c r="F104" s="264"/>
      <c r="G104" s="155"/>
      <c r="H104" s="52"/>
      <c r="I104" s="52"/>
      <c r="J104" s="52"/>
      <c r="K104" s="53"/>
      <c r="L104" s="47"/>
      <c r="M104" s="47"/>
      <c r="N104" s="47"/>
      <c r="O104" s="45"/>
      <c r="P104" s="32"/>
      <c r="Q104" s="47"/>
      <c r="R104" s="47"/>
      <c r="S104" s="47"/>
      <c r="T104" s="47"/>
      <c r="U104" s="334"/>
      <c r="V104" s="149"/>
      <c r="W104" s="47"/>
      <c r="X104" s="47"/>
      <c r="Y104" s="87"/>
      <c r="Z104" s="335"/>
      <c r="AA104" s="32"/>
      <c r="AB104" s="1622"/>
      <c r="AC104" s="1622"/>
      <c r="AD104" s="1622"/>
      <c r="AE104" s="1622"/>
      <c r="AF104" s="47"/>
      <c r="AG104" s="339"/>
      <c r="AH104" s="270">
        <v>2</v>
      </c>
      <c r="AI104" s="275" t="s">
        <v>164</v>
      </c>
      <c r="AJ104" s="55" t="s">
        <v>48</v>
      </c>
      <c r="AK104" s="55" t="s">
        <v>48</v>
      </c>
      <c r="AL104" s="275" t="s">
        <v>164</v>
      </c>
      <c r="AM104" s="309">
        <v>5</v>
      </c>
      <c r="AP104" s="47"/>
      <c r="AQ104" s="1623" t="s">
        <v>231</v>
      </c>
      <c r="AR104" s="1624"/>
      <c r="AS104" s="348"/>
      <c r="AT104" s="344"/>
      <c r="AU104" s="349" t="s">
        <v>159</v>
      </c>
      <c r="AV104" s="286" t="s">
        <v>166</v>
      </c>
      <c r="AW104" s="147"/>
      <c r="AX104" s="34"/>
      <c r="AY104" s="262">
        <v>6</v>
      </c>
      <c r="AZ104" s="262">
        <v>5</v>
      </c>
      <c r="BA104" s="262">
        <v>4</v>
      </c>
      <c r="BB104" s="32"/>
      <c r="BC104" s="147"/>
      <c r="BD104" s="147"/>
      <c r="BE104" s="147"/>
      <c r="BF104" s="147"/>
      <c r="BG104" s="262">
        <v>4</v>
      </c>
      <c r="BH104" s="262">
        <v>3</v>
      </c>
      <c r="BI104" s="77"/>
      <c r="BJ104" s="77"/>
      <c r="BK104" s="147"/>
      <c r="BL104" s="264"/>
      <c r="BN104" s="248"/>
    </row>
    <row r="105" spans="1:66" ht="18.75" thickBot="1" x14ac:dyDescent="0.3">
      <c r="A105" s="34"/>
      <c r="B105" s="34"/>
      <c r="C105" s="52"/>
      <c r="D105" s="269"/>
      <c r="E105" s="254"/>
      <c r="F105" s="155"/>
      <c r="G105" s="155"/>
      <c r="H105" s="52"/>
      <c r="I105" s="52"/>
      <c r="J105" s="52"/>
      <c r="K105" s="53"/>
      <c r="L105" s="149"/>
      <c r="M105" s="47"/>
      <c r="N105" s="47"/>
      <c r="O105" s="47"/>
      <c r="P105" s="47"/>
      <c r="Q105" s="47"/>
      <c r="R105" s="47"/>
      <c r="S105" s="47"/>
      <c r="T105" s="47"/>
      <c r="U105" s="334"/>
      <c r="V105" s="149"/>
      <c r="W105" s="47"/>
      <c r="X105" s="47"/>
      <c r="Y105" s="150"/>
      <c r="Z105" s="335"/>
      <c r="AA105" s="32"/>
      <c r="AB105" s="32"/>
      <c r="AC105" s="47"/>
      <c r="AD105" s="32"/>
      <c r="AE105" s="47"/>
      <c r="AF105" s="47"/>
      <c r="AG105" s="339"/>
      <c r="AH105" s="270">
        <v>3</v>
      </c>
      <c r="AI105" s="275" t="s">
        <v>164</v>
      </c>
      <c r="AJ105" s="55" t="s">
        <v>48</v>
      </c>
      <c r="AK105" s="55" t="s">
        <v>48</v>
      </c>
      <c r="AL105" s="275" t="s">
        <v>164</v>
      </c>
      <c r="AM105" s="309">
        <v>4</v>
      </c>
      <c r="AP105" s="47"/>
      <c r="AQ105" s="350"/>
      <c r="AR105" s="351"/>
      <c r="AS105" s="348"/>
      <c r="AT105" s="344"/>
      <c r="AU105" s="33"/>
      <c r="AV105" s="33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231" t="s">
        <v>203</v>
      </c>
      <c r="BH105" s="1231"/>
      <c r="BI105" s="77"/>
      <c r="BJ105" s="75"/>
      <c r="BK105" s="147"/>
      <c r="BL105" s="314"/>
      <c r="BN105" s="248"/>
    </row>
    <row r="106" spans="1:66" ht="20.25" thickTop="1" thickBot="1" x14ac:dyDescent="0.3">
      <c r="A106" s="34"/>
      <c r="B106" s="34"/>
      <c r="C106" s="52"/>
      <c r="D106" s="263"/>
      <c r="E106" s="257"/>
      <c r="F106" s="264"/>
      <c r="G106" s="155"/>
      <c r="H106" s="52"/>
      <c r="I106" s="52"/>
      <c r="J106" s="52"/>
      <c r="K106" s="53"/>
      <c r="L106" s="47"/>
      <c r="M106" s="47"/>
      <c r="N106" s="47"/>
      <c r="O106" s="47"/>
      <c r="P106" s="47"/>
      <c r="Q106" s="47"/>
      <c r="R106" s="47"/>
      <c r="S106" s="47"/>
      <c r="T106" s="47"/>
      <c r="U106" s="334"/>
      <c r="V106" s="149"/>
      <c r="W106" s="47"/>
      <c r="X106" s="47"/>
      <c r="Y106" s="150"/>
      <c r="Z106" s="335"/>
      <c r="AA106" s="32"/>
      <c r="AB106" s="32"/>
      <c r="AC106" s="47"/>
      <c r="AD106" s="32"/>
      <c r="AE106" s="47"/>
      <c r="AF106" s="47"/>
      <c r="AG106" s="150"/>
      <c r="AH106" s="33"/>
      <c r="AI106" s="34"/>
      <c r="AJ106" s="275"/>
      <c r="AK106" s="352"/>
      <c r="AL106" s="34"/>
      <c r="AM106" s="167"/>
      <c r="AP106" s="47"/>
      <c r="AQ106" s="314"/>
      <c r="AR106" s="353"/>
      <c r="AS106" s="348"/>
      <c r="AT106" s="344"/>
      <c r="AU106" s="33"/>
      <c r="AV106" s="33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262">
        <v>1</v>
      </c>
      <c r="BH106" s="262">
        <v>2</v>
      </c>
      <c r="BI106" s="147"/>
      <c r="BK106" s="75"/>
      <c r="BL106" s="257"/>
      <c r="BN106" s="248"/>
    </row>
    <row r="107" spans="1:66" ht="22.5" thickTop="1" thickBot="1" x14ac:dyDescent="0.3">
      <c r="A107" s="34"/>
      <c r="B107" s="34"/>
      <c r="C107" s="52"/>
      <c r="D107" s="257"/>
      <c r="E107" s="264"/>
      <c r="F107" s="354"/>
      <c r="G107" s="155"/>
      <c r="H107" s="52"/>
      <c r="I107" s="52"/>
      <c r="J107" s="52"/>
      <c r="K107" s="53"/>
      <c r="L107" s="72"/>
      <c r="M107" s="72"/>
      <c r="N107" s="52"/>
      <c r="O107" s="52"/>
      <c r="P107" s="52"/>
      <c r="Q107" s="52"/>
      <c r="R107" s="52"/>
      <c r="S107" s="52"/>
      <c r="T107" s="52"/>
      <c r="U107" s="334"/>
      <c r="V107" s="149"/>
      <c r="W107" s="47"/>
      <c r="X107" s="50"/>
      <c r="Y107" s="183"/>
      <c r="Z107" s="355"/>
      <c r="AA107" s="317"/>
      <c r="AB107" s="317"/>
      <c r="AC107" s="50"/>
      <c r="AD107" s="317"/>
      <c r="AE107" s="50"/>
      <c r="AF107" s="50"/>
      <c r="AG107" s="183"/>
      <c r="AH107" s="33"/>
      <c r="AI107" s="33"/>
      <c r="AJ107" s="356"/>
      <c r="AK107" s="356"/>
      <c r="AL107" s="34"/>
      <c r="AM107" s="34"/>
      <c r="AP107" s="34"/>
      <c r="AQ107" s="357"/>
      <c r="AR107" s="358"/>
      <c r="AS107" s="348"/>
      <c r="AT107" s="344"/>
      <c r="AU107" s="33"/>
      <c r="AV107" s="33"/>
      <c r="AW107" s="254"/>
      <c r="AX107" s="254"/>
      <c r="AY107" s="254"/>
      <c r="AZ107" s="254"/>
      <c r="BA107" s="33"/>
      <c r="BB107" s="33"/>
      <c r="BC107" s="254"/>
      <c r="BD107" s="33"/>
      <c r="BE107" s="33"/>
      <c r="BF107" s="262"/>
      <c r="BG107" s="169" t="s">
        <v>209</v>
      </c>
      <c r="BH107" s="169" t="s">
        <v>209</v>
      </c>
      <c r="BI107" s="262"/>
      <c r="BJ107" s="359"/>
      <c r="BK107" s="77"/>
      <c r="BL107" s="257"/>
      <c r="BN107" s="248"/>
    </row>
    <row r="108" spans="1:66" ht="18.75" thickBot="1" x14ac:dyDescent="0.3">
      <c r="A108" s="34"/>
      <c r="B108" s="34"/>
      <c r="C108" s="52"/>
      <c r="D108" s="52"/>
      <c r="E108" s="52"/>
      <c r="F108" s="52"/>
      <c r="G108" s="52"/>
      <c r="H108" s="52"/>
      <c r="I108" s="52"/>
      <c r="J108" s="52"/>
      <c r="K108" s="53"/>
      <c r="L108" s="72"/>
      <c r="M108" s="72"/>
      <c r="N108" s="52"/>
      <c r="O108" s="52"/>
      <c r="P108" s="52"/>
      <c r="Q108" s="52"/>
      <c r="R108" s="52"/>
      <c r="S108" s="52"/>
      <c r="T108" s="53"/>
      <c r="U108" s="360"/>
      <c r="V108" s="149"/>
      <c r="W108" s="47"/>
      <c r="X108" s="47"/>
      <c r="Y108" s="47"/>
      <c r="Z108" s="32"/>
      <c r="AA108" s="32"/>
      <c r="AB108" s="32"/>
      <c r="AC108" s="47"/>
      <c r="AD108" s="47"/>
      <c r="AE108" s="47"/>
      <c r="AF108" s="47"/>
      <c r="AG108" s="47"/>
      <c r="AH108" s="47"/>
      <c r="AI108" s="34"/>
      <c r="AJ108" s="34"/>
      <c r="AK108" s="34"/>
      <c r="AL108" s="34"/>
      <c r="AM108" s="34"/>
      <c r="AN108" s="34"/>
      <c r="AO108" s="34"/>
      <c r="AP108" s="34"/>
      <c r="AQ108" s="34"/>
      <c r="AR108" s="351"/>
      <c r="AS108" s="348"/>
      <c r="AT108" s="344"/>
      <c r="AU108" s="33"/>
      <c r="AV108" s="33"/>
      <c r="AW108" s="254"/>
      <c r="AY108" s="148" t="s">
        <v>170</v>
      </c>
      <c r="AZ108" s="148" t="s">
        <v>170</v>
      </c>
      <c r="BA108" s="148" t="s">
        <v>170</v>
      </c>
      <c r="BB108" s="33"/>
      <c r="BC108" s="33"/>
      <c r="BD108" s="33"/>
      <c r="BE108" s="262"/>
      <c r="BF108" s="170"/>
      <c r="BG108" s="15" t="s">
        <v>68</v>
      </c>
      <c r="BH108" s="20" t="s">
        <v>0</v>
      </c>
      <c r="BI108" s="170"/>
      <c r="BJ108" s="262"/>
      <c r="BK108" s="33"/>
      <c r="BL108" s="257"/>
      <c r="BM108" s="303" t="s">
        <v>174</v>
      </c>
      <c r="BN108" s="248"/>
    </row>
    <row r="109" spans="1:66" ht="19.5" thickTop="1" thickBot="1" x14ac:dyDescent="0.3">
      <c r="A109" s="34"/>
      <c r="B109" s="34"/>
      <c r="C109" s="52"/>
      <c r="D109" s="52"/>
      <c r="E109" s="52"/>
      <c r="F109" s="52"/>
      <c r="G109" s="52"/>
      <c r="H109" s="52"/>
      <c r="I109" s="52"/>
      <c r="J109" s="52"/>
      <c r="K109" s="53"/>
      <c r="L109" s="72"/>
      <c r="M109" s="72"/>
      <c r="N109" s="52"/>
      <c r="O109" s="52"/>
      <c r="P109" s="52"/>
      <c r="Q109" s="52"/>
      <c r="R109" s="52"/>
      <c r="S109" s="52"/>
      <c r="T109" s="53"/>
      <c r="U109" s="149"/>
      <c r="V109" s="149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34"/>
      <c r="AL109" s="34"/>
      <c r="AM109" s="34"/>
      <c r="AN109" s="34"/>
      <c r="AO109" s="34"/>
      <c r="AP109" s="34"/>
      <c r="AQ109" s="350"/>
      <c r="AR109" s="353"/>
      <c r="AS109" s="348"/>
      <c r="AT109" s="361"/>
      <c r="AU109" s="33"/>
      <c r="AV109" s="33"/>
      <c r="AW109" s="254"/>
      <c r="AY109" s="148" t="s">
        <v>170</v>
      </c>
      <c r="AZ109" s="148" t="s">
        <v>170</v>
      </c>
      <c r="BA109" s="148" t="s">
        <v>170</v>
      </c>
      <c r="BB109" s="33"/>
      <c r="BE109" s="262"/>
      <c r="BF109" s="170"/>
      <c r="BG109" s="15" t="s">
        <v>68</v>
      </c>
      <c r="BH109" s="19" t="s">
        <v>24</v>
      </c>
      <c r="BI109" s="170"/>
      <c r="BJ109" s="262"/>
      <c r="BK109" s="33"/>
      <c r="BL109" s="257"/>
      <c r="BM109" s="303" t="s">
        <v>174</v>
      </c>
      <c r="BN109" s="248"/>
    </row>
    <row r="110" spans="1:66" ht="20.25" thickTop="1" thickBot="1" x14ac:dyDescent="0.3">
      <c r="A110" s="34"/>
      <c r="B110" s="34"/>
      <c r="C110" s="52"/>
      <c r="D110" s="52"/>
      <c r="E110" s="52"/>
      <c r="F110" s="52"/>
      <c r="G110" s="52"/>
      <c r="H110" s="52"/>
      <c r="I110" s="52"/>
      <c r="J110" s="52"/>
      <c r="K110" s="53"/>
      <c r="L110" s="72"/>
      <c r="M110" s="72"/>
      <c r="N110" s="52"/>
      <c r="O110" s="52"/>
      <c r="P110" s="52"/>
      <c r="Q110" s="52"/>
      <c r="R110" s="52"/>
      <c r="S110" s="1578" t="s">
        <v>150</v>
      </c>
      <c r="T110" s="1616"/>
      <c r="U110" s="362"/>
      <c r="V110" s="362"/>
      <c r="W110" s="52"/>
      <c r="X110" s="47"/>
      <c r="Y110" s="52"/>
      <c r="Z110" s="52"/>
      <c r="AA110" s="47"/>
      <c r="AB110" s="47"/>
      <c r="AC110" s="47"/>
      <c r="AD110" s="72"/>
      <c r="AE110" s="72"/>
      <c r="AF110" s="72"/>
      <c r="AG110" s="52"/>
      <c r="AH110" s="52"/>
      <c r="AI110" s="52"/>
      <c r="AJ110" s="52"/>
      <c r="AR110" s="358"/>
      <c r="AS110" s="348"/>
      <c r="AT110" s="363"/>
      <c r="AU110" s="33"/>
      <c r="AV110" s="33"/>
      <c r="AW110" s="254"/>
      <c r="AX110" s="33"/>
      <c r="AY110" s="1619" t="s">
        <v>232</v>
      </c>
      <c r="AZ110" s="1619"/>
      <c r="BA110" s="1619"/>
      <c r="BB110" s="33"/>
      <c r="BF110" s="262"/>
      <c r="BG110" s="169" t="s">
        <v>209</v>
      </c>
      <c r="BH110" s="169" t="s">
        <v>209</v>
      </c>
      <c r="BI110" s="262"/>
      <c r="BJ110" s="34"/>
      <c r="BK110" s="33"/>
      <c r="BL110" s="257"/>
      <c r="BM110" s="303" t="s">
        <v>174</v>
      </c>
      <c r="BN110" s="248"/>
    </row>
    <row r="111" spans="1:66" ht="19.5" thickTop="1" thickBot="1" x14ac:dyDescent="0.3">
      <c r="A111" s="34"/>
      <c r="B111" s="34"/>
      <c r="C111" s="52"/>
      <c r="D111" s="52"/>
      <c r="E111" s="52"/>
      <c r="F111" s="52"/>
      <c r="G111" s="52"/>
      <c r="H111" s="52"/>
      <c r="I111" s="52"/>
      <c r="J111" s="52"/>
      <c r="K111" s="53"/>
      <c r="L111" s="72"/>
      <c r="M111" s="72"/>
      <c r="N111" s="52"/>
      <c r="O111" s="52"/>
      <c r="P111" s="52"/>
      <c r="Q111" s="52"/>
      <c r="R111" s="52"/>
      <c r="S111" s="1580"/>
      <c r="T111" s="1617"/>
      <c r="U111" s="362"/>
      <c r="V111" s="362"/>
      <c r="W111" s="52"/>
      <c r="X111" s="47"/>
      <c r="Y111" s="52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R111" s="351"/>
      <c r="AS111" s="348"/>
      <c r="AT111" s="280"/>
      <c r="AU111" s="33"/>
      <c r="AV111" s="264"/>
      <c r="AW111" s="254"/>
      <c r="AX111" s="33"/>
      <c r="AY111" s="33"/>
      <c r="AZ111" s="33"/>
      <c r="BA111" s="33"/>
      <c r="BB111" s="33"/>
      <c r="BF111" s="33"/>
      <c r="BG111" s="364">
        <v>4</v>
      </c>
      <c r="BH111" s="364">
        <v>3</v>
      </c>
      <c r="BI111" s="155"/>
      <c r="BJ111" s="34"/>
      <c r="BK111" s="33"/>
      <c r="BL111" s="257"/>
      <c r="BM111" s="303" t="s">
        <v>174</v>
      </c>
      <c r="BN111" s="248"/>
    </row>
    <row r="112" spans="1:66" ht="19.5" thickTop="1" thickBot="1" x14ac:dyDescent="0.3">
      <c r="A112" s="34"/>
      <c r="B112" s="34"/>
      <c r="C112" s="52"/>
      <c r="D112" s="52"/>
      <c r="E112" s="52"/>
      <c r="F112" s="223"/>
      <c r="G112" s="223"/>
      <c r="H112" s="223"/>
      <c r="I112" s="223"/>
      <c r="J112" s="223"/>
      <c r="K112" s="365"/>
      <c r="L112" s="366"/>
      <c r="M112" s="366"/>
      <c r="N112" s="223"/>
      <c r="O112" s="223"/>
      <c r="P112" s="223"/>
      <c r="Q112" s="223"/>
      <c r="R112" s="365"/>
      <c r="S112" s="1582"/>
      <c r="T112" s="1618"/>
      <c r="U112" s="362"/>
      <c r="V112" s="362"/>
      <c r="W112" s="52"/>
      <c r="X112" s="47"/>
      <c r="Y112" s="52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R112" s="353"/>
      <c r="AS112" s="348"/>
      <c r="AT112" s="280"/>
      <c r="AU112" s="218"/>
      <c r="AV112" s="314"/>
      <c r="AW112" s="254"/>
      <c r="AX112" s="33"/>
      <c r="AY112" s="33"/>
      <c r="AZ112" s="33"/>
      <c r="BA112" s="33"/>
      <c r="BB112" s="33"/>
      <c r="BC112" s="33"/>
      <c r="BD112" s="33"/>
      <c r="BE112" s="33"/>
      <c r="BK112" s="33"/>
      <c r="BL112" s="257"/>
      <c r="BM112" s="303" t="s">
        <v>174</v>
      </c>
      <c r="BN112" s="248"/>
    </row>
    <row r="113" spans="1:66" ht="21.75" thickBot="1" x14ac:dyDescent="0.3">
      <c r="A113" s="34"/>
      <c r="B113" s="34"/>
      <c r="C113" s="52"/>
      <c r="D113" s="52"/>
      <c r="E113" s="53"/>
      <c r="F113" s="34"/>
      <c r="G113" s="34"/>
      <c r="H113" s="34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62"/>
      <c r="V113" s="367"/>
      <c r="W113" s="33"/>
      <c r="Y113" s="126" t="s">
        <v>217</v>
      </c>
      <c r="Z113" s="126"/>
      <c r="AA113" s="34"/>
      <c r="AB113" s="34"/>
      <c r="AF113" s="34"/>
      <c r="AG113" s="34"/>
      <c r="AH113" s="34"/>
      <c r="AI113" s="34"/>
      <c r="AJ113" s="34"/>
      <c r="AK113" s="34"/>
      <c r="AL113" s="126" t="s">
        <v>233</v>
      </c>
      <c r="AM113" s="126"/>
      <c r="AN113" s="126"/>
      <c r="AO113" s="34"/>
      <c r="AP113" s="350"/>
      <c r="AR113" s="358"/>
      <c r="AS113" s="368"/>
      <c r="AT113" s="72"/>
      <c r="AU113" s="72"/>
      <c r="AV113" s="34"/>
      <c r="AW113" s="254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K113" s="33"/>
      <c r="BL113" s="257"/>
      <c r="BM113" s="303" t="s">
        <v>174</v>
      </c>
      <c r="BN113" s="248"/>
    </row>
    <row r="114" spans="1:66" ht="19.5" thickTop="1" thickBot="1" x14ac:dyDescent="0.3">
      <c r="A114" s="34"/>
      <c r="B114" s="34"/>
      <c r="C114" s="52"/>
      <c r="D114" s="52"/>
      <c r="E114" s="53"/>
      <c r="F114" s="34"/>
      <c r="G114" s="34"/>
      <c r="H114" s="34"/>
      <c r="I114" s="52"/>
      <c r="J114" s="52"/>
      <c r="K114" s="52"/>
      <c r="L114" s="72"/>
      <c r="M114" s="72"/>
      <c r="N114" s="52"/>
      <c r="O114" s="52"/>
      <c r="P114" s="52"/>
      <c r="Q114" s="52"/>
      <c r="R114" s="52"/>
      <c r="S114" s="52"/>
      <c r="T114" s="52"/>
      <c r="U114" s="362"/>
      <c r="V114" s="367"/>
      <c r="W114" s="33"/>
      <c r="X114" s="265" t="s">
        <v>234</v>
      </c>
      <c r="Y114" s="369"/>
      <c r="Z114" s="369"/>
      <c r="AA114" s="266" t="s">
        <v>220</v>
      </c>
      <c r="AB114" s="33"/>
      <c r="AF114" s="1236" t="s">
        <v>235</v>
      </c>
      <c r="AG114" s="370" t="s">
        <v>236</v>
      </c>
      <c r="AH114" s="370" t="s">
        <v>236</v>
      </c>
      <c r="AI114" s="1237" t="s">
        <v>237</v>
      </c>
      <c r="AJ114" s="34"/>
      <c r="AK114" s="34"/>
      <c r="AL114" s="34"/>
      <c r="AM114" s="273">
        <v>1</v>
      </c>
      <c r="AN114" s="34"/>
      <c r="AO114" s="34"/>
      <c r="AP114" s="52"/>
      <c r="AR114" s="371"/>
      <c r="AS114" s="372"/>
      <c r="AT114" s="373" t="s">
        <v>224</v>
      </c>
      <c r="AU114" s="72"/>
      <c r="AV114" s="34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77"/>
      <c r="BL114" s="257"/>
      <c r="BM114" s="303" t="s">
        <v>174</v>
      </c>
      <c r="BN114" s="248"/>
    </row>
    <row r="115" spans="1:66" ht="18.75" thickTop="1" x14ac:dyDescent="0.25">
      <c r="A115" s="34"/>
      <c r="B115" s="34"/>
      <c r="C115" s="52"/>
      <c r="D115" s="52"/>
      <c r="E115" s="53"/>
      <c r="F115" s="34"/>
      <c r="G115" s="34"/>
      <c r="H115" s="34"/>
      <c r="I115" s="52"/>
      <c r="J115" s="52"/>
      <c r="K115" s="52"/>
      <c r="L115" s="72"/>
      <c r="M115" s="72"/>
      <c r="N115" s="52"/>
      <c r="O115" s="52"/>
      <c r="P115" s="52"/>
      <c r="Q115" s="52"/>
      <c r="R115" s="52"/>
      <c r="S115" s="52"/>
      <c r="T115" s="52"/>
      <c r="U115" s="362"/>
      <c r="V115" s="254"/>
      <c r="W115" s="270">
        <v>1</v>
      </c>
      <c r="X115" s="369" t="s">
        <v>164</v>
      </c>
      <c r="Y115" s="55" t="s">
        <v>48</v>
      </c>
      <c r="Z115" s="55" t="s">
        <v>48</v>
      </c>
      <c r="AA115" s="369" t="s">
        <v>164</v>
      </c>
      <c r="AB115" s="309">
        <v>6</v>
      </c>
      <c r="AF115" s="1236"/>
      <c r="AG115" s="370" t="s">
        <v>236</v>
      </c>
      <c r="AH115" s="370" t="s">
        <v>236</v>
      </c>
      <c r="AI115" s="1237"/>
      <c r="AJ115" s="34"/>
      <c r="AK115" s="34"/>
      <c r="AL115" s="374"/>
      <c r="AM115" s="308" t="s">
        <v>193</v>
      </c>
      <c r="AO115" s="47"/>
      <c r="AP115" s="52"/>
      <c r="AS115" s="20" t="s">
        <v>0</v>
      </c>
      <c r="AT115" s="169" t="s">
        <v>209</v>
      </c>
      <c r="AU115" s="375">
        <v>1</v>
      </c>
      <c r="AV115" s="376"/>
      <c r="AW115" s="324"/>
      <c r="AX115" s="324"/>
      <c r="AY115" s="1231" t="s">
        <v>203</v>
      </c>
      <c r="AZ115" s="1231"/>
      <c r="BA115" s="1231"/>
      <c r="BB115" s="324"/>
      <c r="BC115" s="147"/>
      <c r="BD115" s="147"/>
      <c r="BE115" s="147"/>
      <c r="BF115" s="147"/>
      <c r="BG115" s="1231" t="s">
        <v>203</v>
      </c>
      <c r="BH115" s="1231"/>
      <c r="BI115" s="75"/>
      <c r="BJ115" s="77"/>
      <c r="BK115" s="33"/>
      <c r="BL115" s="257"/>
      <c r="BM115" s="303" t="s">
        <v>174</v>
      </c>
      <c r="BN115" s="248"/>
    </row>
    <row r="116" spans="1:66" ht="18.75" thickBot="1" x14ac:dyDescent="0.3">
      <c r="A116" s="34"/>
      <c r="B116" s="34"/>
      <c r="C116" s="52"/>
      <c r="D116" s="52"/>
      <c r="E116" s="53"/>
      <c r="F116" s="34"/>
      <c r="G116" s="34"/>
      <c r="H116" s="34"/>
      <c r="I116" s="52"/>
      <c r="J116" s="52"/>
      <c r="K116" s="52"/>
      <c r="L116" s="72"/>
      <c r="M116" s="72"/>
      <c r="N116" s="52"/>
      <c r="O116" s="52"/>
      <c r="P116" s="52"/>
      <c r="Q116" s="52"/>
      <c r="R116" s="52"/>
      <c r="S116" s="52"/>
      <c r="T116" s="52"/>
      <c r="U116" s="362"/>
      <c r="V116" s="254"/>
      <c r="W116" s="270">
        <v>2</v>
      </c>
      <c r="X116" s="369" t="s">
        <v>164</v>
      </c>
      <c r="Y116" s="55" t="s">
        <v>48</v>
      </c>
      <c r="Z116" s="55" t="s">
        <v>48</v>
      </c>
      <c r="AA116" s="369" t="s">
        <v>164</v>
      </c>
      <c r="AB116" s="309">
        <v>5</v>
      </c>
      <c r="AF116" s="1236" t="s">
        <v>238</v>
      </c>
      <c r="AG116" s="370" t="s">
        <v>236</v>
      </c>
      <c r="AH116" s="370" t="s">
        <v>236</v>
      </c>
      <c r="AI116" s="1237"/>
      <c r="AJ116" s="33"/>
      <c r="AK116" s="265" t="s">
        <v>239</v>
      </c>
      <c r="AL116" s="296" t="s">
        <v>240</v>
      </c>
      <c r="AM116" s="55" t="s">
        <v>48</v>
      </c>
      <c r="AN116" s="296" t="s">
        <v>240</v>
      </c>
      <c r="AO116" s="33"/>
      <c r="AP116" s="52"/>
      <c r="AR116" s="377" t="s">
        <v>241</v>
      </c>
      <c r="AS116" s="20" t="s">
        <v>0</v>
      </c>
      <c r="AT116" s="169" t="s">
        <v>209</v>
      </c>
      <c r="AU116" s="375">
        <v>2</v>
      </c>
      <c r="AV116" s="376"/>
      <c r="AW116" s="324"/>
      <c r="AX116" s="147"/>
      <c r="AY116" s="262">
        <v>1</v>
      </c>
      <c r="AZ116" s="262">
        <v>2</v>
      </c>
      <c r="BA116" s="262">
        <v>3</v>
      </c>
      <c r="BB116" s="324"/>
      <c r="BC116" s="147"/>
      <c r="BD116" s="147"/>
      <c r="BE116" s="147"/>
      <c r="BF116" s="147"/>
      <c r="BG116" s="262">
        <v>1</v>
      </c>
      <c r="BH116" s="262">
        <v>2</v>
      </c>
      <c r="BI116" s="75"/>
      <c r="BJ116" s="77"/>
      <c r="BK116" s="33"/>
      <c r="BL116" s="257"/>
      <c r="BM116" s="378" t="s">
        <v>180</v>
      </c>
      <c r="BN116" s="248"/>
    </row>
    <row r="117" spans="1:66" ht="18.75" thickBot="1" x14ac:dyDescent="0.3">
      <c r="A117" s="34"/>
      <c r="B117" s="34"/>
      <c r="C117" s="52"/>
      <c r="D117" s="52"/>
      <c r="E117" s="53"/>
      <c r="F117" s="34"/>
      <c r="G117" s="34"/>
      <c r="H117" s="1604" t="s">
        <v>242</v>
      </c>
      <c r="I117" s="1605"/>
      <c r="J117" s="1605"/>
      <c r="K117" s="1605"/>
      <c r="L117" s="1605"/>
      <c r="M117" s="1605"/>
      <c r="N117" s="1605"/>
      <c r="O117" s="1605"/>
      <c r="P117" s="1606"/>
      <c r="Q117" s="52"/>
      <c r="R117" s="379"/>
      <c r="S117" s="379"/>
      <c r="T117" s="379"/>
      <c r="U117" s="362"/>
      <c r="V117" s="254"/>
      <c r="W117" s="270">
        <v>3</v>
      </c>
      <c r="X117" s="369" t="s">
        <v>164</v>
      </c>
      <c r="Y117" s="55" t="s">
        <v>48</v>
      </c>
      <c r="Z117" s="55" t="s">
        <v>48</v>
      </c>
      <c r="AA117" s="369" t="s">
        <v>164</v>
      </c>
      <c r="AB117" s="309">
        <v>4</v>
      </c>
      <c r="AF117" s="1236"/>
      <c r="AG117" s="370" t="s">
        <v>236</v>
      </c>
      <c r="AH117" s="370" t="s">
        <v>236</v>
      </c>
      <c r="AI117" s="1237"/>
      <c r="AJ117" s="380">
        <v>4</v>
      </c>
      <c r="AK117" s="308" t="s">
        <v>193</v>
      </c>
      <c r="AL117" s="55" t="s">
        <v>48</v>
      </c>
      <c r="AM117" s="296" t="s">
        <v>243</v>
      </c>
      <c r="AN117" s="55" t="s">
        <v>48</v>
      </c>
      <c r="AO117" s="308" t="s">
        <v>193</v>
      </c>
      <c r="AP117" s="381">
        <v>2</v>
      </c>
      <c r="AR117" s="382" t="s">
        <v>174</v>
      </c>
      <c r="AS117" s="372"/>
      <c r="AT117" s="262"/>
      <c r="AU117" s="72"/>
      <c r="AV117" s="204"/>
      <c r="AW117" s="147"/>
      <c r="AX117" s="267" t="s">
        <v>227</v>
      </c>
      <c r="AY117" s="170" t="s">
        <v>209</v>
      </c>
      <c r="AZ117" s="170" t="s">
        <v>209</v>
      </c>
      <c r="BA117" s="170" t="s">
        <v>209</v>
      </c>
      <c r="BB117" s="262"/>
      <c r="BC117" s="147"/>
      <c r="BD117" s="147"/>
      <c r="BE117" s="147"/>
      <c r="BF117" s="267" t="s">
        <v>239</v>
      </c>
      <c r="BG117" s="170" t="s">
        <v>193</v>
      </c>
      <c r="BH117" s="170" t="s">
        <v>193</v>
      </c>
      <c r="BI117" s="262"/>
      <c r="BJ117" s="34"/>
      <c r="BK117" s="33"/>
      <c r="BL117" s="257"/>
      <c r="BM117" s="383"/>
      <c r="BN117" s="248"/>
    </row>
    <row r="118" spans="1:66" ht="24" thickBot="1" x14ac:dyDescent="0.3">
      <c r="A118" s="34"/>
      <c r="B118" s="34"/>
      <c r="C118" s="52"/>
      <c r="D118" s="52"/>
      <c r="E118" s="53"/>
      <c r="F118" s="34"/>
      <c r="G118" s="34"/>
      <c r="H118" s="1607"/>
      <c r="I118" s="1608"/>
      <c r="J118" s="1608"/>
      <c r="K118" s="1608"/>
      <c r="L118" s="1608"/>
      <c r="M118" s="1608"/>
      <c r="N118" s="1608"/>
      <c r="O118" s="1608"/>
      <c r="P118" s="1609"/>
      <c r="Q118" s="72"/>
      <c r="R118" s="379"/>
      <c r="S118" s="379"/>
      <c r="T118" s="379"/>
      <c r="U118" s="384"/>
      <c r="V118" s="254"/>
      <c r="W118" s="33"/>
      <c r="X118" s="326"/>
      <c r="Y118" s="307"/>
      <c r="Z118" s="307"/>
      <c r="AA118" s="327"/>
      <c r="AB118" s="167"/>
      <c r="AF118" s="33"/>
      <c r="AG118" s="33"/>
      <c r="AH118" s="33"/>
      <c r="AI118" s="33"/>
      <c r="AJ118" s="34"/>
      <c r="AK118" s="34"/>
      <c r="AL118" s="296" t="s">
        <v>240</v>
      </c>
      <c r="AM118" s="55" t="s">
        <v>48</v>
      </c>
      <c r="AN118" s="296" t="s">
        <v>240</v>
      </c>
      <c r="AR118" s="83" t="s">
        <v>174</v>
      </c>
      <c r="AS118" s="385" t="s">
        <v>180</v>
      </c>
      <c r="AT118" s="47"/>
      <c r="AU118" s="47"/>
      <c r="AV118" s="111"/>
      <c r="AW118" s="262"/>
      <c r="AX118" s="170"/>
      <c r="AY118" s="16" t="s">
        <v>26</v>
      </c>
      <c r="AZ118" s="16" t="s">
        <v>26</v>
      </c>
      <c r="BA118" s="15" t="s">
        <v>9</v>
      </c>
      <c r="BB118" s="170"/>
      <c r="BC118" s="262"/>
      <c r="BD118" s="147"/>
      <c r="BE118" s="262"/>
      <c r="BF118" s="170"/>
      <c r="BG118" s="17" t="s">
        <v>84</v>
      </c>
      <c r="BH118" s="15" t="s">
        <v>9</v>
      </c>
      <c r="BI118" s="170"/>
      <c r="BJ118" s="262"/>
      <c r="BK118" s="33"/>
      <c r="BL118" s="314"/>
      <c r="BM118" s="148" t="s">
        <v>170</v>
      </c>
      <c r="BN118" s="1225" t="s">
        <v>244</v>
      </c>
    </row>
    <row r="119" spans="1:66" ht="18" x14ac:dyDescent="0.25">
      <c r="A119" s="34"/>
      <c r="B119" s="34"/>
      <c r="C119" s="52"/>
      <c r="D119" s="52"/>
      <c r="E119" s="53"/>
      <c r="F119" s="34"/>
      <c r="G119" s="34"/>
      <c r="H119" s="1607"/>
      <c r="I119" s="1608"/>
      <c r="J119" s="1608"/>
      <c r="K119" s="1608"/>
      <c r="L119" s="1608"/>
      <c r="M119" s="1608"/>
      <c r="N119" s="1608"/>
      <c r="O119" s="1608"/>
      <c r="P119" s="1609"/>
      <c r="Q119" s="72"/>
      <c r="R119" s="379"/>
      <c r="S119" s="379"/>
      <c r="T119" s="379"/>
      <c r="U119" s="384"/>
      <c r="Y119" s="33"/>
      <c r="Z119" s="33"/>
      <c r="AA119" s="33"/>
      <c r="AB119" s="33"/>
      <c r="AC119" s="33"/>
      <c r="AJ119" s="33"/>
      <c r="AK119" s="34"/>
      <c r="AM119" s="308" t="s">
        <v>193</v>
      </c>
      <c r="AO119" s="386"/>
      <c r="AP119" s="34"/>
      <c r="AR119" s="83" t="s">
        <v>174</v>
      </c>
      <c r="AS119" s="387" t="s">
        <v>155</v>
      </c>
      <c r="AT119" s="115"/>
      <c r="AU119" s="47"/>
      <c r="AV119" s="388"/>
      <c r="AW119" s="262"/>
      <c r="AX119" s="170"/>
      <c r="AY119" s="16" t="s">
        <v>26</v>
      </c>
      <c r="AZ119" s="16" t="s">
        <v>26</v>
      </c>
      <c r="BA119" s="15" t="s">
        <v>9</v>
      </c>
      <c r="BB119" s="170"/>
      <c r="BC119" s="262"/>
      <c r="BD119" s="147"/>
      <c r="BE119" s="262"/>
      <c r="BF119" s="170"/>
      <c r="BG119" s="22" t="s">
        <v>4</v>
      </c>
      <c r="BH119" s="23" t="s">
        <v>2</v>
      </c>
      <c r="BI119" s="170"/>
      <c r="BJ119" s="262"/>
      <c r="BK119" s="33"/>
      <c r="BL119" s="1226"/>
      <c r="BM119" s="148" t="s">
        <v>170</v>
      </c>
      <c r="BN119" s="1225"/>
    </row>
    <row r="120" spans="1:66" ht="21" x14ac:dyDescent="0.25">
      <c r="A120" s="34"/>
      <c r="B120" s="34"/>
      <c r="C120" s="52"/>
      <c r="D120" s="52"/>
      <c r="E120" s="53"/>
      <c r="F120" s="34"/>
      <c r="G120" s="34"/>
      <c r="H120" s="1607"/>
      <c r="I120" s="1608"/>
      <c r="J120" s="1608"/>
      <c r="K120" s="1608"/>
      <c r="L120" s="1608"/>
      <c r="M120" s="1608"/>
      <c r="N120" s="1608"/>
      <c r="O120" s="1608"/>
      <c r="P120" s="1609"/>
      <c r="Q120" s="72"/>
      <c r="R120" s="379"/>
      <c r="S120" s="379"/>
      <c r="T120" s="379"/>
      <c r="U120" s="384"/>
      <c r="AA120" s="33"/>
      <c r="AB120" s="33"/>
      <c r="AC120" s="33"/>
      <c r="AD120" s="254"/>
      <c r="AE120" s="1613" t="s">
        <v>201</v>
      </c>
      <c r="AF120" s="1613"/>
      <c r="AG120" s="1613"/>
      <c r="AH120" s="33"/>
      <c r="AJ120" s="33"/>
      <c r="AK120" s="34"/>
      <c r="AL120" s="34"/>
      <c r="AM120" s="273">
        <v>3</v>
      </c>
      <c r="AN120" s="34"/>
      <c r="AO120" s="386"/>
      <c r="AP120" s="34"/>
      <c r="AR120" s="83" t="s">
        <v>174</v>
      </c>
      <c r="AS120" s="389" t="s">
        <v>157</v>
      </c>
      <c r="AT120" s="33"/>
      <c r="AU120" s="33"/>
      <c r="AV120" s="111"/>
      <c r="AW120" s="324"/>
      <c r="AX120" s="262"/>
      <c r="AY120" s="170" t="s">
        <v>209</v>
      </c>
      <c r="AZ120" s="170" t="s">
        <v>209</v>
      </c>
      <c r="BA120" s="170" t="s">
        <v>209</v>
      </c>
      <c r="BB120" s="262"/>
      <c r="BC120" s="324"/>
      <c r="BD120" s="147"/>
      <c r="BE120" s="147"/>
      <c r="BF120" s="262"/>
      <c r="BG120" s="170" t="s">
        <v>193</v>
      </c>
      <c r="BH120" s="170" t="s">
        <v>193</v>
      </c>
      <c r="BI120" s="262"/>
      <c r="BJ120" s="34"/>
      <c r="BK120" s="33"/>
      <c r="BL120" s="1226"/>
      <c r="BM120" s="148" t="s">
        <v>170</v>
      </c>
      <c r="BN120" s="1225"/>
    </row>
    <row r="121" spans="1:66" ht="15.75" x14ac:dyDescent="0.25">
      <c r="A121" s="34"/>
      <c r="B121" s="34"/>
      <c r="C121" s="52"/>
      <c r="D121" s="52"/>
      <c r="E121" s="53"/>
      <c r="F121" s="52"/>
      <c r="G121" s="52"/>
      <c r="H121" s="1607"/>
      <c r="I121" s="1608"/>
      <c r="J121" s="1608"/>
      <c r="K121" s="1608"/>
      <c r="L121" s="1608"/>
      <c r="M121" s="1608"/>
      <c r="N121" s="1608"/>
      <c r="O121" s="1608"/>
      <c r="P121" s="1609"/>
      <c r="Q121" s="72"/>
      <c r="R121" s="379"/>
      <c r="S121" s="379"/>
      <c r="T121" s="379"/>
      <c r="U121" s="384"/>
      <c r="AA121" s="33"/>
      <c r="AB121" s="33"/>
      <c r="AC121" s="33"/>
      <c r="AD121" s="254"/>
      <c r="AE121" s="70">
        <v>1</v>
      </c>
      <c r="AF121" s="33"/>
      <c r="AG121" s="33"/>
      <c r="AH121" s="33"/>
      <c r="AP121" s="386"/>
      <c r="AQ121" s="34"/>
      <c r="AR121" s="83" t="s">
        <v>174</v>
      </c>
      <c r="AS121" s="390" t="s">
        <v>155</v>
      </c>
      <c r="AT121" s="115"/>
      <c r="AU121" s="64" t="s">
        <v>159</v>
      </c>
      <c r="AV121" s="1614" t="s">
        <v>245</v>
      </c>
      <c r="AW121" s="324"/>
      <c r="AX121" s="324"/>
      <c r="AY121" s="262">
        <v>6</v>
      </c>
      <c r="AZ121" s="262">
        <v>5</v>
      </c>
      <c r="BA121" s="262">
        <v>4</v>
      </c>
      <c r="BB121" s="324"/>
      <c r="BC121" s="324"/>
      <c r="BD121" s="147"/>
      <c r="BE121" s="75"/>
      <c r="BF121" s="77"/>
      <c r="BG121" s="262">
        <v>4</v>
      </c>
      <c r="BH121" s="262">
        <v>3</v>
      </c>
      <c r="BI121" s="147"/>
      <c r="BJ121" s="34"/>
      <c r="BK121" s="33"/>
      <c r="BL121" s="1226"/>
      <c r="BM121" s="148" t="s">
        <v>170</v>
      </c>
      <c r="BN121" s="1225"/>
    </row>
    <row r="122" spans="1:66" ht="19.5" thickBot="1" x14ac:dyDescent="0.3">
      <c r="A122" s="34"/>
      <c r="B122" s="34"/>
      <c r="C122" s="52"/>
      <c r="D122" s="52"/>
      <c r="E122" s="53"/>
      <c r="F122" s="34"/>
      <c r="G122" s="52"/>
      <c r="H122" s="1607"/>
      <c r="I122" s="1608"/>
      <c r="J122" s="1608"/>
      <c r="K122" s="1608"/>
      <c r="L122" s="1608"/>
      <c r="M122" s="1608"/>
      <c r="N122" s="1608"/>
      <c r="O122" s="1608"/>
      <c r="P122" s="1609"/>
      <c r="Q122" s="72"/>
      <c r="R122" s="379"/>
      <c r="S122" s="379"/>
      <c r="T122" s="379"/>
      <c r="U122" s="384"/>
      <c r="AA122" s="391"/>
      <c r="AB122" s="34"/>
      <c r="AC122" s="34"/>
      <c r="AD122" s="265" t="s">
        <v>246</v>
      </c>
      <c r="AE122" s="369" t="s">
        <v>164</v>
      </c>
      <c r="AF122" s="70">
        <v>2</v>
      </c>
      <c r="AG122" s="392"/>
      <c r="AH122" s="393"/>
      <c r="AP122" s="394"/>
      <c r="AQ122" s="34"/>
      <c r="AR122" s="83" t="s">
        <v>174</v>
      </c>
      <c r="AS122" s="138"/>
      <c r="AT122" s="47"/>
      <c r="AU122" s="64" t="s">
        <v>159</v>
      </c>
      <c r="AV122" s="1614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1226"/>
      <c r="BM122" s="148" t="s">
        <v>170</v>
      </c>
      <c r="BN122" s="1225"/>
    </row>
    <row r="123" spans="1:66" ht="24" thickBot="1" x14ac:dyDescent="0.3">
      <c r="A123" s="34"/>
      <c r="B123" s="34"/>
      <c r="C123" s="52"/>
      <c r="D123" s="52"/>
      <c r="E123" s="53"/>
      <c r="F123" s="52"/>
      <c r="G123" s="52"/>
      <c r="H123" s="1607"/>
      <c r="I123" s="1608"/>
      <c r="J123" s="1608"/>
      <c r="K123" s="1608"/>
      <c r="L123" s="1608"/>
      <c r="M123" s="1608"/>
      <c r="N123" s="1608"/>
      <c r="O123" s="1608"/>
      <c r="P123" s="1609"/>
      <c r="Q123" s="72"/>
      <c r="R123" s="379"/>
      <c r="S123" s="379"/>
      <c r="T123" s="379"/>
      <c r="U123" s="384"/>
      <c r="AA123" s="395"/>
      <c r="AB123" s="34"/>
      <c r="AC123" s="34"/>
      <c r="AD123" s="396"/>
      <c r="AE123" s="55" t="s">
        <v>48</v>
      </c>
      <c r="AF123" s="369" t="s">
        <v>164</v>
      </c>
      <c r="AG123" s="70">
        <v>3</v>
      </c>
      <c r="AH123" s="391"/>
      <c r="AJ123" s="52"/>
      <c r="AL123" s="1613" t="s">
        <v>213</v>
      </c>
      <c r="AM123" s="1613"/>
      <c r="AN123" s="33"/>
      <c r="AO123" s="34"/>
      <c r="AP123" s="34"/>
      <c r="AQ123" s="34"/>
      <c r="AR123" s="34"/>
      <c r="AS123" s="397"/>
      <c r="AT123" s="398"/>
      <c r="AU123" s="399" t="s">
        <v>247</v>
      </c>
      <c r="AV123" s="1615"/>
      <c r="AW123" s="33"/>
      <c r="AX123" s="33"/>
      <c r="AY123" s="33"/>
      <c r="AZ123" s="33"/>
      <c r="BA123" s="33"/>
      <c r="BB123" s="33"/>
      <c r="BC123" s="33"/>
      <c r="BD123" s="400" t="s">
        <v>194</v>
      </c>
      <c r="BE123" s="33"/>
      <c r="BF123" s="33"/>
      <c r="BG123" s="33"/>
      <c r="BH123" s="33"/>
      <c r="BI123" s="33"/>
      <c r="BJ123" s="33"/>
      <c r="BK123" s="33"/>
      <c r="BL123" s="1227"/>
      <c r="BM123" s="148" t="s">
        <v>170</v>
      </c>
      <c r="BN123" s="1225"/>
    </row>
    <row r="124" spans="1:66" ht="23.25" x14ac:dyDescent="0.25">
      <c r="A124" s="34"/>
      <c r="B124" s="34"/>
      <c r="C124" s="52"/>
      <c r="D124" s="52"/>
      <c r="E124" s="53"/>
      <c r="F124" s="52"/>
      <c r="G124" s="52"/>
      <c r="H124" s="1607"/>
      <c r="I124" s="1608"/>
      <c r="J124" s="1608"/>
      <c r="K124" s="1608"/>
      <c r="L124" s="1608"/>
      <c r="M124" s="1608"/>
      <c r="N124" s="1608"/>
      <c r="O124" s="1608"/>
      <c r="P124" s="1609"/>
      <c r="Q124" s="72"/>
      <c r="R124" s="379"/>
      <c r="S124" s="379"/>
      <c r="T124" s="379"/>
      <c r="U124" s="384"/>
      <c r="AA124" s="395"/>
      <c r="AB124" s="34"/>
      <c r="AC124" s="34"/>
      <c r="AD124" s="396"/>
      <c r="AE124" s="55" t="s">
        <v>48</v>
      </c>
      <c r="AF124" s="55" t="s">
        <v>48</v>
      </c>
      <c r="AG124" s="369" t="s">
        <v>164</v>
      </c>
      <c r="AH124" s="266" t="s">
        <v>248</v>
      </c>
      <c r="AI124" s="33"/>
      <c r="AJ124" s="401"/>
      <c r="AK124" s="265" t="s">
        <v>249</v>
      </c>
      <c r="AL124" s="134"/>
      <c r="AM124" s="134"/>
      <c r="AN124" s="266" t="s">
        <v>206</v>
      </c>
      <c r="AO124" s="273"/>
      <c r="AP124" s="34"/>
      <c r="AQ124" s="34"/>
      <c r="AR124" s="109" t="s">
        <v>183</v>
      </c>
      <c r="AS124" s="402"/>
      <c r="AT124" s="403"/>
      <c r="AU124" s="404"/>
      <c r="AV124" s="405"/>
      <c r="AW124" s="406"/>
      <c r="AX124" s="406"/>
      <c r="AY124" s="406"/>
      <c r="AZ124" s="406"/>
      <c r="BA124" s="406"/>
      <c r="BB124" s="406"/>
      <c r="BC124" s="406"/>
      <c r="BD124" s="33"/>
      <c r="BE124" s="406"/>
      <c r="BF124" s="406"/>
      <c r="BG124" s="406"/>
      <c r="BH124" s="406"/>
      <c r="BI124" s="406"/>
      <c r="BJ124" s="406"/>
      <c r="BK124" s="406"/>
      <c r="BL124" s="406"/>
      <c r="BM124" s="406"/>
      <c r="BN124" s="33"/>
    </row>
    <row r="125" spans="1:66" ht="18.75" x14ac:dyDescent="0.25">
      <c r="A125" s="34"/>
      <c r="B125" s="34"/>
      <c r="C125" s="52"/>
      <c r="D125" s="52"/>
      <c r="E125" s="53"/>
      <c r="F125" s="52"/>
      <c r="G125" s="52"/>
      <c r="H125" s="1607"/>
      <c r="I125" s="1608"/>
      <c r="J125" s="1608"/>
      <c r="K125" s="1608"/>
      <c r="L125" s="1608"/>
      <c r="M125" s="1608"/>
      <c r="N125" s="1608"/>
      <c r="O125" s="1608"/>
      <c r="P125" s="1609"/>
      <c r="Q125" s="72"/>
      <c r="R125" s="379"/>
      <c r="S125" s="379"/>
      <c r="T125" s="379"/>
      <c r="U125" s="384"/>
      <c r="AA125" s="391"/>
      <c r="AB125" s="34"/>
      <c r="AC125" s="34"/>
      <c r="AD125" s="384"/>
      <c r="AE125" s="369" t="s">
        <v>164</v>
      </c>
      <c r="AF125" s="55" t="s">
        <v>48</v>
      </c>
      <c r="AG125" s="55" t="s">
        <v>48</v>
      </c>
      <c r="AH125" s="396"/>
      <c r="AI125" s="33"/>
      <c r="AJ125" s="380">
        <v>1</v>
      </c>
      <c r="AK125" s="271" t="s">
        <v>211</v>
      </c>
      <c r="AL125" s="55" t="s">
        <v>48</v>
      </c>
      <c r="AM125" s="55" t="s">
        <v>48</v>
      </c>
      <c r="AN125" s="271" t="s">
        <v>211</v>
      </c>
      <c r="AO125" s="272">
        <v>5</v>
      </c>
      <c r="AP125" s="34"/>
      <c r="AQ125" s="34"/>
      <c r="AR125" s="109" t="s">
        <v>183</v>
      </c>
      <c r="AS125" s="281"/>
      <c r="AT125" s="34"/>
      <c r="AU125" s="287"/>
      <c r="AV125" s="77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</row>
    <row r="126" spans="1:66" ht="19.5" thickBot="1" x14ac:dyDescent="0.3">
      <c r="A126" s="34"/>
      <c r="B126" s="34"/>
      <c r="C126" s="52"/>
      <c r="D126" s="52"/>
      <c r="E126" s="53"/>
      <c r="F126" s="52"/>
      <c r="G126" s="52"/>
      <c r="H126" s="1607"/>
      <c r="I126" s="1608"/>
      <c r="J126" s="1608"/>
      <c r="K126" s="1608"/>
      <c r="L126" s="1608"/>
      <c r="M126" s="1608"/>
      <c r="N126" s="1608"/>
      <c r="O126" s="1608"/>
      <c r="P126" s="1609"/>
      <c r="Q126" s="72"/>
      <c r="R126" s="379"/>
      <c r="S126" s="379"/>
      <c r="T126" s="379"/>
      <c r="U126" s="384"/>
      <c r="AA126" s="407"/>
      <c r="AB126" s="34"/>
      <c r="AC126" s="34"/>
      <c r="AD126" s="384"/>
      <c r="AE126" s="70">
        <v>6</v>
      </c>
      <c r="AF126" s="369" t="s">
        <v>164</v>
      </c>
      <c r="AG126" s="55" t="s">
        <v>48</v>
      </c>
      <c r="AH126" s="396"/>
      <c r="AI126" s="33"/>
      <c r="AJ126" s="380">
        <v>2</v>
      </c>
      <c r="AK126" s="271" t="s">
        <v>211</v>
      </c>
      <c r="AL126" s="55" t="s">
        <v>48</v>
      </c>
      <c r="AM126" s="55" t="s">
        <v>48</v>
      </c>
      <c r="AN126" s="271" t="s">
        <v>211</v>
      </c>
      <c r="AO126" s="272">
        <v>6</v>
      </c>
      <c r="AP126" s="34"/>
      <c r="AQ126" s="34"/>
      <c r="AR126" s="109" t="s">
        <v>183</v>
      </c>
      <c r="AS126" s="248"/>
      <c r="AT126" s="33"/>
      <c r="AU126" s="33"/>
      <c r="AV126" s="342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</row>
    <row r="127" spans="1:66" ht="15.75" x14ac:dyDescent="0.25">
      <c r="A127" s="34"/>
      <c r="B127" s="34"/>
      <c r="C127" s="52"/>
      <c r="D127" s="1578" t="s">
        <v>250</v>
      </c>
      <c r="E127" s="1579"/>
      <c r="F127" s="52"/>
      <c r="G127" s="52"/>
      <c r="H127" s="1607"/>
      <c r="I127" s="1608"/>
      <c r="J127" s="1608"/>
      <c r="K127" s="1608"/>
      <c r="L127" s="1608"/>
      <c r="M127" s="1608"/>
      <c r="N127" s="1608"/>
      <c r="O127" s="1608"/>
      <c r="P127" s="1609"/>
      <c r="Q127" s="72"/>
      <c r="R127" s="379"/>
      <c r="S127" s="379"/>
      <c r="T127" s="379"/>
      <c r="U127" s="384"/>
      <c r="AA127" s="384"/>
      <c r="AB127" s="34"/>
      <c r="AC127" s="34"/>
      <c r="AD127" s="384"/>
      <c r="AE127" s="384"/>
      <c r="AF127" s="70">
        <v>5</v>
      </c>
      <c r="AG127" s="369" t="s">
        <v>164</v>
      </c>
      <c r="AH127" s="33"/>
      <c r="AI127" s="34"/>
      <c r="AJ127" s="408">
        <v>3</v>
      </c>
      <c r="AK127" s="271" t="s">
        <v>211</v>
      </c>
      <c r="AL127" s="55" t="s">
        <v>48</v>
      </c>
      <c r="AM127" s="55" t="s">
        <v>48</v>
      </c>
      <c r="AN127" s="271" t="s">
        <v>211</v>
      </c>
      <c r="AO127" s="272">
        <v>7</v>
      </c>
      <c r="AP127" s="34"/>
      <c r="AQ127" s="34"/>
      <c r="AR127" s="109" t="s">
        <v>183</v>
      </c>
      <c r="AS127" s="248"/>
      <c r="AT127" s="33"/>
      <c r="AU127" s="33"/>
      <c r="AV127" s="342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</row>
    <row r="128" spans="1:66" ht="24" thickBot="1" x14ac:dyDescent="0.3">
      <c r="A128" s="34"/>
      <c r="B128" s="34"/>
      <c r="C128" s="52"/>
      <c r="D128" s="1580"/>
      <c r="E128" s="1581"/>
      <c r="F128" s="52"/>
      <c r="G128" s="52"/>
      <c r="H128" s="1607"/>
      <c r="I128" s="1608"/>
      <c r="J128" s="1608"/>
      <c r="K128" s="1608"/>
      <c r="L128" s="1608"/>
      <c r="M128" s="1608"/>
      <c r="N128" s="1608"/>
      <c r="O128" s="1608"/>
      <c r="P128" s="1609"/>
      <c r="Q128" s="72"/>
      <c r="R128" s="379"/>
      <c r="S128" s="379"/>
      <c r="T128" s="81" t="s">
        <v>172</v>
      </c>
      <c r="U128" s="81" t="s">
        <v>172</v>
      </c>
      <c r="V128" s="384"/>
      <c r="W128" s="72"/>
      <c r="X128" s="33"/>
      <c r="Y128" s="77"/>
      <c r="Z128" s="409"/>
      <c r="AA128" s="410"/>
      <c r="AB128" s="34"/>
      <c r="AC128" s="34"/>
      <c r="AD128" s="384"/>
      <c r="AE128" s="384"/>
      <c r="AF128" s="384"/>
      <c r="AG128" s="70">
        <v>4</v>
      </c>
      <c r="AH128" s="384"/>
      <c r="AJ128" s="380">
        <v>4</v>
      </c>
      <c r="AK128" s="271" t="s">
        <v>211</v>
      </c>
      <c r="AL128" s="55" t="s">
        <v>48</v>
      </c>
      <c r="AM128" s="55" t="s">
        <v>48</v>
      </c>
      <c r="AN128" s="271" t="s">
        <v>211</v>
      </c>
      <c r="AO128" s="272">
        <v>8</v>
      </c>
      <c r="AP128" s="34"/>
      <c r="AQ128" s="34"/>
      <c r="AR128" s="109" t="s">
        <v>183</v>
      </c>
      <c r="AS128" s="248"/>
      <c r="AT128" s="33"/>
      <c r="AU128" s="33"/>
      <c r="AV128" s="264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411"/>
      <c r="BM128" s="33"/>
      <c r="BN128" s="33"/>
    </row>
    <row r="129" spans="1:66" ht="20.25" x14ac:dyDescent="0.25">
      <c r="A129" s="34"/>
      <c r="B129" s="34"/>
      <c r="C129" s="52"/>
      <c r="D129" s="1580"/>
      <c r="E129" s="1581"/>
      <c r="F129" s="52"/>
      <c r="G129" s="52"/>
      <c r="H129" s="1607"/>
      <c r="I129" s="1608"/>
      <c r="J129" s="1608"/>
      <c r="K129" s="1608"/>
      <c r="L129" s="1608"/>
      <c r="M129" s="1608"/>
      <c r="N129" s="1608"/>
      <c r="O129" s="1608"/>
      <c r="P129" s="1609"/>
      <c r="Q129" s="72"/>
      <c r="R129" s="379"/>
      <c r="S129" s="379"/>
      <c r="T129" s="81" t="s">
        <v>172</v>
      </c>
      <c r="U129" s="81" t="s">
        <v>172</v>
      </c>
      <c r="V129" s="384"/>
      <c r="W129" s="1584" t="s">
        <v>242</v>
      </c>
      <c r="X129" s="1585"/>
      <c r="Y129" s="1585"/>
      <c r="Z129" s="1585"/>
      <c r="AA129" s="1585"/>
      <c r="AB129" s="1585"/>
      <c r="AC129" s="1585"/>
      <c r="AD129" s="1585"/>
      <c r="AE129" s="1585"/>
      <c r="AF129" s="1586"/>
      <c r="AI129" s="254"/>
      <c r="AJ129" s="412"/>
      <c r="AK129" s="34"/>
      <c r="AL129" s="134"/>
      <c r="AM129" s="134"/>
      <c r="AN129" s="34"/>
      <c r="AO129" s="34"/>
      <c r="AP129" s="33"/>
      <c r="AQ129" s="34"/>
      <c r="AR129" s="413" t="s">
        <v>251</v>
      </c>
      <c r="AS129" s="248"/>
      <c r="AT129" s="33"/>
      <c r="AU129" s="33"/>
      <c r="AV129" s="264"/>
      <c r="AW129" s="254"/>
      <c r="AX129" s="254"/>
      <c r="AY129" s="254"/>
      <c r="AZ129" s="254"/>
      <c r="BA129" s="254"/>
      <c r="BB129" s="254"/>
      <c r="BC129" s="33"/>
      <c r="BD129" s="33"/>
      <c r="BE129" s="33"/>
      <c r="BF129" s="33"/>
      <c r="BG129" s="33"/>
      <c r="BH129" s="414"/>
      <c r="BI129" s="415"/>
      <c r="BJ129" s="75"/>
      <c r="BK129" s="77"/>
      <c r="BL129" s="411"/>
      <c r="BM129" s="33"/>
      <c r="BN129" s="33"/>
    </row>
    <row r="130" spans="1:66" ht="16.5" thickBot="1" x14ac:dyDescent="0.3">
      <c r="A130" s="34"/>
      <c r="B130" s="34"/>
      <c r="C130" s="52"/>
      <c r="D130" s="1582"/>
      <c r="E130" s="1583"/>
      <c r="F130" s="52"/>
      <c r="G130" s="52"/>
      <c r="H130" s="1607"/>
      <c r="I130" s="1608"/>
      <c r="J130" s="1608"/>
      <c r="K130" s="1608"/>
      <c r="L130" s="1608"/>
      <c r="M130" s="1608"/>
      <c r="N130" s="1608"/>
      <c r="O130" s="1608"/>
      <c r="P130" s="1609"/>
      <c r="Q130" s="72"/>
      <c r="R130" s="379"/>
      <c r="S130" s="379"/>
      <c r="T130" s="81" t="s">
        <v>172</v>
      </c>
      <c r="U130" s="81" t="s">
        <v>172</v>
      </c>
      <c r="V130" s="34"/>
      <c r="W130" s="1587"/>
      <c r="X130" s="1588"/>
      <c r="Y130" s="1588"/>
      <c r="Z130" s="1588"/>
      <c r="AA130" s="1588"/>
      <c r="AB130" s="1588"/>
      <c r="AC130" s="1588"/>
      <c r="AD130" s="1588"/>
      <c r="AE130" s="1588"/>
      <c r="AF130" s="1589"/>
      <c r="AH130" s="416"/>
      <c r="AI130" s="416"/>
      <c r="AO130" s="33"/>
      <c r="AP130" s="33"/>
      <c r="AQ130" s="34"/>
      <c r="AR130" s="82" t="s">
        <v>173</v>
      </c>
      <c r="AS130" s="248"/>
      <c r="AT130" s="33"/>
      <c r="AU130" s="33"/>
      <c r="AV130" s="34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411"/>
      <c r="BM130" s="33"/>
      <c r="BN130" s="33"/>
    </row>
    <row r="131" spans="1:66" ht="15.75" x14ac:dyDescent="0.25">
      <c r="A131" s="34"/>
      <c r="B131" s="34"/>
      <c r="C131" s="52"/>
      <c r="D131" s="52"/>
      <c r="E131" s="52"/>
      <c r="F131" s="52"/>
      <c r="G131" s="52"/>
      <c r="H131" s="1607"/>
      <c r="I131" s="1608"/>
      <c r="J131" s="1608"/>
      <c r="K131" s="1608"/>
      <c r="L131" s="1608"/>
      <c r="M131" s="1608"/>
      <c r="N131" s="1608"/>
      <c r="O131" s="1608"/>
      <c r="P131" s="1609"/>
      <c r="Q131" s="72"/>
      <c r="R131" s="379"/>
      <c r="S131" s="379"/>
      <c r="T131" s="1593" t="s">
        <v>252</v>
      </c>
      <c r="U131" s="1593"/>
      <c r="V131" s="34"/>
      <c r="W131" s="1587"/>
      <c r="X131" s="1588"/>
      <c r="Y131" s="1588"/>
      <c r="Z131" s="1588"/>
      <c r="AA131" s="1588"/>
      <c r="AB131" s="1588"/>
      <c r="AC131" s="1588"/>
      <c r="AD131" s="1588"/>
      <c r="AE131" s="1588"/>
      <c r="AF131" s="1589"/>
      <c r="AH131" s="416"/>
      <c r="AI131" s="416"/>
      <c r="AO131" s="33"/>
      <c r="AP131" s="33"/>
      <c r="AQ131" s="33"/>
      <c r="AR131" s="82" t="s">
        <v>173</v>
      </c>
      <c r="AS131" s="248"/>
      <c r="AT131" s="33"/>
      <c r="AU131" s="33"/>
      <c r="AV131" s="34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411"/>
      <c r="BM131" s="33"/>
      <c r="BN131" s="33"/>
    </row>
    <row r="132" spans="1:66" ht="15.75" x14ac:dyDescent="0.25">
      <c r="A132" s="34"/>
      <c r="B132" s="34"/>
      <c r="C132" s="52"/>
      <c r="D132" s="52"/>
      <c r="E132" s="52"/>
      <c r="F132" s="52"/>
      <c r="G132" s="52"/>
      <c r="H132" s="1607"/>
      <c r="I132" s="1608"/>
      <c r="J132" s="1608"/>
      <c r="K132" s="1608"/>
      <c r="L132" s="1608"/>
      <c r="M132" s="1608"/>
      <c r="N132" s="1608"/>
      <c r="O132" s="1608"/>
      <c r="P132" s="1609"/>
      <c r="Q132" s="72"/>
      <c r="R132" s="379"/>
      <c r="S132" s="379"/>
      <c r="T132" s="379"/>
      <c r="U132" s="34"/>
      <c r="V132" s="34"/>
      <c r="W132" s="1587"/>
      <c r="X132" s="1588"/>
      <c r="Y132" s="1588"/>
      <c r="Z132" s="1588"/>
      <c r="AA132" s="1588"/>
      <c r="AB132" s="1588"/>
      <c r="AC132" s="1588"/>
      <c r="AD132" s="1588"/>
      <c r="AE132" s="1588"/>
      <c r="AF132" s="1589"/>
      <c r="AG132" s="34"/>
      <c r="AH132" s="33"/>
      <c r="AI132" s="33"/>
      <c r="AO132" s="52"/>
      <c r="AP132" s="34"/>
      <c r="AQ132" s="33"/>
      <c r="AR132" s="82" t="s">
        <v>173</v>
      </c>
      <c r="AS132" s="248"/>
      <c r="AT132" s="33"/>
      <c r="AU132" s="33"/>
      <c r="AV132" s="72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</row>
    <row r="133" spans="1:66" ht="15.75" thickBot="1" x14ac:dyDescent="0.3">
      <c r="A133" s="34"/>
      <c r="B133" s="34"/>
      <c r="C133" s="52"/>
      <c r="D133" s="52"/>
      <c r="E133" s="53"/>
      <c r="F133" s="52"/>
      <c r="G133" s="52"/>
      <c r="H133" s="1607"/>
      <c r="I133" s="1608"/>
      <c r="J133" s="1608"/>
      <c r="K133" s="1608"/>
      <c r="L133" s="1608"/>
      <c r="M133" s="1608"/>
      <c r="N133" s="1608"/>
      <c r="O133" s="1608"/>
      <c r="P133" s="1609"/>
      <c r="Q133" s="72"/>
      <c r="R133" s="379"/>
      <c r="S133" s="379"/>
      <c r="T133" s="379"/>
      <c r="U133" s="34"/>
      <c r="V133" s="34"/>
      <c r="W133" s="1587"/>
      <c r="X133" s="1588"/>
      <c r="Y133" s="1588"/>
      <c r="Z133" s="1588"/>
      <c r="AA133" s="1588"/>
      <c r="AB133" s="1588"/>
      <c r="AC133" s="1588"/>
      <c r="AD133" s="1588"/>
      <c r="AE133" s="1588"/>
      <c r="AF133" s="1589"/>
      <c r="AH133" s="417"/>
      <c r="AI133" s="380"/>
      <c r="AO133" s="272"/>
      <c r="AP133" s="254"/>
      <c r="AQ133" s="254"/>
      <c r="AR133" s="33"/>
      <c r="AS133" s="248"/>
      <c r="AT133" s="33"/>
      <c r="AU133" s="33"/>
      <c r="AV133" s="72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</row>
    <row r="134" spans="1:66" ht="18.75" x14ac:dyDescent="0.25">
      <c r="A134" s="34"/>
      <c r="B134" s="34"/>
      <c r="C134" s="52"/>
      <c r="D134" s="52"/>
      <c r="E134" s="53"/>
      <c r="F134" s="52"/>
      <c r="G134" s="52"/>
      <c r="H134" s="1607"/>
      <c r="I134" s="1608"/>
      <c r="J134" s="1608"/>
      <c r="K134" s="1608"/>
      <c r="L134" s="1608"/>
      <c r="M134" s="1608"/>
      <c r="N134" s="1608"/>
      <c r="O134" s="1608"/>
      <c r="P134" s="1609"/>
      <c r="Q134" s="72"/>
      <c r="R134" s="379"/>
      <c r="S134" s="379"/>
      <c r="T134" s="379"/>
      <c r="U134" s="34"/>
      <c r="V134" s="34"/>
      <c r="W134" s="1587"/>
      <c r="X134" s="1588"/>
      <c r="Y134" s="1588"/>
      <c r="Z134" s="1588"/>
      <c r="AA134" s="1588"/>
      <c r="AB134" s="1588"/>
      <c r="AC134" s="1588"/>
      <c r="AD134" s="1588"/>
      <c r="AE134" s="1588"/>
      <c r="AF134" s="1589"/>
      <c r="AG134" s="34"/>
      <c r="AH134" s="1594" t="s">
        <v>180</v>
      </c>
      <c r="AI134" s="34"/>
      <c r="AO134" s="254"/>
      <c r="AP134" s="363"/>
      <c r="AQ134" s="418"/>
      <c r="AR134" s="33"/>
      <c r="AS134" s="248"/>
      <c r="AT134" s="33"/>
      <c r="AU134" s="33"/>
      <c r="AV134" s="72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</row>
    <row r="135" spans="1:66" ht="19.5" thickBot="1" x14ac:dyDescent="0.3">
      <c r="A135" s="34"/>
      <c r="B135" s="34"/>
      <c r="C135" s="52"/>
      <c r="D135" s="52"/>
      <c r="E135" s="53"/>
      <c r="F135" s="52"/>
      <c r="G135" s="52"/>
      <c r="H135" s="1607"/>
      <c r="I135" s="1608"/>
      <c r="J135" s="1608"/>
      <c r="K135" s="1608"/>
      <c r="L135" s="1608"/>
      <c r="M135" s="1608"/>
      <c r="N135" s="1608"/>
      <c r="O135" s="1608"/>
      <c r="P135" s="1609"/>
      <c r="Q135" s="72"/>
      <c r="R135" s="379"/>
      <c r="S135" s="379"/>
      <c r="T135" s="379"/>
      <c r="U135" s="34"/>
      <c r="V135" s="34"/>
      <c r="W135" s="1587"/>
      <c r="X135" s="1588"/>
      <c r="Y135" s="1588"/>
      <c r="Z135" s="1588"/>
      <c r="AA135" s="1588"/>
      <c r="AB135" s="1588"/>
      <c r="AC135" s="1588"/>
      <c r="AD135" s="1588"/>
      <c r="AE135" s="1588"/>
      <c r="AF135" s="1589"/>
      <c r="AH135" s="1595"/>
      <c r="AI135" s="33"/>
      <c r="AO135" s="416"/>
      <c r="AP135" s="419"/>
      <c r="AQ135" s="363"/>
      <c r="AR135" s="33"/>
      <c r="AS135" s="248"/>
      <c r="AT135" s="33"/>
      <c r="AU135" s="33"/>
      <c r="AV135" s="72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</row>
    <row r="136" spans="1:66" ht="18.75" x14ac:dyDescent="0.25">
      <c r="A136" s="34"/>
      <c r="B136" s="34"/>
      <c r="C136" s="52"/>
      <c r="D136" s="52"/>
      <c r="E136" s="53"/>
      <c r="F136" s="52"/>
      <c r="G136" s="52"/>
      <c r="H136" s="1607"/>
      <c r="I136" s="1608"/>
      <c r="J136" s="1608"/>
      <c r="K136" s="1608"/>
      <c r="L136" s="1608"/>
      <c r="M136" s="1608"/>
      <c r="N136" s="1608"/>
      <c r="O136" s="1608"/>
      <c r="P136" s="1609"/>
      <c r="Q136" s="72"/>
      <c r="R136" s="379"/>
      <c r="S136" s="379"/>
      <c r="T136" s="379"/>
      <c r="U136" s="34"/>
      <c r="V136" s="34"/>
      <c r="W136" s="1587"/>
      <c r="X136" s="1588"/>
      <c r="Y136" s="1588"/>
      <c r="Z136" s="1588"/>
      <c r="AA136" s="1588"/>
      <c r="AB136" s="1588"/>
      <c r="AC136" s="1588"/>
      <c r="AD136" s="1588"/>
      <c r="AE136" s="1588"/>
      <c r="AF136" s="1589"/>
      <c r="AG136" s="34"/>
      <c r="AH136" s="34"/>
      <c r="AI136" s="33"/>
      <c r="AO136" s="416"/>
      <c r="AP136" s="419"/>
      <c r="AQ136" s="420"/>
      <c r="AR136" s="33"/>
      <c r="AS136" s="248"/>
      <c r="AT136" s="33"/>
      <c r="AU136" s="33"/>
      <c r="AV136" s="72"/>
      <c r="AW136" s="254"/>
      <c r="AX136" s="254"/>
      <c r="AY136" s="254"/>
      <c r="AZ136" s="254"/>
      <c r="BA136" s="254"/>
      <c r="BB136" s="254"/>
      <c r="BC136" s="254"/>
      <c r="BD136" s="33"/>
      <c r="BE136" s="33"/>
      <c r="BF136" s="75"/>
      <c r="BG136" s="77"/>
      <c r="BH136" s="77"/>
      <c r="BI136" s="33"/>
      <c r="BJ136" s="33"/>
      <c r="BK136" s="34"/>
      <c r="BL136" s="33"/>
      <c r="BM136" s="33"/>
      <c r="BN136" s="33"/>
    </row>
    <row r="137" spans="1:66" ht="18.75" x14ac:dyDescent="0.25">
      <c r="A137" s="34"/>
      <c r="B137" s="34"/>
      <c r="C137" s="52"/>
      <c r="D137" s="52"/>
      <c r="E137" s="53"/>
      <c r="F137" s="52"/>
      <c r="G137" s="52"/>
      <c r="H137" s="1607"/>
      <c r="I137" s="1608"/>
      <c r="J137" s="1608"/>
      <c r="K137" s="1608"/>
      <c r="L137" s="1608"/>
      <c r="M137" s="1608"/>
      <c r="N137" s="1608"/>
      <c r="O137" s="1608"/>
      <c r="P137" s="1609"/>
      <c r="Q137" s="72"/>
      <c r="R137" s="379"/>
      <c r="S137" s="379"/>
      <c r="T137" s="379"/>
      <c r="U137" s="72"/>
      <c r="V137" s="72"/>
      <c r="W137" s="1587"/>
      <c r="X137" s="1588"/>
      <c r="Y137" s="1588"/>
      <c r="Z137" s="1588"/>
      <c r="AA137" s="1588"/>
      <c r="AB137" s="1588"/>
      <c r="AC137" s="1588"/>
      <c r="AD137" s="1588"/>
      <c r="AE137" s="1588"/>
      <c r="AF137" s="1589"/>
      <c r="AH137" s="34"/>
      <c r="AI137" s="34"/>
      <c r="AJ137" s="34"/>
      <c r="AK137" s="34"/>
      <c r="AL137" s="254"/>
      <c r="AM137" s="254"/>
      <c r="AN137" s="254"/>
      <c r="AO137" s="254"/>
      <c r="AP137" s="420"/>
      <c r="AQ137" s="75"/>
      <c r="AR137" s="33"/>
      <c r="AS137" s="248"/>
      <c r="AT137" s="33"/>
      <c r="AU137" s="33"/>
      <c r="AV137" s="72"/>
      <c r="AW137" s="254"/>
      <c r="AX137" s="254"/>
      <c r="AY137" s="254"/>
      <c r="AZ137" s="254"/>
      <c r="BA137" s="254"/>
      <c r="BB137" s="254"/>
      <c r="BC137" s="254"/>
      <c r="BD137" s="33"/>
      <c r="BE137" s="33"/>
      <c r="BF137" s="34"/>
      <c r="BG137" s="34"/>
      <c r="BH137" s="34"/>
      <c r="BI137" s="33"/>
      <c r="BJ137" s="33"/>
      <c r="BK137" s="34"/>
      <c r="BL137" s="33"/>
      <c r="BM137" s="33"/>
      <c r="BN137" s="33"/>
    </row>
    <row r="138" spans="1:66" x14ac:dyDescent="0.25">
      <c r="A138" s="34"/>
      <c r="B138" s="34"/>
      <c r="C138" s="52"/>
      <c r="D138" s="52"/>
      <c r="E138" s="53"/>
      <c r="F138" s="52"/>
      <c r="G138" s="52"/>
      <c r="H138" s="1607"/>
      <c r="I138" s="1608"/>
      <c r="J138" s="1608"/>
      <c r="K138" s="1608"/>
      <c r="L138" s="1608"/>
      <c r="M138" s="1608"/>
      <c r="N138" s="1608"/>
      <c r="O138" s="1608"/>
      <c r="P138" s="1609"/>
      <c r="Q138" s="72"/>
      <c r="R138" s="379"/>
      <c r="S138" s="379"/>
      <c r="T138" s="379"/>
      <c r="U138" s="72"/>
      <c r="V138" s="72"/>
      <c r="W138" s="1587"/>
      <c r="X138" s="1588"/>
      <c r="Y138" s="1588"/>
      <c r="Z138" s="1588"/>
      <c r="AA138" s="1588"/>
      <c r="AB138" s="1588"/>
      <c r="AC138" s="1588"/>
      <c r="AD138" s="1588"/>
      <c r="AE138" s="1588"/>
      <c r="AF138" s="1589"/>
      <c r="AG138" s="34"/>
      <c r="AH138" s="47"/>
      <c r="AI138" s="47"/>
      <c r="AJ138" s="47"/>
      <c r="AK138" s="47"/>
      <c r="AL138" s="47"/>
      <c r="AM138" s="47"/>
      <c r="AN138" s="47"/>
      <c r="AO138" s="34"/>
      <c r="AP138" s="34"/>
      <c r="AQ138" s="34"/>
      <c r="AR138" s="47"/>
      <c r="AS138" s="248"/>
      <c r="AT138" s="33"/>
      <c r="AU138" s="33"/>
      <c r="AV138" s="72"/>
      <c r="AW138" s="254"/>
      <c r="AX138" s="254"/>
      <c r="AY138" s="254"/>
      <c r="AZ138" s="254"/>
      <c r="BA138" s="254"/>
      <c r="BB138" s="254"/>
      <c r="BC138" s="254"/>
      <c r="BD138" s="33"/>
      <c r="BE138" s="33"/>
      <c r="BF138" s="77"/>
      <c r="BG138" s="77"/>
      <c r="BH138" s="77"/>
      <c r="BI138" s="33"/>
      <c r="BJ138" s="33"/>
      <c r="BK138" s="34"/>
      <c r="BL138" s="33"/>
      <c r="BM138" s="33"/>
      <c r="BN138" s="33"/>
    </row>
    <row r="139" spans="1:66" ht="15.75" thickBot="1" x14ac:dyDescent="0.3">
      <c r="A139" s="34"/>
      <c r="B139" s="34"/>
      <c r="C139" s="52"/>
      <c r="D139" s="52"/>
      <c r="E139" s="53"/>
      <c r="F139" s="52"/>
      <c r="G139" s="52"/>
      <c r="H139" s="1607"/>
      <c r="I139" s="1608"/>
      <c r="J139" s="1608"/>
      <c r="K139" s="1608"/>
      <c r="L139" s="1608"/>
      <c r="M139" s="1608"/>
      <c r="N139" s="1608"/>
      <c r="O139" s="1608"/>
      <c r="P139" s="1609"/>
      <c r="Q139" s="72"/>
      <c r="R139" s="379"/>
      <c r="S139" s="379"/>
      <c r="T139" s="379"/>
      <c r="U139" s="72"/>
      <c r="V139" s="72"/>
      <c r="W139" s="1587"/>
      <c r="X139" s="1588"/>
      <c r="Y139" s="1588"/>
      <c r="Z139" s="1588"/>
      <c r="AA139" s="1588"/>
      <c r="AB139" s="1588"/>
      <c r="AC139" s="1588"/>
      <c r="AD139" s="1588"/>
      <c r="AE139" s="1588"/>
      <c r="AF139" s="1589"/>
      <c r="AG139" s="152"/>
      <c r="AH139" s="152"/>
      <c r="AI139" s="152"/>
      <c r="AJ139" s="47"/>
      <c r="AK139" s="47"/>
      <c r="AL139" s="47"/>
      <c r="AM139" s="47"/>
      <c r="AN139" s="47"/>
      <c r="AO139" s="47"/>
      <c r="AP139" s="47"/>
      <c r="AQ139" s="47"/>
      <c r="AR139" s="47"/>
      <c r="AS139" s="248"/>
      <c r="AT139" s="33"/>
      <c r="AU139" s="33"/>
      <c r="AV139" s="33"/>
      <c r="AW139" s="33"/>
      <c r="AX139" s="33"/>
      <c r="AY139" s="72"/>
      <c r="AZ139" s="72"/>
      <c r="BA139" s="72"/>
      <c r="BB139" s="47"/>
      <c r="BC139" s="77"/>
      <c r="BD139" s="33"/>
      <c r="BE139" s="33"/>
      <c r="BF139" s="77"/>
      <c r="BG139" s="77"/>
      <c r="BH139" s="77"/>
      <c r="BI139" s="33"/>
      <c r="BJ139" s="33"/>
      <c r="BK139" s="34"/>
      <c r="BL139" s="33"/>
      <c r="BM139" s="33"/>
      <c r="BN139" s="33"/>
    </row>
    <row r="140" spans="1:66" x14ac:dyDescent="0.25">
      <c r="A140" s="34"/>
      <c r="B140" s="34"/>
      <c r="C140" s="52"/>
      <c r="D140" s="52"/>
      <c r="E140" s="52"/>
      <c r="F140" s="1596" t="s">
        <v>253</v>
      </c>
      <c r="G140" s="1597"/>
      <c r="H140" s="1607"/>
      <c r="I140" s="1608"/>
      <c r="J140" s="1608"/>
      <c r="K140" s="1608"/>
      <c r="L140" s="1608"/>
      <c r="M140" s="1608"/>
      <c r="N140" s="1608"/>
      <c r="O140" s="1608"/>
      <c r="P140" s="1609"/>
      <c r="Q140" s="72"/>
      <c r="R140" s="379"/>
      <c r="S140" s="379"/>
      <c r="T140" s="379"/>
      <c r="U140" s="384"/>
      <c r="V140" s="384"/>
      <c r="W140" s="1587"/>
      <c r="X140" s="1588"/>
      <c r="Y140" s="1588"/>
      <c r="Z140" s="1588"/>
      <c r="AA140" s="1588"/>
      <c r="AB140" s="1588"/>
      <c r="AC140" s="1588"/>
      <c r="AD140" s="1588"/>
      <c r="AE140" s="1588"/>
      <c r="AF140" s="1589"/>
      <c r="AG140" s="161"/>
      <c r="AH140" s="152"/>
      <c r="AI140" s="152"/>
      <c r="AJ140" s="152"/>
      <c r="AK140" s="152"/>
      <c r="AL140" s="152"/>
      <c r="AM140" s="47"/>
      <c r="AN140" s="47"/>
      <c r="AO140" s="47"/>
      <c r="AP140" s="47"/>
      <c r="AQ140" s="47"/>
      <c r="AR140" s="47"/>
      <c r="AS140" s="248"/>
      <c r="AT140" s="33"/>
      <c r="AU140" s="33"/>
      <c r="AV140" s="33"/>
      <c r="AW140" s="33"/>
      <c r="AX140" s="33"/>
      <c r="AY140" s="47"/>
      <c r="AZ140" s="47"/>
      <c r="BA140" s="47"/>
      <c r="BB140" s="47"/>
      <c r="BC140" s="47"/>
      <c r="BD140" s="33"/>
      <c r="BE140" s="33"/>
      <c r="BF140" s="77"/>
      <c r="BG140" s="77"/>
      <c r="BH140" s="77"/>
      <c r="BI140" s="33"/>
      <c r="BJ140" s="33"/>
      <c r="BK140" s="77"/>
      <c r="BL140" s="33"/>
      <c r="BM140" s="33"/>
      <c r="BN140" s="33"/>
    </row>
    <row r="141" spans="1:66" ht="16.5" thickBot="1" x14ac:dyDescent="0.3">
      <c r="A141" s="34"/>
      <c r="B141" s="34"/>
      <c r="C141" s="52"/>
      <c r="D141" s="52"/>
      <c r="E141" s="52"/>
      <c r="F141" s="1598"/>
      <c r="G141" s="1599"/>
      <c r="H141" s="1610"/>
      <c r="I141" s="1611"/>
      <c r="J141" s="1611"/>
      <c r="K141" s="1611"/>
      <c r="L141" s="1611"/>
      <c r="M141" s="1611"/>
      <c r="N141" s="1611"/>
      <c r="O141" s="1611"/>
      <c r="P141" s="1612"/>
      <c r="Q141" s="72"/>
      <c r="R141" s="379"/>
      <c r="S141" s="379"/>
      <c r="T141" s="379"/>
      <c r="U141" s="384"/>
      <c r="V141" s="384"/>
      <c r="W141" s="1587"/>
      <c r="X141" s="1588"/>
      <c r="Y141" s="1588"/>
      <c r="Z141" s="1588"/>
      <c r="AA141" s="1588"/>
      <c r="AB141" s="1588"/>
      <c r="AC141" s="1588"/>
      <c r="AD141" s="1588"/>
      <c r="AE141" s="1588"/>
      <c r="AF141" s="1589"/>
      <c r="AG141" s="152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38"/>
      <c r="AT141" s="33"/>
      <c r="AU141" s="33"/>
      <c r="AV141" s="33"/>
      <c r="AW141" s="33"/>
      <c r="AX141" s="33"/>
      <c r="AY141" s="47"/>
      <c r="AZ141" s="47"/>
      <c r="BA141" s="47"/>
      <c r="BB141" s="47"/>
      <c r="BC141" s="47"/>
      <c r="BD141" s="33"/>
      <c r="BE141" s="33"/>
      <c r="BF141" s="77"/>
      <c r="BG141" s="77"/>
      <c r="BH141" s="77"/>
      <c r="BI141" s="33"/>
      <c r="BJ141" s="33"/>
      <c r="BK141" s="77"/>
      <c r="BL141" s="47"/>
      <c r="BM141" s="168"/>
      <c r="BN141" s="33"/>
    </row>
    <row r="142" spans="1:66" ht="15.75" thickBot="1" x14ac:dyDescent="0.3">
      <c r="A142" s="34"/>
      <c r="B142" s="34"/>
      <c r="C142" s="52"/>
      <c r="D142" s="52"/>
      <c r="E142" s="52"/>
      <c r="F142" s="1598"/>
      <c r="G142" s="1599"/>
      <c r="H142" s="421"/>
      <c r="I142" s="52"/>
      <c r="J142" s="52"/>
      <c r="K142" s="52"/>
      <c r="L142" s="72"/>
      <c r="M142" s="72"/>
      <c r="N142" s="72"/>
      <c r="O142" s="72"/>
      <c r="P142" s="72"/>
      <c r="Q142" s="72"/>
      <c r="R142" s="72"/>
      <c r="S142" s="72"/>
      <c r="T142" s="72"/>
      <c r="U142" s="384"/>
      <c r="V142" s="384"/>
      <c r="W142" s="1587"/>
      <c r="X142" s="1588"/>
      <c r="Y142" s="1588"/>
      <c r="Z142" s="1588"/>
      <c r="AA142" s="1588"/>
      <c r="AB142" s="1588"/>
      <c r="AC142" s="1588"/>
      <c r="AD142" s="1588"/>
      <c r="AE142" s="1588"/>
      <c r="AF142" s="1589"/>
      <c r="AG142" s="161"/>
      <c r="AH142" s="422"/>
      <c r="AI142" s="422"/>
      <c r="AJ142" s="422"/>
      <c r="AK142" s="422"/>
      <c r="AL142" s="422"/>
      <c r="AM142" s="422"/>
      <c r="AN142" s="422"/>
      <c r="AO142" s="422" t="s">
        <v>254</v>
      </c>
      <c r="AP142" s="422"/>
      <c r="AQ142" s="422"/>
      <c r="AR142" s="422"/>
      <c r="AS142" s="138"/>
      <c r="AT142" s="33"/>
      <c r="AU142" s="33"/>
      <c r="AV142" s="33"/>
      <c r="AW142" s="33"/>
      <c r="AX142" s="33"/>
      <c r="AY142" s="47"/>
      <c r="AZ142" s="47"/>
      <c r="BA142" s="47"/>
      <c r="BB142" s="47"/>
      <c r="BC142" s="47"/>
      <c r="BD142" s="33"/>
      <c r="BE142" s="33"/>
      <c r="BF142" s="77"/>
      <c r="BG142" s="77"/>
      <c r="BH142" s="77"/>
      <c r="BI142" s="33"/>
      <c r="BJ142" s="33"/>
      <c r="BK142" s="77"/>
      <c r="BL142" s="47"/>
      <c r="BM142" s="47"/>
      <c r="BN142" s="33"/>
    </row>
    <row r="143" spans="1:66" ht="15.75" x14ac:dyDescent="0.25">
      <c r="A143" s="34"/>
      <c r="B143" s="34"/>
      <c r="C143" s="52"/>
      <c r="D143" s="52"/>
      <c r="E143" s="52"/>
      <c r="F143" s="1598"/>
      <c r="G143" s="1599"/>
      <c r="H143" s="52"/>
      <c r="I143" s="52"/>
      <c r="J143" s="52"/>
      <c r="K143" s="52"/>
      <c r="L143" s="72"/>
      <c r="M143" s="152"/>
      <c r="N143" s="152"/>
      <c r="O143" s="152"/>
      <c r="P143" s="152"/>
      <c r="Q143" s="152"/>
      <c r="R143" s="152"/>
      <c r="S143" s="152"/>
      <c r="T143" s="152"/>
      <c r="U143" s="199"/>
      <c r="V143" s="423"/>
      <c r="W143" s="1587"/>
      <c r="X143" s="1588"/>
      <c r="Y143" s="1588"/>
      <c r="Z143" s="1588"/>
      <c r="AA143" s="1588"/>
      <c r="AB143" s="1588"/>
      <c r="AC143" s="1588"/>
      <c r="AD143" s="1588"/>
      <c r="AE143" s="1588"/>
      <c r="AF143" s="1589"/>
      <c r="AG143" s="161"/>
      <c r="AH143" s="422"/>
      <c r="AI143" s="422"/>
      <c r="AJ143" s="422"/>
      <c r="AK143" s="422"/>
      <c r="AL143" s="424" t="s">
        <v>170</v>
      </c>
      <c r="AM143" s="148" t="s">
        <v>170</v>
      </c>
      <c r="AN143" s="1602" t="s">
        <v>180</v>
      </c>
      <c r="AO143" s="424" t="s">
        <v>170</v>
      </c>
      <c r="AP143" s="148" t="s">
        <v>170</v>
      </c>
      <c r="AQ143" s="422"/>
      <c r="AR143" s="422"/>
      <c r="AS143" s="138"/>
      <c r="AT143" s="33"/>
      <c r="AU143" s="47"/>
      <c r="AV143" s="47"/>
      <c r="AW143" s="47"/>
      <c r="AX143" s="121"/>
      <c r="AY143" s="47"/>
      <c r="AZ143" s="47"/>
      <c r="BA143" s="121"/>
      <c r="BB143" s="77"/>
      <c r="BC143" s="47"/>
      <c r="BD143" s="47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</row>
    <row r="144" spans="1:66" ht="16.5" thickBot="1" x14ac:dyDescent="0.3">
      <c r="A144" s="34"/>
      <c r="B144" s="34"/>
      <c r="C144" s="52"/>
      <c r="D144" s="52"/>
      <c r="E144" s="52"/>
      <c r="F144" s="1598"/>
      <c r="G144" s="1599"/>
      <c r="H144" s="52"/>
      <c r="I144" s="52"/>
      <c r="J144" s="52"/>
      <c r="K144" s="52"/>
      <c r="L144" s="72"/>
      <c r="M144" s="152"/>
      <c r="N144" s="152"/>
      <c r="O144" s="152"/>
      <c r="P144" s="152"/>
      <c r="Q144" s="152"/>
      <c r="R144" s="152"/>
      <c r="S144" s="152"/>
      <c r="T144" s="72"/>
      <c r="U144" s="384"/>
      <c r="V144" s="384"/>
      <c r="W144" s="1590"/>
      <c r="X144" s="1591"/>
      <c r="Y144" s="1591"/>
      <c r="Z144" s="1591"/>
      <c r="AA144" s="1591"/>
      <c r="AB144" s="1591"/>
      <c r="AC144" s="1591"/>
      <c r="AD144" s="1591"/>
      <c r="AE144" s="1591"/>
      <c r="AF144" s="1592"/>
      <c r="AG144" s="161"/>
      <c r="AH144" s="425"/>
      <c r="AI144" s="425"/>
      <c r="AJ144" s="425"/>
      <c r="AK144" s="425"/>
      <c r="AL144" s="424" t="s">
        <v>170</v>
      </c>
      <c r="AM144" s="148" t="s">
        <v>170</v>
      </c>
      <c r="AN144" s="1603"/>
      <c r="AO144" s="424" t="s">
        <v>170</v>
      </c>
      <c r="AP144" s="148" t="s">
        <v>170</v>
      </c>
      <c r="AQ144" s="425"/>
      <c r="AR144" s="425"/>
      <c r="AS144" s="138"/>
      <c r="AT144" s="33"/>
      <c r="AU144" s="115"/>
      <c r="AV144" s="33"/>
      <c r="AW144" s="33"/>
      <c r="AX144" s="33"/>
      <c r="AY144" s="47"/>
      <c r="AZ144" s="47"/>
      <c r="BA144" s="121"/>
      <c r="BB144" s="77"/>
      <c r="BC144" s="47"/>
      <c r="BD144" s="47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</row>
    <row r="145" spans="1:66" ht="18.75" x14ac:dyDescent="0.25">
      <c r="A145" s="34"/>
      <c r="B145" s="34"/>
      <c r="C145" s="52"/>
      <c r="D145" s="52"/>
      <c r="E145" s="52"/>
      <c r="F145" s="1598"/>
      <c r="G145" s="1599"/>
      <c r="H145" s="52"/>
      <c r="I145" s="52"/>
      <c r="J145" s="52"/>
      <c r="K145" s="52"/>
      <c r="L145" s="47"/>
      <c r="M145" s="152"/>
      <c r="N145" s="152"/>
      <c r="O145" s="152"/>
      <c r="P145" s="152"/>
      <c r="Q145" s="152"/>
      <c r="R145" s="152"/>
      <c r="S145" s="152"/>
      <c r="T145" s="72"/>
      <c r="U145" s="384"/>
      <c r="V145" s="384"/>
      <c r="W145" s="72"/>
      <c r="X145" s="72"/>
      <c r="Y145" s="72"/>
      <c r="Z145" s="72"/>
      <c r="AA145" s="161"/>
      <c r="AB145" s="72"/>
      <c r="AC145" s="152"/>
      <c r="AD145" s="161"/>
      <c r="AE145" s="161"/>
      <c r="AF145" s="161"/>
      <c r="AG145" s="161"/>
      <c r="AH145" s="363"/>
      <c r="AI145" s="363"/>
      <c r="AJ145" s="363"/>
      <c r="AK145" s="363"/>
      <c r="AL145" s="363"/>
      <c r="AM145" s="363"/>
      <c r="AN145" s="363"/>
      <c r="AO145" s="363"/>
      <c r="AP145" s="363"/>
      <c r="AQ145" s="363"/>
      <c r="AR145" s="363"/>
      <c r="AS145" s="138"/>
      <c r="AT145" s="33"/>
      <c r="AU145" s="115"/>
      <c r="AV145" s="47"/>
      <c r="AW145" s="47"/>
      <c r="AX145" s="33"/>
      <c r="AY145" s="33"/>
      <c r="AZ145" s="47"/>
      <c r="BA145" s="121"/>
      <c r="BB145" s="77"/>
      <c r="BC145" s="47"/>
      <c r="BD145" s="47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</row>
    <row r="146" spans="1:66" ht="16.5" thickBot="1" x14ac:dyDescent="0.3">
      <c r="A146" s="34"/>
      <c r="B146" s="34"/>
      <c r="C146" s="52"/>
      <c r="D146" s="52"/>
      <c r="E146" s="52"/>
      <c r="F146" s="1598"/>
      <c r="G146" s="1599"/>
      <c r="H146" s="52"/>
      <c r="I146" s="52"/>
      <c r="J146" s="52"/>
      <c r="K146" s="52"/>
      <c r="L146" s="426"/>
      <c r="M146" s="426"/>
      <c r="N146" s="427"/>
      <c r="O146" s="427"/>
      <c r="P146" s="427"/>
      <c r="Q146" s="427"/>
      <c r="R146" s="427"/>
      <c r="S146" s="427"/>
      <c r="T146" s="427"/>
      <c r="U146" s="428"/>
      <c r="V146" s="428"/>
      <c r="W146" s="123"/>
      <c r="X146" s="366"/>
      <c r="Y146" s="123"/>
      <c r="Z146" s="33"/>
      <c r="AA146" s="33"/>
      <c r="AB146" s="33"/>
      <c r="AC146" s="33"/>
      <c r="AD146" s="33"/>
      <c r="AE146" s="33"/>
      <c r="AF146" s="161"/>
      <c r="AG146" s="161"/>
      <c r="AH146" s="429"/>
      <c r="AI146" s="429"/>
      <c r="AJ146" s="93" t="s">
        <v>176</v>
      </c>
      <c r="AK146" s="93" t="s">
        <v>176</v>
      </c>
      <c r="AL146" s="93" t="s">
        <v>176</v>
      </c>
      <c r="AM146" s="93" t="s">
        <v>176</v>
      </c>
      <c r="AN146" s="93" t="s">
        <v>176</v>
      </c>
      <c r="AO146" s="93" t="s">
        <v>176</v>
      </c>
      <c r="AP146" s="93" t="s">
        <v>176</v>
      </c>
      <c r="AQ146" s="93" t="s">
        <v>176</v>
      </c>
      <c r="AR146" s="429"/>
      <c r="AS146" s="138"/>
      <c r="AT146" s="33"/>
      <c r="AU146" s="47"/>
      <c r="AV146" s="47"/>
      <c r="AW146" s="47"/>
      <c r="AX146" s="33"/>
      <c r="AY146" s="33"/>
      <c r="AZ146" s="33"/>
      <c r="BA146" s="121"/>
      <c r="BB146" s="77"/>
      <c r="BC146" s="33"/>
      <c r="BD146" s="47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</row>
    <row r="147" spans="1:66" x14ac:dyDescent="0.25">
      <c r="A147" s="34"/>
      <c r="B147" s="34"/>
      <c r="C147" s="52"/>
      <c r="D147" s="52"/>
      <c r="E147" s="52"/>
      <c r="F147" s="1598"/>
      <c r="G147" s="1599"/>
      <c r="H147" s="52"/>
      <c r="I147" s="52"/>
      <c r="J147" s="52"/>
      <c r="K147" s="53"/>
      <c r="L147" s="430"/>
      <c r="M147" s="430"/>
      <c r="N147" s="123"/>
      <c r="O147" s="123"/>
      <c r="P147" s="123"/>
      <c r="Q147" s="123"/>
      <c r="R147" s="123"/>
      <c r="S147" s="123"/>
      <c r="T147" s="431"/>
      <c r="U147" s="432"/>
      <c r="V147" s="432"/>
      <c r="W147" s="433"/>
      <c r="X147" s="430"/>
      <c r="Y147" s="434"/>
      <c r="Z147" s="435"/>
      <c r="AA147" s="435"/>
      <c r="AB147" s="435"/>
      <c r="AC147" s="436"/>
      <c r="AD147" s="436"/>
      <c r="AE147" s="436"/>
      <c r="AF147" s="436"/>
      <c r="AG147" s="436"/>
      <c r="AH147" s="72"/>
      <c r="AI147" s="113"/>
      <c r="AJ147" s="1215" t="s">
        <v>255</v>
      </c>
      <c r="AK147" s="1215"/>
      <c r="AL147" s="1215"/>
      <c r="AM147" s="1215"/>
      <c r="AN147" s="1215"/>
      <c r="AO147" s="1215"/>
      <c r="AP147" s="1215"/>
      <c r="AQ147" s="1215"/>
      <c r="AR147" s="437"/>
      <c r="AS147" s="437"/>
      <c r="AT147" s="437"/>
      <c r="AU147" s="437"/>
      <c r="AV147" s="33"/>
      <c r="AW147" s="33"/>
      <c r="AX147" s="33"/>
      <c r="AY147" s="437"/>
      <c r="AZ147" s="437"/>
      <c r="BA147" s="437"/>
      <c r="BB147" s="33"/>
      <c r="BC147" s="437"/>
      <c r="BD147" s="437"/>
      <c r="BE147" s="437"/>
      <c r="BF147" s="438"/>
      <c r="BG147" s="438"/>
      <c r="BH147" s="438"/>
      <c r="BI147" s="438"/>
      <c r="BJ147" s="438"/>
      <c r="BK147" s="438"/>
      <c r="BL147" s="33"/>
      <c r="BM147" s="33"/>
      <c r="BN147" s="33"/>
    </row>
    <row r="148" spans="1:66" x14ac:dyDescent="0.25">
      <c r="A148" s="34"/>
      <c r="B148" s="34"/>
      <c r="C148" s="52"/>
      <c r="D148" s="52"/>
      <c r="E148" s="52"/>
      <c r="F148" s="1598"/>
      <c r="G148" s="1599"/>
      <c r="H148" s="52"/>
      <c r="I148" s="52"/>
      <c r="J148" s="52"/>
      <c r="K148" s="53"/>
      <c r="L148" s="430"/>
      <c r="M148" s="430"/>
      <c r="N148" s="123"/>
      <c r="O148" s="123"/>
      <c r="P148" s="72"/>
      <c r="Q148" s="72"/>
      <c r="R148" s="384"/>
      <c r="S148" s="384"/>
      <c r="T148" s="72"/>
      <c r="U148" s="72"/>
      <c r="V148" s="72"/>
      <c r="W148" s="72"/>
      <c r="X148" s="47"/>
      <c r="Y148" s="161"/>
      <c r="Z148" s="161"/>
      <c r="AA148" s="72"/>
      <c r="AB148" s="72"/>
      <c r="AC148" s="72"/>
      <c r="AD148" s="72"/>
      <c r="AE148" s="72"/>
      <c r="AF148" s="47"/>
      <c r="AG148" s="161"/>
      <c r="AH148" s="52"/>
      <c r="AI148" s="113"/>
      <c r="AJ148" s="437"/>
      <c r="AK148" s="437"/>
      <c r="AL148" s="439"/>
      <c r="AM148" s="439"/>
      <c r="AN148" s="439"/>
      <c r="AO148" s="439"/>
      <c r="AP148" s="439"/>
      <c r="AQ148" s="437"/>
      <c r="AR148" s="437"/>
      <c r="AS148" s="437"/>
      <c r="AT148" s="437"/>
      <c r="AU148" s="437"/>
      <c r="AV148" s="437"/>
      <c r="AW148" s="437"/>
      <c r="AX148" s="437"/>
      <c r="AY148" s="437"/>
      <c r="AZ148" s="437"/>
      <c r="BA148" s="437"/>
      <c r="BB148" s="437"/>
      <c r="BC148" s="437"/>
      <c r="BD148" s="437"/>
      <c r="BE148" s="437"/>
      <c r="BF148" s="437"/>
      <c r="BG148" s="437"/>
      <c r="BH148" s="437"/>
      <c r="BI148" s="437"/>
      <c r="BJ148" s="437"/>
      <c r="BK148" s="437"/>
      <c r="BL148" s="33"/>
      <c r="BM148" s="33"/>
      <c r="BN148" s="33"/>
    </row>
    <row r="149" spans="1:66" ht="15.75" thickBot="1" x14ac:dyDescent="0.3">
      <c r="A149" s="34"/>
      <c r="B149" s="34"/>
      <c r="C149" s="52"/>
      <c r="D149" s="52"/>
      <c r="E149" s="52"/>
      <c r="F149" s="1600"/>
      <c r="G149" s="1601"/>
      <c r="H149" s="223"/>
      <c r="I149" s="223"/>
      <c r="J149" s="223"/>
      <c r="K149" s="365"/>
      <c r="L149" s="430"/>
      <c r="M149" s="430"/>
      <c r="N149" s="123"/>
      <c r="O149" s="123"/>
      <c r="P149" s="72"/>
      <c r="Q149" s="72"/>
      <c r="R149" s="384"/>
      <c r="S149" s="384"/>
      <c r="T149" s="72"/>
      <c r="U149" s="72"/>
      <c r="V149" s="72"/>
      <c r="W149" s="72"/>
      <c r="X149" s="47"/>
      <c r="Y149" s="161"/>
      <c r="Z149" s="161"/>
      <c r="AA149" s="72"/>
      <c r="AB149" s="72"/>
      <c r="AC149" s="72"/>
      <c r="AD149" s="72"/>
      <c r="AE149" s="72"/>
      <c r="AF149" s="216"/>
      <c r="AG149" s="161"/>
      <c r="AH149" s="52"/>
      <c r="AI149" s="113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252"/>
      <c r="BH149" s="72"/>
      <c r="BI149" s="72"/>
      <c r="BJ149" s="72"/>
      <c r="BK149" s="72"/>
      <c r="BL149" s="33"/>
      <c r="BM149" s="33"/>
      <c r="BN149" s="33"/>
    </row>
    <row r="150" spans="1:66" x14ac:dyDescent="0.25">
      <c r="A150" s="34"/>
      <c r="B150" s="34"/>
      <c r="C150" s="52"/>
      <c r="D150" s="52"/>
      <c r="E150" s="52"/>
      <c r="F150" s="52"/>
      <c r="G150" s="52"/>
      <c r="H150" s="52"/>
      <c r="I150" s="52"/>
      <c r="J150" s="52"/>
      <c r="K150" s="53"/>
      <c r="L150" s="430"/>
      <c r="M150" s="430"/>
      <c r="N150" s="123"/>
      <c r="O150" s="123"/>
      <c r="P150" s="72"/>
      <c r="Q150" s="72"/>
      <c r="R150" s="384"/>
      <c r="S150" s="384"/>
      <c r="T150" s="72"/>
      <c r="U150" s="72"/>
      <c r="V150" s="72"/>
      <c r="W150" s="72"/>
      <c r="X150" s="47"/>
      <c r="Y150" s="161"/>
      <c r="Z150" s="161"/>
      <c r="AA150" s="47"/>
      <c r="AB150" s="152"/>
      <c r="AC150" s="47"/>
      <c r="AD150" s="152"/>
      <c r="AE150" s="152"/>
      <c r="AF150" s="216"/>
      <c r="AG150" s="161"/>
      <c r="AH150" s="52"/>
      <c r="AI150" s="113"/>
      <c r="AJ150" s="72"/>
      <c r="AK150" s="72"/>
      <c r="AL150" s="34"/>
      <c r="AM150" s="34"/>
      <c r="AN150" s="34"/>
      <c r="AO150" s="34"/>
      <c r="AP150" s="34"/>
      <c r="AQ150" s="34"/>
      <c r="AR150" s="233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33"/>
      <c r="BM150" s="33"/>
      <c r="BN150" s="33"/>
    </row>
    <row r="151" spans="1:66" ht="18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53"/>
      <c r="L151" s="430"/>
      <c r="M151" s="430"/>
      <c r="N151" s="430"/>
      <c r="O151" s="430"/>
      <c r="P151" s="430"/>
      <c r="Q151" s="430"/>
      <c r="R151" s="123"/>
      <c r="S151" s="34"/>
      <c r="T151" s="1188" t="s">
        <v>256</v>
      </c>
      <c r="U151" s="1188"/>
      <c r="V151" s="1188"/>
      <c r="W151" s="1188"/>
      <c r="X151" s="1188"/>
      <c r="Y151" s="1188"/>
      <c r="Z151" s="1188"/>
      <c r="AA151" s="1188"/>
      <c r="AB151" s="1188"/>
      <c r="AC151" s="1188"/>
      <c r="AD151" s="1188"/>
      <c r="AE151" s="1188"/>
      <c r="AF151" s="1188"/>
      <c r="AG151" s="1188"/>
      <c r="AH151" s="52"/>
      <c r="AI151" s="113"/>
      <c r="AJ151" s="52"/>
      <c r="AK151" s="52"/>
      <c r="AL151" s="254"/>
      <c r="AM151" s="257"/>
      <c r="AN151" s="257"/>
      <c r="AO151" s="254"/>
      <c r="AP151" s="155"/>
      <c r="AQ151" s="254"/>
      <c r="AR151" s="254"/>
      <c r="AS151" s="155"/>
      <c r="AT151" s="155"/>
      <c r="AU151" s="155"/>
      <c r="AV151" s="155"/>
      <c r="AW151" s="155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33"/>
      <c r="BM151" s="33"/>
      <c r="BN151" s="33"/>
    </row>
    <row r="152" spans="1:66" ht="18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53"/>
      <c r="L152" s="430"/>
      <c r="M152" s="430"/>
      <c r="N152" s="430"/>
      <c r="O152" s="430"/>
      <c r="P152" s="430"/>
      <c r="Q152" s="430"/>
      <c r="R152" s="123"/>
      <c r="S152" s="123"/>
      <c r="T152" s="1188"/>
      <c r="U152" s="1188"/>
      <c r="V152" s="1188"/>
      <c r="W152" s="1188"/>
      <c r="X152" s="1188"/>
      <c r="Y152" s="1188"/>
      <c r="Z152" s="1188"/>
      <c r="AA152" s="1188"/>
      <c r="AB152" s="1188"/>
      <c r="AC152" s="1188"/>
      <c r="AD152" s="1188"/>
      <c r="AE152" s="1188"/>
      <c r="AF152" s="1188"/>
      <c r="AG152" s="1188"/>
      <c r="AH152" s="52"/>
      <c r="AI152" s="113"/>
      <c r="AJ152" s="52"/>
      <c r="AK152" s="73"/>
      <c r="AL152" s="257"/>
      <c r="AM152" s="263"/>
      <c r="AN152" s="263"/>
      <c r="AO152" s="257"/>
      <c r="AP152" s="155"/>
      <c r="AQ152" s="314"/>
      <c r="AR152" s="257"/>
      <c r="AS152" s="155"/>
      <c r="AT152" s="155"/>
      <c r="AU152" s="155"/>
      <c r="AV152" s="155"/>
      <c r="AW152" s="155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33"/>
      <c r="BM152" s="33"/>
      <c r="BN152" s="33"/>
    </row>
    <row r="153" spans="1:66" ht="18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53"/>
      <c r="L153" s="430"/>
      <c r="M153" s="430"/>
      <c r="N153" s="430"/>
      <c r="O153" s="430"/>
      <c r="P153" s="430"/>
      <c r="Q153" s="430"/>
      <c r="R153" s="430"/>
      <c r="S153" s="430"/>
      <c r="T153" s="1188"/>
      <c r="U153" s="1188"/>
      <c r="V153" s="1188"/>
      <c r="W153" s="1188"/>
      <c r="X153" s="1188"/>
      <c r="Y153" s="1188"/>
      <c r="Z153" s="1188"/>
      <c r="AA153" s="1188"/>
      <c r="AB153" s="1188"/>
      <c r="AC153" s="1188"/>
      <c r="AD153" s="1188"/>
      <c r="AE153" s="1188"/>
      <c r="AF153" s="1188"/>
      <c r="AG153" s="1188"/>
      <c r="AH153" s="52"/>
      <c r="AI153" s="113"/>
      <c r="AJ153" s="52"/>
      <c r="AK153" s="34"/>
      <c r="AL153" s="257"/>
      <c r="AM153" s="263"/>
      <c r="AN153" s="263"/>
      <c r="AO153" s="257"/>
      <c r="AP153" s="314"/>
      <c r="AQ153" s="257"/>
      <c r="AR153" s="263"/>
      <c r="AS153" s="155"/>
      <c r="AT153" s="155"/>
      <c r="AU153" s="155"/>
      <c r="AV153" s="155"/>
      <c r="AW153" s="155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33"/>
      <c r="BM153" s="33"/>
      <c r="BN153" s="33"/>
    </row>
    <row r="154" spans="1:66" ht="18.75" thickBot="1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53"/>
      <c r="L154" s="430"/>
      <c r="M154" s="430"/>
      <c r="N154" s="430"/>
      <c r="O154" s="430"/>
      <c r="P154" s="430"/>
      <c r="Q154" s="430"/>
      <c r="R154" s="430"/>
      <c r="S154" s="430"/>
      <c r="T154" s="1188"/>
      <c r="U154" s="1188"/>
      <c r="V154" s="1188"/>
      <c r="W154" s="1188"/>
      <c r="X154" s="1188"/>
      <c r="Y154" s="1188"/>
      <c r="Z154" s="1188"/>
      <c r="AA154" s="1188"/>
      <c r="AB154" s="1188"/>
      <c r="AC154" s="1188"/>
      <c r="AD154" s="1188"/>
      <c r="AE154" s="1188"/>
      <c r="AF154" s="1188"/>
      <c r="AG154" s="1188"/>
      <c r="AH154" s="52"/>
      <c r="AI154" s="113"/>
      <c r="AJ154" s="52"/>
      <c r="AK154" s="34"/>
      <c r="AL154" s="254"/>
      <c r="AM154" s="257"/>
      <c r="AN154" s="257"/>
      <c r="AO154" s="254"/>
      <c r="AP154" s="314"/>
      <c r="AQ154" s="257"/>
      <c r="AR154" s="263"/>
      <c r="AS154" s="155"/>
      <c r="AT154" s="155"/>
      <c r="AU154" s="155"/>
      <c r="AV154" s="155"/>
      <c r="AW154" s="155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33"/>
      <c r="BM154" s="33"/>
      <c r="BN154" s="33"/>
    </row>
    <row r="155" spans="1:66" ht="18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53"/>
      <c r="L155" s="164"/>
      <c r="M155" s="434"/>
      <c r="N155" s="434"/>
      <c r="O155" s="434"/>
      <c r="P155" s="434"/>
      <c r="Q155" s="440"/>
      <c r="R155" s="430"/>
      <c r="S155" s="430"/>
      <c r="T155" s="1188"/>
      <c r="U155" s="1188"/>
      <c r="V155" s="1188"/>
      <c r="W155" s="1188"/>
      <c r="X155" s="1188"/>
      <c r="Y155" s="1188"/>
      <c r="Z155" s="1188"/>
      <c r="AA155" s="1188"/>
      <c r="AB155" s="1188"/>
      <c r="AC155" s="1188"/>
      <c r="AD155" s="1188"/>
      <c r="AE155" s="1188"/>
      <c r="AF155" s="1188"/>
      <c r="AG155" s="1188"/>
      <c r="AH155" s="52"/>
      <c r="AI155" s="113"/>
      <c r="AJ155" s="52"/>
      <c r="AK155" s="34"/>
      <c r="AL155" s="254"/>
      <c r="AM155" s="254"/>
      <c r="AN155" s="254"/>
      <c r="AO155" s="254"/>
      <c r="AP155" s="314"/>
      <c r="AQ155" s="257"/>
      <c r="AR155" s="263"/>
      <c r="AS155" s="155"/>
      <c r="AT155" s="155"/>
      <c r="AU155" s="155"/>
      <c r="AV155" s="155"/>
      <c r="AW155" s="155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33"/>
      <c r="BM155" s="33"/>
      <c r="BN155" s="33"/>
    </row>
    <row r="156" spans="1:66" ht="15.75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53"/>
      <c r="L156" s="164"/>
      <c r="M156" s="430"/>
      <c r="N156" s="430"/>
      <c r="O156" s="430"/>
      <c r="P156" s="430"/>
      <c r="Q156" s="441"/>
      <c r="R156" s="430"/>
      <c r="S156" s="430"/>
      <c r="T156" s="1188"/>
      <c r="U156" s="1188"/>
      <c r="V156" s="1188"/>
      <c r="W156" s="1188"/>
      <c r="X156" s="1188"/>
      <c r="Y156" s="1188"/>
      <c r="Z156" s="1188"/>
      <c r="AA156" s="1188"/>
      <c r="AB156" s="1188"/>
      <c r="AC156" s="1188"/>
      <c r="AD156" s="1188"/>
      <c r="AE156" s="1188"/>
      <c r="AF156" s="1188"/>
      <c r="AG156" s="1188"/>
      <c r="AH156" s="52"/>
      <c r="AI156" s="113"/>
      <c r="AJ156" s="52"/>
      <c r="AK156" s="34"/>
      <c r="AL156" s="254"/>
      <c r="AM156" s="254"/>
      <c r="AN156" s="155"/>
      <c r="AO156" s="155"/>
      <c r="AP156" s="314"/>
      <c r="AQ156" s="263"/>
      <c r="AR156" s="263"/>
      <c r="AS156" s="155"/>
      <c r="AT156" s="155"/>
      <c r="AU156" s="155"/>
      <c r="AV156" s="155"/>
      <c r="AW156" s="155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33"/>
      <c r="BM156" s="33"/>
      <c r="BN156" s="33"/>
    </row>
    <row r="157" spans="1:66" ht="18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53"/>
      <c r="L157" s="164"/>
      <c r="M157" s="430"/>
      <c r="N157" s="430"/>
      <c r="O157" s="430"/>
      <c r="P157" s="430"/>
      <c r="Q157" s="441"/>
      <c r="R157" s="430"/>
      <c r="S157" s="430"/>
      <c r="T157" s="1188"/>
      <c r="U157" s="1188"/>
      <c r="V157" s="1188"/>
      <c r="W157" s="1188"/>
      <c r="X157" s="1188"/>
      <c r="Y157" s="1188"/>
      <c r="Z157" s="1188"/>
      <c r="AA157" s="1188"/>
      <c r="AB157" s="1188"/>
      <c r="AC157" s="1188"/>
      <c r="AD157" s="1188"/>
      <c r="AE157" s="1188"/>
      <c r="AF157" s="1188"/>
      <c r="AG157" s="1188"/>
      <c r="AH157" s="52"/>
      <c r="AI157" s="113"/>
      <c r="AJ157" s="52"/>
      <c r="AK157" s="34"/>
      <c r="AL157" s="254"/>
      <c r="AM157" s="254"/>
      <c r="AN157" s="254"/>
      <c r="AO157" s="155"/>
      <c r="AP157" s="254"/>
      <c r="AQ157" s="314"/>
      <c r="AR157" s="257"/>
      <c r="AS157" s="155"/>
      <c r="AT157" s="155"/>
      <c r="AU157" s="155"/>
      <c r="AV157" s="155"/>
      <c r="AW157" s="155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33"/>
      <c r="BM157" s="33"/>
      <c r="BN157" s="33"/>
    </row>
    <row r="158" spans="1:66" ht="15.75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53"/>
      <c r="L158" s="164"/>
      <c r="M158" s="430"/>
      <c r="N158" s="430"/>
      <c r="O158" s="430"/>
      <c r="P158" s="430"/>
      <c r="Q158" s="442" t="s">
        <v>257</v>
      </c>
      <c r="R158" s="430"/>
      <c r="S158" s="430"/>
      <c r="T158" s="1188"/>
      <c r="U158" s="1188"/>
      <c r="V158" s="1188"/>
      <c r="W158" s="1188"/>
      <c r="X158" s="1188"/>
      <c r="Y158" s="1188"/>
      <c r="Z158" s="1188"/>
      <c r="AA158" s="1188"/>
      <c r="AB158" s="1188"/>
      <c r="AC158" s="1188"/>
      <c r="AD158" s="1188"/>
      <c r="AE158" s="1188"/>
      <c r="AF158" s="1188"/>
      <c r="AG158" s="1188"/>
      <c r="AH158" s="52"/>
      <c r="AI158" s="113"/>
      <c r="AJ158" s="52"/>
      <c r="AK158" s="52"/>
      <c r="AL158" s="254"/>
      <c r="AM158" s="254"/>
      <c r="AN158" s="314"/>
      <c r="AO158" s="314"/>
      <c r="AP158" s="254"/>
      <c r="AQ158" s="254"/>
      <c r="AR158" s="155"/>
      <c r="AS158" s="155"/>
      <c r="AT158" s="155"/>
      <c r="AU158" s="155"/>
      <c r="AV158" s="155"/>
      <c r="AW158" s="155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33"/>
      <c r="BM158" s="33"/>
      <c r="BN158" s="33"/>
    </row>
    <row r="159" spans="1:66" ht="18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53"/>
      <c r="L159" s="164"/>
      <c r="M159" s="430"/>
      <c r="N159" s="430"/>
      <c r="O159" s="430"/>
      <c r="P159" s="430"/>
      <c r="Q159" s="441"/>
      <c r="R159" s="52"/>
      <c r="S159" s="52"/>
      <c r="T159" s="1188"/>
      <c r="U159" s="1188"/>
      <c r="V159" s="1188"/>
      <c r="W159" s="1188"/>
      <c r="X159" s="1188"/>
      <c r="Y159" s="1188"/>
      <c r="Z159" s="1188"/>
      <c r="AA159" s="1188"/>
      <c r="AB159" s="1188"/>
      <c r="AC159" s="1188"/>
      <c r="AD159" s="1188"/>
      <c r="AE159" s="1188"/>
      <c r="AF159" s="1188"/>
      <c r="AG159" s="1188"/>
      <c r="AH159" s="52"/>
      <c r="AI159" s="113"/>
      <c r="AJ159" s="34"/>
      <c r="AK159" s="412"/>
      <c r="AL159" s="254"/>
      <c r="AM159" s="314"/>
      <c r="AN159" s="257"/>
      <c r="AO159" s="257"/>
      <c r="AP159" s="314"/>
      <c r="AQ159" s="254"/>
      <c r="AR159" s="155"/>
      <c r="AS159" s="254"/>
      <c r="AT159" s="254"/>
      <c r="AU159" s="254"/>
      <c r="AV159" s="254"/>
      <c r="AW159" s="25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3"/>
      <c r="BM159" s="33"/>
      <c r="BN159" s="33"/>
    </row>
    <row r="160" spans="1:66" ht="18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53"/>
      <c r="L160" s="164"/>
      <c r="M160" s="430"/>
      <c r="N160" s="430"/>
      <c r="O160" s="430"/>
      <c r="P160" s="430"/>
      <c r="Q160" s="441"/>
      <c r="R160" s="52"/>
      <c r="S160" s="52"/>
      <c r="T160" s="1188"/>
      <c r="U160" s="1188"/>
      <c r="V160" s="1188"/>
      <c r="W160" s="1188"/>
      <c r="X160" s="1188"/>
      <c r="Y160" s="1188"/>
      <c r="Z160" s="1188"/>
      <c r="AA160" s="1188"/>
      <c r="AB160" s="1188"/>
      <c r="AC160" s="1188"/>
      <c r="AD160" s="1188"/>
      <c r="AE160" s="1188"/>
      <c r="AF160" s="1188"/>
      <c r="AG160" s="1188"/>
      <c r="AH160" s="52"/>
      <c r="AI160" s="113"/>
      <c r="AJ160" s="34"/>
      <c r="AK160" s="34"/>
      <c r="AL160" s="314"/>
      <c r="AM160" s="257"/>
      <c r="AN160" s="263"/>
      <c r="AO160" s="263"/>
      <c r="AP160" s="257"/>
      <c r="AQ160" s="314"/>
      <c r="AR160" s="155"/>
      <c r="AS160" s="254"/>
      <c r="AT160" s="254"/>
      <c r="AU160" s="254"/>
      <c r="AV160" s="254"/>
      <c r="AW160" s="25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3"/>
      <c r="BM160" s="33"/>
      <c r="BN160" s="33"/>
    </row>
    <row r="161" spans="1:66" ht="18.75" thickBot="1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53"/>
      <c r="L161" s="443"/>
      <c r="M161" s="444"/>
      <c r="N161" s="444"/>
      <c r="O161" s="426"/>
      <c r="P161" s="445"/>
      <c r="Q161" s="446"/>
      <c r="R161" s="52"/>
      <c r="S161" s="52"/>
      <c r="T161" s="1188"/>
      <c r="U161" s="1188"/>
      <c r="V161" s="1188"/>
      <c r="W161" s="1188"/>
      <c r="X161" s="1188"/>
      <c r="Y161" s="1188"/>
      <c r="Z161" s="1188"/>
      <c r="AA161" s="1188"/>
      <c r="AB161" s="1188"/>
      <c r="AC161" s="1188"/>
      <c r="AD161" s="1188"/>
      <c r="AE161" s="1188"/>
      <c r="AF161" s="1188"/>
      <c r="AG161" s="1188"/>
      <c r="AH161" s="72"/>
      <c r="AI161" s="113"/>
      <c r="AJ161" s="34"/>
      <c r="AK161" s="34"/>
      <c r="AL161" s="314"/>
      <c r="AM161" s="257"/>
      <c r="AN161" s="263"/>
      <c r="AO161" s="263"/>
      <c r="AP161" s="257"/>
      <c r="AQ161" s="314"/>
      <c r="AR161" s="155"/>
      <c r="AS161" s="254"/>
      <c r="AT161" s="254"/>
      <c r="AU161" s="254"/>
      <c r="AV161" s="254"/>
      <c r="AW161" s="25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3"/>
      <c r="BM161" s="33"/>
      <c r="BN161" s="33"/>
    </row>
    <row r="162" spans="1:66" ht="18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53"/>
      <c r="L162" s="164"/>
      <c r="M162" s="52"/>
      <c r="N162" s="52"/>
      <c r="O162" s="52"/>
      <c r="P162" s="52"/>
      <c r="Q162" s="52"/>
      <c r="R162" s="52"/>
      <c r="S162" s="52"/>
      <c r="T162" s="1188"/>
      <c r="U162" s="1188"/>
      <c r="V162" s="1188"/>
      <c r="W162" s="1188"/>
      <c r="X162" s="1188"/>
      <c r="Y162" s="1188"/>
      <c r="Z162" s="1188"/>
      <c r="AA162" s="1188"/>
      <c r="AB162" s="1188"/>
      <c r="AC162" s="1188"/>
      <c r="AD162" s="1188"/>
      <c r="AE162" s="1188"/>
      <c r="AF162" s="1188"/>
      <c r="AG162" s="1188"/>
      <c r="AH162" s="72"/>
      <c r="AI162" s="113"/>
      <c r="AJ162" s="34"/>
      <c r="AK162" s="34"/>
      <c r="AL162" s="254"/>
      <c r="AM162" s="314"/>
      <c r="AN162" s="257"/>
      <c r="AO162" s="257"/>
      <c r="AP162" s="314"/>
      <c r="AQ162" s="254"/>
      <c r="AR162" s="155"/>
      <c r="AS162" s="254"/>
      <c r="AT162" s="254"/>
      <c r="AU162" s="254"/>
      <c r="AV162" s="254"/>
      <c r="AW162" s="25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3"/>
      <c r="BM162" s="33"/>
      <c r="BN162" s="33"/>
    </row>
    <row r="163" spans="1:66" ht="15.75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53"/>
      <c r="L163" s="430"/>
      <c r="M163" s="430"/>
      <c r="N163" s="430"/>
      <c r="O163" s="430"/>
      <c r="P163" s="430"/>
      <c r="Q163" s="430"/>
      <c r="R163" s="52"/>
      <c r="S163" s="52"/>
      <c r="T163" s="1188"/>
      <c r="U163" s="1188"/>
      <c r="V163" s="1188"/>
      <c r="W163" s="1188"/>
      <c r="X163" s="1188"/>
      <c r="Y163" s="1188"/>
      <c r="Z163" s="1188"/>
      <c r="AA163" s="1188"/>
      <c r="AB163" s="1188"/>
      <c r="AC163" s="1188"/>
      <c r="AD163" s="1188"/>
      <c r="AE163" s="1188"/>
      <c r="AF163" s="1188"/>
      <c r="AG163" s="1188"/>
      <c r="AH163" s="72"/>
      <c r="AI163" s="113"/>
      <c r="AJ163" s="34"/>
      <c r="AK163" s="34"/>
      <c r="AL163" s="254"/>
      <c r="AM163" s="254"/>
      <c r="AN163" s="314"/>
      <c r="AO163" s="314"/>
      <c r="AP163" s="254"/>
      <c r="AQ163" s="254"/>
      <c r="AR163" s="254"/>
      <c r="AS163" s="254"/>
      <c r="AT163" s="254"/>
      <c r="AU163" s="254"/>
      <c r="AV163" s="254"/>
      <c r="AW163" s="254"/>
      <c r="AX163" s="34"/>
      <c r="AY163" s="52"/>
      <c r="AZ163" s="52"/>
      <c r="BA163" s="52"/>
      <c r="BB163" s="52"/>
      <c r="BC163" s="52"/>
      <c r="BD163" s="52"/>
      <c r="BE163" s="52"/>
      <c r="BF163" s="34"/>
      <c r="BG163" s="34"/>
      <c r="BH163" s="34"/>
      <c r="BI163" s="34"/>
      <c r="BJ163" s="34"/>
      <c r="BK163" s="34"/>
      <c r="BL163" s="33"/>
      <c r="BM163" s="33"/>
      <c r="BN163" s="33"/>
    </row>
    <row r="164" spans="1:66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53"/>
      <c r="L164" s="430"/>
      <c r="M164" s="430"/>
      <c r="N164" s="430"/>
      <c r="O164" s="430"/>
      <c r="P164" s="430"/>
      <c r="Q164" s="430"/>
      <c r="R164" s="52"/>
      <c r="S164" s="52"/>
      <c r="T164" s="1188"/>
      <c r="U164" s="1188"/>
      <c r="V164" s="1188"/>
      <c r="W164" s="1188"/>
      <c r="X164" s="1188"/>
      <c r="Y164" s="1188"/>
      <c r="Z164" s="1188"/>
      <c r="AA164" s="1188"/>
      <c r="AB164" s="1188"/>
      <c r="AC164" s="1188"/>
      <c r="AD164" s="1188"/>
      <c r="AE164" s="1188"/>
      <c r="AF164" s="1188"/>
      <c r="AG164" s="1188"/>
      <c r="AH164" s="72"/>
      <c r="AI164" s="113"/>
      <c r="AJ164" s="34"/>
      <c r="AK164" s="34"/>
      <c r="AL164" s="254"/>
      <c r="AM164" s="254"/>
      <c r="AN164" s="254"/>
      <c r="AO164" s="336"/>
      <c r="AP164" s="336"/>
      <c r="AQ164" s="254"/>
      <c r="AR164" s="254"/>
      <c r="AS164" s="254"/>
      <c r="AT164" s="254"/>
      <c r="AU164" s="254"/>
      <c r="AV164" s="254"/>
      <c r="AW164" s="254"/>
      <c r="AX164" s="34"/>
      <c r="AY164" s="52"/>
      <c r="AZ164" s="52"/>
      <c r="BA164" s="52"/>
      <c r="BB164" s="52"/>
      <c r="BC164" s="52"/>
      <c r="BD164" s="52"/>
      <c r="BE164" s="52"/>
      <c r="BF164" s="34"/>
      <c r="BG164" s="34"/>
      <c r="BH164" s="34"/>
      <c r="BI164" s="34"/>
      <c r="BJ164" s="34"/>
      <c r="BK164" s="34"/>
      <c r="BL164" s="33"/>
      <c r="BM164" s="33"/>
      <c r="BN164" s="33"/>
    </row>
    <row r="165" spans="1:66" x14ac:dyDescent="0.25">
      <c r="A165" s="34"/>
      <c r="B165" s="254"/>
      <c r="C165" s="254"/>
      <c r="D165" s="263"/>
      <c r="E165" s="263"/>
      <c r="F165" s="254"/>
      <c r="G165" s="254"/>
      <c r="H165" s="34"/>
      <c r="I165" s="34"/>
      <c r="J165" s="34"/>
      <c r="K165" s="53"/>
      <c r="L165" s="430"/>
      <c r="M165" s="430"/>
      <c r="N165" s="430"/>
      <c r="O165" s="430"/>
      <c r="P165" s="430"/>
      <c r="Q165" s="430"/>
      <c r="R165" s="52"/>
      <c r="S165" s="52"/>
      <c r="T165" s="1188"/>
      <c r="U165" s="1188"/>
      <c r="V165" s="1188"/>
      <c r="W165" s="1188"/>
      <c r="X165" s="1188"/>
      <c r="Y165" s="1188"/>
      <c r="Z165" s="1188"/>
      <c r="AA165" s="1188"/>
      <c r="AB165" s="1188"/>
      <c r="AC165" s="1188"/>
      <c r="AD165" s="1188"/>
      <c r="AE165" s="1188"/>
      <c r="AF165" s="1188"/>
      <c r="AG165" s="1188"/>
      <c r="AH165" s="72"/>
      <c r="AI165" s="113"/>
      <c r="AJ165" s="34"/>
      <c r="AK165" s="34"/>
      <c r="AL165" s="336"/>
      <c r="AM165" s="336"/>
      <c r="AN165" s="336"/>
      <c r="AO165" s="336"/>
      <c r="AP165" s="336"/>
      <c r="AQ165" s="254"/>
      <c r="AR165" s="254"/>
      <c r="AS165" s="254"/>
      <c r="AT165" s="254"/>
      <c r="AU165" s="254"/>
      <c r="AV165" s="254"/>
      <c r="AW165" s="254"/>
      <c r="AX165" s="34"/>
      <c r="AY165" s="52"/>
      <c r="AZ165" s="52"/>
      <c r="BA165" s="52"/>
      <c r="BB165" s="52"/>
      <c r="BC165" s="52"/>
      <c r="BD165" s="52"/>
      <c r="BE165" s="52"/>
      <c r="BF165" s="34"/>
      <c r="BG165" s="34"/>
      <c r="BH165" s="34"/>
      <c r="BI165" s="34"/>
      <c r="BJ165" s="34"/>
      <c r="BK165" s="34"/>
      <c r="BL165" s="33"/>
      <c r="BM165" s="33"/>
      <c r="BN165" s="33"/>
    </row>
    <row r="166" spans="1:66" ht="15.75" x14ac:dyDescent="0.25">
      <c r="A166" s="34"/>
      <c r="B166" s="254"/>
      <c r="C166" s="314"/>
      <c r="D166" s="263"/>
      <c r="E166" s="263"/>
      <c r="F166" s="314"/>
      <c r="G166" s="254"/>
      <c r="H166" s="34"/>
      <c r="I166" s="34"/>
      <c r="J166" s="34"/>
      <c r="K166" s="53"/>
      <c r="L166" s="430"/>
      <c r="M166" s="430"/>
      <c r="N166" s="430"/>
      <c r="O166" s="430"/>
      <c r="P166" s="430"/>
      <c r="Q166" s="430"/>
      <c r="R166" s="447"/>
      <c r="S166" s="447"/>
      <c r="T166" s="1188"/>
      <c r="U166" s="1188"/>
      <c r="V166" s="1188"/>
      <c r="W166" s="1188"/>
      <c r="X166" s="1188"/>
      <c r="Y166" s="1188"/>
      <c r="Z166" s="1188"/>
      <c r="AA166" s="1188"/>
      <c r="AB166" s="1188"/>
      <c r="AC166" s="1188"/>
      <c r="AD166" s="1188"/>
      <c r="AE166" s="1188"/>
      <c r="AF166" s="1188"/>
      <c r="AG166" s="1188"/>
      <c r="AH166" s="72"/>
      <c r="AI166" s="113"/>
      <c r="AJ166" s="34"/>
      <c r="AK166" s="34"/>
      <c r="AL166" s="336"/>
      <c r="AM166" s="336"/>
      <c r="AN166" s="336"/>
      <c r="AO166" s="336"/>
      <c r="AP166" s="336"/>
      <c r="AQ166" s="254"/>
      <c r="AR166" s="254"/>
      <c r="AS166" s="254"/>
      <c r="AT166" s="254"/>
      <c r="AU166" s="254"/>
      <c r="AV166" s="254"/>
      <c r="AW166" s="254"/>
      <c r="AX166" s="34"/>
      <c r="AY166" s="52"/>
      <c r="AZ166" s="52"/>
      <c r="BA166" s="52"/>
      <c r="BB166" s="52"/>
      <c r="BC166" s="52"/>
      <c r="BD166" s="52"/>
      <c r="BE166" s="52"/>
      <c r="BF166" s="34"/>
      <c r="BG166" s="34"/>
      <c r="BH166" s="34"/>
      <c r="BI166" s="34"/>
      <c r="BJ166" s="34"/>
      <c r="BK166" s="34"/>
      <c r="BL166" s="33"/>
      <c r="BM166" s="33"/>
      <c r="BN166" s="33"/>
    </row>
    <row r="167" spans="1:66" ht="18" x14ac:dyDescent="0.25">
      <c r="A167" s="34"/>
      <c r="B167" s="254"/>
      <c r="C167" s="269"/>
      <c r="D167" s="263"/>
      <c r="E167" s="263"/>
      <c r="F167" s="263"/>
      <c r="G167" s="314"/>
      <c r="H167" s="34"/>
      <c r="I167" s="34"/>
      <c r="J167" s="34"/>
      <c r="K167" s="53"/>
      <c r="L167" s="430"/>
      <c r="M167" s="430"/>
      <c r="N167" s="430"/>
      <c r="O167" s="430"/>
      <c r="P167" s="430"/>
      <c r="Q167" s="123"/>
      <c r="R167" s="123"/>
      <c r="S167" s="123"/>
      <c r="T167" s="1188"/>
      <c r="U167" s="1188"/>
      <c r="V167" s="1188"/>
      <c r="W167" s="1188"/>
      <c r="X167" s="1188"/>
      <c r="Y167" s="1188"/>
      <c r="Z167" s="1188"/>
      <c r="AA167" s="1188"/>
      <c r="AB167" s="1188"/>
      <c r="AC167" s="1188"/>
      <c r="AD167" s="1188"/>
      <c r="AE167" s="1188"/>
      <c r="AF167" s="1188"/>
      <c r="AG167" s="1188"/>
      <c r="AH167" s="72"/>
      <c r="AI167" s="113"/>
      <c r="AJ167" s="34"/>
      <c r="AK167" s="34"/>
      <c r="AL167" s="336"/>
      <c r="AM167" s="336"/>
      <c r="AN167" s="336"/>
      <c r="AO167" s="336"/>
      <c r="AP167" s="336"/>
      <c r="AQ167" s="254"/>
      <c r="AR167" s="254"/>
      <c r="AS167" s="254"/>
      <c r="AT167" s="254"/>
      <c r="AU167" s="254"/>
      <c r="AV167" s="254"/>
      <c r="AW167" s="254"/>
      <c r="AX167" s="34"/>
      <c r="AY167" s="52"/>
      <c r="AZ167" s="52"/>
      <c r="BA167" s="52"/>
      <c r="BB167" s="52"/>
      <c r="BC167" s="52"/>
      <c r="BD167" s="52"/>
      <c r="BE167" s="52"/>
      <c r="BF167" s="34"/>
      <c r="BG167" s="34"/>
      <c r="BH167" s="34"/>
      <c r="BI167" s="34"/>
      <c r="BJ167" s="34"/>
      <c r="BK167" s="34"/>
      <c r="BL167" s="33"/>
      <c r="BM167" s="33"/>
      <c r="BN167" s="33"/>
    </row>
    <row r="168" spans="1:66" ht="18" x14ac:dyDescent="0.25">
      <c r="A168" s="34"/>
      <c r="B168" s="254"/>
      <c r="C168" s="269"/>
      <c r="D168" s="263"/>
      <c r="E168" s="263"/>
      <c r="F168" s="269"/>
      <c r="G168" s="314"/>
      <c r="H168" s="34"/>
      <c r="I168" s="34"/>
      <c r="J168" s="34"/>
      <c r="K168" s="53"/>
      <c r="L168" s="430"/>
      <c r="M168" s="430"/>
      <c r="N168" s="430"/>
      <c r="O168" s="430"/>
      <c r="P168" s="430"/>
      <c r="Q168" s="430"/>
      <c r="R168" s="430"/>
      <c r="S168" s="430"/>
      <c r="T168" s="1188"/>
      <c r="U168" s="1188"/>
      <c r="V168" s="1188"/>
      <c r="W168" s="1188"/>
      <c r="X168" s="1188"/>
      <c r="Y168" s="1188"/>
      <c r="Z168" s="1188"/>
      <c r="AA168" s="1188"/>
      <c r="AB168" s="1188"/>
      <c r="AC168" s="1188"/>
      <c r="AD168" s="1188"/>
      <c r="AE168" s="1188"/>
      <c r="AF168" s="1188"/>
      <c r="AG168" s="1188"/>
      <c r="AH168" s="34"/>
      <c r="AI168" s="113"/>
      <c r="AJ168" s="34"/>
      <c r="AK168" s="34"/>
      <c r="AL168" s="336"/>
      <c r="AM168" s="336"/>
      <c r="AN168" s="336"/>
      <c r="AO168" s="336"/>
      <c r="AP168" s="336"/>
      <c r="AQ168" s="254"/>
      <c r="AR168" s="254"/>
      <c r="AS168" s="254"/>
      <c r="AT168" s="254"/>
      <c r="AU168" s="254"/>
      <c r="AV168" s="254"/>
      <c r="AW168" s="254"/>
      <c r="AX168" s="34"/>
      <c r="AY168" s="52"/>
      <c r="AZ168" s="52"/>
      <c r="BA168" s="52"/>
      <c r="BB168" s="52"/>
      <c r="BC168" s="52"/>
      <c r="BD168" s="52"/>
      <c r="BE168" s="52"/>
      <c r="BF168" s="34"/>
      <c r="BG168" s="34"/>
      <c r="BH168" s="34"/>
      <c r="BI168" s="34"/>
      <c r="BJ168" s="34"/>
      <c r="BK168" s="34"/>
      <c r="BL168" s="33"/>
      <c r="BM168" s="33"/>
      <c r="BN168" s="33"/>
    </row>
    <row r="169" spans="1:66" ht="18" x14ac:dyDescent="0.25">
      <c r="A169" s="34"/>
      <c r="B169" s="254"/>
      <c r="C169" s="269"/>
      <c r="D169" s="263"/>
      <c r="E169" s="263"/>
      <c r="F169" s="269"/>
      <c r="G169" s="314"/>
      <c r="H169" s="34"/>
      <c r="I169" s="34"/>
      <c r="J169" s="34"/>
      <c r="K169" s="53"/>
      <c r="L169" s="430"/>
      <c r="M169" s="430"/>
      <c r="N169" s="430"/>
      <c r="O169" s="430"/>
      <c r="P169" s="430"/>
      <c r="Q169" s="430"/>
      <c r="R169" s="430"/>
      <c r="S169" s="430"/>
      <c r="T169" s="430"/>
      <c r="U169" s="430"/>
      <c r="V169" s="448"/>
      <c r="W169" s="449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113"/>
      <c r="AJ169" s="34"/>
      <c r="AK169" s="34"/>
      <c r="AL169" s="336"/>
      <c r="AM169" s="336"/>
      <c r="AN169" s="336"/>
      <c r="AO169" s="336"/>
      <c r="AP169" s="336"/>
      <c r="AQ169" s="254"/>
      <c r="AR169" s="254"/>
      <c r="AS169" s="254"/>
      <c r="AT169" s="254"/>
      <c r="AU169" s="254"/>
      <c r="AV169" s="254"/>
      <c r="AW169" s="254"/>
      <c r="AX169" s="34"/>
      <c r="AY169" s="52"/>
      <c r="AZ169" s="52"/>
      <c r="BA169" s="52"/>
      <c r="BB169" s="52"/>
      <c r="BC169" s="52"/>
      <c r="BD169" s="52"/>
      <c r="BE169" s="52"/>
      <c r="BF169" s="34"/>
      <c r="BG169" s="34"/>
      <c r="BH169" s="34"/>
      <c r="BI169" s="34"/>
      <c r="BJ169" s="34"/>
      <c r="BK169" s="34"/>
      <c r="BL169" s="33"/>
      <c r="BM169" s="33"/>
      <c r="BN169" s="33"/>
    </row>
    <row r="170" spans="1:66" ht="18.75" thickBot="1" x14ac:dyDescent="0.3">
      <c r="A170" s="34"/>
      <c r="B170" s="254"/>
      <c r="C170" s="269"/>
      <c r="D170" s="263"/>
      <c r="E170" s="263"/>
      <c r="F170" s="269"/>
      <c r="G170" s="314"/>
      <c r="H170" s="34"/>
      <c r="I170" s="34"/>
      <c r="J170" s="34"/>
      <c r="K170" s="53"/>
      <c r="L170" s="430"/>
      <c r="M170" s="430"/>
      <c r="N170" s="430"/>
      <c r="O170" s="430"/>
      <c r="P170" s="430"/>
      <c r="Q170" s="430"/>
      <c r="R170" s="430"/>
      <c r="S170" s="430"/>
      <c r="T170" s="430"/>
      <c r="U170" s="430"/>
      <c r="V170" s="430"/>
      <c r="W170" s="430"/>
      <c r="X170" s="430"/>
      <c r="Y170" s="430"/>
      <c r="Z170" s="430"/>
      <c r="AA170" s="430"/>
      <c r="AB170" s="34"/>
      <c r="AC170" s="34"/>
      <c r="AD170" s="34"/>
      <c r="AE170" s="34"/>
      <c r="AF170" s="34"/>
      <c r="AG170" s="34"/>
      <c r="AH170" s="34"/>
      <c r="AI170" s="113"/>
      <c r="AJ170" s="34"/>
      <c r="AK170" s="34"/>
      <c r="AL170" s="336"/>
      <c r="AM170" s="336"/>
      <c r="AN170" s="336"/>
      <c r="AO170" s="336"/>
      <c r="AP170" s="336"/>
      <c r="AQ170" s="254"/>
      <c r="AR170" s="254"/>
      <c r="AS170" s="254"/>
      <c r="AT170" s="254"/>
      <c r="AU170" s="254"/>
      <c r="AV170" s="254"/>
      <c r="AW170" s="254"/>
      <c r="AX170" s="34"/>
      <c r="AY170" s="52"/>
      <c r="AZ170" s="52"/>
      <c r="BA170" s="52"/>
      <c r="BB170" s="52"/>
      <c r="BC170" s="52"/>
      <c r="BD170" s="52"/>
      <c r="BE170" s="52"/>
      <c r="BF170" s="34"/>
      <c r="BG170" s="34"/>
      <c r="BH170" s="34"/>
      <c r="BI170" s="34"/>
      <c r="BJ170" s="34"/>
      <c r="BK170" s="34"/>
      <c r="BL170" s="33"/>
      <c r="BM170" s="33"/>
      <c r="BN170" s="33"/>
    </row>
    <row r="171" spans="1:66" ht="21" x14ac:dyDescent="0.25">
      <c r="A171" s="34"/>
      <c r="B171" s="254"/>
      <c r="C171" s="314"/>
      <c r="D171" s="269"/>
      <c r="E171" s="269"/>
      <c r="F171" s="314"/>
      <c r="G171" s="254"/>
      <c r="H171" s="34"/>
      <c r="I171" s="34"/>
      <c r="J171" s="34"/>
      <c r="K171" s="53"/>
      <c r="L171" s="430"/>
      <c r="M171" s="430"/>
      <c r="N171" s="430"/>
      <c r="O171" s="430"/>
      <c r="P171" s="430"/>
      <c r="Q171" s="123"/>
      <c r="R171" s="450"/>
      <c r="S171" s="451"/>
      <c r="T171" s="451"/>
      <c r="U171" s="451"/>
      <c r="V171" s="451"/>
      <c r="W171" s="452"/>
      <c r="X171" s="452"/>
      <c r="Y171" s="435"/>
      <c r="Z171" s="435"/>
      <c r="AA171" s="435"/>
      <c r="AB171" s="435"/>
      <c r="AC171" s="435"/>
      <c r="AD171" s="435"/>
      <c r="AE171" s="435"/>
      <c r="AF171" s="435"/>
      <c r="AG171" s="435"/>
      <c r="AH171" s="435"/>
      <c r="AI171" s="113"/>
      <c r="AJ171" s="34"/>
      <c r="AK171" s="34"/>
      <c r="AL171" s="336"/>
      <c r="AM171" s="336"/>
      <c r="AN171" s="336"/>
      <c r="AO171" s="336"/>
      <c r="AP171" s="336"/>
      <c r="AQ171" s="254"/>
      <c r="AR171" s="254"/>
      <c r="AS171" s="254"/>
      <c r="AT171" s="254"/>
      <c r="AU171" s="254"/>
      <c r="AV171" s="254"/>
      <c r="AW171" s="254"/>
      <c r="AX171" s="34"/>
      <c r="AY171" s="52"/>
      <c r="AZ171" s="52"/>
      <c r="BA171" s="52"/>
      <c r="BB171" s="52"/>
      <c r="BC171" s="52"/>
      <c r="BD171" s="52"/>
      <c r="BE171" s="52"/>
      <c r="BF171" s="34"/>
      <c r="BG171" s="34"/>
      <c r="BH171" s="34"/>
      <c r="BI171" s="34"/>
      <c r="BJ171" s="34"/>
      <c r="BK171" s="34"/>
      <c r="BL171" s="33"/>
      <c r="BM171" s="33"/>
      <c r="BN171" s="33"/>
    </row>
    <row r="172" spans="1:66" ht="18" x14ac:dyDescent="0.25">
      <c r="A172" s="34"/>
      <c r="B172" s="254"/>
      <c r="C172" s="254"/>
      <c r="D172" s="314"/>
      <c r="E172" s="314"/>
      <c r="F172" s="254"/>
      <c r="G172" s="254"/>
      <c r="H172" s="34"/>
      <c r="I172" s="34"/>
      <c r="J172" s="34"/>
      <c r="K172" s="53"/>
      <c r="L172" s="164"/>
      <c r="M172" s="430"/>
      <c r="N172" s="430"/>
      <c r="O172" s="430"/>
      <c r="P172" s="453"/>
      <c r="Q172" s="123"/>
      <c r="R172" s="454"/>
      <c r="S172" s="123"/>
      <c r="T172" s="123"/>
      <c r="U172" s="432"/>
      <c r="V172" s="432"/>
      <c r="W172" s="123"/>
      <c r="X172" s="123"/>
      <c r="Y172" s="123"/>
      <c r="Z172" s="123"/>
      <c r="AA172" s="52"/>
      <c r="AB172" s="52"/>
      <c r="AC172" s="52"/>
      <c r="AD172" s="52"/>
      <c r="AE172" s="52"/>
      <c r="AF172" s="34"/>
      <c r="AG172" s="34"/>
      <c r="AH172" s="72"/>
      <c r="AI172" s="113"/>
      <c r="AJ172" s="34"/>
      <c r="AK172" s="34"/>
      <c r="AL172" s="263"/>
      <c r="AM172" s="269"/>
      <c r="AN172" s="263"/>
      <c r="AO172" s="269"/>
      <c r="AP172" s="263"/>
      <c r="AQ172" s="269"/>
      <c r="AR172" s="263"/>
      <c r="AS172" s="269"/>
      <c r="AT172" s="263"/>
      <c r="AU172" s="269"/>
      <c r="AV172" s="263"/>
      <c r="AW172" s="455"/>
      <c r="AX172" s="34"/>
      <c r="AY172" s="52"/>
      <c r="AZ172" s="52"/>
      <c r="BA172" s="52"/>
      <c r="BB172" s="52"/>
      <c r="BC172" s="52"/>
      <c r="BD172" s="52"/>
      <c r="BE172" s="52"/>
      <c r="BF172" s="34"/>
      <c r="BG172" s="34"/>
      <c r="BH172" s="34"/>
      <c r="BI172" s="34"/>
      <c r="BJ172" s="34"/>
      <c r="BK172" s="34"/>
      <c r="BL172" s="33"/>
      <c r="BM172" s="33"/>
      <c r="BN172" s="33"/>
    </row>
    <row r="173" spans="1:66" ht="18" x14ac:dyDescent="0.25">
      <c r="A173" s="34"/>
      <c r="B173" s="254"/>
      <c r="C173" s="254"/>
      <c r="D173" s="254"/>
      <c r="E173" s="254"/>
      <c r="F173" s="254"/>
      <c r="G173" s="254"/>
      <c r="H173" s="34"/>
      <c r="I173" s="34"/>
      <c r="J173" s="34"/>
      <c r="K173" s="34"/>
      <c r="L173" s="456"/>
      <c r="M173" s="430"/>
      <c r="N173" s="430"/>
      <c r="O173" s="430"/>
      <c r="P173" s="453"/>
      <c r="Q173" s="430"/>
      <c r="R173" s="457"/>
      <c r="S173" s="430"/>
      <c r="T173" s="430"/>
      <c r="U173" s="458"/>
      <c r="V173" s="458"/>
      <c r="W173" s="430"/>
      <c r="X173" s="430"/>
      <c r="Y173" s="430"/>
      <c r="Z173" s="164"/>
      <c r="AA173" s="52"/>
      <c r="AB173" s="52"/>
      <c r="AC173" s="52"/>
      <c r="AD173" s="52"/>
      <c r="AE173" s="52"/>
      <c r="AF173" s="34"/>
      <c r="AG173" s="34"/>
      <c r="AH173" s="72"/>
      <c r="AI173" s="113"/>
      <c r="AJ173" s="34"/>
      <c r="AK173" s="34"/>
      <c r="AL173" s="257"/>
      <c r="AM173" s="314"/>
      <c r="AN173" s="257"/>
      <c r="AO173" s="314"/>
      <c r="AP173" s="257"/>
      <c r="AQ173" s="314"/>
      <c r="AR173" s="257"/>
      <c r="AS173" s="314"/>
      <c r="AT173" s="257"/>
      <c r="AU173" s="314"/>
      <c r="AV173" s="257"/>
      <c r="AW173" s="459"/>
      <c r="AX173" s="34"/>
      <c r="AY173" s="52"/>
      <c r="AZ173" s="52"/>
      <c r="BA173" s="52"/>
      <c r="BB173" s="52"/>
      <c r="BC173" s="52"/>
      <c r="BD173" s="52"/>
      <c r="BE173" s="52"/>
      <c r="BF173" s="34"/>
      <c r="BG173" s="34"/>
      <c r="BH173" s="34"/>
      <c r="BI173" s="34"/>
      <c r="BJ173" s="34"/>
      <c r="BK173" s="34"/>
      <c r="BL173" s="33"/>
      <c r="BM173" s="33"/>
      <c r="BN173" s="33"/>
    </row>
    <row r="174" spans="1:66" ht="15.75" x14ac:dyDescent="0.25">
      <c r="A174" s="34"/>
      <c r="B174" s="254"/>
      <c r="C174" s="254"/>
      <c r="D174" s="254"/>
      <c r="E174" s="254"/>
      <c r="F174" s="254"/>
      <c r="G174" s="254"/>
      <c r="H174" s="34"/>
      <c r="I174" s="34"/>
      <c r="J174" s="34"/>
      <c r="K174" s="34"/>
      <c r="L174" s="460"/>
      <c r="M174" s="430"/>
      <c r="N174" s="430"/>
      <c r="O174" s="430"/>
      <c r="P174" s="453"/>
      <c r="Q174" s="430"/>
      <c r="R174" s="457"/>
      <c r="S174" s="430"/>
      <c r="T174" s="430"/>
      <c r="U174" s="458"/>
      <c r="V174" s="458"/>
      <c r="W174" s="430"/>
      <c r="X174" s="430"/>
      <c r="Y174" s="430"/>
      <c r="Z174" s="34"/>
      <c r="AA174" s="34"/>
      <c r="AB174" s="34"/>
      <c r="AC174" s="34"/>
      <c r="AD174" s="34"/>
      <c r="AE174" s="34"/>
      <c r="AF174" s="34"/>
      <c r="AG174" s="34"/>
      <c r="AH174" s="72"/>
      <c r="AI174" s="113"/>
      <c r="AJ174" s="34"/>
      <c r="AK174" s="34"/>
      <c r="AL174" s="314"/>
      <c r="AM174" s="155"/>
      <c r="AN174" s="314"/>
      <c r="AO174" s="155"/>
      <c r="AP174" s="314"/>
      <c r="AQ174" s="155"/>
      <c r="AR174" s="314"/>
      <c r="AS174" s="155"/>
      <c r="AT174" s="314"/>
      <c r="AU174" s="155"/>
      <c r="AV174" s="314"/>
      <c r="AW174" s="77"/>
      <c r="AX174" s="34"/>
      <c r="AY174" s="52"/>
      <c r="AZ174" s="52"/>
      <c r="BA174" s="52"/>
      <c r="BB174" s="52"/>
      <c r="BC174" s="52"/>
      <c r="BD174" s="52"/>
      <c r="BE174" s="52"/>
      <c r="BF174" s="34"/>
      <c r="BG174" s="34"/>
      <c r="BH174" s="34"/>
      <c r="BI174" s="34"/>
      <c r="BJ174" s="34"/>
      <c r="BK174" s="34"/>
      <c r="BL174" s="33"/>
      <c r="BM174" s="33"/>
      <c r="BN174" s="33"/>
    </row>
    <row r="175" spans="1:66" x14ac:dyDescent="0.25">
      <c r="A175" s="34"/>
      <c r="B175" s="254"/>
      <c r="C175" s="254"/>
      <c r="D175" s="254"/>
      <c r="E175" s="254"/>
      <c r="F175" s="254"/>
      <c r="G175" s="254"/>
      <c r="H175" s="34"/>
      <c r="I175" s="34"/>
      <c r="J175" s="34"/>
      <c r="K175" s="34"/>
      <c r="L175" s="460"/>
      <c r="M175" s="430"/>
      <c r="N175" s="430"/>
      <c r="O175" s="430"/>
      <c r="P175" s="461" t="s">
        <v>258</v>
      </c>
      <c r="Q175" s="430"/>
      <c r="R175" s="457"/>
      <c r="S175" s="430"/>
      <c r="T175" s="430"/>
      <c r="U175" s="458"/>
      <c r="V175" s="458"/>
      <c r="W175" s="430"/>
      <c r="X175" s="430"/>
      <c r="Y175" s="430"/>
      <c r="Z175" s="164"/>
      <c r="AA175" s="52"/>
      <c r="AB175" s="52"/>
      <c r="AC175" s="52"/>
      <c r="AD175" s="52"/>
      <c r="AE175" s="52"/>
      <c r="AF175" s="34"/>
      <c r="AG175" s="34"/>
      <c r="AH175" s="72"/>
      <c r="AI175" s="113"/>
      <c r="AJ175" s="34"/>
      <c r="AK175" s="34"/>
      <c r="AL175" s="336"/>
      <c r="AM175" s="336"/>
      <c r="AN175" s="336"/>
      <c r="AO175" s="336"/>
      <c r="AP175" s="336"/>
      <c r="AQ175" s="254"/>
      <c r="AR175" s="254"/>
      <c r="AS175" s="254"/>
      <c r="AT175" s="254"/>
      <c r="AU175" s="254"/>
      <c r="AV175" s="254"/>
      <c r="AW175" s="254"/>
      <c r="AX175" s="34"/>
      <c r="AY175" s="52"/>
      <c r="AZ175" s="52"/>
      <c r="BA175" s="52"/>
      <c r="BB175" s="52"/>
      <c r="BC175" s="52"/>
      <c r="BD175" s="52"/>
      <c r="BE175" s="52"/>
      <c r="BF175" s="34"/>
      <c r="BG175" s="34"/>
      <c r="BH175" s="34"/>
      <c r="BI175" s="34"/>
      <c r="BJ175" s="34"/>
      <c r="BK175" s="34"/>
      <c r="BL175" s="33"/>
      <c r="BM175" s="33"/>
      <c r="BN175" s="33"/>
    </row>
    <row r="176" spans="1:66" x14ac:dyDescent="0.25">
      <c r="A176" s="34"/>
      <c r="B176" s="254"/>
      <c r="C176" s="254"/>
      <c r="D176" s="254"/>
      <c r="E176" s="254"/>
      <c r="F176" s="254"/>
      <c r="G176" s="254"/>
      <c r="H176" s="34"/>
      <c r="I176" s="34"/>
      <c r="J176" s="34"/>
      <c r="K176" s="34"/>
      <c r="L176" s="460"/>
      <c r="M176" s="430"/>
      <c r="N176" s="430"/>
      <c r="O176" s="430"/>
      <c r="P176" s="453"/>
      <c r="Q176" s="430"/>
      <c r="R176" s="457"/>
      <c r="S176" s="430"/>
      <c r="T176" s="430"/>
      <c r="U176" s="458"/>
      <c r="V176" s="458"/>
      <c r="W176" s="430"/>
      <c r="X176" s="430"/>
      <c r="Y176" s="430"/>
      <c r="Z176" s="164"/>
      <c r="AA176" s="34"/>
      <c r="AB176" s="34"/>
      <c r="AC176" s="34"/>
      <c r="AD176" s="34"/>
      <c r="AE176" s="34"/>
      <c r="AF176" s="34"/>
      <c r="AG176" s="34"/>
      <c r="AH176" s="72"/>
      <c r="AI176" s="113"/>
      <c r="AJ176" s="34"/>
      <c r="AK176" s="34"/>
      <c r="AL176" s="336"/>
      <c r="AM176" s="336"/>
      <c r="AN176" s="336"/>
      <c r="AO176" s="336"/>
      <c r="AP176" s="336"/>
      <c r="AQ176" s="254"/>
      <c r="AR176" s="254"/>
      <c r="AS176" s="254"/>
      <c r="AT176" s="254"/>
      <c r="AU176" s="254"/>
      <c r="AV176" s="254"/>
      <c r="AW176" s="254"/>
      <c r="AX176" s="34"/>
      <c r="AY176" s="52"/>
      <c r="AZ176" s="52"/>
      <c r="BA176" s="52"/>
      <c r="BB176" s="52"/>
      <c r="BC176" s="52"/>
      <c r="BD176" s="52"/>
      <c r="BE176" s="52"/>
      <c r="BF176" s="34"/>
      <c r="BG176" s="34"/>
      <c r="BH176" s="34"/>
      <c r="BI176" s="34"/>
      <c r="BJ176" s="34"/>
      <c r="BK176" s="34"/>
      <c r="BL176" s="33"/>
      <c r="BM176" s="33"/>
      <c r="BN176" s="33"/>
    </row>
    <row r="177" spans="1:197" ht="15.75" x14ac:dyDescent="0.25">
      <c r="A177" s="34"/>
      <c r="B177" s="254"/>
      <c r="C177" s="254"/>
      <c r="D177" s="314"/>
      <c r="E177" s="314"/>
      <c r="F177" s="254"/>
      <c r="G177" s="254"/>
      <c r="H177" s="34"/>
      <c r="I177" s="34"/>
      <c r="J177" s="34"/>
      <c r="K177" s="34"/>
      <c r="L177" s="460"/>
      <c r="M177" s="430"/>
      <c r="N177" s="430"/>
      <c r="O177" s="430"/>
      <c r="P177" s="453"/>
      <c r="Q177" s="430"/>
      <c r="R177" s="457"/>
      <c r="S177" s="430"/>
      <c r="T177" s="430"/>
      <c r="U177" s="458"/>
      <c r="V177" s="458"/>
      <c r="W177" s="430"/>
      <c r="X177" s="430"/>
      <c r="Y177" s="430"/>
      <c r="Z177" s="164"/>
      <c r="AA177" s="34"/>
      <c r="AB177" s="34"/>
      <c r="AC177" s="34"/>
      <c r="AD177" s="34"/>
      <c r="AE177" s="34"/>
      <c r="AF177" s="34"/>
      <c r="AG177" s="34"/>
      <c r="AH177" s="72"/>
      <c r="AI177" s="113"/>
      <c r="AJ177" s="34"/>
      <c r="AK177" s="34"/>
      <c r="AL177" s="362"/>
      <c r="AM177" s="362"/>
      <c r="AN177" s="336"/>
      <c r="AO177" s="336"/>
      <c r="AP177" s="336"/>
      <c r="AQ177" s="254"/>
      <c r="AR177" s="34"/>
      <c r="AS177" s="34"/>
      <c r="AT177" s="34"/>
      <c r="AU177" s="34"/>
      <c r="AV177" s="34"/>
      <c r="AW177" s="34"/>
      <c r="AX177" s="34"/>
      <c r="AY177" s="52"/>
      <c r="AZ177" s="52"/>
      <c r="BA177" s="52"/>
      <c r="BB177" s="52"/>
      <c r="BC177" s="52"/>
      <c r="BD177" s="52"/>
      <c r="BE177" s="52"/>
      <c r="BF177" s="34"/>
      <c r="BG177" s="34"/>
      <c r="BH177" s="34"/>
      <c r="BI177" s="34"/>
      <c r="BJ177" s="34"/>
      <c r="BK177" s="34"/>
      <c r="BL177" s="33"/>
      <c r="BM177" s="33"/>
      <c r="BN177" s="33"/>
    </row>
    <row r="178" spans="1:197" ht="20.25" x14ac:dyDescent="0.25">
      <c r="A178" s="34"/>
      <c r="B178" s="254"/>
      <c r="C178" s="314"/>
      <c r="D178" s="269"/>
      <c r="E178" s="269"/>
      <c r="F178" s="314"/>
      <c r="G178" s="254"/>
      <c r="H178" s="34"/>
      <c r="I178" s="34"/>
      <c r="J178" s="34"/>
      <c r="K178" s="34"/>
      <c r="L178" s="460"/>
      <c r="M178" s="430"/>
      <c r="N178" s="430"/>
      <c r="O178" s="430"/>
      <c r="P178" s="453"/>
      <c r="Q178" s="430"/>
      <c r="R178" s="457"/>
      <c r="S178" s="430"/>
      <c r="T178" s="430"/>
      <c r="U178" s="458"/>
      <c r="V178" s="458"/>
      <c r="W178" s="430"/>
      <c r="X178" s="430"/>
      <c r="Y178" s="430"/>
      <c r="Z178" s="164"/>
      <c r="AA178" s="34"/>
      <c r="AB178" s="34"/>
      <c r="AC178" s="34"/>
      <c r="AD178" s="34"/>
      <c r="AE178" s="34"/>
      <c r="AF178" s="34"/>
      <c r="AG178" s="34"/>
      <c r="AH178" s="72"/>
      <c r="AI178" s="113"/>
      <c r="AJ178" s="34"/>
      <c r="AK178" s="34"/>
      <c r="AL178" s="362"/>
      <c r="AM178" s="362"/>
      <c r="AN178" s="254"/>
      <c r="AO178" s="462"/>
      <c r="AP178" s="463"/>
      <c r="AQ178" s="75"/>
      <c r="AR178" s="34"/>
      <c r="AS178" s="34"/>
      <c r="AT178" s="34"/>
      <c r="AU178" s="34"/>
      <c r="AV178" s="34"/>
      <c r="AW178" s="34"/>
      <c r="AX178" s="34"/>
      <c r="AY178" s="52"/>
      <c r="AZ178" s="52"/>
      <c r="BA178" s="52"/>
      <c r="BB178" s="52"/>
      <c r="BC178" s="52"/>
      <c r="BD178" s="52"/>
      <c r="BE178" s="52"/>
      <c r="BF178" s="34"/>
      <c r="BG178" s="34"/>
      <c r="BH178" s="34"/>
      <c r="BI178" s="34"/>
      <c r="BJ178" s="34"/>
      <c r="BK178" s="34"/>
      <c r="BL178" s="33"/>
      <c r="BM178" s="33"/>
      <c r="BN178" s="33"/>
    </row>
    <row r="179" spans="1:197" ht="23.25" x14ac:dyDescent="0.25">
      <c r="A179" s="34"/>
      <c r="B179" s="314"/>
      <c r="C179" s="269"/>
      <c r="D179" s="263"/>
      <c r="E179" s="263"/>
      <c r="F179" s="269"/>
      <c r="G179" s="254"/>
      <c r="H179" s="34"/>
      <c r="I179" s="34"/>
      <c r="J179" s="34"/>
      <c r="K179" s="34"/>
      <c r="L179" s="460"/>
      <c r="M179" s="430"/>
      <c r="N179" s="430"/>
      <c r="O179" s="430"/>
      <c r="P179" s="430"/>
      <c r="Q179" s="430"/>
      <c r="R179" s="430"/>
      <c r="S179" s="430"/>
      <c r="T179" s="430"/>
      <c r="U179" s="458"/>
      <c r="V179" s="458"/>
      <c r="W179" s="430"/>
      <c r="X179" s="430"/>
      <c r="Y179" s="430"/>
      <c r="Z179" s="164"/>
      <c r="AA179" s="34"/>
      <c r="AB179" s="34"/>
      <c r="AC179" s="34"/>
      <c r="AD179" s="34"/>
      <c r="AE179" s="34"/>
      <c r="AF179" s="34"/>
      <c r="AG179" s="34"/>
      <c r="AH179" s="72"/>
      <c r="AI179" s="113"/>
      <c r="AJ179" s="34"/>
      <c r="AK179" s="34"/>
      <c r="AL179" s="362"/>
      <c r="AM179" s="362"/>
      <c r="AN179" s="393"/>
      <c r="AO179" s="463"/>
      <c r="AP179" s="464"/>
      <c r="AQ179" s="463"/>
      <c r="AR179" s="34"/>
      <c r="AS179" s="34"/>
      <c r="AT179" s="34"/>
      <c r="AU179" s="34"/>
      <c r="AV179" s="34"/>
      <c r="AW179" s="34"/>
      <c r="AX179" s="34"/>
      <c r="AY179" s="52"/>
      <c r="AZ179" s="52"/>
      <c r="BA179" s="52"/>
      <c r="BB179" s="52"/>
      <c r="BC179" s="52"/>
      <c r="BD179" s="52"/>
      <c r="BE179" s="52"/>
      <c r="BF179" s="34"/>
      <c r="BG179" s="34"/>
      <c r="BH179" s="34"/>
      <c r="BI179" s="34"/>
      <c r="BJ179" s="34"/>
      <c r="BK179" s="34"/>
      <c r="BL179" s="33"/>
      <c r="BM179" s="33"/>
      <c r="BN179" s="33"/>
    </row>
    <row r="180" spans="1:197" ht="23.25" x14ac:dyDescent="0.25">
      <c r="A180" s="34"/>
      <c r="B180" s="314"/>
      <c r="C180" s="269"/>
      <c r="D180" s="263"/>
      <c r="E180" s="263"/>
      <c r="F180" s="269"/>
      <c r="G180" s="254"/>
      <c r="H180" s="34"/>
      <c r="I180" s="34"/>
      <c r="J180" s="34"/>
      <c r="K180" s="34"/>
      <c r="L180" s="460"/>
      <c r="M180" s="430"/>
      <c r="N180" s="430"/>
      <c r="O180" s="430"/>
      <c r="P180" s="430"/>
      <c r="Q180" s="430"/>
      <c r="R180" s="465"/>
      <c r="S180" s="430"/>
      <c r="T180" s="430"/>
      <c r="U180" s="458"/>
      <c r="V180" s="458"/>
      <c r="W180" s="430"/>
      <c r="X180" s="430"/>
      <c r="Y180" s="430"/>
      <c r="Z180" s="466"/>
      <c r="AA180" s="34"/>
      <c r="AB180" s="34"/>
      <c r="AC180" s="34"/>
      <c r="AD180" s="34"/>
      <c r="AE180" s="34"/>
      <c r="AF180" s="34"/>
      <c r="AG180" s="34"/>
      <c r="AH180" s="72"/>
      <c r="AI180" s="113"/>
      <c r="AJ180" s="34"/>
      <c r="AK180" s="34"/>
      <c r="AL180" s="362"/>
      <c r="AM180" s="362"/>
      <c r="AN180" s="463"/>
      <c r="AO180" s="464"/>
      <c r="AP180" s="464"/>
      <c r="AQ180" s="463"/>
      <c r="AR180" s="34"/>
      <c r="AS180" s="34"/>
      <c r="AT180" s="34"/>
      <c r="AU180" s="34"/>
      <c r="AV180" s="34"/>
      <c r="AW180" s="34"/>
      <c r="AX180" s="34"/>
      <c r="AY180" s="52"/>
      <c r="AZ180" s="52"/>
      <c r="BA180" s="52"/>
      <c r="BB180" s="52"/>
      <c r="BC180" s="52"/>
      <c r="BD180" s="52"/>
      <c r="BE180" s="52"/>
      <c r="BF180" s="34"/>
      <c r="BG180" s="34"/>
      <c r="BH180" s="34"/>
      <c r="BI180" s="34"/>
      <c r="BJ180" s="34"/>
      <c r="BK180" s="34"/>
      <c r="BL180" s="33"/>
      <c r="BM180" s="33"/>
      <c r="BN180" s="33"/>
    </row>
    <row r="181" spans="1:197" ht="23.25" x14ac:dyDescent="0.25">
      <c r="A181" s="34"/>
      <c r="B181" s="314"/>
      <c r="C181" s="269"/>
      <c r="D181" s="263"/>
      <c r="E181" s="263"/>
      <c r="F181" s="269"/>
      <c r="G181" s="254"/>
      <c r="H181" s="34"/>
      <c r="I181" s="34"/>
      <c r="J181" s="34"/>
      <c r="K181" s="34"/>
      <c r="L181" s="460"/>
      <c r="M181" s="465"/>
      <c r="N181" s="465"/>
      <c r="O181" s="465"/>
      <c r="P181" s="465"/>
      <c r="Q181" s="465"/>
      <c r="R181" s="465"/>
      <c r="S181" s="465"/>
      <c r="T181" s="465"/>
      <c r="U181" s="467"/>
      <c r="V181" s="467"/>
      <c r="W181" s="164"/>
      <c r="X181" s="465"/>
      <c r="Y181" s="465"/>
      <c r="Z181" s="466"/>
      <c r="AA181" s="34"/>
      <c r="AB181" s="34"/>
      <c r="AC181" s="34"/>
      <c r="AD181" s="34"/>
      <c r="AE181" s="34"/>
      <c r="AF181" s="34"/>
      <c r="AG181" s="34"/>
      <c r="AH181" s="72"/>
      <c r="AI181" s="113"/>
      <c r="AJ181" s="34"/>
      <c r="AK181" s="34"/>
      <c r="AL181" s="362"/>
      <c r="AM181" s="362"/>
      <c r="AN181" s="463"/>
      <c r="AO181" s="464"/>
      <c r="AP181" s="463"/>
      <c r="AQ181" s="254"/>
      <c r="AR181" s="34"/>
      <c r="AS181" s="34"/>
      <c r="AT181" s="34"/>
      <c r="AU181" s="34"/>
      <c r="AV181" s="34"/>
      <c r="AW181" s="34"/>
      <c r="AX181" s="34"/>
      <c r="AY181" s="52"/>
      <c r="AZ181" s="52"/>
      <c r="BA181" s="52"/>
      <c r="BB181" s="52"/>
      <c r="BC181" s="52"/>
      <c r="BD181" s="52"/>
      <c r="BE181" s="52"/>
      <c r="BF181" s="34"/>
      <c r="BG181" s="34"/>
      <c r="BH181" s="34"/>
      <c r="BI181" s="34"/>
      <c r="BJ181" s="34"/>
      <c r="BK181" s="34"/>
      <c r="BL181" s="33"/>
      <c r="BM181" s="33"/>
      <c r="BN181" s="33"/>
    </row>
    <row r="182" spans="1:197" ht="20.25" x14ac:dyDescent="0.25">
      <c r="A182" s="34"/>
      <c r="B182" s="314"/>
      <c r="C182" s="269"/>
      <c r="D182" s="263"/>
      <c r="E182" s="263"/>
      <c r="F182" s="269"/>
      <c r="G182" s="254"/>
      <c r="H182" s="34"/>
      <c r="I182" s="34"/>
      <c r="J182" s="34"/>
      <c r="K182" s="34"/>
      <c r="L182" s="460"/>
      <c r="M182" s="465"/>
      <c r="N182" s="465"/>
      <c r="O182" s="465"/>
      <c r="P182" s="465"/>
      <c r="Q182" s="465"/>
      <c r="R182" s="465"/>
      <c r="S182" s="465"/>
      <c r="T182" s="465"/>
      <c r="U182" s="468"/>
      <c r="V182" s="467"/>
      <c r="W182" s="164"/>
      <c r="X182" s="465"/>
      <c r="Y182" s="465"/>
      <c r="Z182" s="164"/>
      <c r="AA182" s="34"/>
      <c r="AB182" s="34"/>
      <c r="AC182" s="34"/>
      <c r="AD182" s="34"/>
      <c r="AE182" s="34"/>
      <c r="AF182" s="34"/>
      <c r="AG182" s="34"/>
      <c r="AH182" s="72"/>
      <c r="AI182" s="113"/>
      <c r="AJ182" s="34"/>
      <c r="AK182" s="34"/>
      <c r="AL182" s="34"/>
      <c r="AM182" s="34"/>
      <c r="AN182" s="391"/>
      <c r="AO182" s="463"/>
      <c r="AP182" s="469"/>
      <c r="AQ182" s="75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3"/>
      <c r="BM182" s="33"/>
      <c r="BN182" s="33"/>
    </row>
    <row r="183" spans="1:197" ht="18" x14ac:dyDescent="0.25">
      <c r="A183" s="34"/>
      <c r="B183" s="314"/>
      <c r="C183" s="269"/>
      <c r="D183" s="263"/>
      <c r="E183" s="263"/>
      <c r="F183" s="269"/>
      <c r="G183" s="254"/>
      <c r="H183" s="34"/>
      <c r="I183" s="34"/>
      <c r="J183" s="34"/>
      <c r="K183" s="34"/>
      <c r="L183" s="460"/>
      <c r="M183" s="465"/>
      <c r="N183" s="465"/>
      <c r="O183" s="465"/>
      <c r="P183" s="465"/>
      <c r="Q183" s="465"/>
      <c r="R183" s="164"/>
      <c r="S183" s="430"/>
      <c r="T183" s="430"/>
      <c r="U183" s="458"/>
      <c r="V183" s="458"/>
      <c r="W183" s="430"/>
      <c r="X183" s="430"/>
      <c r="Y183" s="430"/>
      <c r="Z183" s="430"/>
      <c r="AA183" s="430"/>
      <c r="AB183" s="34"/>
      <c r="AC183" s="34"/>
      <c r="AD183" s="34"/>
      <c r="AE183" s="34"/>
      <c r="AF183" s="34"/>
      <c r="AG183" s="34"/>
      <c r="AH183" s="72"/>
      <c r="AI183" s="113"/>
      <c r="AJ183" s="34"/>
      <c r="AK183" s="34"/>
      <c r="AL183" s="34"/>
      <c r="AM183" s="34"/>
      <c r="AN183" s="407"/>
      <c r="AO183" s="407"/>
      <c r="AP183" s="77"/>
      <c r="AQ183" s="75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3"/>
      <c r="BM183" s="33"/>
      <c r="BN183" s="33"/>
    </row>
    <row r="184" spans="1:197" ht="18" x14ac:dyDescent="0.25">
      <c r="A184" s="34"/>
      <c r="B184" s="409"/>
      <c r="C184" s="314"/>
      <c r="D184" s="269"/>
      <c r="E184" s="269"/>
      <c r="F184" s="314"/>
      <c r="G184" s="254"/>
      <c r="H184" s="34"/>
      <c r="I184" s="34"/>
      <c r="J184" s="34"/>
      <c r="K184" s="34"/>
      <c r="L184" s="470"/>
      <c r="M184" s="164"/>
      <c r="N184" s="164"/>
      <c r="O184" s="164"/>
      <c r="P184" s="164"/>
      <c r="Q184" s="164"/>
      <c r="R184" s="34"/>
      <c r="S184" s="430"/>
      <c r="T184" s="430"/>
      <c r="U184" s="458"/>
      <c r="V184" s="458"/>
      <c r="W184" s="430"/>
      <c r="X184" s="430"/>
      <c r="Y184" s="430"/>
      <c r="Z184" s="430"/>
      <c r="AA184" s="430"/>
      <c r="AB184" s="34"/>
      <c r="AC184" s="34"/>
      <c r="AD184" s="34"/>
      <c r="AE184" s="34"/>
      <c r="AF184" s="34"/>
      <c r="AG184" s="34"/>
      <c r="AH184" s="72"/>
      <c r="AI184" s="113"/>
      <c r="AJ184" s="34"/>
      <c r="AK184" s="34"/>
      <c r="AL184" s="34"/>
      <c r="AM184" s="34"/>
      <c r="AN184" s="254"/>
      <c r="AO184" s="254"/>
      <c r="AP184" s="254"/>
      <c r="AQ184" s="25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3"/>
      <c r="BM184" s="33"/>
      <c r="BN184" s="33"/>
    </row>
    <row r="185" spans="1:197" ht="16.5" thickBot="1" x14ac:dyDescent="0.3">
      <c r="A185" s="34"/>
      <c r="B185" s="77"/>
      <c r="C185" s="77"/>
      <c r="D185" s="314"/>
      <c r="E185" s="314"/>
      <c r="F185" s="77"/>
      <c r="G185" s="254"/>
      <c r="H185" s="34"/>
      <c r="I185" s="34"/>
      <c r="J185" s="34"/>
      <c r="K185" s="34"/>
      <c r="L185" s="471"/>
      <c r="M185" s="472"/>
      <c r="N185" s="472"/>
      <c r="O185" s="472"/>
      <c r="P185" s="472"/>
      <c r="Q185" s="472"/>
      <c r="R185" s="472"/>
      <c r="S185" s="426"/>
      <c r="T185" s="426"/>
      <c r="U185" s="473"/>
      <c r="V185" s="473"/>
      <c r="W185" s="426"/>
      <c r="X185" s="426"/>
      <c r="Y185" s="426"/>
      <c r="Z185" s="426"/>
      <c r="AA185" s="426"/>
      <c r="AB185" s="223"/>
      <c r="AC185" s="223"/>
      <c r="AD185" s="223"/>
      <c r="AE185" s="223"/>
      <c r="AF185" s="223"/>
      <c r="AG185" s="223"/>
      <c r="AH185" s="474"/>
      <c r="AI185" s="113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3"/>
      <c r="BM185" s="33"/>
      <c r="BN185" s="33"/>
    </row>
    <row r="186" spans="1:197" x14ac:dyDescent="0.25">
      <c r="A186" s="34"/>
      <c r="B186" s="254"/>
      <c r="C186" s="254"/>
      <c r="D186" s="254"/>
      <c r="E186" s="254"/>
      <c r="F186" s="254"/>
      <c r="G186" s="25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62"/>
      <c r="V186" s="362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3"/>
      <c r="BM186" s="33"/>
      <c r="BN186" s="33"/>
    </row>
    <row r="187" spans="1:197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</row>
    <row r="188" spans="1:197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</row>
    <row r="191" spans="1:197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  <c r="CC191" s="147"/>
      <c r="CD191" s="147"/>
      <c r="CE191" s="147"/>
      <c r="CF191" s="147"/>
      <c r="CG191" s="147"/>
      <c r="CH191" s="147"/>
      <c r="CI191" s="147"/>
      <c r="CJ191" s="147"/>
      <c r="CK191" s="147"/>
      <c r="CL191" s="147"/>
      <c r="CM191" s="147"/>
      <c r="CN191" s="147"/>
      <c r="CO191" s="147"/>
      <c r="CP191" s="147"/>
      <c r="CQ191" s="147"/>
      <c r="CR191" s="147"/>
      <c r="CS191" s="147"/>
      <c r="CT191" s="147"/>
      <c r="CU191" s="147"/>
      <c r="CV191" s="147"/>
      <c r="CW191" s="147"/>
      <c r="CX191" s="147"/>
      <c r="CY191" s="147"/>
      <c r="CZ191" s="147"/>
      <c r="DA191" s="147"/>
      <c r="DB191" s="147"/>
      <c r="DC191" s="147"/>
      <c r="DD191" s="147"/>
      <c r="DE191" s="147"/>
      <c r="DF191" s="147"/>
      <c r="DG191" s="147"/>
      <c r="DH191" s="147"/>
      <c r="DI191" s="147"/>
      <c r="DJ191" s="147"/>
      <c r="DK191" s="147"/>
      <c r="DL191" s="147"/>
      <c r="DM191" s="147"/>
      <c r="DN191" s="147"/>
      <c r="DO191" s="147"/>
      <c r="DP191" s="147"/>
      <c r="DQ191" s="147"/>
      <c r="DR191" s="147"/>
      <c r="DS191" s="147"/>
      <c r="DT191" s="147"/>
      <c r="DU191" s="147"/>
      <c r="DV191" s="147"/>
      <c r="DW191" s="147"/>
      <c r="DX191" s="147"/>
      <c r="DY191" s="147"/>
      <c r="DZ191" s="147"/>
      <c r="EA191" s="147"/>
      <c r="EB191" s="147"/>
      <c r="EC191" s="147"/>
      <c r="ED191" s="147"/>
      <c r="EE191" s="147"/>
      <c r="EF191" s="147"/>
      <c r="EG191" s="147"/>
      <c r="EH191" s="147"/>
      <c r="EI191" s="147"/>
      <c r="EJ191" s="147"/>
      <c r="EK191" s="147"/>
      <c r="EL191" s="147"/>
      <c r="EM191" s="147"/>
      <c r="EN191" s="147"/>
      <c r="EO191" s="147"/>
      <c r="EP191" s="147"/>
      <c r="EQ191" s="147"/>
      <c r="ER191" s="147"/>
      <c r="ES191" s="147"/>
      <c r="ET191" s="147"/>
      <c r="EU191" s="147"/>
      <c r="EV191" s="147"/>
      <c r="EW191" s="147"/>
      <c r="EX191" s="147"/>
      <c r="EY191" s="147"/>
      <c r="EZ191" s="147"/>
      <c r="FA191" s="147"/>
      <c r="FB191" s="147"/>
      <c r="FC191" s="147"/>
      <c r="FD191" s="147"/>
      <c r="FE191" s="147"/>
      <c r="FF191" s="147"/>
      <c r="FG191" s="147"/>
      <c r="FH191" s="147"/>
      <c r="FI191" s="147"/>
      <c r="FJ191" s="147"/>
      <c r="FK191" s="147"/>
      <c r="FL191" s="147"/>
      <c r="FM191" s="147"/>
      <c r="FN191" s="147"/>
      <c r="FO191" s="147"/>
      <c r="FP191" s="147"/>
      <c r="FQ191" s="147"/>
      <c r="FR191" s="147"/>
      <c r="FS191" s="147"/>
      <c r="FT191" s="147"/>
      <c r="FU191" s="147"/>
      <c r="FV191" s="147"/>
      <c r="FW191" s="147"/>
      <c r="FX191" s="147"/>
      <c r="FY191" s="147"/>
      <c r="FZ191" s="147"/>
      <c r="GA191" s="147"/>
      <c r="GB191" s="147"/>
      <c r="GC191" s="147"/>
      <c r="GD191" s="147"/>
      <c r="GE191" s="147"/>
      <c r="GF191" s="147"/>
      <c r="GG191" s="147"/>
      <c r="GH191" s="147"/>
      <c r="GI191" s="147"/>
      <c r="GJ191" s="147"/>
      <c r="GK191" s="147"/>
      <c r="GL191" s="147"/>
      <c r="GM191" s="147"/>
      <c r="GN191" s="147"/>
      <c r="GO191" s="147"/>
    </row>
    <row r="192" spans="1:197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  <c r="CC192" s="147"/>
      <c r="CD192" s="147"/>
      <c r="CE192" s="147"/>
      <c r="CF192" s="147"/>
      <c r="CG192" s="147"/>
      <c r="CH192" s="147"/>
      <c r="CI192" s="147"/>
      <c r="CJ192" s="147"/>
      <c r="CK192" s="147"/>
      <c r="CL192" s="147"/>
      <c r="CM192" s="147"/>
      <c r="CN192" s="147"/>
      <c r="CO192" s="147"/>
      <c r="CP192" s="147"/>
      <c r="CQ192" s="147"/>
      <c r="CR192" s="147"/>
      <c r="CS192" s="147"/>
      <c r="CT192" s="147"/>
      <c r="CU192" s="147"/>
      <c r="CV192" s="147"/>
      <c r="CW192" s="147"/>
      <c r="CX192" s="147"/>
      <c r="CY192" s="147"/>
      <c r="CZ192" s="147"/>
      <c r="DA192" s="147"/>
      <c r="DB192" s="147"/>
      <c r="DC192" s="147"/>
      <c r="DD192" s="147"/>
      <c r="DE192" s="147"/>
      <c r="DF192" s="147"/>
      <c r="DG192" s="147"/>
      <c r="DH192" s="147"/>
      <c r="DI192" s="147"/>
      <c r="DJ192" s="147"/>
      <c r="DK192" s="147"/>
      <c r="DL192" s="147"/>
      <c r="DM192" s="147"/>
      <c r="DN192" s="147"/>
      <c r="DO192" s="147"/>
      <c r="DP192" s="147"/>
      <c r="DQ192" s="147"/>
      <c r="DR192" s="147"/>
      <c r="DS192" s="147"/>
      <c r="DT192" s="147"/>
      <c r="DU192" s="147"/>
      <c r="DV192" s="147"/>
      <c r="DW192" s="147"/>
      <c r="DX192" s="147"/>
      <c r="DY192" s="147"/>
      <c r="DZ192" s="147"/>
      <c r="EA192" s="147"/>
      <c r="EB192" s="147"/>
      <c r="EC192" s="147"/>
      <c r="ED192" s="147"/>
      <c r="EE192" s="147"/>
      <c r="EF192" s="147"/>
      <c r="EG192" s="147"/>
      <c r="EH192" s="147"/>
      <c r="EI192" s="147"/>
      <c r="EJ192" s="147"/>
      <c r="EK192" s="147"/>
      <c r="EL192" s="147"/>
      <c r="EM192" s="147"/>
      <c r="EN192" s="147"/>
      <c r="EO192" s="147"/>
      <c r="EP192" s="147"/>
      <c r="EQ192" s="147"/>
      <c r="ER192" s="147"/>
      <c r="ES192" s="147"/>
      <c r="ET192" s="147"/>
      <c r="EU192" s="147"/>
      <c r="EV192" s="147"/>
      <c r="EW192" s="147"/>
      <c r="EX192" s="147"/>
      <c r="EY192" s="147"/>
      <c r="EZ192" s="147"/>
      <c r="FA192" s="147"/>
      <c r="FB192" s="147"/>
      <c r="FC192" s="147"/>
      <c r="FD192" s="147"/>
      <c r="FE192" s="147"/>
      <c r="FF192" s="147"/>
      <c r="FG192" s="147"/>
      <c r="FH192" s="147"/>
      <c r="FI192" s="147"/>
      <c r="FJ192" s="147"/>
      <c r="FK192" s="147"/>
      <c r="FL192" s="147"/>
      <c r="FM192" s="147"/>
      <c r="FN192" s="147"/>
      <c r="FO192" s="147"/>
      <c r="FP192" s="147"/>
      <c r="FQ192" s="147"/>
      <c r="FR192" s="147"/>
      <c r="FS192" s="147"/>
      <c r="FT192" s="147"/>
      <c r="FU192" s="147"/>
      <c r="FV192" s="147"/>
      <c r="FW192" s="147"/>
      <c r="FX192" s="147"/>
      <c r="FY192" s="147"/>
      <c r="FZ192" s="147"/>
      <c r="GA192" s="147"/>
      <c r="GB192" s="147"/>
      <c r="GC192" s="147"/>
      <c r="GD192" s="147"/>
      <c r="GE192" s="147"/>
      <c r="GF192" s="147"/>
      <c r="GG192" s="147"/>
      <c r="GH192" s="147"/>
      <c r="GI192" s="147"/>
      <c r="GJ192" s="147"/>
      <c r="GK192" s="147"/>
      <c r="GL192" s="147"/>
      <c r="GM192" s="147"/>
      <c r="GN192" s="147"/>
      <c r="GO192" s="147"/>
    </row>
    <row r="193" spans="1:197" x14ac:dyDescent="0.2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  <c r="CC193" s="147"/>
      <c r="CD193" s="147"/>
      <c r="CE193" s="147"/>
      <c r="CF193" s="147"/>
      <c r="CG193" s="147"/>
      <c r="CH193" s="147"/>
      <c r="CI193" s="147"/>
      <c r="CJ193" s="147"/>
      <c r="CK193" s="147"/>
      <c r="CL193" s="147"/>
      <c r="CM193" s="147"/>
      <c r="CN193" s="147"/>
      <c r="CO193" s="147"/>
      <c r="CP193" s="147"/>
      <c r="CQ193" s="147"/>
      <c r="CR193" s="147"/>
      <c r="CS193" s="147"/>
      <c r="CT193" s="147"/>
      <c r="CU193" s="147"/>
      <c r="CV193" s="147"/>
      <c r="CW193" s="147"/>
      <c r="CX193" s="147"/>
      <c r="CY193" s="147"/>
      <c r="CZ193" s="147"/>
      <c r="DA193" s="147"/>
      <c r="DB193" s="147"/>
      <c r="DC193" s="147"/>
      <c r="DD193" s="147"/>
      <c r="DE193" s="147"/>
      <c r="DF193" s="147"/>
      <c r="DG193" s="147"/>
      <c r="DH193" s="147"/>
      <c r="DI193" s="147"/>
      <c r="DJ193" s="147"/>
      <c r="DK193" s="147"/>
      <c r="DL193" s="147"/>
      <c r="DM193" s="147"/>
      <c r="DN193" s="147"/>
      <c r="DO193" s="147"/>
      <c r="DP193" s="147"/>
      <c r="DQ193" s="147"/>
      <c r="DR193" s="147"/>
      <c r="DS193" s="147"/>
      <c r="DT193" s="147"/>
      <c r="DU193" s="147"/>
      <c r="DV193" s="147"/>
      <c r="DW193" s="147"/>
      <c r="DX193" s="147"/>
      <c r="DY193" s="147"/>
      <c r="DZ193" s="147"/>
      <c r="EA193" s="147"/>
      <c r="EB193" s="147"/>
      <c r="EC193" s="147"/>
      <c r="ED193" s="147"/>
      <c r="EE193" s="147"/>
      <c r="EF193" s="147"/>
      <c r="EG193" s="147"/>
      <c r="EH193" s="147"/>
      <c r="EI193" s="147"/>
      <c r="EJ193" s="147"/>
      <c r="EK193" s="147"/>
      <c r="EL193" s="147"/>
      <c r="EM193" s="147"/>
      <c r="EN193" s="147"/>
      <c r="EO193" s="147"/>
      <c r="EP193" s="147"/>
      <c r="EQ193" s="147"/>
      <c r="ER193" s="147"/>
      <c r="ES193" s="147"/>
      <c r="ET193" s="147"/>
      <c r="EU193" s="147"/>
      <c r="EV193" s="147"/>
      <c r="EW193" s="147"/>
      <c r="EX193" s="147"/>
      <c r="EY193" s="147"/>
      <c r="EZ193" s="147"/>
      <c r="FA193" s="147"/>
      <c r="FB193" s="147"/>
      <c r="FC193" s="147"/>
      <c r="FD193" s="147"/>
      <c r="FE193" s="147"/>
      <c r="FF193" s="147"/>
      <c r="FG193" s="147"/>
      <c r="FH193" s="147"/>
      <c r="FI193" s="147"/>
      <c r="FJ193" s="147"/>
      <c r="FK193" s="147"/>
      <c r="FL193" s="147"/>
      <c r="FM193" s="147"/>
      <c r="FN193" s="147"/>
      <c r="FO193" s="147"/>
      <c r="FP193" s="147"/>
      <c r="FQ193" s="147"/>
      <c r="FR193" s="147"/>
      <c r="FS193" s="147"/>
      <c r="FT193" s="147"/>
      <c r="FU193" s="147"/>
      <c r="FV193" s="147"/>
      <c r="FW193" s="147"/>
      <c r="FX193" s="147"/>
      <c r="FY193" s="147"/>
      <c r="FZ193" s="147"/>
      <c r="GA193" s="147"/>
      <c r="GB193" s="147"/>
      <c r="GC193" s="147"/>
      <c r="GD193" s="147"/>
      <c r="GE193" s="147"/>
      <c r="GF193" s="147"/>
      <c r="GG193" s="147"/>
      <c r="GH193" s="147"/>
      <c r="GI193" s="147"/>
      <c r="GJ193" s="147"/>
      <c r="GK193" s="147"/>
      <c r="GL193" s="147"/>
      <c r="GM193" s="147"/>
      <c r="GN193" s="147"/>
      <c r="GO193" s="147"/>
    </row>
    <row r="194" spans="1:197" x14ac:dyDescent="0.2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  <c r="CC194" s="147"/>
      <c r="CD194" s="147"/>
      <c r="CE194" s="147"/>
      <c r="CF194" s="147"/>
      <c r="CG194" s="147"/>
      <c r="CH194" s="147"/>
      <c r="CI194" s="147"/>
      <c r="CJ194" s="147"/>
      <c r="CK194" s="147"/>
      <c r="CL194" s="147"/>
      <c r="CM194" s="147"/>
      <c r="CN194" s="147"/>
      <c r="CO194" s="147"/>
      <c r="CP194" s="147"/>
      <c r="CQ194" s="147"/>
      <c r="CR194" s="147"/>
      <c r="CS194" s="147"/>
      <c r="CT194" s="147"/>
      <c r="CU194" s="147"/>
      <c r="CV194" s="147"/>
      <c r="CW194" s="147"/>
      <c r="CX194" s="147"/>
      <c r="CY194" s="147"/>
      <c r="CZ194" s="147"/>
      <c r="DA194" s="147"/>
      <c r="DB194" s="147"/>
      <c r="DC194" s="147"/>
      <c r="DD194" s="147"/>
      <c r="DE194" s="147"/>
      <c r="DF194" s="147"/>
      <c r="DG194" s="147"/>
      <c r="DH194" s="147"/>
      <c r="DI194" s="147"/>
      <c r="DJ194" s="147"/>
      <c r="DK194" s="147"/>
      <c r="DL194" s="147"/>
      <c r="DM194" s="147"/>
      <c r="DN194" s="147"/>
      <c r="DO194" s="147"/>
      <c r="DP194" s="147"/>
      <c r="DQ194" s="147"/>
      <c r="DR194" s="147"/>
      <c r="DS194" s="147"/>
      <c r="DT194" s="147"/>
      <c r="DU194" s="147"/>
      <c r="DV194" s="147"/>
      <c r="DW194" s="147"/>
      <c r="DX194" s="147"/>
      <c r="DY194" s="147"/>
      <c r="DZ194" s="147"/>
      <c r="EA194" s="147"/>
      <c r="EB194" s="147"/>
      <c r="EC194" s="147"/>
      <c r="ED194" s="147"/>
      <c r="EE194" s="147"/>
      <c r="EF194" s="147"/>
      <c r="EG194" s="147"/>
      <c r="EH194" s="147"/>
      <c r="EI194" s="147"/>
      <c r="EJ194" s="147"/>
      <c r="EK194" s="147"/>
      <c r="EL194" s="147"/>
      <c r="EM194" s="147"/>
      <c r="EN194" s="147"/>
      <c r="EO194" s="147"/>
      <c r="EP194" s="147"/>
      <c r="EQ194" s="147"/>
      <c r="ER194" s="147"/>
      <c r="ES194" s="147"/>
      <c r="ET194" s="147"/>
      <c r="EU194" s="147"/>
      <c r="EV194" s="147"/>
      <c r="EW194" s="147"/>
      <c r="EX194" s="147"/>
      <c r="EY194" s="147"/>
      <c r="EZ194" s="147"/>
      <c r="FA194" s="147"/>
      <c r="FB194" s="147"/>
      <c r="FC194" s="147"/>
      <c r="FD194" s="147"/>
      <c r="FE194" s="147"/>
      <c r="FF194" s="147"/>
      <c r="FG194" s="147"/>
      <c r="FH194" s="147"/>
      <c r="FI194" s="147"/>
      <c r="FJ194" s="147"/>
      <c r="FK194" s="147"/>
      <c r="FL194" s="147"/>
      <c r="FM194" s="147"/>
      <c r="FN194" s="147"/>
      <c r="FO194" s="147"/>
      <c r="FP194" s="147"/>
      <c r="FQ194" s="147"/>
      <c r="FR194" s="147"/>
      <c r="FS194" s="147"/>
      <c r="FT194" s="147"/>
      <c r="FU194" s="147"/>
      <c r="FV194" s="147"/>
      <c r="FW194" s="147"/>
      <c r="FX194" s="147"/>
      <c r="FY194" s="147"/>
      <c r="FZ194" s="147"/>
      <c r="GA194" s="147"/>
      <c r="GB194" s="147"/>
      <c r="GC194" s="147"/>
      <c r="GD194" s="147"/>
      <c r="GE194" s="147"/>
      <c r="GF194" s="147"/>
      <c r="GG194" s="147"/>
      <c r="GH194" s="147"/>
      <c r="GI194" s="147"/>
      <c r="GJ194" s="147"/>
      <c r="GK194" s="147"/>
      <c r="GL194" s="147"/>
      <c r="GM194" s="147"/>
      <c r="GN194" s="147"/>
      <c r="GO194" s="147"/>
    </row>
    <row r="195" spans="1:197" x14ac:dyDescent="0.2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  <c r="CC195" s="147"/>
      <c r="CD195" s="147"/>
      <c r="CE195" s="147"/>
      <c r="CF195" s="147"/>
      <c r="CG195" s="147"/>
      <c r="CH195" s="147"/>
      <c r="CI195" s="147"/>
      <c r="CJ195" s="147"/>
      <c r="CK195" s="147"/>
      <c r="CL195" s="147"/>
      <c r="CM195" s="147"/>
      <c r="CN195" s="147"/>
      <c r="CO195" s="147"/>
      <c r="CP195" s="147"/>
      <c r="CQ195" s="147"/>
      <c r="CR195" s="147"/>
      <c r="CS195" s="147"/>
      <c r="CT195" s="147"/>
      <c r="CU195" s="147"/>
      <c r="CV195" s="147"/>
      <c r="CW195" s="147"/>
      <c r="CX195" s="147"/>
      <c r="CY195" s="147"/>
      <c r="CZ195" s="147"/>
      <c r="DA195" s="147"/>
      <c r="DB195" s="147"/>
      <c r="DC195" s="147"/>
      <c r="DD195" s="147"/>
      <c r="DE195" s="147"/>
      <c r="DF195" s="147"/>
      <c r="DG195" s="147"/>
      <c r="DH195" s="147"/>
      <c r="DI195" s="147"/>
      <c r="DJ195" s="147"/>
      <c r="DK195" s="147"/>
      <c r="DL195" s="147"/>
      <c r="DM195" s="147"/>
      <c r="DN195" s="147"/>
      <c r="DO195" s="147"/>
      <c r="DP195" s="147"/>
      <c r="DQ195" s="147"/>
      <c r="DR195" s="147"/>
      <c r="DS195" s="147"/>
      <c r="DT195" s="147"/>
      <c r="DU195" s="147"/>
      <c r="DV195" s="147"/>
      <c r="DW195" s="147"/>
      <c r="DX195" s="147"/>
      <c r="DY195" s="147"/>
      <c r="DZ195" s="147"/>
      <c r="EA195" s="147"/>
      <c r="EB195" s="147"/>
      <c r="EC195" s="147"/>
      <c r="ED195" s="147"/>
      <c r="EE195" s="147"/>
      <c r="EF195" s="147"/>
      <c r="EG195" s="147"/>
      <c r="EH195" s="147"/>
      <c r="EI195" s="147"/>
      <c r="EJ195" s="147"/>
      <c r="EK195" s="147"/>
      <c r="EL195" s="147"/>
      <c r="EM195" s="147"/>
      <c r="EN195" s="147"/>
      <c r="EO195" s="147"/>
      <c r="EP195" s="147"/>
      <c r="EQ195" s="147"/>
      <c r="ER195" s="147"/>
      <c r="ES195" s="147"/>
      <c r="ET195" s="147"/>
      <c r="EU195" s="147"/>
      <c r="EV195" s="147"/>
      <c r="EW195" s="147"/>
      <c r="EX195" s="147"/>
      <c r="EY195" s="147"/>
      <c r="EZ195" s="147"/>
      <c r="FA195" s="147"/>
      <c r="FB195" s="147"/>
      <c r="FC195" s="147"/>
      <c r="FD195" s="147"/>
      <c r="FE195" s="147"/>
      <c r="FF195" s="147"/>
      <c r="FG195" s="147"/>
      <c r="FH195" s="147"/>
      <c r="FI195" s="147"/>
      <c r="FJ195" s="147"/>
      <c r="FK195" s="147"/>
      <c r="FL195" s="147"/>
      <c r="FM195" s="147"/>
      <c r="FN195" s="147"/>
      <c r="FO195" s="147"/>
      <c r="FP195" s="147"/>
      <c r="FQ195" s="147"/>
      <c r="FR195" s="147"/>
      <c r="FS195" s="147"/>
      <c r="FT195" s="147"/>
      <c r="FU195" s="147"/>
      <c r="FV195" s="147"/>
      <c r="FW195" s="147"/>
      <c r="FX195" s="147"/>
      <c r="FY195" s="147"/>
      <c r="FZ195" s="147"/>
      <c r="GA195" s="147"/>
      <c r="GB195" s="147"/>
      <c r="GC195" s="147"/>
      <c r="GD195" s="147"/>
      <c r="GE195" s="147"/>
      <c r="GF195" s="147"/>
      <c r="GG195" s="147"/>
      <c r="GH195" s="147"/>
      <c r="GI195" s="147"/>
      <c r="GJ195" s="147"/>
      <c r="GK195" s="147"/>
      <c r="GL195" s="147"/>
      <c r="GM195" s="147"/>
      <c r="GN195" s="147"/>
      <c r="GO195" s="147"/>
    </row>
    <row r="196" spans="1:197" x14ac:dyDescent="0.2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  <c r="CC196" s="147"/>
      <c r="CD196" s="147"/>
      <c r="CE196" s="147"/>
      <c r="CF196" s="147"/>
      <c r="CG196" s="147"/>
      <c r="CH196" s="147"/>
      <c r="CI196" s="147"/>
      <c r="CJ196" s="147"/>
      <c r="CK196" s="147"/>
      <c r="CL196" s="147"/>
      <c r="CM196" s="147"/>
      <c r="CN196" s="147"/>
      <c r="CO196" s="147"/>
      <c r="CP196" s="147"/>
      <c r="CQ196" s="147"/>
      <c r="CR196" s="147"/>
      <c r="CS196" s="147"/>
      <c r="CT196" s="147"/>
      <c r="CU196" s="147"/>
      <c r="CV196" s="147"/>
      <c r="CW196" s="147"/>
      <c r="CX196" s="147"/>
      <c r="CY196" s="147"/>
      <c r="CZ196" s="147"/>
      <c r="DA196" s="147"/>
      <c r="DB196" s="147"/>
      <c r="DC196" s="147"/>
      <c r="DD196" s="147"/>
      <c r="DE196" s="147"/>
      <c r="DF196" s="147"/>
      <c r="DG196" s="147"/>
      <c r="DH196" s="147"/>
      <c r="DI196" s="147"/>
      <c r="DJ196" s="147"/>
      <c r="DK196" s="147"/>
      <c r="DL196" s="147"/>
      <c r="DM196" s="147"/>
      <c r="DN196" s="147"/>
      <c r="DO196" s="147"/>
      <c r="DP196" s="147"/>
      <c r="DQ196" s="147"/>
      <c r="DR196" s="147"/>
      <c r="DS196" s="147"/>
      <c r="DT196" s="147"/>
      <c r="DU196" s="147"/>
      <c r="DV196" s="147"/>
      <c r="DW196" s="147"/>
      <c r="DX196" s="147"/>
      <c r="DY196" s="147"/>
      <c r="DZ196" s="147"/>
      <c r="EA196" s="147"/>
      <c r="EB196" s="147"/>
      <c r="EC196" s="147"/>
      <c r="ED196" s="147"/>
      <c r="EE196" s="147"/>
      <c r="EF196" s="147"/>
      <c r="EG196" s="147"/>
      <c r="EH196" s="147"/>
      <c r="EI196" s="147"/>
      <c r="EJ196" s="147"/>
      <c r="EK196" s="147"/>
      <c r="EL196" s="147"/>
      <c r="EM196" s="147"/>
      <c r="EN196" s="147"/>
      <c r="EO196" s="147"/>
      <c r="EP196" s="147"/>
      <c r="EQ196" s="147"/>
      <c r="ER196" s="147"/>
      <c r="ES196" s="147"/>
      <c r="ET196" s="147"/>
      <c r="EU196" s="147"/>
      <c r="EV196" s="147"/>
      <c r="EW196" s="147"/>
      <c r="EX196" s="147"/>
      <c r="EY196" s="147"/>
      <c r="EZ196" s="147"/>
      <c r="FA196" s="147"/>
      <c r="FB196" s="147"/>
      <c r="FC196" s="147"/>
      <c r="FD196" s="147"/>
      <c r="FE196" s="147"/>
      <c r="FF196" s="147"/>
      <c r="FG196" s="147"/>
      <c r="FH196" s="147"/>
      <c r="FI196" s="147"/>
      <c r="FJ196" s="147"/>
      <c r="FK196" s="147"/>
      <c r="FL196" s="147"/>
      <c r="FM196" s="147"/>
      <c r="FN196" s="147"/>
      <c r="FO196" s="147"/>
      <c r="FP196" s="147"/>
      <c r="FQ196" s="147"/>
      <c r="FR196" s="147"/>
      <c r="FS196" s="147"/>
      <c r="FT196" s="147"/>
      <c r="FU196" s="147"/>
      <c r="FV196" s="147"/>
      <c r="FW196" s="147"/>
      <c r="FX196" s="147"/>
      <c r="FY196" s="147"/>
      <c r="FZ196" s="147"/>
      <c r="GA196" s="147"/>
      <c r="GB196" s="147"/>
      <c r="GC196" s="147"/>
      <c r="GD196" s="147"/>
      <c r="GE196" s="147"/>
      <c r="GF196" s="147"/>
      <c r="GG196" s="147"/>
      <c r="GH196" s="147"/>
      <c r="GI196" s="147"/>
      <c r="GJ196" s="147"/>
      <c r="GK196" s="147"/>
      <c r="GL196" s="147"/>
      <c r="GM196" s="147"/>
      <c r="GN196" s="147"/>
      <c r="GO196" s="147"/>
    </row>
    <row r="197" spans="1:197" x14ac:dyDescent="0.2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475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  <c r="CC197" s="147"/>
      <c r="CD197" s="147"/>
      <c r="CE197" s="147"/>
      <c r="CF197" s="147"/>
      <c r="CG197" s="147"/>
      <c r="CH197" s="147"/>
      <c r="CI197" s="147"/>
      <c r="CJ197" s="147"/>
      <c r="CK197" s="147"/>
      <c r="CL197" s="147"/>
      <c r="CM197" s="147"/>
      <c r="CN197" s="147"/>
      <c r="CO197" s="147"/>
      <c r="CP197" s="147"/>
      <c r="CQ197" s="147"/>
      <c r="CR197" s="147"/>
      <c r="CS197" s="147"/>
      <c r="CT197" s="147"/>
      <c r="CU197" s="147"/>
      <c r="CV197" s="147"/>
      <c r="CW197" s="147"/>
      <c r="CX197" s="147"/>
      <c r="CY197" s="147"/>
      <c r="CZ197" s="147"/>
      <c r="DA197" s="147"/>
      <c r="DB197" s="147"/>
      <c r="DC197" s="147"/>
      <c r="DD197" s="147"/>
      <c r="DE197" s="147"/>
      <c r="DF197" s="147"/>
      <c r="DG197" s="147"/>
      <c r="DH197" s="147"/>
      <c r="DI197" s="147"/>
      <c r="DJ197" s="147"/>
      <c r="DK197" s="147"/>
      <c r="DL197" s="147"/>
      <c r="DM197" s="147"/>
      <c r="DN197" s="147"/>
      <c r="DO197" s="147"/>
      <c r="DP197" s="147"/>
      <c r="DQ197" s="147"/>
      <c r="DR197" s="147"/>
      <c r="DS197" s="147"/>
      <c r="DT197" s="147"/>
      <c r="DU197" s="147"/>
      <c r="DV197" s="147"/>
      <c r="DW197" s="147"/>
      <c r="DX197" s="147"/>
      <c r="DY197" s="147"/>
      <c r="DZ197" s="147"/>
      <c r="EA197" s="147"/>
      <c r="EB197" s="147"/>
      <c r="EC197" s="147"/>
      <c r="ED197" s="147"/>
      <c r="EE197" s="147"/>
      <c r="EF197" s="147"/>
      <c r="EG197" s="147"/>
      <c r="EH197" s="147"/>
      <c r="EI197" s="147"/>
      <c r="EJ197" s="147"/>
      <c r="EK197" s="147"/>
      <c r="EL197" s="147"/>
      <c r="EM197" s="147"/>
      <c r="EN197" s="147"/>
      <c r="EO197" s="147"/>
      <c r="EP197" s="147"/>
      <c r="EQ197" s="147"/>
      <c r="ER197" s="147"/>
      <c r="ES197" s="147"/>
      <c r="ET197" s="147"/>
      <c r="EU197" s="147"/>
      <c r="EV197" s="147"/>
      <c r="EW197" s="147"/>
      <c r="EX197" s="147"/>
      <c r="EY197" s="147"/>
      <c r="EZ197" s="147"/>
      <c r="FA197" s="147"/>
      <c r="FB197" s="147"/>
      <c r="FC197" s="147"/>
      <c r="FD197" s="147"/>
      <c r="FE197" s="147"/>
      <c r="FF197" s="147"/>
      <c r="FG197" s="147"/>
      <c r="FH197" s="147"/>
      <c r="FI197" s="147"/>
      <c r="FJ197" s="147"/>
      <c r="FK197" s="147"/>
      <c r="FL197" s="147"/>
      <c r="FM197" s="147"/>
      <c r="FN197" s="147"/>
      <c r="FO197" s="147"/>
      <c r="FP197" s="147"/>
      <c r="FQ197" s="147"/>
      <c r="FR197" s="147"/>
      <c r="FS197" s="147"/>
      <c r="FT197" s="147"/>
      <c r="FU197" s="147"/>
      <c r="FV197" s="147"/>
      <c r="FW197" s="147"/>
      <c r="FX197" s="147"/>
      <c r="FY197" s="147"/>
      <c r="FZ197" s="147"/>
      <c r="GA197" s="147"/>
      <c r="GB197" s="147"/>
      <c r="GC197" s="147"/>
      <c r="GD197" s="147"/>
      <c r="GE197" s="147"/>
      <c r="GF197" s="147"/>
      <c r="GG197" s="147"/>
      <c r="GH197" s="147"/>
      <c r="GI197" s="147"/>
      <c r="GJ197" s="147"/>
      <c r="GK197" s="147"/>
      <c r="GL197" s="147"/>
      <c r="GM197" s="147"/>
      <c r="GN197" s="147"/>
      <c r="GO197" s="147"/>
    </row>
    <row r="198" spans="1:197" x14ac:dyDescent="0.2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475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  <c r="CC198" s="147"/>
      <c r="CD198" s="147"/>
      <c r="CE198" s="147"/>
      <c r="CF198" s="147"/>
      <c r="CG198" s="147"/>
      <c r="CH198" s="147"/>
      <c r="CI198" s="147"/>
      <c r="CJ198" s="147"/>
      <c r="CK198" s="147"/>
      <c r="CL198" s="147"/>
      <c r="CM198" s="147"/>
      <c r="CN198" s="147"/>
      <c r="CO198" s="147"/>
      <c r="CP198" s="147"/>
      <c r="CQ198" s="147"/>
      <c r="CR198" s="147"/>
      <c r="CS198" s="147"/>
      <c r="CT198" s="147"/>
      <c r="CU198" s="147"/>
      <c r="CV198" s="147"/>
      <c r="CW198" s="147"/>
      <c r="CX198" s="147"/>
      <c r="CY198" s="147"/>
      <c r="CZ198" s="147"/>
      <c r="DA198" s="147"/>
      <c r="DB198" s="147"/>
      <c r="DC198" s="147"/>
      <c r="DD198" s="147"/>
      <c r="DE198" s="147"/>
      <c r="DF198" s="147"/>
      <c r="DG198" s="147"/>
      <c r="DH198" s="147"/>
      <c r="DI198" s="147"/>
      <c r="DJ198" s="147"/>
      <c r="DK198" s="147"/>
      <c r="DL198" s="147"/>
      <c r="DM198" s="147"/>
      <c r="DN198" s="147"/>
      <c r="DO198" s="147"/>
      <c r="DP198" s="147"/>
      <c r="DQ198" s="147"/>
      <c r="DR198" s="147"/>
      <c r="DS198" s="147"/>
      <c r="DT198" s="147"/>
      <c r="DU198" s="147"/>
      <c r="DV198" s="147"/>
      <c r="DW198" s="147"/>
      <c r="DX198" s="147"/>
      <c r="DY198" s="147"/>
      <c r="DZ198" s="147"/>
      <c r="EA198" s="147"/>
      <c r="EB198" s="147"/>
      <c r="EC198" s="147"/>
      <c r="ED198" s="147"/>
      <c r="EE198" s="147"/>
      <c r="EF198" s="147"/>
      <c r="EG198" s="147"/>
      <c r="EH198" s="147"/>
      <c r="EI198" s="147"/>
      <c r="EJ198" s="147"/>
      <c r="EK198" s="147"/>
      <c r="EL198" s="147"/>
      <c r="EM198" s="147"/>
      <c r="EN198" s="147"/>
      <c r="EO198" s="147"/>
      <c r="EP198" s="147"/>
      <c r="EQ198" s="147"/>
      <c r="ER198" s="147"/>
      <c r="ES198" s="147"/>
      <c r="ET198" s="147"/>
      <c r="EU198" s="147"/>
      <c r="EV198" s="147"/>
      <c r="EW198" s="147"/>
      <c r="EX198" s="147"/>
      <c r="EY198" s="147"/>
      <c r="EZ198" s="147"/>
      <c r="FA198" s="147"/>
      <c r="FB198" s="147"/>
      <c r="FC198" s="147"/>
      <c r="FD198" s="147"/>
      <c r="FE198" s="147"/>
      <c r="FF198" s="147"/>
      <c r="FG198" s="147"/>
      <c r="FH198" s="147"/>
      <c r="FI198" s="147"/>
      <c r="FJ198" s="147"/>
      <c r="FK198" s="147"/>
      <c r="FL198" s="147"/>
      <c r="FM198" s="147"/>
      <c r="FN198" s="147"/>
      <c r="FO198" s="147"/>
      <c r="FP198" s="147"/>
      <c r="FQ198" s="147"/>
      <c r="FR198" s="147"/>
      <c r="FS198" s="147"/>
      <c r="FT198" s="147"/>
      <c r="FU198" s="147"/>
      <c r="FV198" s="147"/>
      <c r="FW198" s="147"/>
      <c r="FX198" s="147"/>
      <c r="FY198" s="147"/>
      <c r="FZ198" s="147"/>
      <c r="GA198" s="147"/>
      <c r="GB198" s="147"/>
      <c r="GC198" s="147"/>
      <c r="GD198" s="147"/>
      <c r="GE198" s="147"/>
      <c r="GF198" s="147"/>
      <c r="GG198" s="147"/>
      <c r="GH198" s="147"/>
      <c r="GI198" s="147"/>
      <c r="GJ198" s="147"/>
      <c r="GK198" s="147"/>
      <c r="GL198" s="147"/>
      <c r="GM198" s="147"/>
      <c r="GN198" s="147"/>
      <c r="GO198" s="147"/>
    </row>
    <row r="199" spans="1:197" x14ac:dyDescent="0.2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475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  <c r="CC199" s="147"/>
      <c r="CD199" s="147"/>
      <c r="CE199" s="147"/>
      <c r="CF199" s="147"/>
      <c r="CG199" s="147"/>
      <c r="CH199" s="147"/>
      <c r="CI199" s="147"/>
      <c r="CJ199" s="147"/>
      <c r="CK199" s="147"/>
      <c r="CL199" s="147"/>
      <c r="CM199" s="147"/>
      <c r="CN199" s="147"/>
      <c r="CO199" s="147"/>
      <c r="CP199" s="147"/>
      <c r="CQ199" s="147"/>
      <c r="CR199" s="147"/>
      <c r="CS199" s="147"/>
      <c r="CT199" s="147"/>
      <c r="CU199" s="147"/>
      <c r="CV199" s="147"/>
      <c r="CW199" s="147"/>
      <c r="CX199" s="147"/>
      <c r="CY199" s="147"/>
      <c r="CZ199" s="147"/>
      <c r="DA199" s="147"/>
      <c r="DB199" s="147"/>
      <c r="DC199" s="147"/>
      <c r="DD199" s="147"/>
      <c r="DE199" s="147"/>
      <c r="DF199" s="147"/>
      <c r="DG199" s="147"/>
      <c r="DH199" s="147"/>
      <c r="DI199" s="147"/>
      <c r="DJ199" s="147"/>
      <c r="DK199" s="147"/>
      <c r="DL199" s="147"/>
      <c r="DM199" s="147"/>
      <c r="DN199" s="147"/>
      <c r="DO199" s="147"/>
      <c r="DP199" s="147"/>
      <c r="DQ199" s="147"/>
      <c r="DR199" s="147"/>
      <c r="DS199" s="147"/>
      <c r="DT199" s="147"/>
      <c r="DU199" s="147"/>
      <c r="DV199" s="147"/>
      <c r="DW199" s="147"/>
      <c r="DX199" s="147"/>
      <c r="DY199" s="147"/>
      <c r="DZ199" s="147"/>
      <c r="EA199" s="147"/>
      <c r="EB199" s="147"/>
      <c r="EC199" s="147"/>
      <c r="ED199" s="147"/>
      <c r="EE199" s="147"/>
      <c r="EF199" s="147"/>
      <c r="EG199" s="147"/>
      <c r="EH199" s="147"/>
      <c r="EI199" s="147"/>
      <c r="EJ199" s="147"/>
      <c r="EK199" s="147"/>
      <c r="EL199" s="147"/>
      <c r="EM199" s="147"/>
      <c r="EN199" s="147"/>
      <c r="EO199" s="147"/>
      <c r="EP199" s="147"/>
      <c r="EQ199" s="147"/>
      <c r="ER199" s="147"/>
      <c r="ES199" s="147"/>
      <c r="ET199" s="147"/>
      <c r="EU199" s="147"/>
      <c r="EV199" s="147"/>
      <c r="EW199" s="147"/>
      <c r="EX199" s="147"/>
      <c r="EY199" s="147"/>
      <c r="EZ199" s="147"/>
      <c r="FA199" s="147"/>
      <c r="FB199" s="147"/>
      <c r="FC199" s="147"/>
      <c r="FD199" s="147"/>
      <c r="FE199" s="147"/>
      <c r="FF199" s="147"/>
      <c r="FG199" s="147"/>
      <c r="FH199" s="147"/>
      <c r="FI199" s="147"/>
      <c r="FJ199" s="147"/>
      <c r="FK199" s="147"/>
      <c r="FL199" s="147"/>
      <c r="FM199" s="147"/>
      <c r="FN199" s="147"/>
      <c r="FO199" s="147"/>
      <c r="FP199" s="147"/>
      <c r="FQ199" s="147"/>
      <c r="FR199" s="147"/>
      <c r="FS199" s="147"/>
      <c r="FT199" s="147"/>
      <c r="FU199" s="147"/>
      <c r="FV199" s="147"/>
      <c r="FW199" s="147"/>
      <c r="FX199" s="147"/>
      <c r="FY199" s="147"/>
      <c r="FZ199" s="147"/>
      <c r="GA199" s="147"/>
      <c r="GB199" s="147"/>
      <c r="GC199" s="147"/>
      <c r="GD199" s="147"/>
      <c r="GE199" s="147"/>
      <c r="GF199" s="147"/>
      <c r="GG199" s="147"/>
      <c r="GH199" s="147"/>
      <c r="GI199" s="147"/>
      <c r="GJ199" s="147"/>
      <c r="GK199" s="147"/>
      <c r="GL199" s="147"/>
      <c r="GM199" s="147"/>
      <c r="GN199" s="147"/>
      <c r="GO199" s="147"/>
    </row>
    <row r="204" spans="1:197" x14ac:dyDescent="0.25">
      <c r="M204" s="476"/>
    </row>
    <row r="205" spans="1:197" x14ac:dyDescent="0.25">
      <c r="M205" s="476"/>
    </row>
    <row r="206" spans="1:197" x14ac:dyDescent="0.25">
      <c r="M206" s="476"/>
    </row>
    <row r="207" spans="1:197" ht="15.75" thickBot="1" x14ac:dyDescent="0.3">
      <c r="M207" s="476"/>
    </row>
    <row r="208" spans="1:197" ht="29.25" thickBot="1" x14ac:dyDescent="0.3">
      <c r="A208" s="1566" t="s">
        <v>259</v>
      </c>
      <c r="B208" s="1567"/>
      <c r="C208" s="1567"/>
      <c r="D208" s="1567"/>
      <c r="E208" s="1567"/>
      <c r="F208" s="1567"/>
      <c r="G208" s="1567"/>
      <c r="H208" s="1567"/>
      <c r="I208" s="1568"/>
      <c r="J208" s="1569">
        <f>IFERROR(SUM(AE225:AE341)+G210,"")</f>
        <v>347</v>
      </c>
      <c r="K208" s="1570"/>
      <c r="L208" s="1570"/>
      <c r="M208" s="1571"/>
      <c r="P208" s="477"/>
      <c r="AB208" s="478"/>
      <c r="AC208" s="478"/>
      <c r="AD208" s="478"/>
      <c r="AE208" s="478"/>
      <c r="AF208" s="478"/>
      <c r="AG208" s="478"/>
    </row>
    <row r="209" spans="1:60" ht="24" thickBot="1" x14ac:dyDescent="0.3">
      <c r="A209" s="479" t="s">
        <v>260</v>
      </c>
      <c r="B209" s="480"/>
      <c r="C209" s="480"/>
      <c r="D209" s="480"/>
      <c r="E209" s="480"/>
      <c r="F209" s="480"/>
      <c r="G209" s="480"/>
      <c r="H209" s="480"/>
      <c r="I209" s="480"/>
      <c r="J209" s="480"/>
      <c r="K209" s="480"/>
      <c r="L209" s="480"/>
      <c r="M209" s="481"/>
      <c r="AB209" s="482"/>
      <c r="AC209" s="482"/>
      <c r="AD209" s="482"/>
      <c r="AE209" s="482"/>
      <c r="AF209" s="482"/>
      <c r="AG209" s="482"/>
    </row>
    <row r="210" spans="1:60" ht="24" thickBot="1" x14ac:dyDescent="0.3">
      <c r="A210" s="1572" t="s">
        <v>261</v>
      </c>
      <c r="B210" s="1573"/>
      <c r="C210" s="1573"/>
      <c r="D210" s="1573"/>
      <c r="E210" s="1573"/>
      <c r="F210" s="1574"/>
      <c r="G210" s="1575">
        <f>I225+V225</f>
        <v>54</v>
      </c>
      <c r="H210" s="1576"/>
      <c r="I210" s="1577"/>
      <c r="AB210" s="482"/>
      <c r="AC210" s="482"/>
      <c r="AD210" s="482"/>
      <c r="AE210" s="482"/>
      <c r="AF210" s="482"/>
      <c r="AG210" s="482"/>
    </row>
    <row r="211" spans="1:60" ht="21" thickBot="1" x14ac:dyDescent="0.3">
      <c r="A211" s="483"/>
      <c r="B211" s="483"/>
      <c r="C211" s="483"/>
      <c r="D211" s="483"/>
      <c r="E211" s="483"/>
      <c r="F211" s="483"/>
      <c r="G211" s="483"/>
      <c r="H211" s="483"/>
      <c r="I211" s="483"/>
      <c r="AF211" s="484"/>
      <c r="AG211" s="484"/>
    </row>
    <row r="212" spans="1:60" ht="22.5" thickTop="1" thickBot="1" x14ac:dyDescent="0.3">
      <c r="A212" s="1558" t="s">
        <v>262</v>
      </c>
      <c r="B212" s="1559"/>
      <c r="C212" s="1559"/>
      <c r="D212" s="1560"/>
      <c r="E212" s="485">
        <f>I221+V221</f>
        <v>0</v>
      </c>
      <c r="F212" s="483"/>
      <c r="G212" s="483"/>
      <c r="H212" s="483"/>
      <c r="I212" s="483"/>
      <c r="AF212" s="486"/>
      <c r="AG212" s="486"/>
    </row>
    <row r="213" spans="1:60" ht="23.25" thickTop="1" thickBot="1" x14ac:dyDescent="0.3">
      <c r="A213" s="1558" t="s">
        <v>263</v>
      </c>
      <c r="B213" s="1559"/>
      <c r="C213" s="1559"/>
      <c r="D213" s="1560"/>
      <c r="E213" s="485">
        <f>I222+V222</f>
        <v>0</v>
      </c>
      <c r="F213" s="483"/>
      <c r="G213" s="483"/>
      <c r="H213" s="483"/>
      <c r="I213" s="487"/>
      <c r="AF213" s="486"/>
      <c r="AG213" s="486"/>
    </row>
    <row r="214" spans="1:60" ht="29.25" customHeight="1" thickBot="1" x14ac:dyDescent="0.3">
      <c r="F214" s="488"/>
      <c r="G214" s="483"/>
      <c r="H214" s="483"/>
      <c r="I214" s="483"/>
      <c r="AF214" s="489"/>
      <c r="AG214" s="489"/>
    </row>
    <row r="215" spans="1:60" ht="21.75" thickBot="1" x14ac:dyDescent="0.3">
      <c r="A215" s="1561" t="s">
        <v>264</v>
      </c>
      <c r="B215" s="1562"/>
      <c r="C215" s="1562"/>
      <c r="D215" s="1563"/>
      <c r="E215" s="490">
        <f>K328+X328</f>
        <v>0</v>
      </c>
      <c r="F215" s="483"/>
      <c r="G215" s="483"/>
      <c r="H215" s="483"/>
      <c r="I215" s="483"/>
    </row>
    <row r="216" spans="1:60" ht="21.75" thickBot="1" x14ac:dyDescent="0.3">
      <c r="A216" s="1561" t="s">
        <v>265</v>
      </c>
      <c r="B216" s="1562"/>
      <c r="C216" s="1562"/>
      <c r="D216" s="1563"/>
      <c r="E216" s="491">
        <f>L328+Y328</f>
        <v>54</v>
      </c>
      <c r="F216" s="483"/>
      <c r="G216" s="483"/>
      <c r="H216" s="483"/>
      <c r="I216" s="483"/>
    </row>
    <row r="217" spans="1:60" ht="21.75" thickBot="1" x14ac:dyDescent="0.3">
      <c r="A217" s="1561" t="s">
        <v>266</v>
      </c>
      <c r="B217" s="1562"/>
      <c r="C217" s="1562"/>
      <c r="D217" s="1563"/>
      <c r="E217" s="492">
        <f>J328+W328</f>
        <v>0</v>
      </c>
    </row>
    <row r="220" spans="1:60" ht="47.25" thickBot="1" x14ac:dyDescent="0.75">
      <c r="A220" s="1564" t="s">
        <v>267</v>
      </c>
      <c r="B220" s="1565"/>
      <c r="C220" s="1565"/>
      <c r="D220" s="1565"/>
      <c r="E220" s="1565"/>
      <c r="F220" s="1565"/>
      <c r="G220" s="1565"/>
      <c r="H220" s="1565"/>
      <c r="I220" s="1565"/>
      <c r="J220" s="1565"/>
      <c r="K220" s="1565"/>
      <c r="L220" s="1565"/>
      <c r="M220" s="1565"/>
      <c r="N220" s="1565"/>
      <c r="O220" s="1565"/>
      <c r="P220" s="1565"/>
      <c r="Q220" s="1565"/>
      <c r="R220" s="1565"/>
      <c r="S220" s="1565"/>
      <c r="T220" s="1565"/>
      <c r="U220" s="1565"/>
      <c r="V220" s="1565"/>
      <c r="W220" s="1565"/>
      <c r="X220" s="1565"/>
      <c r="Y220" s="1565"/>
      <c r="Z220" s="1565"/>
      <c r="AA220" s="481"/>
    </row>
    <row r="221" spans="1:60" ht="27.75" thickTop="1" thickBot="1" x14ac:dyDescent="0.45">
      <c r="D221" s="1537" t="s">
        <v>268</v>
      </c>
      <c r="E221" s="1538"/>
      <c r="F221" s="1538"/>
      <c r="G221" s="1538"/>
      <c r="H221" s="1552"/>
      <c r="I221" s="1553">
        <f>COUNTIF($P$1:$Q$1,"25C")</f>
        <v>0</v>
      </c>
      <c r="J221" s="1554"/>
      <c r="M221" s="476"/>
      <c r="Q221" s="1537" t="s">
        <v>269</v>
      </c>
      <c r="R221" s="1538"/>
      <c r="S221" s="1538"/>
      <c r="T221" s="1538"/>
      <c r="U221" s="1552"/>
      <c r="V221" s="1553">
        <f>COUNTIF($P$1:$Q$1,"25C")</f>
        <v>0</v>
      </c>
      <c r="W221" s="1554"/>
      <c r="AA221" s="493"/>
      <c r="AB221" s="494"/>
      <c r="AC221" s="1546" t="s">
        <v>270</v>
      </c>
      <c r="AD221" s="1547"/>
      <c r="AE221" s="1547"/>
      <c r="AF221" s="1548"/>
      <c r="AG221" s="494"/>
      <c r="AI221" s="495"/>
      <c r="AJ221" s="496"/>
      <c r="AK221" s="496"/>
      <c r="AL221" s="496"/>
      <c r="AM221" s="496"/>
      <c r="AN221" s="496"/>
      <c r="AO221" s="496"/>
      <c r="AP221" s="496"/>
      <c r="AQ221" s="496"/>
      <c r="AR221" s="496"/>
      <c r="AS221" s="496"/>
      <c r="AT221" s="496"/>
      <c r="AU221" s="496"/>
      <c r="AV221" s="496"/>
      <c r="AW221" s="496"/>
      <c r="AX221" s="496"/>
      <c r="AY221" s="496"/>
      <c r="AZ221" s="496"/>
      <c r="BA221" s="497"/>
    </row>
    <row r="222" spans="1:60" ht="22.5" thickTop="1" thickBot="1" x14ac:dyDescent="0.4">
      <c r="D222" s="1537" t="s">
        <v>271</v>
      </c>
      <c r="E222" s="1538"/>
      <c r="F222" s="1538"/>
      <c r="G222" s="1538"/>
      <c r="H222" s="1552"/>
      <c r="I222" s="1553">
        <f>COUNTIF($P$1:$Q$1,"50C")</f>
        <v>0</v>
      </c>
      <c r="J222" s="1554"/>
      <c r="M222" s="476"/>
      <c r="Q222" s="1537" t="s">
        <v>272</v>
      </c>
      <c r="R222" s="1538"/>
      <c r="S222" s="1538"/>
      <c r="T222" s="1538"/>
      <c r="U222" s="1552"/>
      <c r="V222" s="1553">
        <f>COUNTIF($P$1:$Q$1,"50C")</f>
        <v>0</v>
      </c>
      <c r="W222" s="1554"/>
      <c r="AA222" s="493"/>
      <c r="AC222" s="1549"/>
      <c r="AD222" s="1550"/>
      <c r="AE222" s="1550"/>
      <c r="AF222" s="1551"/>
      <c r="AH222" s="498"/>
      <c r="AI222" s="1555" t="s">
        <v>273</v>
      </c>
      <c r="AJ222" s="1556"/>
      <c r="AK222" s="1556"/>
      <c r="AL222" s="1556"/>
      <c r="AM222" s="1556"/>
      <c r="AN222" s="1557"/>
      <c r="AO222" s="499" t="s">
        <v>274</v>
      </c>
      <c r="AP222" s="500"/>
      <c r="AQ222" s="498"/>
      <c r="AR222" s="1468" t="s">
        <v>275</v>
      </c>
      <c r="AS222" s="1380"/>
      <c r="AT222" s="1380"/>
      <c r="AU222" s="1380"/>
      <c r="AV222" s="1380"/>
      <c r="AW222" s="1381"/>
      <c r="AX222" s="499" t="s">
        <v>274</v>
      </c>
      <c r="AY222" s="500"/>
      <c r="AZ222" s="498"/>
      <c r="BA222" s="501"/>
    </row>
    <row r="223" spans="1:60" ht="27.75" thickTop="1" thickBot="1" x14ac:dyDescent="0.45">
      <c r="A223" s="480"/>
      <c r="B223" s="480"/>
      <c r="C223" s="480"/>
      <c r="D223" s="1537" t="s">
        <v>276</v>
      </c>
      <c r="E223" s="1538"/>
      <c r="F223" s="1538"/>
      <c r="G223" s="1538"/>
      <c r="H223" s="1539"/>
      <c r="I223" s="1542">
        <f>G250</f>
        <v>35</v>
      </c>
      <c r="J223" s="1543"/>
      <c r="K223" s="480"/>
      <c r="L223" s="294"/>
      <c r="M223" s="493"/>
      <c r="N223" s="493"/>
      <c r="O223" s="502"/>
      <c r="P223" s="502"/>
      <c r="Q223" s="1537" t="s">
        <v>277</v>
      </c>
      <c r="R223" s="1538"/>
      <c r="S223" s="1538"/>
      <c r="T223" s="1538"/>
      <c r="U223" s="1539"/>
      <c r="V223" s="1542">
        <f>T250</f>
        <v>1</v>
      </c>
      <c r="W223" s="1543"/>
      <c r="X223" s="502"/>
      <c r="Y223" s="502"/>
      <c r="Z223" s="503"/>
      <c r="AA223" s="493"/>
      <c r="AC223" s="1544" t="s">
        <v>278</v>
      </c>
      <c r="AD223" s="1545"/>
      <c r="AE223" s="504" t="s">
        <v>279</v>
      </c>
      <c r="AF223" s="505" t="s">
        <v>280</v>
      </c>
      <c r="AH223" s="498"/>
      <c r="AI223" s="1362" t="s">
        <v>281</v>
      </c>
      <c r="AJ223" s="1363"/>
      <c r="AK223" s="1363"/>
      <c r="AL223" s="1363"/>
      <c r="AM223" s="1364"/>
      <c r="AN223" s="506" t="s">
        <v>282</v>
      </c>
      <c r="AO223" s="507">
        <f t="shared" ref="AO223:AO286" si="0">COUNTIF($P$1:$Q$1,AN223)</f>
        <v>0</v>
      </c>
      <c r="AP223" s="508"/>
      <c r="AQ223" s="498"/>
      <c r="AR223" s="1376" t="s">
        <v>283</v>
      </c>
      <c r="AS223" s="1377"/>
      <c r="AT223" s="1377"/>
      <c r="AU223" s="1377"/>
      <c r="AV223" s="1402"/>
      <c r="AW223" s="109" t="s">
        <v>284</v>
      </c>
      <c r="AX223" s="507">
        <f t="shared" ref="AX223:AX263" si="1">COUNTIF($P$1:$Q$1,AW223)</f>
        <v>0</v>
      </c>
      <c r="AY223" s="511"/>
      <c r="AZ223" s="498"/>
      <c r="BA223" s="501"/>
      <c r="BC223" s="512"/>
      <c r="BD223" s="512"/>
      <c r="BE223" s="512"/>
      <c r="BF223" s="512"/>
      <c r="BG223" s="512"/>
      <c r="BH223" s="512"/>
    </row>
    <row r="224" spans="1:60" ht="21.75" thickBot="1" x14ac:dyDescent="0.4">
      <c r="C224" s="513" t="b">
        <v>0</v>
      </c>
      <c r="D224" s="1537" t="s">
        <v>285</v>
      </c>
      <c r="E224" s="1538"/>
      <c r="F224" s="1538"/>
      <c r="G224" s="1538"/>
      <c r="H224" s="1539"/>
      <c r="I224" s="1540">
        <f>G274</f>
        <v>0</v>
      </c>
      <c r="J224" s="1541"/>
      <c r="M224" s="476"/>
      <c r="Q224" s="1537" t="s">
        <v>286</v>
      </c>
      <c r="R224" s="1538"/>
      <c r="S224" s="1538"/>
      <c r="T224" s="1538"/>
      <c r="U224" s="1539"/>
      <c r="V224" s="1540">
        <f>T274</f>
        <v>0</v>
      </c>
      <c r="W224" s="1541"/>
      <c r="AA224" s="513"/>
      <c r="AC224" s="1527" t="s">
        <v>287</v>
      </c>
      <c r="AD224" s="1528"/>
      <c r="AE224" s="1528"/>
      <c r="AF224" s="1528"/>
      <c r="AH224" s="498"/>
      <c r="AI224" s="1362" t="s">
        <v>288</v>
      </c>
      <c r="AJ224" s="1363"/>
      <c r="AK224" s="1363"/>
      <c r="AL224" s="1363"/>
      <c r="AM224" s="1364"/>
      <c r="AN224" s="514" t="s">
        <v>289</v>
      </c>
      <c r="AO224" s="507">
        <f t="shared" si="0"/>
        <v>0</v>
      </c>
      <c r="AP224" s="508"/>
      <c r="AQ224" s="498"/>
      <c r="AR224" s="1376" t="s">
        <v>290</v>
      </c>
      <c r="AS224" s="1377"/>
      <c r="AT224" s="1377"/>
      <c r="AU224" s="1377"/>
      <c r="AV224" s="1402"/>
      <c r="AW224" s="515" t="s">
        <v>291</v>
      </c>
      <c r="AX224" s="507">
        <f t="shared" si="1"/>
        <v>0</v>
      </c>
      <c r="AY224" s="516"/>
      <c r="AZ224" s="498"/>
      <c r="BA224" s="501"/>
      <c r="BC224" s="517"/>
      <c r="BD224" s="517"/>
      <c r="BE224" s="518"/>
      <c r="BF224" s="518"/>
      <c r="BG224" s="518"/>
      <c r="BH224" s="517"/>
    </row>
    <row r="225" spans="1:60" ht="21.75" thickBot="1" x14ac:dyDescent="0.4">
      <c r="C225" s="513" t="b">
        <v>0</v>
      </c>
      <c r="D225" s="1532" t="s">
        <v>292</v>
      </c>
      <c r="E225" s="1533"/>
      <c r="F225" s="1533"/>
      <c r="G225" s="1533"/>
      <c r="H225" s="1534"/>
      <c r="I225" s="1535">
        <f>G328</f>
        <v>48</v>
      </c>
      <c r="J225" s="1536"/>
      <c r="M225" s="476"/>
      <c r="Q225" s="1532" t="s">
        <v>293</v>
      </c>
      <c r="R225" s="1533"/>
      <c r="S225" s="1533"/>
      <c r="T225" s="1533"/>
      <c r="U225" s="1534"/>
      <c r="V225" s="1535">
        <f>T328</f>
        <v>6</v>
      </c>
      <c r="W225" s="1536"/>
      <c r="AA225" s="476"/>
      <c r="AC225" s="519" t="s">
        <v>273</v>
      </c>
      <c r="AD225" s="520" t="s">
        <v>273</v>
      </c>
      <c r="AE225" s="521">
        <f>AO299</f>
        <v>0</v>
      </c>
      <c r="AF225" s="522" t="str">
        <f>IFERROR(AE225/$J$4,"")</f>
        <v/>
      </c>
      <c r="AH225" s="498"/>
      <c r="AI225" s="1362" t="s">
        <v>294</v>
      </c>
      <c r="AJ225" s="1363"/>
      <c r="AK225" s="1363"/>
      <c r="AL225" s="1363"/>
      <c r="AM225" s="1364"/>
      <c r="AN225" s="523" t="s">
        <v>295</v>
      </c>
      <c r="AO225" s="507">
        <f t="shared" si="0"/>
        <v>0</v>
      </c>
      <c r="AP225" s="508"/>
      <c r="AQ225" s="498"/>
      <c r="AR225" s="1376" t="s">
        <v>296</v>
      </c>
      <c r="AS225" s="1377"/>
      <c r="AT225" s="1377"/>
      <c r="AU225" s="1377"/>
      <c r="AV225" s="1402"/>
      <c r="AW225" s="524" t="s">
        <v>297</v>
      </c>
      <c r="AX225" s="507">
        <f t="shared" si="1"/>
        <v>0</v>
      </c>
      <c r="AY225" s="516"/>
      <c r="AZ225" s="498"/>
      <c r="BA225" s="501"/>
      <c r="BC225" s="517"/>
      <c r="BD225" s="517"/>
      <c r="BE225" s="518"/>
      <c r="BF225" s="518"/>
      <c r="BG225" s="518"/>
      <c r="BH225" s="517"/>
    </row>
    <row r="226" spans="1:60" ht="21" x14ac:dyDescent="0.35">
      <c r="A226" s="525"/>
      <c r="B226" s="525"/>
      <c r="C226" s="526"/>
      <c r="D226" s="527"/>
      <c r="E226" s="527"/>
      <c r="F226" s="527"/>
      <c r="G226" s="527"/>
      <c r="H226" s="527"/>
      <c r="I226" s="528"/>
      <c r="J226" s="528"/>
      <c r="K226" s="525"/>
      <c r="L226" s="525"/>
      <c r="M226" s="529"/>
      <c r="N226" s="525"/>
      <c r="O226" s="525"/>
      <c r="P226" s="525"/>
      <c r="Q226" s="527"/>
      <c r="R226" s="527"/>
      <c r="S226" s="527"/>
      <c r="T226" s="527"/>
      <c r="U226" s="527"/>
      <c r="V226" s="528"/>
      <c r="W226" s="528"/>
      <c r="X226" s="525"/>
      <c r="Y226" s="525"/>
      <c r="Z226" s="525"/>
      <c r="AA226" s="513"/>
      <c r="AC226" s="519" t="s">
        <v>298</v>
      </c>
      <c r="AD226" s="530" t="s">
        <v>299</v>
      </c>
      <c r="AE226" s="521">
        <f>AX399</f>
        <v>0</v>
      </c>
      <c r="AF226" s="522" t="str">
        <f t="shared" ref="AF226:AF247" si="2">IFERROR(AE226/$J$4,"")</f>
        <v/>
      </c>
      <c r="AH226" s="498"/>
      <c r="AI226" s="1362" t="s">
        <v>300</v>
      </c>
      <c r="AJ226" s="1363"/>
      <c r="AK226" s="1363"/>
      <c r="AL226" s="1363"/>
      <c r="AM226" s="1364"/>
      <c r="AN226" s="531" t="s">
        <v>301</v>
      </c>
      <c r="AO226" s="507">
        <f t="shared" si="0"/>
        <v>0</v>
      </c>
      <c r="AP226" s="508"/>
      <c r="AQ226" s="498"/>
      <c r="AR226" s="1376" t="s">
        <v>302</v>
      </c>
      <c r="AS226" s="1377"/>
      <c r="AT226" s="1377"/>
      <c r="AU226" s="1377"/>
      <c r="AV226" s="1402"/>
      <c r="AW226" s="532" t="s">
        <v>303</v>
      </c>
      <c r="AX226" s="507">
        <f t="shared" si="1"/>
        <v>0</v>
      </c>
      <c r="AY226" s="516"/>
      <c r="AZ226" s="498"/>
      <c r="BA226" s="501"/>
      <c r="BC226" s="533"/>
      <c r="BD226" s="533"/>
      <c r="BE226" s="534"/>
      <c r="BF226" s="534"/>
      <c r="BG226" s="534"/>
      <c r="BH226" s="517"/>
    </row>
    <row r="227" spans="1:60" ht="18.75" thickBot="1" x14ac:dyDescent="0.3">
      <c r="A227" s="1529" t="s">
        <v>304</v>
      </c>
      <c r="B227" s="1530"/>
      <c r="C227" s="1530"/>
      <c r="D227" s="1530"/>
      <c r="E227" s="1530"/>
      <c r="F227" s="1530"/>
      <c r="G227" s="1530"/>
      <c r="H227" s="1530"/>
      <c r="I227" s="1531"/>
      <c r="J227" s="535" t="s">
        <v>305</v>
      </c>
      <c r="K227" s="535" t="s">
        <v>306</v>
      </c>
      <c r="L227" s="535" t="s">
        <v>307</v>
      </c>
      <c r="M227" s="513"/>
      <c r="N227" s="1529" t="s">
        <v>304</v>
      </c>
      <c r="O227" s="1530"/>
      <c r="P227" s="1530"/>
      <c r="Q227" s="1530"/>
      <c r="R227" s="1530"/>
      <c r="S227" s="1530"/>
      <c r="T227" s="1530"/>
      <c r="U227" s="1530"/>
      <c r="V227" s="1531"/>
      <c r="W227" s="536" t="s">
        <v>305</v>
      </c>
      <c r="X227" s="536" t="s">
        <v>306</v>
      </c>
      <c r="Y227" s="536" t="s">
        <v>307</v>
      </c>
      <c r="Z227" s="536" t="s">
        <v>308</v>
      </c>
      <c r="AA227" s="513"/>
      <c r="AC227" s="519" t="s">
        <v>309</v>
      </c>
      <c r="AD227" s="537" t="s">
        <v>310</v>
      </c>
      <c r="AE227" s="521">
        <f>AO332</f>
        <v>0</v>
      </c>
      <c r="AF227" s="522" t="str">
        <f t="shared" si="2"/>
        <v/>
      </c>
      <c r="AH227" s="498"/>
      <c r="AI227" s="1362" t="s">
        <v>311</v>
      </c>
      <c r="AJ227" s="1363"/>
      <c r="AK227" s="1363"/>
      <c r="AL227" s="1363"/>
      <c r="AM227" s="1364"/>
      <c r="AN227" s="538" t="s">
        <v>312</v>
      </c>
      <c r="AO227" s="507">
        <f t="shared" si="0"/>
        <v>0</v>
      </c>
      <c r="AP227" s="508"/>
      <c r="AQ227" s="498"/>
      <c r="AR227" s="1376" t="s">
        <v>313</v>
      </c>
      <c r="AS227" s="1377"/>
      <c r="AT227" s="1377"/>
      <c r="AU227" s="1377"/>
      <c r="AV227" s="1402"/>
      <c r="AW227" s="532" t="s">
        <v>314</v>
      </c>
      <c r="AX227" s="507">
        <f t="shared" si="1"/>
        <v>0</v>
      </c>
      <c r="AY227" s="516"/>
      <c r="AZ227" s="498"/>
      <c r="BA227" s="501"/>
      <c r="BC227" s="517"/>
      <c r="BD227" s="517"/>
      <c r="BE227" s="539"/>
      <c r="BF227" s="539"/>
      <c r="BG227" s="539"/>
      <c r="BH227" s="517"/>
    </row>
    <row r="228" spans="1:60" ht="18.75" thickBot="1" x14ac:dyDescent="0.3">
      <c r="A228" s="1465" t="s">
        <v>70</v>
      </c>
      <c r="B228" s="1466"/>
      <c r="C228" s="1467"/>
      <c r="D228" s="540" t="s">
        <v>25</v>
      </c>
      <c r="E228" s="541"/>
      <c r="F228" s="542" t="s">
        <v>69</v>
      </c>
      <c r="G228" s="1395">
        <f>COUNTIF($P$79:$BM$151,F228)</f>
        <v>0</v>
      </c>
      <c r="H228" s="1396"/>
      <c r="I228" s="1397"/>
      <c r="J228" s="543"/>
      <c r="K228" s="544"/>
      <c r="L228" s="545">
        <f>G228-K228-J228</f>
        <v>0</v>
      </c>
      <c r="M228" s="513"/>
      <c r="N228" s="1465" t="s">
        <v>70</v>
      </c>
      <c r="O228" s="1466"/>
      <c r="P228" s="1467"/>
      <c r="Q228" s="540" t="s">
        <v>25</v>
      </c>
      <c r="R228" s="541"/>
      <c r="S228" s="542" t="s">
        <v>69</v>
      </c>
      <c r="T228" s="1395">
        <f>COUNTIF($O$6:$BE$74,S228)</f>
        <v>0</v>
      </c>
      <c r="U228" s="1396"/>
      <c r="V228" s="1397"/>
      <c r="W228" s="543"/>
      <c r="X228" s="544"/>
      <c r="Y228" s="545">
        <f t="shared" ref="Y228:Y249" si="3">T228-X228-W228</f>
        <v>0</v>
      </c>
      <c r="Z228" s="546">
        <f t="shared" ref="Z228:Z293" si="4">T228+G228</f>
        <v>0</v>
      </c>
      <c r="AA228" s="513"/>
      <c r="AC228" s="519" t="s">
        <v>315</v>
      </c>
      <c r="AD228" s="547" t="s">
        <v>316</v>
      </c>
      <c r="AE228" s="521">
        <f>AX375</f>
        <v>0</v>
      </c>
      <c r="AF228" s="522" t="str">
        <f t="shared" si="2"/>
        <v/>
      </c>
      <c r="AH228" s="498"/>
      <c r="AI228" s="1362" t="s">
        <v>317</v>
      </c>
      <c r="AJ228" s="1363"/>
      <c r="AK228" s="1363"/>
      <c r="AL228" s="1363"/>
      <c r="AM228" s="1364"/>
      <c r="AN228" s="548" t="s">
        <v>318</v>
      </c>
      <c r="AO228" s="507">
        <f t="shared" si="0"/>
        <v>0</v>
      </c>
      <c r="AP228" s="508"/>
      <c r="AQ228" s="498"/>
      <c r="AR228" s="1376" t="s">
        <v>319</v>
      </c>
      <c r="AS228" s="1377"/>
      <c r="AT228" s="1377"/>
      <c r="AU228" s="1377"/>
      <c r="AV228" s="1402"/>
      <c r="AW228" s="549" t="s">
        <v>320</v>
      </c>
      <c r="AX228" s="507">
        <f t="shared" si="1"/>
        <v>0</v>
      </c>
      <c r="AY228" s="516"/>
      <c r="AZ228" s="498"/>
      <c r="BA228" s="501"/>
      <c r="BC228" s="517"/>
      <c r="BD228" s="517"/>
      <c r="BE228" s="517"/>
      <c r="BF228" s="517"/>
      <c r="BG228" s="517"/>
      <c r="BH228" s="517"/>
    </row>
    <row r="229" spans="1:60" ht="18.75" thickBot="1" x14ac:dyDescent="0.3">
      <c r="A229" s="1465" t="s">
        <v>28</v>
      </c>
      <c r="B229" s="1466"/>
      <c r="C229" s="1467"/>
      <c r="D229" s="540"/>
      <c r="E229" s="541" t="s">
        <v>321</v>
      </c>
      <c r="F229" s="550" t="s">
        <v>25</v>
      </c>
      <c r="G229" s="1395">
        <f t="shared" ref="G229:G249" si="5">COUNTIF($P$79:$BM$151,F229)</f>
        <v>2</v>
      </c>
      <c r="H229" s="1396"/>
      <c r="I229" s="1397"/>
      <c r="J229" s="543"/>
      <c r="K229" s="544"/>
      <c r="L229" s="545">
        <f t="shared" ref="L229:L249" si="6">G229-K229-J229</f>
        <v>2</v>
      </c>
      <c r="M229" s="513"/>
      <c r="N229" s="1465" t="s">
        <v>28</v>
      </c>
      <c r="O229" s="1466"/>
      <c r="P229" s="1467"/>
      <c r="Q229" s="540"/>
      <c r="R229" s="541" t="s">
        <v>321</v>
      </c>
      <c r="S229" s="550" t="s">
        <v>25</v>
      </c>
      <c r="T229" s="1395">
        <f t="shared" ref="T229:T249" si="7">COUNTIF($O$6:$BE$74,S229)</f>
        <v>0</v>
      </c>
      <c r="U229" s="1396"/>
      <c r="V229" s="1397"/>
      <c r="W229" s="543"/>
      <c r="X229" s="544"/>
      <c r="Y229" s="545">
        <f t="shared" si="3"/>
        <v>0</v>
      </c>
      <c r="Z229" s="546">
        <f t="shared" si="4"/>
        <v>2</v>
      </c>
      <c r="AA229" s="513"/>
      <c r="AC229" s="519" t="s">
        <v>322</v>
      </c>
      <c r="AD229" s="551" t="s">
        <v>322</v>
      </c>
      <c r="AE229" s="521">
        <f>AX321</f>
        <v>0</v>
      </c>
      <c r="AF229" s="522" t="str">
        <f t="shared" si="2"/>
        <v/>
      </c>
      <c r="AH229" s="498"/>
      <c r="AI229" s="1362" t="s">
        <v>323</v>
      </c>
      <c r="AJ229" s="1363"/>
      <c r="AK229" s="1363"/>
      <c r="AL229" s="1363"/>
      <c r="AM229" s="1364"/>
      <c r="AN229" s="552" t="s">
        <v>324</v>
      </c>
      <c r="AO229" s="507">
        <f t="shared" si="0"/>
        <v>0</v>
      </c>
      <c r="AP229" s="508"/>
      <c r="AQ229" s="498"/>
      <c r="AR229" s="1376" t="s">
        <v>325</v>
      </c>
      <c r="AS229" s="1377"/>
      <c r="AT229" s="1377"/>
      <c r="AU229" s="1377"/>
      <c r="AV229" s="1402"/>
      <c r="AW229" s="553" t="s">
        <v>326</v>
      </c>
      <c r="AX229" s="507">
        <f t="shared" si="1"/>
        <v>0</v>
      </c>
      <c r="AY229" s="516"/>
      <c r="AZ229" s="498"/>
      <c r="BA229" s="501"/>
      <c r="BC229" s="517"/>
      <c r="BD229" s="517"/>
      <c r="BE229" s="518"/>
      <c r="BF229" s="518"/>
      <c r="BG229" s="518"/>
      <c r="BH229" s="517"/>
    </row>
    <row r="230" spans="1:60" ht="18.75" thickBot="1" x14ac:dyDescent="0.3">
      <c r="A230" s="1465" t="s">
        <v>22</v>
      </c>
      <c r="B230" s="1466"/>
      <c r="C230" s="1467"/>
      <c r="D230" s="540"/>
      <c r="E230" s="541" t="s">
        <v>321</v>
      </c>
      <c r="F230" s="554" t="s">
        <v>71</v>
      </c>
      <c r="G230" s="1395">
        <f t="shared" si="5"/>
        <v>6</v>
      </c>
      <c r="H230" s="1396"/>
      <c r="I230" s="1397"/>
      <c r="J230" s="543"/>
      <c r="K230" s="544"/>
      <c r="L230" s="545">
        <f t="shared" si="6"/>
        <v>6</v>
      </c>
      <c r="M230" s="513"/>
      <c r="N230" s="1465" t="s">
        <v>22</v>
      </c>
      <c r="O230" s="1466"/>
      <c r="P230" s="1467"/>
      <c r="Q230" s="540"/>
      <c r="R230" s="541" t="s">
        <v>321</v>
      </c>
      <c r="S230" s="554" t="s">
        <v>71</v>
      </c>
      <c r="T230" s="1395">
        <f t="shared" si="7"/>
        <v>0</v>
      </c>
      <c r="U230" s="1396"/>
      <c r="V230" s="1397"/>
      <c r="W230" s="543"/>
      <c r="X230" s="544"/>
      <c r="Y230" s="545">
        <f t="shared" si="3"/>
        <v>0</v>
      </c>
      <c r="Z230" s="546">
        <f t="shared" si="4"/>
        <v>6</v>
      </c>
      <c r="AA230" s="513"/>
      <c r="AC230" s="519" t="s">
        <v>327</v>
      </c>
      <c r="AD230" s="555" t="s">
        <v>327</v>
      </c>
      <c r="AE230" s="521">
        <f>AO338</f>
        <v>0</v>
      </c>
      <c r="AF230" s="522" t="str">
        <f t="shared" si="2"/>
        <v/>
      </c>
      <c r="AH230" s="498"/>
      <c r="AI230" s="1362" t="s">
        <v>328</v>
      </c>
      <c r="AJ230" s="1363"/>
      <c r="AK230" s="1363"/>
      <c r="AL230" s="1363"/>
      <c r="AM230" s="1364"/>
      <c r="AN230" s="556" t="s">
        <v>329</v>
      </c>
      <c r="AO230" s="507">
        <f t="shared" si="0"/>
        <v>0</v>
      </c>
      <c r="AP230" s="508"/>
      <c r="AQ230" s="498"/>
      <c r="AR230" s="1376" t="s">
        <v>330</v>
      </c>
      <c r="AS230" s="1377"/>
      <c r="AT230" s="1377"/>
      <c r="AU230" s="1377"/>
      <c r="AV230" s="1402"/>
      <c r="AW230" s="557" t="s">
        <v>331</v>
      </c>
      <c r="AX230" s="507">
        <f t="shared" si="1"/>
        <v>0</v>
      </c>
      <c r="AY230" s="516"/>
      <c r="AZ230" s="498"/>
      <c r="BA230" s="501"/>
      <c r="BC230" s="533"/>
      <c r="BD230" s="533"/>
      <c r="BE230" s="558"/>
      <c r="BF230" s="558"/>
      <c r="BG230" s="558"/>
      <c r="BH230" s="517"/>
    </row>
    <row r="231" spans="1:60" ht="18.75" thickBot="1" x14ac:dyDescent="0.3">
      <c r="A231" s="1465" t="s">
        <v>332</v>
      </c>
      <c r="B231" s="1466"/>
      <c r="C231" s="1467"/>
      <c r="D231" s="540"/>
      <c r="E231" s="541" t="s">
        <v>321</v>
      </c>
      <c r="F231" s="559" t="s">
        <v>218</v>
      </c>
      <c r="G231" s="1395">
        <f t="shared" si="5"/>
        <v>9</v>
      </c>
      <c r="H231" s="1396"/>
      <c r="I231" s="1397"/>
      <c r="J231" s="543"/>
      <c r="K231" s="544"/>
      <c r="L231" s="545">
        <f t="shared" si="6"/>
        <v>9</v>
      </c>
      <c r="M231" s="513"/>
      <c r="N231" s="1465" t="s">
        <v>332</v>
      </c>
      <c r="O231" s="1466"/>
      <c r="P231" s="1467"/>
      <c r="Q231" s="540"/>
      <c r="R231" s="541" t="s">
        <v>321</v>
      </c>
      <c r="S231" s="559" t="s">
        <v>218</v>
      </c>
      <c r="T231" s="1395">
        <f t="shared" si="7"/>
        <v>0</v>
      </c>
      <c r="U231" s="1396"/>
      <c r="V231" s="1397"/>
      <c r="W231" s="543"/>
      <c r="X231" s="544"/>
      <c r="Y231" s="545">
        <f t="shared" si="3"/>
        <v>0</v>
      </c>
      <c r="Z231" s="546">
        <f t="shared" si="4"/>
        <v>9</v>
      </c>
      <c r="AA231" s="513"/>
      <c r="AC231" s="519" t="s">
        <v>333</v>
      </c>
      <c r="AD231" s="560" t="s">
        <v>334</v>
      </c>
      <c r="AE231" s="521">
        <f>AO349</f>
        <v>0</v>
      </c>
      <c r="AF231" s="522" t="str">
        <f t="shared" si="2"/>
        <v/>
      </c>
      <c r="AH231" s="498"/>
      <c r="AI231" s="1362" t="s">
        <v>335</v>
      </c>
      <c r="AJ231" s="1363"/>
      <c r="AK231" s="1363"/>
      <c r="AL231" s="1363"/>
      <c r="AM231" s="1364"/>
      <c r="AN231" s="561" t="s">
        <v>336</v>
      </c>
      <c r="AO231" s="507">
        <f t="shared" si="0"/>
        <v>0</v>
      </c>
      <c r="AP231" s="508"/>
      <c r="AQ231" s="498"/>
      <c r="AR231" s="1376" t="s">
        <v>337</v>
      </c>
      <c r="AS231" s="1377"/>
      <c r="AT231" s="1377"/>
      <c r="AU231" s="1377"/>
      <c r="AV231" s="1402"/>
      <c r="AW231" s="562" t="s">
        <v>338</v>
      </c>
      <c r="AX231" s="507">
        <f t="shared" si="1"/>
        <v>0</v>
      </c>
      <c r="AY231" s="516"/>
      <c r="AZ231" s="498"/>
      <c r="BA231" s="501"/>
    </row>
    <row r="232" spans="1:60" ht="18.75" thickBot="1" x14ac:dyDescent="0.3">
      <c r="A232" s="1465" t="s">
        <v>73</v>
      </c>
      <c r="B232" s="1466"/>
      <c r="C232" s="1467"/>
      <c r="D232" s="540" t="s">
        <v>339</v>
      </c>
      <c r="E232" s="541" t="s">
        <v>321</v>
      </c>
      <c r="F232" s="563" t="s">
        <v>72</v>
      </c>
      <c r="G232" s="1395">
        <f t="shared" si="5"/>
        <v>0</v>
      </c>
      <c r="H232" s="1396"/>
      <c r="I232" s="1397"/>
      <c r="J232" s="543"/>
      <c r="K232" s="544"/>
      <c r="L232" s="545">
        <f t="shared" si="6"/>
        <v>0</v>
      </c>
      <c r="M232" s="513"/>
      <c r="N232" s="1465" t="s">
        <v>73</v>
      </c>
      <c r="O232" s="1466"/>
      <c r="P232" s="1467"/>
      <c r="Q232" s="540" t="s">
        <v>339</v>
      </c>
      <c r="R232" s="541" t="s">
        <v>321</v>
      </c>
      <c r="S232" s="563" t="s">
        <v>72</v>
      </c>
      <c r="T232" s="1395">
        <f t="shared" si="7"/>
        <v>0</v>
      </c>
      <c r="U232" s="1396"/>
      <c r="V232" s="1397"/>
      <c r="W232" s="543"/>
      <c r="X232" s="544"/>
      <c r="Y232" s="545">
        <f t="shared" si="3"/>
        <v>0</v>
      </c>
      <c r="Z232" s="546">
        <f t="shared" si="4"/>
        <v>0</v>
      </c>
      <c r="AA232" s="513" t="b">
        <f>IFERROR(T234&gt;0.5,FALSE)</f>
        <v>0</v>
      </c>
      <c r="AC232" s="519" t="s">
        <v>340</v>
      </c>
      <c r="AD232" s="564" t="s">
        <v>341</v>
      </c>
      <c r="AE232" s="521">
        <f>AO405</f>
        <v>0</v>
      </c>
      <c r="AF232" s="522" t="str">
        <f t="shared" si="2"/>
        <v/>
      </c>
      <c r="AH232" s="498"/>
      <c r="AI232" s="1362" t="s">
        <v>342</v>
      </c>
      <c r="AJ232" s="1363"/>
      <c r="AK232" s="1363"/>
      <c r="AL232" s="1363"/>
      <c r="AM232" s="1364"/>
      <c r="AN232" s="565" t="s">
        <v>343</v>
      </c>
      <c r="AO232" s="507">
        <f t="shared" si="0"/>
        <v>0</v>
      </c>
      <c r="AP232" s="508"/>
      <c r="AQ232" s="498"/>
      <c r="AR232" s="1376" t="s">
        <v>344</v>
      </c>
      <c r="AS232" s="1377"/>
      <c r="AT232" s="1377"/>
      <c r="AU232" s="1377"/>
      <c r="AV232" s="1402"/>
      <c r="AW232" s="566" t="s">
        <v>345</v>
      </c>
      <c r="AX232" s="507">
        <f t="shared" si="1"/>
        <v>0</v>
      </c>
      <c r="AY232" s="516"/>
      <c r="AZ232" s="498"/>
      <c r="BA232" s="501"/>
    </row>
    <row r="233" spans="1:60" ht="18.75" thickBot="1" x14ac:dyDescent="0.3">
      <c r="A233" s="1465" t="s">
        <v>45</v>
      </c>
      <c r="B233" s="1466"/>
      <c r="C233" s="1467"/>
      <c r="D233" s="540"/>
      <c r="E233" s="541" t="s">
        <v>321</v>
      </c>
      <c r="F233" s="567" t="s">
        <v>46</v>
      </c>
      <c r="G233" s="1395">
        <f t="shared" si="5"/>
        <v>2</v>
      </c>
      <c r="H233" s="1396"/>
      <c r="I233" s="1397"/>
      <c r="J233" s="543"/>
      <c r="K233" s="544"/>
      <c r="L233" s="545">
        <f t="shared" si="6"/>
        <v>2</v>
      </c>
      <c r="M233" s="513"/>
      <c r="N233" s="1465" t="s">
        <v>45</v>
      </c>
      <c r="O233" s="1466"/>
      <c r="P233" s="1467"/>
      <c r="Q233" s="540"/>
      <c r="R233" s="541" t="s">
        <v>321</v>
      </c>
      <c r="S233" s="567" t="s">
        <v>46</v>
      </c>
      <c r="T233" s="1395">
        <f t="shared" si="7"/>
        <v>0</v>
      </c>
      <c r="U233" s="1396"/>
      <c r="V233" s="1397"/>
      <c r="W233" s="543"/>
      <c r="X233" s="544"/>
      <c r="Y233" s="545">
        <f t="shared" si="3"/>
        <v>0</v>
      </c>
      <c r="Z233" s="546">
        <f t="shared" si="4"/>
        <v>2</v>
      </c>
      <c r="AA233" s="513" t="b">
        <f>IFERROR(T235&gt;0.5,FALSE)</f>
        <v>0</v>
      </c>
      <c r="AC233" s="519" t="s">
        <v>346</v>
      </c>
      <c r="AD233" s="568" t="s">
        <v>347</v>
      </c>
      <c r="AE233" s="521">
        <f>AO369</f>
        <v>0</v>
      </c>
      <c r="AF233" s="522" t="str">
        <f t="shared" si="2"/>
        <v/>
      </c>
      <c r="AH233" s="498"/>
      <c r="AI233" s="1362" t="s">
        <v>348</v>
      </c>
      <c r="AJ233" s="1363"/>
      <c r="AK233" s="1363"/>
      <c r="AL233" s="1363"/>
      <c r="AM233" s="1364"/>
      <c r="AN233" s="569" t="s">
        <v>349</v>
      </c>
      <c r="AO233" s="507">
        <f t="shared" si="0"/>
        <v>0</v>
      </c>
      <c r="AP233" s="508"/>
      <c r="AQ233" s="498"/>
      <c r="AR233" s="1376" t="s">
        <v>350</v>
      </c>
      <c r="AS233" s="1377"/>
      <c r="AT233" s="1377"/>
      <c r="AU233" s="1377"/>
      <c r="AV233" s="1402"/>
      <c r="AW233" s="570" t="s">
        <v>351</v>
      </c>
      <c r="AX233" s="507">
        <f t="shared" si="1"/>
        <v>0</v>
      </c>
      <c r="AY233" s="516"/>
      <c r="AZ233" s="498"/>
      <c r="BA233" s="501"/>
    </row>
    <row r="234" spans="1:60" ht="18.75" thickBot="1" x14ac:dyDescent="0.3">
      <c r="A234" s="1465" t="s">
        <v>75</v>
      </c>
      <c r="B234" s="1466"/>
      <c r="C234" s="1467"/>
      <c r="D234" s="540" t="s">
        <v>136</v>
      </c>
      <c r="E234" s="541" t="s">
        <v>321</v>
      </c>
      <c r="F234" s="571" t="s">
        <v>74</v>
      </c>
      <c r="G234" s="1395">
        <f t="shared" si="5"/>
        <v>0</v>
      </c>
      <c r="H234" s="1396"/>
      <c r="I234" s="1397"/>
      <c r="J234" s="543"/>
      <c r="K234" s="572"/>
      <c r="L234" s="545">
        <f t="shared" si="6"/>
        <v>0</v>
      </c>
      <c r="M234" s="513"/>
      <c r="N234" s="1465" t="s">
        <v>75</v>
      </c>
      <c r="O234" s="1466"/>
      <c r="P234" s="1467"/>
      <c r="Q234" s="540" t="s">
        <v>136</v>
      </c>
      <c r="R234" s="541" t="s">
        <v>321</v>
      </c>
      <c r="S234" s="571" t="s">
        <v>74</v>
      </c>
      <c r="T234" s="1395">
        <f t="shared" si="7"/>
        <v>0</v>
      </c>
      <c r="U234" s="1396"/>
      <c r="V234" s="1397"/>
      <c r="W234" s="543"/>
      <c r="X234" s="572"/>
      <c r="Y234" s="545">
        <f t="shared" si="3"/>
        <v>0</v>
      </c>
      <c r="Z234" s="546">
        <f t="shared" si="4"/>
        <v>0</v>
      </c>
      <c r="AA234" s="513"/>
      <c r="AC234" s="519" t="s">
        <v>352</v>
      </c>
      <c r="AD234" s="573" t="s">
        <v>57</v>
      </c>
      <c r="AE234" s="521">
        <f>AX362</f>
        <v>0</v>
      </c>
      <c r="AF234" s="522" t="str">
        <f t="shared" si="2"/>
        <v/>
      </c>
      <c r="AH234" s="498"/>
      <c r="AI234" s="1362" t="s">
        <v>353</v>
      </c>
      <c r="AJ234" s="1363"/>
      <c r="AK234" s="1363"/>
      <c r="AL234" s="1363"/>
      <c r="AM234" s="1364"/>
      <c r="AN234" s="574" t="s">
        <v>354</v>
      </c>
      <c r="AO234" s="507">
        <f t="shared" si="0"/>
        <v>0</v>
      </c>
      <c r="AP234" s="508"/>
      <c r="AQ234" s="498"/>
      <c r="AR234" s="1376" t="s">
        <v>355</v>
      </c>
      <c r="AS234" s="1377"/>
      <c r="AT234" s="1377"/>
      <c r="AU234" s="1377"/>
      <c r="AV234" s="1402"/>
      <c r="AW234" s="575" t="s">
        <v>356</v>
      </c>
      <c r="AX234" s="507">
        <f t="shared" si="1"/>
        <v>0</v>
      </c>
      <c r="AY234" s="516"/>
      <c r="AZ234" s="498"/>
      <c r="BA234" s="501"/>
    </row>
    <row r="235" spans="1:60" ht="18.75" thickBot="1" x14ac:dyDescent="0.3">
      <c r="A235" s="1465" t="s">
        <v>8</v>
      </c>
      <c r="B235" s="1466"/>
      <c r="C235" s="1467"/>
      <c r="D235" s="540"/>
      <c r="E235" s="541" t="s">
        <v>321</v>
      </c>
      <c r="F235" s="576" t="s">
        <v>9</v>
      </c>
      <c r="G235" s="1395">
        <f t="shared" si="5"/>
        <v>4</v>
      </c>
      <c r="H235" s="1396"/>
      <c r="I235" s="1397"/>
      <c r="J235" s="543"/>
      <c r="K235" s="572"/>
      <c r="L235" s="545">
        <f t="shared" si="6"/>
        <v>4</v>
      </c>
      <c r="M235" s="513"/>
      <c r="N235" s="1465" t="s">
        <v>8</v>
      </c>
      <c r="O235" s="1466"/>
      <c r="P235" s="1467"/>
      <c r="Q235" s="540"/>
      <c r="R235" s="541" t="s">
        <v>321</v>
      </c>
      <c r="S235" s="576" t="s">
        <v>9</v>
      </c>
      <c r="T235" s="1395">
        <f t="shared" si="7"/>
        <v>0</v>
      </c>
      <c r="U235" s="1396"/>
      <c r="V235" s="1397"/>
      <c r="W235" s="543"/>
      <c r="X235" s="572"/>
      <c r="Y235" s="545">
        <f t="shared" si="3"/>
        <v>0</v>
      </c>
      <c r="Z235" s="546">
        <f t="shared" si="4"/>
        <v>4</v>
      </c>
      <c r="AA235" s="513"/>
      <c r="AC235" s="519" t="s">
        <v>357</v>
      </c>
      <c r="AD235" s="577" t="s">
        <v>357</v>
      </c>
      <c r="AE235" s="521">
        <f>AX367</f>
        <v>0</v>
      </c>
      <c r="AF235" s="522" t="str">
        <f t="shared" si="2"/>
        <v/>
      </c>
      <c r="AH235" s="498"/>
      <c r="AI235" s="1362" t="s">
        <v>358</v>
      </c>
      <c r="AJ235" s="1363"/>
      <c r="AK235" s="1363"/>
      <c r="AL235" s="1363"/>
      <c r="AM235" s="1364"/>
      <c r="AN235" s="574" t="s">
        <v>359</v>
      </c>
      <c r="AO235" s="507">
        <f t="shared" si="0"/>
        <v>0</v>
      </c>
      <c r="AP235" s="508"/>
      <c r="AQ235" s="498"/>
      <c r="AR235" s="1376" t="s">
        <v>360</v>
      </c>
      <c r="AS235" s="1377"/>
      <c r="AT235" s="1377"/>
      <c r="AU235" s="1377"/>
      <c r="AV235" s="1402"/>
      <c r="AW235" s="578" t="s">
        <v>361</v>
      </c>
      <c r="AX235" s="507">
        <f t="shared" si="1"/>
        <v>0</v>
      </c>
      <c r="AY235" s="516"/>
      <c r="AZ235" s="498"/>
      <c r="BA235" s="501"/>
    </row>
    <row r="236" spans="1:60" ht="18.75" thickBot="1" x14ac:dyDescent="0.3">
      <c r="A236" s="1465" t="s">
        <v>15</v>
      </c>
      <c r="B236" s="1466"/>
      <c r="C236" s="1467"/>
      <c r="D236" s="540"/>
      <c r="E236" s="541"/>
      <c r="F236" s="579" t="s">
        <v>14</v>
      </c>
      <c r="G236" s="1395">
        <f t="shared" si="5"/>
        <v>0</v>
      </c>
      <c r="H236" s="1396"/>
      <c r="I236" s="1397"/>
      <c r="J236" s="543"/>
      <c r="K236" s="544"/>
      <c r="L236" s="545">
        <f t="shared" si="6"/>
        <v>0</v>
      </c>
      <c r="M236" s="513"/>
      <c r="N236" s="1465" t="s">
        <v>15</v>
      </c>
      <c r="O236" s="1466"/>
      <c r="P236" s="1467"/>
      <c r="Q236" s="540"/>
      <c r="R236" s="541"/>
      <c r="S236" s="579" t="s">
        <v>14</v>
      </c>
      <c r="T236" s="1395">
        <f t="shared" si="7"/>
        <v>0</v>
      </c>
      <c r="U236" s="1396"/>
      <c r="V236" s="1397"/>
      <c r="W236" s="543"/>
      <c r="X236" s="544"/>
      <c r="Y236" s="545">
        <f t="shared" si="3"/>
        <v>0</v>
      </c>
      <c r="Z236" s="546">
        <f t="shared" si="4"/>
        <v>0</v>
      </c>
      <c r="AA236" s="513"/>
      <c r="AC236" s="580" t="s">
        <v>362</v>
      </c>
      <c r="AD236" s="581" t="s">
        <v>363</v>
      </c>
      <c r="AE236" s="521">
        <f>AX380</f>
        <v>0</v>
      </c>
      <c r="AF236" s="522" t="str">
        <f t="shared" si="2"/>
        <v/>
      </c>
      <c r="AH236" s="498"/>
      <c r="AI236" s="1362" t="s">
        <v>364</v>
      </c>
      <c r="AJ236" s="1363"/>
      <c r="AK236" s="1363"/>
      <c r="AL236" s="1363"/>
      <c r="AM236" s="1364"/>
      <c r="AN236" s="582" t="s">
        <v>365</v>
      </c>
      <c r="AO236" s="507">
        <f t="shared" si="0"/>
        <v>0</v>
      </c>
      <c r="AP236" s="508"/>
      <c r="AQ236" s="498"/>
      <c r="AR236" s="1376" t="s">
        <v>366</v>
      </c>
      <c r="AS236" s="1377"/>
      <c r="AT236" s="1377"/>
      <c r="AU236" s="1377"/>
      <c r="AV236" s="1402"/>
      <c r="AW236" s="63" t="s">
        <v>367</v>
      </c>
      <c r="AX236" s="507">
        <f t="shared" si="1"/>
        <v>0</v>
      </c>
      <c r="AY236" s="516"/>
      <c r="AZ236" s="498"/>
      <c r="BA236" s="501"/>
    </row>
    <row r="237" spans="1:60" ht="18.75" thickBot="1" x14ac:dyDescent="0.3">
      <c r="A237" s="1465" t="s">
        <v>29</v>
      </c>
      <c r="B237" s="1466"/>
      <c r="C237" s="1467"/>
      <c r="D237" s="540"/>
      <c r="E237" s="541"/>
      <c r="F237" s="583" t="s">
        <v>26</v>
      </c>
      <c r="G237" s="1395">
        <f t="shared" si="5"/>
        <v>4</v>
      </c>
      <c r="H237" s="1396"/>
      <c r="I237" s="1397"/>
      <c r="J237" s="543"/>
      <c r="K237" s="572"/>
      <c r="L237" s="545">
        <f t="shared" si="6"/>
        <v>4</v>
      </c>
      <c r="M237" s="513"/>
      <c r="N237" s="1465" t="s">
        <v>29</v>
      </c>
      <c r="O237" s="1466"/>
      <c r="P237" s="1467"/>
      <c r="Q237" s="540"/>
      <c r="R237" s="541"/>
      <c r="S237" s="583" t="s">
        <v>26</v>
      </c>
      <c r="T237" s="1395">
        <f t="shared" si="7"/>
        <v>0</v>
      </c>
      <c r="U237" s="1396"/>
      <c r="V237" s="1397"/>
      <c r="W237" s="543"/>
      <c r="X237" s="572"/>
      <c r="Y237" s="545">
        <f t="shared" si="3"/>
        <v>0</v>
      </c>
      <c r="Z237" s="546">
        <f t="shared" si="4"/>
        <v>4</v>
      </c>
      <c r="AA237" s="513"/>
      <c r="AC237" s="580" t="s">
        <v>368</v>
      </c>
      <c r="AD237" s="584" t="s">
        <v>369</v>
      </c>
      <c r="AE237" s="521" t="s">
        <v>370</v>
      </c>
      <c r="AF237" s="522" t="str">
        <f t="shared" si="2"/>
        <v/>
      </c>
      <c r="AH237" s="498"/>
      <c r="AI237" s="1362" t="s">
        <v>371</v>
      </c>
      <c r="AJ237" s="1363"/>
      <c r="AK237" s="1363"/>
      <c r="AL237" s="1363"/>
      <c r="AM237" s="1364"/>
      <c r="AN237" s="585" t="s">
        <v>372</v>
      </c>
      <c r="AO237" s="507">
        <f t="shared" si="0"/>
        <v>0</v>
      </c>
      <c r="AP237" s="508"/>
      <c r="AQ237" s="498"/>
      <c r="AR237" s="1376" t="s">
        <v>373</v>
      </c>
      <c r="AS237" s="1377"/>
      <c r="AT237" s="1377"/>
      <c r="AU237" s="1377"/>
      <c r="AV237" s="1402"/>
      <c r="AW237" s="323" t="s">
        <v>374</v>
      </c>
      <c r="AX237" s="507">
        <f t="shared" si="1"/>
        <v>0</v>
      </c>
      <c r="AY237" s="516"/>
      <c r="AZ237" s="498"/>
      <c r="BA237" s="501"/>
    </row>
    <row r="238" spans="1:60" ht="18" x14ac:dyDescent="0.25">
      <c r="A238" s="1465" t="s">
        <v>77</v>
      </c>
      <c r="B238" s="1466"/>
      <c r="C238" s="1467"/>
      <c r="D238" s="540"/>
      <c r="E238" s="541" t="s">
        <v>321</v>
      </c>
      <c r="F238" s="2" t="s">
        <v>76</v>
      </c>
      <c r="G238" s="1395">
        <f t="shared" si="5"/>
        <v>0</v>
      </c>
      <c r="H238" s="1396"/>
      <c r="I238" s="1397"/>
      <c r="J238" s="543"/>
      <c r="K238" s="544"/>
      <c r="L238" s="545">
        <f t="shared" si="6"/>
        <v>0</v>
      </c>
      <c r="M238" s="513"/>
      <c r="N238" s="1465" t="s">
        <v>77</v>
      </c>
      <c r="O238" s="1466"/>
      <c r="P238" s="1467"/>
      <c r="Q238" s="540"/>
      <c r="R238" s="541" t="s">
        <v>321</v>
      </c>
      <c r="S238" s="2" t="s">
        <v>76</v>
      </c>
      <c r="T238" s="1395">
        <f t="shared" si="7"/>
        <v>0</v>
      </c>
      <c r="U238" s="1396"/>
      <c r="V238" s="1397"/>
      <c r="W238" s="543"/>
      <c r="X238" s="544"/>
      <c r="Y238" s="545">
        <f t="shared" si="3"/>
        <v>0</v>
      </c>
      <c r="Z238" s="546">
        <f t="shared" si="4"/>
        <v>0</v>
      </c>
      <c r="AA238" s="513"/>
      <c r="AC238" s="580" t="s">
        <v>375</v>
      </c>
      <c r="AD238" s="586" t="s">
        <v>376</v>
      </c>
      <c r="AE238" s="521">
        <f>AX384</f>
        <v>0</v>
      </c>
      <c r="AF238" s="522" t="str">
        <f t="shared" si="2"/>
        <v/>
      </c>
      <c r="AH238" s="498"/>
      <c r="AI238" s="1362" t="s">
        <v>377</v>
      </c>
      <c r="AJ238" s="1363"/>
      <c r="AK238" s="1363"/>
      <c r="AL238" s="1363"/>
      <c r="AM238" s="1364"/>
      <c r="AN238" s="587" t="s">
        <v>378</v>
      </c>
      <c r="AO238" s="507">
        <f t="shared" si="0"/>
        <v>0</v>
      </c>
      <c r="AP238" s="508"/>
      <c r="AQ238" s="498"/>
      <c r="AR238" s="1376" t="s">
        <v>379</v>
      </c>
      <c r="AS238" s="1377"/>
      <c r="AT238" s="1377"/>
      <c r="AU238" s="1377"/>
      <c r="AV238" s="1402"/>
      <c r="AW238" s="588" t="s">
        <v>380</v>
      </c>
      <c r="AX238" s="507">
        <f t="shared" si="1"/>
        <v>0</v>
      </c>
      <c r="AY238" s="516"/>
      <c r="AZ238" s="498"/>
      <c r="BA238" s="501"/>
    </row>
    <row r="239" spans="1:60" ht="18.75" thickBot="1" x14ac:dyDescent="0.3">
      <c r="A239" s="1465" t="s">
        <v>79</v>
      </c>
      <c r="B239" s="1466"/>
      <c r="C239" s="1467"/>
      <c r="D239" s="540"/>
      <c r="E239" s="541" t="s">
        <v>321</v>
      </c>
      <c r="F239" s="589" t="s">
        <v>78</v>
      </c>
      <c r="G239" s="1395">
        <f t="shared" si="5"/>
        <v>0</v>
      </c>
      <c r="H239" s="1396"/>
      <c r="I239" s="1397"/>
      <c r="J239" s="543"/>
      <c r="K239" s="544"/>
      <c r="L239" s="545">
        <f t="shared" si="6"/>
        <v>0</v>
      </c>
      <c r="M239" s="513"/>
      <c r="N239" s="1465" t="s">
        <v>79</v>
      </c>
      <c r="O239" s="1466"/>
      <c r="P239" s="1467"/>
      <c r="Q239" s="540"/>
      <c r="R239" s="541" t="s">
        <v>321</v>
      </c>
      <c r="S239" s="589" t="s">
        <v>78</v>
      </c>
      <c r="T239" s="1395">
        <f t="shared" si="7"/>
        <v>0</v>
      </c>
      <c r="U239" s="1396"/>
      <c r="V239" s="1397"/>
      <c r="W239" s="543"/>
      <c r="X239" s="544"/>
      <c r="Y239" s="545">
        <f t="shared" si="3"/>
        <v>0</v>
      </c>
      <c r="Z239" s="546">
        <f t="shared" si="4"/>
        <v>0</v>
      </c>
      <c r="AA239" s="513"/>
      <c r="AC239" s="580" t="s">
        <v>381</v>
      </c>
      <c r="AD239" s="590" t="s">
        <v>382</v>
      </c>
      <c r="AE239" s="521">
        <f>AO387</f>
        <v>0</v>
      </c>
      <c r="AF239" s="522" t="str">
        <f t="shared" si="2"/>
        <v/>
      </c>
      <c r="AH239" s="498"/>
      <c r="AI239" s="1362" t="s">
        <v>383</v>
      </c>
      <c r="AJ239" s="1363"/>
      <c r="AK239" s="1363"/>
      <c r="AL239" s="1363"/>
      <c r="AM239" s="1364"/>
      <c r="AN239" s="591" t="s">
        <v>384</v>
      </c>
      <c r="AO239" s="507">
        <f t="shared" si="0"/>
        <v>0</v>
      </c>
      <c r="AP239" s="508"/>
      <c r="AQ239" s="498"/>
      <c r="AR239" s="1376" t="s">
        <v>385</v>
      </c>
      <c r="AS239" s="1377"/>
      <c r="AT239" s="1377"/>
      <c r="AU239" s="1377"/>
      <c r="AV239" s="1402"/>
      <c r="AW239" s="592" t="s">
        <v>386</v>
      </c>
      <c r="AX239" s="507">
        <f t="shared" si="1"/>
        <v>0</v>
      </c>
      <c r="AY239" s="516"/>
      <c r="AZ239" s="498"/>
      <c r="BA239" s="501"/>
    </row>
    <row r="240" spans="1:60" ht="18.75" thickBot="1" x14ac:dyDescent="0.3">
      <c r="A240" s="1465" t="s">
        <v>80</v>
      </c>
      <c r="B240" s="1466"/>
      <c r="C240" s="1467"/>
      <c r="D240" s="540"/>
      <c r="E240" s="541"/>
      <c r="F240" s="593" t="s">
        <v>115</v>
      </c>
      <c r="G240" s="1395">
        <f t="shared" si="5"/>
        <v>1</v>
      </c>
      <c r="H240" s="1396"/>
      <c r="I240" s="1397"/>
      <c r="J240" s="543"/>
      <c r="K240" s="544"/>
      <c r="L240" s="545">
        <f t="shared" si="6"/>
        <v>1</v>
      </c>
      <c r="M240" s="513"/>
      <c r="N240" s="1465" t="s">
        <v>80</v>
      </c>
      <c r="O240" s="1466"/>
      <c r="P240" s="1467"/>
      <c r="Q240" s="540"/>
      <c r="R240" s="541"/>
      <c r="S240" s="593" t="s">
        <v>115</v>
      </c>
      <c r="T240" s="1395">
        <f t="shared" si="7"/>
        <v>0</v>
      </c>
      <c r="U240" s="1396"/>
      <c r="V240" s="1397"/>
      <c r="W240" s="543"/>
      <c r="X240" s="544"/>
      <c r="Y240" s="545">
        <f t="shared" si="3"/>
        <v>0</v>
      </c>
      <c r="Z240" s="546">
        <f t="shared" si="4"/>
        <v>1</v>
      </c>
      <c r="AA240" s="513"/>
      <c r="AC240" s="580" t="s">
        <v>275</v>
      </c>
      <c r="AD240" s="594" t="s">
        <v>387</v>
      </c>
      <c r="AE240" s="521">
        <f>AX264</f>
        <v>0</v>
      </c>
      <c r="AF240" s="522" t="str">
        <f t="shared" si="2"/>
        <v/>
      </c>
      <c r="AH240" s="498"/>
      <c r="AI240" s="1362" t="s">
        <v>388</v>
      </c>
      <c r="AJ240" s="1363"/>
      <c r="AK240" s="1363"/>
      <c r="AL240" s="1363"/>
      <c r="AM240" s="1363"/>
      <c r="AN240" s="595" t="s">
        <v>389</v>
      </c>
      <c r="AO240" s="507">
        <f t="shared" si="0"/>
        <v>0</v>
      </c>
      <c r="AP240" s="508"/>
      <c r="AQ240" s="498"/>
      <c r="AR240" s="1376" t="s">
        <v>390</v>
      </c>
      <c r="AS240" s="1377"/>
      <c r="AT240" s="1377"/>
      <c r="AU240" s="1377"/>
      <c r="AV240" s="1402"/>
      <c r="AW240" s="592" t="s">
        <v>391</v>
      </c>
      <c r="AX240" s="507">
        <f t="shared" si="1"/>
        <v>0</v>
      </c>
      <c r="AY240" s="516"/>
      <c r="AZ240" s="498"/>
      <c r="BA240" s="501"/>
    </row>
    <row r="241" spans="1:60" ht="18.75" thickBot="1" x14ac:dyDescent="0.3">
      <c r="A241" s="1465" t="s">
        <v>36</v>
      </c>
      <c r="B241" s="1466"/>
      <c r="C241" s="1467"/>
      <c r="D241" s="540"/>
      <c r="E241" s="541" t="s">
        <v>321</v>
      </c>
      <c r="F241" s="596" t="s">
        <v>37</v>
      </c>
      <c r="G241" s="1395">
        <f t="shared" si="5"/>
        <v>0</v>
      </c>
      <c r="H241" s="1396"/>
      <c r="I241" s="1397"/>
      <c r="J241" s="543"/>
      <c r="K241" s="544"/>
      <c r="L241" s="545">
        <f t="shared" si="6"/>
        <v>0</v>
      </c>
      <c r="M241" s="513"/>
      <c r="N241" s="1465" t="s">
        <v>36</v>
      </c>
      <c r="O241" s="1466"/>
      <c r="P241" s="1467"/>
      <c r="Q241" s="540"/>
      <c r="R241" s="541" t="s">
        <v>321</v>
      </c>
      <c r="S241" s="596" t="s">
        <v>37</v>
      </c>
      <c r="T241" s="1395">
        <f t="shared" si="7"/>
        <v>0</v>
      </c>
      <c r="U241" s="1396"/>
      <c r="V241" s="1397"/>
      <c r="W241" s="543"/>
      <c r="X241" s="544"/>
      <c r="Y241" s="545">
        <f t="shared" si="3"/>
        <v>0</v>
      </c>
      <c r="Z241" s="546">
        <f t="shared" si="4"/>
        <v>0</v>
      </c>
      <c r="AA241" s="513"/>
      <c r="AC241" s="597" t="s">
        <v>173</v>
      </c>
      <c r="AD241" s="82" t="s">
        <v>392</v>
      </c>
      <c r="AE241" s="521">
        <f t="shared" ref="AE241" si="8">COUNTIF($P$1:$Q$1,AD241)</f>
        <v>0</v>
      </c>
      <c r="AF241" s="522" t="str">
        <f t="shared" si="2"/>
        <v/>
      </c>
      <c r="AH241" s="498"/>
      <c r="AI241" s="1362" t="s">
        <v>393</v>
      </c>
      <c r="AJ241" s="1363"/>
      <c r="AK241" s="1363"/>
      <c r="AL241" s="1363"/>
      <c r="AM241" s="1364"/>
      <c r="AN241" s="598" t="s">
        <v>394</v>
      </c>
      <c r="AO241" s="507">
        <f t="shared" si="0"/>
        <v>0</v>
      </c>
      <c r="AP241" s="508"/>
      <c r="AQ241" s="498"/>
      <c r="AR241" s="1376" t="s">
        <v>395</v>
      </c>
      <c r="AS241" s="1377"/>
      <c r="AT241" s="1377"/>
      <c r="AU241" s="1377"/>
      <c r="AV241" s="1402"/>
      <c r="AW241" s="62" t="s">
        <v>396</v>
      </c>
      <c r="AX241" s="507">
        <f t="shared" si="1"/>
        <v>0</v>
      </c>
      <c r="AY241" s="516"/>
      <c r="AZ241" s="498"/>
      <c r="BA241" s="501"/>
      <c r="BB241" s="498"/>
      <c r="BC241" s="498"/>
      <c r="BD241" s="498"/>
      <c r="BE241" s="498"/>
      <c r="BF241" s="498"/>
      <c r="BG241" s="498"/>
      <c r="BH241" s="498"/>
    </row>
    <row r="242" spans="1:60" ht="18" x14ac:dyDescent="0.25">
      <c r="A242" s="1465" t="s">
        <v>43</v>
      </c>
      <c r="B242" s="1466"/>
      <c r="C242" s="1467"/>
      <c r="D242" s="540"/>
      <c r="E242" s="541"/>
      <c r="F242" s="599" t="s">
        <v>44</v>
      </c>
      <c r="G242" s="1395">
        <f t="shared" si="5"/>
        <v>0</v>
      </c>
      <c r="H242" s="1396"/>
      <c r="I242" s="1397"/>
      <c r="J242" s="543"/>
      <c r="K242" s="544"/>
      <c r="L242" s="545">
        <f t="shared" si="6"/>
        <v>0</v>
      </c>
      <c r="M242" s="513"/>
      <c r="N242" s="1465" t="s">
        <v>43</v>
      </c>
      <c r="O242" s="1466"/>
      <c r="P242" s="1467"/>
      <c r="Q242" s="540"/>
      <c r="R242" s="541"/>
      <c r="S242" s="599" t="s">
        <v>44</v>
      </c>
      <c r="T242" s="1395">
        <f t="shared" si="7"/>
        <v>0</v>
      </c>
      <c r="U242" s="1396"/>
      <c r="V242" s="1397"/>
      <c r="W242" s="543"/>
      <c r="X242" s="544"/>
      <c r="Y242" s="545">
        <f t="shared" si="3"/>
        <v>0</v>
      </c>
      <c r="Z242" s="546">
        <f t="shared" si="4"/>
        <v>0</v>
      </c>
      <c r="AA242" s="513"/>
      <c r="AC242" s="580" t="s">
        <v>397</v>
      </c>
      <c r="AD242" s="600" t="s">
        <v>398</v>
      </c>
      <c r="AE242" s="521">
        <f>COUNTIF($P$1:$Q$1,AD242)</f>
        <v>0</v>
      </c>
      <c r="AF242" s="522" t="str">
        <f t="shared" si="2"/>
        <v/>
      </c>
      <c r="AH242" s="498"/>
      <c r="AI242" s="1362" t="s">
        <v>399</v>
      </c>
      <c r="AJ242" s="1363"/>
      <c r="AK242" s="1363"/>
      <c r="AL242" s="1363"/>
      <c r="AM242" s="1364"/>
      <c r="AN242" s="601" t="s">
        <v>400</v>
      </c>
      <c r="AO242" s="507">
        <f t="shared" si="0"/>
        <v>0</v>
      </c>
      <c r="AP242" s="508"/>
      <c r="AQ242" s="498"/>
      <c r="AR242" s="1376" t="s">
        <v>401</v>
      </c>
      <c r="AS242" s="1377"/>
      <c r="AT242" s="1377"/>
      <c r="AU242" s="1377"/>
      <c r="AV242" s="1402"/>
      <c r="AW242" s="602" t="s">
        <v>402</v>
      </c>
      <c r="AX242" s="507">
        <f t="shared" si="1"/>
        <v>0</v>
      </c>
      <c r="AY242" s="516"/>
      <c r="AZ242" s="498"/>
      <c r="BA242" s="501"/>
      <c r="BB242" s="498"/>
      <c r="BC242" s="498"/>
      <c r="BD242" s="498"/>
      <c r="BE242" s="498"/>
      <c r="BF242" s="498"/>
      <c r="BG242" s="498"/>
      <c r="BH242" s="498"/>
    </row>
    <row r="243" spans="1:60" ht="18.75" thickBot="1" x14ac:dyDescent="0.3">
      <c r="A243" s="1465" t="s">
        <v>16</v>
      </c>
      <c r="B243" s="1466"/>
      <c r="C243" s="1467"/>
      <c r="D243" s="540"/>
      <c r="E243" s="541"/>
      <c r="F243" s="603" t="s">
        <v>7</v>
      </c>
      <c r="G243" s="1395">
        <f t="shared" si="5"/>
        <v>0</v>
      </c>
      <c r="H243" s="1396"/>
      <c r="I243" s="1397"/>
      <c r="J243" s="543"/>
      <c r="K243" s="544"/>
      <c r="L243" s="545">
        <f t="shared" si="6"/>
        <v>0</v>
      </c>
      <c r="M243" s="513"/>
      <c r="N243" s="1465" t="s">
        <v>16</v>
      </c>
      <c r="O243" s="1466"/>
      <c r="P243" s="1467"/>
      <c r="Q243" s="540"/>
      <c r="R243" s="541"/>
      <c r="S243" s="603" t="s">
        <v>7</v>
      </c>
      <c r="T243" s="1395">
        <f t="shared" si="7"/>
        <v>0</v>
      </c>
      <c r="U243" s="1396"/>
      <c r="V243" s="1397"/>
      <c r="W243" s="543"/>
      <c r="X243" s="544"/>
      <c r="Y243" s="545">
        <f t="shared" si="3"/>
        <v>0</v>
      </c>
      <c r="Z243" s="546">
        <f t="shared" si="4"/>
        <v>0</v>
      </c>
      <c r="AA243" s="513"/>
      <c r="AC243" s="580" t="s">
        <v>403</v>
      </c>
      <c r="AD243" s="604" t="s">
        <v>404</v>
      </c>
      <c r="AE243" s="521">
        <f>AO400</f>
        <v>0</v>
      </c>
      <c r="AF243" s="522" t="str">
        <f t="shared" si="2"/>
        <v/>
      </c>
      <c r="AH243" s="498"/>
      <c r="AI243" s="1362" t="s">
        <v>405</v>
      </c>
      <c r="AJ243" s="1363"/>
      <c r="AK243" s="1363"/>
      <c r="AL243" s="1363"/>
      <c r="AM243" s="1364"/>
      <c r="AN243" s="605" t="s">
        <v>406</v>
      </c>
      <c r="AO243" s="507">
        <f t="shared" si="0"/>
        <v>0</v>
      </c>
      <c r="AP243" s="508"/>
      <c r="AQ243" s="498"/>
      <c r="AR243" s="1376" t="s">
        <v>407</v>
      </c>
      <c r="AS243" s="1377"/>
      <c r="AT243" s="1377"/>
      <c r="AU243" s="1377"/>
      <c r="AV243" s="1402"/>
      <c r="AW243" s="606" t="s">
        <v>408</v>
      </c>
      <c r="AX243" s="507">
        <f t="shared" si="1"/>
        <v>0</v>
      </c>
      <c r="AY243" s="516"/>
      <c r="AZ243" s="498"/>
      <c r="BA243" s="501"/>
    </row>
    <row r="244" spans="1:60" ht="18.75" thickBot="1" x14ac:dyDescent="0.3">
      <c r="A244" s="1465" t="s">
        <v>21</v>
      </c>
      <c r="B244" s="1466"/>
      <c r="C244" s="1467"/>
      <c r="D244" s="540"/>
      <c r="E244" s="541"/>
      <c r="F244" s="607" t="s">
        <v>11</v>
      </c>
      <c r="G244" s="1395">
        <f t="shared" si="5"/>
        <v>0</v>
      </c>
      <c r="H244" s="1396"/>
      <c r="I244" s="1397"/>
      <c r="J244" s="543"/>
      <c r="K244" s="544"/>
      <c r="L244" s="545">
        <f t="shared" si="6"/>
        <v>0</v>
      </c>
      <c r="M244" s="513"/>
      <c r="N244" s="1465" t="s">
        <v>21</v>
      </c>
      <c r="O244" s="1466"/>
      <c r="P244" s="1467"/>
      <c r="Q244" s="540"/>
      <c r="R244" s="541"/>
      <c r="S244" s="607" t="s">
        <v>11</v>
      </c>
      <c r="T244" s="1395">
        <f t="shared" si="7"/>
        <v>0</v>
      </c>
      <c r="U244" s="1396"/>
      <c r="V244" s="1397"/>
      <c r="W244" s="543"/>
      <c r="X244" s="544"/>
      <c r="Y244" s="545">
        <f t="shared" si="3"/>
        <v>0</v>
      </c>
      <c r="Z244" s="546">
        <f t="shared" si="4"/>
        <v>0</v>
      </c>
      <c r="AA244" s="513"/>
      <c r="AC244" s="580" t="s">
        <v>409</v>
      </c>
      <c r="AD244" s="608" t="s">
        <v>410</v>
      </c>
      <c r="AE244" s="521">
        <f>AX392</f>
        <v>0</v>
      </c>
      <c r="AF244" s="522" t="str">
        <f t="shared" si="2"/>
        <v/>
      </c>
      <c r="AH244" s="498"/>
      <c r="AI244" s="1362" t="s">
        <v>411</v>
      </c>
      <c r="AJ244" s="1363"/>
      <c r="AK244" s="1363"/>
      <c r="AL244" s="1363"/>
      <c r="AM244" s="1364"/>
      <c r="AN244" s="609" t="s">
        <v>412</v>
      </c>
      <c r="AO244" s="507">
        <f t="shared" si="0"/>
        <v>0</v>
      </c>
      <c r="AP244" s="508"/>
      <c r="AQ244" s="498"/>
      <c r="AR244" s="1376" t="s">
        <v>413</v>
      </c>
      <c r="AS244" s="1377"/>
      <c r="AT244" s="1377"/>
      <c r="AU244" s="1377"/>
      <c r="AV244" s="1402"/>
      <c r="AW244" s="570" t="s">
        <v>414</v>
      </c>
      <c r="AX244" s="507">
        <f t="shared" si="1"/>
        <v>0</v>
      </c>
      <c r="AY244" s="516"/>
      <c r="AZ244" s="498"/>
      <c r="BA244" s="501"/>
    </row>
    <row r="245" spans="1:60" ht="18.75" thickBot="1" x14ac:dyDescent="0.3">
      <c r="A245" s="1465" t="s">
        <v>81</v>
      </c>
      <c r="B245" s="1466"/>
      <c r="C245" s="1467"/>
      <c r="D245" s="540"/>
      <c r="E245" s="541" t="s">
        <v>321</v>
      </c>
      <c r="F245" s="610" t="s">
        <v>35</v>
      </c>
      <c r="G245" s="1395">
        <f t="shared" si="5"/>
        <v>0</v>
      </c>
      <c r="H245" s="1396"/>
      <c r="I245" s="1397"/>
      <c r="J245" s="543"/>
      <c r="K245" s="544"/>
      <c r="L245" s="545">
        <f t="shared" si="6"/>
        <v>0</v>
      </c>
      <c r="M245" s="513"/>
      <c r="N245" s="1465" t="s">
        <v>81</v>
      </c>
      <c r="O245" s="1466"/>
      <c r="P245" s="1467"/>
      <c r="Q245" s="540"/>
      <c r="R245" s="541" t="s">
        <v>321</v>
      </c>
      <c r="S245" s="610" t="s">
        <v>35</v>
      </c>
      <c r="T245" s="1395">
        <f t="shared" si="7"/>
        <v>0</v>
      </c>
      <c r="U245" s="1396"/>
      <c r="V245" s="1397"/>
      <c r="W245" s="543"/>
      <c r="X245" s="544"/>
      <c r="Y245" s="545">
        <f t="shared" si="3"/>
        <v>0</v>
      </c>
      <c r="Z245" s="546">
        <f t="shared" si="4"/>
        <v>0</v>
      </c>
      <c r="AA245" s="513"/>
      <c r="AC245" s="580" t="s">
        <v>415</v>
      </c>
      <c r="AD245" s="611" t="s">
        <v>416</v>
      </c>
      <c r="AE245" s="521">
        <f>AO382</f>
        <v>0</v>
      </c>
      <c r="AF245" s="522" t="str">
        <f t="shared" si="2"/>
        <v/>
      </c>
      <c r="AH245" s="498"/>
      <c r="AI245" s="1362" t="s">
        <v>417</v>
      </c>
      <c r="AJ245" s="1363"/>
      <c r="AK245" s="1363"/>
      <c r="AL245" s="1363"/>
      <c r="AM245" s="1364"/>
      <c r="AN245" s="601" t="s">
        <v>418</v>
      </c>
      <c r="AO245" s="507">
        <f t="shared" si="0"/>
        <v>0</v>
      </c>
      <c r="AP245" s="508"/>
      <c r="AQ245" s="498"/>
      <c r="AR245" s="1376" t="s">
        <v>419</v>
      </c>
      <c r="AS245" s="1377"/>
      <c r="AT245" s="1377"/>
      <c r="AU245" s="1377"/>
      <c r="AV245" s="1402"/>
      <c r="AW245" s="612" t="s">
        <v>420</v>
      </c>
      <c r="AX245" s="507">
        <f t="shared" si="1"/>
        <v>0</v>
      </c>
      <c r="AY245" s="516"/>
      <c r="AZ245" s="498"/>
      <c r="BA245" s="501"/>
    </row>
    <row r="246" spans="1:60" ht="18.75" thickBot="1" x14ac:dyDescent="0.3">
      <c r="A246" s="1465" t="s">
        <v>12</v>
      </c>
      <c r="B246" s="1466"/>
      <c r="C246" s="1467"/>
      <c r="D246" s="540"/>
      <c r="E246" s="541"/>
      <c r="F246" s="613" t="s">
        <v>13</v>
      </c>
      <c r="G246" s="1395">
        <f t="shared" si="5"/>
        <v>0</v>
      </c>
      <c r="H246" s="1396"/>
      <c r="I246" s="1397"/>
      <c r="J246" s="543"/>
      <c r="K246" s="544"/>
      <c r="L246" s="545">
        <f t="shared" si="6"/>
        <v>0</v>
      </c>
      <c r="M246" s="513"/>
      <c r="N246" s="1465" t="s">
        <v>12</v>
      </c>
      <c r="O246" s="1466"/>
      <c r="P246" s="1467"/>
      <c r="Q246" s="540"/>
      <c r="R246" s="541"/>
      <c r="S246" s="613" t="s">
        <v>13</v>
      </c>
      <c r="T246" s="1395">
        <f t="shared" si="7"/>
        <v>0</v>
      </c>
      <c r="U246" s="1396"/>
      <c r="V246" s="1397"/>
      <c r="W246" s="543"/>
      <c r="X246" s="544"/>
      <c r="Y246" s="545">
        <f t="shared" si="3"/>
        <v>0</v>
      </c>
      <c r="Z246" s="546">
        <f t="shared" si="4"/>
        <v>0</v>
      </c>
      <c r="AA246" s="513"/>
      <c r="AC246" s="597" t="s">
        <v>421</v>
      </c>
      <c r="AD246" s="614" t="s">
        <v>422</v>
      </c>
      <c r="AE246" s="521">
        <f>AX388</f>
        <v>0</v>
      </c>
      <c r="AF246" s="522" t="str">
        <f t="shared" si="2"/>
        <v/>
      </c>
      <c r="AH246" s="498"/>
      <c r="AI246" s="1362" t="s">
        <v>423</v>
      </c>
      <c r="AJ246" s="1363"/>
      <c r="AK246" s="1363"/>
      <c r="AL246" s="1363"/>
      <c r="AM246" s="1364"/>
      <c r="AN246" s="615" t="s">
        <v>424</v>
      </c>
      <c r="AO246" s="507">
        <f t="shared" si="0"/>
        <v>0</v>
      </c>
      <c r="AP246" s="508"/>
      <c r="AQ246" s="498"/>
      <c r="AR246" s="1376" t="s">
        <v>425</v>
      </c>
      <c r="AS246" s="1377"/>
      <c r="AT246" s="1377"/>
      <c r="AU246" s="1377"/>
      <c r="AV246" s="1402"/>
      <c r="AW246" s="616" t="s">
        <v>426</v>
      </c>
      <c r="AX246" s="507">
        <f t="shared" si="1"/>
        <v>0</v>
      </c>
      <c r="AY246" s="516"/>
      <c r="AZ246" s="498"/>
      <c r="BA246" s="501"/>
    </row>
    <row r="247" spans="1:60" ht="18.75" thickBot="1" x14ac:dyDescent="0.3">
      <c r="A247" s="1465" t="s">
        <v>83</v>
      </c>
      <c r="B247" s="1466"/>
      <c r="C247" s="1467"/>
      <c r="D247" s="540" t="s">
        <v>46</v>
      </c>
      <c r="E247" s="541"/>
      <c r="F247" s="617" t="s">
        <v>82</v>
      </c>
      <c r="G247" s="1395">
        <f t="shared" si="5"/>
        <v>0</v>
      </c>
      <c r="H247" s="1396"/>
      <c r="I247" s="1397"/>
      <c r="J247" s="543"/>
      <c r="K247" s="544"/>
      <c r="L247" s="545">
        <f t="shared" si="6"/>
        <v>0</v>
      </c>
      <c r="M247" s="513"/>
      <c r="N247" s="1465" t="s">
        <v>83</v>
      </c>
      <c r="O247" s="1466"/>
      <c r="P247" s="1467"/>
      <c r="Q247" s="540" t="s">
        <v>46</v>
      </c>
      <c r="R247" s="541"/>
      <c r="S247" s="617" t="s">
        <v>82</v>
      </c>
      <c r="T247" s="1395">
        <f t="shared" si="7"/>
        <v>0</v>
      </c>
      <c r="U247" s="1396"/>
      <c r="V247" s="1397"/>
      <c r="W247" s="543"/>
      <c r="X247" s="544"/>
      <c r="Y247" s="545">
        <f t="shared" si="3"/>
        <v>0</v>
      </c>
      <c r="Z247" s="546">
        <f t="shared" si="4"/>
        <v>0</v>
      </c>
      <c r="AA247" s="513"/>
      <c r="AC247" s="580" t="s">
        <v>427</v>
      </c>
      <c r="AD247" s="611" t="s">
        <v>428</v>
      </c>
      <c r="AE247" s="521">
        <f t="shared" ref="AE247" si="9">COUNTIF($P$1:$Q$1,AD247)</f>
        <v>0</v>
      </c>
      <c r="AF247" s="522" t="str">
        <f t="shared" si="2"/>
        <v/>
      </c>
      <c r="AH247" s="498"/>
      <c r="AI247" s="1362" t="s">
        <v>429</v>
      </c>
      <c r="AJ247" s="1363"/>
      <c r="AK247" s="1363"/>
      <c r="AL247" s="1363"/>
      <c r="AM247" s="1364"/>
      <c r="AN247" s="618" t="s">
        <v>430</v>
      </c>
      <c r="AO247" s="507">
        <f t="shared" si="0"/>
        <v>0</v>
      </c>
      <c r="AP247" s="508"/>
      <c r="AQ247" s="498"/>
      <c r="AR247" s="1376" t="s">
        <v>431</v>
      </c>
      <c r="AS247" s="1377"/>
      <c r="AT247" s="1377"/>
      <c r="AU247" s="1377"/>
      <c r="AV247" s="1402"/>
      <c r="AW247" s="619" t="s">
        <v>432</v>
      </c>
      <c r="AX247" s="507">
        <f t="shared" si="1"/>
        <v>0</v>
      </c>
      <c r="AY247" s="516"/>
      <c r="AZ247" s="498"/>
      <c r="BA247" s="501"/>
    </row>
    <row r="248" spans="1:60" ht="18.75" thickBot="1" x14ac:dyDescent="0.3">
      <c r="A248" s="1465" t="s">
        <v>85</v>
      </c>
      <c r="B248" s="1466"/>
      <c r="C248" s="1467"/>
      <c r="D248" s="540"/>
      <c r="E248" s="541" t="s">
        <v>321</v>
      </c>
      <c r="F248" s="620" t="s">
        <v>84</v>
      </c>
      <c r="G248" s="1395">
        <f t="shared" si="5"/>
        <v>7</v>
      </c>
      <c r="H248" s="1396"/>
      <c r="I248" s="1397"/>
      <c r="J248" s="543"/>
      <c r="K248" s="544"/>
      <c r="L248" s="545">
        <f t="shared" si="6"/>
        <v>7</v>
      </c>
      <c r="M248" s="513"/>
      <c r="N248" s="1465" t="s">
        <v>85</v>
      </c>
      <c r="O248" s="1466"/>
      <c r="P248" s="1467"/>
      <c r="Q248" s="540"/>
      <c r="R248" s="541" t="s">
        <v>321</v>
      </c>
      <c r="S248" s="620" t="s">
        <v>84</v>
      </c>
      <c r="T248" s="1395">
        <f t="shared" si="7"/>
        <v>1</v>
      </c>
      <c r="U248" s="1396"/>
      <c r="V248" s="1397"/>
      <c r="W248" s="543"/>
      <c r="X248" s="544"/>
      <c r="Y248" s="545">
        <f t="shared" si="3"/>
        <v>1</v>
      </c>
      <c r="Z248" s="546">
        <f t="shared" si="4"/>
        <v>8</v>
      </c>
      <c r="AA248" s="513"/>
      <c r="AC248" s="1527" t="s">
        <v>433</v>
      </c>
      <c r="AD248" s="1528"/>
      <c r="AE248" s="1528"/>
      <c r="AF248" s="1528"/>
      <c r="AH248" s="498"/>
      <c r="AI248" s="1362" t="s">
        <v>434</v>
      </c>
      <c r="AJ248" s="1363"/>
      <c r="AK248" s="1363"/>
      <c r="AL248" s="1363"/>
      <c r="AM248" s="1364"/>
      <c r="AN248" s="621" t="s">
        <v>435</v>
      </c>
      <c r="AO248" s="507">
        <f t="shared" si="0"/>
        <v>0</v>
      </c>
      <c r="AP248" s="508"/>
      <c r="AQ248" s="498"/>
      <c r="AR248" s="1376" t="s">
        <v>436</v>
      </c>
      <c r="AS248" s="1377"/>
      <c r="AT248" s="1377"/>
      <c r="AU248" s="1377"/>
      <c r="AV248" s="1402"/>
      <c r="AW248" s="622" t="s">
        <v>437</v>
      </c>
      <c r="AX248" s="507">
        <f t="shared" si="1"/>
        <v>0</v>
      </c>
      <c r="AY248" s="516"/>
      <c r="AZ248" s="498"/>
      <c r="BA248" s="623"/>
    </row>
    <row r="249" spans="1:60" ht="18.75" thickBot="1" x14ac:dyDescent="0.3">
      <c r="A249" s="1465" t="s">
        <v>87</v>
      </c>
      <c r="B249" s="1466"/>
      <c r="C249" s="1467"/>
      <c r="D249" s="540" t="s">
        <v>9</v>
      </c>
      <c r="E249" s="541" t="s">
        <v>321</v>
      </c>
      <c r="F249" s="624" t="s">
        <v>86</v>
      </c>
      <c r="G249" s="1395">
        <f t="shared" si="5"/>
        <v>0</v>
      </c>
      <c r="H249" s="1396"/>
      <c r="I249" s="1397"/>
      <c r="J249" s="543"/>
      <c r="K249" s="544"/>
      <c r="L249" s="545">
        <f t="shared" si="6"/>
        <v>0</v>
      </c>
      <c r="M249" s="513"/>
      <c r="N249" s="1465" t="s">
        <v>87</v>
      </c>
      <c r="O249" s="1466"/>
      <c r="P249" s="1467"/>
      <c r="Q249" s="540" t="s">
        <v>9</v>
      </c>
      <c r="R249" s="541" t="s">
        <v>321</v>
      </c>
      <c r="S249" s="624" t="s">
        <v>86</v>
      </c>
      <c r="T249" s="1395">
        <f t="shared" si="7"/>
        <v>0</v>
      </c>
      <c r="U249" s="1396"/>
      <c r="V249" s="1397"/>
      <c r="W249" s="543"/>
      <c r="X249" s="544"/>
      <c r="Y249" s="545">
        <f t="shared" si="3"/>
        <v>0</v>
      </c>
      <c r="Z249" s="546">
        <f t="shared" si="4"/>
        <v>0</v>
      </c>
      <c r="AA249" s="513"/>
      <c r="AC249" s="519" t="s">
        <v>438</v>
      </c>
      <c r="AD249" s="625" t="s">
        <v>174</v>
      </c>
      <c r="AE249" s="521">
        <f>COUNTIF($A$2:$BO$188,AD249)</f>
        <v>23</v>
      </c>
      <c r="AF249" s="522" t="str">
        <f t="shared" ref="AF249:AF312" si="10">IFERROR(AE249/$J$4,"")</f>
        <v/>
      </c>
      <c r="AH249" s="498"/>
      <c r="AI249" s="1362" t="s">
        <v>439</v>
      </c>
      <c r="AJ249" s="1363"/>
      <c r="AK249" s="1363"/>
      <c r="AL249" s="1363"/>
      <c r="AM249" s="1364"/>
      <c r="AN249" s="626" t="s">
        <v>440</v>
      </c>
      <c r="AO249" s="507">
        <f t="shared" si="0"/>
        <v>0</v>
      </c>
      <c r="AP249" s="508"/>
      <c r="AQ249" s="498"/>
      <c r="AR249" s="1376" t="s">
        <v>441</v>
      </c>
      <c r="AS249" s="1377"/>
      <c r="AT249" s="1377"/>
      <c r="AU249" s="1377"/>
      <c r="AV249" s="1402"/>
      <c r="AW249" s="627" t="s">
        <v>442</v>
      </c>
      <c r="AX249" s="507">
        <f t="shared" si="1"/>
        <v>0</v>
      </c>
      <c r="AY249" s="516"/>
      <c r="AZ249" s="498"/>
      <c r="BA249" s="623"/>
    </row>
    <row r="250" spans="1:60" ht="18" x14ac:dyDescent="0.25">
      <c r="A250" s="1454" t="s">
        <v>274</v>
      </c>
      <c r="B250" s="1455"/>
      <c r="C250" s="1455"/>
      <c r="D250" s="1455"/>
      <c r="E250" s="1455"/>
      <c r="F250" s="628"/>
      <c r="G250" s="1494">
        <f>SUM(G228:I249)</f>
        <v>35</v>
      </c>
      <c r="H250" s="1495"/>
      <c r="I250" s="1496"/>
      <c r="J250" s="629">
        <f>SUM(J228:J249)</f>
        <v>0</v>
      </c>
      <c r="K250" s="572">
        <f>SUM(K228:K249)</f>
        <v>0</v>
      </c>
      <c r="L250" s="545">
        <f>SUM(L228:L249)</f>
        <v>35</v>
      </c>
      <c r="M250" s="513"/>
      <c r="N250" s="1497" t="s">
        <v>274</v>
      </c>
      <c r="O250" s="1498"/>
      <c r="P250" s="1498"/>
      <c r="Q250" s="1498"/>
      <c r="R250" s="1498"/>
      <c r="S250" s="630"/>
      <c r="T250" s="1494">
        <f>SUM(T228:V249)</f>
        <v>1</v>
      </c>
      <c r="U250" s="1495"/>
      <c r="V250" s="1496"/>
      <c r="W250" s="629">
        <f>SUM(W228:W249)</f>
        <v>0</v>
      </c>
      <c r="X250" s="572">
        <f>SUM(X228:X249)</f>
        <v>0</v>
      </c>
      <c r="Y250" s="545">
        <f>SUM(Y228:Y249)</f>
        <v>1</v>
      </c>
      <c r="Z250" s="546">
        <f t="shared" si="4"/>
        <v>36</v>
      </c>
      <c r="AA250" s="513"/>
      <c r="AC250" s="597" t="s">
        <v>443</v>
      </c>
      <c r="AD250" s="631" t="s">
        <v>444</v>
      </c>
      <c r="AE250" s="521">
        <f t="shared" ref="AE250:AE313" si="11">COUNTIF($A$2:$BO$188,AD250)</f>
        <v>0</v>
      </c>
      <c r="AF250" s="522" t="str">
        <f t="shared" si="10"/>
        <v/>
      </c>
      <c r="AH250" s="498"/>
      <c r="AI250" s="1362" t="s">
        <v>445</v>
      </c>
      <c r="AJ250" s="1363"/>
      <c r="AK250" s="1363"/>
      <c r="AL250" s="1363"/>
      <c r="AM250" s="1364"/>
      <c r="AN250" s="632" t="s">
        <v>446</v>
      </c>
      <c r="AO250" s="507">
        <f t="shared" si="0"/>
        <v>0</v>
      </c>
      <c r="AP250" s="508"/>
      <c r="AQ250" s="498"/>
      <c r="AR250" s="1376" t="s">
        <v>447</v>
      </c>
      <c r="AS250" s="1377"/>
      <c r="AT250" s="1377"/>
      <c r="AU250" s="1377"/>
      <c r="AV250" s="1402"/>
      <c r="AW250" s="633" t="s">
        <v>448</v>
      </c>
      <c r="AX250" s="507">
        <f t="shared" si="1"/>
        <v>0</v>
      </c>
      <c r="AY250" s="516"/>
      <c r="AZ250" s="498"/>
      <c r="BA250" s="501"/>
    </row>
    <row r="251" spans="1:60" ht="18" x14ac:dyDescent="0.25">
      <c r="A251" s="1521" t="s">
        <v>449</v>
      </c>
      <c r="B251" s="1522"/>
      <c r="C251" s="1522"/>
      <c r="D251" s="1522"/>
      <c r="E251" s="1522"/>
      <c r="F251" s="1522"/>
      <c r="G251" s="1522"/>
      <c r="H251" s="1522"/>
      <c r="I251" s="1523"/>
      <c r="J251" s="535" t="s">
        <v>305</v>
      </c>
      <c r="K251" s="535" t="s">
        <v>306</v>
      </c>
      <c r="L251" s="535" t="s">
        <v>307</v>
      </c>
      <c r="M251" s="513"/>
      <c r="N251" s="1524" t="s">
        <v>449</v>
      </c>
      <c r="O251" s="1525"/>
      <c r="P251" s="1525"/>
      <c r="Q251" s="1525"/>
      <c r="R251" s="1525"/>
      <c r="S251" s="1525"/>
      <c r="T251" s="1525"/>
      <c r="U251" s="1525"/>
      <c r="V251" s="1526"/>
      <c r="W251" s="536" t="s">
        <v>305</v>
      </c>
      <c r="X251" s="536" t="s">
        <v>306</v>
      </c>
      <c r="Y251" s="536" t="s">
        <v>307</v>
      </c>
      <c r="AA251" s="513"/>
      <c r="AC251" s="597" t="s">
        <v>450</v>
      </c>
      <c r="AD251" s="634" t="s">
        <v>451</v>
      </c>
      <c r="AE251" s="521">
        <f t="shared" si="11"/>
        <v>0</v>
      </c>
      <c r="AF251" s="522" t="str">
        <f t="shared" si="10"/>
        <v/>
      </c>
      <c r="AH251" s="498"/>
      <c r="AI251" s="1362" t="s">
        <v>452</v>
      </c>
      <c r="AJ251" s="1363"/>
      <c r="AK251" s="1363"/>
      <c r="AL251" s="1363"/>
      <c r="AM251" s="1364"/>
      <c r="AN251" s="635" t="s">
        <v>453</v>
      </c>
      <c r="AO251" s="507">
        <f t="shared" si="0"/>
        <v>0</v>
      </c>
      <c r="AP251" s="508"/>
      <c r="AQ251" s="498"/>
      <c r="AR251" s="1376" t="s">
        <v>454</v>
      </c>
      <c r="AS251" s="1377"/>
      <c r="AT251" s="1377"/>
      <c r="AU251" s="1377"/>
      <c r="AV251" s="1402"/>
      <c r="AW251" s="636" t="s">
        <v>455</v>
      </c>
      <c r="AX251" s="507">
        <f t="shared" si="1"/>
        <v>0</v>
      </c>
      <c r="AY251" s="516"/>
      <c r="AZ251" s="498"/>
      <c r="BA251" s="501"/>
    </row>
    <row r="252" spans="1:60" ht="18" x14ac:dyDescent="0.25">
      <c r="A252" s="1508" t="s">
        <v>17</v>
      </c>
      <c r="B252" s="1509"/>
      <c r="C252" s="1510"/>
      <c r="D252" s="637"/>
      <c r="E252" s="638" t="s">
        <v>321</v>
      </c>
      <c r="F252" s="639" t="s">
        <v>6</v>
      </c>
      <c r="G252" s="1395">
        <f t="shared" ref="G252:G269" si="12">COUNTIF($P$79:$BM$151,F252)</f>
        <v>2</v>
      </c>
      <c r="H252" s="1396"/>
      <c r="I252" s="1397"/>
      <c r="J252" s="543"/>
      <c r="K252" s="544"/>
      <c r="L252" s="545">
        <f t="shared" ref="L252:L269" si="13">G252-K252-J252</f>
        <v>2</v>
      </c>
      <c r="M252" s="513"/>
      <c r="N252" s="1508" t="s">
        <v>17</v>
      </c>
      <c r="O252" s="1509"/>
      <c r="P252" s="1510"/>
      <c r="Q252" s="637"/>
      <c r="R252" s="638" t="s">
        <v>321</v>
      </c>
      <c r="S252" s="639" t="s">
        <v>6</v>
      </c>
      <c r="T252" s="1395">
        <f t="shared" ref="T252:T269" si="14">COUNTIF($O$6:$BE$74,S252)</f>
        <v>0</v>
      </c>
      <c r="U252" s="1396"/>
      <c r="V252" s="1397"/>
      <c r="W252" s="543"/>
      <c r="X252" s="544"/>
      <c r="Y252" s="545">
        <f t="shared" ref="Y252:Y269" si="15">T252-X252-W252</f>
        <v>0</v>
      </c>
      <c r="Z252" s="546">
        <f t="shared" ref="Z252:Z270" si="16">T252+G252</f>
        <v>2</v>
      </c>
      <c r="AA252" s="513"/>
      <c r="AC252" s="597" t="s">
        <v>456</v>
      </c>
      <c r="AD252" s="640" t="s">
        <v>457</v>
      </c>
      <c r="AE252" s="521">
        <f t="shared" si="11"/>
        <v>0</v>
      </c>
      <c r="AF252" s="522" t="str">
        <f t="shared" si="10"/>
        <v/>
      </c>
      <c r="AH252" s="498"/>
      <c r="AI252" s="1362" t="s">
        <v>458</v>
      </c>
      <c r="AJ252" s="1363"/>
      <c r="AK252" s="1363"/>
      <c r="AL252" s="1363"/>
      <c r="AM252" s="1364"/>
      <c r="AN252" s="641" t="s">
        <v>459</v>
      </c>
      <c r="AO252" s="507">
        <f t="shared" si="0"/>
        <v>0</v>
      </c>
      <c r="AP252" s="508"/>
      <c r="AQ252" s="498"/>
      <c r="AR252" s="1376" t="s">
        <v>460</v>
      </c>
      <c r="AS252" s="1377"/>
      <c r="AT252" s="1377"/>
      <c r="AU252" s="1377"/>
      <c r="AV252" s="1402"/>
      <c r="AW252" s="636" t="s">
        <v>461</v>
      </c>
      <c r="AX252" s="507">
        <f t="shared" si="1"/>
        <v>0</v>
      </c>
      <c r="AY252" s="516"/>
      <c r="AZ252" s="498"/>
      <c r="BA252" s="501"/>
    </row>
    <row r="253" spans="1:60" ht="18.75" thickBot="1" x14ac:dyDescent="0.3">
      <c r="A253" s="1508" t="s">
        <v>89</v>
      </c>
      <c r="B253" s="1509"/>
      <c r="C253" s="1510"/>
      <c r="D253" s="540" t="s">
        <v>31</v>
      </c>
      <c r="E253" s="541"/>
      <c r="F253" s="642" t="s">
        <v>88</v>
      </c>
      <c r="G253" s="1395">
        <f t="shared" si="12"/>
        <v>0</v>
      </c>
      <c r="H253" s="1396"/>
      <c r="I253" s="1397"/>
      <c r="J253" s="543"/>
      <c r="K253" s="572"/>
      <c r="L253" s="545">
        <f t="shared" si="13"/>
        <v>0</v>
      </c>
      <c r="M253" s="513"/>
      <c r="N253" s="1508" t="s">
        <v>89</v>
      </c>
      <c r="O253" s="1509"/>
      <c r="P253" s="1510"/>
      <c r="Q253" s="540" t="s">
        <v>31</v>
      </c>
      <c r="R253" s="541"/>
      <c r="S253" s="642" t="s">
        <v>88</v>
      </c>
      <c r="T253" s="1395">
        <f t="shared" si="14"/>
        <v>0</v>
      </c>
      <c r="U253" s="1396"/>
      <c r="V253" s="1397"/>
      <c r="W253" s="543"/>
      <c r="X253" s="572"/>
      <c r="Y253" s="545">
        <f t="shared" si="15"/>
        <v>0</v>
      </c>
      <c r="Z253" s="546">
        <f t="shared" si="16"/>
        <v>0</v>
      </c>
      <c r="AA253" s="513"/>
      <c r="AC253" s="597" t="s">
        <v>173</v>
      </c>
      <c r="AD253" s="82" t="s">
        <v>173</v>
      </c>
      <c r="AE253" s="521">
        <f t="shared" si="11"/>
        <v>17</v>
      </c>
      <c r="AF253" s="522" t="str">
        <f t="shared" si="10"/>
        <v/>
      </c>
      <c r="AH253" s="498"/>
      <c r="AI253" s="1362" t="s">
        <v>462</v>
      </c>
      <c r="AJ253" s="1363"/>
      <c r="AK253" s="1363"/>
      <c r="AL253" s="1363"/>
      <c r="AM253" s="1364"/>
      <c r="AN253" s="605" t="s">
        <v>463</v>
      </c>
      <c r="AO253" s="507">
        <f t="shared" si="0"/>
        <v>0</v>
      </c>
      <c r="AP253" s="508"/>
      <c r="AQ253" s="498"/>
      <c r="AR253" s="1376" t="s">
        <v>464</v>
      </c>
      <c r="AS253" s="1377"/>
      <c r="AT253" s="1377"/>
      <c r="AU253" s="1377"/>
      <c r="AV253" s="1402"/>
      <c r="AW253" s="64" t="s">
        <v>465</v>
      </c>
      <c r="AX253" s="507">
        <f t="shared" si="1"/>
        <v>0</v>
      </c>
      <c r="AY253" s="516"/>
      <c r="AZ253" s="498"/>
      <c r="BA253" s="501"/>
    </row>
    <row r="254" spans="1:60" ht="18" x14ac:dyDescent="0.25">
      <c r="A254" s="1508" t="s">
        <v>137</v>
      </c>
      <c r="B254" s="1509"/>
      <c r="C254" s="1510"/>
      <c r="D254" s="540"/>
      <c r="E254" s="541"/>
      <c r="F254" s="643" t="s">
        <v>132</v>
      </c>
      <c r="G254" s="1395">
        <f t="shared" si="12"/>
        <v>0</v>
      </c>
      <c r="H254" s="1396"/>
      <c r="I254" s="1397"/>
      <c r="J254" s="543"/>
      <c r="K254" s="572"/>
      <c r="L254" s="545"/>
      <c r="M254" s="513"/>
      <c r="N254" s="1508" t="s">
        <v>137</v>
      </c>
      <c r="O254" s="1509"/>
      <c r="P254" s="1510"/>
      <c r="Q254" s="540"/>
      <c r="R254" s="541"/>
      <c r="S254" s="643" t="s">
        <v>132</v>
      </c>
      <c r="T254" s="1395">
        <f t="shared" si="14"/>
        <v>0</v>
      </c>
      <c r="U254" s="1396"/>
      <c r="V254" s="1397"/>
      <c r="W254" s="543"/>
      <c r="X254" s="572"/>
      <c r="Y254" s="545">
        <f t="shared" si="15"/>
        <v>0</v>
      </c>
      <c r="Z254" s="546">
        <f t="shared" si="16"/>
        <v>0</v>
      </c>
      <c r="AA254" s="513"/>
      <c r="AC254" s="597" t="s">
        <v>466</v>
      </c>
      <c r="AD254" s="644" t="s">
        <v>467</v>
      </c>
      <c r="AE254" s="521">
        <f t="shared" si="11"/>
        <v>0</v>
      </c>
      <c r="AF254" s="522" t="str">
        <f t="shared" si="10"/>
        <v/>
      </c>
      <c r="AH254" s="498"/>
      <c r="AI254" s="1362" t="s">
        <v>468</v>
      </c>
      <c r="AJ254" s="1363"/>
      <c r="AK254" s="1363"/>
      <c r="AL254" s="1363"/>
      <c r="AM254" s="1364"/>
      <c r="AN254" s="645" t="s">
        <v>469</v>
      </c>
      <c r="AO254" s="507">
        <f t="shared" si="0"/>
        <v>0</v>
      </c>
      <c r="AP254" s="508"/>
      <c r="AQ254" s="498"/>
      <c r="AR254" s="1376" t="s">
        <v>470</v>
      </c>
      <c r="AS254" s="1377"/>
      <c r="AT254" s="1377"/>
      <c r="AU254" s="1377"/>
      <c r="AV254" s="1402"/>
      <c r="AW254" s="646" t="s">
        <v>471</v>
      </c>
      <c r="AX254" s="507">
        <f t="shared" si="1"/>
        <v>0</v>
      </c>
      <c r="AY254" s="516"/>
      <c r="AZ254" s="498"/>
      <c r="BA254" s="501"/>
    </row>
    <row r="255" spans="1:60" ht="18.75" thickBot="1" x14ac:dyDescent="0.3">
      <c r="A255" s="1508" t="s">
        <v>138</v>
      </c>
      <c r="B255" s="1509"/>
      <c r="C255" s="1510"/>
      <c r="D255" s="540"/>
      <c r="E255" s="541"/>
      <c r="F255" s="647" t="s">
        <v>134</v>
      </c>
      <c r="G255" s="1395">
        <f t="shared" si="12"/>
        <v>0</v>
      </c>
      <c r="H255" s="1396"/>
      <c r="I255" s="1397"/>
      <c r="J255" s="543"/>
      <c r="K255" s="572"/>
      <c r="L255" s="545"/>
      <c r="M255" s="513"/>
      <c r="N255" s="1508" t="s">
        <v>138</v>
      </c>
      <c r="O255" s="1509"/>
      <c r="P255" s="1510"/>
      <c r="Q255" s="540"/>
      <c r="R255" s="541"/>
      <c r="S255" s="647" t="s">
        <v>134</v>
      </c>
      <c r="T255" s="1395">
        <f t="shared" si="14"/>
        <v>0</v>
      </c>
      <c r="U255" s="1396"/>
      <c r="V255" s="1397"/>
      <c r="W255" s="543"/>
      <c r="X255" s="572"/>
      <c r="Y255" s="545">
        <f t="shared" si="15"/>
        <v>0</v>
      </c>
      <c r="Z255" s="546">
        <f t="shared" si="16"/>
        <v>0</v>
      </c>
      <c r="AA255" s="513"/>
      <c r="AC255" s="597" t="s">
        <v>472</v>
      </c>
      <c r="AD255" s="648" t="s">
        <v>473</v>
      </c>
      <c r="AE255" s="521">
        <f t="shared" si="11"/>
        <v>0</v>
      </c>
      <c r="AF255" s="522" t="str">
        <f t="shared" si="10"/>
        <v/>
      </c>
      <c r="AH255" s="498"/>
      <c r="AI255" s="1362" t="s">
        <v>474</v>
      </c>
      <c r="AJ255" s="1363"/>
      <c r="AK255" s="1363"/>
      <c r="AL255" s="1363"/>
      <c r="AM255" s="1364"/>
      <c r="AN255" s="649" t="s">
        <v>475</v>
      </c>
      <c r="AO255" s="507">
        <f t="shared" si="0"/>
        <v>0</v>
      </c>
      <c r="AP255" s="508"/>
      <c r="AQ255" s="498"/>
      <c r="AR255" s="1376" t="s">
        <v>476</v>
      </c>
      <c r="AS255" s="1377"/>
      <c r="AT255" s="1377"/>
      <c r="AU255" s="1377"/>
      <c r="AV255" s="1402"/>
      <c r="AW255" s="289" t="s">
        <v>477</v>
      </c>
      <c r="AX255" s="507">
        <f t="shared" si="1"/>
        <v>0</v>
      </c>
      <c r="AY255" s="516"/>
      <c r="AZ255" s="498"/>
      <c r="BA255" s="501"/>
    </row>
    <row r="256" spans="1:60" ht="18.75" thickBot="1" x14ac:dyDescent="0.3">
      <c r="A256" s="1508" t="s">
        <v>30</v>
      </c>
      <c r="B256" s="1509"/>
      <c r="C256" s="1510"/>
      <c r="D256" s="540"/>
      <c r="E256" s="541" t="s">
        <v>321</v>
      </c>
      <c r="F256" s="650" t="s">
        <v>31</v>
      </c>
      <c r="G256" s="1395">
        <f t="shared" si="12"/>
        <v>0</v>
      </c>
      <c r="H256" s="1396"/>
      <c r="I256" s="1397"/>
      <c r="J256" s="543"/>
      <c r="K256" s="544"/>
      <c r="L256" s="545">
        <f t="shared" si="13"/>
        <v>0</v>
      </c>
      <c r="M256" s="513"/>
      <c r="N256" s="1508" t="s">
        <v>30</v>
      </c>
      <c r="O256" s="1509"/>
      <c r="P256" s="1510"/>
      <c r="Q256" s="540"/>
      <c r="R256" s="541" t="s">
        <v>321</v>
      </c>
      <c r="S256" s="650" t="s">
        <v>31</v>
      </c>
      <c r="T256" s="1395">
        <f t="shared" si="14"/>
        <v>0</v>
      </c>
      <c r="U256" s="1396"/>
      <c r="V256" s="1397"/>
      <c r="W256" s="543"/>
      <c r="X256" s="544"/>
      <c r="Y256" s="545">
        <f t="shared" si="15"/>
        <v>0</v>
      </c>
      <c r="Z256" s="546">
        <f t="shared" si="16"/>
        <v>0</v>
      </c>
      <c r="AA256" s="513"/>
      <c r="AC256" s="597" t="s">
        <v>478</v>
      </c>
      <c r="AD256" s="651" t="s">
        <v>478</v>
      </c>
      <c r="AE256" s="521">
        <f t="shared" si="11"/>
        <v>0</v>
      </c>
      <c r="AF256" s="522" t="str">
        <f t="shared" si="10"/>
        <v/>
      </c>
      <c r="AH256" s="498"/>
      <c r="AI256" s="1362" t="s">
        <v>479</v>
      </c>
      <c r="AJ256" s="1363"/>
      <c r="AK256" s="1363"/>
      <c r="AL256" s="1363"/>
      <c r="AM256" s="1364"/>
      <c r="AN256" s="652" t="s">
        <v>480</v>
      </c>
      <c r="AO256" s="507">
        <f t="shared" si="0"/>
        <v>0</v>
      </c>
      <c r="AP256" s="508"/>
      <c r="AQ256" s="498"/>
      <c r="AR256" s="1376" t="s">
        <v>481</v>
      </c>
      <c r="AS256" s="1377"/>
      <c r="AT256" s="1377"/>
      <c r="AU256" s="1377"/>
      <c r="AV256" s="1402"/>
      <c r="AW256" s="653" t="s">
        <v>482</v>
      </c>
      <c r="AX256" s="507">
        <f t="shared" si="1"/>
        <v>0</v>
      </c>
      <c r="AY256" s="654"/>
      <c r="AZ256" s="498"/>
      <c r="BA256" s="501"/>
    </row>
    <row r="257" spans="1:60" ht="18.75" thickBot="1" x14ac:dyDescent="0.3">
      <c r="A257" s="1508" t="s">
        <v>27</v>
      </c>
      <c r="B257" s="1509"/>
      <c r="C257" s="1510"/>
      <c r="D257" s="540"/>
      <c r="E257" s="541"/>
      <c r="F257" s="655" t="s">
        <v>24</v>
      </c>
      <c r="G257" s="1395">
        <f t="shared" si="12"/>
        <v>1</v>
      </c>
      <c r="H257" s="1396"/>
      <c r="I257" s="1397"/>
      <c r="J257" s="543"/>
      <c r="K257" s="544"/>
      <c r="L257" s="545">
        <f t="shared" si="13"/>
        <v>1</v>
      </c>
      <c r="M257" s="513"/>
      <c r="N257" s="1508" t="s">
        <v>27</v>
      </c>
      <c r="O257" s="1509"/>
      <c r="P257" s="1510"/>
      <c r="Q257" s="540"/>
      <c r="R257" s="541"/>
      <c r="S257" s="655" t="s">
        <v>24</v>
      </c>
      <c r="T257" s="1395">
        <f t="shared" si="14"/>
        <v>1</v>
      </c>
      <c r="U257" s="1396"/>
      <c r="V257" s="1397"/>
      <c r="W257" s="543"/>
      <c r="X257" s="544"/>
      <c r="Y257" s="545">
        <f t="shared" si="15"/>
        <v>1</v>
      </c>
      <c r="Z257" s="546">
        <f t="shared" si="16"/>
        <v>2</v>
      </c>
      <c r="AA257" s="513"/>
      <c r="AC257" s="519" t="s">
        <v>483</v>
      </c>
      <c r="AD257" s="656" t="s">
        <v>170</v>
      </c>
      <c r="AE257" s="521">
        <f t="shared" si="11"/>
        <v>36</v>
      </c>
      <c r="AF257" s="522" t="str">
        <f t="shared" si="10"/>
        <v/>
      </c>
      <c r="AH257" s="498"/>
      <c r="AI257" s="1362" t="s">
        <v>484</v>
      </c>
      <c r="AJ257" s="1363"/>
      <c r="AK257" s="1363"/>
      <c r="AL257" s="1363"/>
      <c r="AM257" s="1364"/>
      <c r="AN257" s="657" t="s">
        <v>485</v>
      </c>
      <c r="AO257" s="507">
        <f t="shared" si="0"/>
        <v>0</v>
      </c>
      <c r="AP257" s="508"/>
      <c r="AQ257" s="498"/>
      <c r="AR257" s="1376" t="s">
        <v>486</v>
      </c>
      <c r="AS257" s="1377"/>
      <c r="AT257" s="1377"/>
      <c r="AU257" s="1377"/>
      <c r="AV257" s="1402"/>
      <c r="AW257" s="658" t="s">
        <v>487</v>
      </c>
      <c r="AX257" s="507">
        <f t="shared" si="1"/>
        <v>0</v>
      </c>
      <c r="AY257" s="654"/>
      <c r="AZ257" s="498"/>
      <c r="BA257" s="501"/>
    </row>
    <row r="258" spans="1:60" ht="18" x14ac:dyDescent="0.25">
      <c r="A258" s="1508" t="s">
        <v>114</v>
      </c>
      <c r="B258" s="1509"/>
      <c r="C258" s="1510"/>
      <c r="D258" s="540"/>
      <c r="E258" s="541"/>
      <c r="F258" s="659" t="s">
        <v>113</v>
      </c>
      <c r="G258" s="1395">
        <f t="shared" si="12"/>
        <v>0</v>
      </c>
      <c r="H258" s="1396"/>
      <c r="I258" s="1397"/>
      <c r="J258" s="543"/>
      <c r="K258" s="572"/>
      <c r="L258" s="545">
        <f t="shared" si="13"/>
        <v>0</v>
      </c>
      <c r="M258" s="513"/>
      <c r="N258" s="1508" t="s">
        <v>114</v>
      </c>
      <c r="O258" s="1509"/>
      <c r="P258" s="1510"/>
      <c r="Q258" s="540"/>
      <c r="R258" s="541"/>
      <c r="S258" s="659" t="s">
        <v>113</v>
      </c>
      <c r="T258" s="1395">
        <f t="shared" si="14"/>
        <v>0</v>
      </c>
      <c r="U258" s="1396"/>
      <c r="V258" s="1397"/>
      <c r="W258" s="543"/>
      <c r="X258" s="572"/>
      <c r="Y258" s="545">
        <f t="shared" si="15"/>
        <v>0</v>
      </c>
      <c r="Z258" s="546">
        <f t="shared" si="16"/>
        <v>0</v>
      </c>
      <c r="AA258" s="513"/>
      <c r="AC258" s="597" t="s">
        <v>488</v>
      </c>
      <c r="AD258" s="96" t="s">
        <v>178</v>
      </c>
      <c r="AE258" s="521">
        <f t="shared" si="11"/>
        <v>5</v>
      </c>
      <c r="AF258" s="522" t="str">
        <f t="shared" si="10"/>
        <v/>
      </c>
      <c r="AH258" s="498"/>
      <c r="AI258" s="1362" t="s">
        <v>489</v>
      </c>
      <c r="AJ258" s="1363"/>
      <c r="AK258" s="1363"/>
      <c r="AL258" s="1363"/>
      <c r="AM258" s="1364"/>
      <c r="AN258" s="549" t="s">
        <v>490</v>
      </c>
      <c r="AO258" s="507">
        <f t="shared" si="0"/>
        <v>0</v>
      </c>
      <c r="AP258" s="508"/>
      <c r="AQ258" s="498"/>
      <c r="AR258" s="1376" t="s">
        <v>491</v>
      </c>
      <c r="AS258" s="1377"/>
      <c r="AT258" s="1377"/>
      <c r="AU258" s="1377"/>
      <c r="AV258" s="1402"/>
      <c r="AW258" s="660" t="s">
        <v>492</v>
      </c>
      <c r="AX258" s="507">
        <f t="shared" si="1"/>
        <v>0</v>
      </c>
      <c r="AY258" s="516"/>
      <c r="AZ258" s="498"/>
      <c r="BA258" s="501"/>
    </row>
    <row r="259" spans="1:60" ht="18.75" thickBot="1" x14ac:dyDescent="0.3">
      <c r="A259" s="1508" t="s">
        <v>112</v>
      </c>
      <c r="B259" s="1509"/>
      <c r="C259" s="1510"/>
      <c r="D259" s="540"/>
      <c r="E259" s="541"/>
      <c r="F259" s="661" t="s">
        <v>111</v>
      </c>
      <c r="G259" s="1395">
        <f t="shared" si="12"/>
        <v>0</v>
      </c>
      <c r="H259" s="1396"/>
      <c r="I259" s="1397"/>
      <c r="J259" s="543"/>
      <c r="K259" s="544"/>
      <c r="L259" s="545">
        <f t="shared" si="13"/>
        <v>0</v>
      </c>
      <c r="M259" s="513"/>
      <c r="N259" s="1508" t="s">
        <v>112</v>
      </c>
      <c r="O259" s="1509"/>
      <c r="P259" s="1510"/>
      <c r="Q259" s="540"/>
      <c r="R259" s="541"/>
      <c r="S259" s="661" t="s">
        <v>111</v>
      </c>
      <c r="T259" s="1395">
        <f t="shared" si="14"/>
        <v>0</v>
      </c>
      <c r="U259" s="1396"/>
      <c r="V259" s="1397"/>
      <c r="W259" s="543"/>
      <c r="X259" s="544"/>
      <c r="Y259" s="545">
        <f t="shared" si="15"/>
        <v>0</v>
      </c>
      <c r="Z259" s="546">
        <f t="shared" si="16"/>
        <v>0</v>
      </c>
      <c r="AA259" s="513"/>
      <c r="AC259" s="597" t="s">
        <v>493</v>
      </c>
      <c r="AD259" s="662" t="s">
        <v>493</v>
      </c>
      <c r="AE259" s="521">
        <f t="shared" si="11"/>
        <v>0</v>
      </c>
      <c r="AF259" s="522" t="str">
        <f t="shared" si="10"/>
        <v/>
      </c>
      <c r="AH259" s="498"/>
      <c r="AI259" s="1362" t="s">
        <v>494</v>
      </c>
      <c r="AJ259" s="1363"/>
      <c r="AK259" s="1363"/>
      <c r="AL259" s="1363"/>
      <c r="AM259" s="1364"/>
      <c r="AN259" s="649" t="s">
        <v>495</v>
      </c>
      <c r="AO259" s="507">
        <f t="shared" si="0"/>
        <v>0</v>
      </c>
      <c r="AP259" s="508"/>
      <c r="AQ259" s="498"/>
      <c r="AR259" s="1376" t="s">
        <v>496</v>
      </c>
      <c r="AS259" s="1377"/>
      <c r="AT259" s="1377"/>
      <c r="AU259" s="1377"/>
      <c r="AV259" s="1402"/>
      <c r="AW259" s="663" t="s">
        <v>497</v>
      </c>
      <c r="AX259" s="507">
        <f t="shared" si="1"/>
        <v>0</v>
      </c>
      <c r="AY259" s="516"/>
      <c r="AZ259" s="498"/>
      <c r="BA259" s="501"/>
      <c r="BC259" s="498"/>
      <c r="BD259" s="498"/>
      <c r="BE259" s="498"/>
      <c r="BF259" s="498"/>
      <c r="BG259" s="498"/>
      <c r="BH259" s="498"/>
    </row>
    <row r="260" spans="1:60" ht="18" x14ac:dyDescent="0.25">
      <c r="A260" s="1508" t="s">
        <v>139</v>
      </c>
      <c r="B260" s="1509"/>
      <c r="C260" s="1510"/>
      <c r="D260" s="540"/>
      <c r="E260" s="541"/>
      <c r="F260" s="664" t="s">
        <v>133</v>
      </c>
      <c r="G260" s="1395">
        <f t="shared" si="12"/>
        <v>0</v>
      </c>
      <c r="H260" s="1396"/>
      <c r="I260" s="1397"/>
      <c r="J260" s="543"/>
      <c r="K260" s="544"/>
      <c r="L260" s="545">
        <f t="shared" si="13"/>
        <v>0</v>
      </c>
      <c r="M260" s="513"/>
      <c r="N260" s="1508" t="s">
        <v>139</v>
      </c>
      <c r="O260" s="1509"/>
      <c r="P260" s="1510"/>
      <c r="Q260" s="540"/>
      <c r="R260" s="541"/>
      <c r="S260" s="664" t="s">
        <v>133</v>
      </c>
      <c r="T260" s="1395">
        <f t="shared" si="14"/>
        <v>0</v>
      </c>
      <c r="U260" s="1396"/>
      <c r="V260" s="1397"/>
      <c r="W260" s="543"/>
      <c r="X260" s="544"/>
      <c r="Y260" s="545">
        <f t="shared" si="15"/>
        <v>0</v>
      </c>
      <c r="Z260" s="546">
        <f t="shared" si="16"/>
        <v>0</v>
      </c>
      <c r="AA260" s="513"/>
      <c r="AC260" s="597" t="s">
        <v>498</v>
      </c>
      <c r="AD260" s="506" t="s">
        <v>499</v>
      </c>
      <c r="AE260" s="521">
        <f t="shared" si="11"/>
        <v>0</v>
      </c>
      <c r="AF260" s="522" t="str">
        <f t="shared" si="10"/>
        <v/>
      </c>
      <c r="AH260" s="498"/>
      <c r="AI260" s="1362" t="s">
        <v>500</v>
      </c>
      <c r="AJ260" s="1363"/>
      <c r="AK260" s="1363"/>
      <c r="AL260" s="1363"/>
      <c r="AM260" s="1364"/>
      <c r="AN260" s="609" t="s">
        <v>501</v>
      </c>
      <c r="AO260" s="507">
        <f t="shared" si="0"/>
        <v>0</v>
      </c>
      <c r="AP260" s="508"/>
      <c r="AQ260" s="498"/>
      <c r="AR260" s="1376" t="s">
        <v>502</v>
      </c>
      <c r="AS260" s="1377"/>
      <c r="AT260" s="1377"/>
      <c r="AU260" s="1377"/>
      <c r="AV260" s="1402"/>
      <c r="AW260" s="665" t="s">
        <v>503</v>
      </c>
      <c r="AX260" s="507">
        <f t="shared" si="1"/>
        <v>0</v>
      </c>
      <c r="AY260" s="654"/>
      <c r="AZ260" s="498"/>
      <c r="BA260" s="501"/>
      <c r="BB260" s="498"/>
      <c r="BC260" s="498"/>
      <c r="BD260" s="498"/>
      <c r="BE260" s="498"/>
      <c r="BF260" s="498"/>
      <c r="BG260" s="498"/>
      <c r="BH260" s="498"/>
    </row>
    <row r="261" spans="1:60" ht="18.75" thickBot="1" x14ac:dyDescent="0.3">
      <c r="A261" s="1508" t="s">
        <v>42</v>
      </c>
      <c r="B261" s="1509"/>
      <c r="C261" s="1510"/>
      <c r="D261" s="540"/>
      <c r="E261" s="541"/>
      <c r="F261" s="666" t="s">
        <v>42</v>
      </c>
      <c r="G261" s="1395">
        <f t="shared" si="12"/>
        <v>0</v>
      </c>
      <c r="H261" s="1396"/>
      <c r="I261" s="1397"/>
      <c r="J261" s="543"/>
      <c r="K261" s="544"/>
      <c r="L261" s="545">
        <f t="shared" si="13"/>
        <v>0</v>
      </c>
      <c r="M261" s="513"/>
      <c r="N261" s="1508" t="s">
        <v>42</v>
      </c>
      <c r="O261" s="1509"/>
      <c r="P261" s="1510"/>
      <c r="Q261" s="540"/>
      <c r="R261" s="541"/>
      <c r="S261" s="666" t="s">
        <v>42</v>
      </c>
      <c r="T261" s="1395">
        <f t="shared" si="14"/>
        <v>0</v>
      </c>
      <c r="U261" s="1396"/>
      <c r="V261" s="1397"/>
      <c r="W261" s="543"/>
      <c r="X261" s="544"/>
      <c r="Y261" s="545">
        <f t="shared" si="15"/>
        <v>0</v>
      </c>
      <c r="Z261" s="546">
        <f t="shared" si="16"/>
        <v>0</v>
      </c>
      <c r="AA261" s="513"/>
      <c r="AC261" s="597" t="s">
        <v>504</v>
      </c>
      <c r="AD261" s="667" t="s">
        <v>505</v>
      </c>
      <c r="AE261" s="521">
        <f t="shared" si="11"/>
        <v>0</v>
      </c>
      <c r="AF261" s="522" t="str">
        <f t="shared" si="10"/>
        <v/>
      </c>
      <c r="AH261" s="498"/>
      <c r="AI261" s="1362" t="s">
        <v>506</v>
      </c>
      <c r="AJ261" s="1363"/>
      <c r="AK261" s="1363"/>
      <c r="AL261" s="1363"/>
      <c r="AM261" s="1364"/>
      <c r="AN261" s="649" t="s">
        <v>507</v>
      </c>
      <c r="AO261" s="507">
        <f t="shared" si="0"/>
        <v>0</v>
      </c>
      <c r="AP261" s="508"/>
      <c r="AQ261" s="498"/>
      <c r="AR261" s="509" t="s">
        <v>508</v>
      </c>
      <c r="AS261" s="510"/>
      <c r="AT261" s="510"/>
      <c r="AU261" s="510"/>
      <c r="AV261" s="510"/>
      <c r="AW261" s="592" t="s">
        <v>509</v>
      </c>
      <c r="AX261" s="668">
        <f t="shared" si="1"/>
        <v>0</v>
      </c>
      <c r="AY261" s="516"/>
      <c r="AZ261" s="498"/>
      <c r="BA261" s="501"/>
      <c r="BB261" s="498"/>
      <c r="BC261" s="498"/>
      <c r="BD261" s="498"/>
      <c r="BE261" s="498"/>
      <c r="BF261" s="498"/>
      <c r="BG261" s="498"/>
      <c r="BH261" s="498"/>
    </row>
    <row r="262" spans="1:60" ht="18" x14ac:dyDescent="0.25">
      <c r="A262" s="1508" t="s">
        <v>140</v>
      </c>
      <c r="B262" s="1509"/>
      <c r="C262" s="1510"/>
      <c r="D262" s="540"/>
      <c r="E262" s="541"/>
      <c r="F262" s="31" t="s">
        <v>118</v>
      </c>
      <c r="G262" s="1395">
        <f t="shared" si="12"/>
        <v>0</v>
      </c>
      <c r="H262" s="1396"/>
      <c r="I262" s="1397"/>
      <c r="J262" s="543"/>
      <c r="K262" s="572"/>
      <c r="L262" s="545">
        <f t="shared" si="13"/>
        <v>0</v>
      </c>
      <c r="M262" s="513"/>
      <c r="N262" s="1508" t="s">
        <v>140</v>
      </c>
      <c r="O262" s="1509"/>
      <c r="P262" s="1510"/>
      <c r="Q262" s="540"/>
      <c r="R262" s="541"/>
      <c r="S262" s="31" t="s">
        <v>118</v>
      </c>
      <c r="T262" s="1395">
        <f t="shared" si="14"/>
        <v>0</v>
      </c>
      <c r="U262" s="1396"/>
      <c r="V262" s="1397"/>
      <c r="W262" s="543"/>
      <c r="X262" s="572"/>
      <c r="Y262" s="545">
        <f t="shared" si="15"/>
        <v>0</v>
      </c>
      <c r="Z262" s="546">
        <f t="shared" si="16"/>
        <v>0</v>
      </c>
      <c r="AA262" s="513"/>
      <c r="AC262" s="597" t="s">
        <v>510</v>
      </c>
      <c r="AD262" s="631" t="s">
        <v>511</v>
      </c>
      <c r="AE262" s="521">
        <f t="shared" si="11"/>
        <v>0</v>
      </c>
      <c r="AF262" s="522" t="str">
        <f t="shared" si="10"/>
        <v/>
      </c>
      <c r="AH262" s="498"/>
      <c r="AI262" s="1362" t="s">
        <v>512</v>
      </c>
      <c r="AJ262" s="1363"/>
      <c r="AK262" s="1363"/>
      <c r="AL262" s="1363"/>
      <c r="AM262" s="1364"/>
      <c r="AN262" s="669" t="s">
        <v>513</v>
      </c>
      <c r="AO262" s="507">
        <f t="shared" si="0"/>
        <v>0</v>
      </c>
      <c r="AP262" s="508"/>
      <c r="AQ262" s="498"/>
      <c r="AR262" s="1428" t="s">
        <v>514</v>
      </c>
      <c r="AS262" s="1429"/>
      <c r="AT262" s="1429"/>
      <c r="AU262" s="1429"/>
      <c r="AV262" s="1520"/>
      <c r="AW262" s="670" t="s">
        <v>515</v>
      </c>
      <c r="AX262" s="668">
        <f t="shared" si="1"/>
        <v>0</v>
      </c>
      <c r="AY262" s="516"/>
      <c r="AZ262" s="498"/>
      <c r="BA262" s="501"/>
      <c r="BB262" s="498"/>
      <c r="BC262" s="498"/>
      <c r="BD262" s="498"/>
      <c r="BE262" s="498"/>
      <c r="BF262" s="498"/>
      <c r="BG262" s="498"/>
      <c r="BH262" s="498"/>
    </row>
    <row r="263" spans="1:60" ht="18.75" thickBot="1" x14ac:dyDescent="0.3">
      <c r="A263" s="1465" t="s">
        <v>91</v>
      </c>
      <c r="B263" s="1466"/>
      <c r="C263" s="1467"/>
      <c r="D263" s="540"/>
      <c r="E263" s="541" t="s">
        <v>321</v>
      </c>
      <c r="F263" s="671" t="s">
        <v>90</v>
      </c>
      <c r="G263" s="1395">
        <f t="shared" si="12"/>
        <v>0</v>
      </c>
      <c r="H263" s="1396"/>
      <c r="I263" s="1397"/>
      <c r="J263" s="543"/>
      <c r="K263" s="572"/>
      <c r="L263" s="545">
        <f t="shared" si="13"/>
        <v>0</v>
      </c>
      <c r="M263" s="513"/>
      <c r="N263" s="1465" t="s">
        <v>91</v>
      </c>
      <c r="O263" s="1466"/>
      <c r="P263" s="1467"/>
      <c r="Q263" s="540"/>
      <c r="R263" s="541" t="s">
        <v>321</v>
      </c>
      <c r="S263" s="671" t="s">
        <v>90</v>
      </c>
      <c r="T263" s="1395">
        <f t="shared" si="14"/>
        <v>0</v>
      </c>
      <c r="U263" s="1396"/>
      <c r="V263" s="1397"/>
      <c r="W263" s="543"/>
      <c r="X263" s="572"/>
      <c r="Y263" s="545">
        <f t="shared" si="15"/>
        <v>0</v>
      </c>
      <c r="Z263" s="546">
        <f t="shared" si="16"/>
        <v>0</v>
      </c>
      <c r="AA263" s="513"/>
      <c r="AC263" s="597" t="s">
        <v>516</v>
      </c>
      <c r="AD263" s="672" t="s">
        <v>517</v>
      </c>
      <c r="AE263" s="521">
        <f t="shared" si="11"/>
        <v>0</v>
      </c>
      <c r="AF263" s="522" t="str">
        <f t="shared" si="10"/>
        <v/>
      </c>
      <c r="AH263" s="498"/>
      <c r="AI263" s="1362" t="s">
        <v>518</v>
      </c>
      <c r="AJ263" s="1363"/>
      <c r="AK263" s="1363"/>
      <c r="AL263" s="1363"/>
      <c r="AM263" s="1364"/>
      <c r="AN263" s="649" t="s">
        <v>519</v>
      </c>
      <c r="AO263" s="507">
        <f t="shared" si="0"/>
        <v>0</v>
      </c>
      <c r="AP263" s="508"/>
      <c r="AQ263" s="498"/>
      <c r="AR263" s="1362" t="s">
        <v>520</v>
      </c>
      <c r="AS263" s="1363"/>
      <c r="AT263" s="1363"/>
      <c r="AU263" s="1363"/>
      <c r="AV263" s="1364"/>
      <c r="AW263" s="673" t="s">
        <v>521</v>
      </c>
      <c r="AX263" s="507">
        <f t="shared" si="1"/>
        <v>0</v>
      </c>
      <c r="AY263" s="674"/>
      <c r="AZ263" s="498"/>
      <c r="BA263" s="501"/>
      <c r="BB263" s="498"/>
      <c r="BC263" s="498"/>
      <c r="BD263" s="498"/>
      <c r="BE263" s="498"/>
      <c r="BF263" s="498"/>
      <c r="BG263" s="498"/>
      <c r="BH263" s="498"/>
    </row>
    <row r="264" spans="1:60" ht="18.75" thickBot="1" x14ac:dyDescent="0.3">
      <c r="A264" s="1508" t="s">
        <v>93</v>
      </c>
      <c r="B264" s="1509"/>
      <c r="C264" s="1510"/>
      <c r="D264" s="540"/>
      <c r="E264" s="541" t="s">
        <v>321</v>
      </c>
      <c r="F264" s="675" t="s">
        <v>92</v>
      </c>
      <c r="G264" s="1395">
        <f t="shared" si="12"/>
        <v>0</v>
      </c>
      <c r="H264" s="1396"/>
      <c r="I264" s="1397"/>
      <c r="J264" s="543"/>
      <c r="K264" s="544"/>
      <c r="L264" s="545">
        <f t="shared" si="13"/>
        <v>0</v>
      </c>
      <c r="M264" s="513"/>
      <c r="N264" s="1508" t="s">
        <v>93</v>
      </c>
      <c r="O264" s="1509"/>
      <c r="P264" s="1510"/>
      <c r="Q264" s="540"/>
      <c r="R264" s="541" t="s">
        <v>321</v>
      </c>
      <c r="S264" s="675" t="s">
        <v>92</v>
      </c>
      <c r="T264" s="1395">
        <f t="shared" si="14"/>
        <v>0</v>
      </c>
      <c r="U264" s="1396"/>
      <c r="V264" s="1397"/>
      <c r="W264" s="543"/>
      <c r="X264" s="544"/>
      <c r="Y264" s="545">
        <f t="shared" si="15"/>
        <v>0</v>
      </c>
      <c r="Z264" s="546">
        <f t="shared" si="16"/>
        <v>0</v>
      </c>
      <c r="AA264" s="513"/>
      <c r="AC264" s="519" t="s">
        <v>522</v>
      </c>
      <c r="AD264" s="584" t="s">
        <v>523</v>
      </c>
      <c r="AE264" s="521">
        <f t="shared" si="11"/>
        <v>0</v>
      </c>
      <c r="AF264" s="522" t="str">
        <f t="shared" si="10"/>
        <v/>
      </c>
      <c r="AH264" s="498"/>
      <c r="AI264" s="1362" t="s">
        <v>524</v>
      </c>
      <c r="AJ264" s="1363"/>
      <c r="AK264" s="1363"/>
      <c r="AL264" s="1363"/>
      <c r="AM264" s="1364"/>
      <c r="AN264" s="676" t="s">
        <v>525</v>
      </c>
      <c r="AO264" s="507">
        <f t="shared" si="0"/>
        <v>0</v>
      </c>
      <c r="AP264" s="508"/>
      <c r="AQ264" s="498"/>
      <c r="AR264" s="1519" t="s">
        <v>526</v>
      </c>
      <c r="AS264" s="1486"/>
      <c r="AT264" s="1486"/>
      <c r="AU264" s="1486"/>
      <c r="AV264" s="1487"/>
      <c r="AW264" s="677"/>
      <c r="AX264" s="678">
        <f>SUM(AX223:AX263)</f>
        <v>0</v>
      </c>
      <c r="AY264" s="498"/>
      <c r="AZ264" s="498"/>
      <c r="BA264" s="501"/>
      <c r="BB264" s="498"/>
      <c r="BC264" s="498"/>
      <c r="BD264" s="498"/>
      <c r="BE264" s="498"/>
      <c r="BF264" s="498"/>
      <c r="BG264" s="498"/>
      <c r="BH264" s="498"/>
    </row>
    <row r="265" spans="1:60" ht="18.75" thickBot="1" x14ac:dyDescent="0.3">
      <c r="A265" s="1508" t="s">
        <v>527</v>
      </c>
      <c r="B265" s="1509"/>
      <c r="C265" s="1510"/>
      <c r="D265" s="540" t="s">
        <v>6</v>
      </c>
      <c r="E265" s="541" t="s">
        <v>321</v>
      </c>
      <c r="F265" s="679" t="s">
        <v>116</v>
      </c>
      <c r="G265" s="1395">
        <f t="shared" si="12"/>
        <v>0</v>
      </c>
      <c r="H265" s="1396"/>
      <c r="I265" s="1397"/>
      <c r="J265" s="543"/>
      <c r="K265" s="544"/>
      <c r="L265" s="545">
        <f t="shared" si="13"/>
        <v>0</v>
      </c>
      <c r="M265" s="513"/>
      <c r="N265" s="1508" t="s">
        <v>527</v>
      </c>
      <c r="O265" s="1509"/>
      <c r="P265" s="1510"/>
      <c r="Q265" s="540" t="s">
        <v>6</v>
      </c>
      <c r="R265" s="541" t="s">
        <v>321</v>
      </c>
      <c r="S265" s="679" t="s">
        <v>116</v>
      </c>
      <c r="T265" s="1395">
        <f t="shared" si="14"/>
        <v>0</v>
      </c>
      <c r="U265" s="1396"/>
      <c r="V265" s="1397"/>
      <c r="W265" s="543"/>
      <c r="X265" s="544"/>
      <c r="Y265" s="545">
        <f t="shared" si="15"/>
        <v>0</v>
      </c>
      <c r="Z265" s="546">
        <f t="shared" si="16"/>
        <v>0</v>
      </c>
      <c r="AA265" s="513"/>
      <c r="AC265" s="519" t="s">
        <v>362</v>
      </c>
      <c r="AD265" s="680" t="s">
        <v>528</v>
      </c>
      <c r="AE265" s="521">
        <f t="shared" si="11"/>
        <v>0</v>
      </c>
      <c r="AF265" s="522" t="str">
        <f t="shared" si="10"/>
        <v/>
      </c>
      <c r="AH265" s="498"/>
      <c r="AI265" s="1362" t="s">
        <v>529</v>
      </c>
      <c r="AJ265" s="1363"/>
      <c r="AK265" s="1363"/>
      <c r="AL265" s="1363"/>
      <c r="AM265" s="1364"/>
      <c r="AN265" s="681" t="s">
        <v>530</v>
      </c>
      <c r="AO265" s="507">
        <f t="shared" si="0"/>
        <v>0</v>
      </c>
      <c r="AP265" s="508"/>
      <c r="AQ265" s="498"/>
      <c r="AR265" s="498"/>
      <c r="AS265" s="498"/>
      <c r="AT265" s="498"/>
      <c r="AU265" s="498"/>
      <c r="AV265" s="498"/>
      <c r="AW265" s="498"/>
      <c r="AX265" s="498"/>
      <c r="AY265" s="498"/>
      <c r="AZ265" s="498"/>
      <c r="BA265" s="501"/>
      <c r="BB265" s="498"/>
      <c r="BC265" s="498"/>
      <c r="BD265" s="498"/>
      <c r="BE265" s="498"/>
      <c r="BF265" s="498"/>
      <c r="BG265" s="498"/>
      <c r="BH265" s="498"/>
    </row>
    <row r="266" spans="1:60" ht="18.75" thickBot="1" x14ac:dyDescent="0.3">
      <c r="A266" s="1508" t="s">
        <v>33</v>
      </c>
      <c r="B266" s="1509"/>
      <c r="C266" s="1510"/>
      <c r="D266" s="540"/>
      <c r="E266" s="541" t="s">
        <v>321</v>
      </c>
      <c r="F266" s="682" t="s">
        <v>34</v>
      </c>
      <c r="G266" s="1395">
        <f t="shared" si="12"/>
        <v>0</v>
      </c>
      <c r="H266" s="1396"/>
      <c r="I266" s="1397"/>
      <c r="J266" s="543"/>
      <c r="K266" s="572"/>
      <c r="L266" s="545">
        <f t="shared" si="13"/>
        <v>0</v>
      </c>
      <c r="M266" s="513"/>
      <c r="N266" s="1508" t="s">
        <v>33</v>
      </c>
      <c r="O266" s="1509"/>
      <c r="P266" s="1510"/>
      <c r="Q266" s="540"/>
      <c r="R266" s="541" t="s">
        <v>321</v>
      </c>
      <c r="S266" s="682" t="s">
        <v>34</v>
      </c>
      <c r="T266" s="1395">
        <f t="shared" si="14"/>
        <v>0</v>
      </c>
      <c r="U266" s="1396"/>
      <c r="V266" s="1397"/>
      <c r="W266" s="543"/>
      <c r="X266" s="572"/>
      <c r="Y266" s="545">
        <f t="shared" si="15"/>
        <v>0</v>
      </c>
      <c r="Z266" s="546">
        <f t="shared" si="16"/>
        <v>0</v>
      </c>
      <c r="AA266" s="513"/>
      <c r="AC266" s="683" t="s">
        <v>531</v>
      </c>
      <c r="AD266" s="684" t="s">
        <v>532</v>
      </c>
      <c r="AE266" s="521">
        <f t="shared" si="11"/>
        <v>0</v>
      </c>
      <c r="AF266" s="522" t="str">
        <f t="shared" si="10"/>
        <v/>
      </c>
      <c r="AH266" s="498"/>
      <c r="AI266" s="1362" t="s">
        <v>533</v>
      </c>
      <c r="AJ266" s="1363"/>
      <c r="AK266" s="1363"/>
      <c r="AL266" s="1363"/>
      <c r="AM266" s="1364"/>
      <c r="AN266" s="681" t="s">
        <v>534</v>
      </c>
      <c r="AO266" s="507">
        <f t="shared" si="0"/>
        <v>0</v>
      </c>
      <c r="AP266" s="508"/>
      <c r="AQ266" s="498"/>
      <c r="AR266" s="1468" t="s">
        <v>322</v>
      </c>
      <c r="AS266" s="1380"/>
      <c r="AT266" s="1380"/>
      <c r="AU266" s="1380"/>
      <c r="AV266" s="1380"/>
      <c r="AW266" s="1381"/>
      <c r="AX266" s="499" t="s">
        <v>274</v>
      </c>
      <c r="AY266" s="500"/>
      <c r="AZ266" s="498"/>
      <c r="BA266" s="501"/>
      <c r="BB266" s="498"/>
      <c r="BC266" s="498"/>
      <c r="BD266" s="498"/>
      <c r="BE266" s="498"/>
      <c r="BF266" s="498"/>
      <c r="BG266" s="498"/>
      <c r="BH266" s="498"/>
    </row>
    <row r="267" spans="1:60" ht="19.5" thickBot="1" x14ac:dyDescent="0.3">
      <c r="A267" s="1508" t="s">
        <v>95</v>
      </c>
      <c r="B267" s="1509"/>
      <c r="C267" s="1510"/>
      <c r="D267" s="540"/>
      <c r="E267" s="541" t="s">
        <v>321</v>
      </c>
      <c r="F267" s="685" t="s">
        <v>94</v>
      </c>
      <c r="G267" s="1395">
        <f t="shared" si="12"/>
        <v>0</v>
      </c>
      <c r="H267" s="1396"/>
      <c r="I267" s="1397"/>
      <c r="J267" s="543"/>
      <c r="K267" s="572"/>
      <c r="L267" s="545">
        <f t="shared" si="13"/>
        <v>0</v>
      </c>
      <c r="M267" s="513"/>
      <c r="N267" s="1508" t="s">
        <v>95</v>
      </c>
      <c r="O267" s="1509"/>
      <c r="P267" s="1510"/>
      <c r="Q267" s="540"/>
      <c r="R267" s="541" t="s">
        <v>321</v>
      </c>
      <c r="S267" s="685" t="s">
        <v>94</v>
      </c>
      <c r="T267" s="1395">
        <f t="shared" si="14"/>
        <v>0</v>
      </c>
      <c r="U267" s="1396"/>
      <c r="V267" s="1397"/>
      <c r="W267" s="543"/>
      <c r="X267" s="572"/>
      <c r="Y267" s="545">
        <f t="shared" si="15"/>
        <v>0</v>
      </c>
      <c r="Z267" s="546">
        <f t="shared" si="16"/>
        <v>0</v>
      </c>
      <c r="AA267" s="513"/>
      <c r="AC267" s="683" t="s">
        <v>48</v>
      </c>
      <c r="AD267" s="686" t="s">
        <v>48</v>
      </c>
      <c r="AE267" s="521">
        <f t="shared" si="11"/>
        <v>94</v>
      </c>
      <c r="AF267" s="522" t="str">
        <f t="shared" si="10"/>
        <v/>
      </c>
      <c r="AH267" s="498"/>
      <c r="AI267" s="1362" t="s">
        <v>535</v>
      </c>
      <c r="AJ267" s="1363"/>
      <c r="AK267" s="1363"/>
      <c r="AL267" s="1363"/>
      <c r="AM267" s="1364"/>
      <c r="AN267" s="687" t="s">
        <v>536</v>
      </c>
      <c r="AO267" s="507">
        <f t="shared" si="0"/>
        <v>0</v>
      </c>
      <c r="AP267" s="508"/>
      <c r="AQ267" s="498"/>
      <c r="AR267" s="1434" t="s">
        <v>537</v>
      </c>
      <c r="AS267" s="1435"/>
      <c r="AT267" s="1435"/>
      <c r="AU267" s="1435"/>
      <c r="AV267" s="1436"/>
      <c r="AW267" s="688" t="s">
        <v>538</v>
      </c>
      <c r="AX267" s="507">
        <f t="shared" ref="AX267:AX320" si="17">COUNTIF($P$1:$Q$1,AW267)</f>
        <v>0</v>
      </c>
      <c r="AY267" s="689"/>
      <c r="AZ267" s="498"/>
      <c r="BA267" s="501"/>
      <c r="BB267" s="498"/>
    </row>
    <row r="268" spans="1:60" ht="19.5" thickBot="1" x14ac:dyDescent="0.3">
      <c r="A268" s="1508" t="s">
        <v>97</v>
      </c>
      <c r="B268" s="1509"/>
      <c r="C268" s="1510"/>
      <c r="D268" s="540"/>
      <c r="E268" s="541" t="s">
        <v>321</v>
      </c>
      <c r="F268" s="690" t="s">
        <v>96</v>
      </c>
      <c r="G268" s="1395">
        <f t="shared" si="12"/>
        <v>0</v>
      </c>
      <c r="H268" s="1396"/>
      <c r="I268" s="1397"/>
      <c r="J268" s="543"/>
      <c r="K268" s="572"/>
      <c r="L268" s="545">
        <f t="shared" si="13"/>
        <v>0</v>
      </c>
      <c r="M268" s="513"/>
      <c r="N268" s="1508" t="s">
        <v>97</v>
      </c>
      <c r="O268" s="1509"/>
      <c r="P268" s="1510"/>
      <c r="Q268" s="540"/>
      <c r="R268" s="541" t="s">
        <v>321</v>
      </c>
      <c r="S268" s="690" t="s">
        <v>96</v>
      </c>
      <c r="T268" s="1395">
        <f t="shared" si="14"/>
        <v>0</v>
      </c>
      <c r="U268" s="1396"/>
      <c r="V268" s="1397"/>
      <c r="W268" s="543"/>
      <c r="X268" s="572"/>
      <c r="Y268" s="545">
        <f t="shared" si="15"/>
        <v>0</v>
      </c>
      <c r="Z268" s="546">
        <f t="shared" si="16"/>
        <v>0</v>
      </c>
      <c r="AA268" s="513"/>
      <c r="AC268" s="580" t="s">
        <v>539</v>
      </c>
      <c r="AD268" s="109" t="s">
        <v>183</v>
      </c>
      <c r="AE268" s="521">
        <f t="shared" si="11"/>
        <v>9</v>
      </c>
      <c r="AF268" s="522" t="str">
        <f t="shared" si="10"/>
        <v/>
      </c>
      <c r="AH268" s="498"/>
      <c r="AI268" s="1362" t="s">
        <v>540</v>
      </c>
      <c r="AJ268" s="1363"/>
      <c r="AK268" s="1363"/>
      <c r="AL268" s="1363"/>
      <c r="AM268" s="1364"/>
      <c r="AN268" s="598" t="s">
        <v>541</v>
      </c>
      <c r="AO268" s="507">
        <f t="shared" si="0"/>
        <v>0</v>
      </c>
      <c r="AP268" s="508"/>
      <c r="AQ268" s="498"/>
      <c r="AR268" s="1434" t="s">
        <v>542</v>
      </c>
      <c r="AS268" s="1435"/>
      <c r="AT268" s="1435"/>
      <c r="AU268" s="1435"/>
      <c r="AV268" s="1436"/>
      <c r="AW268" s="691" t="s">
        <v>543</v>
      </c>
      <c r="AX268" s="507">
        <f t="shared" si="17"/>
        <v>0</v>
      </c>
      <c r="AY268" s="689"/>
      <c r="AZ268" s="498"/>
      <c r="BA268" s="501"/>
      <c r="BB268" s="498"/>
    </row>
    <row r="269" spans="1:60" ht="18" x14ac:dyDescent="0.25">
      <c r="A269" s="1508" t="s">
        <v>141</v>
      </c>
      <c r="B269" s="1509"/>
      <c r="C269" s="1510"/>
      <c r="D269" s="692"/>
      <c r="E269" s="693"/>
      <c r="F269" s="694" t="s">
        <v>135</v>
      </c>
      <c r="G269" s="1395">
        <f t="shared" si="12"/>
        <v>0</v>
      </c>
      <c r="H269" s="1396"/>
      <c r="I269" s="1397"/>
      <c r="J269" s="543"/>
      <c r="K269" s="572"/>
      <c r="L269" s="545">
        <f t="shared" si="13"/>
        <v>0</v>
      </c>
      <c r="M269" s="513"/>
      <c r="N269" s="1508" t="s">
        <v>141</v>
      </c>
      <c r="O269" s="1509"/>
      <c r="P269" s="1510"/>
      <c r="Q269" s="695"/>
      <c r="R269" s="696"/>
      <c r="S269" s="694" t="s">
        <v>135</v>
      </c>
      <c r="T269" s="1395">
        <f t="shared" si="14"/>
        <v>0</v>
      </c>
      <c r="U269" s="1396"/>
      <c r="V269" s="1397"/>
      <c r="W269" s="543"/>
      <c r="X269" s="572"/>
      <c r="Y269" s="545">
        <f t="shared" si="15"/>
        <v>0</v>
      </c>
      <c r="Z269" s="546">
        <f t="shared" si="16"/>
        <v>0</v>
      </c>
      <c r="AA269" s="513"/>
      <c r="AC269" s="597" t="s">
        <v>544</v>
      </c>
      <c r="AD269" s="697" t="s">
        <v>545</v>
      </c>
      <c r="AE269" s="521">
        <f t="shared" si="11"/>
        <v>0</v>
      </c>
      <c r="AF269" s="522" t="str">
        <f t="shared" si="10"/>
        <v/>
      </c>
      <c r="AH269" s="498"/>
      <c r="AI269" s="1362" t="s">
        <v>546</v>
      </c>
      <c r="AJ269" s="1363"/>
      <c r="AK269" s="1363"/>
      <c r="AL269" s="1363"/>
      <c r="AM269" s="1364"/>
      <c r="AN269" s="698" t="s">
        <v>547</v>
      </c>
      <c r="AO269" s="507">
        <f t="shared" si="0"/>
        <v>0</v>
      </c>
      <c r="AP269" s="508"/>
      <c r="AQ269" s="498"/>
      <c r="AR269" s="1434" t="s">
        <v>548</v>
      </c>
      <c r="AS269" s="1435"/>
      <c r="AT269" s="1435"/>
      <c r="AU269" s="1435"/>
      <c r="AV269" s="1436"/>
      <c r="AW269" s="691" t="s">
        <v>549</v>
      </c>
      <c r="AX269" s="507">
        <f t="shared" si="17"/>
        <v>0</v>
      </c>
      <c r="AY269" s="689"/>
      <c r="AZ269" s="498"/>
      <c r="BA269" s="501"/>
      <c r="BB269" s="498"/>
    </row>
    <row r="270" spans="1:60" ht="18.75" x14ac:dyDescent="0.25">
      <c r="A270" s="1454" t="s">
        <v>274</v>
      </c>
      <c r="B270" s="1455"/>
      <c r="C270" s="1455"/>
      <c r="D270" s="1455"/>
      <c r="E270" s="1455"/>
      <c r="F270" s="699"/>
      <c r="G270" s="1494">
        <f>SUM(G252:I269)</f>
        <v>3</v>
      </c>
      <c r="H270" s="1495"/>
      <c r="I270" s="1496"/>
      <c r="J270" s="629">
        <f>SUM(J252:J269)</f>
        <v>0</v>
      </c>
      <c r="K270" s="572">
        <f>SUM(K252:K269)</f>
        <v>0</v>
      </c>
      <c r="L270" s="545">
        <f>SUM(L252:L269)</f>
        <v>3</v>
      </c>
      <c r="M270" s="513"/>
      <c r="N270" s="1517" t="s">
        <v>274</v>
      </c>
      <c r="O270" s="1518"/>
      <c r="P270" s="1518"/>
      <c r="Q270" s="1518"/>
      <c r="R270" s="1518"/>
      <c r="S270" s="700"/>
      <c r="T270" s="1499">
        <f>SUM(T252:V269)</f>
        <v>1</v>
      </c>
      <c r="U270" s="1500"/>
      <c r="V270" s="1501"/>
      <c r="W270" s="629">
        <f>SUM(W252:W269)</f>
        <v>0</v>
      </c>
      <c r="X270" s="572">
        <f>SUM(X252:X269)</f>
        <v>0</v>
      </c>
      <c r="Y270" s="545">
        <f>SUM(Y252:Y269)</f>
        <v>1</v>
      </c>
      <c r="Z270" s="546">
        <f t="shared" si="16"/>
        <v>4</v>
      </c>
      <c r="AA270" s="513"/>
      <c r="AC270" s="597" t="s">
        <v>550</v>
      </c>
      <c r="AD270" s="701" t="s">
        <v>551</v>
      </c>
      <c r="AE270" s="521">
        <f t="shared" si="11"/>
        <v>0</v>
      </c>
      <c r="AF270" s="522" t="str">
        <f t="shared" si="10"/>
        <v/>
      </c>
      <c r="AH270" s="498"/>
      <c r="AI270" s="1362" t="s">
        <v>552</v>
      </c>
      <c r="AJ270" s="1363"/>
      <c r="AK270" s="1363"/>
      <c r="AL270" s="1363"/>
      <c r="AM270" s="1364"/>
      <c r="AN270" s="649" t="s">
        <v>553</v>
      </c>
      <c r="AO270" s="507">
        <f t="shared" si="0"/>
        <v>0</v>
      </c>
      <c r="AP270" s="508"/>
      <c r="AQ270" s="498"/>
      <c r="AR270" s="1434" t="s">
        <v>554</v>
      </c>
      <c r="AS270" s="1435"/>
      <c r="AT270" s="1435"/>
      <c r="AU270" s="1435"/>
      <c r="AV270" s="1436"/>
      <c r="AW270" s="702" t="s">
        <v>555</v>
      </c>
      <c r="AX270" s="507">
        <f t="shared" si="17"/>
        <v>0</v>
      </c>
      <c r="AY270" s="689"/>
      <c r="AZ270" s="498"/>
      <c r="BA270" s="501"/>
    </row>
    <row r="271" spans="1:60" ht="18" x14ac:dyDescent="0.25">
      <c r="A271" s="1511" t="s">
        <v>556</v>
      </c>
      <c r="B271" s="1512"/>
      <c r="C271" s="1512"/>
      <c r="D271" s="1512"/>
      <c r="E271" s="1512"/>
      <c r="F271" s="1512"/>
      <c r="G271" s="1512"/>
      <c r="H271" s="1512"/>
      <c r="I271" s="1513"/>
      <c r="J271" s="535" t="s">
        <v>305</v>
      </c>
      <c r="K271" s="535" t="s">
        <v>306</v>
      </c>
      <c r="L271" s="535" t="s">
        <v>307</v>
      </c>
      <c r="M271" s="513"/>
      <c r="N271" s="1514" t="s">
        <v>556</v>
      </c>
      <c r="O271" s="1515"/>
      <c r="P271" s="1515"/>
      <c r="Q271" s="1515"/>
      <c r="R271" s="1515"/>
      <c r="S271" s="1515"/>
      <c r="T271" s="1515"/>
      <c r="U271" s="1515"/>
      <c r="V271" s="1516"/>
      <c r="W271" s="536" t="s">
        <v>305</v>
      </c>
      <c r="X271" s="536" t="s">
        <v>306</v>
      </c>
      <c r="Y271" s="536" t="s">
        <v>307</v>
      </c>
      <c r="AA271" s="513"/>
      <c r="AC271" s="580" t="s">
        <v>557</v>
      </c>
      <c r="AD271" s="703" t="s">
        <v>558</v>
      </c>
      <c r="AE271" s="521">
        <f t="shared" si="11"/>
        <v>0</v>
      </c>
      <c r="AF271" s="522" t="str">
        <f t="shared" si="10"/>
        <v/>
      </c>
      <c r="AH271" s="498"/>
      <c r="AI271" s="1362" t="s">
        <v>559</v>
      </c>
      <c r="AJ271" s="1363"/>
      <c r="AK271" s="1363"/>
      <c r="AL271" s="1363"/>
      <c r="AM271" s="1364"/>
      <c r="AN271" s="704" t="s">
        <v>560</v>
      </c>
      <c r="AO271" s="507">
        <f t="shared" si="0"/>
        <v>0</v>
      </c>
      <c r="AP271" s="508"/>
      <c r="AQ271" s="498"/>
      <c r="AR271" s="1434" t="s">
        <v>561</v>
      </c>
      <c r="AS271" s="1435"/>
      <c r="AT271" s="1435"/>
      <c r="AU271" s="1435"/>
      <c r="AV271" s="1436"/>
      <c r="AW271" s="62" t="s">
        <v>157</v>
      </c>
      <c r="AX271" s="507">
        <f t="shared" si="17"/>
        <v>0</v>
      </c>
      <c r="AY271" s="689"/>
      <c r="AZ271" s="498"/>
      <c r="BA271" s="501"/>
    </row>
    <row r="272" spans="1:60" ht="19.5" thickBot="1" x14ac:dyDescent="0.3">
      <c r="A272" s="1508" t="s">
        <v>142</v>
      </c>
      <c r="B272" s="1509"/>
      <c r="C272" s="1510"/>
      <c r="D272" s="637"/>
      <c r="E272" s="638"/>
      <c r="F272" s="554" t="s">
        <v>121</v>
      </c>
      <c r="G272" s="1395">
        <f t="shared" ref="G272:G273" si="18">COUNTIF($P$79:$BM$151,F272)</f>
        <v>0</v>
      </c>
      <c r="H272" s="1396"/>
      <c r="I272" s="1397"/>
      <c r="J272" s="543"/>
      <c r="K272" s="544"/>
      <c r="L272" s="545">
        <f t="shared" ref="L272:L273" si="19">G272-K272-J272</f>
        <v>0</v>
      </c>
      <c r="M272" s="513"/>
      <c r="N272" s="1508" t="s">
        <v>142</v>
      </c>
      <c r="O272" s="1509"/>
      <c r="P272" s="1510"/>
      <c r="Q272" s="637"/>
      <c r="R272" s="638"/>
      <c r="S272" s="554" t="s">
        <v>121</v>
      </c>
      <c r="T272" s="1395">
        <f>COUNTIF($O$6:$BE$74,S272)</f>
        <v>0</v>
      </c>
      <c r="U272" s="1396"/>
      <c r="V272" s="1397"/>
      <c r="W272" s="543"/>
      <c r="X272" s="544"/>
      <c r="Y272" s="545">
        <f t="shared" ref="Y272:Y273" si="20">T272-X272-W272</f>
        <v>0</v>
      </c>
      <c r="Z272" s="546">
        <f t="shared" ref="Z272:Z274" si="21">T272+G272</f>
        <v>0</v>
      </c>
      <c r="AA272" s="513"/>
      <c r="AC272" s="597" t="s">
        <v>562</v>
      </c>
      <c r="AD272" s="705" t="s">
        <v>562</v>
      </c>
      <c r="AE272" s="521">
        <f t="shared" si="11"/>
        <v>0</v>
      </c>
      <c r="AF272" s="522" t="str">
        <f t="shared" si="10"/>
        <v/>
      </c>
      <c r="AH272" s="498"/>
      <c r="AI272" s="1362" t="s">
        <v>563</v>
      </c>
      <c r="AJ272" s="1363"/>
      <c r="AK272" s="1363"/>
      <c r="AL272" s="1363"/>
      <c r="AM272" s="1364"/>
      <c r="AN272" s="706" t="s">
        <v>564</v>
      </c>
      <c r="AO272" s="507">
        <f t="shared" si="0"/>
        <v>0</v>
      </c>
      <c r="AP272" s="508"/>
      <c r="AQ272" s="498"/>
      <c r="AR272" s="1434" t="s">
        <v>565</v>
      </c>
      <c r="AS272" s="1435"/>
      <c r="AT272" s="1435"/>
      <c r="AU272" s="1435"/>
      <c r="AV272" s="1436"/>
      <c r="AW272" s="62" t="s">
        <v>566</v>
      </c>
      <c r="AX272" s="507">
        <f t="shared" si="17"/>
        <v>0</v>
      </c>
      <c r="AY272" s="689"/>
      <c r="AZ272" s="498"/>
      <c r="BA272" s="501"/>
    </row>
    <row r="273" spans="1:53" ht="19.5" customHeight="1" thickBot="1" x14ac:dyDescent="0.3">
      <c r="A273" s="1508" t="s">
        <v>143</v>
      </c>
      <c r="B273" s="1509"/>
      <c r="C273" s="1510"/>
      <c r="D273" s="540"/>
      <c r="E273" s="541"/>
      <c r="F273" s="650" t="s">
        <v>122</v>
      </c>
      <c r="G273" s="1395">
        <f t="shared" si="18"/>
        <v>0</v>
      </c>
      <c r="H273" s="1396"/>
      <c r="I273" s="1397"/>
      <c r="J273" s="543"/>
      <c r="K273" s="572"/>
      <c r="L273" s="545">
        <f t="shared" si="19"/>
        <v>0</v>
      </c>
      <c r="M273" s="513"/>
      <c r="N273" s="1508" t="s">
        <v>143</v>
      </c>
      <c r="O273" s="1509"/>
      <c r="P273" s="1510"/>
      <c r="Q273" s="540"/>
      <c r="R273" s="541"/>
      <c r="S273" s="650" t="s">
        <v>122</v>
      </c>
      <c r="T273" s="1395">
        <f>COUNTIF($O$6:$BE$74,S273)</f>
        <v>0</v>
      </c>
      <c r="U273" s="1396"/>
      <c r="V273" s="1397"/>
      <c r="W273" s="543"/>
      <c r="X273" s="572"/>
      <c r="Y273" s="545">
        <f t="shared" si="20"/>
        <v>0</v>
      </c>
      <c r="Z273" s="546">
        <f t="shared" si="21"/>
        <v>0</v>
      </c>
      <c r="AA273" s="513"/>
      <c r="AC273" s="597" t="s">
        <v>567</v>
      </c>
      <c r="AD273" s="707" t="s">
        <v>568</v>
      </c>
      <c r="AE273" s="521">
        <f t="shared" si="11"/>
        <v>0</v>
      </c>
      <c r="AF273" s="522" t="str">
        <f t="shared" si="10"/>
        <v/>
      </c>
      <c r="AH273" s="498"/>
      <c r="AI273" s="1362" t="s">
        <v>569</v>
      </c>
      <c r="AJ273" s="1363"/>
      <c r="AK273" s="1363"/>
      <c r="AL273" s="1363"/>
      <c r="AM273" s="1364"/>
      <c r="AN273" s="708" t="s">
        <v>570</v>
      </c>
      <c r="AO273" s="507">
        <f t="shared" si="0"/>
        <v>0</v>
      </c>
      <c r="AP273" s="508"/>
      <c r="AQ273" s="498"/>
      <c r="AR273" s="1434" t="s">
        <v>571</v>
      </c>
      <c r="AS273" s="1435"/>
      <c r="AT273" s="1435"/>
      <c r="AU273" s="1435"/>
      <c r="AV273" s="1436"/>
      <c r="AW273" s="62" t="s">
        <v>572</v>
      </c>
      <c r="AX273" s="507">
        <f t="shared" si="17"/>
        <v>0</v>
      </c>
      <c r="AY273" s="709"/>
      <c r="AZ273" s="498"/>
      <c r="BA273" s="501"/>
    </row>
    <row r="274" spans="1:53" ht="19.5" customHeight="1" x14ac:dyDescent="0.25">
      <c r="A274" s="1454" t="s">
        <v>274</v>
      </c>
      <c r="B274" s="1455"/>
      <c r="C274" s="1455"/>
      <c r="D274" s="1455"/>
      <c r="E274" s="1455"/>
      <c r="F274" s="699"/>
      <c r="G274" s="1494">
        <f>SUM(G272:I273)</f>
        <v>0</v>
      </c>
      <c r="H274" s="1495"/>
      <c r="I274" s="1496"/>
      <c r="J274" s="629">
        <f>SUM(J272:J273)</f>
        <v>0</v>
      </c>
      <c r="K274" s="572">
        <f>SUM(K272:K273)</f>
        <v>0</v>
      </c>
      <c r="L274" s="545">
        <f>SUM(L272:L273)</f>
        <v>0</v>
      </c>
      <c r="M274" s="513"/>
      <c r="N274" s="1497" t="s">
        <v>274</v>
      </c>
      <c r="O274" s="1498"/>
      <c r="P274" s="1498"/>
      <c r="Q274" s="1498"/>
      <c r="R274" s="1498"/>
      <c r="S274" s="700"/>
      <c r="T274" s="1499">
        <f>SUM(T272:V273)</f>
        <v>0</v>
      </c>
      <c r="U274" s="1500"/>
      <c r="V274" s="1501"/>
      <c r="W274" s="629">
        <f>SUM(W272:W273)</f>
        <v>0</v>
      </c>
      <c r="X274" s="572">
        <f>SUM(X272:X273)</f>
        <v>0</v>
      </c>
      <c r="Y274" s="545">
        <f>SUM(Y272:Y273)</f>
        <v>0</v>
      </c>
      <c r="Z274" s="546">
        <f t="shared" si="21"/>
        <v>0</v>
      </c>
      <c r="AA274" s="513"/>
      <c r="AC274" s="580" t="s">
        <v>573</v>
      </c>
      <c r="AD274" s="710" t="s">
        <v>574</v>
      </c>
      <c r="AE274" s="521">
        <f t="shared" si="11"/>
        <v>0</v>
      </c>
      <c r="AF274" s="522" t="str">
        <f t="shared" si="10"/>
        <v/>
      </c>
      <c r="AH274" s="498"/>
      <c r="AI274" s="1362" t="s">
        <v>575</v>
      </c>
      <c r="AJ274" s="1363"/>
      <c r="AK274" s="1363"/>
      <c r="AL274" s="1363"/>
      <c r="AM274" s="1364"/>
      <c r="AN274" s="711" t="s">
        <v>575</v>
      </c>
      <c r="AO274" s="507">
        <f t="shared" si="0"/>
        <v>0</v>
      </c>
      <c r="AP274" s="508"/>
      <c r="AQ274" s="498"/>
      <c r="AR274" s="1434" t="s">
        <v>576</v>
      </c>
      <c r="AS274" s="1435"/>
      <c r="AT274" s="1435"/>
      <c r="AU274" s="1435"/>
      <c r="AV274" s="1436"/>
      <c r="AW274" s="712" t="s">
        <v>577</v>
      </c>
      <c r="AX274" s="507">
        <f t="shared" si="17"/>
        <v>0</v>
      </c>
      <c r="AY274" s="709"/>
      <c r="AZ274" s="498"/>
      <c r="BA274" s="501"/>
    </row>
    <row r="275" spans="1:53" ht="18.75" x14ac:dyDescent="0.25">
      <c r="A275" s="1502" t="s">
        <v>578</v>
      </c>
      <c r="B275" s="1503"/>
      <c r="C275" s="1503"/>
      <c r="D275" s="1503"/>
      <c r="E275" s="1503"/>
      <c r="F275" s="1503"/>
      <c r="G275" s="1503"/>
      <c r="H275" s="1503"/>
      <c r="I275" s="1504"/>
      <c r="J275" s="535" t="s">
        <v>305</v>
      </c>
      <c r="K275" s="535" t="s">
        <v>306</v>
      </c>
      <c r="L275" s="535" t="s">
        <v>307</v>
      </c>
      <c r="M275" s="513"/>
      <c r="N275" s="1505" t="s">
        <v>578</v>
      </c>
      <c r="O275" s="1506"/>
      <c r="P275" s="1506"/>
      <c r="Q275" s="1506"/>
      <c r="R275" s="1506"/>
      <c r="S275" s="1506"/>
      <c r="T275" s="1506"/>
      <c r="U275" s="1506"/>
      <c r="V275" s="1507"/>
      <c r="W275" s="536" t="s">
        <v>305</v>
      </c>
      <c r="X275" s="536" t="s">
        <v>306</v>
      </c>
      <c r="Y275" s="536" t="s">
        <v>307</v>
      </c>
      <c r="AA275" s="513" t="b">
        <f>IFERROR(#REF!&gt;0.5,FALSE)</f>
        <v>0</v>
      </c>
      <c r="AC275" s="597" t="s">
        <v>579</v>
      </c>
      <c r="AD275" s="713" t="s">
        <v>580</v>
      </c>
      <c r="AE275" s="521">
        <f t="shared" si="11"/>
        <v>0</v>
      </c>
      <c r="AF275" s="522" t="str">
        <f t="shared" si="10"/>
        <v/>
      </c>
      <c r="AH275" s="498"/>
      <c r="AI275" s="1362" t="s">
        <v>581</v>
      </c>
      <c r="AJ275" s="1363"/>
      <c r="AK275" s="1363"/>
      <c r="AL275" s="1363"/>
      <c r="AM275" s="1364"/>
      <c r="AN275" s="714" t="s">
        <v>582</v>
      </c>
      <c r="AO275" s="507">
        <f t="shared" si="0"/>
        <v>0</v>
      </c>
      <c r="AP275" s="508"/>
      <c r="AQ275" s="498"/>
      <c r="AR275" s="1434" t="s">
        <v>583</v>
      </c>
      <c r="AS275" s="1435"/>
      <c r="AT275" s="1435"/>
      <c r="AU275" s="1435"/>
      <c r="AV275" s="1436"/>
      <c r="AW275" s="712" t="s">
        <v>584</v>
      </c>
      <c r="AX275" s="507">
        <f t="shared" si="17"/>
        <v>0</v>
      </c>
      <c r="AY275" s="709"/>
      <c r="AZ275" s="498"/>
      <c r="BA275" s="501"/>
    </row>
    <row r="276" spans="1:53" ht="18.75" customHeight="1" thickBot="1" x14ac:dyDescent="0.3">
      <c r="A276" s="1465" t="s">
        <v>99</v>
      </c>
      <c r="B276" s="1466"/>
      <c r="C276" s="1467"/>
      <c r="D276" s="540" t="s">
        <v>585</v>
      </c>
      <c r="E276" s="541" t="s">
        <v>321</v>
      </c>
      <c r="F276" s="715" t="s">
        <v>98</v>
      </c>
      <c r="G276" s="1395">
        <f t="shared" ref="G276:G292" si="22">COUNTIF($P$79:$BM$151,F276)</f>
        <v>0</v>
      </c>
      <c r="H276" s="1396"/>
      <c r="I276" s="1397"/>
      <c r="J276" s="543"/>
      <c r="K276" s="544"/>
      <c r="L276" s="545">
        <f t="shared" ref="L276:L292" si="23">G276-K276-J276</f>
        <v>0</v>
      </c>
      <c r="M276" s="513"/>
      <c r="N276" s="1465" t="s">
        <v>99</v>
      </c>
      <c r="O276" s="1466"/>
      <c r="P276" s="1467"/>
      <c r="Q276" s="540" t="s">
        <v>585</v>
      </c>
      <c r="R276" s="541" t="s">
        <v>321</v>
      </c>
      <c r="S276" s="715" t="s">
        <v>98</v>
      </c>
      <c r="T276" s="1395">
        <f t="shared" ref="T276:T292" si="24">COUNTIF($O$6:$BE$74,S276)</f>
        <v>0</v>
      </c>
      <c r="U276" s="1396"/>
      <c r="V276" s="1397"/>
      <c r="W276" s="543"/>
      <c r="X276" s="544"/>
      <c r="Y276" s="545">
        <f t="shared" ref="Y276:Y292" si="25">T276-X276-W276</f>
        <v>0</v>
      </c>
      <c r="Z276" s="546">
        <f t="shared" si="4"/>
        <v>0</v>
      </c>
      <c r="AA276" s="513"/>
      <c r="AC276" s="597" t="s">
        <v>586</v>
      </c>
      <c r="AD276" s="716" t="s">
        <v>587</v>
      </c>
      <c r="AE276" s="521">
        <f t="shared" si="11"/>
        <v>0</v>
      </c>
      <c r="AF276" s="522" t="str">
        <f t="shared" si="10"/>
        <v/>
      </c>
      <c r="AH276" s="498"/>
      <c r="AI276" s="1362" t="s">
        <v>588</v>
      </c>
      <c r="AJ276" s="1363"/>
      <c r="AK276" s="1363"/>
      <c r="AL276" s="1363"/>
      <c r="AM276" s="1364"/>
      <c r="AN276" s="717" t="s">
        <v>589</v>
      </c>
      <c r="AO276" s="507">
        <f t="shared" si="0"/>
        <v>0</v>
      </c>
      <c r="AP276" s="718"/>
      <c r="AQ276" s="498"/>
      <c r="AR276" s="1434" t="s">
        <v>590</v>
      </c>
      <c r="AS276" s="1435"/>
      <c r="AT276" s="1435"/>
      <c r="AU276" s="1435"/>
      <c r="AV276" s="1436"/>
      <c r="AW276" s="57" t="s">
        <v>152</v>
      </c>
      <c r="AX276" s="507">
        <f t="shared" si="17"/>
        <v>0</v>
      </c>
      <c r="AY276" s="709"/>
      <c r="AZ276" s="498"/>
      <c r="BA276" s="501"/>
    </row>
    <row r="277" spans="1:53" ht="18.75" x14ac:dyDescent="0.25">
      <c r="A277" s="1465" t="s">
        <v>144</v>
      </c>
      <c r="B277" s="1466"/>
      <c r="C277" s="1467"/>
      <c r="D277" s="540"/>
      <c r="E277" s="541"/>
      <c r="F277" s="719" t="s">
        <v>145</v>
      </c>
      <c r="G277" s="1395">
        <f t="shared" si="22"/>
        <v>0</v>
      </c>
      <c r="H277" s="1396"/>
      <c r="I277" s="1397"/>
      <c r="J277" s="543"/>
      <c r="K277" s="544"/>
      <c r="L277" s="545">
        <f t="shared" si="23"/>
        <v>0</v>
      </c>
      <c r="M277" s="513"/>
      <c r="N277" s="1465" t="s">
        <v>144</v>
      </c>
      <c r="O277" s="1466"/>
      <c r="P277" s="1467"/>
      <c r="Q277" s="540"/>
      <c r="R277" s="541"/>
      <c r="S277" s="719" t="s">
        <v>145</v>
      </c>
      <c r="T277" s="1395">
        <f t="shared" si="24"/>
        <v>0</v>
      </c>
      <c r="U277" s="1396"/>
      <c r="V277" s="1397"/>
      <c r="W277" s="543"/>
      <c r="X277" s="544"/>
      <c r="Y277" s="545">
        <f t="shared" si="25"/>
        <v>0</v>
      </c>
      <c r="Z277" s="546">
        <f t="shared" si="4"/>
        <v>0</v>
      </c>
      <c r="AA277" s="513"/>
      <c r="AC277" s="597" t="s">
        <v>591</v>
      </c>
      <c r="AD277" s="720" t="s">
        <v>592</v>
      </c>
      <c r="AE277" s="521">
        <f t="shared" si="11"/>
        <v>0</v>
      </c>
      <c r="AF277" s="522" t="str">
        <f t="shared" si="10"/>
        <v/>
      </c>
      <c r="AH277" s="498"/>
      <c r="AI277" s="1362" t="s">
        <v>593</v>
      </c>
      <c r="AJ277" s="1363"/>
      <c r="AK277" s="1363"/>
      <c r="AL277" s="1363"/>
      <c r="AM277" s="1364"/>
      <c r="AN277" s="721" t="s">
        <v>594</v>
      </c>
      <c r="AO277" s="507">
        <f t="shared" si="0"/>
        <v>0</v>
      </c>
      <c r="AP277" s="508"/>
      <c r="AQ277" s="498"/>
      <c r="AR277" s="1434" t="s">
        <v>595</v>
      </c>
      <c r="AS277" s="1435"/>
      <c r="AT277" s="1435"/>
      <c r="AU277" s="1435"/>
      <c r="AV277" s="1436"/>
      <c r="AW277" s="712" t="s">
        <v>596</v>
      </c>
      <c r="AX277" s="507">
        <f t="shared" si="17"/>
        <v>0</v>
      </c>
      <c r="AY277" s="689"/>
      <c r="AZ277" s="498"/>
      <c r="BA277" s="501"/>
    </row>
    <row r="278" spans="1:53" ht="19.5" customHeight="1" thickBot="1" x14ac:dyDescent="0.3">
      <c r="A278" s="1465" t="s">
        <v>100</v>
      </c>
      <c r="B278" s="1466"/>
      <c r="C278" s="1467"/>
      <c r="D278" s="540"/>
      <c r="E278" s="541"/>
      <c r="F278" s="722" t="s">
        <v>0</v>
      </c>
      <c r="G278" s="1395">
        <f t="shared" si="22"/>
        <v>4</v>
      </c>
      <c r="H278" s="1396"/>
      <c r="I278" s="1397"/>
      <c r="J278" s="543"/>
      <c r="K278" s="544"/>
      <c r="L278" s="545">
        <f t="shared" si="23"/>
        <v>4</v>
      </c>
      <c r="M278" s="513"/>
      <c r="N278" s="1465" t="s">
        <v>100</v>
      </c>
      <c r="O278" s="1466"/>
      <c r="P278" s="1467"/>
      <c r="Q278" s="540"/>
      <c r="R278" s="541"/>
      <c r="S278" s="722" t="s">
        <v>0</v>
      </c>
      <c r="T278" s="1395">
        <f t="shared" si="24"/>
        <v>2</v>
      </c>
      <c r="U278" s="1396"/>
      <c r="V278" s="1397"/>
      <c r="W278" s="543"/>
      <c r="X278" s="544"/>
      <c r="Y278" s="545">
        <f t="shared" si="25"/>
        <v>2</v>
      </c>
      <c r="Z278" s="546">
        <f t="shared" si="4"/>
        <v>6</v>
      </c>
      <c r="AA278" s="513"/>
      <c r="AC278" s="597" t="s">
        <v>597</v>
      </c>
      <c r="AD278" s="723" t="s">
        <v>598</v>
      </c>
      <c r="AE278" s="521">
        <f t="shared" si="11"/>
        <v>0</v>
      </c>
      <c r="AF278" s="522" t="str">
        <f t="shared" si="10"/>
        <v/>
      </c>
      <c r="AH278" s="498"/>
      <c r="AI278" s="1362" t="s">
        <v>599</v>
      </c>
      <c r="AJ278" s="1363"/>
      <c r="AK278" s="1363"/>
      <c r="AL278" s="1363"/>
      <c r="AM278" s="1364"/>
      <c r="AN278" s="631" t="s">
        <v>600</v>
      </c>
      <c r="AO278" s="507">
        <f t="shared" si="0"/>
        <v>0</v>
      </c>
      <c r="AP278" s="508"/>
      <c r="AQ278" s="498"/>
      <c r="AR278" s="1434" t="s">
        <v>601</v>
      </c>
      <c r="AS278" s="1435"/>
      <c r="AT278" s="1435"/>
      <c r="AU278" s="1435"/>
      <c r="AV278" s="1436"/>
      <c r="AW278" s="724" t="s">
        <v>602</v>
      </c>
      <c r="AX278" s="507">
        <f t="shared" si="17"/>
        <v>0</v>
      </c>
      <c r="AY278" s="689"/>
      <c r="AZ278" s="498"/>
      <c r="BA278" s="623"/>
    </row>
    <row r="279" spans="1:53" ht="19.5" customHeight="1" thickBot="1" x14ac:dyDescent="0.3">
      <c r="A279" s="1465" t="s">
        <v>102</v>
      </c>
      <c r="B279" s="1466"/>
      <c r="C279" s="1467"/>
      <c r="D279" s="540" t="s">
        <v>0</v>
      </c>
      <c r="E279" s="541"/>
      <c r="F279" s="725" t="s">
        <v>101</v>
      </c>
      <c r="G279" s="1395">
        <f t="shared" si="22"/>
        <v>0</v>
      </c>
      <c r="H279" s="1396"/>
      <c r="I279" s="1397"/>
      <c r="J279" s="543"/>
      <c r="K279" s="544"/>
      <c r="L279" s="545">
        <f t="shared" si="23"/>
        <v>0</v>
      </c>
      <c r="M279" s="513"/>
      <c r="N279" s="1465" t="s">
        <v>102</v>
      </c>
      <c r="O279" s="1466"/>
      <c r="P279" s="1467"/>
      <c r="Q279" s="540" t="s">
        <v>0</v>
      </c>
      <c r="R279" s="541"/>
      <c r="S279" s="725" t="s">
        <v>101</v>
      </c>
      <c r="T279" s="1395">
        <f t="shared" si="24"/>
        <v>0</v>
      </c>
      <c r="U279" s="1396"/>
      <c r="V279" s="1397"/>
      <c r="W279" s="543"/>
      <c r="X279" s="544"/>
      <c r="Y279" s="545">
        <f t="shared" si="25"/>
        <v>0</v>
      </c>
      <c r="Z279" s="546">
        <f t="shared" si="4"/>
        <v>0</v>
      </c>
      <c r="AC279" s="683" t="s">
        <v>176</v>
      </c>
      <c r="AD279" s="93" t="s">
        <v>176</v>
      </c>
      <c r="AE279" s="521">
        <f t="shared" si="11"/>
        <v>28</v>
      </c>
      <c r="AF279" s="522" t="str">
        <f t="shared" si="10"/>
        <v/>
      </c>
      <c r="AH279" s="498"/>
      <c r="AI279" s="1362" t="s">
        <v>603</v>
      </c>
      <c r="AJ279" s="1363"/>
      <c r="AK279" s="1363"/>
      <c r="AL279" s="1363"/>
      <c r="AM279" s="1364"/>
      <c r="AN279" s="714" t="s">
        <v>604</v>
      </c>
      <c r="AO279" s="507">
        <f t="shared" si="0"/>
        <v>0</v>
      </c>
      <c r="AP279" s="508"/>
      <c r="AQ279" s="498"/>
      <c r="AR279" s="1434" t="s">
        <v>605</v>
      </c>
      <c r="AS279" s="1435"/>
      <c r="AT279" s="1435"/>
      <c r="AU279" s="1435"/>
      <c r="AV279" s="1436"/>
      <c r="AW279" s="726" t="s">
        <v>606</v>
      </c>
      <c r="AX279" s="507">
        <f t="shared" si="17"/>
        <v>0</v>
      </c>
      <c r="AY279" s="689"/>
      <c r="AZ279" s="498"/>
      <c r="BA279" s="623"/>
    </row>
    <row r="280" spans="1:53" ht="18.75" customHeight="1" thickBot="1" x14ac:dyDescent="0.3">
      <c r="A280" s="1465" t="s">
        <v>18</v>
      </c>
      <c r="B280" s="1466"/>
      <c r="C280" s="1467"/>
      <c r="D280" s="540"/>
      <c r="E280" s="541"/>
      <c r="F280" s="727" t="s">
        <v>1</v>
      </c>
      <c r="G280" s="1395">
        <f t="shared" si="22"/>
        <v>0</v>
      </c>
      <c r="H280" s="1396"/>
      <c r="I280" s="1397"/>
      <c r="J280" s="543"/>
      <c r="K280" s="544"/>
      <c r="L280" s="545">
        <f t="shared" si="23"/>
        <v>0</v>
      </c>
      <c r="M280" s="513"/>
      <c r="N280" s="1465" t="s">
        <v>18</v>
      </c>
      <c r="O280" s="1466"/>
      <c r="P280" s="1467"/>
      <c r="Q280" s="540"/>
      <c r="R280" s="541"/>
      <c r="S280" s="727" t="s">
        <v>1</v>
      </c>
      <c r="T280" s="1395">
        <f t="shared" si="24"/>
        <v>0</v>
      </c>
      <c r="U280" s="1396"/>
      <c r="V280" s="1397"/>
      <c r="W280" s="543"/>
      <c r="X280" s="544"/>
      <c r="Y280" s="545">
        <f t="shared" si="25"/>
        <v>0</v>
      </c>
      <c r="Z280" s="546">
        <f t="shared" si="4"/>
        <v>0</v>
      </c>
      <c r="AC280" s="597" t="s">
        <v>607</v>
      </c>
      <c r="AD280" s="728" t="s">
        <v>608</v>
      </c>
      <c r="AE280" s="521">
        <f t="shared" si="11"/>
        <v>0</v>
      </c>
      <c r="AF280" s="522" t="str">
        <f t="shared" si="10"/>
        <v/>
      </c>
      <c r="AH280" s="498"/>
      <c r="AI280" s="1362" t="s">
        <v>609</v>
      </c>
      <c r="AJ280" s="1363"/>
      <c r="AK280" s="1363"/>
      <c r="AL280" s="1363"/>
      <c r="AM280" s="1364"/>
      <c r="AN280" s="729" t="s">
        <v>610</v>
      </c>
      <c r="AO280" s="507">
        <f t="shared" si="0"/>
        <v>0</v>
      </c>
      <c r="AP280" s="508"/>
      <c r="AQ280" s="498"/>
      <c r="AR280" s="1434" t="s">
        <v>611</v>
      </c>
      <c r="AS280" s="1435"/>
      <c r="AT280" s="1435"/>
      <c r="AU280" s="1435"/>
      <c r="AV280" s="1436"/>
      <c r="AW280" s="730" t="s">
        <v>612</v>
      </c>
      <c r="AX280" s="507">
        <f t="shared" si="17"/>
        <v>0</v>
      </c>
      <c r="AY280" s="689"/>
      <c r="AZ280" s="498"/>
      <c r="BA280" s="623"/>
    </row>
    <row r="281" spans="1:53" ht="18.75" customHeight="1" x14ac:dyDescent="0.25">
      <c r="A281" s="1465" t="s">
        <v>146</v>
      </c>
      <c r="B281" s="1466"/>
      <c r="C281" s="1467"/>
      <c r="D281" s="540"/>
      <c r="E281" s="541"/>
      <c r="F281" s="731" t="s">
        <v>147</v>
      </c>
      <c r="G281" s="1395">
        <f t="shared" si="22"/>
        <v>0</v>
      </c>
      <c r="H281" s="1396"/>
      <c r="I281" s="1397"/>
      <c r="J281" s="543"/>
      <c r="K281" s="544"/>
      <c r="L281" s="545">
        <f t="shared" si="23"/>
        <v>0</v>
      </c>
      <c r="M281" s="513"/>
      <c r="N281" s="1465" t="s">
        <v>146</v>
      </c>
      <c r="O281" s="1466"/>
      <c r="P281" s="1467"/>
      <c r="Q281" s="540"/>
      <c r="R281" s="541"/>
      <c r="S281" s="731" t="s">
        <v>147</v>
      </c>
      <c r="T281" s="1395">
        <f t="shared" si="24"/>
        <v>0</v>
      </c>
      <c r="U281" s="1396"/>
      <c r="V281" s="1397"/>
      <c r="W281" s="543"/>
      <c r="X281" s="544"/>
      <c r="Y281" s="545">
        <f t="shared" si="25"/>
        <v>0</v>
      </c>
      <c r="Z281" s="546">
        <f t="shared" si="4"/>
        <v>0</v>
      </c>
      <c r="AC281" s="597" t="s">
        <v>613</v>
      </c>
      <c r="AD281" s="732" t="s">
        <v>236</v>
      </c>
      <c r="AE281" s="521">
        <f t="shared" si="11"/>
        <v>8</v>
      </c>
      <c r="AF281" s="522" t="str">
        <f t="shared" si="10"/>
        <v/>
      </c>
      <c r="AH281" s="498"/>
      <c r="AI281" s="1362" t="s">
        <v>614</v>
      </c>
      <c r="AJ281" s="1363"/>
      <c r="AK281" s="1363"/>
      <c r="AL281" s="1363"/>
      <c r="AM281" s="1364"/>
      <c r="AN281" s="649" t="s">
        <v>615</v>
      </c>
      <c r="AO281" s="507">
        <f t="shared" si="0"/>
        <v>0</v>
      </c>
      <c r="AP281" s="508"/>
      <c r="AQ281" s="498"/>
      <c r="AR281" s="1434" t="s">
        <v>616</v>
      </c>
      <c r="AS281" s="1435"/>
      <c r="AT281" s="1435"/>
      <c r="AU281" s="1435"/>
      <c r="AV281" s="1436"/>
      <c r="AW281" s="733" t="s">
        <v>617</v>
      </c>
      <c r="AX281" s="507">
        <f t="shared" si="17"/>
        <v>0</v>
      </c>
      <c r="AY281" s="689"/>
      <c r="AZ281" s="498"/>
      <c r="BA281" s="623"/>
    </row>
    <row r="282" spans="1:53" ht="18.75" x14ac:dyDescent="0.25">
      <c r="A282" s="1465" t="s">
        <v>32</v>
      </c>
      <c r="B282" s="1466"/>
      <c r="C282" s="1467"/>
      <c r="D282" s="540"/>
      <c r="E282" s="541" t="s">
        <v>321</v>
      </c>
      <c r="F282" s="576" t="s">
        <v>68</v>
      </c>
      <c r="G282" s="1395">
        <f t="shared" si="22"/>
        <v>3</v>
      </c>
      <c r="H282" s="1396"/>
      <c r="I282" s="1397"/>
      <c r="J282" s="543"/>
      <c r="K282" s="544"/>
      <c r="L282" s="545">
        <f t="shared" si="23"/>
        <v>3</v>
      </c>
      <c r="M282" s="513"/>
      <c r="N282" s="1465" t="s">
        <v>32</v>
      </c>
      <c r="O282" s="1466"/>
      <c r="P282" s="1467"/>
      <c r="Q282" s="540"/>
      <c r="R282" s="541" t="s">
        <v>321</v>
      </c>
      <c r="S282" s="576" t="s">
        <v>68</v>
      </c>
      <c r="T282" s="1395">
        <f t="shared" si="24"/>
        <v>1</v>
      </c>
      <c r="U282" s="1396"/>
      <c r="V282" s="1397"/>
      <c r="W282" s="543"/>
      <c r="X282" s="544"/>
      <c r="Y282" s="545">
        <f t="shared" si="25"/>
        <v>1</v>
      </c>
      <c r="Z282" s="546">
        <f t="shared" si="4"/>
        <v>4</v>
      </c>
      <c r="AC282" s="597" t="s">
        <v>618</v>
      </c>
      <c r="AD282" s="734" t="s">
        <v>619</v>
      </c>
      <c r="AE282" s="521">
        <f t="shared" si="11"/>
        <v>0</v>
      </c>
      <c r="AF282" s="522" t="str">
        <f t="shared" si="10"/>
        <v/>
      </c>
      <c r="AH282" s="498"/>
      <c r="AI282" s="1362" t="s">
        <v>620</v>
      </c>
      <c r="AJ282" s="1363"/>
      <c r="AK282" s="1363"/>
      <c r="AL282" s="1363"/>
      <c r="AM282" s="1364"/>
      <c r="AN282" s="735" t="s">
        <v>621</v>
      </c>
      <c r="AO282" s="507">
        <f t="shared" si="0"/>
        <v>0</v>
      </c>
      <c r="AP282" s="508"/>
      <c r="AQ282" s="498"/>
      <c r="AR282" s="1434" t="s">
        <v>622</v>
      </c>
      <c r="AS282" s="1435"/>
      <c r="AT282" s="1435"/>
      <c r="AU282" s="1435"/>
      <c r="AV282" s="1436"/>
      <c r="AW282" s="736" t="s">
        <v>623</v>
      </c>
      <c r="AX282" s="507">
        <f t="shared" si="17"/>
        <v>0</v>
      </c>
      <c r="AY282" s="689"/>
      <c r="AZ282" s="498"/>
      <c r="BA282" s="623"/>
    </row>
    <row r="283" spans="1:53" ht="18.75" customHeight="1" x14ac:dyDescent="0.25">
      <c r="A283" s="1465" t="s">
        <v>110</v>
      </c>
      <c r="B283" s="1466"/>
      <c r="C283" s="1467"/>
      <c r="D283" s="540"/>
      <c r="E283" s="541"/>
      <c r="F283" s="737" t="s">
        <v>109</v>
      </c>
      <c r="G283" s="1395">
        <f t="shared" si="22"/>
        <v>0</v>
      </c>
      <c r="H283" s="1396"/>
      <c r="I283" s="1397"/>
      <c r="J283" s="543"/>
      <c r="K283" s="544"/>
      <c r="L283" s="545">
        <f t="shared" si="23"/>
        <v>0</v>
      </c>
      <c r="M283" s="513"/>
      <c r="N283" s="1465" t="s">
        <v>110</v>
      </c>
      <c r="O283" s="1466"/>
      <c r="P283" s="1467"/>
      <c r="Q283" s="540"/>
      <c r="R283" s="541"/>
      <c r="S283" s="737" t="s">
        <v>109</v>
      </c>
      <c r="T283" s="1395">
        <f t="shared" si="24"/>
        <v>0</v>
      </c>
      <c r="U283" s="1396"/>
      <c r="V283" s="1397"/>
      <c r="W283" s="543"/>
      <c r="X283" s="544"/>
      <c r="Y283" s="545">
        <f t="shared" si="25"/>
        <v>0</v>
      </c>
      <c r="Z283" s="546">
        <f t="shared" si="4"/>
        <v>0</v>
      </c>
      <c r="AC283" s="597" t="s">
        <v>624</v>
      </c>
      <c r="AD283" s="734" t="s">
        <v>625</v>
      </c>
      <c r="AE283" s="521">
        <f t="shared" si="11"/>
        <v>0</v>
      </c>
      <c r="AF283" s="522" t="str">
        <f t="shared" si="10"/>
        <v/>
      </c>
      <c r="AH283" s="498"/>
      <c r="AI283" s="1362" t="s">
        <v>626</v>
      </c>
      <c r="AJ283" s="1363"/>
      <c r="AK283" s="1363"/>
      <c r="AL283" s="1363"/>
      <c r="AM283" s="1364"/>
      <c r="AN283" s="738" t="s">
        <v>627</v>
      </c>
      <c r="AO283" s="507">
        <f t="shared" si="0"/>
        <v>0</v>
      </c>
      <c r="AP283" s="508"/>
      <c r="AQ283" s="498"/>
      <c r="AR283" s="1434" t="s">
        <v>628</v>
      </c>
      <c r="AS283" s="1435"/>
      <c r="AT283" s="1435"/>
      <c r="AU283" s="1435"/>
      <c r="AV283" s="1436"/>
      <c r="AW283" s="739" t="s">
        <v>629</v>
      </c>
      <c r="AX283" s="507">
        <f t="shared" si="17"/>
        <v>0</v>
      </c>
      <c r="AY283" s="689"/>
      <c r="AZ283" s="498"/>
      <c r="BA283" s="623"/>
    </row>
    <row r="284" spans="1:53" ht="18.75" customHeight="1" x14ac:dyDescent="0.25">
      <c r="A284" s="1465" t="s">
        <v>106</v>
      </c>
      <c r="B284" s="1466"/>
      <c r="C284" s="1467"/>
      <c r="D284" s="540"/>
      <c r="E284" s="541"/>
      <c r="F284" s="740" t="s">
        <v>105</v>
      </c>
      <c r="G284" s="1395">
        <f t="shared" si="22"/>
        <v>0</v>
      </c>
      <c r="H284" s="1396"/>
      <c r="I284" s="1397"/>
      <c r="J284" s="543"/>
      <c r="K284" s="544"/>
      <c r="L284" s="545">
        <f t="shared" si="23"/>
        <v>0</v>
      </c>
      <c r="M284" s="513"/>
      <c r="N284" s="1465" t="s">
        <v>106</v>
      </c>
      <c r="O284" s="1466"/>
      <c r="P284" s="1467"/>
      <c r="Q284" s="540"/>
      <c r="R284" s="541"/>
      <c r="S284" s="740" t="s">
        <v>105</v>
      </c>
      <c r="T284" s="1395">
        <f t="shared" si="24"/>
        <v>0</v>
      </c>
      <c r="U284" s="1396"/>
      <c r="V284" s="1397"/>
      <c r="W284" s="543"/>
      <c r="X284" s="544"/>
      <c r="Y284" s="545">
        <f t="shared" si="25"/>
        <v>0</v>
      </c>
      <c r="Z284" s="546">
        <f t="shared" si="4"/>
        <v>0</v>
      </c>
      <c r="AC284" s="597" t="s">
        <v>630</v>
      </c>
      <c r="AD284" s="81" t="s">
        <v>631</v>
      </c>
      <c r="AE284" s="521">
        <f t="shared" si="11"/>
        <v>0</v>
      </c>
      <c r="AF284" s="522" t="str">
        <f t="shared" si="10"/>
        <v/>
      </c>
      <c r="AH284" s="498"/>
      <c r="AI284" s="1362" t="s">
        <v>632</v>
      </c>
      <c r="AJ284" s="1363"/>
      <c r="AK284" s="1363"/>
      <c r="AL284" s="1363"/>
      <c r="AM284" s="1364"/>
      <c r="AN284" s="741" t="s">
        <v>633</v>
      </c>
      <c r="AO284" s="507">
        <f t="shared" si="0"/>
        <v>0</v>
      </c>
      <c r="AP284" s="508"/>
      <c r="AQ284" s="498"/>
      <c r="AR284" s="1434" t="s">
        <v>634</v>
      </c>
      <c r="AS284" s="1435"/>
      <c r="AT284" s="1435"/>
      <c r="AU284" s="1435"/>
      <c r="AV284" s="1436"/>
      <c r="AW284" s="742" t="s">
        <v>635</v>
      </c>
      <c r="AX284" s="507">
        <f t="shared" si="17"/>
        <v>0</v>
      </c>
      <c r="AY284" s="689"/>
      <c r="AZ284" s="498"/>
      <c r="BA284" s="623"/>
    </row>
    <row r="285" spans="1:53" ht="19.5" customHeight="1" thickBot="1" x14ac:dyDescent="0.3">
      <c r="A285" s="1465" t="s">
        <v>10</v>
      </c>
      <c r="B285" s="1466"/>
      <c r="C285" s="1467"/>
      <c r="D285" s="540"/>
      <c r="E285" s="541"/>
      <c r="F285" s="725" t="s">
        <v>47</v>
      </c>
      <c r="G285" s="1395">
        <f t="shared" si="22"/>
        <v>0</v>
      </c>
      <c r="H285" s="1396"/>
      <c r="I285" s="1397"/>
      <c r="J285" s="543"/>
      <c r="K285" s="572"/>
      <c r="L285" s="545">
        <f t="shared" si="23"/>
        <v>0</v>
      </c>
      <c r="M285" s="513"/>
      <c r="N285" s="1465" t="s">
        <v>10</v>
      </c>
      <c r="O285" s="1466"/>
      <c r="P285" s="1467"/>
      <c r="Q285" s="540"/>
      <c r="R285" s="541"/>
      <c r="S285" s="725" t="s">
        <v>47</v>
      </c>
      <c r="T285" s="1395">
        <f t="shared" si="24"/>
        <v>1</v>
      </c>
      <c r="U285" s="1396"/>
      <c r="V285" s="1397"/>
      <c r="W285" s="543"/>
      <c r="X285" s="572"/>
      <c r="Y285" s="545">
        <f t="shared" si="25"/>
        <v>1</v>
      </c>
      <c r="Z285" s="546">
        <f t="shared" si="4"/>
        <v>1</v>
      </c>
      <c r="AC285" s="597" t="s">
        <v>636</v>
      </c>
      <c r="AD285" s="743" t="s">
        <v>637</v>
      </c>
      <c r="AE285" s="521">
        <f t="shared" si="11"/>
        <v>0</v>
      </c>
      <c r="AF285" s="522" t="str">
        <f t="shared" si="10"/>
        <v/>
      </c>
      <c r="AH285" s="498"/>
      <c r="AI285" s="1362" t="s">
        <v>638</v>
      </c>
      <c r="AJ285" s="1363"/>
      <c r="AK285" s="1363"/>
      <c r="AL285" s="1363"/>
      <c r="AM285" s="1364"/>
      <c r="AN285" s="744" t="s">
        <v>639</v>
      </c>
      <c r="AO285" s="507">
        <f t="shared" si="0"/>
        <v>0</v>
      </c>
      <c r="AP285" s="508"/>
      <c r="AQ285" s="498"/>
      <c r="AR285" s="1434" t="s">
        <v>640</v>
      </c>
      <c r="AS285" s="1435"/>
      <c r="AT285" s="1435"/>
      <c r="AU285" s="1435"/>
      <c r="AV285" s="1436"/>
      <c r="AW285" s="742" t="s">
        <v>641</v>
      </c>
      <c r="AX285" s="507">
        <f t="shared" si="17"/>
        <v>0</v>
      </c>
      <c r="AY285" s="689"/>
      <c r="AZ285" s="498"/>
      <c r="BA285" s="623"/>
    </row>
    <row r="286" spans="1:53" ht="19.5" customHeight="1" thickBot="1" x14ac:dyDescent="0.3">
      <c r="A286" s="1465" t="s">
        <v>38</v>
      </c>
      <c r="B286" s="1466"/>
      <c r="C286" s="1467"/>
      <c r="D286" s="540"/>
      <c r="E286" s="541"/>
      <c r="F286" s="745" t="s">
        <v>39</v>
      </c>
      <c r="G286" s="1395">
        <f t="shared" si="22"/>
        <v>0</v>
      </c>
      <c r="H286" s="1396"/>
      <c r="I286" s="1397"/>
      <c r="J286" s="543"/>
      <c r="K286" s="544"/>
      <c r="L286" s="545">
        <f t="shared" si="23"/>
        <v>0</v>
      </c>
      <c r="M286" s="513"/>
      <c r="N286" s="1465" t="s">
        <v>38</v>
      </c>
      <c r="O286" s="1466"/>
      <c r="P286" s="1467"/>
      <c r="Q286" s="540"/>
      <c r="R286" s="541"/>
      <c r="S286" s="745" t="s">
        <v>39</v>
      </c>
      <c r="T286" s="1395">
        <f t="shared" si="24"/>
        <v>0</v>
      </c>
      <c r="U286" s="1396"/>
      <c r="V286" s="1397"/>
      <c r="W286" s="543"/>
      <c r="X286" s="544"/>
      <c r="Y286" s="545">
        <f t="shared" si="25"/>
        <v>0</v>
      </c>
      <c r="Z286" s="546">
        <f t="shared" si="4"/>
        <v>0</v>
      </c>
      <c r="AC286" s="597" t="s">
        <v>642</v>
      </c>
      <c r="AD286" s="743" t="s">
        <v>643</v>
      </c>
      <c r="AE286" s="521">
        <f t="shared" si="11"/>
        <v>0</v>
      </c>
      <c r="AF286" s="522" t="str">
        <f t="shared" si="10"/>
        <v/>
      </c>
      <c r="AH286" s="498"/>
      <c r="AI286" s="1362" t="s">
        <v>644</v>
      </c>
      <c r="AJ286" s="1363"/>
      <c r="AK286" s="1363"/>
      <c r="AL286" s="1363"/>
      <c r="AM286" s="1364"/>
      <c r="AN286" s="746" t="s">
        <v>645</v>
      </c>
      <c r="AO286" s="507">
        <f t="shared" si="0"/>
        <v>0</v>
      </c>
      <c r="AP286" s="508"/>
      <c r="AQ286" s="498"/>
      <c r="AR286" s="1434" t="s">
        <v>646</v>
      </c>
      <c r="AS286" s="1435"/>
      <c r="AT286" s="1435"/>
      <c r="AU286" s="1435"/>
      <c r="AV286" s="1436"/>
      <c r="AW286" s="747" t="s">
        <v>647</v>
      </c>
      <c r="AX286" s="507">
        <f t="shared" si="17"/>
        <v>0</v>
      </c>
      <c r="AY286" s="689"/>
      <c r="AZ286" s="498"/>
      <c r="BA286" s="623"/>
    </row>
    <row r="287" spans="1:53" ht="18" customHeight="1" thickBot="1" x14ac:dyDescent="0.3">
      <c r="A287" s="1465" t="s">
        <v>104</v>
      </c>
      <c r="B287" s="1466"/>
      <c r="C287" s="1467"/>
      <c r="D287" s="540" t="s">
        <v>2</v>
      </c>
      <c r="E287" s="541"/>
      <c r="F287" s="725" t="s">
        <v>103</v>
      </c>
      <c r="G287" s="1395">
        <f t="shared" si="22"/>
        <v>0</v>
      </c>
      <c r="H287" s="1396"/>
      <c r="I287" s="1397"/>
      <c r="J287" s="543"/>
      <c r="K287" s="544"/>
      <c r="L287" s="545">
        <f t="shared" si="23"/>
        <v>0</v>
      </c>
      <c r="M287" s="513"/>
      <c r="N287" s="1465" t="s">
        <v>104</v>
      </c>
      <c r="O287" s="1466"/>
      <c r="P287" s="1467"/>
      <c r="Q287" s="540" t="s">
        <v>2</v>
      </c>
      <c r="R287" s="541"/>
      <c r="S287" s="725" t="s">
        <v>103</v>
      </c>
      <c r="T287" s="1395">
        <f t="shared" si="24"/>
        <v>0</v>
      </c>
      <c r="U287" s="1396"/>
      <c r="V287" s="1397"/>
      <c r="W287" s="543"/>
      <c r="X287" s="544"/>
      <c r="Y287" s="545">
        <f t="shared" si="25"/>
        <v>0</v>
      </c>
      <c r="Z287" s="546">
        <f t="shared" si="4"/>
        <v>0</v>
      </c>
      <c r="AC287" s="597" t="s">
        <v>648</v>
      </c>
      <c r="AD287" s="748" t="s">
        <v>649</v>
      </c>
      <c r="AE287" s="521">
        <f t="shared" si="11"/>
        <v>0</v>
      </c>
      <c r="AF287" s="522" t="str">
        <f t="shared" si="10"/>
        <v/>
      </c>
      <c r="AH287" s="498"/>
      <c r="AI287" s="1362" t="s">
        <v>650</v>
      </c>
      <c r="AJ287" s="1363"/>
      <c r="AK287" s="1363"/>
      <c r="AL287" s="1363"/>
      <c r="AM287" s="1364"/>
      <c r="AN287" s="681" t="s">
        <v>651</v>
      </c>
      <c r="AO287" s="507">
        <f t="shared" ref="AO287:AO298" si="26">COUNTIF($P$1:$Q$1,AN287)</f>
        <v>0</v>
      </c>
      <c r="AP287" s="508"/>
      <c r="AQ287" s="498"/>
      <c r="AR287" s="1434" t="s">
        <v>652</v>
      </c>
      <c r="AS287" s="1435"/>
      <c r="AT287" s="1435"/>
      <c r="AU287" s="1435"/>
      <c r="AV287" s="1436"/>
      <c r="AW287" s="749" t="s">
        <v>653</v>
      </c>
      <c r="AX287" s="507">
        <f t="shared" si="17"/>
        <v>0</v>
      </c>
      <c r="AY287" s="689"/>
      <c r="AZ287" s="498"/>
      <c r="BA287" s="623"/>
    </row>
    <row r="288" spans="1:53" ht="18.75" customHeight="1" thickBot="1" x14ac:dyDescent="0.3">
      <c r="A288" s="1465" t="s">
        <v>23</v>
      </c>
      <c r="B288" s="1466"/>
      <c r="C288" s="1467"/>
      <c r="D288" s="540"/>
      <c r="E288" s="541" t="s">
        <v>321</v>
      </c>
      <c r="F288" s="750" t="s">
        <v>4</v>
      </c>
      <c r="G288" s="1395">
        <f t="shared" si="22"/>
        <v>2</v>
      </c>
      <c r="H288" s="1396"/>
      <c r="I288" s="1397"/>
      <c r="J288" s="543"/>
      <c r="K288" s="544"/>
      <c r="L288" s="545">
        <f t="shared" si="23"/>
        <v>2</v>
      </c>
      <c r="M288" s="513"/>
      <c r="N288" s="1465" t="s">
        <v>23</v>
      </c>
      <c r="O288" s="1466"/>
      <c r="P288" s="1467"/>
      <c r="Q288" s="540"/>
      <c r="R288" s="541" t="s">
        <v>321</v>
      </c>
      <c r="S288" s="750" t="s">
        <v>4</v>
      </c>
      <c r="T288" s="1395">
        <f t="shared" si="24"/>
        <v>0</v>
      </c>
      <c r="U288" s="1396"/>
      <c r="V288" s="1397"/>
      <c r="W288" s="543"/>
      <c r="X288" s="544"/>
      <c r="Y288" s="545">
        <f t="shared" si="25"/>
        <v>0</v>
      </c>
      <c r="Z288" s="546">
        <f t="shared" si="4"/>
        <v>2</v>
      </c>
      <c r="AC288" s="597" t="s">
        <v>654</v>
      </c>
      <c r="AD288" s="751" t="s">
        <v>655</v>
      </c>
      <c r="AE288" s="521">
        <f t="shared" si="11"/>
        <v>0</v>
      </c>
      <c r="AF288" s="522" t="str">
        <f t="shared" si="10"/>
        <v/>
      </c>
      <c r="AH288" s="498"/>
      <c r="AI288" s="1362" t="s">
        <v>656</v>
      </c>
      <c r="AJ288" s="1363"/>
      <c r="AK288" s="1363"/>
      <c r="AL288" s="1363"/>
      <c r="AM288" s="1364"/>
      <c r="AN288" s="561" t="s">
        <v>123</v>
      </c>
      <c r="AO288" s="507">
        <f t="shared" si="26"/>
        <v>0</v>
      </c>
      <c r="AP288" s="508"/>
      <c r="AQ288" s="498"/>
      <c r="AR288" s="1434" t="s">
        <v>657</v>
      </c>
      <c r="AS288" s="1435"/>
      <c r="AT288" s="1435"/>
      <c r="AU288" s="1435"/>
      <c r="AV288" s="1436"/>
      <c r="AW288" s="749" t="s">
        <v>658</v>
      </c>
      <c r="AX288" s="507">
        <f t="shared" si="17"/>
        <v>0</v>
      </c>
      <c r="AY288" s="689"/>
      <c r="AZ288" s="498"/>
      <c r="BA288" s="623"/>
    </row>
    <row r="289" spans="1:53" ht="18" x14ac:dyDescent="0.25">
      <c r="A289" s="1465" t="s">
        <v>19</v>
      </c>
      <c r="B289" s="1466"/>
      <c r="C289" s="1467"/>
      <c r="D289" s="540"/>
      <c r="E289" s="541"/>
      <c r="F289" s="752" t="s">
        <v>2</v>
      </c>
      <c r="G289" s="1395">
        <f t="shared" si="22"/>
        <v>1</v>
      </c>
      <c r="H289" s="1396"/>
      <c r="I289" s="1397"/>
      <c r="J289" s="543"/>
      <c r="K289" s="544"/>
      <c r="L289" s="545">
        <f t="shared" si="23"/>
        <v>1</v>
      </c>
      <c r="M289" s="513"/>
      <c r="N289" s="1465" t="s">
        <v>19</v>
      </c>
      <c r="O289" s="1466"/>
      <c r="P289" s="1467"/>
      <c r="Q289" s="540"/>
      <c r="R289" s="541"/>
      <c r="S289" s="752" t="s">
        <v>2</v>
      </c>
      <c r="T289" s="1395">
        <f t="shared" si="24"/>
        <v>0</v>
      </c>
      <c r="U289" s="1396"/>
      <c r="V289" s="1397"/>
      <c r="W289" s="543"/>
      <c r="X289" s="544"/>
      <c r="Y289" s="545">
        <f t="shared" si="25"/>
        <v>0</v>
      </c>
      <c r="Z289" s="546">
        <f t="shared" si="4"/>
        <v>1</v>
      </c>
      <c r="AC289" s="519" t="s">
        <v>659</v>
      </c>
      <c r="AD289" s="753" t="s">
        <v>660</v>
      </c>
      <c r="AE289" s="521">
        <f t="shared" si="11"/>
        <v>0</v>
      </c>
      <c r="AF289" s="522" t="str">
        <f t="shared" si="10"/>
        <v/>
      </c>
      <c r="AH289" s="498"/>
      <c r="AI289" s="1362" t="s">
        <v>661</v>
      </c>
      <c r="AJ289" s="1363"/>
      <c r="AK289" s="1363"/>
      <c r="AL289" s="1363"/>
      <c r="AM289" s="1364"/>
      <c r="AN289" s="754" t="s">
        <v>662</v>
      </c>
      <c r="AO289" s="507">
        <f t="shared" si="26"/>
        <v>0</v>
      </c>
      <c r="AP289" s="508"/>
      <c r="AQ289" s="498"/>
      <c r="AR289" s="1434" t="s">
        <v>663</v>
      </c>
      <c r="AS289" s="1435"/>
      <c r="AT289" s="1435"/>
      <c r="AU289" s="1435"/>
      <c r="AV289" s="1436"/>
      <c r="AW289" s="755" t="s">
        <v>664</v>
      </c>
      <c r="AX289" s="507">
        <f t="shared" si="17"/>
        <v>0</v>
      </c>
      <c r="AY289" s="689"/>
      <c r="AZ289" s="498"/>
      <c r="BA289" s="623"/>
    </row>
    <row r="290" spans="1:53" ht="18.75" customHeight="1" x14ac:dyDescent="0.25">
      <c r="A290" s="1465" t="s">
        <v>40</v>
      </c>
      <c r="B290" s="1466"/>
      <c r="C290" s="1467"/>
      <c r="D290" s="540"/>
      <c r="E290" s="541"/>
      <c r="F290" s="756" t="s">
        <v>41</v>
      </c>
      <c r="G290" s="1395">
        <f t="shared" si="22"/>
        <v>0</v>
      </c>
      <c r="H290" s="1396"/>
      <c r="I290" s="1397"/>
      <c r="J290" s="543"/>
      <c r="K290" s="544"/>
      <c r="L290" s="545">
        <f t="shared" si="23"/>
        <v>0</v>
      </c>
      <c r="M290" s="513"/>
      <c r="N290" s="1465" t="s">
        <v>40</v>
      </c>
      <c r="O290" s="1466"/>
      <c r="P290" s="1467"/>
      <c r="Q290" s="540"/>
      <c r="R290" s="541"/>
      <c r="S290" s="756" t="s">
        <v>41</v>
      </c>
      <c r="T290" s="1395">
        <f t="shared" si="24"/>
        <v>0</v>
      </c>
      <c r="U290" s="1396"/>
      <c r="V290" s="1397"/>
      <c r="W290" s="543"/>
      <c r="X290" s="544"/>
      <c r="Y290" s="545">
        <f t="shared" si="25"/>
        <v>0</v>
      </c>
      <c r="Z290" s="546">
        <f t="shared" si="4"/>
        <v>0</v>
      </c>
      <c r="AC290" s="519" t="s">
        <v>151</v>
      </c>
      <c r="AD290" s="757" t="s">
        <v>151</v>
      </c>
      <c r="AE290" s="521">
        <f t="shared" si="11"/>
        <v>23</v>
      </c>
      <c r="AF290" s="522" t="str">
        <f t="shared" si="10"/>
        <v/>
      </c>
      <c r="AH290" s="498"/>
      <c r="AI290" s="1362" t="s">
        <v>665</v>
      </c>
      <c r="AJ290" s="1363"/>
      <c r="AK290" s="1363"/>
      <c r="AL290" s="1363"/>
      <c r="AM290" s="1364"/>
      <c r="AN290" s="758" t="s">
        <v>666</v>
      </c>
      <c r="AO290" s="507">
        <f t="shared" si="26"/>
        <v>0</v>
      </c>
      <c r="AP290" s="508"/>
      <c r="AQ290" s="498"/>
      <c r="AR290" s="1434" t="s">
        <v>667</v>
      </c>
      <c r="AS290" s="1435"/>
      <c r="AT290" s="1435"/>
      <c r="AU290" s="1435"/>
      <c r="AV290" s="1436"/>
      <c r="AW290" s="691" t="s">
        <v>668</v>
      </c>
      <c r="AX290" s="507">
        <f t="shared" si="17"/>
        <v>0</v>
      </c>
      <c r="AY290" s="689"/>
      <c r="AZ290" s="498"/>
      <c r="BA290" s="623"/>
    </row>
    <row r="291" spans="1:53" ht="18.75" x14ac:dyDescent="0.25">
      <c r="A291" s="1465" t="s">
        <v>20</v>
      </c>
      <c r="B291" s="1466"/>
      <c r="C291" s="1467"/>
      <c r="D291" s="540"/>
      <c r="E291" s="541"/>
      <c r="F291" s="759" t="s">
        <v>3</v>
      </c>
      <c r="G291" s="1395">
        <f t="shared" si="22"/>
        <v>0</v>
      </c>
      <c r="H291" s="1396"/>
      <c r="I291" s="1397"/>
      <c r="J291" s="543"/>
      <c r="K291" s="544"/>
      <c r="L291" s="545">
        <f t="shared" si="23"/>
        <v>0</v>
      </c>
      <c r="M291" s="513"/>
      <c r="N291" s="1465" t="s">
        <v>20</v>
      </c>
      <c r="O291" s="1466"/>
      <c r="P291" s="1467"/>
      <c r="Q291" s="540"/>
      <c r="R291" s="541"/>
      <c r="S291" s="759" t="s">
        <v>3</v>
      </c>
      <c r="T291" s="1395">
        <f t="shared" si="24"/>
        <v>0</v>
      </c>
      <c r="U291" s="1396"/>
      <c r="V291" s="1397"/>
      <c r="W291" s="543"/>
      <c r="X291" s="544"/>
      <c r="Y291" s="545">
        <f t="shared" si="25"/>
        <v>0</v>
      </c>
      <c r="Z291" s="546">
        <f t="shared" si="4"/>
        <v>0</v>
      </c>
      <c r="AC291" s="597" t="s">
        <v>669</v>
      </c>
      <c r="AD291" s="104" t="s">
        <v>182</v>
      </c>
      <c r="AE291" s="521">
        <f t="shared" si="11"/>
        <v>6</v>
      </c>
      <c r="AF291" s="522" t="str">
        <f t="shared" si="10"/>
        <v/>
      </c>
      <c r="AH291" s="498"/>
      <c r="AI291" s="1362" t="s">
        <v>670</v>
      </c>
      <c r="AJ291" s="1363"/>
      <c r="AK291" s="1363"/>
      <c r="AL291" s="1363"/>
      <c r="AM291" s="1364"/>
      <c r="AN291" s="561" t="s">
        <v>671</v>
      </c>
      <c r="AO291" s="507">
        <f t="shared" si="26"/>
        <v>0</v>
      </c>
      <c r="AP291" s="508"/>
      <c r="AQ291" s="498"/>
      <c r="AR291" s="1434" t="s">
        <v>672</v>
      </c>
      <c r="AS291" s="1435"/>
      <c r="AT291" s="1435"/>
      <c r="AU291" s="1435"/>
      <c r="AV291" s="1436"/>
      <c r="AW291" s="524" t="s">
        <v>673</v>
      </c>
      <c r="AX291" s="507">
        <f t="shared" si="17"/>
        <v>0</v>
      </c>
      <c r="AY291" s="689"/>
      <c r="AZ291" s="498"/>
      <c r="BA291" s="623"/>
    </row>
    <row r="292" spans="1:53" ht="19.5" customHeight="1" thickBot="1" x14ac:dyDescent="0.3">
      <c r="A292" s="1465" t="s">
        <v>108</v>
      </c>
      <c r="B292" s="1466"/>
      <c r="C292" s="1467"/>
      <c r="D292" s="540" t="s">
        <v>3</v>
      </c>
      <c r="E292" s="541" t="s">
        <v>321</v>
      </c>
      <c r="F292" s="760" t="s">
        <v>107</v>
      </c>
      <c r="G292" s="1395">
        <f t="shared" si="22"/>
        <v>0</v>
      </c>
      <c r="H292" s="1396"/>
      <c r="I292" s="1397"/>
      <c r="J292" s="543"/>
      <c r="K292" s="572"/>
      <c r="L292" s="545">
        <f t="shared" si="23"/>
        <v>0</v>
      </c>
      <c r="M292" s="513"/>
      <c r="N292" s="1465" t="s">
        <v>108</v>
      </c>
      <c r="O292" s="1466"/>
      <c r="P292" s="1467"/>
      <c r="Q292" s="540" t="s">
        <v>3</v>
      </c>
      <c r="R292" s="541" t="s">
        <v>321</v>
      </c>
      <c r="S292" s="760" t="s">
        <v>107</v>
      </c>
      <c r="T292" s="1395">
        <f t="shared" si="24"/>
        <v>0</v>
      </c>
      <c r="U292" s="1396"/>
      <c r="V292" s="1397"/>
      <c r="W292" s="543"/>
      <c r="X292" s="572"/>
      <c r="Y292" s="545">
        <f t="shared" si="25"/>
        <v>0</v>
      </c>
      <c r="Z292" s="546">
        <f t="shared" si="4"/>
        <v>0</v>
      </c>
      <c r="AC292" s="597" t="s">
        <v>674</v>
      </c>
      <c r="AD292" s="761" t="s">
        <v>675</v>
      </c>
      <c r="AE292" s="521">
        <f t="shared" si="11"/>
        <v>0</v>
      </c>
      <c r="AF292" s="522" t="str">
        <f t="shared" si="10"/>
        <v/>
      </c>
      <c r="AH292" s="498"/>
      <c r="AI292" s="1362" t="s">
        <v>676</v>
      </c>
      <c r="AJ292" s="1363"/>
      <c r="AK292" s="1363"/>
      <c r="AL292" s="1363"/>
      <c r="AM292" s="1364"/>
      <c r="AN292" s="762" t="s">
        <v>677</v>
      </c>
      <c r="AO292" s="507">
        <f t="shared" si="26"/>
        <v>0</v>
      </c>
      <c r="AP292" s="508"/>
      <c r="AQ292" s="498"/>
      <c r="AR292" s="1434" t="s">
        <v>678</v>
      </c>
      <c r="AS292" s="1435"/>
      <c r="AT292" s="1435"/>
      <c r="AU292" s="1435"/>
      <c r="AV292" s="1436"/>
      <c r="AW292" s="524" t="s">
        <v>247</v>
      </c>
      <c r="AX292" s="507">
        <f t="shared" si="17"/>
        <v>0</v>
      </c>
      <c r="AY292" s="689"/>
      <c r="AZ292" s="498"/>
      <c r="BA292" s="623"/>
    </row>
    <row r="293" spans="1:53" ht="19.5" customHeight="1" x14ac:dyDescent="0.25">
      <c r="A293" s="1454" t="s">
        <v>274</v>
      </c>
      <c r="B293" s="1455"/>
      <c r="C293" s="1455"/>
      <c r="D293" s="1455"/>
      <c r="E293" s="1455"/>
      <c r="F293" s="699"/>
      <c r="G293" s="1494">
        <f>SUM(G276:I292)</f>
        <v>10</v>
      </c>
      <c r="H293" s="1495"/>
      <c r="I293" s="1496"/>
      <c r="J293" s="629">
        <f>SUM(J276:J292)</f>
        <v>0</v>
      </c>
      <c r="K293" s="572">
        <f>SUM(K276:K292)</f>
        <v>0</v>
      </c>
      <c r="L293" s="545">
        <f>SUM(L276:L292)</f>
        <v>10</v>
      </c>
      <c r="M293" s="513"/>
      <c r="N293" s="1497" t="s">
        <v>274</v>
      </c>
      <c r="O293" s="1498"/>
      <c r="P293" s="1498"/>
      <c r="Q293" s="1498"/>
      <c r="R293" s="1498"/>
      <c r="S293" s="700"/>
      <c r="T293" s="1499">
        <f>SUM(T276:V292)</f>
        <v>4</v>
      </c>
      <c r="U293" s="1500"/>
      <c r="V293" s="1501"/>
      <c r="W293" s="629">
        <f>SUM(W276:W292)</f>
        <v>0</v>
      </c>
      <c r="X293" s="572">
        <f>SUM(X276:X292)</f>
        <v>0</v>
      </c>
      <c r="Y293" s="545">
        <f>SUM(Y276:Y292)</f>
        <v>4</v>
      </c>
      <c r="Z293" s="546">
        <f t="shared" si="4"/>
        <v>14</v>
      </c>
      <c r="AC293" s="597" t="s">
        <v>679</v>
      </c>
      <c r="AD293" s="614" t="s">
        <v>680</v>
      </c>
      <c r="AE293" s="521">
        <f t="shared" si="11"/>
        <v>0</v>
      </c>
      <c r="AF293" s="522" t="str">
        <f t="shared" si="10"/>
        <v/>
      </c>
      <c r="AH293" s="498"/>
      <c r="AI293" s="1362" t="s">
        <v>681</v>
      </c>
      <c r="AJ293" s="1363"/>
      <c r="AK293" s="1363"/>
      <c r="AL293" s="1363"/>
      <c r="AM293" s="1364"/>
      <c r="AN293" s="561" t="s">
        <v>682</v>
      </c>
      <c r="AO293" s="507">
        <f t="shared" si="26"/>
        <v>0</v>
      </c>
      <c r="AP293" s="508"/>
      <c r="AQ293" s="498"/>
      <c r="AR293" s="1434" t="s">
        <v>683</v>
      </c>
      <c r="AS293" s="1435"/>
      <c r="AT293" s="1435"/>
      <c r="AU293" s="1435"/>
      <c r="AV293" s="1436"/>
      <c r="AW293" s="592" t="s">
        <v>684</v>
      </c>
      <c r="AX293" s="507">
        <f t="shared" si="17"/>
        <v>0</v>
      </c>
      <c r="AY293" s="689"/>
      <c r="AZ293" s="498"/>
      <c r="BA293" s="623"/>
    </row>
    <row r="294" spans="1:53" ht="19.5" customHeight="1" x14ac:dyDescent="0.25">
      <c r="A294" s="763"/>
      <c r="B294" s="763"/>
      <c r="C294" s="763"/>
      <c r="D294" s="763"/>
      <c r="E294" s="763"/>
      <c r="F294" s="764"/>
      <c r="J294" s="765"/>
      <c r="K294" s="765"/>
      <c r="M294" s="476"/>
      <c r="N294" s="763"/>
      <c r="O294" s="763"/>
      <c r="P294" s="763"/>
      <c r="Q294" s="763"/>
      <c r="R294" s="763"/>
      <c r="S294" s="764"/>
      <c r="W294" s="765"/>
      <c r="X294" s="765"/>
      <c r="AC294" s="597" t="s">
        <v>685</v>
      </c>
      <c r="AD294" s="614" t="s">
        <v>686</v>
      </c>
      <c r="AE294" s="521">
        <f t="shared" si="11"/>
        <v>0</v>
      </c>
      <c r="AF294" s="522" t="str">
        <f t="shared" si="10"/>
        <v/>
      </c>
      <c r="AH294" s="498"/>
      <c r="AI294" s="1362" t="s">
        <v>687</v>
      </c>
      <c r="AJ294" s="1363"/>
      <c r="AK294" s="1363"/>
      <c r="AL294" s="1363"/>
      <c r="AM294" s="1364"/>
      <c r="AN294" s="754" t="s">
        <v>688</v>
      </c>
      <c r="AO294" s="507">
        <f t="shared" si="26"/>
        <v>0</v>
      </c>
      <c r="AP294" s="508"/>
      <c r="AQ294" s="498"/>
      <c r="AR294" s="1434" t="s">
        <v>689</v>
      </c>
      <c r="AS294" s="1435"/>
      <c r="AT294" s="1435"/>
      <c r="AU294" s="1435"/>
      <c r="AV294" s="1436"/>
      <c r="AW294" s="766" t="s">
        <v>690</v>
      </c>
      <c r="AX294" s="507">
        <f t="shared" si="17"/>
        <v>0</v>
      </c>
      <c r="AY294" s="689"/>
      <c r="AZ294" s="498"/>
      <c r="BA294" s="623"/>
    </row>
    <row r="295" spans="1:53" ht="18.75" x14ac:dyDescent="0.25">
      <c r="A295" s="763"/>
      <c r="B295" s="763"/>
      <c r="C295" s="763"/>
      <c r="D295" s="763"/>
      <c r="E295" s="763"/>
      <c r="F295" s="764"/>
      <c r="J295" s="765"/>
      <c r="K295" s="765"/>
      <c r="M295" s="476"/>
      <c r="N295" s="763"/>
      <c r="O295" s="763"/>
      <c r="P295" s="763"/>
      <c r="Q295" s="763"/>
      <c r="R295" s="763"/>
      <c r="S295" s="764"/>
      <c r="W295" s="765"/>
      <c r="X295" s="765"/>
      <c r="AC295" s="597" t="s">
        <v>691</v>
      </c>
      <c r="AD295" s="614" t="s">
        <v>692</v>
      </c>
      <c r="AE295" s="521">
        <f t="shared" si="11"/>
        <v>0</v>
      </c>
      <c r="AF295" s="522" t="str">
        <f t="shared" si="10"/>
        <v/>
      </c>
      <c r="AH295" s="498"/>
      <c r="AI295" s="1362" t="s">
        <v>693</v>
      </c>
      <c r="AJ295" s="1363"/>
      <c r="AK295" s="1363"/>
      <c r="AL295" s="1363"/>
      <c r="AM295" s="1364"/>
      <c r="AN295" s="758" t="s">
        <v>694</v>
      </c>
      <c r="AO295" s="507">
        <f t="shared" si="26"/>
        <v>0</v>
      </c>
      <c r="AP295" s="508"/>
      <c r="AQ295" s="498"/>
      <c r="AR295" s="1434" t="s">
        <v>695</v>
      </c>
      <c r="AS295" s="1435"/>
      <c r="AT295" s="1435"/>
      <c r="AU295" s="1435"/>
      <c r="AV295" s="1436"/>
      <c r="AW295" s="766" t="s">
        <v>696</v>
      </c>
      <c r="AX295" s="507">
        <f t="shared" si="17"/>
        <v>0</v>
      </c>
      <c r="AY295" s="689"/>
      <c r="AZ295" s="498"/>
      <c r="BA295" s="623"/>
    </row>
    <row r="296" spans="1:53" ht="18" x14ac:dyDescent="0.25">
      <c r="A296" s="1491" t="s">
        <v>697</v>
      </c>
      <c r="B296" s="1492"/>
      <c r="C296" s="1492"/>
      <c r="D296" s="1492"/>
      <c r="E296" s="1493"/>
      <c r="F296" s="767"/>
      <c r="G296" s="1441"/>
      <c r="H296" s="1441"/>
      <c r="I296" s="1473"/>
      <c r="J296" s="536" t="s">
        <v>305</v>
      </c>
      <c r="K296" s="535" t="s">
        <v>306</v>
      </c>
      <c r="L296" s="536" t="s">
        <v>307</v>
      </c>
      <c r="M296" s="476"/>
      <c r="N296" s="1491" t="s">
        <v>697</v>
      </c>
      <c r="O296" s="1492"/>
      <c r="P296" s="1492"/>
      <c r="Q296" s="1492"/>
      <c r="R296" s="1493"/>
      <c r="S296" s="767"/>
      <c r="T296" s="1441"/>
      <c r="U296" s="1441"/>
      <c r="V296" s="1473"/>
      <c r="W296" s="536" t="s">
        <v>305</v>
      </c>
      <c r="X296" s="535" t="s">
        <v>306</v>
      </c>
      <c r="Y296" s="536" t="s">
        <v>307</v>
      </c>
      <c r="AC296" s="597" t="s">
        <v>698</v>
      </c>
      <c r="AD296" s="768" t="s">
        <v>699</v>
      </c>
      <c r="AE296" s="521">
        <f t="shared" si="11"/>
        <v>0</v>
      </c>
      <c r="AF296" s="522" t="str">
        <f t="shared" si="10"/>
        <v/>
      </c>
      <c r="AH296" s="498"/>
      <c r="AI296" s="1362" t="s">
        <v>700</v>
      </c>
      <c r="AJ296" s="1363"/>
      <c r="AK296" s="1363"/>
      <c r="AL296" s="1363"/>
      <c r="AM296" s="1364"/>
      <c r="AN296" s="769" t="s">
        <v>701</v>
      </c>
      <c r="AO296" s="507">
        <f t="shared" si="26"/>
        <v>0</v>
      </c>
      <c r="AP296" s="508"/>
      <c r="AQ296" s="498"/>
      <c r="AR296" s="1434" t="s">
        <v>702</v>
      </c>
      <c r="AS296" s="1435"/>
      <c r="AT296" s="1435"/>
      <c r="AU296" s="1435"/>
      <c r="AV296" s="1436"/>
      <c r="AW296" s="766" t="s">
        <v>703</v>
      </c>
      <c r="AX296" s="507">
        <f t="shared" si="17"/>
        <v>0</v>
      </c>
      <c r="AY296" s="689"/>
      <c r="AZ296" s="498"/>
      <c r="BA296" s="623"/>
    </row>
    <row r="297" spans="1:53" ht="18.75" customHeight="1" x14ac:dyDescent="0.25">
      <c r="A297" s="1465" t="s">
        <v>56</v>
      </c>
      <c r="B297" s="1466"/>
      <c r="C297" s="1467"/>
      <c r="D297" s="1366"/>
      <c r="E297" s="1368"/>
      <c r="F297" s="3" t="s">
        <v>55</v>
      </c>
      <c r="G297" s="1395">
        <f t="shared" ref="G297:G300" si="27">COUNTIF($P$79:$BM$151,F297)</f>
        <v>0</v>
      </c>
      <c r="H297" s="1396"/>
      <c r="I297" s="1397"/>
      <c r="J297" s="629">
        <f t="shared" ref="J297:J300" si="28">G297-K297</f>
        <v>0</v>
      </c>
      <c r="K297" s="572"/>
      <c r="L297" s="770"/>
      <c r="M297" s="476"/>
      <c r="N297" s="1465" t="s">
        <v>56</v>
      </c>
      <c r="O297" s="1466"/>
      <c r="P297" s="1467"/>
      <c r="Q297" s="1366"/>
      <c r="R297" s="1368"/>
      <c r="S297" s="3" t="s">
        <v>55</v>
      </c>
      <c r="T297" s="1395">
        <f t="shared" ref="T297:T300" si="29">COUNTIF($O$6:$BE$74,S297)</f>
        <v>0</v>
      </c>
      <c r="U297" s="1396"/>
      <c r="V297" s="1397"/>
      <c r="W297" s="629">
        <f t="shared" ref="W297:W300" si="30">T297-X297</f>
        <v>0</v>
      </c>
      <c r="X297" s="572"/>
      <c r="Y297" s="770"/>
      <c r="Z297" s="546">
        <f t="shared" ref="Z297:Z302" si="31">T297+G297</f>
        <v>0</v>
      </c>
      <c r="AC297" s="519" t="s">
        <v>171</v>
      </c>
      <c r="AD297" s="771" t="s">
        <v>171</v>
      </c>
      <c r="AE297" s="521">
        <f t="shared" si="11"/>
        <v>6</v>
      </c>
      <c r="AF297" s="522" t="str">
        <f t="shared" si="10"/>
        <v/>
      </c>
      <c r="AH297" s="498"/>
      <c r="AI297" s="1362" t="s">
        <v>704</v>
      </c>
      <c r="AJ297" s="1363"/>
      <c r="AK297" s="1363"/>
      <c r="AL297" s="1363"/>
      <c r="AM297" s="1364"/>
      <c r="AN297" s="772" t="s">
        <v>705</v>
      </c>
      <c r="AO297" s="507">
        <f t="shared" si="26"/>
        <v>0</v>
      </c>
      <c r="AP297" s="508"/>
      <c r="AQ297" s="498"/>
      <c r="AR297" s="1434" t="s">
        <v>706</v>
      </c>
      <c r="AS297" s="1435"/>
      <c r="AT297" s="1435"/>
      <c r="AU297" s="1435"/>
      <c r="AV297" s="1436"/>
      <c r="AW297" s="773" t="s">
        <v>707</v>
      </c>
      <c r="AX297" s="507">
        <f t="shared" si="17"/>
        <v>0</v>
      </c>
      <c r="AY297" s="709"/>
      <c r="AZ297" s="498"/>
      <c r="BA297" s="623"/>
    </row>
    <row r="298" spans="1:53" ht="19.5" customHeight="1" x14ac:dyDescent="0.25">
      <c r="A298" s="1465" t="s">
        <v>53</v>
      </c>
      <c r="B298" s="1466"/>
      <c r="C298" s="1467"/>
      <c r="D298" s="1366"/>
      <c r="E298" s="1368"/>
      <c r="F298" s="4" t="s">
        <v>54</v>
      </c>
      <c r="G298" s="1395">
        <f t="shared" si="27"/>
        <v>0</v>
      </c>
      <c r="H298" s="1396"/>
      <c r="I298" s="1397"/>
      <c r="J298" s="629">
        <f t="shared" si="28"/>
        <v>0</v>
      </c>
      <c r="K298" s="572"/>
      <c r="L298" s="770"/>
      <c r="M298" s="476"/>
      <c r="N298" s="1465" t="s">
        <v>53</v>
      </c>
      <c r="O298" s="1466"/>
      <c r="P298" s="1467"/>
      <c r="Q298" s="1366"/>
      <c r="R298" s="1368"/>
      <c r="S298" s="4" t="s">
        <v>54</v>
      </c>
      <c r="T298" s="1395">
        <f t="shared" si="29"/>
        <v>0</v>
      </c>
      <c r="U298" s="1396"/>
      <c r="V298" s="1397"/>
      <c r="W298" s="629">
        <f t="shared" si="30"/>
        <v>0</v>
      </c>
      <c r="X298" s="572"/>
      <c r="Y298" s="770"/>
      <c r="Z298" s="546">
        <f t="shared" si="31"/>
        <v>0</v>
      </c>
      <c r="AC298" s="597" t="s">
        <v>708</v>
      </c>
      <c r="AD298" s="564" t="s">
        <v>709</v>
      </c>
      <c r="AE298" s="521">
        <f t="shared" si="11"/>
        <v>0</v>
      </c>
      <c r="AF298" s="522" t="str">
        <f t="shared" si="10"/>
        <v/>
      </c>
      <c r="AH298" s="498"/>
      <c r="AI298" s="1362" t="s">
        <v>710</v>
      </c>
      <c r="AJ298" s="1363"/>
      <c r="AK298" s="1363"/>
      <c r="AL298" s="1363"/>
      <c r="AM298" s="1364"/>
      <c r="AN298" s="774" t="s">
        <v>711</v>
      </c>
      <c r="AO298" s="507">
        <f t="shared" si="26"/>
        <v>0</v>
      </c>
      <c r="AP298" s="508"/>
      <c r="AQ298" s="498"/>
      <c r="AR298" s="1434" t="s">
        <v>712</v>
      </c>
      <c r="AS298" s="1435"/>
      <c r="AT298" s="1435"/>
      <c r="AU298" s="1435"/>
      <c r="AV298" s="1436"/>
      <c r="AW298" s="775" t="s">
        <v>713</v>
      </c>
      <c r="AX298" s="507">
        <f t="shared" si="17"/>
        <v>0</v>
      </c>
      <c r="AY298" s="709"/>
      <c r="BA298" s="501"/>
    </row>
    <row r="299" spans="1:53" ht="19.5" thickBot="1" x14ac:dyDescent="0.3">
      <c r="A299" s="1465" t="s">
        <v>51</v>
      </c>
      <c r="B299" s="1466"/>
      <c r="C299" s="1467"/>
      <c r="D299" s="1366"/>
      <c r="E299" s="1469"/>
      <c r="F299" s="5" t="s">
        <v>52</v>
      </c>
      <c r="G299" s="1395">
        <f t="shared" si="27"/>
        <v>0</v>
      </c>
      <c r="H299" s="1396"/>
      <c r="I299" s="1397"/>
      <c r="J299" s="629">
        <f t="shared" si="28"/>
        <v>0</v>
      </c>
      <c r="K299" s="572"/>
      <c r="L299" s="770"/>
      <c r="M299" s="476"/>
      <c r="N299" s="1465" t="s">
        <v>51</v>
      </c>
      <c r="O299" s="1466"/>
      <c r="P299" s="1467"/>
      <c r="Q299" s="1366"/>
      <c r="R299" s="1469"/>
      <c r="S299" s="5" t="s">
        <v>52</v>
      </c>
      <c r="T299" s="1395">
        <f t="shared" si="29"/>
        <v>0</v>
      </c>
      <c r="U299" s="1396"/>
      <c r="V299" s="1397"/>
      <c r="W299" s="629">
        <f t="shared" si="30"/>
        <v>0</v>
      </c>
      <c r="X299" s="572"/>
      <c r="Y299" s="770"/>
      <c r="Z299" s="546">
        <f t="shared" si="31"/>
        <v>0</v>
      </c>
      <c r="AC299" s="519" t="s">
        <v>714</v>
      </c>
      <c r="AD299" s="776" t="s">
        <v>715</v>
      </c>
      <c r="AE299" s="521">
        <f t="shared" si="11"/>
        <v>0</v>
      </c>
      <c r="AF299" s="522" t="str">
        <f t="shared" si="10"/>
        <v/>
      </c>
      <c r="AH299" s="498"/>
      <c r="AI299" s="1485" t="s">
        <v>716</v>
      </c>
      <c r="AJ299" s="1486"/>
      <c r="AK299" s="1486"/>
      <c r="AL299" s="1486"/>
      <c r="AM299" s="1487"/>
      <c r="AN299" s="777"/>
      <c r="AO299" s="678">
        <f>SUM(AO223:AO298)</f>
        <v>0</v>
      </c>
      <c r="AQ299" s="498"/>
      <c r="AR299" s="1434" t="s">
        <v>717</v>
      </c>
      <c r="AS299" s="1435"/>
      <c r="AT299" s="1435"/>
      <c r="AU299" s="1435"/>
      <c r="AV299" s="1436"/>
      <c r="AW299" s="714" t="s">
        <v>718</v>
      </c>
      <c r="AX299" s="507">
        <f t="shared" si="17"/>
        <v>0</v>
      </c>
      <c r="AY299" s="709"/>
      <c r="BA299" s="501"/>
    </row>
    <row r="300" spans="1:53" ht="19.5" thickBot="1" x14ac:dyDescent="0.35">
      <c r="A300" s="1465" t="s">
        <v>49</v>
      </c>
      <c r="B300" s="1466"/>
      <c r="C300" s="1467"/>
      <c r="D300" s="1366"/>
      <c r="E300" s="1469"/>
      <c r="F300" s="6" t="s">
        <v>50</v>
      </c>
      <c r="G300" s="1395">
        <f t="shared" si="27"/>
        <v>0</v>
      </c>
      <c r="H300" s="1396"/>
      <c r="I300" s="1397"/>
      <c r="J300" s="629">
        <f t="shared" si="28"/>
        <v>0</v>
      </c>
      <c r="K300" s="572"/>
      <c r="L300" s="770"/>
      <c r="M300" s="476"/>
      <c r="N300" s="1465" t="s">
        <v>49</v>
      </c>
      <c r="O300" s="1466"/>
      <c r="P300" s="1467"/>
      <c r="Q300" s="1366"/>
      <c r="R300" s="1469"/>
      <c r="S300" s="6" t="s">
        <v>50</v>
      </c>
      <c r="T300" s="1395">
        <f t="shared" si="29"/>
        <v>0</v>
      </c>
      <c r="U300" s="1396"/>
      <c r="V300" s="1397"/>
      <c r="W300" s="629">
        <f t="shared" si="30"/>
        <v>0</v>
      </c>
      <c r="X300" s="572"/>
      <c r="Y300" s="770"/>
      <c r="Z300" s="546">
        <f t="shared" si="31"/>
        <v>0</v>
      </c>
      <c r="AC300" s="519" t="s">
        <v>719</v>
      </c>
      <c r="AD300" s="778" t="s">
        <v>187</v>
      </c>
      <c r="AE300" s="521">
        <f t="shared" si="11"/>
        <v>12</v>
      </c>
      <c r="AF300" s="522" t="str">
        <f t="shared" si="10"/>
        <v/>
      </c>
      <c r="AH300" s="498"/>
      <c r="AI300" s="1488" t="s">
        <v>720</v>
      </c>
      <c r="AJ300" s="1489"/>
      <c r="AK300" s="1489"/>
      <c r="AL300" s="1489"/>
      <c r="AM300" s="1490"/>
      <c r="AN300" s="779" t="s">
        <v>721</v>
      </c>
      <c r="AO300" s="507">
        <f>COUNTIF($P$1:$Q$1,"O-FUT")</f>
        <v>0</v>
      </c>
      <c r="AQ300" s="498"/>
      <c r="AR300" s="1434" t="s">
        <v>722</v>
      </c>
      <c r="AS300" s="1435"/>
      <c r="AT300" s="1435"/>
      <c r="AU300" s="1435"/>
      <c r="AV300" s="1436"/>
      <c r="AW300" s="289" t="s">
        <v>160</v>
      </c>
      <c r="AX300" s="507">
        <f t="shared" si="17"/>
        <v>0</v>
      </c>
      <c r="AY300" s="709"/>
      <c r="BA300" s="501"/>
    </row>
    <row r="301" spans="1:53" ht="18.75" customHeight="1" x14ac:dyDescent="0.25">
      <c r="A301" s="1474" t="s">
        <v>723</v>
      </c>
      <c r="B301" s="1455"/>
      <c r="C301" s="1455"/>
      <c r="D301" s="1455"/>
      <c r="E301" s="1475"/>
      <c r="F301" s="780"/>
      <c r="G301" s="1462">
        <f>SUM(G297:I300)</f>
        <v>0</v>
      </c>
      <c r="H301" s="1463"/>
      <c r="I301" s="1464"/>
      <c r="J301" s="781">
        <f>SUM(J297:J300)</f>
        <v>0</v>
      </c>
      <c r="K301" s="782">
        <f>SUM(K297:K300)</f>
        <v>0</v>
      </c>
      <c r="L301" s="770"/>
      <c r="M301" s="476"/>
      <c r="N301" s="1474" t="s">
        <v>723</v>
      </c>
      <c r="O301" s="1455"/>
      <c r="P301" s="1455"/>
      <c r="Q301" s="1455"/>
      <c r="R301" s="1475"/>
      <c r="S301" s="780"/>
      <c r="T301" s="1462">
        <f>SUM(T297:V300)</f>
        <v>0</v>
      </c>
      <c r="U301" s="1463"/>
      <c r="V301" s="1464"/>
      <c r="W301" s="781">
        <f>SUM(W297:W300)</f>
        <v>0</v>
      </c>
      <c r="X301" s="782">
        <f>SUM(X297:X300)</f>
        <v>0</v>
      </c>
      <c r="Y301" s="770"/>
      <c r="Z301" s="546">
        <f t="shared" si="31"/>
        <v>0</v>
      </c>
      <c r="AA301" s="513"/>
      <c r="AC301" s="519" t="s">
        <v>724</v>
      </c>
      <c r="AD301" s="783" t="s">
        <v>725</v>
      </c>
      <c r="AE301" s="521">
        <f t="shared" si="11"/>
        <v>0</v>
      </c>
      <c r="AF301" s="522" t="str">
        <f t="shared" si="10"/>
        <v/>
      </c>
      <c r="AH301" s="498"/>
      <c r="AI301" s="784"/>
      <c r="AJ301" s="785"/>
      <c r="AK301" s="785"/>
      <c r="AL301" s="785"/>
      <c r="AM301" s="785"/>
      <c r="AQ301" s="498"/>
      <c r="AR301" s="1434" t="s">
        <v>726</v>
      </c>
      <c r="AS301" s="1435"/>
      <c r="AT301" s="1435"/>
      <c r="AU301" s="1435"/>
      <c r="AV301" s="1436"/>
      <c r="AW301" s="63" t="s">
        <v>727</v>
      </c>
      <c r="AX301" s="507">
        <f t="shared" si="17"/>
        <v>0</v>
      </c>
      <c r="AY301" s="709"/>
      <c r="BA301" s="501"/>
    </row>
    <row r="302" spans="1:53" ht="18.75" x14ac:dyDescent="0.25">
      <c r="A302" s="1474" t="s">
        <v>723</v>
      </c>
      <c r="B302" s="1455"/>
      <c r="C302" s="1455"/>
      <c r="D302" s="1455"/>
      <c r="E302" s="1475"/>
      <c r="F302" s="764"/>
      <c r="G302" s="1476">
        <f>G301</f>
        <v>0</v>
      </c>
      <c r="H302" s="1477"/>
      <c r="I302" s="1478"/>
      <c r="J302" s="781">
        <f>J301</f>
        <v>0</v>
      </c>
      <c r="K302" s="782">
        <f>K301</f>
        <v>0</v>
      </c>
      <c r="L302" s="770"/>
      <c r="M302" s="476"/>
      <c r="N302" s="1474" t="s">
        <v>723</v>
      </c>
      <c r="O302" s="1455"/>
      <c r="P302" s="1455"/>
      <c r="Q302" s="1455"/>
      <c r="R302" s="1475"/>
      <c r="S302" s="764"/>
      <c r="T302" s="1476">
        <f>T301</f>
        <v>0</v>
      </c>
      <c r="U302" s="1477"/>
      <c r="V302" s="1478"/>
      <c r="W302" s="781">
        <f>W301</f>
        <v>0</v>
      </c>
      <c r="X302" s="782">
        <f>X301</f>
        <v>0</v>
      </c>
      <c r="Y302" s="770"/>
      <c r="Z302" s="546">
        <f t="shared" si="31"/>
        <v>0</v>
      </c>
      <c r="AA302" s="513"/>
      <c r="AC302" s="597" t="s">
        <v>728</v>
      </c>
      <c r="AD302" s="786" t="s">
        <v>179</v>
      </c>
      <c r="AE302" s="521">
        <f t="shared" si="11"/>
        <v>14</v>
      </c>
      <c r="AF302" s="522" t="str">
        <f t="shared" si="10"/>
        <v/>
      </c>
      <c r="AH302" s="498"/>
      <c r="AI302" s="1379" t="s">
        <v>309</v>
      </c>
      <c r="AJ302" s="1380"/>
      <c r="AK302" s="1380"/>
      <c r="AL302" s="1380"/>
      <c r="AM302" s="1380"/>
      <c r="AN302" s="1381"/>
      <c r="AO302" s="499" t="s">
        <v>274</v>
      </c>
      <c r="AP302" s="787"/>
      <c r="AQ302" s="498"/>
      <c r="AR302" s="1434" t="s">
        <v>729</v>
      </c>
      <c r="AS302" s="1435"/>
      <c r="AT302" s="1435"/>
      <c r="AU302" s="1435"/>
      <c r="AV302" s="1436"/>
      <c r="AW302" s="63" t="s">
        <v>158</v>
      </c>
      <c r="AX302" s="507">
        <f t="shared" si="17"/>
        <v>0</v>
      </c>
      <c r="AY302" s="709"/>
      <c r="BA302" s="501"/>
    </row>
    <row r="303" spans="1:53" ht="18.75" customHeight="1" x14ac:dyDescent="0.25">
      <c r="A303" s="763"/>
      <c r="B303" s="763"/>
      <c r="C303" s="763"/>
      <c r="D303" s="763"/>
      <c r="E303" s="763"/>
      <c r="F303" s="764"/>
      <c r="J303" s="765"/>
      <c r="K303" s="765"/>
      <c r="M303" s="476"/>
      <c r="N303" s="763"/>
      <c r="O303" s="763"/>
      <c r="P303" s="763"/>
      <c r="Q303" s="763"/>
      <c r="R303" s="763"/>
      <c r="S303" s="764"/>
      <c r="W303" s="765"/>
      <c r="X303" s="765"/>
      <c r="AA303" s="513"/>
      <c r="AC303" s="580" t="s">
        <v>730</v>
      </c>
      <c r="AD303" s="776" t="s">
        <v>731</v>
      </c>
      <c r="AE303" s="521">
        <f t="shared" si="11"/>
        <v>0</v>
      </c>
      <c r="AF303" s="522" t="str">
        <f t="shared" si="10"/>
        <v/>
      </c>
      <c r="AH303" s="498"/>
      <c r="AI303" s="1389" t="s">
        <v>732</v>
      </c>
      <c r="AJ303" s="1390"/>
      <c r="AK303" s="1390"/>
      <c r="AL303" s="1390"/>
      <c r="AM303" s="1406"/>
      <c r="AN303" s="788" t="s">
        <v>733</v>
      </c>
      <c r="AO303" s="507">
        <f t="shared" ref="AO303:AO331" si="32">COUNTIF($P$1:$Q$1,AN303)</f>
        <v>0</v>
      </c>
      <c r="AP303" s="789"/>
      <c r="AQ303" s="498"/>
      <c r="AR303" s="1434" t="s">
        <v>734</v>
      </c>
      <c r="AS303" s="1435"/>
      <c r="AT303" s="1435"/>
      <c r="AU303" s="1435"/>
      <c r="AV303" s="1436"/>
      <c r="AW303" s="323" t="s">
        <v>155</v>
      </c>
      <c r="AX303" s="507">
        <f t="shared" si="17"/>
        <v>0</v>
      </c>
      <c r="AY303" s="709"/>
      <c r="BA303" s="501"/>
    </row>
    <row r="304" spans="1:53" ht="18.75" x14ac:dyDescent="0.25">
      <c r="A304" s="763"/>
      <c r="B304" s="763"/>
      <c r="C304" s="763"/>
      <c r="D304" s="763"/>
      <c r="E304" s="763"/>
      <c r="F304" s="764"/>
      <c r="J304" s="765"/>
      <c r="K304" s="765"/>
      <c r="M304" s="476"/>
      <c r="N304" s="763"/>
      <c r="O304" s="763"/>
      <c r="P304" s="763"/>
      <c r="Q304" s="763"/>
      <c r="R304" s="763"/>
      <c r="S304" s="764"/>
      <c r="W304" s="765"/>
      <c r="X304" s="765"/>
      <c r="AA304" s="513"/>
      <c r="AC304" s="597" t="s">
        <v>735</v>
      </c>
      <c r="AD304" s="790" t="s">
        <v>736</v>
      </c>
      <c r="AE304" s="521">
        <f t="shared" si="11"/>
        <v>0</v>
      </c>
      <c r="AF304" s="522" t="str">
        <f t="shared" si="10"/>
        <v/>
      </c>
      <c r="AH304" s="498"/>
      <c r="AI304" s="1362" t="s">
        <v>737</v>
      </c>
      <c r="AJ304" s="1363"/>
      <c r="AK304" s="1363"/>
      <c r="AL304" s="1363"/>
      <c r="AM304" s="1364"/>
      <c r="AN304" s="791" t="s">
        <v>738</v>
      </c>
      <c r="AO304" s="507">
        <f t="shared" si="32"/>
        <v>0</v>
      </c>
      <c r="AP304" s="789"/>
      <c r="AQ304" s="498"/>
      <c r="AR304" s="1434" t="s">
        <v>739</v>
      </c>
      <c r="AS304" s="1435"/>
      <c r="AT304" s="1435"/>
      <c r="AU304" s="1435"/>
      <c r="AV304" s="1436"/>
      <c r="AW304" s="646" t="s">
        <v>740</v>
      </c>
      <c r="AX304" s="507">
        <f t="shared" si="17"/>
        <v>0</v>
      </c>
      <c r="AY304" s="709"/>
      <c r="BA304" s="501"/>
    </row>
    <row r="305" spans="1:61" ht="19.5" customHeight="1" x14ac:dyDescent="0.25">
      <c r="A305" s="1482" t="s">
        <v>741</v>
      </c>
      <c r="B305" s="1483"/>
      <c r="C305" s="1483"/>
      <c r="D305" s="1483"/>
      <c r="E305" s="1484"/>
      <c r="F305" s="767"/>
      <c r="G305" s="1441"/>
      <c r="H305" s="1441"/>
      <c r="I305" s="1473"/>
      <c r="J305" s="536" t="s">
        <v>305</v>
      </c>
      <c r="K305" s="535" t="s">
        <v>306</v>
      </c>
      <c r="L305" s="536" t="s">
        <v>307</v>
      </c>
      <c r="M305" s="476"/>
      <c r="N305" s="1482" t="s">
        <v>741</v>
      </c>
      <c r="O305" s="1483"/>
      <c r="P305" s="1483"/>
      <c r="Q305" s="1483"/>
      <c r="R305" s="1484"/>
      <c r="S305" s="767"/>
      <c r="T305" s="1441"/>
      <c r="U305" s="1441"/>
      <c r="V305" s="1473"/>
      <c r="W305" s="536" t="s">
        <v>305</v>
      </c>
      <c r="X305" s="535" t="s">
        <v>306</v>
      </c>
      <c r="Y305" s="536" t="s">
        <v>307</v>
      </c>
      <c r="AA305" s="513"/>
      <c r="AC305" s="597" t="s">
        <v>742</v>
      </c>
      <c r="AD305" s="792" t="s">
        <v>743</v>
      </c>
      <c r="AE305" s="521">
        <f t="shared" si="11"/>
        <v>0</v>
      </c>
      <c r="AF305" s="522" t="str">
        <f t="shared" si="10"/>
        <v/>
      </c>
      <c r="AH305" s="498"/>
      <c r="AI305" s="1362" t="s">
        <v>744</v>
      </c>
      <c r="AJ305" s="1363"/>
      <c r="AK305" s="1363"/>
      <c r="AL305" s="1363"/>
      <c r="AM305" s="1364"/>
      <c r="AN305" s="793" t="s">
        <v>745</v>
      </c>
      <c r="AO305" s="507">
        <f t="shared" si="32"/>
        <v>0</v>
      </c>
      <c r="AP305" s="789"/>
      <c r="AQ305" s="498"/>
      <c r="AR305" s="1434" t="s">
        <v>746</v>
      </c>
      <c r="AS305" s="1435"/>
      <c r="AT305" s="1435"/>
      <c r="AU305" s="1435"/>
      <c r="AV305" s="1436"/>
      <c r="AW305" s="646" t="s">
        <v>747</v>
      </c>
      <c r="AX305" s="507">
        <f t="shared" si="17"/>
        <v>0</v>
      </c>
      <c r="AY305" s="709"/>
      <c r="BA305" s="501"/>
    </row>
    <row r="306" spans="1:61" ht="18.75" x14ac:dyDescent="0.25">
      <c r="A306" s="1465" t="s">
        <v>124</v>
      </c>
      <c r="B306" s="1466"/>
      <c r="C306" s="1467"/>
      <c r="D306" s="1366"/>
      <c r="E306" s="1469"/>
      <c r="F306" s="24" t="s">
        <v>65</v>
      </c>
      <c r="G306" s="1395">
        <f t="shared" ref="G306:G308" si="33">COUNTIF($P$79:$BM$151,F306)</f>
        <v>0</v>
      </c>
      <c r="H306" s="1396"/>
      <c r="I306" s="1397"/>
      <c r="J306" s="629">
        <f t="shared" ref="J306:J308" si="34">G306-K306</f>
        <v>0</v>
      </c>
      <c r="K306" s="572"/>
      <c r="L306" s="770"/>
      <c r="M306" s="476"/>
      <c r="N306" s="1465" t="s">
        <v>124</v>
      </c>
      <c r="O306" s="1466"/>
      <c r="P306" s="1467"/>
      <c r="Q306" s="1366"/>
      <c r="R306" s="1469"/>
      <c r="S306" s="24" t="s">
        <v>65</v>
      </c>
      <c r="T306" s="1395">
        <f t="shared" ref="T306:T308" si="35">COUNTIF($O$6:$BE$74,S306)</f>
        <v>0</v>
      </c>
      <c r="U306" s="1396"/>
      <c r="V306" s="1397"/>
      <c r="W306" s="629">
        <f t="shared" ref="W306:W308" si="36">T306-X306</f>
        <v>0</v>
      </c>
      <c r="X306" s="572"/>
      <c r="Y306" s="770"/>
      <c r="Z306" s="546">
        <f t="shared" ref="Z306:Z310" si="37">T306+G306</f>
        <v>0</v>
      </c>
      <c r="AA306" s="513"/>
      <c r="AC306" s="597" t="s">
        <v>748</v>
      </c>
      <c r="AD306" s="794" t="s">
        <v>749</v>
      </c>
      <c r="AE306" s="521">
        <f t="shared" si="11"/>
        <v>0</v>
      </c>
      <c r="AF306" s="522" t="str">
        <f t="shared" si="10"/>
        <v/>
      </c>
      <c r="AH306" s="498"/>
      <c r="AI306" s="1362" t="s">
        <v>750</v>
      </c>
      <c r="AJ306" s="1363"/>
      <c r="AK306" s="1363"/>
      <c r="AL306" s="1363"/>
      <c r="AM306" s="1364"/>
      <c r="AN306" s="795" t="s">
        <v>751</v>
      </c>
      <c r="AO306" s="507">
        <f t="shared" si="32"/>
        <v>0</v>
      </c>
      <c r="AP306" s="789"/>
      <c r="AQ306" s="498"/>
      <c r="AR306" s="1434" t="s">
        <v>752</v>
      </c>
      <c r="AS306" s="1435"/>
      <c r="AT306" s="1435"/>
      <c r="AU306" s="1435"/>
      <c r="AV306" s="1436"/>
      <c r="AW306" s="646" t="s">
        <v>753</v>
      </c>
      <c r="AX306" s="507">
        <f t="shared" si="17"/>
        <v>0</v>
      </c>
      <c r="AY306" s="709"/>
      <c r="BA306" s="501"/>
    </row>
    <row r="307" spans="1:61" ht="18.75" customHeight="1" x14ac:dyDescent="0.25">
      <c r="A307" s="1465" t="s">
        <v>125</v>
      </c>
      <c r="B307" s="1466"/>
      <c r="C307" s="1467"/>
      <c r="D307" s="1366"/>
      <c r="E307" s="1469"/>
      <c r="F307" s="25" t="s">
        <v>64</v>
      </c>
      <c r="G307" s="1395">
        <f t="shared" si="33"/>
        <v>0</v>
      </c>
      <c r="H307" s="1396"/>
      <c r="I307" s="1397"/>
      <c r="J307" s="629">
        <f t="shared" si="34"/>
        <v>0</v>
      </c>
      <c r="K307" s="572"/>
      <c r="L307" s="770"/>
      <c r="M307" s="476"/>
      <c r="N307" s="1465" t="s">
        <v>125</v>
      </c>
      <c r="O307" s="1466"/>
      <c r="P307" s="1467"/>
      <c r="Q307" s="1366"/>
      <c r="R307" s="1469"/>
      <c r="S307" s="25" t="s">
        <v>64</v>
      </c>
      <c r="T307" s="1395">
        <f t="shared" si="35"/>
        <v>0</v>
      </c>
      <c r="U307" s="1396"/>
      <c r="V307" s="1397"/>
      <c r="W307" s="629">
        <f t="shared" si="36"/>
        <v>0</v>
      </c>
      <c r="X307" s="572"/>
      <c r="Y307" s="770"/>
      <c r="Z307" s="546">
        <f t="shared" si="37"/>
        <v>0</v>
      </c>
      <c r="AA307" s="513" t="b">
        <f>IFERROR(#REF!&gt;0.5,FALSE)</f>
        <v>0</v>
      </c>
      <c r="AC307" s="519" t="s">
        <v>754</v>
      </c>
      <c r="AD307" s="796" t="s">
        <v>755</v>
      </c>
      <c r="AE307" s="521">
        <f t="shared" si="11"/>
        <v>0</v>
      </c>
      <c r="AF307" s="522" t="str">
        <f t="shared" si="10"/>
        <v/>
      </c>
      <c r="AH307" s="498"/>
      <c r="AI307" s="1362" t="s">
        <v>756</v>
      </c>
      <c r="AJ307" s="1363"/>
      <c r="AK307" s="1363"/>
      <c r="AL307" s="1363"/>
      <c r="AM307" s="1364"/>
      <c r="AN307" s="797" t="s">
        <v>757</v>
      </c>
      <c r="AO307" s="507">
        <f t="shared" si="32"/>
        <v>0</v>
      </c>
      <c r="AP307" s="789"/>
      <c r="AQ307" s="498"/>
      <c r="AR307" s="1434" t="s">
        <v>758</v>
      </c>
      <c r="AS307" s="1435"/>
      <c r="AT307" s="1435"/>
      <c r="AU307" s="1435"/>
      <c r="AV307" s="1436"/>
      <c r="AW307" s="64" t="s">
        <v>159</v>
      </c>
      <c r="AX307" s="507">
        <f t="shared" si="17"/>
        <v>0</v>
      </c>
      <c r="AY307" s="709"/>
      <c r="BA307" s="501"/>
    </row>
    <row r="308" spans="1:61" ht="18.75" customHeight="1" x14ac:dyDescent="0.25">
      <c r="A308" s="1465" t="s">
        <v>66</v>
      </c>
      <c r="B308" s="1466"/>
      <c r="C308" s="1467"/>
      <c r="D308" s="1366"/>
      <c r="E308" s="1368"/>
      <c r="F308" s="26" t="s">
        <v>67</v>
      </c>
      <c r="G308" s="1395">
        <f t="shared" si="33"/>
        <v>0</v>
      </c>
      <c r="H308" s="1396"/>
      <c r="I308" s="1397"/>
      <c r="J308" s="629">
        <f t="shared" si="34"/>
        <v>0</v>
      </c>
      <c r="K308" s="572"/>
      <c r="L308" s="770"/>
      <c r="M308" s="476"/>
      <c r="N308" s="1465" t="s">
        <v>66</v>
      </c>
      <c r="O308" s="1466"/>
      <c r="P308" s="1467"/>
      <c r="Q308" s="1366"/>
      <c r="R308" s="1368"/>
      <c r="S308" s="26" t="s">
        <v>67</v>
      </c>
      <c r="T308" s="1395">
        <f t="shared" si="35"/>
        <v>0</v>
      </c>
      <c r="U308" s="1396"/>
      <c r="V308" s="1397"/>
      <c r="W308" s="629">
        <f t="shared" si="36"/>
        <v>0</v>
      </c>
      <c r="X308" s="572"/>
      <c r="Y308" s="770"/>
      <c r="Z308" s="546">
        <f t="shared" si="37"/>
        <v>0</v>
      </c>
      <c r="AA308" s="513"/>
      <c r="AC308" s="597" t="s">
        <v>759</v>
      </c>
      <c r="AD308" s="796" t="s">
        <v>759</v>
      </c>
      <c r="AE308" s="521">
        <f t="shared" si="11"/>
        <v>0</v>
      </c>
      <c r="AF308" s="522" t="str">
        <f t="shared" si="10"/>
        <v/>
      </c>
      <c r="AH308" s="498"/>
      <c r="AI308" s="1362" t="s">
        <v>760</v>
      </c>
      <c r="AJ308" s="1363"/>
      <c r="AK308" s="1363"/>
      <c r="AL308" s="1363"/>
      <c r="AM308" s="1364"/>
      <c r="AN308" s="798" t="s">
        <v>761</v>
      </c>
      <c r="AO308" s="507">
        <f t="shared" si="32"/>
        <v>0</v>
      </c>
      <c r="AP308" s="789"/>
      <c r="AQ308" s="498"/>
      <c r="AR308" s="1434" t="s">
        <v>762</v>
      </c>
      <c r="AS308" s="1435"/>
      <c r="AT308" s="1435"/>
      <c r="AU308" s="1435"/>
      <c r="AV308" s="1436"/>
      <c r="AW308" s="64" t="s">
        <v>763</v>
      </c>
      <c r="AX308" s="507">
        <f t="shared" si="17"/>
        <v>0</v>
      </c>
      <c r="AY308" s="709"/>
      <c r="BA308" s="501"/>
    </row>
    <row r="309" spans="1:61" ht="18" x14ac:dyDescent="0.25">
      <c r="A309" s="1474" t="s">
        <v>764</v>
      </c>
      <c r="B309" s="1455"/>
      <c r="C309" s="1455"/>
      <c r="D309" s="1455"/>
      <c r="E309" s="1475"/>
      <c r="F309" s="780"/>
      <c r="G309" s="1462">
        <f>SUM(G306:I308)</f>
        <v>0</v>
      </c>
      <c r="H309" s="1463"/>
      <c r="I309" s="1464"/>
      <c r="J309" s="781">
        <f>SUM(J306:J308)</f>
        <v>0</v>
      </c>
      <c r="K309" s="782">
        <f>SUM(K306:K308)</f>
        <v>0</v>
      </c>
      <c r="L309" s="770"/>
      <c r="M309" s="476"/>
      <c r="N309" s="1474" t="s">
        <v>764</v>
      </c>
      <c r="O309" s="1455"/>
      <c r="P309" s="1455"/>
      <c r="Q309" s="1455"/>
      <c r="R309" s="1475"/>
      <c r="S309" s="780"/>
      <c r="T309" s="1462">
        <f>SUM(T306:V308)</f>
        <v>0</v>
      </c>
      <c r="U309" s="1463"/>
      <c r="V309" s="1464"/>
      <c r="W309" s="781">
        <f>SUM(W306:W308)</f>
        <v>0</v>
      </c>
      <c r="X309" s="782">
        <f>SUM(X306:X308)</f>
        <v>0</v>
      </c>
      <c r="Y309" s="770"/>
      <c r="Z309" s="546">
        <f t="shared" si="37"/>
        <v>0</v>
      </c>
      <c r="AA309" s="513"/>
      <c r="AC309" s="597" t="s">
        <v>315</v>
      </c>
      <c r="AD309" s="799" t="s">
        <v>765</v>
      </c>
      <c r="AE309" s="521">
        <f t="shared" si="11"/>
        <v>0</v>
      </c>
      <c r="AF309" s="522" t="str">
        <f t="shared" si="10"/>
        <v/>
      </c>
      <c r="AH309" s="498"/>
      <c r="AI309" s="1362" t="s">
        <v>766</v>
      </c>
      <c r="AJ309" s="1363"/>
      <c r="AK309" s="1363"/>
      <c r="AL309" s="1363"/>
      <c r="AM309" s="1364"/>
      <c r="AN309" s="63" t="s">
        <v>767</v>
      </c>
      <c r="AO309" s="507">
        <f t="shared" si="32"/>
        <v>0</v>
      </c>
      <c r="AP309" s="789"/>
      <c r="AQ309" s="498"/>
      <c r="AR309" s="1434" t="s">
        <v>768</v>
      </c>
      <c r="AS309" s="1435"/>
      <c r="AT309" s="1435"/>
      <c r="AU309" s="1435"/>
      <c r="AV309" s="1436"/>
      <c r="AW309" s="109" t="s">
        <v>156</v>
      </c>
      <c r="AX309" s="507">
        <f t="shared" si="17"/>
        <v>0</v>
      </c>
      <c r="AY309" s="709"/>
      <c r="BA309" s="501"/>
      <c r="BC309" s="800"/>
      <c r="BD309" s="800"/>
      <c r="BE309" s="800"/>
      <c r="BF309" s="800"/>
      <c r="BG309" s="800"/>
      <c r="BH309" s="800"/>
      <c r="BI309" s="800"/>
    </row>
    <row r="310" spans="1:61" ht="18.75" customHeight="1" x14ac:dyDescent="0.25">
      <c r="A310" s="1474" t="s">
        <v>764</v>
      </c>
      <c r="B310" s="1455"/>
      <c r="C310" s="1455"/>
      <c r="D310" s="1455"/>
      <c r="E310" s="1475"/>
      <c r="F310" s="764"/>
      <c r="G310" s="1476">
        <f>G309</f>
        <v>0</v>
      </c>
      <c r="H310" s="1477"/>
      <c r="I310" s="1478"/>
      <c r="J310" s="781">
        <f>J309</f>
        <v>0</v>
      </c>
      <c r="K310" s="782">
        <f>K309</f>
        <v>0</v>
      </c>
      <c r="L310" s="770"/>
      <c r="M310" s="476"/>
      <c r="N310" s="1474" t="s">
        <v>764</v>
      </c>
      <c r="O310" s="1455"/>
      <c r="P310" s="1455"/>
      <c r="Q310" s="1455"/>
      <c r="R310" s="1475"/>
      <c r="S310" s="764"/>
      <c r="T310" s="1476">
        <f>T309</f>
        <v>0</v>
      </c>
      <c r="U310" s="1477"/>
      <c r="V310" s="1478"/>
      <c r="W310" s="781">
        <f>W309</f>
        <v>0</v>
      </c>
      <c r="X310" s="782">
        <f>X309</f>
        <v>0</v>
      </c>
      <c r="Y310" s="770"/>
      <c r="Z310" s="546">
        <f t="shared" si="37"/>
        <v>0</v>
      </c>
      <c r="AA310" s="513"/>
      <c r="AC310" s="801" t="s">
        <v>769</v>
      </c>
      <c r="AD310" s="802" t="s">
        <v>770</v>
      </c>
      <c r="AE310" s="521">
        <f t="shared" si="11"/>
        <v>0</v>
      </c>
      <c r="AF310" s="522" t="str">
        <f t="shared" si="10"/>
        <v/>
      </c>
      <c r="AH310" s="498"/>
      <c r="AI310" s="1362" t="s">
        <v>771</v>
      </c>
      <c r="AJ310" s="1363"/>
      <c r="AK310" s="1363"/>
      <c r="AL310" s="1363"/>
      <c r="AM310" s="1364"/>
      <c r="AN310" s="109" t="s">
        <v>772</v>
      </c>
      <c r="AO310" s="507">
        <f t="shared" si="32"/>
        <v>0</v>
      </c>
      <c r="AP310" s="789"/>
      <c r="AQ310" s="498"/>
      <c r="AR310" s="1434" t="s">
        <v>773</v>
      </c>
      <c r="AS310" s="1435"/>
      <c r="AT310" s="1435"/>
      <c r="AU310" s="1435"/>
      <c r="AV310" s="1436"/>
      <c r="AW310" s="803" t="s">
        <v>774</v>
      </c>
      <c r="AX310" s="507">
        <f t="shared" si="17"/>
        <v>0</v>
      </c>
      <c r="AY310" s="709"/>
      <c r="BA310" s="501"/>
      <c r="BC310" s="804"/>
      <c r="BD310" s="804"/>
      <c r="BE310" s="804"/>
      <c r="BF310" s="804"/>
      <c r="BG310" s="804"/>
      <c r="BH310" s="804"/>
      <c r="BI310" s="804"/>
    </row>
    <row r="311" spans="1:61" ht="18.75" customHeight="1" x14ac:dyDescent="0.25">
      <c r="A311" s="763"/>
      <c r="B311" s="763"/>
      <c r="C311" s="763"/>
      <c r="D311" s="763"/>
      <c r="E311" s="763"/>
      <c r="F311" s="764"/>
      <c r="J311" s="765"/>
      <c r="K311" s="765"/>
      <c r="M311" s="476"/>
      <c r="N311" s="763"/>
      <c r="O311" s="763"/>
      <c r="P311" s="763"/>
      <c r="Q311" s="763"/>
      <c r="R311" s="763"/>
      <c r="S311" s="764"/>
      <c r="W311" s="765"/>
      <c r="X311" s="765"/>
      <c r="AA311" s="513"/>
      <c r="AC311" s="597" t="s">
        <v>775</v>
      </c>
      <c r="AD311" s="805" t="s">
        <v>776</v>
      </c>
      <c r="AE311" s="521">
        <f t="shared" si="11"/>
        <v>0</v>
      </c>
      <c r="AF311" s="522" t="str">
        <f t="shared" si="10"/>
        <v/>
      </c>
      <c r="AH311" s="498"/>
      <c r="AI311" s="1362" t="s">
        <v>777</v>
      </c>
      <c r="AJ311" s="1363"/>
      <c r="AK311" s="1363"/>
      <c r="AL311" s="1363"/>
      <c r="AM311" s="1364"/>
      <c r="AN311" s="64" t="s">
        <v>778</v>
      </c>
      <c r="AO311" s="507">
        <f t="shared" si="32"/>
        <v>0</v>
      </c>
      <c r="AP311" s="789"/>
      <c r="AQ311" s="498"/>
      <c r="AR311" s="1434" t="s">
        <v>779</v>
      </c>
      <c r="AS311" s="1435"/>
      <c r="AT311" s="1435"/>
      <c r="AU311" s="1435"/>
      <c r="AV311" s="1436"/>
      <c r="AW311" s="806" t="s">
        <v>780</v>
      </c>
      <c r="AX311" s="507">
        <f t="shared" si="17"/>
        <v>0</v>
      </c>
      <c r="AY311" s="709"/>
      <c r="BA311" s="501"/>
      <c r="BC311" s="800"/>
      <c r="BD311" s="800"/>
      <c r="BE311" s="800"/>
      <c r="BF311" s="800"/>
      <c r="BG311" s="800"/>
      <c r="BH311" s="800"/>
      <c r="BI311" s="800"/>
    </row>
    <row r="312" spans="1:61" ht="18.75" customHeight="1" x14ac:dyDescent="0.25">
      <c r="A312" s="763"/>
      <c r="B312" s="763"/>
      <c r="C312" s="763"/>
      <c r="D312" s="763"/>
      <c r="E312" s="763"/>
      <c r="F312" s="764"/>
      <c r="J312" s="765"/>
      <c r="K312" s="765"/>
      <c r="M312" s="476"/>
      <c r="N312" s="763"/>
      <c r="O312" s="763"/>
      <c r="P312" s="763"/>
      <c r="Q312" s="763"/>
      <c r="R312" s="763"/>
      <c r="S312" s="764"/>
      <c r="W312" s="765"/>
      <c r="X312" s="765"/>
      <c r="AA312" s="513"/>
      <c r="AC312" s="801" t="s">
        <v>781</v>
      </c>
      <c r="AD312" s="807" t="s">
        <v>782</v>
      </c>
      <c r="AE312" s="521">
        <f t="shared" si="11"/>
        <v>0</v>
      </c>
      <c r="AF312" s="522" t="str">
        <f t="shared" si="10"/>
        <v/>
      </c>
      <c r="AH312" s="498"/>
      <c r="AI312" s="1362" t="s">
        <v>783</v>
      </c>
      <c r="AJ312" s="1363"/>
      <c r="AK312" s="1363"/>
      <c r="AL312" s="1363"/>
      <c r="AM312" s="1364"/>
      <c r="AN312" s="64" t="s">
        <v>5</v>
      </c>
      <c r="AO312" s="507">
        <f t="shared" si="32"/>
        <v>0</v>
      </c>
      <c r="AP312" s="789"/>
      <c r="AQ312" s="498"/>
      <c r="AR312" s="1434" t="s">
        <v>784</v>
      </c>
      <c r="AS312" s="1435"/>
      <c r="AT312" s="1435"/>
      <c r="AU312" s="1435"/>
      <c r="AV312" s="1436"/>
      <c r="AW312" s="808" t="s">
        <v>785</v>
      </c>
      <c r="AX312" s="507">
        <f t="shared" si="17"/>
        <v>0</v>
      </c>
      <c r="AY312" s="709"/>
      <c r="BA312" s="501"/>
      <c r="BC312" s="809"/>
      <c r="BD312" s="809"/>
      <c r="BE312" s="809"/>
      <c r="BF312" s="809"/>
      <c r="BG312" s="809"/>
      <c r="BH312" s="809"/>
      <c r="BI312" s="809"/>
    </row>
    <row r="313" spans="1:61" ht="18" x14ac:dyDescent="0.25">
      <c r="A313" s="1479" t="s">
        <v>786</v>
      </c>
      <c r="B313" s="1480"/>
      <c r="C313" s="1480"/>
      <c r="D313" s="1480"/>
      <c r="E313" s="1481"/>
      <c r="F313" s="767"/>
      <c r="G313" s="1441"/>
      <c r="H313" s="1441"/>
      <c r="I313" s="1473"/>
      <c r="J313" s="536" t="s">
        <v>305</v>
      </c>
      <c r="K313" s="535" t="s">
        <v>306</v>
      </c>
      <c r="L313" s="536" t="s">
        <v>307</v>
      </c>
      <c r="M313" s="476"/>
      <c r="N313" s="1479" t="s">
        <v>786</v>
      </c>
      <c r="O313" s="1480"/>
      <c r="P313" s="1480"/>
      <c r="Q313" s="1480"/>
      <c r="R313" s="1481"/>
      <c r="S313" s="767"/>
      <c r="T313" s="1441"/>
      <c r="U313" s="1441"/>
      <c r="V313" s="1473"/>
      <c r="W313" s="536" t="s">
        <v>305</v>
      </c>
      <c r="X313" s="535" t="s">
        <v>306</v>
      </c>
      <c r="Y313" s="536" t="s">
        <v>307</v>
      </c>
      <c r="AA313" s="513"/>
      <c r="AC313" s="597" t="s">
        <v>787</v>
      </c>
      <c r="AD313" s="807" t="s">
        <v>788</v>
      </c>
      <c r="AE313" s="521">
        <f t="shared" si="11"/>
        <v>0</v>
      </c>
      <c r="AF313" s="522" t="str">
        <f t="shared" ref="AF313:AF321" si="38">IFERROR(AE313/$J$4,"")</f>
        <v/>
      </c>
      <c r="AH313" s="498"/>
      <c r="AI313" s="1362" t="s">
        <v>789</v>
      </c>
      <c r="AJ313" s="1363"/>
      <c r="AK313" s="1363"/>
      <c r="AL313" s="1363"/>
      <c r="AM313" s="1364"/>
      <c r="AN313" s="810" t="s">
        <v>790</v>
      </c>
      <c r="AO313" s="507">
        <f t="shared" si="32"/>
        <v>0</v>
      </c>
      <c r="AP313" s="789"/>
      <c r="AQ313" s="498"/>
      <c r="AR313" s="1434" t="s">
        <v>791</v>
      </c>
      <c r="AS313" s="1435"/>
      <c r="AT313" s="1435"/>
      <c r="AU313" s="1435"/>
      <c r="AV313" s="1436"/>
      <c r="AW313" s="808" t="s">
        <v>792</v>
      </c>
      <c r="AX313" s="507">
        <f t="shared" si="17"/>
        <v>0</v>
      </c>
      <c r="AY313" s="709"/>
      <c r="BA313" s="501"/>
    </row>
    <row r="314" spans="1:61" ht="18.75" customHeight="1" x14ac:dyDescent="0.25">
      <c r="A314" s="1465" t="s">
        <v>126</v>
      </c>
      <c r="B314" s="1466"/>
      <c r="C314" s="1467"/>
      <c r="D314" s="1366"/>
      <c r="E314" s="1368"/>
      <c r="F314" s="27" t="s">
        <v>127</v>
      </c>
      <c r="G314" s="1395">
        <f t="shared" ref="G314:G317" si="39">COUNTIF($P$79:$BM$151,F314)</f>
        <v>0</v>
      </c>
      <c r="H314" s="1396"/>
      <c r="I314" s="1397"/>
      <c r="J314" s="629">
        <f t="shared" ref="J314:J317" si="40">G314-K314</f>
        <v>0</v>
      </c>
      <c r="K314" s="572"/>
      <c r="L314" s="770"/>
      <c r="M314" s="476"/>
      <c r="N314" s="1465" t="s">
        <v>126</v>
      </c>
      <c r="O314" s="1466"/>
      <c r="P314" s="1467"/>
      <c r="Q314" s="1366"/>
      <c r="R314" s="1368"/>
      <c r="S314" s="27" t="s">
        <v>127</v>
      </c>
      <c r="T314" s="1395">
        <f t="shared" ref="T314:T317" si="41">COUNTIF($O$6:$BE$74,S314)</f>
        <v>0</v>
      </c>
      <c r="U314" s="1396"/>
      <c r="V314" s="1397"/>
      <c r="W314" s="629">
        <f t="shared" ref="W314:W317" si="42">T314-X314</f>
        <v>0</v>
      </c>
      <c r="X314" s="572"/>
      <c r="Y314" s="770"/>
      <c r="Z314" s="546">
        <f t="shared" ref="Z314:Z319" si="43">T314+G314</f>
        <v>0</v>
      </c>
      <c r="AA314" s="513"/>
      <c r="AC314" s="597" t="s">
        <v>793</v>
      </c>
      <c r="AD314" s="811" t="s">
        <v>794</v>
      </c>
      <c r="AE314" s="521">
        <f t="shared" ref="AE314:AE321" si="44">COUNTIF($A$2:$BO$188,AD314)</f>
        <v>0</v>
      </c>
      <c r="AF314" s="522" t="str">
        <f t="shared" si="38"/>
        <v/>
      </c>
      <c r="AH314" s="498"/>
      <c r="AI314" s="1362" t="s">
        <v>795</v>
      </c>
      <c r="AJ314" s="1363"/>
      <c r="AK314" s="1363"/>
      <c r="AL314" s="1363"/>
      <c r="AM314" s="1364"/>
      <c r="AN314" s="524" t="s">
        <v>796</v>
      </c>
      <c r="AO314" s="507">
        <f t="shared" si="32"/>
        <v>0</v>
      </c>
      <c r="AP314" s="789"/>
      <c r="AQ314" s="498"/>
      <c r="AR314" s="1434" t="s">
        <v>797</v>
      </c>
      <c r="AS314" s="1435"/>
      <c r="AT314" s="1435"/>
      <c r="AU314" s="1435"/>
      <c r="AV314" s="1436"/>
      <c r="AW314" s="59" t="s">
        <v>154</v>
      </c>
      <c r="AX314" s="668">
        <f t="shared" si="17"/>
        <v>0</v>
      </c>
      <c r="AY314" s="709"/>
      <c r="BA314" s="501"/>
      <c r="BC314" s="800"/>
      <c r="BD314" s="800"/>
      <c r="BE314" s="800"/>
      <c r="BF314" s="800"/>
      <c r="BG314" s="800"/>
      <c r="BH314" s="800"/>
      <c r="BI314" s="800"/>
    </row>
    <row r="315" spans="1:61" ht="18.75" x14ac:dyDescent="0.25">
      <c r="A315" s="1465" t="s">
        <v>128</v>
      </c>
      <c r="B315" s="1466"/>
      <c r="C315" s="1467"/>
      <c r="D315" s="1366"/>
      <c r="E315" s="1368"/>
      <c r="F315" s="28" t="s">
        <v>129</v>
      </c>
      <c r="G315" s="1395">
        <f t="shared" si="39"/>
        <v>0</v>
      </c>
      <c r="H315" s="1396"/>
      <c r="I315" s="1397"/>
      <c r="J315" s="629">
        <f t="shared" si="40"/>
        <v>0</v>
      </c>
      <c r="K315" s="572"/>
      <c r="L315" s="770"/>
      <c r="M315" s="476"/>
      <c r="N315" s="1465" t="s">
        <v>128</v>
      </c>
      <c r="O315" s="1466"/>
      <c r="P315" s="1467"/>
      <c r="Q315" s="1366"/>
      <c r="R315" s="1368"/>
      <c r="S315" s="28" t="s">
        <v>129</v>
      </c>
      <c r="T315" s="1395">
        <f t="shared" si="41"/>
        <v>0</v>
      </c>
      <c r="U315" s="1396"/>
      <c r="V315" s="1397"/>
      <c r="W315" s="629">
        <f t="shared" si="42"/>
        <v>0</v>
      </c>
      <c r="X315" s="572"/>
      <c r="Y315" s="770"/>
      <c r="Z315" s="546">
        <f t="shared" si="43"/>
        <v>0</v>
      </c>
      <c r="AA315" s="513"/>
      <c r="AC315" s="597" t="s">
        <v>798</v>
      </c>
      <c r="AD315" s="786" t="s">
        <v>799</v>
      </c>
      <c r="AE315" s="521">
        <f t="shared" si="44"/>
        <v>0</v>
      </c>
      <c r="AF315" s="522" t="str">
        <f t="shared" si="38"/>
        <v/>
      </c>
      <c r="AH315" s="498"/>
      <c r="AI315" s="1362" t="s">
        <v>800</v>
      </c>
      <c r="AJ315" s="1363"/>
      <c r="AK315" s="1363"/>
      <c r="AL315" s="1363"/>
      <c r="AM315" s="1364"/>
      <c r="AN315" s="62" t="s">
        <v>801</v>
      </c>
      <c r="AO315" s="507">
        <f t="shared" si="32"/>
        <v>0</v>
      </c>
      <c r="AP315" s="789"/>
      <c r="AQ315" s="498"/>
      <c r="AR315" s="1434" t="s">
        <v>802</v>
      </c>
      <c r="AS315" s="1435"/>
      <c r="AT315" s="1435"/>
      <c r="AU315" s="1435"/>
      <c r="AV315" s="1436"/>
      <c r="AW315" s="812" t="s">
        <v>803</v>
      </c>
      <c r="AX315" s="668">
        <f t="shared" si="17"/>
        <v>0</v>
      </c>
      <c r="AY315" s="709"/>
      <c r="BA315" s="501"/>
      <c r="BC315" s="804"/>
      <c r="BD315" s="804"/>
      <c r="BE315" s="804"/>
      <c r="BF315" s="804"/>
      <c r="BG315" s="804"/>
      <c r="BH315" s="804"/>
      <c r="BI315" s="804"/>
    </row>
    <row r="316" spans="1:61" ht="18.75" customHeight="1" x14ac:dyDescent="0.25">
      <c r="A316" s="1465" t="s">
        <v>130</v>
      </c>
      <c r="B316" s="1466"/>
      <c r="C316" s="1467"/>
      <c r="D316" s="1366"/>
      <c r="E316" s="1469"/>
      <c r="F316" s="29" t="s">
        <v>119</v>
      </c>
      <c r="G316" s="1395">
        <f t="shared" si="39"/>
        <v>0</v>
      </c>
      <c r="H316" s="1396"/>
      <c r="I316" s="1397"/>
      <c r="J316" s="629">
        <f t="shared" si="40"/>
        <v>0</v>
      </c>
      <c r="K316" s="572"/>
      <c r="L316" s="770"/>
      <c r="M316" s="476"/>
      <c r="N316" s="1465" t="s">
        <v>130</v>
      </c>
      <c r="O316" s="1466"/>
      <c r="P316" s="1467"/>
      <c r="Q316" s="1366"/>
      <c r="R316" s="1469"/>
      <c r="S316" s="29" t="s">
        <v>119</v>
      </c>
      <c r="T316" s="1395">
        <f t="shared" si="41"/>
        <v>0</v>
      </c>
      <c r="U316" s="1396"/>
      <c r="V316" s="1397"/>
      <c r="W316" s="629">
        <f t="shared" si="42"/>
        <v>0</v>
      </c>
      <c r="X316" s="572"/>
      <c r="Y316" s="770"/>
      <c r="Z316" s="546">
        <f t="shared" si="43"/>
        <v>0</v>
      </c>
      <c r="AA316" s="513"/>
      <c r="AC316" s="597" t="s">
        <v>804</v>
      </c>
      <c r="AD316" s="805" t="s">
        <v>805</v>
      </c>
      <c r="AE316" s="521">
        <f t="shared" si="44"/>
        <v>0</v>
      </c>
      <c r="AF316" s="522" t="str">
        <f t="shared" si="38"/>
        <v/>
      </c>
      <c r="AI316" s="1362" t="s">
        <v>806</v>
      </c>
      <c r="AJ316" s="1363"/>
      <c r="AK316" s="1363"/>
      <c r="AL316" s="1363"/>
      <c r="AM316" s="1364"/>
      <c r="AN316" s="289" t="s">
        <v>807</v>
      </c>
      <c r="AO316" s="507">
        <f t="shared" si="32"/>
        <v>0</v>
      </c>
      <c r="AP316" s="789"/>
      <c r="AQ316" s="498"/>
      <c r="AR316" s="1434" t="s">
        <v>808</v>
      </c>
      <c r="AS316" s="1435"/>
      <c r="AT316" s="1435"/>
      <c r="AU316" s="1435"/>
      <c r="AV316" s="1436"/>
      <c r="AW316" s="813" t="s">
        <v>809</v>
      </c>
      <c r="AX316" s="507">
        <f t="shared" si="17"/>
        <v>0</v>
      </c>
      <c r="AY316" s="709"/>
      <c r="BA316" s="501"/>
      <c r="BC316" s="800"/>
      <c r="BD316" s="800"/>
      <c r="BE316" s="800"/>
      <c r="BF316" s="800"/>
      <c r="BG316" s="800"/>
      <c r="BH316" s="800"/>
      <c r="BI316" s="800"/>
    </row>
    <row r="317" spans="1:61" ht="18.75" x14ac:dyDescent="0.25">
      <c r="A317" s="1465" t="s">
        <v>131</v>
      </c>
      <c r="B317" s="1466"/>
      <c r="C317" s="1467"/>
      <c r="D317" s="1366"/>
      <c r="E317" s="1469"/>
      <c r="F317" s="30" t="s">
        <v>120</v>
      </c>
      <c r="G317" s="1395">
        <f t="shared" si="39"/>
        <v>0</v>
      </c>
      <c r="H317" s="1396"/>
      <c r="I317" s="1397"/>
      <c r="J317" s="629">
        <f t="shared" si="40"/>
        <v>0</v>
      </c>
      <c r="K317" s="572"/>
      <c r="L317" s="770"/>
      <c r="M317" s="476"/>
      <c r="N317" s="1465" t="s">
        <v>131</v>
      </c>
      <c r="O317" s="1466"/>
      <c r="P317" s="1467"/>
      <c r="Q317" s="1366"/>
      <c r="R317" s="1469"/>
      <c r="S317" s="30" t="s">
        <v>120</v>
      </c>
      <c r="T317" s="1395">
        <f t="shared" si="41"/>
        <v>0</v>
      </c>
      <c r="U317" s="1396"/>
      <c r="V317" s="1397"/>
      <c r="W317" s="629">
        <f t="shared" si="42"/>
        <v>0</v>
      </c>
      <c r="X317" s="572"/>
      <c r="Y317" s="770"/>
      <c r="Z317" s="546">
        <f t="shared" si="43"/>
        <v>0</v>
      </c>
      <c r="AA317" s="513"/>
      <c r="AC317" s="519" t="s">
        <v>810</v>
      </c>
      <c r="AD317" s="814" t="s">
        <v>811</v>
      </c>
      <c r="AE317" s="521">
        <f t="shared" si="44"/>
        <v>0</v>
      </c>
      <c r="AF317" s="522" t="str">
        <f t="shared" si="38"/>
        <v/>
      </c>
      <c r="AI317" s="1362" t="s">
        <v>812</v>
      </c>
      <c r="AJ317" s="1363"/>
      <c r="AK317" s="1363"/>
      <c r="AL317" s="1363"/>
      <c r="AM317" s="1364"/>
      <c r="AN317" s="646" t="s">
        <v>813</v>
      </c>
      <c r="AO317" s="507">
        <f t="shared" si="32"/>
        <v>0</v>
      </c>
      <c r="AP317" s="789"/>
      <c r="AQ317" s="498"/>
      <c r="AR317" s="1434" t="s">
        <v>814</v>
      </c>
      <c r="AS317" s="1435"/>
      <c r="AT317" s="1435"/>
      <c r="AU317" s="1435"/>
      <c r="AV317" s="1436"/>
      <c r="AW317" s="815" t="s">
        <v>815</v>
      </c>
      <c r="AX317" s="507">
        <f t="shared" si="17"/>
        <v>0</v>
      </c>
      <c r="AY317" s="709"/>
      <c r="BA317" s="501"/>
      <c r="BC317" s="809"/>
      <c r="BD317" s="809"/>
      <c r="BE317" s="809"/>
      <c r="BF317" s="809"/>
      <c r="BG317" s="809"/>
      <c r="BH317" s="809"/>
      <c r="BI317" s="809"/>
    </row>
    <row r="318" spans="1:61" ht="18.75" x14ac:dyDescent="0.25">
      <c r="A318" s="1474" t="s">
        <v>816</v>
      </c>
      <c r="B318" s="1455"/>
      <c r="C318" s="1455"/>
      <c r="D318" s="1455"/>
      <c r="E318" s="1475"/>
      <c r="F318" s="780"/>
      <c r="G318" s="1462">
        <f>SUM(G314:I317)</f>
        <v>0</v>
      </c>
      <c r="H318" s="1463"/>
      <c r="I318" s="1464"/>
      <c r="J318" s="781">
        <f>SUM(J314:J317)</f>
        <v>0</v>
      </c>
      <c r="K318" s="782">
        <f>SUM(K314:K317)</f>
        <v>0</v>
      </c>
      <c r="L318" s="770"/>
      <c r="M318" s="476"/>
      <c r="N318" s="1474" t="s">
        <v>816</v>
      </c>
      <c r="O318" s="1455"/>
      <c r="P318" s="1455"/>
      <c r="Q318" s="1455"/>
      <c r="R318" s="1475"/>
      <c r="S318" s="780"/>
      <c r="T318" s="1462">
        <f>SUM(T314:V317)</f>
        <v>0</v>
      </c>
      <c r="U318" s="1463"/>
      <c r="V318" s="1464"/>
      <c r="W318" s="781">
        <f>SUM(W314:W317)</f>
        <v>0</v>
      </c>
      <c r="X318" s="782">
        <f>SUM(X314:X317)</f>
        <v>0</v>
      </c>
      <c r="Y318" s="770"/>
      <c r="Z318" s="546">
        <f t="shared" si="43"/>
        <v>0</v>
      </c>
      <c r="AA318" s="513"/>
      <c r="AC318" s="519" t="s">
        <v>817</v>
      </c>
      <c r="AD318" s="816" t="s">
        <v>817</v>
      </c>
      <c r="AE318" s="521">
        <f t="shared" si="44"/>
        <v>0</v>
      </c>
      <c r="AF318" s="522" t="str">
        <f t="shared" si="38"/>
        <v/>
      </c>
      <c r="AI318" s="1362" t="s">
        <v>818</v>
      </c>
      <c r="AJ318" s="1363"/>
      <c r="AK318" s="1363"/>
      <c r="AL318" s="1363"/>
      <c r="AM318" s="1364"/>
      <c r="AN318" s="658" t="s">
        <v>819</v>
      </c>
      <c r="AO318" s="507">
        <f t="shared" si="32"/>
        <v>0</v>
      </c>
      <c r="AP318" s="789"/>
      <c r="AQ318" s="498"/>
      <c r="AR318" s="1434" t="s">
        <v>820</v>
      </c>
      <c r="AS318" s="1435"/>
      <c r="AT318" s="1435"/>
      <c r="AU318" s="1435"/>
      <c r="AV318" s="1436"/>
      <c r="AW318" s="58" t="s">
        <v>153</v>
      </c>
      <c r="AX318" s="507">
        <f t="shared" si="17"/>
        <v>0</v>
      </c>
      <c r="AY318" s="709"/>
      <c r="BA318" s="501"/>
    </row>
    <row r="319" spans="1:61" ht="18" x14ac:dyDescent="0.25">
      <c r="A319" s="1474" t="s">
        <v>816</v>
      </c>
      <c r="B319" s="1455"/>
      <c r="C319" s="1455"/>
      <c r="D319" s="1455"/>
      <c r="E319" s="1475"/>
      <c r="F319" s="764"/>
      <c r="G319" s="1476">
        <f>G318</f>
        <v>0</v>
      </c>
      <c r="H319" s="1477"/>
      <c r="I319" s="1478"/>
      <c r="J319" s="781">
        <f>J318</f>
        <v>0</v>
      </c>
      <c r="K319" s="782">
        <f>K318</f>
        <v>0</v>
      </c>
      <c r="L319" s="770"/>
      <c r="M319" s="476"/>
      <c r="N319" s="1474" t="s">
        <v>816</v>
      </c>
      <c r="O319" s="1455"/>
      <c r="P319" s="1455"/>
      <c r="Q319" s="1455"/>
      <c r="R319" s="1475"/>
      <c r="S319" s="764"/>
      <c r="T319" s="1476">
        <f>T318</f>
        <v>0</v>
      </c>
      <c r="U319" s="1477"/>
      <c r="V319" s="1478"/>
      <c r="W319" s="781">
        <f>W318</f>
        <v>0</v>
      </c>
      <c r="X319" s="782">
        <f>X318</f>
        <v>0</v>
      </c>
      <c r="Y319" s="770"/>
      <c r="Z319" s="546">
        <f t="shared" si="43"/>
        <v>0</v>
      </c>
      <c r="AA319" s="513"/>
      <c r="AC319" s="519" t="s">
        <v>821</v>
      </c>
      <c r="AD319" s="568" t="s">
        <v>822</v>
      </c>
      <c r="AE319" s="521">
        <f t="shared" si="44"/>
        <v>0</v>
      </c>
      <c r="AF319" s="522" t="str">
        <f t="shared" si="38"/>
        <v/>
      </c>
      <c r="AI319" s="1362" t="s">
        <v>823</v>
      </c>
      <c r="AJ319" s="1363"/>
      <c r="AK319" s="1363"/>
      <c r="AL319" s="1363"/>
      <c r="AM319" s="1364"/>
      <c r="AN319" s="803" t="s">
        <v>824</v>
      </c>
      <c r="AO319" s="507">
        <f t="shared" si="32"/>
        <v>0</v>
      </c>
      <c r="AP319" s="789"/>
      <c r="AQ319" s="498"/>
      <c r="AR319" s="1434" t="s">
        <v>825</v>
      </c>
      <c r="AS319" s="1435"/>
      <c r="AT319" s="1435"/>
      <c r="AU319" s="1435"/>
      <c r="AV319" s="1436"/>
      <c r="AW319" s="658" t="s">
        <v>826</v>
      </c>
      <c r="AX319" s="817">
        <f t="shared" si="17"/>
        <v>0</v>
      </c>
      <c r="AY319" s="709"/>
      <c r="BA319" s="501"/>
      <c r="BC319" s="800"/>
      <c r="BD319" s="800"/>
      <c r="BE319" s="800"/>
      <c r="BF319" s="800"/>
      <c r="BG319" s="800"/>
      <c r="BH319" s="800"/>
      <c r="BI319" s="800"/>
    </row>
    <row r="320" spans="1:61" ht="18" x14ac:dyDescent="0.25">
      <c r="A320" s="763"/>
      <c r="B320" s="763"/>
      <c r="C320" s="763"/>
      <c r="D320" s="763"/>
      <c r="E320" s="763"/>
      <c r="F320" s="764"/>
      <c r="J320" s="765"/>
      <c r="K320" s="765"/>
      <c r="M320" s="476"/>
      <c r="N320" s="763"/>
      <c r="O320" s="763"/>
      <c r="P320" s="763"/>
      <c r="Q320" s="763"/>
      <c r="R320" s="763"/>
      <c r="S320" s="764"/>
      <c r="W320" s="765"/>
      <c r="X320" s="765"/>
      <c r="AA320" s="513"/>
      <c r="AC320" s="597" t="s">
        <v>827</v>
      </c>
      <c r="AD320" s="81" t="s">
        <v>172</v>
      </c>
      <c r="AE320" s="521">
        <f t="shared" si="44"/>
        <v>12</v>
      </c>
      <c r="AF320" s="522" t="str">
        <f t="shared" si="38"/>
        <v/>
      </c>
      <c r="AI320" s="1362" t="s">
        <v>828</v>
      </c>
      <c r="AJ320" s="1363"/>
      <c r="AK320" s="1363"/>
      <c r="AL320" s="1363"/>
      <c r="AM320" s="1364"/>
      <c r="AN320" s="818" t="s">
        <v>829</v>
      </c>
      <c r="AO320" s="507">
        <f t="shared" si="32"/>
        <v>0</v>
      </c>
      <c r="AP320" s="789"/>
      <c r="AQ320" s="498"/>
      <c r="AR320" s="1434" t="s">
        <v>830</v>
      </c>
      <c r="AS320" s="1435"/>
      <c r="AT320" s="1435"/>
      <c r="AU320" s="1435"/>
      <c r="AV320" s="1436"/>
      <c r="AW320" s="819" t="s">
        <v>831</v>
      </c>
      <c r="AX320" s="817">
        <f t="shared" si="17"/>
        <v>0</v>
      </c>
      <c r="AY320" s="709"/>
      <c r="BA320" s="501"/>
      <c r="BC320" s="804"/>
      <c r="BD320" s="804"/>
      <c r="BE320" s="804"/>
      <c r="BF320" s="804"/>
      <c r="BG320" s="804"/>
      <c r="BH320" s="804"/>
      <c r="BI320" s="804"/>
    </row>
    <row r="321" spans="1:61" ht="18.75" customHeight="1" x14ac:dyDescent="0.25">
      <c r="A321" s="763"/>
      <c r="B321" s="763"/>
      <c r="C321" s="763"/>
      <c r="D321" s="763"/>
      <c r="E321" s="763"/>
      <c r="F321" s="764"/>
      <c r="J321" s="765"/>
      <c r="K321" s="765"/>
      <c r="M321" s="476"/>
      <c r="N321" s="763"/>
      <c r="O321" s="763"/>
      <c r="P321" s="763"/>
      <c r="Q321" s="763"/>
      <c r="R321" s="763"/>
      <c r="S321" s="764"/>
      <c r="W321" s="765"/>
      <c r="X321" s="765"/>
      <c r="AA321" s="513"/>
      <c r="AC321" s="597" t="s">
        <v>832</v>
      </c>
      <c r="AD321" s="820" t="s">
        <v>833</v>
      </c>
      <c r="AE321" s="521">
        <f t="shared" si="44"/>
        <v>0</v>
      </c>
      <c r="AF321" s="522" t="str">
        <f t="shared" si="38"/>
        <v/>
      </c>
      <c r="AI321" s="1362" t="s">
        <v>834</v>
      </c>
      <c r="AJ321" s="1363"/>
      <c r="AK321" s="1363"/>
      <c r="AL321" s="1363"/>
      <c r="AM321" s="1364"/>
      <c r="AN321" s="821" t="s">
        <v>835</v>
      </c>
      <c r="AO321" s="507">
        <f t="shared" si="32"/>
        <v>0</v>
      </c>
      <c r="AP321" s="789"/>
      <c r="AQ321" s="498"/>
      <c r="AR321" s="1431" t="s">
        <v>836</v>
      </c>
      <c r="AS321" s="1432"/>
      <c r="AT321" s="1432"/>
      <c r="AU321" s="1432"/>
      <c r="AV321" s="1433"/>
      <c r="AW321" s="677"/>
      <c r="AX321" s="678">
        <f>SUM(AX267:AX320)</f>
        <v>0</v>
      </c>
      <c r="AY321" s="498"/>
      <c r="BA321" s="501"/>
      <c r="BC321" s="800"/>
      <c r="BD321" s="800"/>
      <c r="BE321" s="800"/>
      <c r="BF321" s="800"/>
      <c r="BG321" s="800"/>
      <c r="BH321" s="800"/>
      <c r="BI321" s="800"/>
    </row>
    <row r="322" spans="1:61" ht="18" x14ac:dyDescent="0.25">
      <c r="A322" s="1470" t="s">
        <v>837</v>
      </c>
      <c r="B322" s="1471"/>
      <c r="C322" s="1471"/>
      <c r="D322" s="1471"/>
      <c r="E322" s="1472"/>
      <c r="F322" s="767"/>
      <c r="G322" s="1441"/>
      <c r="H322" s="1441"/>
      <c r="I322" s="1473"/>
      <c r="J322" s="536" t="s">
        <v>305</v>
      </c>
      <c r="K322" s="535" t="s">
        <v>306</v>
      </c>
      <c r="L322" s="536" t="s">
        <v>307</v>
      </c>
      <c r="M322" s="476"/>
      <c r="N322" s="1470" t="s">
        <v>837</v>
      </c>
      <c r="O322" s="1471"/>
      <c r="P322" s="1471"/>
      <c r="Q322" s="1471"/>
      <c r="R322" s="1472"/>
      <c r="S322" s="767"/>
      <c r="T322" s="1441"/>
      <c r="U322" s="1441"/>
      <c r="V322" s="1473"/>
      <c r="W322" s="536" t="s">
        <v>305</v>
      </c>
      <c r="X322" s="535" t="s">
        <v>306</v>
      </c>
      <c r="Y322" s="536" t="s">
        <v>307</v>
      </c>
      <c r="AA322" s="513"/>
      <c r="AI322" s="1362" t="s">
        <v>838</v>
      </c>
      <c r="AJ322" s="1363"/>
      <c r="AK322" s="1363"/>
      <c r="AL322" s="1363"/>
      <c r="AM322" s="1364"/>
      <c r="AN322" s="742" t="s">
        <v>839</v>
      </c>
      <c r="AO322" s="507">
        <f t="shared" si="32"/>
        <v>0</v>
      </c>
      <c r="AP322" s="789"/>
      <c r="AQ322" s="498"/>
      <c r="AR322" s="498"/>
      <c r="AS322" s="498"/>
      <c r="AT322" s="498"/>
      <c r="AU322" s="498"/>
      <c r="AV322" s="498"/>
      <c r="AW322" s="498"/>
      <c r="AX322" s="498"/>
      <c r="AY322" s="498"/>
      <c r="BA322" s="501"/>
      <c r="BC322" s="809"/>
      <c r="BD322" s="809"/>
      <c r="BE322" s="809"/>
      <c r="BF322" s="809"/>
      <c r="BG322" s="809"/>
      <c r="BH322" s="809"/>
      <c r="BI322" s="809"/>
    </row>
    <row r="323" spans="1:61" ht="18.75" customHeight="1" x14ac:dyDescent="0.25">
      <c r="A323" s="1465" t="s">
        <v>58</v>
      </c>
      <c r="B323" s="1466"/>
      <c r="C323" s="1467"/>
      <c r="D323" s="1366"/>
      <c r="E323" s="1469"/>
      <c r="F323" s="7" t="s">
        <v>59</v>
      </c>
      <c r="G323" s="1395">
        <f t="shared" ref="G323:G325" si="45">COUNTIF($P$79:$BM$151,F323)</f>
        <v>0</v>
      </c>
      <c r="H323" s="1396"/>
      <c r="I323" s="1397"/>
      <c r="J323" s="629">
        <f t="shared" ref="J323:J325" si="46">G323-K323</f>
        <v>0</v>
      </c>
      <c r="K323" s="572"/>
      <c r="L323" s="770"/>
      <c r="M323" s="476"/>
      <c r="N323" s="1465" t="s">
        <v>58</v>
      </c>
      <c r="O323" s="1466"/>
      <c r="P323" s="1467"/>
      <c r="Q323" s="1366"/>
      <c r="R323" s="1469"/>
      <c r="S323" s="7" t="s">
        <v>59</v>
      </c>
      <c r="T323" s="1395">
        <f t="shared" ref="T323:T325" si="47">COUNTIF($O$6:$BE$74,S323)</f>
        <v>0</v>
      </c>
      <c r="U323" s="1396"/>
      <c r="V323" s="1397"/>
      <c r="W323" s="629">
        <f t="shared" ref="W323:W325" si="48">T323-X323</f>
        <v>0</v>
      </c>
      <c r="X323" s="572"/>
      <c r="Y323" s="770"/>
      <c r="Z323" s="546">
        <f t="shared" ref="Z323:Z327" si="49">T323+G323</f>
        <v>0</v>
      </c>
      <c r="AA323" s="513"/>
      <c r="AI323" s="1362" t="s">
        <v>840</v>
      </c>
      <c r="AJ323" s="1363"/>
      <c r="AK323" s="1363"/>
      <c r="AL323" s="1363"/>
      <c r="AM323" s="1364"/>
      <c r="AN323" s="822" t="s">
        <v>841</v>
      </c>
      <c r="AO323" s="507">
        <f t="shared" si="32"/>
        <v>0</v>
      </c>
      <c r="AP323" s="789"/>
      <c r="AQ323" s="498"/>
      <c r="AR323" s="1468" t="s">
        <v>352</v>
      </c>
      <c r="AS323" s="1380"/>
      <c r="AT323" s="1380"/>
      <c r="AU323" s="1380"/>
      <c r="AV323" s="1380"/>
      <c r="AW323" s="1381"/>
      <c r="AX323" s="499" t="s">
        <v>274</v>
      </c>
      <c r="AY323" s="500"/>
      <c r="BA323" s="501"/>
    </row>
    <row r="324" spans="1:61" ht="18.75" customHeight="1" x14ac:dyDescent="0.25">
      <c r="A324" s="1465" t="s">
        <v>60</v>
      </c>
      <c r="B324" s="1466"/>
      <c r="C324" s="1467"/>
      <c r="D324" s="1366"/>
      <c r="E324" s="1469"/>
      <c r="F324" s="8" t="s">
        <v>61</v>
      </c>
      <c r="G324" s="1395">
        <f t="shared" si="45"/>
        <v>0</v>
      </c>
      <c r="H324" s="1396"/>
      <c r="I324" s="1397"/>
      <c r="J324" s="629">
        <f t="shared" si="46"/>
        <v>0</v>
      </c>
      <c r="K324" s="572"/>
      <c r="L324" s="770"/>
      <c r="M324" s="476"/>
      <c r="N324" s="1465" t="s">
        <v>60</v>
      </c>
      <c r="O324" s="1466"/>
      <c r="P324" s="1467"/>
      <c r="Q324" s="1366"/>
      <c r="R324" s="1469"/>
      <c r="S324" s="8" t="s">
        <v>61</v>
      </c>
      <c r="T324" s="1395">
        <f t="shared" si="47"/>
        <v>0</v>
      </c>
      <c r="U324" s="1396"/>
      <c r="V324" s="1397"/>
      <c r="W324" s="629">
        <f t="shared" si="48"/>
        <v>0</v>
      </c>
      <c r="X324" s="572"/>
      <c r="Y324" s="770"/>
      <c r="Z324" s="546">
        <f t="shared" si="49"/>
        <v>0</v>
      </c>
      <c r="AA324" s="513"/>
      <c r="AI324" s="1362" t="s">
        <v>842</v>
      </c>
      <c r="AJ324" s="1363"/>
      <c r="AK324" s="1363"/>
      <c r="AL324" s="1363"/>
      <c r="AM324" s="1364"/>
      <c r="AN324" s="822" t="s">
        <v>843</v>
      </c>
      <c r="AO324" s="507">
        <f t="shared" si="32"/>
        <v>0</v>
      </c>
      <c r="AP324" s="789"/>
      <c r="AQ324" s="498"/>
      <c r="AR324" s="1434" t="s">
        <v>844</v>
      </c>
      <c r="AS324" s="1435"/>
      <c r="AT324" s="1435"/>
      <c r="AU324" s="1435"/>
      <c r="AV324" s="1436"/>
      <c r="AW324" s="823" t="s">
        <v>845</v>
      </c>
      <c r="AX324" s="507">
        <f t="shared" ref="AX324:AX361" si="50">COUNTIF($P$1:$Q$1,AW324)</f>
        <v>0</v>
      </c>
      <c r="AY324" s="824"/>
      <c r="BA324" s="501"/>
      <c r="BC324" s="800"/>
      <c r="BD324" s="800"/>
      <c r="BE324" s="800"/>
      <c r="BF324" s="800"/>
      <c r="BG324" s="800"/>
      <c r="BH324" s="800"/>
      <c r="BI324" s="800"/>
    </row>
    <row r="325" spans="1:61" ht="18.75" x14ac:dyDescent="0.25">
      <c r="A325" s="1465" t="s">
        <v>62</v>
      </c>
      <c r="B325" s="1466"/>
      <c r="C325" s="1467"/>
      <c r="D325" s="1366"/>
      <c r="E325" s="1368"/>
      <c r="F325" s="9" t="s">
        <v>63</v>
      </c>
      <c r="G325" s="1395">
        <f t="shared" si="45"/>
        <v>0</v>
      </c>
      <c r="H325" s="1396"/>
      <c r="I325" s="1397"/>
      <c r="J325" s="629">
        <f t="shared" si="46"/>
        <v>0</v>
      </c>
      <c r="K325" s="572"/>
      <c r="L325" s="770"/>
      <c r="M325" s="476"/>
      <c r="N325" s="1465" t="s">
        <v>62</v>
      </c>
      <c r="O325" s="1466"/>
      <c r="P325" s="1467"/>
      <c r="Q325" s="1366"/>
      <c r="R325" s="1368"/>
      <c r="S325" s="9" t="s">
        <v>63</v>
      </c>
      <c r="T325" s="1395">
        <f t="shared" si="47"/>
        <v>0</v>
      </c>
      <c r="U325" s="1396"/>
      <c r="V325" s="1397"/>
      <c r="W325" s="629">
        <f t="shared" si="48"/>
        <v>0</v>
      </c>
      <c r="X325" s="572"/>
      <c r="Y325" s="770"/>
      <c r="Z325" s="546">
        <f t="shared" si="49"/>
        <v>0</v>
      </c>
      <c r="AA325" s="513"/>
      <c r="AI325" s="1362" t="s">
        <v>846</v>
      </c>
      <c r="AJ325" s="1363"/>
      <c r="AK325" s="1363"/>
      <c r="AL325" s="1363"/>
      <c r="AM325" s="1364"/>
      <c r="AN325" s="825" t="s">
        <v>847</v>
      </c>
      <c r="AO325" s="507">
        <f t="shared" si="32"/>
        <v>0</v>
      </c>
      <c r="AP325" s="789"/>
      <c r="AQ325" s="498"/>
      <c r="AR325" s="1434" t="s">
        <v>848</v>
      </c>
      <c r="AS325" s="1435"/>
      <c r="AT325" s="1435"/>
      <c r="AU325" s="1435"/>
      <c r="AV325" s="1436"/>
      <c r="AW325" s="62" t="s">
        <v>849</v>
      </c>
      <c r="AX325" s="507">
        <f t="shared" si="50"/>
        <v>0</v>
      </c>
      <c r="AY325" s="824"/>
      <c r="BA325" s="501"/>
      <c r="BC325" s="800"/>
      <c r="BD325" s="800"/>
      <c r="BE325" s="800"/>
      <c r="BF325" s="800"/>
      <c r="BG325" s="800"/>
      <c r="BH325" s="800"/>
      <c r="BI325" s="800"/>
    </row>
    <row r="326" spans="1:61" ht="18.75" x14ac:dyDescent="0.25">
      <c r="A326" s="1459" t="s">
        <v>850</v>
      </c>
      <c r="B326" s="1460"/>
      <c r="C326" s="1460"/>
      <c r="D326" s="1460"/>
      <c r="E326" s="1461"/>
      <c r="F326" s="780"/>
      <c r="G326" s="1462">
        <f>SUM(G323:I325)</f>
        <v>0</v>
      </c>
      <c r="H326" s="1463"/>
      <c r="I326" s="1464"/>
      <c r="J326" s="781">
        <f>SUM(J323:J325)</f>
        <v>0</v>
      </c>
      <c r="K326" s="782">
        <f>SUM(K323:K325)</f>
        <v>0</v>
      </c>
      <c r="L326" s="770"/>
      <c r="M326" s="476"/>
      <c r="N326" s="1459" t="s">
        <v>850</v>
      </c>
      <c r="O326" s="1460"/>
      <c r="P326" s="1460"/>
      <c r="Q326" s="1460"/>
      <c r="R326" s="1461"/>
      <c r="S326" s="780"/>
      <c r="T326" s="1462">
        <f>SUM(T323:V325)</f>
        <v>0</v>
      </c>
      <c r="U326" s="1463"/>
      <c r="V326" s="1464"/>
      <c r="W326" s="781">
        <f>SUM(W323:W325)</f>
        <v>0</v>
      </c>
      <c r="X326" s="782">
        <f>SUM(X323:X325)</f>
        <v>0</v>
      </c>
      <c r="Y326" s="770"/>
      <c r="Z326" s="546">
        <f t="shared" si="49"/>
        <v>0</v>
      </c>
      <c r="AA326" s="513"/>
      <c r="AI326" s="1362" t="s">
        <v>851</v>
      </c>
      <c r="AJ326" s="1363"/>
      <c r="AK326" s="1363"/>
      <c r="AL326" s="1363"/>
      <c r="AM326" s="1364"/>
      <c r="AN326" s="826" t="s">
        <v>852</v>
      </c>
      <c r="AO326" s="507">
        <f t="shared" si="32"/>
        <v>0</v>
      </c>
      <c r="AP326" s="789"/>
      <c r="AQ326" s="498"/>
      <c r="AR326" s="1434" t="s">
        <v>853</v>
      </c>
      <c r="AS326" s="1435"/>
      <c r="AT326" s="1435"/>
      <c r="AU326" s="1435"/>
      <c r="AV326" s="1436"/>
      <c r="AW326" s="827" t="s">
        <v>854</v>
      </c>
      <c r="AX326" s="507">
        <f t="shared" si="50"/>
        <v>0</v>
      </c>
      <c r="AY326" s="824"/>
      <c r="BA326" s="501"/>
      <c r="BB326" s="828"/>
      <c r="BC326" s="809"/>
      <c r="BD326" s="809"/>
      <c r="BE326" s="809"/>
      <c r="BF326" s="809"/>
      <c r="BG326" s="809"/>
      <c r="BH326" s="809"/>
      <c r="BI326" s="809"/>
    </row>
    <row r="327" spans="1:61" ht="18.75" x14ac:dyDescent="0.25">
      <c r="A327" s="1459" t="s">
        <v>850</v>
      </c>
      <c r="B327" s="1460"/>
      <c r="C327" s="1460"/>
      <c r="D327" s="1460"/>
      <c r="E327" s="1461"/>
      <c r="F327" s="764"/>
      <c r="G327" s="1456">
        <f>G326</f>
        <v>0</v>
      </c>
      <c r="H327" s="1457"/>
      <c r="I327" s="1458"/>
      <c r="J327" s="781">
        <f>J326</f>
        <v>0</v>
      </c>
      <c r="K327" s="782">
        <f>K326</f>
        <v>0</v>
      </c>
      <c r="L327" s="770"/>
      <c r="M327" s="476"/>
      <c r="N327" s="1459" t="s">
        <v>850</v>
      </c>
      <c r="O327" s="1460"/>
      <c r="P327" s="1460"/>
      <c r="Q327" s="1460"/>
      <c r="R327" s="1461"/>
      <c r="S327" s="764"/>
      <c r="T327" s="1456">
        <f>T326</f>
        <v>0</v>
      </c>
      <c r="U327" s="1457"/>
      <c r="V327" s="1458"/>
      <c r="W327" s="781">
        <f>W326</f>
        <v>0</v>
      </c>
      <c r="X327" s="782">
        <f>X326</f>
        <v>0</v>
      </c>
      <c r="Y327" s="770"/>
      <c r="Z327" s="546">
        <f t="shared" si="49"/>
        <v>0</v>
      </c>
      <c r="AA327" s="513"/>
      <c r="AI327" s="1362" t="s">
        <v>855</v>
      </c>
      <c r="AJ327" s="1363"/>
      <c r="AK327" s="1363"/>
      <c r="AL327" s="1363"/>
      <c r="AM327" s="1364"/>
      <c r="AN327" s="323" t="s">
        <v>855</v>
      </c>
      <c r="AO327" s="507">
        <f t="shared" si="32"/>
        <v>0</v>
      </c>
      <c r="AP327" s="789"/>
      <c r="AQ327" s="498"/>
      <c r="AR327" s="1434" t="s">
        <v>856</v>
      </c>
      <c r="AS327" s="1435"/>
      <c r="AT327" s="1435"/>
      <c r="AU327" s="1435"/>
      <c r="AV327" s="1436"/>
      <c r="AW327" s="829" t="s">
        <v>857</v>
      </c>
      <c r="AX327" s="507">
        <f t="shared" si="50"/>
        <v>0</v>
      </c>
      <c r="AY327" s="824"/>
      <c r="BA327" s="501"/>
      <c r="BB327" s="10"/>
    </row>
    <row r="328" spans="1:61" ht="18" x14ac:dyDescent="0.25">
      <c r="A328" s="1454" t="s">
        <v>858</v>
      </c>
      <c r="B328" s="1455"/>
      <c r="C328" s="1455"/>
      <c r="D328" s="1455"/>
      <c r="E328" s="1455"/>
      <c r="F328" s="830"/>
      <c r="G328" s="1456">
        <f>G293+G250+G274+G327+G319+G310+G302+G270</f>
        <v>48</v>
      </c>
      <c r="H328" s="1457"/>
      <c r="I328" s="1458"/>
      <c r="J328" s="629">
        <f>J293+J250+J274+J327+J319+J310+J302+J270</f>
        <v>0</v>
      </c>
      <c r="K328" s="572">
        <f>K293+K250+K274+K327+K319+K310+K302+K270</f>
        <v>0</v>
      </c>
      <c r="L328" s="545">
        <f>L293+L250+L274+L327+L319+L310+L302+L270</f>
        <v>48</v>
      </c>
      <c r="M328" s="513"/>
      <c r="N328" s="1454" t="s">
        <v>859</v>
      </c>
      <c r="O328" s="1455"/>
      <c r="P328" s="1455"/>
      <c r="Q328" s="1455"/>
      <c r="R328" s="1455"/>
      <c r="S328" s="630"/>
      <c r="T328" s="1456">
        <f>T293+T250+T274+T327+T319+T310+T302+T270</f>
        <v>6</v>
      </c>
      <c r="U328" s="1457"/>
      <c r="V328" s="1458"/>
      <c r="W328" s="629">
        <f>W293+W250+W274+W327+W319+W310+W302+W270</f>
        <v>0</v>
      </c>
      <c r="X328" s="572">
        <f>X293+X250+X274+X327+X319+X310+X302+X270</f>
        <v>0</v>
      </c>
      <c r="Y328" s="545">
        <f>Y293+Y250+Y274+Y327+Y319+Y310+Y302+Y270</f>
        <v>6</v>
      </c>
      <c r="Z328" s="546">
        <f>T328+G328</f>
        <v>54</v>
      </c>
      <c r="AA328" s="513"/>
      <c r="AI328" s="1362" t="s">
        <v>860</v>
      </c>
      <c r="AJ328" s="1363"/>
      <c r="AK328" s="1363"/>
      <c r="AL328" s="1363"/>
      <c r="AM328" s="1364"/>
      <c r="AN328" s="831" t="s">
        <v>861</v>
      </c>
      <c r="AO328" s="507">
        <f t="shared" si="32"/>
        <v>0</v>
      </c>
      <c r="AP328" s="789"/>
      <c r="AQ328" s="498"/>
      <c r="AR328" s="1434" t="s">
        <v>862</v>
      </c>
      <c r="AS328" s="1435"/>
      <c r="AT328" s="1435"/>
      <c r="AU328" s="1435"/>
      <c r="AV328" s="1436"/>
      <c r="AW328" s="832" t="s">
        <v>863</v>
      </c>
      <c r="AX328" s="507">
        <f t="shared" si="50"/>
        <v>0</v>
      </c>
      <c r="AY328" s="824"/>
      <c r="BA328" s="501"/>
      <c r="BB328" s="828"/>
      <c r="BC328" s="800"/>
      <c r="BD328" s="800"/>
      <c r="BE328" s="800"/>
      <c r="BF328" s="800"/>
      <c r="BG328" s="800"/>
      <c r="BH328" s="800"/>
      <c r="BI328" s="800"/>
    </row>
    <row r="329" spans="1:61" ht="18" customHeight="1" x14ac:dyDescent="0.25">
      <c r="A329" s="763"/>
      <c r="B329" s="763"/>
      <c r="C329" s="763"/>
      <c r="D329" s="763"/>
      <c r="E329" s="763"/>
      <c r="F329" s="764"/>
      <c r="J329" s="765"/>
      <c r="K329" s="765"/>
      <c r="M329" s="476"/>
      <c r="N329" s="763"/>
      <c r="O329" s="763"/>
      <c r="P329" s="763"/>
      <c r="Q329" s="763"/>
      <c r="R329" s="763"/>
      <c r="S329" s="764"/>
      <c r="W329" s="765"/>
      <c r="X329" s="765"/>
      <c r="AA329" s="513"/>
      <c r="AI329" s="1362" t="s">
        <v>864</v>
      </c>
      <c r="AJ329" s="1363"/>
      <c r="AK329" s="1363"/>
      <c r="AL329" s="1363"/>
      <c r="AM329" s="1364"/>
      <c r="AN329" s="833" t="s">
        <v>865</v>
      </c>
      <c r="AO329" s="507">
        <f t="shared" si="32"/>
        <v>0</v>
      </c>
      <c r="AP329" s="789"/>
      <c r="AQ329" s="498"/>
      <c r="AR329" s="1434" t="s">
        <v>866</v>
      </c>
      <c r="AS329" s="1435"/>
      <c r="AT329" s="1435"/>
      <c r="AU329" s="1435"/>
      <c r="AV329" s="1436"/>
      <c r="AW329" s="834" t="s">
        <v>867</v>
      </c>
      <c r="AX329" s="507">
        <f>COUNTIF($P$1:$Q$1,AW329)</f>
        <v>0</v>
      </c>
      <c r="AY329" s="824"/>
      <c r="BA329" s="501"/>
      <c r="BB329" s="828"/>
      <c r="BC329" s="804"/>
      <c r="BD329" s="804"/>
      <c r="BE329" s="804"/>
      <c r="BF329" s="804"/>
      <c r="BG329" s="804"/>
      <c r="BH329" s="804"/>
      <c r="BI329" s="804"/>
    </row>
    <row r="330" spans="1:61" ht="18" customHeight="1" x14ac:dyDescent="0.25">
      <c r="A330" s="763"/>
      <c r="B330" s="763"/>
      <c r="C330" s="763"/>
      <c r="D330" s="763"/>
      <c r="E330" s="763"/>
      <c r="F330" s="764"/>
      <c r="J330" s="765"/>
      <c r="K330" s="765"/>
      <c r="M330" s="476"/>
      <c r="N330" s="763"/>
      <c r="O330" s="763"/>
      <c r="P330" s="763"/>
      <c r="Q330" s="763"/>
      <c r="R330" s="763"/>
      <c r="S330" s="764"/>
      <c r="W330" s="765"/>
      <c r="X330" s="765"/>
      <c r="AA330" s="513" t="b">
        <f>IFERROR(#REF!&gt;0.5,FALSE)</f>
        <v>0</v>
      </c>
      <c r="AI330" s="1362" t="s">
        <v>868</v>
      </c>
      <c r="AJ330" s="1363"/>
      <c r="AK330" s="1363"/>
      <c r="AL330" s="1363"/>
      <c r="AM330" s="1364"/>
      <c r="AN330" s="835" t="s">
        <v>869</v>
      </c>
      <c r="AO330" s="507">
        <f t="shared" si="32"/>
        <v>0</v>
      </c>
      <c r="AP330" s="789"/>
      <c r="AQ330" s="498"/>
      <c r="AR330" s="1434" t="s">
        <v>870</v>
      </c>
      <c r="AS330" s="1435"/>
      <c r="AT330" s="1435"/>
      <c r="AU330" s="1435"/>
      <c r="AV330" s="1436"/>
      <c r="AW330" s="834" t="s">
        <v>871</v>
      </c>
      <c r="AX330" s="507">
        <f t="shared" ref="AX330" si="51">COUNTIF($P$1:$Q$1,AW330)</f>
        <v>0</v>
      </c>
      <c r="AY330" s="824"/>
      <c r="BA330" s="501"/>
      <c r="BB330" s="828"/>
      <c r="BC330" s="800"/>
      <c r="BD330" s="800"/>
      <c r="BE330" s="800"/>
      <c r="BF330" s="800"/>
      <c r="BG330" s="800"/>
      <c r="BH330" s="800"/>
      <c r="BI330" s="800"/>
    </row>
    <row r="331" spans="1:61" ht="18" customHeight="1" x14ac:dyDescent="0.25">
      <c r="AA331" s="513" t="b">
        <f>IFERROR(#REF!&gt;0.5,FALSE)</f>
        <v>0</v>
      </c>
      <c r="AI331" s="1362" t="s">
        <v>872</v>
      </c>
      <c r="AJ331" s="1363"/>
      <c r="AK331" s="1363"/>
      <c r="AL331" s="1363"/>
      <c r="AM331" s="1364"/>
      <c r="AN331" s="836" t="s">
        <v>873</v>
      </c>
      <c r="AO331" s="507">
        <f t="shared" si="32"/>
        <v>0</v>
      </c>
      <c r="AP331" s="789"/>
      <c r="AQ331" s="498"/>
      <c r="AR331" s="1434" t="s">
        <v>874</v>
      </c>
      <c r="AS331" s="1435"/>
      <c r="AT331" s="1435"/>
      <c r="AU331" s="1435"/>
      <c r="AV331" s="1436"/>
      <c r="AW331" s="834" t="s">
        <v>875</v>
      </c>
      <c r="AX331" s="507">
        <f t="shared" si="50"/>
        <v>0</v>
      </c>
      <c r="AY331" s="824"/>
      <c r="BA331" s="501"/>
      <c r="BC331" s="809"/>
      <c r="BD331" s="809"/>
      <c r="BE331" s="809"/>
      <c r="BF331" s="809"/>
      <c r="BG331" s="809"/>
      <c r="BH331" s="809"/>
      <c r="BI331" s="809"/>
    </row>
    <row r="332" spans="1:61" ht="18.75" customHeight="1" x14ac:dyDescent="0.25">
      <c r="A332" s="1450" t="s">
        <v>876</v>
      </c>
      <c r="B332" s="1450"/>
      <c r="C332" s="1450"/>
      <c r="D332" s="1450"/>
      <c r="E332" s="1450"/>
      <c r="F332" s="1450"/>
      <c r="G332" s="1450"/>
      <c r="H332" s="1450"/>
      <c r="I332" s="1450"/>
      <c r="J332" s="1450"/>
      <c r="K332" s="1450"/>
      <c r="L332" s="1450"/>
      <c r="M332" s="1450"/>
      <c r="N332" s="1450"/>
      <c r="O332" s="1450"/>
      <c r="P332" s="1450"/>
      <c r="Q332" s="1450"/>
      <c r="R332" s="1450"/>
      <c r="S332" s="1450"/>
      <c r="T332" s="1450"/>
      <c r="U332" s="1450"/>
      <c r="V332" s="1450"/>
      <c r="W332" s="1450"/>
      <c r="X332" s="1450"/>
      <c r="Y332" s="1450"/>
      <c r="Z332" s="1450"/>
      <c r="AA332" s="513"/>
      <c r="AI332" s="1356" t="s">
        <v>877</v>
      </c>
      <c r="AJ332" s="1357"/>
      <c r="AK332" s="1357"/>
      <c r="AL332" s="1357"/>
      <c r="AM332" s="1358"/>
      <c r="AN332" s="677"/>
      <c r="AO332" s="678">
        <f>SUM(AO303:AO331)</f>
        <v>0</v>
      </c>
      <c r="AP332" s="498"/>
      <c r="AQ332" s="498"/>
      <c r="AR332" s="1434" t="s">
        <v>878</v>
      </c>
      <c r="AS332" s="1435"/>
      <c r="AT332" s="1435"/>
      <c r="AU332" s="1435"/>
      <c r="AV332" s="1436"/>
      <c r="AW332" s="837" t="s">
        <v>879</v>
      </c>
      <c r="AX332" s="507">
        <f t="shared" si="50"/>
        <v>0</v>
      </c>
      <c r="AY332" s="824"/>
      <c r="BA332" s="501"/>
      <c r="BB332" s="828"/>
    </row>
    <row r="333" spans="1:61" ht="16.5" customHeight="1" x14ac:dyDescent="0.25">
      <c r="A333" s="1450"/>
      <c r="B333" s="1450"/>
      <c r="C333" s="1450"/>
      <c r="D333" s="1450"/>
      <c r="E333" s="1450"/>
      <c r="F333" s="1450"/>
      <c r="G333" s="1450"/>
      <c r="H333" s="1450"/>
      <c r="I333" s="1450"/>
      <c r="J333" s="1450"/>
      <c r="K333" s="1450"/>
      <c r="L333" s="1450"/>
      <c r="M333" s="1450"/>
      <c r="N333" s="1450"/>
      <c r="O333" s="1450"/>
      <c r="P333" s="1450"/>
      <c r="Q333" s="1450"/>
      <c r="R333" s="1450"/>
      <c r="S333" s="1450"/>
      <c r="T333" s="1450"/>
      <c r="U333" s="1450"/>
      <c r="V333" s="1450"/>
      <c r="W333" s="1450"/>
      <c r="X333" s="1450"/>
      <c r="Y333" s="1450"/>
      <c r="Z333" s="1450"/>
      <c r="AA333" s="513"/>
      <c r="AI333" s="838"/>
      <c r="AJ333" s="498"/>
      <c r="AK333" s="498"/>
      <c r="AL333" s="498"/>
      <c r="AM333" s="498"/>
      <c r="AN333" s="498"/>
      <c r="AO333" s="498"/>
      <c r="AP333" s="498"/>
      <c r="AQ333" s="498"/>
      <c r="AR333" s="1434" t="s">
        <v>880</v>
      </c>
      <c r="AS333" s="1435"/>
      <c r="AT333" s="1435"/>
      <c r="AU333" s="1435"/>
      <c r="AV333" s="1436"/>
      <c r="AW333" s="63" t="s">
        <v>881</v>
      </c>
      <c r="AX333" s="507">
        <f t="shared" si="50"/>
        <v>0</v>
      </c>
      <c r="AY333" s="824"/>
      <c r="BA333" s="501"/>
      <c r="BB333" s="10"/>
      <c r="BC333" s="800"/>
      <c r="BD333" s="800"/>
      <c r="BE333" s="800"/>
      <c r="BF333" s="800"/>
      <c r="BG333" s="800"/>
      <c r="BH333" s="800"/>
      <c r="BI333" s="800"/>
    </row>
    <row r="334" spans="1:61" ht="18.75" thickBot="1" x14ac:dyDescent="0.3">
      <c r="AA334" s="513"/>
      <c r="AI334" s="838"/>
      <c r="AJ334" s="498"/>
      <c r="AK334" s="498"/>
      <c r="AL334" s="498"/>
      <c r="AM334" s="498"/>
      <c r="AN334" s="498"/>
      <c r="AO334" s="498"/>
      <c r="AQ334" s="498"/>
      <c r="AR334" s="1434" t="s">
        <v>882</v>
      </c>
      <c r="AS334" s="1435"/>
      <c r="AT334" s="1435"/>
      <c r="AU334" s="1435"/>
      <c r="AV334" s="1436"/>
      <c r="AW334" s="839" t="s">
        <v>883</v>
      </c>
      <c r="AX334" s="507">
        <f t="shared" si="50"/>
        <v>0</v>
      </c>
      <c r="AY334" s="824"/>
      <c r="BA334" s="501"/>
      <c r="BB334" s="828"/>
      <c r="BC334" s="804"/>
      <c r="BD334" s="804"/>
      <c r="BE334" s="804"/>
      <c r="BF334" s="804"/>
      <c r="BG334" s="804"/>
      <c r="BH334" s="804"/>
      <c r="BI334" s="804"/>
    </row>
    <row r="335" spans="1:61" ht="18" customHeight="1" thickBot="1" x14ac:dyDescent="0.3">
      <c r="A335" s="1451" t="s">
        <v>884</v>
      </c>
      <c r="B335" s="1452"/>
      <c r="C335" s="1452"/>
      <c r="D335" s="1452"/>
      <c r="E335" s="1452"/>
      <c r="F335" s="1452"/>
      <c r="G335" s="1453"/>
      <c r="H335" s="840">
        <f>F337+S337</f>
        <v>1</v>
      </c>
      <c r="AA335" s="513"/>
      <c r="AI335" s="1398" t="s">
        <v>327</v>
      </c>
      <c r="AJ335" s="1374"/>
      <c r="AK335" s="1374"/>
      <c r="AL335" s="1374"/>
      <c r="AM335" s="1374"/>
      <c r="AN335" s="1375"/>
      <c r="AO335" s="499" t="s">
        <v>274</v>
      </c>
      <c r="AP335" s="500"/>
      <c r="AQ335" s="498"/>
      <c r="AR335" s="1434" t="s">
        <v>885</v>
      </c>
      <c r="AS335" s="1435"/>
      <c r="AT335" s="1435"/>
      <c r="AU335" s="1435"/>
      <c r="AV335" s="1436"/>
      <c r="AW335" s="841" t="s">
        <v>886</v>
      </c>
      <c r="AX335" s="507">
        <f t="shared" si="50"/>
        <v>0</v>
      </c>
      <c r="AY335" s="842"/>
      <c r="BA335" s="501"/>
      <c r="BB335" s="828"/>
      <c r="BC335" s="800"/>
      <c r="BD335" s="800"/>
      <c r="BE335" s="800"/>
      <c r="BF335" s="800"/>
      <c r="BG335" s="800"/>
      <c r="BH335" s="800"/>
      <c r="BI335" s="800"/>
    </row>
    <row r="336" spans="1:61" ht="18" customHeight="1" thickBot="1" x14ac:dyDescent="0.3">
      <c r="AA336" s="513"/>
      <c r="AI336" s="1389" t="s">
        <v>887</v>
      </c>
      <c r="AJ336" s="1390"/>
      <c r="AK336" s="1390"/>
      <c r="AL336" s="1390"/>
      <c r="AM336" s="1391"/>
      <c r="AN336" s="843" t="s">
        <v>888</v>
      </c>
      <c r="AO336" s="507">
        <f>COUNTIF($P$1:$Q$1,AN336)</f>
        <v>0</v>
      </c>
      <c r="AP336" s="844"/>
      <c r="AQ336" s="498"/>
      <c r="AR336" s="1442" t="s">
        <v>889</v>
      </c>
      <c r="AS336" s="1443"/>
      <c r="AT336" s="1443"/>
      <c r="AU336" s="1443"/>
      <c r="AV336" s="1444"/>
      <c r="AW336" s="845" t="s">
        <v>890</v>
      </c>
      <c r="AX336" s="507">
        <f t="shared" si="50"/>
        <v>0</v>
      </c>
      <c r="AY336" s="842"/>
      <c r="BA336" s="501"/>
      <c r="BC336" s="809"/>
      <c r="BD336" s="809"/>
      <c r="BE336" s="809"/>
      <c r="BF336" s="809"/>
      <c r="BG336" s="809"/>
      <c r="BH336" s="809"/>
      <c r="BI336" s="809"/>
    </row>
    <row r="337" spans="1:61" ht="18" customHeight="1" thickBot="1" x14ac:dyDescent="0.4">
      <c r="A337" s="1445" t="s">
        <v>891</v>
      </c>
      <c r="B337" s="1446"/>
      <c r="C337" s="1446"/>
      <c r="D337" s="1446"/>
      <c r="E337" s="1447"/>
      <c r="F337" s="1448">
        <f>SUM(G346,G361,G369,G373,G377)</f>
        <v>1</v>
      </c>
      <c r="G337" s="1449"/>
      <c r="N337" s="1445" t="s">
        <v>859</v>
      </c>
      <c r="O337" s="1446"/>
      <c r="P337" s="1446"/>
      <c r="Q337" s="1446"/>
      <c r="R337" s="1447"/>
      <c r="S337" s="1448">
        <f>SUM(T346,T361,T369,T373,T377)</f>
        <v>0</v>
      </c>
      <c r="T337" s="1449"/>
      <c r="AA337" s="513"/>
      <c r="AI337" s="1362" t="s">
        <v>892</v>
      </c>
      <c r="AJ337" s="1363"/>
      <c r="AK337" s="1363"/>
      <c r="AL337" s="1363"/>
      <c r="AM337" s="1365"/>
      <c r="AN337" s="846" t="s">
        <v>893</v>
      </c>
      <c r="AO337" s="507">
        <f>COUNTIF($P$1:$Q$1,AN337)</f>
        <v>0</v>
      </c>
      <c r="AP337" s="844"/>
      <c r="AQ337" s="498"/>
      <c r="AR337" s="1434" t="s">
        <v>894</v>
      </c>
      <c r="AS337" s="1435"/>
      <c r="AT337" s="1435"/>
      <c r="AU337" s="1435"/>
      <c r="AV337" s="1436"/>
      <c r="AW337" s="775" t="s">
        <v>895</v>
      </c>
      <c r="AX337" s="507">
        <f t="shared" si="50"/>
        <v>0</v>
      </c>
      <c r="AY337" s="842"/>
      <c r="BA337" s="501"/>
      <c r="BB337" s="828"/>
    </row>
    <row r="338" spans="1:61" ht="17.25" customHeight="1" thickBot="1" x14ac:dyDescent="0.4">
      <c r="A338" s="847"/>
      <c r="B338" s="848"/>
      <c r="C338" s="848"/>
      <c r="D338" s="848"/>
      <c r="E338" s="849"/>
      <c r="F338" s="849"/>
      <c r="G338" s="849"/>
      <c r="Q338" s="849"/>
      <c r="AA338" s="513" t="b">
        <f>IFERROR(#REF!&gt;0.5,FALSE)</f>
        <v>0</v>
      </c>
      <c r="AI338" s="1356" t="s">
        <v>896</v>
      </c>
      <c r="AJ338" s="1357"/>
      <c r="AK338" s="1357"/>
      <c r="AL338" s="1357"/>
      <c r="AM338" s="1358"/>
      <c r="AN338" s="677"/>
      <c r="AO338" s="678">
        <f>SUM(AO336:AO337)</f>
        <v>0</v>
      </c>
      <c r="AP338" s="498"/>
      <c r="AR338" s="1434" t="s">
        <v>897</v>
      </c>
      <c r="AS338" s="1435"/>
      <c r="AT338" s="1435"/>
      <c r="AU338" s="1435"/>
      <c r="AV338" s="1436"/>
      <c r="AW338" s="850" t="s">
        <v>898</v>
      </c>
      <c r="AX338" s="507">
        <f t="shared" si="50"/>
        <v>0</v>
      </c>
      <c r="AY338" s="842"/>
      <c r="BA338" s="501"/>
      <c r="BB338" s="10"/>
      <c r="BC338" s="800"/>
      <c r="BD338" s="800"/>
      <c r="BE338" s="800"/>
      <c r="BF338" s="800"/>
      <c r="BG338" s="800"/>
      <c r="BH338" s="800"/>
      <c r="BI338" s="800"/>
    </row>
    <row r="339" spans="1:61" ht="27.75" customHeight="1" thickBot="1" x14ac:dyDescent="0.3">
      <c r="A339" s="1399" t="s">
        <v>899</v>
      </c>
      <c r="B339" s="1400"/>
      <c r="C339" s="1400"/>
      <c r="D339" s="1400"/>
      <c r="E339" s="1401"/>
      <c r="G339" s="1441"/>
      <c r="H339" s="1441"/>
      <c r="I339" s="1441"/>
      <c r="N339" s="1399" t="s">
        <v>899</v>
      </c>
      <c r="O339" s="1400"/>
      <c r="P339" s="1400"/>
      <c r="Q339" s="1400"/>
      <c r="R339" s="1401"/>
      <c r="T339" s="1441"/>
      <c r="U339" s="1441"/>
      <c r="V339" s="1441"/>
      <c r="AA339" s="513" t="b">
        <f>IFERROR(#REF!&gt;0.5,FALSE)</f>
        <v>0</v>
      </c>
      <c r="AI339" s="838"/>
      <c r="AJ339" s="498"/>
      <c r="AK339" s="498"/>
      <c r="AL339" s="498"/>
      <c r="AM339" s="498"/>
      <c r="AN339" s="498"/>
      <c r="AO339" s="498"/>
      <c r="AP339" s="498"/>
      <c r="AR339" s="1434" t="s">
        <v>900</v>
      </c>
      <c r="AS339" s="1435"/>
      <c r="AT339" s="1435"/>
      <c r="AU339" s="1435"/>
      <c r="AV339" s="1436"/>
      <c r="AW339" s="851" t="s">
        <v>901</v>
      </c>
      <c r="AX339" s="507">
        <f t="shared" si="50"/>
        <v>0</v>
      </c>
      <c r="AY339" s="842"/>
      <c r="BA339" s="501"/>
      <c r="BB339" s="828"/>
      <c r="BC339" s="804"/>
      <c r="BD339" s="804"/>
      <c r="BE339" s="804"/>
      <c r="BF339" s="804"/>
      <c r="BG339" s="804"/>
      <c r="BH339" s="804"/>
      <c r="BI339" s="804"/>
    </row>
    <row r="340" spans="1:61" ht="18.75" customHeight="1" x14ac:dyDescent="0.25">
      <c r="A340" s="1403" t="s">
        <v>902</v>
      </c>
      <c r="B340" s="1404"/>
      <c r="C340" s="1404"/>
      <c r="D340" s="1404"/>
      <c r="E340" s="1405"/>
      <c r="F340" s="296" t="s">
        <v>903</v>
      </c>
      <c r="G340" s="1395">
        <f t="shared" ref="G340:G345" si="52">COUNTIF($P$79:$BM$151,F340)</f>
        <v>0</v>
      </c>
      <c r="H340" s="1396"/>
      <c r="I340" s="1397"/>
      <c r="N340" s="1403" t="s">
        <v>902</v>
      </c>
      <c r="O340" s="1404"/>
      <c r="P340" s="1404"/>
      <c r="Q340" s="1404"/>
      <c r="R340" s="1405"/>
      <c r="S340" s="296" t="s">
        <v>903</v>
      </c>
      <c r="T340" s="1395">
        <f t="shared" ref="T340:T345" si="53">COUNTIF($O$6:$BE$74,S340)</f>
        <v>0</v>
      </c>
      <c r="U340" s="1396"/>
      <c r="V340" s="1397"/>
      <c r="AA340" s="513"/>
      <c r="AI340" s="838"/>
      <c r="AJ340" s="498"/>
      <c r="AK340" s="498"/>
      <c r="AL340" s="498"/>
      <c r="AM340" s="498"/>
      <c r="AN340" s="498"/>
      <c r="AO340" s="498"/>
      <c r="AP340" s="498"/>
      <c r="AR340" s="1434" t="s">
        <v>904</v>
      </c>
      <c r="AS340" s="1435"/>
      <c r="AT340" s="1435"/>
      <c r="AU340" s="1435"/>
      <c r="AV340" s="1436"/>
      <c r="AW340" s="323" t="s">
        <v>905</v>
      </c>
      <c r="AX340" s="507">
        <f t="shared" si="50"/>
        <v>0</v>
      </c>
      <c r="AY340" s="842"/>
      <c r="BA340" s="501"/>
      <c r="BC340" s="800"/>
      <c r="BD340" s="800"/>
      <c r="BE340" s="800"/>
      <c r="BF340" s="800"/>
      <c r="BG340" s="800"/>
      <c r="BH340" s="800"/>
      <c r="BI340" s="800"/>
    </row>
    <row r="341" spans="1:61" ht="24" customHeight="1" x14ac:dyDescent="0.25">
      <c r="A341" s="1392" t="s">
        <v>906</v>
      </c>
      <c r="B341" s="1393"/>
      <c r="C341" s="1393"/>
      <c r="D341" s="1393"/>
      <c r="E341" s="1394"/>
      <c r="F341" s="296" t="s">
        <v>907</v>
      </c>
      <c r="G341" s="1395">
        <f t="shared" si="52"/>
        <v>0</v>
      </c>
      <c r="H341" s="1396"/>
      <c r="I341" s="1397"/>
      <c r="N341" s="1392" t="s">
        <v>906</v>
      </c>
      <c r="O341" s="1393"/>
      <c r="P341" s="1393"/>
      <c r="Q341" s="1393"/>
      <c r="R341" s="1394"/>
      <c r="S341" s="296" t="s">
        <v>907</v>
      </c>
      <c r="T341" s="1395">
        <f t="shared" si="53"/>
        <v>0</v>
      </c>
      <c r="U341" s="1396"/>
      <c r="V341" s="1397"/>
      <c r="AA341" s="513"/>
      <c r="AI341" s="1359" t="s">
        <v>908</v>
      </c>
      <c r="AJ341" s="1360"/>
      <c r="AK341" s="1360"/>
      <c r="AL341" s="1360"/>
      <c r="AM341" s="1360"/>
      <c r="AN341" s="1361"/>
      <c r="AO341" s="499" t="s">
        <v>274</v>
      </c>
      <c r="AP341" s="500"/>
      <c r="AR341" s="1434" t="s">
        <v>909</v>
      </c>
      <c r="AS341" s="1435"/>
      <c r="AT341" s="1435"/>
      <c r="AU341" s="1435"/>
      <c r="AV341" s="1436"/>
      <c r="AW341" s="109" t="s">
        <v>910</v>
      </c>
      <c r="AX341" s="507">
        <f t="shared" si="50"/>
        <v>0</v>
      </c>
      <c r="AY341" s="842"/>
      <c r="BA341" s="501"/>
      <c r="BB341" s="828"/>
      <c r="BC341" s="809"/>
      <c r="BD341" s="809"/>
      <c r="BE341" s="809"/>
      <c r="BF341" s="809"/>
      <c r="BG341" s="809"/>
      <c r="BH341" s="809"/>
      <c r="BI341" s="809"/>
    </row>
    <row r="342" spans="1:61" ht="18.75" x14ac:dyDescent="0.25">
      <c r="A342" s="1392" t="s">
        <v>911</v>
      </c>
      <c r="B342" s="1393"/>
      <c r="C342" s="1393"/>
      <c r="D342" s="1393"/>
      <c r="E342" s="1394"/>
      <c r="F342" s="296" t="s">
        <v>912</v>
      </c>
      <c r="G342" s="1395">
        <f t="shared" si="52"/>
        <v>0</v>
      </c>
      <c r="H342" s="1396"/>
      <c r="I342" s="1397"/>
      <c r="N342" s="1392" t="s">
        <v>911</v>
      </c>
      <c r="O342" s="1393"/>
      <c r="P342" s="1393"/>
      <c r="Q342" s="1393"/>
      <c r="R342" s="1394"/>
      <c r="S342" s="296" t="s">
        <v>912</v>
      </c>
      <c r="T342" s="1395">
        <f t="shared" si="53"/>
        <v>0</v>
      </c>
      <c r="U342" s="1396"/>
      <c r="V342" s="1397"/>
      <c r="AA342" s="513"/>
      <c r="AI342" s="1362" t="s">
        <v>913</v>
      </c>
      <c r="AJ342" s="1363"/>
      <c r="AK342" s="1363"/>
      <c r="AL342" s="1363"/>
      <c r="AM342" s="1364"/>
      <c r="AN342" s="63" t="s">
        <v>914</v>
      </c>
      <c r="AO342" s="507">
        <f t="shared" ref="AO342:AO348" si="54">COUNTIF($P$1:$Q$1,AN342)</f>
        <v>0</v>
      </c>
      <c r="AP342" s="852"/>
      <c r="AR342" s="1434" t="s">
        <v>915</v>
      </c>
      <c r="AS342" s="1435"/>
      <c r="AT342" s="1435"/>
      <c r="AU342" s="1435"/>
      <c r="AV342" s="1436"/>
      <c r="AW342" s="853" t="s">
        <v>916</v>
      </c>
      <c r="AX342" s="507">
        <f t="shared" si="50"/>
        <v>0</v>
      </c>
      <c r="AY342" s="842"/>
      <c r="BA342" s="501"/>
      <c r="BB342" s="10"/>
    </row>
    <row r="343" spans="1:61" ht="18.75" customHeight="1" x14ac:dyDescent="0.25">
      <c r="A343" s="1392" t="s">
        <v>917</v>
      </c>
      <c r="B343" s="1393"/>
      <c r="C343" s="1393"/>
      <c r="D343" s="1393"/>
      <c r="E343" s="1394"/>
      <c r="F343" s="296" t="s">
        <v>918</v>
      </c>
      <c r="G343" s="1395">
        <f t="shared" si="52"/>
        <v>0</v>
      </c>
      <c r="H343" s="1396"/>
      <c r="I343" s="1397"/>
      <c r="N343" s="1392" t="s">
        <v>917</v>
      </c>
      <c r="O343" s="1393"/>
      <c r="P343" s="1393"/>
      <c r="Q343" s="1393"/>
      <c r="R343" s="1394"/>
      <c r="S343" s="296" t="s">
        <v>918</v>
      </c>
      <c r="T343" s="1395">
        <f t="shared" si="53"/>
        <v>0</v>
      </c>
      <c r="U343" s="1396"/>
      <c r="V343" s="1397"/>
      <c r="AA343" s="513" t="b">
        <f>IFERROR(#REF!&gt;0.5,FALSE)</f>
        <v>0</v>
      </c>
      <c r="AH343" s="501"/>
      <c r="AI343" s="1362" t="s">
        <v>919</v>
      </c>
      <c r="AJ343" s="1363"/>
      <c r="AK343" s="1363"/>
      <c r="AL343" s="1363"/>
      <c r="AM343" s="1365"/>
      <c r="AN343" s="843" t="s">
        <v>920</v>
      </c>
      <c r="AO343" s="507">
        <f t="shared" si="54"/>
        <v>0</v>
      </c>
      <c r="AP343" s="854"/>
      <c r="AR343" s="1434" t="s">
        <v>921</v>
      </c>
      <c r="AS343" s="1435"/>
      <c r="AT343" s="1435"/>
      <c r="AU343" s="1435"/>
      <c r="AV343" s="1436"/>
      <c r="AW343" s="855" t="s">
        <v>922</v>
      </c>
      <c r="AX343" s="507">
        <f t="shared" si="50"/>
        <v>0</v>
      </c>
      <c r="AY343" s="842"/>
      <c r="AZ343" s="498"/>
      <c r="BA343" s="501"/>
      <c r="BB343" s="828"/>
    </row>
    <row r="344" spans="1:61" ht="18.75" customHeight="1" x14ac:dyDescent="0.25">
      <c r="A344" s="1392" t="s">
        <v>923</v>
      </c>
      <c r="B344" s="1393"/>
      <c r="C344" s="1393"/>
      <c r="D344" s="1393"/>
      <c r="E344" s="1394"/>
      <c r="F344" s="296" t="s">
        <v>924</v>
      </c>
      <c r="G344" s="1395">
        <f t="shared" si="52"/>
        <v>0</v>
      </c>
      <c r="H344" s="1396"/>
      <c r="I344" s="1397"/>
      <c r="N344" s="1392" t="s">
        <v>923</v>
      </c>
      <c r="O344" s="1393"/>
      <c r="P344" s="1393"/>
      <c r="Q344" s="1393"/>
      <c r="R344" s="1394"/>
      <c r="S344" s="296" t="s">
        <v>924</v>
      </c>
      <c r="T344" s="1395">
        <f t="shared" si="53"/>
        <v>0</v>
      </c>
      <c r="U344" s="1396"/>
      <c r="V344" s="1397"/>
      <c r="AA344" s="513"/>
      <c r="AH344" s="856"/>
      <c r="AI344" s="1362" t="s">
        <v>925</v>
      </c>
      <c r="AJ344" s="1363"/>
      <c r="AK344" s="1363"/>
      <c r="AL344" s="1363"/>
      <c r="AM344" s="1365"/>
      <c r="AN344" s="857" t="s">
        <v>926</v>
      </c>
      <c r="AO344" s="507">
        <f t="shared" si="54"/>
        <v>0</v>
      </c>
      <c r="AP344" s="854"/>
      <c r="AR344" s="1434" t="s">
        <v>927</v>
      </c>
      <c r="AS344" s="1435"/>
      <c r="AT344" s="1435"/>
      <c r="AU344" s="1435"/>
      <c r="AV344" s="1436"/>
      <c r="AW344" s="858" t="s">
        <v>928</v>
      </c>
      <c r="AX344" s="507">
        <f t="shared" si="50"/>
        <v>0</v>
      </c>
      <c r="AY344" s="842"/>
      <c r="BA344" s="501"/>
      <c r="BB344" s="828"/>
    </row>
    <row r="345" spans="1:61" ht="18.75" customHeight="1" x14ac:dyDescent="0.25">
      <c r="A345" s="1392" t="s">
        <v>929</v>
      </c>
      <c r="B345" s="1393"/>
      <c r="C345" s="1393"/>
      <c r="D345" s="1393"/>
      <c r="E345" s="1394"/>
      <c r="F345" s="296" t="s">
        <v>930</v>
      </c>
      <c r="G345" s="1395">
        <f t="shared" si="52"/>
        <v>0</v>
      </c>
      <c r="H345" s="1396"/>
      <c r="I345" s="1397"/>
      <c r="N345" s="1392" t="s">
        <v>929</v>
      </c>
      <c r="O345" s="1393"/>
      <c r="P345" s="1393"/>
      <c r="Q345" s="1393"/>
      <c r="R345" s="1394"/>
      <c r="S345" s="296" t="s">
        <v>930</v>
      </c>
      <c r="T345" s="1395">
        <f t="shared" si="53"/>
        <v>0</v>
      </c>
      <c r="U345" s="1396"/>
      <c r="V345" s="1397"/>
      <c r="AA345" s="513"/>
      <c r="AH345" s="856"/>
      <c r="AI345" s="1362" t="s">
        <v>931</v>
      </c>
      <c r="AJ345" s="1363"/>
      <c r="AK345" s="1363"/>
      <c r="AL345" s="1363"/>
      <c r="AM345" s="1365"/>
      <c r="AN345" s="859" t="s">
        <v>932</v>
      </c>
      <c r="AO345" s="507">
        <f t="shared" si="54"/>
        <v>0</v>
      </c>
      <c r="AP345" s="854"/>
      <c r="AR345" s="1434" t="s">
        <v>933</v>
      </c>
      <c r="AS345" s="1435"/>
      <c r="AT345" s="1435"/>
      <c r="AU345" s="1435"/>
      <c r="AV345" s="1436"/>
      <c r="AW345" s="860" t="s">
        <v>934</v>
      </c>
      <c r="AX345" s="507">
        <f t="shared" si="50"/>
        <v>0</v>
      </c>
      <c r="AY345" s="842"/>
      <c r="BA345" s="501"/>
    </row>
    <row r="346" spans="1:61" ht="18.75" customHeight="1" thickBot="1" x14ac:dyDescent="0.3">
      <c r="A346" s="1383" t="s">
        <v>274</v>
      </c>
      <c r="B346" s="1384"/>
      <c r="C346" s="1384"/>
      <c r="D346" s="1384"/>
      <c r="E346" s="1385"/>
      <c r="F346" s="861"/>
      <c r="G346" s="1386">
        <f>SUM(G340:I345)</f>
        <v>0</v>
      </c>
      <c r="H346" s="1387"/>
      <c r="I346" s="1388"/>
      <c r="N346" s="1383" t="s">
        <v>274</v>
      </c>
      <c r="O346" s="1384"/>
      <c r="P346" s="1384"/>
      <c r="Q346" s="1384"/>
      <c r="R346" s="1385"/>
      <c r="S346" s="861"/>
      <c r="T346" s="1386">
        <f>SUM(T340:V345)</f>
        <v>0</v>
      </c>
      <c r="U346" s="1387"/>
      <c r="V346" s="1388"/>
      <c r="AA346" s="513"/>
      <c r="AI346" s="1362" t="s">
        <v>935</v>
      </c>
      <c r="AJ346" s="1363"/>
      <c r="AK346" s="1363"/>
      <c r="AL346" s="1363"/>
      <c r="AM346" s="1365"/>
      <c r="AN346" s="862" t="s">
        <v>936</v>
      </c>
      <c r="AO346" s="507">
        <f t="shared" si="54"/>
        <v>0</v>
      </c>
      <c r="AP346" s="854"/>
      <c r="AR346" s="1434" t="s">
        <v>937</v>
      </c>
      <c r="AS346" s="1435"/>
      <c r="AT346" s="1435"/>
      <c r="AU346" s="1435"/>
      <c r="AV346" s="1436"/>
      <c r="AW346" s="863" t="s">
        <v>938</v>
      </c>
      <c r="AX346" s="507">
        <f t="shared" si="50"/>
        <v>0</v>
      </c>
      <c r="AY346" s="842"/>
      <c r="BA346" s="501"/>
      <c r="BB346" s="828"/>
    </row>
    <row r="347" spans="1:61" ht="18.75" customHeight="1" thickBot="1" x14ac:dyDescent="0.3">
      <c r="A347" s="1399" t="s">
        <v>939</v>
      </c>
      <c r="B347" s="1400"/>
      <c r="C347" s="1400"/>
      <c r="D347" s="1400"/>
      <c r="E347" s="1401"/>
      <c r="F347" s="147"/>
      <c r="G347" s="147"/>
      <c r="H347" s="147"/>
      <c r="I347" s="147"/>
      <c r="N347" s="1399" t="s">
        <v>939</v>
      </c>
      <c r="O347" s="1400"/>
      <c r="P347" s="1400"/>
      <c r="Q347" s="1400"/>
      <c r="R347" s="1401"/>
      <c r="S347" s="147"/>
      <c r="T347" s="147"/>
      <c r="U347" s="147"/>
      <c r="V347" s="147"/>
      <c r="AA347" s="513"/>
      <c r="AI347" s="1362" t="s">
        <v>940</v>
      </c>
      <c r="AJ347" s="1363"/>
      <c r="AK347" s="1363"/>
      <c r="AL347" s="1363"/>
      <c r="AM347" s="1364"/>
      <c r="AN347" s="864" t="s">
        <v>941</v>
      </c>
      <c r="AO347" s="507">
        <f t="shared" si="54"/>
        <v>0</v>
      </c>
      <c r="AP347" s="854"/>
      <c r="AR347" s="1434" t="s">
        <v>942</v>
      </c>
      <c r="AS347" s="1435"/>
      <c r="AT347" s="1435"/>
      <c r="AU347" s="1435"/>
      <c r="AV347" s="1436"/>
      <c r="AW347" s="865" t="s">
        <v>943</v>
      </c>
      <c r="AX347" s="507">
        <f t="shared" si="50"/>
        <v>0</v>
      </c>
      <c r="AY347" s="842"/>
      <c r="BA347" s="501"/>
      <c r="BB347" s="866"/>
    </row>
    <row r="348" spans="1:61" ht="18.75" customHeight="1" x14ac:dyDescent="0.25">
      <c r="A348" s="1403" t="s">
        <v>902</v>
      </c>
      <c r="B348" s="1404"/>
      <c r="C348" s="1404"/>
      <c r="D348" s="1404"/>
      <c r="E348" s="1405"/>
      <c r="F348" s="296" t="s">
        <v>944</v>
      </c>
      <c r="G348" s="1395">
        <f t="shared" ref="G348:G360" si="55">COUNTIF($P$79:$BM$151,F348)</f>
        <v>0</v>
      </c>
      <c r="H348" s="1396"/>
      <c r="I348" s="1397"/>
      <c r="N348" s="1403" t="s">
        <v>902</v>
      </c>
      <c r="O348" s="1404"/>
      <c r="P348" s="1404"/>
      <c r="Q348" s="1404"/>
      <c r="R348" s="1405"/>
      <c r="S348" s="296" t="s">
        <v>944</v>
      </c>
      <c r="T348" s="1395">
        <f t="shared" ref="T348:T360" si="56">COUNTIF($O$6:$BE$74,S348)</f>
        <v>0</v>
      </c>
      <c r="U348" s="1396"/>
      <c r="V348" s="1397"/>
      <c r="AA348" s="513"/>
      <c r="AI348" s="1362" t="s">
        <v>945</v>
      </c>
      <c r="AJ348" s="1363"/>
      <c r="AK348" s="1363"/>
      <c r="AL348" s="1363"/>
      <c r="AM348" s="1364"/>
      <c r="AN348" s="62" t="s">
        <v>946</v>
      </c>
      <c r="AO348" s="507">
        <f t="shared" si="54"/>
        <v>0</v>
      </c>
      <c r="AP348" s="854"/>
      <c r="AQ348" s="498"/>
      <c r="AR348" s="1434" t="s">
        <v>947</v>
      </c>
      <c r="AS348" s="1435"/>
      <c r="AT348" s="1435"/>
      <c r="AU348" s="1435"/>
      <c r="AV348" s="1436"/>
      <c r="AW348" s="865" t="s">
        <v>948</v>
      </c>
      <c r="AX348" s="507">
        <f t="shared" si="50"/>
        <v>0</v>
      </c>
      <c r="AY348" s="842"/>
      <c r="BA348" s="501"/>
      <c r="BB348" s="828"/>
    </row>
    <row r="349" spans="1:61" ht="18.75" customHeight="1" x14ac:dyDescent="0.25">
      <c r="A349" s="1392" t="s">
        <v>906</v>
      </c>
      <c r="B349" s="1393"/>
      <c r="C349" s="1393"/>
      <c r="D349" s="1393"/>
      <c r="E349" s="1394"/>
      <c r="F349" s="296" t="s">
        <v>949</v>
      </c>
      <c r="G349" s="1395">
        <f t="shared" si="55"/>
        <v>0</v>
      </c>
      <c r="H349" s="1396"/>
      <c r="I349" s="1397"/>
      <c r="N349" s="1392" t="s">
        <v>906</v>
      </c>
      <c r="O349" s="1393"/>
      <c r="P349" s="1393"/>
      <c r="Q349" s="1393"/>
      <c r="R349" s="1394"/>
      <c r="S349" s="296" t="s">
        <v>949</v>
      </c>
      <c r="T349" s="1395">
        <f t="shared" si="56"/>
        <v>0</v>
      </c>
      <c r="U349" s="1396"/>
      <c r="V349" s="1397"/>
      <c r="AA349" s="513"/>
      <c r="AI349" s="1356" t="s">
        <v>950</v>
      </c>
      <c r="AJ349" s="1357"/>
      <c r="AK349" s="1357"/>
      <c r="AL349" s="1357"/>
      <c r="AM349" s="1358"/>
      <c r="AN349" s="677"/>
      <c r="AO349" s="678">
        <f>SUM(AO342:AO348)</f>
        <v>0</v>
      </c>
      <c r="AP349" s="498"/>
      <c r="AQ349" s="867"/>
      <c r="AR349" s="1440" t="s">
        <v>951</v>
      </c>
      <c r="AS349" s="1435"/>
      <c r="AT349" s="1435"/>
      <c r="AU349" s="1435"/>
      <c r="AV349" s="1436"/>
      <c r="AW349" s="865" t="s">
        <v>952</v>
      </c>
      <c r="AX349" s="507">
        <f t="shared" si="50"/>
        <v>0</v>
      </c>
      <c r="AY349" s="842"/>
      <c r="BA349" s="501"/>
      <c r="BB349" s="828"/>
    </row>
    <row r="350" spans="1:61" ht="19.5" customHeight="1" x14ac:dyDescent="0.25">
      <c r="A350" s="1392" t="s">
        <v>911</v>
      </c>
      <c r="B350" s="1393"/>
      <c r="C350" s="1393"/>
      <c r="D350" s="1393"/>
      <c r="E350" s="1394"/>
      <c r="F350" s="296" t="s">
        <v>953</v>
      </c>
      <c r="G350" s="1395">
        <f t="shared" si="55"/>
        <v>0</v>
      </c>
      <c r="H350" s="1396"/>
      <c r="I350" s="1397"/>
      <c r="N350" s="1392" t="s">
        <v>911</v>
      </c>
      <c r="O350" s="1393"/>
      <c r="P350" s="1393"/>
      <c r="Q350" s="1393"/>
      <c r="R350" s="1394"/>
      <c r="S350" s="296" t="s">
        <v>953</v>
      </c>
      <c r="T350" s="1395">
        <f t="shared" si="56"/>
        <v>0</v>
      </c>
      <c r="U350" s="1396"/>
      <c r="V350" s="1397"/>
      <c r="AA350" s="513"/>
      <c r="AI350" s="838"/>
      <c r="AJ350" s="498"/>
      <c r="AK350" s="498"/>
      <c r="AL350" s="498"/>
      <c r="AM350" s="498"/>
      <c r="AN350" s="498"/>
      <c r="AO350" s="498"/>
      <c r="AP350" s="498"/>
      <c r="AR350" s="1434" t="s">
        <v>954</v>
      </c>
      <c r="AS350" s="1435"/>
      <c r="AT350" s="1435"/>
      <c r="AU350" s="1435"/>
      <c r="AV350" s="1436"/>
      <c r="AW350" s="868" t="s">
        <v>955</v>
      </c>
      <c r="AX350" s="507">
        <f t="shared" si="50"/>
        <v>0</v>
      </c>
      <c r="AY350" s="842"/>
      <c r="BA350" s="501"/>
    </row>
    <row r="351" spans="1:61" ht="18.75" customHeight="1" x14ac:dyDescent="0.25">
      <c r="A351" s="1392" t="s">
        <v>956</v>
      </c>
      <c r="B351" s="1393"/>
      <c r="C351" s="1393"/>
      <c r="D351" s="1393"/>
      <c r="E351" s="1394"/>
      <c r="F351" s="296" t="s">
        <v>957</v>
      </c>
      <c r="G351" s="1395">
        <f t="shared" si="55"/>
        <v>0</v>
      </c>
      <c r="H351" s="1396"/>
      <c r="I351" s="1397"/>
      <c r="N351" s="1392" t="s">
        <v>956</v>
      </c>
      <c r="O351" s="1393"/>
      <c r="P351" s="1393"/>
      <c r="Q351" s="1393"/>
      <c r="R351" s="1394"/>
      <c r="S351" s="296" t="s">
        <v>957</v>
      </c>
      <c r="T351" s="1395">
        <f t="shared" si="56"/>
        <v>0</v>
      </c>
      <c r="U351" s="1396"/>
      <c r="V351" s="1397"/>
      <c r="AA351" s="513"/>
      <c r="AI351" s="869"/>
      <c r="AR351" s="1434" t="s">
        <v>958</v>
      </c>
      <c r="AS351" s="1435"/>
      <c r="AT351" s="1435"/>
      <c r="AU351" s="1435"/>
      <c r="AV351" s="1436"/>
      <c r="AW351" s="870" t="s">
        <v>959</v>
      </c>
      <c r="AX351" s="507">
        <f t="shared" si="50"/>
        <v>0</v>
      </c>
      <c r="AY351" s="842"/>
      <c r="BA351" s="501"/>
      <c r="BB351" s="828"/>
    </row>
    <row r="352" spans="1:61" ht="18.75" customHeight="1" x14ac:dyDescent="0.25">
      <c r="A352" s="1392" t="s">
        <v>917</v>
      </c>
      <c r="B352" s="1393"/>
      <c r="C352" s="1393"/>
      <c r="D352" s="1393"/>
      <c r="E352" s="1394"/>
      <c r="F352" s="296" t="s">
        <v>960</v>
      </c>
      <c r="G352" s="1395">
        <f t="shared" si="55"/>
        <v>0</v>
      </c>
      <c r="H352" s="1396"/>
      <c r="I352" s="1397"/>
      <c r="N352" s="1392" t="s">
        <v>917</v>
      </c>
      <c r="O352" s="1393"/>
      <c r="P352" s="1393"/>
      <c r="Q352" s="1393"/>
      <c r="R352" s="1394"/>
      <c r="S352" s="296" t="s">
        <v>960</v>
      </c>
      <c r="T352" s="1395">
        <f t="shared" si="56"/>
        <v>0</v>
      </c>
      <c r="U352" s="1396"/>
      <c r="V352" s="1397"/>
      <c r="AA352" s="513"/>
      <c r="AI352" s="1398" t="s">
        <v>346</v>
      </c>
      <c r="AJ352" s="1374"/>
      <c r="AK352" s="1374"/>
      <c r="AL352" s="1374"/>
      <c r="AM352" s="1374"/>
      <c r="AN352" s="1375"/>
      <c r="AO352" s="499" t="s">
        <v>274</v>
      </c>
      <c r="AP352" s="500"/>
      <c r="AQ352" s="498"/>
      <c r="AR352" s="1389" t="s">
        <v>961</v>
      </c>
      <c r="AS352" s="1390"/>
      <c r="AT352" s="1390"/>
      <c r="AU352" s="1390"/>
      <c r="AV352" s="1406"/>
      <c r="AW352" s="871" t="s">
        <v>961</v>
      </c>
      <c r="AX352" s="507">
        <f t="shared" si="50"/>
        <v>0</v>
      </c>
      <c r="AY352" s="842"/>
      <c r="BA352" s="501"/>
      <c r="BB352" s="872"/>
    </row>
    <row r="353" spans="1:54" ht="18" customHeight="1" x14ac:dyDescent="0.25">
      <c r="A353" s="1392" t="s">
        <v>962</v>
      </c>
      <c r="B353" s="1393"/>
      <c r="C353" s="1393"/>
      <c r="D353" s="1393"/>
      <c r="E353" s="1394"/>
      <c r="F353" s="296" t="s">
        <v>963</v>
      </c>
      <c r="G353" s="1395">
        <f t="shared" si="55"/>
        <v>0</v>
      </c>
      <c r="H353" s="1396"/>
      <c r="I353" s="1397"/>
      <c r="N353" s="1392" t="s">
        <v>962</v>
      </c>
      <c r="O353" s="1393"/>
      <c r="P353" s="1393"/>
      <c r="Q353" s="1393"/>
      <c r="R353" s="1394"/>
      <c r="S353" s="296" t="s">
        <v>963</v>
      </c>
      <c r="T353" s="1395">
        <f t="shared" si="56"/>
        <v>0</v>
      </c>
      <c r="U353" s="1396"/>
      <c r="V353" s="1397"/>
      <c r="AA353" s="513"/>
      <c r="AI353" s="1413" t="s">
        <v>964</v>
      </c>
      <c r="AJ353" s="1414"/>
      <c r="AK353" s="1414"/>
      <c r="AL353" s="1414"/>
      <c r="AM353" s="1415"/>
      <c r="AN353" s="873" t="s">
        <v>965</v>
      </c>
      <c r="AO353" s="507">
        <f>COUNTIF($P$1:$Q$1,AN353)</f>
        <v>0</v>
      </c>
      <c r="AP353" s="874"/>
      <c r="AQ353" s="498"/>
      <c r="AR353" s="1437" t="s">
        <v>966</v>
      </c>
      <c r="AS353" s="1438"/>
      <c r="AT353" s="1438"/>
      <c r="AU353" s="1438"/>
      <c r="AV353" s="1439"/>
      <c r="AW353" s="64" t="s">
        <v>967</v>
      </c>
      <c r="AX353" s="507">
        <f>COUNTIF($P$1:$Q$1,AW353)</f>
        <v>0</v>
      </c>
      <c r="AY353" s="842"/>
      <c r="BA353" s="501"/>
      <c r="BB353" s="828"/>
    </row>
    <row r="354" spans="1:54" ht="18.75" customHeight="1" x14ac:dyDescent="0.25">
      <c r="A354" s="1392" t="s">
        <v>923</v>
      </c>
      <c r="B354" s="1393"/>
      <c r="C354" s="1393"/>
      <c r="D354" s="1393"/>
      <c r="E354" s="1394"/>
      <c r="F354" s="296" t="s">
        <v>968</v>
      </c>
      <c r="G354" s="1395">
        <f t="shared" si="55"/>
        <v>0</v>
      </c>
      <c r="H354" s="1396"/>
      <c r="I354" s="1397"/>
      <c r="N354" s="1392" t="s">
        <v>923</v>
      </c>
      <c r="O354" s="1393"/>
      <c r="P354" s="1393"/>
      <c r="Q354" s="1393"/>
      <c r="R354" s="1394"/>
      <c r="S354" s="296" t="s">
        <v>968</v>
      </c>
      <c r="T354" s="1395">
        <f t="shared" si="56"/>
        <v>0</v>
      </c>
      <c r="U354" s="1396"/>
      <c r="V354" s="1397"/>
      <c r="AA354" s="513"/>
      <c r="AI354" s="1413" t="s">
        <v>969</v>
      </c>
      <c r="AJ354" s="1414"/>
      <c r="AK354" s="1414"/>
      <c r="AL354" s="1414"/>
      <c r="AM354" s="1415"/>
      <c r="AN354" s="873" t="s">
        <v>969</v>
      </c>
      <c r="AO354" s="507">
        <f t="shared" ref="AO354:AO368" si="57">COUNTIF($P$1:$Q$1,AN354)</f>
        <v>0</v>
      </c>
      <c r="AP354" s="875"/>
      <c r="AQ354" s="498"/>
      <c r="AR354" s="1434" t="s">
        <v>970</v>
      </c>
      <c r="AS354" s="1435"/>
      <c r="AT354" s="1435"/>
      <c r="AU354" s="1435"/>
      <c r="AV354" s="1436"/>
      <c r="AW354" s="57" t="s">
        <v>971</v>
      </c>
      <c r="AX354" s="507">
        <f t="shared" si="50"/>
        <v>0</v>
      </c>
      <c r="AY354" s="842"/>
      <c r="BA354" s="501"/>
      <c r="BB354" s="828"/>
    </row>
    <row r="355" spans="1:54" ht="18.75" customHeight="1" x14ac:dyDescent="0.25">
      <c r="A355" s="1392" t="s">
        <v>929</v>
      </c>
      <c r="B355" s="1393"/>
      <c r="C355" s="1393"/>
      <c r="D355" s="1393"/>
      <c r="E355" s="1394"/>
      <c r="F355" s="296" t="s">
        <v>972</v>
      </c>
      <c r="G355" s="1395">
        <f t="shared" si="55"/>
        <v>0</v>
      </c>
      <c r="H355" s="1396"/>
      <c r="I355" s="1397"/>
      <c r="N355" s="1392" t="s">
        <v>929</v>
      </c>
      <c r="O355" s="1393"/>
      <c r="P355" s="1393"/>
      <c r="Q355" s="1393"/>
      <c r="R355" s="1394"/>
      <c r="S355" s="296" t="s">
        <v>972</v>
      </c>
      <c r="T355" s="1395">
        <f t="shared" si="56"/>
        <v>0</v>
      </c>
      <c r="U355" s="1396"/>
      <c r="V355" s="1397"/>
      <c r="AA355" s="513"/>
      <c r="AI355" s="1413" t="s">
        <v>973</v>
      </c>
      <c r="AJ355" s="1414"/>
      <c r="AK355" s="1414"/>
      <c r="AL355" s="1414"/>
      <c r="AM355" s="1415"/>
      <c r="AN355" s="873" t="s">
        <v>974</v>
      </c>
      <c r="AO355" s="507">
        <f t="shared" si="57"/>
        <v>0</v>
      </c>
      <c r="AP355" s="875"/>
      <c r="AQ355" s="498"/>
      <c r="AR355" s="1434" t="s">
        <v>975</v>
      </c>
      <c r="AS355" s="1435"/>
      <c r="AT355" s="1435"/>
      <c r="AU355" s="1435"/>
      <c r="AV355" s="1436"/>
      <c r="AW355" s="853" t="s">
        <v>976</v>
      </c>
      <c r="AX355" s="507">
        <f t="shared" si="50"/>
        <v>0</v>
      </c>
      <c r="AY355" s="842"/>
      <c r="BA355" s="501"/>
    </row>
    <row r="356" spans="1:54" ht="18" x14ac:dyDescent="0.25">
      <c r="A356" s="1392" t="s">
        <v>977</v>
      </c>
      <c r="B356" s="1393"/>
      <c r="C356" s="1393"/>
      <c r="D356" s="1393"/>
      <c r="E356" s="1394"/>
      <c r="F356" s="296" t="s">
        <v>215</v>
      </c>
      <c r="G356" s="1395">
        <f t="shared" si="55"/>
        <v>1</v>
      </c>
      <c r="H356" s="1396"/>
      <c r="I356" s="1397"/>
      <c r="N356" s="1392" t="s">
        <v>977</v>
      </c>
      <c r="O356" s="1393"/>
      <c r="P356" s="1393"/>
      <c r="Q356" s="1393"/>
      <c r="R356" s="1394"/>
      <c r="S356" s="296" t="s">
        <v>215</v>
      </c>
      <c r="T356" s="1395">
        <f t="shared" si="56"/>
        <v>0</v>
      </c>
      <c r="U356" s="1396"/>
      <c r="V356" s="1397"/>
      <c r="AA356" s="513"/>
      <c r="AI356" s="1413" t="s">
        <v>978</v>
      </c>
      <c r="AJ356" s="1414"/>
      <c r="AK356" s="1414"/>
      <c r="AL356" s="1414"/>
      <c r="AM356" s="1415"/>
      <c r="AN356" s="873" t="s">
        <v>979</v>
      </c>
      <c r="AO356" s="507">
        <f t="shared" si="57"/>
        <v>0</v>
      </c>
      <c r="AP356" s="875"/>
      <c r="AQ356" s="498"/>
      <c r="AR356" s="1434" t="s">
        <v>980</v>
      </c>
      <c r="AS356" s="1435"/>
      <c r="AT356" s="1435"/>
      <c r="AU356" s="1435"/>
      <c r="AV356" s="1436"/>
      <c r="AW356" s="876" t="s">
        <v>981</v>
      </c>
      <c r="AX356" s="507">
        <f t="shared" si="50"/>
        <v>0</v>
      </c>
      <c r="AY356" s="842"/>
      <c r="BA356" s="501"/>
      <c r="BB356" s="828"/>
    </row>
    <row r="357" spans="1:54" ht="18.75" x14ac:dyDescent="0.25">
      <c r="A357" s="1392" t="s">
        <v>982</v>
      </c>
      <c r="B357" s="1393"/>
      <c r="C357" s="1393"/>
      <c r="D357" s="1393"/>
      <c r="E357" s="1394"/>
      <c r="F357" s="296" t="s">
        <v>983</v>
      </c>
      <c r="G357" s="1395">
        <f t="shared" si="55"/>
        <v>0</v>
      </c>
      <c r="H357" s="1396"/>
      <c r="I357" s="1397"/>
      <c r="N357" s="1392" t="s">
        <v>982</v>
      </c>
      <c r="O357" s="1393"/>
      <c r="P357" s="1393"/>
      <c r="Q357" s="1393"/>
      <c r="R357" s="1394"/>
      <c r="S357" s="296" t="s">
        <v>983</v>
      </c>
      <c r="T357" s="1395">
        <f t="shared" si="56"/>
        <v>0</v>
      </c>
      <c r="U357" s="1396"/>
      <c r="V357" s="1397"/>
      <c r="AA357" s="513"/>
      <c r="AI357" s="1413" t="s">
        <v>984</v>
      </c>
      <c r="AJ357" s="1414"/>
      <c r="AK357" s="1414"/>
      <c r="AL357" s="1414"/>
      <c r="AM357" s="1415"/>
      <c r="AN357" s="873" t="s">
        <v>985</v>
      </c>
      <c r="AO357" s="507">
        <f t="shared" si="57"/>
        <v>0</v>
      </c>
      <c r="AP357" s="875"/>
      <c r="AQ357" s="498"/>
      <c r="AR357" s="1434" t="s">
        <v>986</v>
      </c>
      <c r="AS357" s="1435"/>
      <c r="AT357" s="1435"/>
      <c r="AU357" s="1435"/>
      <c r="AV357" s="1436"/>
      <c r="AW357" s="877" t="s">
        <v>987</v>
      </c>
      <c r="AX357" s="507">
        <f t="shared" si="50"/>
        <v>0</v>
      </c>
      <c r="AY357" s="842"/>
      <c r="BA357" s="501"/>
      <c r="BB357" s="878"/>
    </row>
    <row r="358" spans="1:54" ht="18" x14ac:dyDescent="0.25">
      <c r="A358" s="1392" t="s">
        <v>988</v>
      </c>
      <c r="B358" s="1393"/>
      <c r="C358" s="1393"/>
      <c r="D358" s="1393"/>
      <c r="E358" s="1394"/>
      <c r="F358" s="296" t="s">
        <v>989</v>
      </c>
      <c r="G358" s="1395">
        <f t="shared" si="55"/>
        <v>0</v>
      </c>
      <c r="H358" s="1396"/>
      <c r="I358" s="1397"/>
      <c r="N358" s="1392" t="s">
        <v>988</v>
      </c>
      <c r="O358" s="1393"/>
      <c r="P358" s="1393"/>
      <c r="Q358" s="1393"/>
      <c r="R358" s="1394"/>
      <c r="S358" s="296" t="s">
        <v>989</v>
      </c>
      <c r="T358" s="1395">
        <f t="shared" si="56"/>
        <v>0</v>
      </c>
      <c r="U358" s="1396"/>
      <c r="V358" s="1397"/>
      <c r="AA358" s="513"/>
      <c r="AI358" s="1413" t="s">
        <v>990</v>
      </c>
      <c r="AJ358" s="1414"/>
      <c r="AK358" s="1414"/>
      <c r="AL358" s="1414"/>
      <c r="AM358" s="1415"/>
      <c r="AN358" s="873" t="s">
        <v>991</v>
      </c>
      <c r="AO358" s="507">
        <f t="shared" si="57"/>
        <v>0</v>
      </c>
      <c r="AP358" s="875"/>
      <c r="AQ358" s="498"/>
      <c r="AR358" s="1434" t="s">
        <v>992</v>
      </c>
      <c r="AS358" s="1435"/>
      <c r="AT358" s="1435"/>
      <c r="AU358" s="1435"/>
      <c r="AV358" s="1436"/>
      <c r="AW358" s="879" t="s">
        <v>993</v>
      </c>
      <c r="AX358" s="507">
        <f t="shared" si="50"/>
        <v>0</v>
      </c>
      <c r="AY358" s="842"/>
      <c r="BA358" s="501"/>
      <c r="BB358" s="828"/>
    </row>
    <row r="359" spans="1:54" ht="18" customHeight="1" x14ac:dyDescent="0.25">
      <c r="A359" s="1392" t="s">
        <v>994</v>
      </c>
      <c r="B359" s="1393"/>
      <c r="C359" s="1393"/>
      <c r="D359" s="1393"/>
      <c r="E359" s="1394"/>
      <c r="F359" s="296" t="s">
        <v>995</v>
      </c>
      <c r="G359" s="1395">
        <f t="shared" si="55"/>
        <v>0</v>
      </c>
      <c r="H359" s="1396"/>
      <c r="I359" s="1397"/>
      <c r="N359" s="1392" t="s">
        <v>994</v>
      </c>
      <c r="O359" s="1393"/>
      <c r="P359" s="1393"/>
      <c r="Q359" s="1393"/>
      <c r="R359" s="1394"/>
      <c r="S359" s="296" t="s">
        <v>995</v>
      </c>
      <c r="T359" s="1395">
        <f t="shared" si="56"/>
        <v>0</v>
      </c>
      <c r="U359" s="1396"/>
      <c r="V359" s="1397"/>
      <c r="AA359" s="476"/>
      <c r="AI359" s="1413" t="s">
        <v>996</v>
      </c>
      <c r="AJ359" s="1414"/>
      <c r="AK359" s="1414"/>
      <c r="AL359" s="1414"/>
      <c r="AM359" s="1415"/>
      <c r="AN359" s="873" t="s">
        <v>997</v>
      </c>
      <c r="AO359" s="507">
        <f t="shared" si="57"/>
        <v>0</v>
      </c>
      <c r="AP359" s="875"/>
      <c r="AQ359" s="498"/>
      <c r="AR359" s="1434" t="s">
        <v>998</v>
      </c>
      <c r="AS359" s="1435"/>
      <c r="AT359" s="1435"/>
      <c r="AU359" s="1435"/>
      <c r="AV359" s="1436"/>
      <c r="AW359" s="880" t="s">
        <v>999</v>
      </c>
      <c r="AX359" s="507">
        <f t="shared" si="50"/>
        <v>0</v>
      </c>
      <c r="AY359" s="842"/>
      <c r="BA359" s="501"/>
      <c r="BB359" s="828"/>
    </row>
    <row r="360" spans="1:54" ht="18.75" x14ac:dyDescent="0.25">
      <c r="A360" s="1392" t="s">
        <v>1000</v>
      </c>
      <c r="B360" s="1393"/>
      <c r="C360" s="1393"/>
      <c r="D360" s="1393"/>
      <c r="E360" s="1394"/>
      <c r="F360" s="296" t="s">
        <v>1001</v>
      </c>
      <c r="G360" s="1395">
        <f t="shared" si="55"/>
        <v>0</v>
      </c>
      <c r="H360" s="1396"/>
      <c r="I360" s="1397"/>
      <c r="N360" s="1392" t="s">
        <v>1000</v>
      </c>
      <c r="O360" s="1393"/>
      <c r="P360" s="1393"/>
      <c r="Q360" s="1393"/>
      <c r="R360" s="1394"/>
      <c r="S360" s="296" t="s">
        <v>1001</v>
      </c>
      <c r="T360" s="1395">
        <f t="shared" si="56"/>
        <v>0</v>
      </c>
      <c r="U360" s="1396"/>
      <c r="V360" s="1397"/>
      <c r="AI360" s="1413" t="s">
        <v>1002</v>
      </c>
      <c r="AJ360" s="1414"/>
      <c r="AK360" s="1414"/>
      <c r="AL360" s="1414"/>
      <c r="AM360" s="1415"/>
      <c r="AN360" s="873" t="s">
        <v>1003</v>
      </c>
      <c r="AO360" s="507">
        <f t="shared" si="57"/>
        <v>0</v>
      </c>
      <c r="AP360" s="875"/>
      <c r="AQ360" s="498"/>
      <c r="AR360" s="1434" t="s">
        <v>1004</v>
      </c>
      <c r="AS360" s="1435"/>
      <c r="AT360" s="1435"/>
      <c r="AU360" s="1435"/>
      <c r="AV360" s="1436"/>
      <c r="AW360" s="877" t="s">
        <v>1005</v>
      </c>
      <c r="AX360" s="507">
        <f t="shared" si="50"/>
        <v>0</v>
      </c>
      <c r="AY360" s="842"/>
      <c r="BA360" s="501"/>
    </row>
    <row r="361" spans="1:54" ht="19.5" thickBot="1" x14ac:dyDescent="0.3">
      <c r="A361" s="1383" t="s">
        <v>274</v>
      </c>
      <c r="B361" s="1384"/>
      <c r="C361" s="1384"/>
      <c r="D361" s="1384"/>
      <c r="E361" s="1385"/>
      <c r="F361" s="861"/>
      <c r="G361" s="1386">
        <f>SUM(G348:I360)</f>
        <v>1</v>
      </c>
      <c r="H361" s="1387"/>
      <c r="I361" s="1388"/>
      <c r="N361" s="1383" t="s">
        <v>274</v>
      </c>
      <c r="O361" s="1384"/>
      <c r="P361" s="1384"/>
      <c r="Q361" s="1384"/>
      <c r="R361" s="1385"/>
      <c r="S361" s="861"/>
      <c r="T361" s="1386">
        <f>SUM(T348:V360)</f>
        <v>0</v>
      </c>
      <c r="U361" s="1387"/>
      <c r="V361" s="1388"/>
      <c r="AI361" s="1413" t="s">
        <v>1006</v>
      </c>
      <c r="AJ361" s="1414"/>
      <c r="AK361" s="1414"/>
      <c r="AL361" s="1414"/>
      <c r="AM361" s="1415"/>
      <c r="AN361" s="873" t="s">
        <v>1007</v>
      </c>
      <c r="AO361" s="507">
        <f t="shared" si="57"/>
        <v>0</v>
      </c>
      <c r="AP361" s="875"/>
      <c r="AR361" s="1434" t="s">
        <v>1008</v>
      </c>
      <c r="AS361" s="1435"/>
      <c r="AT361" s="1435"/>
      <c r="AU361" s="1435"/>
      <c r="AV361" s="1436"/>
      <c r="AW361" s="881" t="s">
        <v>1009</v>
      </c>
      <c r="AX361" s="507">
        <f t="shared" si="50"/>
        <v>0</v>
      </c>
      <c r="AY361" s="842"/>
      <c r="BA361" s="501"/>
    </row>
    <row r="362" spans="1:54" ht="18.75" thickBot="1" x14ac:dyDescent="0.3">
      <c r="A362" s="1399" t="s">
        <v>117</v>
      </c>
      <c r="B362" s="1400"/>
      <c r="C362" s="1400"/>
      <c r="D362" s="1400"/>
      <c r="E362" s="1401"/>
      <c r="F362" s="147"/>
      <c r="G362" s="147"/>
      <c r="H362" s="147"/>
      <c r="I362" s="147"/>
      <c r="N362" s="1399" t="s">
        <v>117</v>
      </c>
      <c r="O362" s="1400"/>
      <c r="P362" s="1400"/>
      <c r="Q362" s="1400"/>
      <c r="R362" s="1401"/>
      <c r="S362" s="147"/>
      <c r="T362" s="147"/>
      <c r="U362" s="147"/>
      <c r="V362" s="147"/>
      <c r="AI362" s="1413" t="s">
        <v>1010</v>
      </c>
      <c r="AJ362" s="1414"/>
      <c r="AK362" s="1414"/>
      <c r="AL362" s="1414"/>
      <c r="AM362" s="1415"/>
      <c r="AN362" s="873" t="s">
        <v>1011</v>
      </c>
      <c r="AO362" s="507">
        <f t="shared" si="57"/>
        <v>0</v>
      </c>
      <c r="AP362" s="875"/>
      <c r="AR362" s="1431" t="s">
        <v>1012</v>
      </c>
      <c r="AS362" s="1432"/>
      <c r="AT362" s="1432"/>
      <c r="AU362" s="1432"/>
      <c r="AV362" s="1433"/>
      <c r="AW362" s="677"/>
      <c r="AX362" s="678">
        <f>SUM(AX324:AX361)</f>
        <v>0</v>
      </c>
      <c r="BA362" s="501"/>
    </row>
    <row r="363" spans="1:54" ht="18.75" customHeight="1" x14ac:dyDescent="0.25">
      <c r="A363" s="1403" t="s">
        <v>902</v>
      </c>
      <c r="B363" s="1404"/>
      <c r="C363" s="1404"/>
      <c r="D363" s="1404"/>
      <c r="E363" s="1405"/>
      <c r="F363" s="296" t="s">
        <v>1013</v>
      </c>
      <c r="G363" s="1395">
        <f t="shared" ref="G363:G368" si="58">COUNTIF($P$79:$BM$151,F363)</f>
        <v>0</v>
      </c>
      <c r="H363" s="1396"/>
      <c r="I363" s="1397"/>
      <c r="N363" s="1403" t="s">
        <v>902</v>
      </c>
      <c r="O363" s="1404"/>
      <c r="P363" s="1404"/>
      <c r="Q363" s="1404"/>
      <c r="R363" s="1405"/>
      <c r="S363" s="296" t="s">
        <v>1013</v>
      </c>
      <c r="T363" s="1395">
        <f t="shared" ref="T363:T368" si="59">COUNTIF($O$6:$BE$74,S363)</f>
        <v>0</v>
      </c>
      <c r="U363" s="1396"/>
      <c r="V363" s="1397"/>
      <c r="AI363" s="1413" t="s">
        <v>1014</v>
      </c>
      <c r="AJ363" s="1414"/>
      <c r="AK363" s="1414"/>
      <c r="AL363" s="1414"/>
      <c r="AM363" s="1415"/>
      <c r="AN363" s="873" t="s">
        <v>1015</v>
      </c>
      <c r="AO363" s="507">
        <f t="shared" si="57"/>
        <v>0</v>
      </c>
      <c r="AP363" s="875"/>
      <c r="BA363" s="501"/>
    </row>
    <row r="364" spans="1:54" ht="18" x14ac:dyDescent="0.25">
      <c r="A364" s="1392" t="s">
        <v>906</v>
      </c>
      <c r="B364" s="1393"/>
      <c r="C364" s="1393"/>
      <c r="D364" s="1393"/>
      <c r="E364" s="1394"/>
      <c r="F364" s="296" t="s">
        <v>1016</v>
      </c>
      <c r="G364" s="1395">
        <f t="shared" si="58"/>
        <v>0</v>
      </c>
      <c r="H364" s="1396"/>
      <c r="I364" s="1397"/>
      <c r="N364" s="1392" t="s">
        <v>906</v>
      </c>
      <c r="O364" s="1393"/>
      <c r="P364" s="1393"/>
      <c r="Q364" s="1393"/>
      <c r="R364" s="1394"/>
      <c r="S364" s="296" t="s">
        <v>1016</v>
      </c>
      <c r="T364" s="1395">
        <f t="shared" si="59"/>
        <v>0</v>
      </c>
      <c r="U364" s="1396"/>
      <c r="V364" s="1397"/>
      <c r="AI364" s="1413" t="s">
        <v>1017</v>
      </c>
      <c r="AJ364" s="1414"/>
      <c r="AK364" s="1414"/>
      <c r="AL364" s="1414"/>
      <c r="AM364" s="1415"/>
      <c r="AN364" s="873" t="s">
        <v>1017</v>
      </c>
      <c r="AO364" s="507">
        <f t="shared" si="57"/>
        <v>0</v>
      </c>
      <c r="AP364" s="875"/>
      <c r="AR364" s="1373" t="s">
        <v>357</v>
      </c>
      <c r="AS364" s="1374"/>
      <c r="AT364" s="1374"/>
      <c r="AU364" s="1374"/>
      <c r="AV364" s="1374"/>
      <c r="AW364" s="1375"/>
      <c r="AX364" s="499" t="s">
        <v>274</v>
      </c>
      <c r="AY364" s="500"/>
      <c r="BA364" s="501"/>
    </row>
    <row r="365" spans="1:54" ht="19.5" customHeight="1" x14ac:dyDescent="0.25">
      <c r="A365" s="1392" t="s">
        <v>911</v>
      </c>
      <c r="B365" s="1393"/>
      <c r="C365" s="1393"/>
      <c r="D365" s="1393"/>
      <c r="E365" s="1394"/>
      <c r="F365" s="296" t="s">
        <v>1018</v>
      </c>
      <c r="G365" s="1395">
        <f t="shared" si="58"/>
        <v>0</v>
      </c>
      <c r="H365" s="1396"/>
      <c r="I365" s="1397"/>
      <c r="N365" s="1392" t="s">
        <v>911</v>
      </c>
      <c r="O365" s="1393"/>
      <c r="P365" s="1393"/>
      <c r="Q365" s="1393"/>
      <c r="R365" s="1394"/>
      <c r="S365" s="296" t="s">
        <v>1018</v>
      </c>
      <c r="T365" s="1395">
        <f t="shared" si="59"/>
        <v>0</v>
      </c>
      <c r="U365" s="1396"/>
      <c r="V365" s="1397"/>
      <c r="AI365" s="1413" t="s">
        <v>1019</v>
      </c>
      <c r="AJ365" s="1414"/>
      <c r="AK365" s="1414"/>
      <c r="AL365" s="1414"/>
      <c r="AM365" s="1415"/>
      <c r="AN365" s="873" t="s">
        <v>1020</v>
      </c>
      <c r="AO365" s="507">
        <f t="shared" si="57"/>
        <v>0</v>
      </c>
      <c r="AP365" s="875"/>
      <c r="AR365" s="1428" t="s">
        <v>1021</v>
      </c>
      <c r="AS365" s="1429"/>
      <c r="AT365" s="1429"/>
      <c r="AU365" s="1429"/>
      <c r="AV365" s="1430"/>
      <c r="AW365" s="882" t="s">
        <v>1022</v>
      </c>
      <c r="AX365" s="507">
        <f>COUNTIF($P$1:$Q$1,AW365)</f>
        <v>0</v>
      </c>
      <c r="AY365" s="883"/>
      <c r="BA365" s="501"/>
    </row>
    <row r="366" spans="1:54" ht="19.5" customHeight="1" x14ac:dyDescent="0.25">
      <c r="A366" s="1392" t="s">
        <v>917</v>
      </c>
      <c r="B366" s="1393"/>
      <c r="C366" s="1393"/>
      <c r="D366" s="1393"/>
      <c r="E366" s="1394"/>
      <c r="F366" s="296" t="s">
        <v>1023</v>
      </c>
      <c r="G366" s="1395">
        <f t="shared" si="58"/>
        <v>0</v>
      </c>
      <c r="H366" s="1396"/>
      <c r="I366" s="1397"/>
      <c r="N366" s="1392" t="s">
        <v>917</v>
      </c>
      <c r="O366" s="1393"/>
      <c r="P366" s="1393"/>
      <c r="Q366" s="1393"/>
      <c r="R366" s="1394"/>
      <c r="S366" s="296" t="s">
        <v>1023</v>
      </c>
      <c r="T366" s="1395">
        <f t="shared" si="59"/>
        <v>0</v>
      </c>
      <c r="U366" s="1396"/>
      <c r="V366" s="1397"/>
      <c r="AI366" s="1413" t="s">
        <v>1024</v>
      </c>
      <c r="AJ366" s="1414"/>
      <c r="AK366" s="1414"/>
      <c r="AL366" s="1414"/>
      <c r="AM366" s="1415"/>
      <c r="AN366" s="873" t="s">
        <v>1024</v>
      </c>
      <c r="AO366" s="507">
        <f t="shared" si="57"/>
        <v>0</v>
      </c>
      <c r="AP366" s="875"/>
      <c r="AR366" s="1425" t="s">
        <v>1025</v>
      </c>
      <c r="AS366" s="1426"/>
      <c r="AT366" s="1426"/>
      <c r="AU366" s="1426"/>
      <c r="AV366" s="1427"/>
      <c r="AW366" s="884" t="s">
        <v>1026</v>
      </c>
      <c r="AX366" s="507">
        <f>COUNTIF($P$1:$Q$1,AW366)</f>
        <v>0</v>
      </c>
      <c r="AY366" s="883"/>
      <c r="BA366" s="501"/>
    </row>
    <row r="367" spans="1:54" ht="18.75" customHeight="1" x14ac:dyDescent="0.25">
      <c r="A367" s="1392" t="s">
        <v>923</v>
      </c>
      <c r="B367" s="1393"/>
      <c r="C367" s="1393"/>
      <c r="D367" s="1393"/>
      <c r="E367" s="1394"/>
      <c r="F367" s="296" t="s">
        <v>1027</v>
      </c>
      <c r="G367" s="1395">
        <f t="shared" si="58"/>
        <v>0</v>
      </c>
      <c r="H367" s="1396"/>
      <c r="I367" s="1397"/>
      <c r="N367" s="1392" t="s">
        <v>923</v>
      </c>
      <c r="O367" s="1393"/>
      <c r="P367" s="1393"/>
      <c r="Q367" s="1393"/>
      <c r="R367" s="1394"/>
      <c r="S367" s="296" t="s">
        <v>1027</v>
      </c>
      <c r="T367" s="1395">
        <f t="shared" si="59"/>
        <v>0</v>
      </c>
      <c r="U367" s="1396"/>
      <c r="V367" s="1397"/>
      <c r="AI367" s="1413" t="s">
        <v>1028</v>
      </c>
      <c r="AJ367" s="1414"/>
      <c r="AK367" s="1414"/>
      <c r="AL367" s="1414"/>
      <c r="AM367" s="1415"/>
      <c r="AN367" s="873" t="s">
        <v>1029</v>
      </c>
      <c r="AO367" s="507">
        <f t="shared" si="57"/>
        <v>0</v>
      </c>
      <c r="AP367" s="875"/>
      <c r="AR367" s="1422" t="s">
        <v>1030</v>
      </c>
      <c r="AS367" s="1423"/>
      <c r="AT367" s="1423"/>
      <c r="AU367" s="1423"/>
      <c r="AV367" s="1424"/>
      <c r="AW367" s="677"/>
      <c r="AX367" s="678">
        <f>SUM(AX365:AX366)</f>
        <v>0</v>
      </c>
      <c r="BA367" s="501"/>
    </row>
    <row r="368" spans="1:54" ht="18.75" thickBot="1" x14ac:dyDescent="0.3">
      <c r="A368" s="1410" t="s">
        <v>929</v>
      </c>
      <c r="B368" s="1411"/>
      <c r="C368" s="1411"/>
      <c r="D368" s="1411"/>
      <c r="E368" s="1412"/>
      <c r="F368" s="296" t="s">
        <v>1031</v>
      </c>
      <c r="G368" s="1395">
        <f t="shared" si="58"/>
        <v>0</v>
      </c>
      <c r="H368" s="1396"/>
      <c r="I368" s="1397"/>
      <c r="N368" s="1410" t="s">
        <v>929</v>
      </c>
      <c r="O368" s="1411"/>
      <c r="P368" s="1411"/>
      <c r="Q368" s="1411"/>
      <c r="R368" s="1412"/>
      <c r="S368" s="296" t="s">
        <v>1031</v>
      </c>
      <c r="T368" s="1395">
        <f t="shared" si="59"/>
        <v>0</v>
      </c>
      <c r="U368" s="1396"/>
      <c r="V368" s="1397"/>
      <c r="AI368" s="1413" t="s">
        <v>1032</v>
      </c>
      <c r="AJ368" s="1414"/>
      <c r="AK368" s="1414"/>
      <c r="AL368" s="1414"/>
      <c r="AM368" s="1415"/>
      <c r="AN368" s="873" t="s">
        <v>1033</v>
      </c>
      <c r="AO368" s="507">
        <f t="shared" si="57"/>
        <v>0</v>
      </c>
      <c r="AP368" s="875"/>
      <c r="AY368" s="498"/>
      <c r="BA368" s="501"/>
    </row>
    <row r="369" spans="1:53" ht="18.75" thickBot="1" x14ac:dyDescent="0.3">
      <c r="A369" s="1416" t="s">
        <v>274</v>
      </c>
      <c r="B369" s="1417"/>
      <c r="C369" s="1417"/>
      <c r="D369" s="1417"/>
      <c r="E369" s="1418"/>
      <c r="F369" s="861"/>
      <c r="G369" s="1386">
        <f>SUM(G363:I368)</f>
        <v>0</v>
      </c>
      <c r="H369" s="1387"/>
      <c r="I369" s="1388"/>
      <c r="N369" s="1416" t="s">
        <v>274</v>
      </c>
      <c r="O369" s="1417"/>
      <c r="P369" s="1417"/>
      <c r="Q369" s="1417"/>
      <c r="R369" s="1418"/>
      <c r="S369" s="861"/>
      <c r="T369" s="1386">
        <f>SUM(T363:V368)</f>
        <v>0</v>
      </c>
      <c r="U369" s="1387"/>
      <c r="V369" s="1388"/>
      <c r="AI369" s="1419" t="s">
        <v>1034</v>
      </c>
      <c r="AJ369" s="1420"/>
      <c r="AK369" s="1420"/>
      <c r="AL369" s="1420"/>
      <c r="AM369" s="1421"/>
      <c r="AN369" s="677"/>
      <c r="AO369" s="678">
        <f>SUM(AO353:AO368)</f>
        <v>0</v>
      </c>
      <c r="AR369" s="1373" t="s">
        <v>315</v>
      </c>
      <c r="AS369" s="1374"/>
      <c r="AT369" s="1374"/>
      <c r="AU369" s="1374"/>
      <c r="AV369" s="1374"/>
      <c r="AW369" s="1375"/>
      <c r="AX369" s="499" t="s">
        <v>274</v>
      </c>
      <c r="AY369" s="500"/>
      <c r="BA369" s="501"/>
    </row>
    <row r="370" spans="1:53" ht="18.75" thickBot="1" x14ac:dyDescent="0.3">
      <c r="A370" s="1407" t="s">
        <v>1035</v>
      </c>
      <c r="B370" s="1408"/>
      <c r="C370" s="1408"/>
      <c r="D370" s="1408"/>
      <c r="E370" s="1409"/>
      <c r="F370" s="147"/>
      <c r="G370" s="147"/>
      <c r="H370" s="147"/>
      <c r="I370" s="147"/>
      <c r="N370" s="1407" t="s">
        <v>1035</v>
      </c>
      <c r="O370" s="1408"/>
      <c r="P370" s="1408"/>
      <c r="Q370" s="1408"/>
      <c r="R370" s="1409"/>
      <c r="S370" s="147"/>
      <c r="T370" s="147"/>
      <c r="U370" s="147"/>
      <c r="V370" s="147"/>
      <c r="AI370" s="869"/>
      <c r="AR370" s="1376" t="s">
        <v>1036</v>
      </c>
      <c r="AS370" s="1377"/>
      <c r="AT370" s="1377"/>
      <c r="AU370" s="1377"/>
      <c r="AV370" s="1378"/>
      <c r="AW370" s="885" t="s">
        <v>1037</v>
      </c>
      <c r="AX370" s="507">
        <f t="shared" ref="AX370:AX375" si="60">COUNTIF($P$1:$Q$1,AW370)</f>
        <v>0</v>
      </c>
      <c r="AY370" s="886"/>
      <c r="BA370" s="501"/>
    </row>
    <row r="371" spans="1:53" ht="18" x14ac:dyDescent="0.25">
      <c r="A371" s="1403" t="s">
        <v>902</v>
      </c>
      <c r="B371" s="1404"/>
      <c r="C371" s="1404"/>
      <c r="D371" s="1404"/>
      <c r="E371" s="1405"/>
      <c r="F371" s="296" t="s">
        <v>1038</v>
      </c>
      <c r="G371" s="1395">
        <f t="shared" ref="G371:G372" si="61">COUNTIF($P$79:$BM$151,F371)</f>
        <v>0</v>
      </c>
      <c r="H371" s="1396"/>
      <c r="I371" s="1397"/>
      <c r="N371" s="1403" t="s">
        <v>902</v>
      </c>
      <c r="O371" s="1404"/>
      <c r="P371" s="1404"/>
      <c r="Q371" s="1404"/>
      <c r="R371" s="1405"/>
      <c r="S371" s="296" t="s">
        <v>1038</v>
      </c>
      <c r="T371" s="1395">
        <f t="shared" ref="T371:T372" si="62">COUNTIF($O$6:$BE$74,S371)</f>
        <v>0</v>
      </c>
      <c r="U371" s="1396"/>
      <c r="V371" s="1397"/>
      <c r="AI371" s="1379"/>
      <c r="AJ371" s="1380"/>
      <c r="AK371" s="1380"/>
      <c r="AL371" s="1380"/>
      <c r="AM371" s="1380"/>
      <c r="AN371" s="1381"/>
      <c r="AO371" s="499"/>
      <c r="AP371" s="500"/>
      <c r="AR371" s="1376" t="s">
        <v>1039</v>
      </c>
      <c r="AS371" s="1377"/>
      <c r="AT371" s="1377"/>
      <c r="AU371" s="1377"/>
      <c r="AV371" s="1378"/>
      <c r="AW371" s="887" t="s">
        <v>1040</v>
      </c>
      <c r="AX371" s="507">
        <f t="shared" si="60"/>
        <v>0</v>
      </c>
      <c r="AY371" s="886"/>
      <c r="BA371" s="501"/>
    </row>
    <row r="372" spans="1:53" ht="18" x14ac:dyDescent="0.25">
      <c r="A372" s="1392" t="s">
        <v>917</v>
      </c>
      <c r="B372" s="1393"/>
      <c r="C372" s="1393"/>
      <c r="D372" s="1393"/>
      <c r="E372" s="1394"/>
      <c r="F372" s="296" t="s">
        <v>1041</v>
      </c>
      <c r="G372" s="1395">
        <f t="shared" si="61"/>
        <v>0</v>
      </c>
      <c r="H372" s="1396"/>
      <c r="I372" s="1397"/>
      <c r="N372" s="1392" t="s">
        <v>917</v>
      </c>
      <c r="O372" s="1393"/>
      <c r="P372" s="1393"/>
      <c r="Q372" s="1393"/>
      <c r="R372" s="1394"/>
      <c r="S372" s="296" t="s">
        <v>1041</v>
      </c>
      <c r="T372" s="1395">
        <f t="shared" si="62"/>
        <v>0</v>
      </c>
      <c r="U372" s="1396"/>
      <c r="V372" s="1397"/>
      <c r="AI372" s="1389"/>
      <c r="AJ372" s="1390"/>
      <c r="AK372" s="1390"/>
      <c r="AL372" s="1390"/>
      <c r="AM372" s="1406"/>
      <c r="AN372" s="673"/>
      <c r="AO372" s="507"/>
      <c r="AP372" s="888"/>
      <c r="AR372" s="1376" t="s">
        <v>1042</v>
      </c>
      <c r="AS372" s="1377"/>
      <c r="AT372" s="1377"/>
      <c r="AU372" s="1377"/>
      <c r="AV372" s="1402"/>
      <c r="AW372" s="889" t="s">
        <v>1043</v>
      </c>
      <c r="AX372" s="507">
        <f t="shared" si="60"/>
        <v>0</v>
      </c>
      <c r="AY372" s="886"/>
      <c r="BA372" s="501"/>
    </row>
    <row r="373" spans="1:53" ht="18.75" customHeight="1" thickBot="1" x14ac:dyDescent="0.3">
      <c r="A373" s="1383" t="s">
        <v>274</v>
      </c>
      <c r="B373" s="1384"/>
      <c r="C373" s="1384"/>
      <c r="D373" s="1384"/>
      <c r="E373" s="1385"/>
      <c r="F373" s="861"/>
      <c r="G373" s="1386">
        <f>SUM(G371:I372)</f>
        <v>0</v>
      </c>
      <c r="H373" s="1387"/>
      <c r="I373" s="1388"/>
      <c r="N373" s="1383" t="s">
        <v>274</v>
      </c>
      <c r="O373" s="1384"/>
      <c r="P373" s="1384"/>
      <c r="Q373" s="1384"/>
      <c r="R373" s="1385"/>
      <c r="S373" s="861"/>
      <c r="T373" s="1386">
        <f>SUM(T371:V372)</f>
        <v>0</v>
      </c>
      <c r="U373" s="1387"/>
      <c r="V373" s="1388"/>
      <c r="AI373" s="1356"/>
      <c r="AJ373" s="1357"/>
      <c r="AK373" s="1357"/>
      <c r="AL373" s="1357"/>
      <c r="AM373" s="1358"/>
      <c r="AN373" s="677"/>
      <c r="AO373" s="678"/>
      <c r="AR373" s="1376" t="s">
        <v>1044</v>
      </c>
      <c r="AS373" s="1377"/>
      <c r="AT373" s="1377"/>
      <c r="AU373" s="1377"/>
      <c r="AV373" s="1402"/>
      <c r="AW373" s="890" t="s">
        <v>1045</v>
      </c>
      <c r="AX373" s="507">
        <f t="shared" si="60"/>
        <v>0</v>
      </c>
      <c r="AY373" s="886"/>
      <c r="BA373" s="501"/>
    </row>
    <row r="374" spans="1:53" ht="18.75" thickBot="1" x14ac:dyDescent="0.3">
      <c r="A374" s="1399" t="s">
        <v>1046</v>
      </c>
      <c r="B374" s="1400"/>
      <c r="C374" s="1400"/>
      <c r="D374" s="1400"/>
      <c r="E374" s="1401"/>
      <c r="F374" s="147"/>
      <c r="G374" s="147"/>
      <c r="H374" s="147"/>
      <c r="I374" s="147"/>
      <c r="N374" s="1399" t="s">
        <v>1046</v>
      </c>
      <c r="O374" s="1400"/>
      <c r="P374" s="1400"/>
      <c r="Q374" s="1400"/>
      <c r="R374" s="1401"/>
      <c r="S374" s="147"/>
      <c r="T374" s="147"/>
      <c r="U374" s="147"/>
      <c r="V374" s="147"/>
      <c r="AI374" s="869"/>
      <c r="AR374" s="1376" t="s">
        <v>1047</v>
      </c>
      <c r="AS374" s="1377"/>
      <c r="AT374" s="1377"/>
      <c r="AU374" s="1377"/>
      <c r="AV374" s="1402"/>
      <c r="AW374" s="891" t="s">
        <v>1048</v>
      </c>
      <c r="AX374" s="507">
        <f t="shared" si="60"/>
        <v>0</v>
      </c>
      <c r="AY374" s="886"/>
      <c r="BA374" s="501"/>
    </row>
    <row r="375" spans="1:53" ht="18" x14ac:dyDescent="0.25">
      <c r="A375" s="1403" t="s">
        <v>902</v>
      </c>
      <c r="B375" s="1404"/>
      <c r="C375" s="1404"/>
      <c r="D375" s="1404"/>
      <c r="E375" s="1405"/>
      <c r="F375" s="296" t="s">
        <v>1049</v>
      </c>
      <c r="G375" s="1395">
        <f t="shared" ref="G375:G376" si="63">COUNTIF($P$79:$BM$151,F375)</f>
        <v>0</v>
      </c>
      <c r="H375" s="1396"/>
      <c r="I375" s="1397"/>
      <c r="N375" s="1403" t="s">
        <v>902</v>
      </c>
      <c r="O375" s="1404"/>
      <c r="P375" s="1404"/>
      <c r="Q375" s="1404"/>
      <c r="R375" s="1405"/>
      <c r="S375" s="296" t="s">
        <v>1049</v>
      </c>
      <c r="T375" s="1395">
        <f t="shared" ref="T375:T376" si="64">COUNTIF($O$6:$BE$74,S375)</f>
        <v>0</v>
      </c>
      <c r="U375" s="1396"/>
      <c r="V375" s="1397"/>
      <c r="AI375" s="869"/>
      <c r="AQ375" s="498"/>
      <c r="AR375" s="1376" t="s">
        <v>1050</v>
      </c>
      <c r="AS375" s="1377"/>
      <c r="AT375" s="1377"/>
      <c r="AU375" s="1377"/>
      <c r="AV375" s="1402"/>
      <c r="AW375" s="892" t="s">
        <v>1051</v>
      </c>
      <c r="AX375" s="507">
        <f t="shared" si="60"/>
        <v>0</v>
      </c>
      <c r="AY375" s="886"/>
      <c r="BA375" s="501"/>
    </row>
    <row r="376" spans="1:53" ht="18" x14ac:dyDescent="0.25">
      <c r="A376" s="1392" t="s">
        <v>917</v>
      </c>
      <c r="B376" s="1393"/>
      <c r="C376" s="1393"/>
      <c r="D376" s="1393"/>
      <c r="E376" s="1394"/>
      <c r="F376" s="296" t="s">
        <v>1052</v>
      </c>
      <c r="G376" s="1395">
        <f t="shared" si="63"/>
        <v>0</v>
      </c>
      <c r="H376" s="1396"/>
      <c r="I376" s="1397"/>
      <c r="N376" s="1392" t="s">
        <v>917</v>
      </c>
      <c r="O376" s="1393"/>
      <c r="P376" s="1393"/>
      <c r="Q376" s="1393"/>
      <c r="R376" s="1394"/>
      <c r="S376" s="296" t="s">
        <v>1052</v>
      </c>
      <c r="T376" s="1395">
        <f t="shared" si="64"/>
        <v>0</v>
      </c>
      <c r="U376" s="1396"/>
      <c r="V376" s="1397"/>
      <c r="AI376" s="1398" t="s">
        <v>759</v>
      </c>
      <c r="AJ376" s="1374"/>
      <c r="AK376" s="1374"/>
      <c r="AL376" s="1374"/>
      <c r="AM376" s="1374"/>
      <c r="AN376" s="1375"/>
      <c r="AO376" s="499" t="s">
        <v>274</v>
      </c>
      <c r="AP376" s="500"/>
      <c r="AR376" s="1373" t="s">
        <v>1053</v>
      </c>
      <c r="AS376" s="1374"/>
      <c r="AT376" s="1374"/>
      <c r="AU376" s="1374"/>
      <c r="AV376" s="1375"/>
      <c r="AW376" s="677"/>
      <c r="AX376" s="678">
        <f>SUM(AX370:AX375)</f>
        <v>0</v>
      </c>
      <c r="BA376" s="501"/>
    </row>
    <row r="377" spans="1:53" ht="18.75" thickBot="1" x14ac:dyDescent="0.3">
      <c r="A377" s="1383" t="s">
        <v>274</v>
      </c>
      <c r="B377" s="1384"/>
      <c r="C377" s="1384"/>
      <c r="D377" s="1384"/>
      <c r="E377" s="1385"/>
      <c r="F377" s="861"/>
      <c r="G377" s="1386">
        <f>SUM(G375:I376)</f>
        <v>0</v>
      </c>
      <c r="H377" s="1387"/>
      <c r="I377" s="1388"/>
      <c r="N377" s="1383" t="s">
        <v>274</v>
      </c>
      <c r="O377" s="1384"/>
      <c r="P377" s="1384"/>
      <c r="Q377" s="1384"/>
      <c r="R377" s="1385"/>
      <c r="S377" s="861"/>
      <c r="T377" s="1386">
        <f>SUM(T375:V376)</f>
        <v>0</v>
      </c>
      <c r="U377" s="1387"/>
      <c r="V377" s="1388"/>
      <c r="AI377" s="1389" t="s">
        <v>1054</v>
      </c>
      <c r="AJ377" s="1390"/>
      <c r="AK377" s="1390"/>
      <c r="AL377" s="1390"/>
      <c r="AM377" s="1391"/>
      <c r="AN377" s="893" t="s">
        <v>1055</v>
      </c>
      <c r="AO377" s="507">
        <f>COUNTIF($P$1:$Q$1,AN377)</f>
        <v>0</v>
      </c>
      <c r="AP377" s="894"/>
      <c r="BA377" s="501"/>
    </row>
    <row r="378" spans="1:53" ht="15.75" x14ac:dyDescent="0.25">
      <c r="M378" s="476"/>
      <c r="AI378" s="1362" t="s">
        <v>1056</v>
      </c>
      <c r="AJ378" s="1363"/>
      <c r="AK378" s="1363"/>
      <c r="AL378" s="1363"/>
      <c r="AM378" s="1365"/>
      <c r="AN378" s="895" t="s">
        <v>1057</v>
      </c>
      <c r="AO378" s="507">
        <f>COUNTIF($P$1:$Q$1,AN378)</f>
        <v>0</v>
      </c>
      <c r="AP378" s="896"/>
      <c r="AR378" s="1373" t="s">
        <v>362</v>
      </c>
      <c r="AS378" s="1374"/>
      <c r="AT378" s="1374"/>
      <c r="AU378" s="1374"/>
      <c r="AV378" s="1374"/>
      <c r="AW378" s="1375"/>
      <c r="AX378" s="499" t="s">
        <v>274</v>
      </c>
      <c r="AY378" s="500"/>
      <c r="BA378" s="501"/>
    </row>
    <row r="379" spans="1:53" ht="15.75" x14ac:dyDescent="0.25">
      <c r="M379" s="476"/>
      <c r="AI379" s="1362" t="s">
        <v>1058</v>
      </c>
      <c r="AJ379" s="1363"/>
      <c r="AK379" s="1363"/>
      <c r="AL379" s="1363"/>
      <c r="AM379" s="1365"/>
      <c r="AN379" s="897" t="s">
        <v>1059</v>
      </c>
      <c r="AO379" s="507">
        <f>COUNTIF($P$1:$Q$1,AN379)</f>
        <v>0</v>
      </c>
      <c r="AP379" s="896"/>
      <c r="AR379" s="1376" t="s">
        <v>1060</v>
      </c>
      <c r="AS379" s="1377"/>
      <c r="AT379" s="1377"/>
      <c r="AU379" s="1377"/>
      <c r="AV379" s="1378"/>
      <c r="AW379" s="898" t="s">
        <v>363</v>
      </c>
      <c r="AX379" s="507">
        <f>COUNTIF($P$1:$Q$1,AW379)</f>
        <v>0</v>
      </c>
      <c r="AY379" s="886"/>
      <c r="BA379" s="501"/>
    </row>
    <row r="380" spans="1:53" ht="15.75" x14ac:dyDescent="0.25">
      <c r="M380" s="476"/>
      <c r="AI380" s="1362" t="s">
        <v>1061</v>
      </c>
      <c r="AJ380" s="1363"/>
      <c r="AK380" s="1363"/>
      <c r="AL380" s="1363"/>
      <c r="AM380" s="1365"/>
      <c r="AN380" s="899" t="s">
        <v>1062</v>
      </c>
      <c r="AO380" s="507">
        <f>COUNTIF($P$1:$Q$1,AN380)</f>
        <v>0</v>
      </c>
      <c r="AP380" s="896"/>
      <c r="AR380" s="1373" t="s">
        <v>1063</v>
      </c>
      <c r="AS380" s="1374"/>
      <c r="AT380" s="1374"/>
      <c r="AU380" s="1374"/>
      <c r="AV380" s="1375"/>
      <c r="AW380" s="677"/>
      <c r="AX380" s="678">
        <f>SUM(AX379:AX379)</f>
        <v>0</v>
      </c>
      <c r="BA380" s="501"/>
    </row>
    <row r="381" spans="1:53" ht="15.75" x14ac:dyDescent="0.25">
      <c r="M381" s="476"/>
      <c r="AI381" s="1362" t="s">
        <v>1064</v>
      </c>
      <c r="AJ381" s="1363"/>
      <c r="AK381" s="1363"/>
      <c r="AL381" s="1363"/>
      <c r="AM381" s="1365"/>
      <c r="AN381" s="900" t="s">
        <v>1065</v>
      </c>
      <c r="AO381" s="507">
        <f>COUNTIF($P$1:$Q$1,AN381)</f>
        <v>0</v>
      </c>
      <c r="AP381" s="896"/>
      <c r="AR381" s="498"/>
      <c r="AS381" s="498"/>
      <c r="AT381" s="498"/>
      <c r="AU381" s="498"/>
      <c r="AV381" s="498"/>
      <c r="AW381" s="498"/>
      <c r="AX381" s="498"/>
      <c r="AY381" s="498"/>
      <c r="BA381" s="501"/>
    </row>
    <row r="382" spans="1:53" ht="15.75" x14ac:dyDescent="0.25">
      <c r="M382" s="476"/>
      <c r="AI382" s="1356" t="s">
        <v>1066</v>
      </c>
      <c r="AJ382" s="1357"/>
      <c r="AK382" s="1357"/>
      <c r="AL382" s="1357"/>
      <c r="AM382" s="1358"/>
      <c r="AN382" s="677"/>
      <c r="AO382" s="678">
        <f>SUM(AO377:AO381)</f>
        <v>0</v>
      </c>
      <c r="AP382" s="498"/>
      <c r="AR382" s="1373" t="s">
        <v>375</v>
      </c>
      <c r="AS382" s="1374"/>
      <c r="AT382" s="1374"/>
      <c r="AU382" s="1374"/>
      <c r="AV382" s="1374"/>
      <c r="AW382" s="1375"/>
      <c r="AX382" s="499" t="s">
        <v>274</v>
      </c>
      <c r="AY382" s="500"/>
      <c r="BA382" s="501"/>
    </row>
    <row r="383" spans="1:53" ht="18" x14ac:dyDescent="0.25">
      <c r="M383" s="476"/>
      <c r="AI383" s="869"/>
      <c r="AR383" s="1382" t="s">
        <v>375</v>
      </c>
      <c r="AS383" s="1377"/>
      <c r="AT383" s="1377"/>
      <c r="AU383" s="1377"/>
      <c r="AV383" s="1378"/>
      <c r="AW383" s="901" t="s">
        <v>376</v>
      </c>
      <c r="AX383" s="507">
        <f>COUNTIF($P$1:$Q$1,AW383)</f>
        <v>0</v>
      </c>
      <c r="AY383" s="902"/>
      <c r="BA383" s="856"/>
    </row>
    <row r="384" spans="1:53" ht="18" x14ac:dyDescent="0.25">
      <c r="M384" s="476"/>
      <c r="AI384" s="1359" t="s">
        <v>381</v>
      </c>
      <c r="AJ384" s="1360"/>
      <c r="AK384" s="1360"/>
      <c r="AL384" s="1360"/>
      <c r="AM384" s="1360"/>
      <c r="AN384" s="1361"/>
      <c r="AO384" s="499" t="s">
        <v>274</v>
      </c>
      <c r="AP384" s="500"/>
      <c r="AR384" s="1373" t="s">
        <v>1067</v>
      </c>
      <c r="AS384" s="1374"/>
      <c r="AT384" s="1374"/>
      <c r="AU384" s="1374"/>
      <c r="AV384" s="1375"/>
      <c r="AW384" s="677"/>
      <c r="AX384" s="678">
        <f>SUM(AX383:AX383)</f>
        <v>0</v>
      </c>
      <c r="BA384" s="856"/>
    </row>
    <row r="385" spans="13:53" ht="18" x14ac:dyDescent="0.25">
      <c r="M385" s="476"/>
      <c r="AI385" s="1362" t="s">
        <v>1068</v>
      </c>
      <c r="AJ385" s="1363"/>
      <c r="AK385" s="1363"/>
      <c r="AL385" s="1363"/>
      <c r="AM385" s="1364"/>
      <c r="AN385" s="903" t="s">
        <v>1069</v>
      </c>
      <c r="AO385" s="507">
        <f>COUNTIF($P$1:$Q$1,AN385)</f>
        <v>0</v>
      </c>
      <c r="AP385" s="904"/>
      <c r="BA385" s="856"/>
    </row>
    <row r="386" spans="13:53" ht="18" x14ac:dyDescent="0.25">
      <c r="M386" s="476"/>
      <c r="AA386" s="476"/>
      <c r="AI386" s="1362" t="s">
        <v>1070</v>
      </c>
      <c r="AJ386" s="1363"/>
      <c r="AK386" s="1363"/>
      <c r="AL386" s="1363"/>
      <c r="AM386" s="1365"/>
      <c r="AN386" s="905" t="s">
        <v>1071</v>
      </c>
      <c r="AO386" s="507">
        <f>COUNTIF($P$1:$Q$1,AN386)</f>
        <v>0</v>
      </c>
      <c r="AP386" s="904"/>
      <c r="AR386" s="1373" t="s">
        <v>685</v>
      </c>
      <c r="AS386" s="1374"/>
      <c r="AT386" s="1374"/>
      <c r="AU386" s="1374"/>
      <c r="AV386" s="1374"/>
      <c r="AW386" s="1375"/>
      <c r="AX386" s="499" t="s">
        <v>274</v>
      </c>
      <c r="AY386" s="500"/>
      <c r="BA386" s="856"/>
    </row>
    <row r="387" spans="13:53" ht="18" x14ac:dyDescent="0.25">
      <c r="M387" s="476"/>
      <c r="AA387" s="476"/>
      <c r="AI387" s="1356" t="s">
        <v>1072</v>
      </c>
      <c r="AJ387" s="1357"/>
      <c r="AK387" s="1357"/>
      <c r="AL387" s="1357"/>
      <c r="AM387" s="1358"/>
      <c r="AN387" s="677"/>
      <c r="AO387" s="678">
        <f>SUM(AO385:AO386)</f>
        <v>0</v>
      </c>
      <c r="AP387" s="498"/>
      <c r="AR387" s="1376" t="s">
        <v>685</v>
      </c>
      <c r="AS387" s="1377"/>
      <c r="AT387" s="1377"/>
      <c r="AU387" s="1377"/>
      <c r="AV387" s="1378"/>
      <c r="AW387" s="906" t="s">
        <v>1073</v>
      </c>
      <c r="AX387" s="507">
        <f>COUNTIF($P$1:$Q$1,AW387)</f>
        <v>0</v>
      </c>
      <c r="AY387" s="907"/>
      <c r="BA387" s="856"/>
    </row>
    <row r="388" spans="13:53" ht="18" x14ac:dyDescent="0.25">
      <c r="M388" s="476"/>
      <c r="AA388" s="476"/>
      <c r="AI388" s="869"/>
      <c r="AR388" s="1373" t="s">
        <v>1074</v>
      </c>
      <c r="AS388" s="1374"/>
      <c r="AT388" s="1374"/>
      <c r="AU388" s="1374"/>
      <c r="AV388" s="1375"/>
      <c r="AW388" s="908"/>
      <c r="AX388" s="678">
        <f>SUM(AX387:AX387)</f>
        <v>0</v>
      </c>
      <c r="BA388" s="856"/>
    </row>
    <row r="389" spans="13:53" ht="18" x14ac:dyDescent="0.25">
      <c r="M389" s="476"/>
      <c r="AA389" s="476"/>
      <c r="AI389" s="1379" t="s">
        <v>562</v>
      </c>
      <c r="AJ389" s="1380"/>
      <c r="AK389" s="1380"/>
      <c r="AL389" s="1380"/>
      <c r="AM389" s="1380"/>
      <c r="AN389" s="1381"/>
      <c r="AO389" s="499" t="s">
        <v>274</v>
      </c>
      <c r="AP389" s="500"/>
      <c r="BA389" s="856"/>
    </row>
    <row r="390" spans="13:53" ht="18" x14ac:dyDescent="0.25">
      <c r="M390" s="476"/>
      <c r="AA390" s="476"/>
      <c r="AI390" s="1362" t="s">
        <v>1075</v>
      </c>
      <c r="AJ390" s="1363"/>
      <c r="AK390" s="1363"/>
      <c r="AL390" s="1363"/>
      <c r="AM390" s="1365"/>
      <c r="AN390" s="893" t="s">
        <v>1076</v>
      </c>
      <c r="AO390" s="507">
        <f>COUNTIF($P$1:$Q$1,AN390)</f>
        <v>0</v>
      </c>
      <c r="AP390" s="909"/>
      <c r="AR390" s="1373" t="s">
        <v>409</v>
      </c>
      <c r="AS390" s="1374"/>
      <c r="AT390" s="1374"/>
      <c r="AU390" s="1374"/>
      <c r="AV390" s="1374"/>
      <c r="AW390" s="1375"/>
      <c r="AX390" s="499" t="s">
        <v>274</v>
      </c>
      <c r="AY390" s="500"/>
      <c r="BA390" s="856"/>
    </row>
    <row r="391" spans="13:53" ht="18" x14ac:dyDescent="0.25">
      <c r="M391" s="476"/>
      <c r="AA391" s="476"/>
      <c r="AI391" s="1362" t="s">
        <v>1077</v>
      </c>
      <c r="AJ391" s="1363"/>
      <c r="AK391" s="1363"/>
      <c r="AL391" s="1363"/>
      <c r="AM391" s="1365"/>
      <c r="AN391" s="910" t="s">
        <v>1078</v>
      </c>
      <c r="AO391" s="507">
        <f t="shared" ref="AO391:AO399" si="65">COUNTIF($P$1:$Q$1,AN391)</f>
        <v>0</v>
      </c>
      <c r="AP391" s="909"/>
      <c r="AR391" s="1376" t="s">
        <v>1079</v>
      </c>
      <c r="AS391" s="1377"/>
      <c r="AT391" s="1377"/>
      <c r="AU391" s="1377"/>
      <c r="AV391" s="1378"/>
      <c r="AW391" s="911" t="s">
        <v>1080</v>
      </c>
      <c r="AX391" s="507">
        <f>COUNTIF($P$1:$Q$1,AW391)</f>
        <v>0</v>
      </c>
      <c r="AY391" s="912"/>
      <c r="BA391" s="856"/>
    </row>
    <row r="392" spans="13:53" ht="18" x14ac:dyDescent="0.25">
      <c r="M392" s="476"/>
      <c r="AA392" s="476"/>
      <c r="AI392" s="1362" t="s">
        <v>1081</v>
      </c>
      <c r="AJ392" s="1363"/>
      <c r="AK392" s="1363"/>
      <c r="AL392" s="1363"/>
      <c r="AM392" s="1365"/>
      <c r="AN392" s="913" t="s">
        <v>1082</v>
      </c>
      <c r="AO392" s="507">
        <f t="shared" si="65"/>
        <v>0</v>
      </c>
      <c r="AP392" s="909"/>
      <c r="AR392" s="1373" t="s">
        <v>1083</v>
      </c>
      <c r="AS392" s="1374"/>
      <c r="AT392" s="1374"/>
      <c r="AU392" s="1374"/>
      <c r="AV392" s="1375"/>
      <c r="AW392" s="677"/>
      <c r="AX392" s="678">
        <f>SUM(AX391:AX391)</f>
        <v>0</v>
      </c>
      <c r="BA392" s="856"/>
    </row>
    <row r="393" spans="13:53" ht="18" x14ac:dyDescent="0.25">
      <c r="M393" s="476"/>
      <c r="AA393" s="476"/>
      <c r="AI393" s="1362" t="s">
        <v>1084</v>
      </c>
      <c r="AJ393" s="1363"/>
      <c r="AK393" s="1363"/>
      <c r="AL393" s="1363"/>
      <c r="AM393" s="1365"/>
      <c r="AN393" s="914" t="s">
        <v>1085</v>
      </c>
      <c r="AO393" s="507">
        <f t="shared" si="65"/>
        <v>0</v>
      </c>
      <c r="AP393" s="909"/>
      <c r="BA393" s="856"/>
    </row>
    <row r="394" spans="13:53" ht="18" x14ac:dyDescent="0.25">
      <c r="M394" s="476"/>
      <c r="AA394" s="476"/>
      <c r="AI394" s="1362" t="s">
        <v>1086</v>
      </c>
      <c r="AJ394" s="1363"/>
      <c r="AK394" s="1363"/>
      <c r="AL394" s="1363"/>
      <c r="AM394" s="1365"/>
      <c r="AN394" s="915" t="s">
        <v>1087</v>
      </c>
      <c r="AO394" s="507">
        <f t="shared" si="65"/>
        <v>0</v>
      </c>
      <c r="AP394" s="909"/>
      <c r="AR394" s="1372" t="s">
        <v>298</v>
      </c>
      <c r="AS394" s="1360"/>
      <c r="AT394" s="1360"/>
      <c r="AU394" s="1360"/>
      <c r="AV394" s="1360"/>
      <c r="AW394" s="1361"/>
      <c r="AX394" s="499" t="s">
        <v>274</v>
      </c>
      <c r="AY394" s="500"/>
      <c r="BA394" s="856"/>
    </row>
    <row r="395" spans="13:53" ht="18" x14ac:dyDescent="0.25">
      <c r="M395" s="476"/>
      <c r="AA395" s="476"/>
      <c r="AI395" s="1362" t="s">
        <v>1088</v>
      </c>
      <c r="AJ395" s="1363"/>
      <c r="AK395" s="1363"/>
      <c r="AL395" s="1363"/>
      <c r="AM395" s="1365"/>
      <c r="AN395" s="916" t="s">
        <v>1089</v>
      </c>
      <c r="AO395" s="507">
        <f t="shared" si="65"/>
        <v>0</v>
      </c>
      <c r="AP395" s="909"/>
      <c r="AR395" s="1366" t="s">
        <v>1090</v>
      </c>
      <c r="AS395" s="1367"/>
      <c r="AT395" s="1367"/>
      <c r="AU395" s="1367"/>
      <c r="AV395" s="1368"/>
      <c r="AW395" s="917" t="s">
        <v>1091</v>
      </c>
      <c r="AX395" s="507">
        <f t="shared" ref="AX395:AX398" si="66">COUNTIF($P$1:$Q$1,AW395)</f>
        <v>0</v>
      </c>
      <c r="AY395" s="918"/>
      <c r="BA395" s="856"/>
    </row>
    <row r="396" spans="13:53" ht="18" x14ac:dyDescent="0.25">
      <c r="M396" s="476"/>
      <c r="AA396" s="476"/>
      <c r="AI396" s="1362" t="s">
        <v>1092</v>
      </c>
      <c r="AJ396" s="1363"/>
      <c r="AK396" s="1363"/>
      <c r="AL396" s="1363"/>
      <c r="AM396" s="1365"/>
      <c r="AN396" s="919" t="s">
        <v>1093</v>
      </c>
      <c r="AO396" s="507">
        <f t="shared" si="65"/>
        <v>0</v>
      </c>
      <c r="AP396" s="909"/>
      <c r="AR396" s="1366" t="s">
        <v>1094</v>
      </c>
      <c r="AS396" s="1367"/>
      <c r="AT396" s="1367"/>
      <c r="AU396" s="1367"/>
      <c r="AV396" s="1368"/>
      <c r="AW396" s="920" t="s">
        <v>1095</v>
      </c>
      <c r="AX396" s="507">
        <f t="shared" si="66"/>
        <v>0</v>
      </c>
      <c r="AY396" s="918"/>
      <c r="BA396" s="856"/>
    </row>
    <row r="397" spans="13:53" ht="18" x14ac:dyDescent="0.25">
      <c r="M397" s="476"/>
      <c r="AA397" s="476"/>
      <c r="AI397" s="1362" t="s">
        <v>1096</v>
      </c>
      <c r="AJ397" s="1363"/>
      <c r="AK397" s="1363"/>
      <c r="AL397" s="1363"/>
      <c r="AM397" s="1365"/>
      <c r="AN397" s="921" t="s">
        <v>1097</v>
      </c>
      <c r="AO397" s="507">
        <f t="shared" si="65"/>
        <v>0</v>
      </c>
      <c r="AP397" s="909"/>
      <c r="AR397" s="1366" t="s">
        <v>1098</v>
      </c>
      <c r="AS397" s="1367"/>
      <c r="AT397" s="1367"/>
      <c r="AU397" s="1367"/>
      <c r="AV397" s="1368"/>
      <c r="AW397" s="922" t="s">
        <v>1099</v>
      </c>
      <c r="AX397" s="507">
        <f t="shared" si="66"/>
        <v>0</v>
      </c>
      <c r="AY397" s="918"/>
      <c r="BA397" s="856"/>
    </row>
    <row r="398" spans="13:53" ht="18" x14ac:dyDescent="0.25">
      <c r="M398" s="476"/>
      <c r="AA398" s="476"/>
      <c r="AI398" s="1362" t="s">
        <v>1100</v>
      </c>
      <c r="AJ398" s="1363"/>
      <c r="AK398" s="1363"/>
      <c r="AL398" s="1363"/>
      <c r="AM398" s="1365"/>
      <c r="AN398" s="923" t="s">
        <v>1101</v>
      </c>
      <c r="AO398" s="507">
        <f t="shared" si="65"/>
        <v>0</v>
      </c>
      <c r="AP398" s="909"/>
      <c r="AR398" s="1366" t="s">
        <v>1102</v>
      </c>
      <c r="AS398" s="1367"/>
      <c r="AT398" s="1367"/>
      <c r="AU398" s="1367"/>
      <c r="AV398" s="1368"/>
      <c r="AW398" s="924" t="s">
        <v>1103</v>
      </c>
      <c r="AX398" s="507">
        <f t="shared" si="66"/>
        <v>0</v>
      </c>
      <c r="AY398" s="918"/>
      <c r="BA398" s="856"/>
    </row>
    <row r="399" spans="13:53" ht="18" x14ac:dyDescent="0.25">
      <c r="M399" s="476"/>
      <c r="AA399" s="476"/>
      <c r="AI399" s="1362" t="s">
        <v>1104</v>
      </c>
      <c r="AJ399" s="1363"/>
      <c r="AK399" s="1363"/>
      <c r="AL399" s="1363"/>
      <c r="AM399" s="1365"/>
      <c r="AN399" s="925" t="s">
        <v>1105</v>
      </c>
      <c r="AO399" s="507">
        <f t="shared" si="65"/>
        <v>0</v>
      </c>
      <c r="AP399" s="909"/>
      <c r="AR399" s="1369" t="s">
        <v>1106</v>
      </c>
      <c r="AS399" s="1370"/>
      <c r="AT399" s="1370"/>
      <c r="AU399" s="1370"/>
      <c r="AV399" s="1371"/>
      <c r="AW399" s="926"/>
      <c r="AX399" s="678">
        <f>SUM(AX395:AX398)</f>
        <v>0</v>
      </c>
      <c r="BA399" s="856"/>
    </row>
    <row r="400" spans="13:53" ht="18" x14ac:dyDescent="0.25">
      <c r="M400" s="476"/>
      <c r="AA400" s="476"/>
      <c r="AI400" s="1356" t="s">
        <v>1107</v>
      </c>
      <c r="AJ400" s="1357"/>
      <c r="AK400" s="1357"/>
      <c r="AL400" s="1357"/>
      <c r="AM400" s="1358"/>
      <c r="AN400" s="677"/>
      <c r="AO400" s="678">
        <f>SUM(AO390:AO399)</f>
        <v>0</v>
      </c>
      <c r="AP400" s="498"/>
      <c r="BA400" s="856"/>
    </row>
    <row r="401" spans="13:53" ht="18" x14ac:dyDescent="0.25">
      <c r="M401" s="476"/>
      <c r="AA401" s="476"/>
      <c r="AI401" s="869"/>
      <c r="BA401" s="856"/>
    </row>
    <row r="402" spans="13:53" ht="18" x14ac:dyDescent="0.25">
      <c r="M402" s="476"/>
      <c r="AA402" s="476"/>
      <c r="AI402" s="1359" t="s">
        <v>340</v>
      </c>
      <c r="AJ402" s="1360"/>
      <c r="AK402" s="1360"/>
      <c r="AL402" s="1360"/>
      <c r="AM402" s="1360"/>
      <c r="AN402" s="1361"/>
      <c r="AO402" s="499" t="s">
        <v>274</v>
      </c>
      <c r="AP402" s="500"/>
      <c r="BA402" s="856"/>
    </row>
    <row r="403" spans="13:53" ht="18" x14ac:dyDescent="0.25">
      <c r="M403" s="476"/>
      <c r="AA403" s="476"/>
      <c r="AI403" s="1362" t="s">
        <v>1108</v>
      </c>
      <c r="AJ403" s="1363"/>
      <c r="AK403" s="1363"/>
      <c r="AL403" s="1363"/>
      <c r="AM403" s="1364"/>
      <c r="AN403" s="927" t="s">
        <v>1109</v>
      </c>
      <c r="AO403" s="507">
        <f t="shared" ref="AO403" si="67">COUNTIF($P$1:$Q$1,AN403)</f>
        <v>0</v>
      </c>
      <c r="AP403" s="904"/>
      <c r="BA403" s="856"/>
    </row>
    <row r="404" spans="13:53" ht="18" x14ac:dyDescent="0.25">
      <c r="M404" s="476"/>
      <c r="AA404" s="476"/>
      <c r="AI404" s="1362"/>
      <c r="AJ404" s="1363"/>
      <c r="AK404" s="1363"/>
      <c r="AL404" s="1363"/>
      <c r="AM404" s="1365"/>
      <c r="AN404" s="928"/>
      <c r="AO404" s="507"/>
      <c r="AP404" s="904"/>
      <c r="BA404" s="856"/>
    </row>
    <row r="405" spans="13:53" ht="18" x14ac:dyDescent="0.25">
      <c r="M405" s="476"/>
      <c r="AA405" s="476"/>
      <c r="AI405" s="1356" t="s">
        <v>1110</v>
      </c>
      <c r="AJ405" s="1357"/>
      <c r="AK405" s="1357"/>
      <c r="AL405" s="1357"/>
      <c r="AM405" s="1358"/>
      <c r="AN405" s="677"/>
      <c r="AO405" s="678">
        <f>SUM(AO403:AO404)</f>
        <v>0</v>
      </c>
      <c r="AP405" s="498"/>
      <c r="BA405" s="856"/>
    </row>
    <row r="406" spans="13:53" ht="18" x14ac:dyDescent="0.25">
      <c r="M406" s="476"/>
      <c r="AA406" s="476"/>
      <c r="AI406" s="929"/>
      <c r="AJ406" s="930"/>
      <c r="AK406" s="930"/>
      <c r="AL406" s="930"/>
      <c r="AM406" s="930"/>
      <c r="AN406" s="931"/>
      <c r="AO406" s="932"/>
      <c r="BA406" s="856"/>
    </row>
    <row r="407" spans="13:53" ht="18" x14ac:dyDescent="0.25">
      <c r="M407" s="476"/>
      <c r="AA407" s="476"/>
      <c r="AI407" s="929"/>
      <c r="AJ407" s="930"/>
      <c r="AK407" s="930"/>
      <c r="AL407" s="930"/>
      <c r="AM407" s="930"/>
      <c r="AN407" s="931"/>
      <c r="AO407" s="932"/>
      <c r="BA407" s="856"/>
    </row>
    <row r="408" spans="13:53" ht="18" x14ac:dyDescent="0.25">
      <c r="M408" s="476"/>
      <c r="AA408" s="476"/>
      <c r="AI408" s="929"/>
      <c r="AJ408" s="930"/>
      <c r="AK408" s="930"/>
      <c r="AL408" s="930"/>
      <c r="AM408" s="930"/>
      <c r="AN408" s="931"/>
      <c r="AO408" s="932"/>
      <c r="BA408" s="856"/>
    </row>
    <row r="409" spans="13:53" ht="18" x14ac:dyDescent="0.25">
      <c r="M409" s="476"/>
      <c r="AA409" s="476"/>
      <c r="AI409" s="929"/>
      <c r="AJ409" s="930"/>
      <c r="AK409" s="930"/>
      <c r="AL409" s="930"/>
      <c r="AM409" s="930"/>
      <c r="AN409" s="931"/>
      <c r="AO409" s="932"/>
      <c r="BA409" s="856"/>
    </row>
    <row r="410" spans="13:53" ht="18" x14ac:dyDescent="0.25">
      <c r="M410" s="476"/>
      <c r="AA410" s="476"/>
      <c r="AI410" s="929"/>
      <c r="AJ410" s="930"/>
      <c r="AK410" s="930"/>
      <c r="AL410" s="930"/>
      <c r="AM410" s="930"/>
      <c r="AN410" s="931"/>
      <c r="AO410" s="932"/>
      <c r="BA410" s="856"/>
    </row>
    <row r="411" spans="13:53" ht="18" x14ac:dyDescent="0.25">
      <c r="M411" s="476"/>
      <c r="AA411" s="476"/>
      <c r="AI411" s="929"/>
      <c r="AJ411" s="930"/>
      <c r="AK411" s="930"/>
      <c r="AL411" s="930"/>
      <c r="AM411" s="930"/>
      <c r="AN411" s="931"/>
      <c r="AO411" s="932"/>
      <c r="BA411" s="856"/>
    </row>
    <row r="412" spans="13:53" ht="18" x14ac:dyDescent="0.25">
      <c r="M412" s="476"/>
      <c r="AA412" s="476"/>
      <c r="AI412" s="929"/>
      <c r="AJ412" s="930"/>
      <c r="AK412" s="930"/>
      <c r="AL412" s="930"/>
      <c r="AM412" s="930"/>
      <c r="AN412" s="931"/>
      <c r="AO412" s="932"/>
      <c r="BA412" s="856"/>
    </row>
    <row r="413" spans="13:53" ht="18" x14ac:dyDescent="0.25">
      <c r="M413" s="476"/>
      <c r="AA413" s="476"/>
      <c r="AI413" s="929"/>
      <c r="AJ413" s="930"/>
      <c r="AK413" s="930"/>
      <c r="AL413" s="930"/>
      <c r="AM413" s="930"/>
      <c r="AN413" s="931"/>
      <c r="AO413" s="932"/>
      <c r="BA413" s="856"/>
    </row>
    <row r="414" spans="13:53" ht="18" x14ac:dyDescent="0.25">
      <c r="M414" s="476"/>
      <c r="AA414" s="476"/>
      <c r="AI414" s="929"/>
      <c r="AJ414" s="930"/>
      <c r="AK414" s="930"/>
      <c r="AL414" s="930"/>
      <c r="AM414" s="930"/>
      <c r="AN414" s="931"/>
      <c r="AO414" s="932"/>
      <c r="BA414" s="856"/>
    </row>
    <row r="415" spans="13:53" ht="18" x14ac:dyDescent="0.25">
      <c r="M415" s="476"/>
      <c r="AA415" s="476"/>
      <c r="AI415" s="929"/>
      <c r="AJ415" s="930"/>
      <c r="AK415" s="930"/>
      <c r="AL415" s="930"/>
      <c r="AM415" s="930"/>
      <c r="AN415" s="931"/>
      <c r="AO415" s="932"/>
      <c r="BA415" s="856"/>
    </row>
    <row r="416" spans="13:53" ht="18" x14ac:dyDescent="0.25">
      <c r="M416" s="476"/>
      <c r="AA416" s="476"/>
      <c r="AI416" s="929"/>
      <c r="AJ416" s="930"/>
      <c r="AK416" s="930"/>
      <c r="AL416" s="930"/>
      <c r="AM416" s="930"/>
      <c r="AN416" s="931"/>
      <c r="AO416" s="932"/>
      <c r="BA416" s="856"/>
    </row>
    <row r="417" spans="13:53" ht="18" x14ac:dyDescent="0.25">
      <c r="M417" s="476"/>
      <c r="AA417" s="476"/>
      <c r="AI417" s="869"/>
      <c r="BA417" s="856"/>
    </row>
    <row r="418" spans="13:53" ht="15.75" thickBot="1" x14ac:dyDescent="0.3">
      <c r="M418" s="476"/>
      <c r="AA418" s="476"/>
      <c r="AI418" s="933"/>
      <c r="AJ418" s="934"/>
      <c r="AK418" s="934"/>
      <c r="AL418" s="934"/>
      <c r="AM418" s="934"/>
      <c r="AN418" s="934"/>
      <c r="AO418" s="934"/>
      <c r="AP418" s="934"/>
      <c r="AQ418" s="934"/>
      <c r="AR418" s="934"/>
      <c r="AS418" s="934"/>
      <c r="AT418" s="934"/>
      <c r="AU418" s="934"/>
      <c r="AV418" s="934"/>
      <c r="AW418" s="934"/>
      <c r="AX418" s="934"/>
      <c r="AY418" s="934"/>
      <c r="AZ418" s="934"/>
      <c r="BA418" s="935"/>
    </row>
    <row r="419" spans="13:53" x14ac:dyDescent="0.25">
      <c r="M419" s="476"/>
      <c r="AA419" s="476"/>
    </row>
    <row r="420" spans="13:53" x14ac:dyDescent="0.25">
      <c r="M420" s="476"/>
      <c r="AA420" s="476"/>
    </row>
    <row r="421" spans="13:53" x14ac:dyDescent="0.25">
      <c r="M421" s="476"/>
      <c r="AA421" s="476"/>
    </row>
    <row r="422" spans="13:53" x14ac:dyDescent="0.25">
      <c r="M422" s="476"/>
      <c r="AA422" s="476"/>
    </row>
    <row r="423" spans="13:53" x14ac:dyDescent="0.25">
      <c r="M423" s="476"/>
      <c r="AA423" s="476"/>
    </row>
    <row r="424" spans="13:53" ht="18" x14ac:dyDescent="0.25">
      <c r="M424" s="476"/>
      <c r="AA424" s="476"/>
      <c r="AZ424" s="828"/>
    </row>
    <row r="425" spans="13:53" ht="18" x14ac:dyDescent="0.25">
      <c r="M425" s="476"/>
      <c r="AA425" s="476"/>
      <c r="AI425" s="286"/>
      <c r="AJ425" s="286"/>
      <c r="AK425" s="286"/>
      <c r="AL425" s="286"/>
      <c r="AM425" s="286"/>
      <c r="AQ425" s="936"/>
    </row>
    <row r="426" spans="13:53" ht="18" x14ac:dyDescent="0.25">
      <c r="M426" s="476"/>
      <c r="AA426" s="476"/>
      <c r="AI426" s="1352"/>
      <c r="AJ426" s="1352"/>
      <c r="AK426" s="1352"/>
      <c r="AL426" s="1352"/>
      <c r="AM426" s="1352"/>
      <c r="AN426" s="1352"/>
      <c r="AO426" s="936"/>
      <c r="AP426" s="936"/>
      <c r="AQ426" s="696"/>
      <c r="BA426" s="828"/>
    </row>
    <row r="427" spans="13:53" ht="18" x14ac:dyDescent="0.25">
      <c r="M427" s="476"/>
      <c r="AA427" s="476"/>
      <c r="AI427" s="1353"/>
      <c r="AJ427" s="1353"/>
      <c r="AK427" s="1353"/>
      <c r="AL427" s="1353"/>
      <c r="AM427" s="1353"/>
      <c r="AN427" s="10"/>
      <c r="AO427" s="696"/>
      <c r="AP427" s="696"/>
      <c r="AQ427" s="936"/>
      <c r="AZ427" s="828"/>
      <c r="BA427" s="936"/>
    </row>
    <row r="428" spans="13:53" ht="18" x14ac:dyDescent="0.25">
      <c r="M428" s="476"/>
      <c r="AA428" s="476"/>
      <c r="AI428" s="1352"/>
      <c r="AJ428" s="1352"/>
      <c r="AK428" s="1352"/>
      <c r="AL428" s="1352"/>
      <c r="AM428" s="1352"/>
      <c r="AN428" s="1352"/>
      <c r="AO428" s="936"/>
      <c r="AP428" s="936"/>
      <c r="AQ428" s="937"/>
      <c r="AZ428" s="936"/>
      <c r="BA428" s="828"/>
    </row>
    <row r="429" spans="13:53" ht="18" x14ac:dyDescent="0.25">
      <c r="M429" s="476"/>
      <c r="AA429" s="476"/>
      <c r="AI429" s="1352"/>
      <c r="AJ429" s="1352"/>
      <c r="AK429" s="1352"/>
      <c r="AL429" s="1352"/>
      <c r="AM429" s="1352"/>
      <c r="AN429" s="1352"/>
      <c r="AO429" s="937"/>
      <c r="AP429" s="937"/>
      <c r="AQ429" s="937"/>
      <c r="AZ429" s="828"/>
      <c r="BA429" s="828"/>
    </row>
    <row r="430" spans="13:53" ht="18" x14ac:dyDescent="0.25">
      <c r="M430" s="476"/>
      <c r="AA430" s="476"/>
      <c r="AI430" s="286"/>
      <c r="AJ430" s="286"/>
      <c r="AK430" s="286"/>
      <c r="AL430" s="286"/>
      <c r="AM430" s="286"/>
      <c r="AQ430" s="937"/>
      <c r="AZ430" s="828"/>
      <c r="BA430" s="828"/>
    </row>
    <row r="431" spans="13:53" ht="18" x14ac:dyDescent="0.25">
      <c r="M431" s="476"/>
      <c r="AA431" s="476"/>
      <c r="AI431" s="286"/>
      <c r="AJ431" s="286"/>
      <c r="AK431" s="286"/>
      <c r="AL431" s="286"/>
      <c r="AM431" s="286"/>
      <c r="AQ431" s="937"/>
      <c r="AZ431" s="828"/>
      <c r="BA431" s="828"/>
    </row>
    <row r="432" spans="13:53" ht="18" x14ac:dyDescent="0.25">
      <c r="M432" s="476"/>
      <c r="AA432" s="476"/>
      <c r="AI432" s="286"/>
      <c r="AJ432" s="286"/>
      <c r="AK432" s="286"/>
      <c r="AL432" s="286"/>
      <c r="AM432" s="286"/>
      <c r="AQ432" s="937"/>
      <c r="AZ432" s="828"/>
      <c r="BA432" s="828"/>
    </row>
    <row r="433" spans="13:53" ht="18" x14ac:dyDescent="0.25">
      <c r="M433" s="476"/>
      <c r="AA433" s="476"/>
      <c r="AI433" s="286"/>
      <c r="AJ433" s="286"/>
      <c r="AK433" s="286"/>
      <c r="AL433" s="286"/>
      <c r="AM433" s="286"/>
      <c r="AQ433" s="937"/>
      <c r="AZ433" s="828"/>
      <c r="BA433" s="828"/>
    </row>
    <row r="434" spans="13:53" ht="18" x14ac:dyDescent="0.25">
      <c r="M434" s="476"/>
      <c r="AA434" s="476"/>
      <c r="AI434" s="286"/>
      <c r="AJ434" s="286"/>
      <c r="AK434" s="286"/>
      <c r="AL434" s="286"/>
      <c r="AM434" s="286"/>
      <c r="AQ434" s="937"/>
      <c r="AZ434" s="828"/>
      <c r="BA434" s="828"/>
    </row>
    <row r="435" spans="13:53" ht="18" x14ac:dyDescent="0.25">
      <c r="M435" s="476"/>
      <c r="AA435" s="476"/>
      <c r="AI435" s="286"/>
      <c r="AJ435" s="286"/>
      <c r="AK435" s="286"/>
      <c r="AL435" s="286"/>
      <c r="AM435" s="286"/>
      <c r="AQ435" s="937"/>
      <c r="AZ435" s="828"/>
      <c r="BA435" s="828"/>
    </row>
    <row r="436" spans="13:53" ht="18" x14ac:dyDescent="0.25">
      <c r="M436" s="476"/>
      <c r="AA436" s="476"/>
      <c r="AI436" s="286"/>
      <c r="AJ436" s="286"/>
      <c r="AK436" s="286"/>
      <c r="AL436" s="286"/>
      <c r="AM436" s="286"/>
      <c r="AQ436" s="937"/>
      <c r="AZ436" s="828"/>
      <c r="BA436" s="828"/>
    </row>
    <row r="437" spans="13:53" ht="18" x14ac:dyDescent="0.25">
      <c r="M437" s="476"/>
      <c r="AA437" s="476"/>
      <c r="AI437" s="286"/>
      <c r="AJ437" s="286"/>
      <c r="AK437" s="286"/>
      <c r="AL437" s="286"/>
      <c r="AM437" s="286"/>
      <c r="AQ437" s="937"/>
      <c r="AZ437" s="828"/>
      <c r="BA437" s="828"/>
    </row>
    <row r="438" spans="13:53" ht="18" x14ac:dyDescent="0.25">
      <c r="M438" s="476"/>
      <c r="AA438" s="476"/>
      <c r="AI438" s="286"/>
      <c r="AJ438" s="286"/>
      <c r="AK438" s="286"/>
      <c r="AL438" s="286"/>
      <c r="AM438" s="286"/>
      <c r="AQ438" s="937"/>
      <c r="AZ438" s="828"/>
      <c r="BA438" s="828"/>
    </row>
    <row r="439" spans="13:53" ht="18" x14ac:dyDescent="0.25">
      <c r="M439" s="476"/>
      <c r="AA439" s="476"/>
      <c r="AI439" s="286"/>
      <c r="AJ439" s="286"/>
      <c r="AK439" s="286"/>
      <c r="AL439" s="286"/>
      <c r="AM439" s="286"/>
      <c r="AQ439" s="937"/>
      <c r="AZ439" s="828"/>
      <c r="BA439" s="828"/>
    </row>
    <row r="440" spans="13:53" ht="18" x14ac:dyDescent="0.25">
      <c r="M440" s="476"/>
      <c r="AA440" s="476"/>
      <c r="AI440" s="286"/>
      <c r="AJ440" s="286"/>
      <c r="AK440" s="286"/>
      <c r="AL440" s="286"/>
      <c r="AM440" s="286"/>
      <c r="AQ440" s="937"/>
      <c r="AZ440" s="828"/>
      <c r="BA440" s="828"/>
    </row>
    <row r="441" spans="13:53" ht="18" x14ac:dyDescent="0.25">
      <c r="M441" s="476"/>
      <c r="AA441" s="476"/>
      <c r="AI441" s="286"/>
      <c r="AJ441" s="286"/>
      <c r="AK441" s="286"/>
      <c r="AL441" s="286"/>
      <c r="AM441" s="286"/>
      <c r="AQ441" s="937"/>
      <c r="AZ441" s="828"/>
      <c r="BA441" s="828"/>
    </row>
    <row r="442" spans="13:53" ht="18" x14ac:dyDescent="0.25">
      <c r="M442" s="476"/>
      <c r="AA442" s="476"/>
      <c r="AI442" s="286"/>
      <c r="AJ442" s="286"/>
      <c r="AK442" s="286"/>
      <c r="AL442" s="286"/>
      <c r="AM442" s="286"/>
      <c r="AQ442" s="937"/>
      <c r="AZ442" s="828"/>
      <c r="BA442" s="828"/>
    </row>
    <row r="443" spans="13:53" ht="18" x14ac:dyDescent="0.25">
      <c r="M443" s="476"/>
      <c r="AI443" s="286"/>
      <c r="AJ443" s="286"/>
      <c r="AK443" s="286"/>
      <c r="AL443" s="286"/>
      <c r="AM443" s="286"/>
      <c r="AQ443" s="937"/>
      <c r="AZ443" s="828"/>
      <c r="BA443" s="828"/>
    </row>
    <row r="444" spans="13:53" ht="18" x14ac:dyDescent="0.25">
      <c r="M444" s="476"/>
      <c r="AI444" s="286"/>
      <c r="AJ444" s="286"/>
      <c r="AK444" s="286"/>
      <c r="AL444" s="286"/>
      <c r="AM444" s="286"/>
      <c r="AQ444" s="937"/>
      <c r="AZ444" s="828"/>
      <c r="BA444" s="828"/>
    </row>
    <row r="445" spans="13:53" ht="18" x14ac:dyDescent="0.25">
      <c r="M445" s="476"/>
      <c r="AI445" s="286"/>
      <c r="AJ445" s="286"/>
      <c r="AK445" s="286"/>
      <c r="AL445" s="286"/>
      <c r="AM445" s="286"/>
      <c r="AQ445" s="936"/>
      <c r="AZ445" s="828"/>
    </row>
    <row r="446" spans="13:53" ht="18" x14ac:dyDescent="0.25">
      <c r="M446" s="476"/>
      <c r="AI446" s="286"/>
      <c r="AJ446" s="286"/>
      <c r="AK446" s="286"/>
      <c r="AL446" s="286"/>
      <c r="AM446" s="286"/>
      <c r="AQ446" s="696"/>
      <c r="BA446" s="828"/>
    </row>
    <row r="447" spans="13:53" ht="18" x14ac:dyDescent="0.25">
      <c r="M447" s="476"/>
      <c r="AI447" s="1353"/>
      <c r="AJ447" s="1353"/>
      <c r="AK447" s="1353"/>
      <c r="AL447" s="1353"/>
      <c r="AM447" s="1353"/>
      <c r="AN447" s="10"/>
      <c r="AO447" s="696"/>
      <c r="AP447" s="696"/>
      <c r="AQ447" s="696"/>
      <c r="AZ447" s="828"/>
      <c r="BA447" s="828"/>
    </row>
    <row r="448" spans="13:53" ht="18" x14ac:dyDescent="0.25">
      <c r="M448" s="476"/>
      <c r="AI448" s="936"/>
      <c r="AJ448" s="936"/>
      <c r="AK448" s="936"/>
      <c r="AL448" s="936"/>
      <c r="AM448" s="936"/>
      <c r="AN448" s="10"/>
      <c r="AO448" s="696"/>
      <c r="AP448" s="696"/>
      <c r="AQ448" s="696"/>
      <c r="AZ448" s="828"/>
      <c r="BA448" s="828"/>
    </row>
    <row r="449" spans="13:53" ht="18" x14ac:dyDescent="0.25">
      <c r="M449" s="476"/>
      <c r="AI449" s="936"/>
      <c r="AJ449" s="936"/>
      <c r="AK449" s="936"/>
      <c r="AL449" s="936"/>
      <c r="AM449" s="936"/>
      <c r="AN449" s="10"/>
      <c r="AO449" s="696"/>
      <c r="AP449" s="696"/>
      <c r="AQ449" s="936"/>
      <c r="AZ449" s="828"/>
      <c r="BA449" s="936"/>
    </row>
    <row r="450" spans="13:53" ht="18" x14ac:dyDescent="0.25">
      <c r="M450" s="476"/>
      <c r="AI450" s="936"/>
      <c r="AJ450" s="936"/>
      <c r="AK450" s="936"/>
      <c r="AL450" s="936"/>
      <c r="AM450" s="936"/>
      <c r="AN450" s="10"/>
      <c r="AO450" s="696"/>
      <c r="AP450" s="696"/>
      <c r="AQ450" s="937"/>
      <c r="AR450" s="937"/>
      <c r="AS450" s="937"/>
      <c r="AT450" s="937"/>
      <c r="AU450" s="937"/>
      <c r="AZ450" s="936"/>
      <c r="BA450" s="828"/>
    </row>
    <row r="451" spans="13:53" ht="18" x14ac:dyDescent="0.25">
      <c r="M451" s="476"/>
      <c r="AI451" s="1352"/>
      <c r="AJ451" s="1352"/>
      <c r="AK451" s="1352"/>
      <c r="AL451" s="1352"/>
      <c r="AM451" s="1352"/>
      <c r="AN451" s="1352"/>
      <c r="AO451" s="936"/>
      <c r="AP451" s="936"/>
      <c r="AW451" s="828"/>
      <c r="AX451" s="828"/>
      <c r="AY451" s="828"/>
      <c r="AZ451" s="828"/>
      <c r="BA451" s="828"/>
    </row>
    <row r="452" spans="13:53" ht="18" x14ac:dyDescent="0.25">
      <c r="M452" s="476"/>
      <c r="AI452" s="1352"/>
      <c r="AJ452" s="1352"/>
      <c r="AK452" s="1352"/>
      <c r="AL452" s="1352"/>
      <c r="AM452" s="1352"/>
      <c r="AN452" s="1352"/>
      <c r="AO452" s="937"/>
      <c r="AP452" s="937"/>
      <c r="AQ452" s="936"/>
      <c r="AW452" s="828"/>
      <c r="AX452" s="828"/>
      <c r="AY452" s="828"/>
      <c r="AZ452" s="828"/>
      <c r="BA452" s="828"/>
    </row>
    <row r="453" spans="13:53" ht="18" x14ac:dyDescent="0.25">
      <c r="M453" s="476"/>
      <c r="AQ453" s="936"/>
      <c r="AW453" s="828"/>
      <c r="AX453" s="828"/>
      <c r="AY453" s="828"/>
      <c r="AZ453" s="828"/>
    </row>
    <row r="454" spans="13:53" ht="18" x14ac:dyDescent="0.25">
      <c r="M454" s="476"/>
      <c r="AI454" s="1352"/>
      <c r="AJ454" s="1352"/>
      <c r="AK454" s="1352"/>
      <c r="AL454" s="1352"/>
      <c r="AM454" s="1352"/>
      <c r="AN454" s="1352"/>
      <c r="AO454" s="936"/>
      <c r="AP454" s="936"/>
      <c r="AQ454" s="936"/>
      <c r="AR454" s="936"/>
      <c r="AS454" s="936"/>
      <c r="AT454" s="936"/>
      <c r="AU454" s="936"/>
      <c r="AW454" s="936"/>
      <c r="AX454" s="936"/>
      <c r="AY454" s="936"/>
    </row>
    <row r="455" spans="13:53" ht="18" x14ac:dyDescent="0.25">
      <c r="M455" s="476"/>
      <c r="AI455" s="1353"/>
      <c r="AJ455" s="1353"/>
      <c r="AK455" s="1353"/>
      <c r="AL455" s="1353"/>
      <c r="AM455" s="1353"/>
      <c r="AN455" s="10"/>
      <c r="AO455" s="696"/>
      <c r="AP455" s="696"/>
      <c r="AQ455" s="696"/>
      <c r="AR455" s="696"/>
      <c r="AS455" s="696"/>
      <c r="AT455" s="696"/>
      <c r="AU455" s="696"/>
      <c r="AW455" s="828"/>
      <c r="AX455" s="828"/>
      <c r="AY455" s="828"/>
      <c r="BA455" s="828"/>
    </row>
    <row r="456" spans="13:53" ht="18" x14ac:dyDescent="0.25">
      <c r="M456" s="476"/>
      <c r="AI456" s="936"/>
      <c r="AJ456" s="936"/>
      <c r="AK456" s="936"/>
      <c r="AL456" s="936"/>
      <c r="AM456" s="936"/>
      <c r="AN456" s="10"/>
      <c r="AO456" s="696"/>
      <c r="AP456" s="696"/>
      <c r="AQ456" s="696"/>
      <c r="AR456" s="696"/>
      <c r="AS456" s="696"/>
      <c r="AT456" s="696"/>
      <c r="AU456" s="696"/>
      <c r="AW456" s="828"/>
      <c r="AX456" s="828"/>
      <c r="AY456" s="828"/>
      <c r="AZ456" s="828"/>
      <c r="BA456" s="828"/>
    </row>
    <row r="457" spans="13:53" ht="18" x14ac:dyDescent="0.25">
      <c r="M457" s="476"/>
      <c r="AI457" s="936"/>
      <c r="AJ457" s="936"/>
      <c r="AK457" s="936"/>
      <c r="AL457" s="936"/>
      <c r="AM457" s="936"/>
      <c r="AN457" s="10"/>
      <c r="AO457" s="696"/>
      <c r="AP457" s="696"/>
      <c r="AQ457" s="696"/>
      <c r="AZ457" s="828"/>
      <c r="BA457" s="828"/>
    </row>
    <row r="458" spans="13:53" ht="18" x14ac:dyDescent="0.25">
      <c r="M458" s="476"/>
      <c r="AI458" s="936"/>
      <c r="AJ458" s="936"/>
      <c r="AK458" s="936"/>
      <c r="AL458" s="936"/>
      <c r="AM458" s="936"/>
      <c r="AN458" s="10"/>
      <c r="AO458" s="696"/>
      <c r="AP458" s="696"/>
      <c r="AQ458" s="696"/>
      <c r="AZ458" s="828"/>
      <c r="BA458" s="828"/>
    </row>
    <row r="459" spans="13:53" ht="18" x14ac:dyDescent="0.25">
      <c r="M459" s="476"/>
      <c r="AI459" s="936"/>
      <c r="AJ459" s="936"/>
      <c r="AK459" s="936"/>
      <c r="AL459" s="936"/>
      <c r="AM459" s="936"/>
      <c r="AN459" s="10"/>
      <c r="AO459" s="696"/>
      <c r="AP459" s="696"/>
      <c r="AQ459" s="696"/>
      <c r="AR459" s="937"/>
      <c r="AS459" s="937"/>
      <c r="AT459" s="937"/>
      <c r="AU459" s="937"/>
      <c r="AZ459" s="828"/>
      <c r="BA459" s="828"/>
    </row>
    <row r="460" spans="13:53" ht="18" x14ac:dyDescent="0.25">
      <c r="M460" s="476"/>
      <c r="AI460" s="936"/>
      <c r="AJ460" s="936"/>
      <c r="AK460" s="936"/>
      <c r="AL460" s="936"/>
      <c r="AM460" s="936"/>
      <c r="AN460" s="10"/>
      <c r="AO460" s="696"/>
      <c r="AP460" s="696"/>
      <c r="AR460" s="937"/>
      <c r="AS460" s="937"/>
      <c r="AT460" s="937"/>
      <c r="AU460" s="937"/>
      <c r="AZ460" s="828"/>
      <c r="BA460" s="828"/>
    </row>
    <row r="461" spans="13:53" ht="18" x14ac:dyDescent="0.25">
      <c r="M461" s="476"/>
      <c r="AI461" s="936"/>
      <c r="AJ461" s="936"/>
      <c r="AK461" s="936"/>
      <c r="AL461" s="936"/>
      <c r="AM461" s="936"/>
      <c r="AN461" s="10"/>
      <c r="AO461" s="696"/>
      <c r="AP461" s="696"/>
      <c r="AQ461" s="936"/>
      <c r="AR461" s="937"/>
      <c r="AS461" s="937"/>
      <c r="AT461" s="937"/>
      <c r="AU461" s="937"/>
      <c r="AZ461" s="828"/>
      <c r="BA461" s="828"/>
    </row>
    <row r="462" spans="13:53" ht="18" x14ac:dyDescent="0.25">
      <c r="M462" s="476"/>
      <c r="AQ462" s="936"/>
      <c r="AW462" s="828"/>
      <c r="AX462" s="828"/>
      <c r="AY462" s="828"/>
      <c r="AZ462" s="828"/>
    </row>
    <row r="463" spans="13:53" ht="18" x14ac:dyDescent="0.25">
      <c r="M463" s="476"/>
      <c r="AI463" s="1352"/>
      <c r="AJ463" s="1352"/>
      <c r="AK463" s="1352"/>
      <c r="AL463" s="1352"/>
      <c r="AM463" s="1352"/>
      <c r="AN463" s="1352"/>
      <c r="AO463" s="936"/>
      <c r="AP463" s="936"/>
      <c r="AQ463" s="696"/>
      <c r="AR463" s="936"/>
      <c r="AS463" s="936"/>
      <c r="AT463" s="936"/>
      <c r="AU463" s="936"/>
      <c r="AW463" s="936"/>
      <c r="AX463" s="936"/>
      <c r="AY463" s="936"/>
    </row>
    <row r="464" spans="13:53" ht="18" x14ac:dyDescent="0.25">
      <c r="M464" s="476"/>
      <c r="AI464" s="1353"/>
      <c r="AJ464" s="1353"/>
      <c r="AK464" s="1353"/>
      <c r="AL464" s="1353"/>
      <c r="AM464" s="1353"/>
      <c r="AN464" s="10"/>
      <c r="AO464" s="696"/>
      <c r="AP464" s="696"/>
      <c r="AQ464" s="936"/>
      <c r="AR464" s="696"/>
      <c r="AS464" s="696"/>
      <c r="AT464" s="696"/>
      <c r="AU464" s="696"/>
      <c r="AW464" s="828"/>
      <c r="AX464" s="828"/>
      <c r="AY464" s="828"/>
    </row>
    <row r="465" spans="13:51" ht="18" x14ac:dyDescent="0.25">
      <c r="M465" s="476"/>
      <c r="AI465" s="1352"/>
      <c r="AJ465" s="1352"/>
      <c r="AK465" s="1352"/>
      <c r="AL465" s="1352"/>
      <c r="AM465" s="1352"/>
      <c r="AN465" s="1352"/>
      <c r="AO465" s="936"/>
      <c r="AP465" s="936"/>
      <c r="AQ465" s="937"/>
      <c r="AR465" s="936"/>
      <c r="AS465" s="936"/>
      <c r="AT465" s="936"/>
      <c r="AU465" s="936"/>
      <c r="AW465" s="828"/>
      <c r="AX465" s="828"/>
      <c r="AY465" s="828"/>
    </row>
    <row r="466" spans="13:51" ht="18" x14ac:dyDescent="0.25">
      <c r="M466" s="476"/>
      <c r="AI466" s="1352"/>
      <c r="AJ466" s="1352"/>
      <c r="AK466" s="1352"/>
      <c r="AL466" s="1352"/>
      <c r="AM466" s="1352"/>
      <c r="AN466" s="1352"/>
      <c r="AO466" s="937"/>
      <c r="AP466" s="937"/>
      <c r="AR466" s="936"/>
      <c r="AS466" s="936"/>
      <c r="AT466" s="936"/>
      <c r="AU466" s="936"/>
      <c r="AW466" s="828"/>
      <c r="AX466" s="828"/>
      <c r="AY466" s="828"/>
    </row>
    <row r="467" spans="13:51" ht="18" x14ac:dyDescent="0.25">
      <c r="M467" s="476"/>
      <c r="AI467" s="286"/>
      <c r="AJ467" s="286"/>
      <c r="AK467" s="286"/>
      <c r="AL467" s="286"/>
      <c r="AM467" s="286"/>
      <c r="AQ467" s="936"/>
      <c r="AR467" s="937"/>
      <c r="AS467" s="937"/>
      <c r="AT467" s="937"/>
      <c r="AU467" s="937"/>
    </row>
    <row r="468" spans="13:51" ht="18" x14ac:dyDescent="0.25">
      <c r="M468" s="476"/>
      <c r="AI468" s="1352"/>
      <c r="AJ468" s="1352"/>
      <c r="AK468" s="1352"/>
      <c r="AL468" s="1352"/>
      <c r="AM468" s="1352"/>
      <c r="AN468" s="1352"/>
      <c r="AO468" s="936"/>
      <c r="AP468" s="936"/>
      <c r="AQ468" s="696"/>
      <c r="AW468" s="828"/>
      <c r="AX468" s="828"/>
      <c r="AY468" s="828"/>
    </row>
    <row r="469" spans="13:51" ht="18" x14ac:dyDescent="0.25">
      <c r="M469" s="476"/>
      <c r="AI469" s="1353"/>
      <c r="AJ469" s="1353"/>
      <c r="AK469" s="1353"/>
      <c r="AL469" s="1353"/>
      <c r="AM469" s="1353"/>
      <c r="AN469" s="10"/>
      <c r="AO469" s="696"/>
      <c r="AP469" s="696"/>
      <c r="AQ469" s="936"/>
      <c r="AR469" s="936"/>
      <c r="AS469" s="936"/>
      <c r="AT469" s="936"/>
      <c r="AU469" s="936"/>
      <c r="AW469" s="936"/>
      <c r="AX469" s="936"/>
      <c r="AY469" s="936"/>
    </row>
    <row r="470" spans="13:51" ht="18" x14ac:dyDescent="0.25">
      <c r="M470" s="476"/>
      <c r="AI470" s="1352"/>
      <c r="AJ470" s="1352"/>
      <c r="AK470" s="1352"/>
      <c r="AL470" s="1352"/>
      <c r="AM470" s="1352"/>
      <c r="AN470" s="1352"/>
      <c r="AO470" s="936"/>
      <c r="AP470" s="936"/>
      <c r="AQ470" s="937"/>
      <c r="AR470" s="696"/>
      <c r="AS470" s="696"/>
      <c r="AT470" s="696"/>
      <c r="AU470" s="696"/>
      <c r="AW470" s="828"/>
      <c r="AX470" s="828"/>
      <c r="AY470" s="828"/>
    </row>
    <row r="471" spans="13:51" ht="18" x14ac:dyDescent="0.25">
      <c r="M471" s="476"/>
      <c r="AI471" s="1352"/>
      <c r="AJ471" s="1352"/>
      <c r="AK471" s="1352"/>
      <c r="AL471" s="1352"/>
      <c r="AM471" s="1352"/>
      <c r="AN471" s="1352"/>
      <c r="AO471" s="937"/>
      <c r="AP471" s="937"/>
      <c r="AR471" s="936"/>
      <c r="AS471" s="936"/>
      <c r="AT471" s="936"/>
      <c r="AU471" s="936"/>
      <c r="AW471" s="828"/>
      <c r="AX471" s="828"/>
      <c r="AY471" s="828"/>
    </row>
    <row r="472" spans="13:51" ht="18" x14ac:dyDescent="0.25">
      <c r="M472" s="476"/>
      <c r="AK472" s="498"/>
      <c r="AQ472" s="936"/>
      <c r="AR472" s="937"/>
      <c r="AS472" s="937"/>
      <c r="AT472" s="937"/>
      <c r="AU472" s="937"/>
    </row>
    <row r="473" spans="13:51" ht="18" x14ac:dyDescent="0.25">
      <c r="M473" s="476"/>
      <c r="AI473" s="1354"/>
      <c r="AJ473" s="1354"/>
      <c r="AK473" s="1354"/>
      <c r="AL473" s="1354"/>
      <c r="AM473" s="1354"/>
      <c r="AN473" s="1354"/>
      <c r="AO473" s="936"/>
      <c r="AP473" s="936"/>
      <c r="AQ473" s="696"/>
    </row>
    <row r="474" spans="13:51" ht="18" x14ac:dyDescent="0.25">
      <c r="M474" s="476"/>
      <c r="AI474" s="1355"/>
      <c r="AJ474" s="1355"/>
      <c r="AK474" s="1355"/>
      <c r="AL474" s="1355"/>
      <c r="AM474" s="1355"/>
      <c r="AN474" s="10"/>
      <c r="AO474" s="696"/>
      <c r="AP474" s="696"/>
      <c r="AQ474" s="936"/>
      <c r="AR474" s="936"/>
      <c r="AS474" s="936"/>
      <c r="AT474" s="936"/>
      <c r="AU474" s="936"/>
    </row>
    <row r="475" spans="13:51" ht="18" x14ac:dyDescent="0.25">
      <c r="M475" s="476"/>
      <c r="AI475" s="1354"/>
      <c r="AJ475" s="1354"/>
      <c r="AK475" s="1354"/>
      <c r="AL475" s="1354"/>
      <c r="AM475" s="1354"/>
      <c r="AN475" s="1354"/>
      <c r="AO475" s="936"/>
      <c r="AP475" s="936"/>
      <c r="AQ475" s="937"/>
      <c r="AR475" s="696"/>
      <c r="AS475" s="696"/>
      <c r="AT475" s="696"/>
      <c r="AU475" s="696"/>
    </row>
    <row r="476" spans="13:51" ht="18" x14ac:dyDescent="0.25">
      <c r="M476" s="476"/>
      <c r="AI476" s="1354"/>
      <c r="AJ476" s="1354"/>
      <c r="AK476" s="1354"/>
      <c r="AL476" s="1354"/>
      <c r="AM476" s="1354"/>
      <c r="AN476" s="1354"/>
      <c r="AO476" s="937"/>
      <c r="AP476" s="937"/>
      <c r="AR476" s="936"/>
      <c r="AS476" s="936"/>
      <c r="AT476" s="936"/>
      <c r="AU476" s="936"/>
    </row>
    <row r="477" spans="13:51" ht="18" x14ac:dyDescent="0.25">
      <c r="M477" s="476"/>
      <c r="AI477" s="286"/>
      <c r="AJ477" s="286"/>
      <c r="AK477" s="286"/>
      <c r="AL477" s="286"/>
      <c r="AM477" s="286"/>
      <c r="AQ477" s="936"/>
      <c r="AR477" s="937"/>
      <c r="AS477" s="937"/>
      <c r="AT477" s="937"/>
      <c r="AU477" s="937"/>
    </row>
    <row r="478" spans="13:51" ht="18" x14ac:dyDescent="0.25">
      <c r="M478" s="476"/>
      <c r="AI478" s="1352"/>
      <c r="AJ478" s="1352"/>
      <c r="AK478" s="1352"/>
      <c r="AL478" s="1352"/>
      <c r="AM478" s="1352"/>
      <c r="AN478" s="1352"/>
      <c r="AO478" s="936"/>
      <c r="AP478" s="936"/>
      <c r="AQ478" s="696"/>
    </row>
    <row r="479" spans="13:51" ht="18" x14ac:dyDescent="0.25">
      <c r="M479" s="476"/>
      <c r="AI479" s="1353"/>
      <c r="AJ479" s="1353"/>
      <c r="AK479" s="1353"/>
      <c r="AL479" s="1353"/>
      <c r="AM479" s="1353"/>
      <c r="AN479" s="10"/>
      <c r="AO479" s="696"/>
      <c r="AP479" s="696"/>
      <c r="AQ479" s="936"/>
      <c r="AR479" s="936"/>
      <c r="AS479" s="936"/>
      <c r="AT479" s="936"/>
      <c r="AU479" s="936"/>
    </row>
    <row r="480" spans="13:51" ht="18" x14ac:dyDescent="0.25">
      <c r="M480" s="476"/>
      <c r="AI480" s="1352"/>
      <c r="AJ480" s="1352"/>
      <c r="AK480" s="1352"/>
      <c r="AL480" s="1352"/>
      <c r="AM480" s="1352"/>
      <c r="AN480" s="1352"/>
      <c r="AO480" s="936"/>
      <c r="AP480" s="936"/>
      <c r="AQ480" s="937"/>
      <c r="AR480" s="696"/>
      <c r="AS480" s="696"/>
      <c r="AT480" s="696"/>
      <c r="AU480" s="696"/>
    </row>
    <row r="481" spans="13:47" ht="18" x14ac:dyDescent="0.25">
      <c r="M481" s="476"/>
      <c r="AI481" s="1352"/>
      <c r="AJ481" s="1352"/>
      <c r="AK481" s="1352"/>
      <c r="AL481" s="1352"/>
      <c r="AM481" s="1352"/>
      <c r="AN481" s="1352"/>
      <c r="AO481" s="937"/>
      <c r="AP481" s="937"/>
      <c r="AR481" s="936"/>
      <c r="AS481" s="936"/>
      <c r="AT481" s="936"/>
      <c r="AU481" s="936"/>
    </row>
    <row r="482" spans="13:47" x14ac:dyDescent="0.25">
      <c r="M482" s="476"/>
      <c r="AR482" s="937"/>
      <c r="AS482" s="937"/>
      <c r="AT482" s="937"/>
      <c r="AU482" s="937"/>
    </row>
    <row r="483" spans="13:47" ht="18" x14ac:dyDescent="0.25">
      <c r="M483" s="476"/>
      <c r="AI483" s="286"/>
      <c r="AJ483" s="286"/>
      <c r="AK483" s="286"/>
      <c r="AL483" s="286"/>
      <c r="AM483" s="286"/>
      <c r="AQ483" s="936"/>
    </row>
    <row r="484" spans="13:47" ht="18" x14ac:dyDescent="0.25">
      <c r="M484" s="476"/>
      <c r="AI484" s="1352"/>
      <c r="AJ484" s="1352"/>
      <c r="AK484" s="1352"/>
      <c r="AL484" s="1352"/>
      <c r="AM484" s="1352"/>
      <c r="AN484" s="1352"/>
      <c r="AO484" s="936"/>
      <c r="AP484" s="936"/>
      <c r="AR484" s="936"/>
      <c r="AS484" s="936"/>
      <c r="AT484" s="936"/>
      <c r="AU484" s="936"/>
    </row>
    <row r="485" spans="13:47" ht="18" x14ac:dyDescent="0.25">
      <c r="M485" s="476"/>
      <c r="AI485" s="1353"/>
      <c r="AJ485" s="1353"/>
      <c r="AK485" s="1353"/>
      <c r="AL485" s="1353"/>
      <c r="AM485" s="1353"/>
      <c r="AN485" s="10"/>
      <c r="AO485" s="696"/>
      <c r="AP485" s="696"/>
      <c r="AR485" s="696"/>
      <c r="AS485" s="696"/>
      <c r="AT485" s="696"/>
      <c r="AU485" s="696"/>
    </row>
    <row r="486" spans="13:47" x14ac:dyDescent="0.25">
      <c r="M486" s="476"/>
    </row>
    <row r="487" spans="13:47" x14ac:dyDescent="0.25">
      <c r="M487" s="476"/>
    </row>
    <row r="488" spans="13:47" x14ac:dyDescent="0.25">
      <c r="M488" s="476"/>
    </row>
    <row r="489" spans="13:47" x14ac:dyDescent="0.25">
      <c r="M489" s="476"/>
    </row>
    <row r="490" spans="13:47" ht="18" x14ac:dyDescent="0.25">
      <c r="M490" s="476"/>
      <c r="AK490" s="498"/>
      <c r="AQ490" s="936"/>
      <c r="AR490" s="937"/>
      <c r="AS490" s="937"/>
      <c r="AT490" s="937"/>
      <c r="AU490" s="937"/>
    </row>
    <row r="491" spans="13:47" ht="18" x14ac:dyDescent="0.25">
      <c r="M491" s="476"/>
      <c r="AI491" s="1354"/>
      <c r="AJ491" s="1354"/>
      <c r="AK491" s="1354"/>
      <c r="AL491" s="1354"/>
      <c r="AM491" s="1354"/>
      <c r="AN491" s="1354"/>
      <c r="AO491" s="936"/>
      <c r="AP491" s="936"/>
      <c r="AQ491" s="696"/>
    </row>
    <row r="492" spans="13:47" ht="18" x14ac:dyDescent="0.25">
      <c r="M492" s="476"/>
      <c r="AI492" s="1355"/>
      <c r="AJ492" s="1355"/>
      <c r="AK492" s="1355"/>
      <c r="AL492" s="1355"/>
      <c r="AM492" s="1355"/>
      <c r="AN492" s="10"/>
      <c r="AO492" s="696"/>
      <c r="AP492" s="696"/>
      <c r="AQ492" s="936"/>
      <c r="AR492" s="936"/>
      <c r="AS492" s="936"/>
      <c r="AT492" s="936"/>
      <c r="AU492" s="936"/>
    </row>
    <row r="493" spans="13:47" ht="18" x14ac:dyDescent="0.25">
      <c r="M493" s="476"/>
      <c r="AI493" s="1354"/>
      <c r="AJ493" s="1354"/>
      <c r="AK493" s="1354"/>
      <c r="AL493" s="1354"/>
      <c r="AM493" s="1354"/>
      <c r="AN493" s="1354"/>
      <c r="AO493" s="936"/>
      <c r="AP493" s="936"/>
      <c r="AQ493" s="937"/>
      <c r="AR493" s="696"/>
      <c r="AS493" s="696"/>
      <c r="AT493" s="696"/>
      <c r="AU493" s="696"/>
    </row>
    <row r="494" spans="13:47" ht="18" x14ac:dyDescent="0.25">
      <c r="M494" s="476"/>
      <c r="AI494" s="1354"/>
      <c r="AJ494" s="1354"/>
      <c r="AK494" s="1354"/>
      <c r="AL494" s="1354"/>
      <c r="AM494" s="1354"/>
      <c r="AN494" s="1354"/>
      <c r="AO494" s="937"/>
      <c r="AP494" s="937"/>
      <c r="AR494" s="936"/>
      <c r="AS494" s="936"/>
      <c r="AT494" s="936"/>
      <c r="AU494" s="936"/>
    </row>
    <row r="495" spans="13:47" ht="18" x14ac:dyDescent="0.25">
      <c r="M495" s="476"/>
      <c r="AI495" s="286"/>
      <c r="AJ495" s="286"/>
      <c r="AK495" s="286"/>
      <c r="AL495" s="286"/>
      <c r="AM495" s="286"/>
      <c r="AQ495" s="936"/>
      <c r="AR495" s="937"/>
      <c r="AS495" s="937"/>
      <c r="AT495" s="937"/>
      <c r="AU495" s="937"/>
    </row>
    <row r="496" spans="13:47" ht="18" x14ac:dyDescent="0.25">
      <c r="M496" s="476"/>
      <c r="AI496" s="1352"/>
      <c r="AJ496" s="1352"/>
      <c r="AK496" s="1352"/>
      <c r="AL496" s="1352"/>
      <c r="AM496" s="1352"/>
      <c r="AN496" s="1352"/>
      <c r="AO496" s="936"/>
      <c r="AP496" s="936"/>
      <c r="AQ496" s="696"/>
    </row>
    <row r="497" spans="13:47" ht="18" x14ac:dyDescent="0.25">
      <c r="M497" s="476"/>
      <c r="AI497" s="1353"/>
      <c r="AJ497" s="1353"/>
      <c r="AK497" s="1353"/>
      <c r="AL497" s="1353"/>
      <c r="AM497" s="1353"/>
      <c r="AN497" s="10"/>
      <c r="AO497" s="696"/>
      <c r="AP497" s="696"/>
      <c r="AQ497" s="936"/>
      <c r="AR497" s="936"/>
      <c r="AS497" s="936"/>
      <c r="AT497" s="936"/>
      <c r="AU497" s="936"/>
    </row>
    <row r="498" spans="13:47" ht="18" x14ac:dyDescent="0.25">
      <c r="M498" s="476"/>
      <c r="AI498" s="1352"/>
      <c r="AJ498" s="1352"/>
      <c r="AK498" s="1352"/>
      <c r="AL498" s="1352"/>
      <c r="AM498" s="1352"/>
      <c r="AN498" s="1352"/>
      <c r="AO498" s="936"/>
      <c r="AP498" s="936"/>
      <c r="AQ498" s="937"/>
      <c r="AR498" s="696"/>
      <c r="AS498" s="696"/>
      <c r="AT498" s="696"/>
      <c r="AU498" s="696"/>
    </row>
    <row r="499" spans="13:47" ht="18" x14ac:dyDescent="0.25">
      <c r="M499" s="476"/>
      <c r="AI499" s="1352"/>
      <c r="AJ499" s="1352"/>
      <c r="AK499" s="1352"/>
      <c r="AL499" s="1352"/>
      <c r="AM499" s="1352"/>
      <c r="AN499" s="1352"/>
      <c r="AO499" s="937"/>
      <c r="AP499" s="937"/>
      <c r="AR499" s="936"/>
      <c r="AS499" s="936"/>
      <c r="AT499" s="936"/>
      <c r="AU499" s="936"/>
    </row>
    <row r="500" spans="13:47" x14ac:dyDescent="0.25">
      <c r="M500" s="476"/>
      <c r="AR500" s="937"/>
      <c r="AS500" s="937"/>
      <c r="AT500" s="937"/>
      <c r="AU500" s="937"/>
    </row>
    <row r="501" spans="13:47" ht="18" x14ac:dyDescent="0.25">
      <c r="M501" s="476"/>
      <c r="AI501" s="286"/>
      <c r="AJ501" s="286"/>
      <c r="AK501" s="286"/>
      <c r="AL501" s="286"/>
      <c r="AM501" s="286"/>
      <c r="AQ501" s="936"/>
    </row>
    <row r="502" spans="13:47" ht="18" x14ac:dyDescent="0.25">
      <c r="M502" s="476"/>
      <c r="AI502" s="1352"/>
      <c r="AJ502" s="1352"/>
      <c r="AK502" s="1352"/>
      <c r="AL502" s="1352"/>
      <c r="AM502" s="1352"/>
      <c r="AN502" s="1352"/>
      <c r="AO502" s="936"/>
      <c r="AP502" s="936"/>
      <c r="AR502" s="936"/>
      <c r="AS502" s="936"/>
      <c r="AT502" s="936"/>
      <c r="AU502" s="936"/>
    </row>
    <row r="503" spans="13:47" ht="18" x14ac:dyDescent="0.25">
      <c r="M503" s="476"/>
      <c r="AI503" s="1353"/>
      <c r="AJ503" s="1353"/>
      <c r="AK503" s="1353"/>
      <c r="AL503" s="1353"/>
      <c r="AM503" s="1353"/>
      <c r="AN503" s="10"/>
      <c r="AO503" s="696"/>
      <c r="AP503" s="696"/>
      <c r="AR503" s="696"/>
      <c r="AS503" s="696"/>
      <c r="AT503" s="696"/>
      <c r="AU503" s="696"/>
    </row>
    <row r="504" spans="13:47" x14ac:dyDescent="0.25">
      <c r="M504" s="476"/>
    </row>
    <row r="505" spans="13:47" x14ac:dyDescent="0.25">
      <c r="M505" s="476"/>
    </row>
    <row r="506" spans="13:47" x14ac:dyDescent="0.25">
      <c r="M506" s="476"/>
    </row>
    <row r="507" spans="13:47" x14ac:dyDescent="0.25">
      <c r="M507" s="476"/>
    </row>
    <row r="508" spans="13:47" x14ac:dyDescent="0.25">
      <c r="M508" s="476"/>
    </row>
    <row r="509" spans="13:47" x14ac:dyDescent="0.25">
      <c r="M509" s="476"/>
    </row>
    <row r="510" spans="13:47" x14ac:dyDescent="0.25">
      <c r="M510" s="476"/>
    </row>
    <row r="511" spans="13:47" x14ac:dyDescent="0.25">
      <c r="M511" s="476"/>
    </row>
    <row r="512" spans="13:47" x14ac:dyDescent="0.25">
      <c r="M512" s="476"/>
    </row>
    <row r="513" spans="13:13" x14ac:dyDescent="0.25">
      <c r="M513" s="476"/>
    </row>
    <row r="514" spans="13:13" x14ac:dyDescent="0.25">
      <c r="M514" s="476"/>
    </row>
    <row r="515" spans="13:13" x14ac:dyDescent="0.25">
      <c r="M515" s="476"/>
    </row>
    <row r="516" spans="13:13" x14ac:dyDescent="0.25">
      <c r="M516" s="476"/>
    </row>
    <row r="517" spans="13:13" x14ac:dyDescent="0.25">
      <c r="M517" s="476"/>
    </row>
    <row r="518" spans="13:13" x14ac:dyDescent="0.25">
      <c r="M518" s="476"/>
    </row>
    <row r="519" spans="13:13" x14ac:dyDescent="0.25">
      <c r="M519" s="476"/>
    </row>
    <row r="520" spans="13:13" x14ac:dyDescent="0.25">
      <c r="M520" s="476"/>
    </row>
    <row r="521" spans="13:13" x14ac:dyDescent="0.25">
      <c r="M521" s="476"/>
    </row>
    <row r="522" spans="13:13" x14ac:dyDescent="0.25">
      <c r="M522" s="476"/>
    </row>
    <row r="523" spans="13:13" x14ac:dyDescent="0.25">
      <c r="M523" s="476"/>
    </row>
    <row r="524" spans="13:13" x14ac:dyDescent="0.25">
      <c r="M524" s="476"/>
    </row>
    <row r="525" spans="13:13" x14ac:dyDescent="0.25">
      <c r="M525" s="476"/>
    </row>
    <row r="526" spans="13:13" x14ac:dyDescent="0.25">
      <c r="M526" s="476"/>
    </row>
    <row r="527" spans="13:13" x14ac:dyDescent="0.25">
      <c r="M527" s="476"/>
    </row>
    <row r="528" spans="13:13" x14ac:dyDescent="0.25">
      <c r="M528" s="476"/>
    </row>
    <row r="529" spans="13:13" x14ac:dyDescent="0.25">
      <c r="M529" s="476"/>
    </row>
    <row r="530" spans="13:13" x14ac:dyDescent="0.25">
      <c r="M530" s="476"/>
    </row>
    <row r="531" spans="13:13" x14ac:dyDescent="0.25">
      <c r="M531" s="476"/>
    </row>
    <row r="532" spans="13:13" x14ac:dyDescent="0.25">
      <c r="M532" s="476"/>
    </row>
    <row r="533" spans="13:13" x14ac:dyDescent="0.25">
      <c r="M533" s="476"/>
    </row>
    <row r="534" spans="13:13" x14ac:dyDescent="0.25">
      <c r="M534" s="476"/>
    </row>
    <row r="535" spans="13:13" x14ac:dyDescent="0.25">
      <c r="M535" s="476"/>
    </row>
    <row r="536" spans="13:13" x14ac:dyDescent="0.25">
      <c r="M536" s="476"/>
    </row>
    <row r="537" spans="13:13" x14ac:dyDescent="0.25">
      <c r="M537" s="476"/>
    </row>
    <row r="538" spans="13:13" x14ac:dyDescent="0.25">
      <c r="M538" s="476"/>
    </row>
    <row r="539" spans="13:13" x14ac:dyDescent="0.25">
      <c r="M539" s="476"/>
    </row>
    <row r="540" spans="13:13" x14ac:dyDescent="0.25">
      <c r="M540" s="476"/>
    </row>
    <row r="541" spans="13:13" x14ac:dyDescent="0.25">
      <c r="M541" s="476"/>
    </row>
    <row r="542" spans="13:13" x14ac:dyDescent="0.25">
      <c r="M542" s="476"/>
    </row>
    <row r="543" spans="13:13" x14ac:dyDescent="0.25">
      <c r="M543" s="476"/>
    </row>
    <row r="544" spans="13:13" x14ac:dyDescent="0.25">
      <c r="M544" s="476"/>
    </row>
    <row r="545" spans="13:13" x14ac:dyDescent="0.25">
      <c r="M545" s="476"/>
    </row>
    <row r="546" spans="13:13" x14ac:dyDescent="0.25">
      <c r="M546" s="476"/>
    </row>
    <row r="547" spans="13:13" x14ac:dyDescent="0.25">
      <c r="M547" s="476"/>
    </row>
    <row r="548" spans="13:13" x14ac:dyDescent="0.25">
      <c r="M548" s="476"/>
    </row>
    <row r="549" spans="13:13" x14ac:dyDescent="0.25">
      <c r="M549" s="476"/>
    </row>
    <row r="550" spans="13:13" x14ac:dyDescent="0.25">
      <c r="M550" s="476"/>
    </row>
    <row r="551" spans="13:13" x14ac:dyDescent="0.25">
      <c r="M551" s="476"/>
    </row>
    <row r="552" spans="13:13" x14ac:dyDescent="0.25">
      <c r="M552" s="476"/>
    </row>
    <row r="553" spans="13:13" x14ac:dyDescent="0.25">
      <c r="M553" s="476"/>
    </row>
    <row r="554" spans="13:13" x14ac:dyDescent="0.25">
      <c r="M554" s="476"/>
    </row>
    <row r="555" spans="13:13" x14ac:dyDescent="0.25">
      <c r="M555" s="476"/>
    </row>
    <row r="556" spans="13:13" x14ac:dyDescent="0.25">
      <c r="M556" s="476"/>
    </row>
    <row r="557" spans="13:13" x14ac:dyDescent="0.25">
      <c r="M557" s="476"/>
    </row>
    <row r="558" spans="13:13" x14ac:dyDescent="0.25">
      <c r="M558" s="476"/>
    </row>
    <row r="559" spans="13:13" x14ac:dyDescent="0.25">
      <c r="M559" s="476"/>
    </row>
    <row r="560" spans="13:13" x14ac:dyDescent="0.25">
      <c r="M560" s="476"/>
    </row>
    <row r="561" spans="13:13" x14ac:dyDescent="0.25">
      <c r="M561" s="476"/>
    </row>
    <row r="562" spans="13:13" x14ac:dyDescent="0.25">
      <c r="M562" s="476"/>
    </row>
    <row r="563" spans="13:13" x14ac:dyDescent="0.25">
      <c r="M563" s="476"/>
    </row>
    <row r="564" spans="13:13" x14ac:dyDescent="0.25">
      <c r="M564" s="476"/>
    </row>
    <row r="565" spans="13:13" x14ac:dyDescent="0.25">
      <c r="M565" s="476"/>
    </row>
    <row r="566" spans="13:13" x14ac:dyDescent="0.25">
      <c r="M566" s="476"/>
    </row>
    <row r="567" spans="13:13" x14ac:dyDescent="0.25">
      <c r="M567" s="476"/>
    </row>
    <row r="568" spans="13:13" x14ac:dyDescent="0.25">
      <c r="M568" s="476"/>
    </row>
    <row r="569" spans="13:13" x14ac:dyDescent="0.25">
      <c r="M569" s="476"/>
    </row>
    <row r="570" spans="13:13" x14ac:dyDescent="0.25">
      <c r="M570" s="476"/>
    </row>
    <row r="571" spans="13:13" x14ac:dyDescent="0.25">
      <c r="M571" s="476"/>
    </row>
    <row r="572" spans="13:13" x14ac:dyDescent="0.25">
      <c r="M572" s="476"/>
    </row>
    <row r="573" spans="13:13" x14ac:dyDescent="0.25">
      <c r="M573" s="476"/>
    </row>
    <row r="574" spans="13:13" x14ac:dyDescent="0.25">
      <c r="M574" s="476"/>
    </row>
    <row r="575" spans="13:13" x14ac:dyDescent="0.25">
      <c r="M575" s="476"/>
    </row>
    <row r="576" spans="13:13" x14ac:dyDescent="0.25">
      <c r="M576" s="476"/>
    </row>
    <row r="577" spans="13:13" x14ac:dyDescent="0.25">
      <c r="M577" s="476"/>
    </row>
    <row r="578" spans="13:13" x14ac:dyDescent="0.25">
      <c r="M578" s="476"/>
    </row>
    <row r="579" spans="13:13" x14ac:dyDescent="0.25">
      <c r="M579" s="476"/>
    </row>
    <row r="580" spans="13:13" x14ac:dyDescent="0.25">
      <c r="M580" s="476"/>
    </row>
    <row r="581" spans="13:13" x14ac:dyDescent="0.25">
      <c r="M581" s="476"/>
    </row>
    <row r="582" spans="13:13" x14ac:dyDescent="0.25">
      <c r="M582" s="476"/>
    </row>
    <row r="583" spans="13:13" x14ac:dyDescent="0.25">
      <c r="M583" s="476"/>
    </row>
    <row r="584" spans="13:13" x14ac:dyDescent="0.25">
      <c r="M584" s="476"/>
    </row>
    <row r="585" spans="13:13" x14ac:dyDescent="0.25">
      <c r="M585" s="476"/>
    </row>
    <row r="586" spans="13:13" x14ac:dyDescent="0.25">
      <c r="M586" s="476"/>
    </row>
    <row r="587" spans="13:13" x14ac:dyDescent="0.25">
      <c r="M587" s="476"/>
    </row>
    <row r="588" spans="13:13" x14ac:dyDescent="0.25">
      <c r="M588" s="476"/>
    </row>
    <row r="589" spans="13:13" x14ac:dyDescent="0.25">
      <c r="M589" s="476"/>
    </row>
    <row r="590" spans="13:13" x14ac:dyDescent="0.25">
      <c r="M590" s="476"/>
    </row>
    <row r="591" spans="13:13" x14ac:dyDescent="0.25">
      <c r="M591" s="476"/>
    </row>
    <row r="592" spans="13:13" x14ac:dyDescent="0.25">
      <c r="M592" s="476"/>
    </row>
    <row r="593" spans="13:58" x14ac:dyDescent="0.25">
      <c r="M593" s="476"/>
    </row>
    <row r="594" spans="13:58" x14ac:dyDescent="0.25">
      <c r="M594" s="476"/>
    </row>
    <row r="595" spans="13:58" x14ac:dyDescent="0.25">
      <c r="M595" s="476"/>
    </row>
    <row r="596" spans="13:58" x14ac:dyDescent="0.25">
      <c r="M596" s="476"/>
    </row>
    <row r="597" spans="13:58" x14ac:dyDescent="0.25">
      <c r="M597" s="476"/>
    </row>
    <row r="598" spans="13:58" x14ac:dyDescent="0.25">
      <c r="M598" s="476"/>
      <c r="BF598" s="938" t="s">
        <v>1111</v>
      </c>
    </row>
  </sheetData>
  <mergeCells count="1042">
    <mergeCell ref="BF8:BG11"/>
    <mergeCell ref="S9:Z9"/>
    <mergeCell ref="AF10:AG10"/>
    <mergeCell ref="AF15:AG15"/>
    <mergeCell ref="AP16:AT22"/>
    <mergeCell ref="AZ17:BA17"/>
    <mergeCell ref="W20:X20"/>
    <mergeCell ref="AZ21:BA21"/>
    <mergeCell ref="A1:BE1"/>
    <mergeCell ref="AE4:AQ4"/>
    <mergeCell ref="AD5:AG5"/>
    <mergeCell ref="O6:O11"/>
    <mergeCell ref="AX6:AY14"/>
    <mergeCell ref="AZ6:BB14"/>
    <mergeCell ref="BC6:BE14"/>
    <mergeCell ref="AD78:AE78"/>
    <mergeCell ref="AF78:AI78"/>
    <mergeCell ref="AJ78:AM78"/>
    <mergeCell ref="AN78:AQ78"/>
    <mergeCell ref="Z80:AF80"/>
    <mergeCell ref="V82:W82"/>
    <mergeCell ref="AJ82:AM82"/>
    <mergeCell ref="AN82:AQ82"/>
    <mergeCell ref="BF40:BF42"/>
    <mergeCell ref="AT42:AT49"/>
    <mergeCell ref="U43:V44"/>
    <mergeCell ref="AQ43:AR43"/>
    <mergeCell ref="AZ49:BB49"/>
    <mergeCell ref="N51:T63"/>
    <mergeCell ref="P28:V28"/>
    <mergeCell ref="X30:Z30"/>
    <mergeCell ref="BD30:BE32"/>
    <mergeCell ref="E32:N32"/>
    <mergeCell ref="F34:K64"/>
    <mergeCell ref="AG35:AQ35"/>
    <mergeCell ref="AF36:AF39"/>
    <mergeCell ref="AY98:BA98"/>
    <mergeCell ref="BG98:BH98"/>
    <mergeCell ref="AJ101:AK101"/>
    <mergeCell ref="BM101:BM102"/>
    <mergeCell ref="AB103:AE104"/>
    <mergeCell ref="AQ103:AR103"/>
    <mergeCell ref="AQ104:AR104"/>
    <mergeCell ref="R91:T99"/>
    <mergeCell ref="AU92:AU95"/>
    <mergeCell ref="AB93:AC93"/>
    <mergeCell ref="AM93:AN93"/>
    <mergeCell ref="AH94:AI94"/>
    <mergeCell ref="AQ96:AR96"/>
    <mergeCell ref="AS96:AT96"/>
    <mergeCell ref="AY82:BA82"/>
    <mergeCell ref="BG82:BH82"/>
    <mergeCell ref="AM84:AN84"/>
    <mergeCell ref="AS86:AT86"/>
    <mergeCell ref="X87:Y87"/>
    <mergeCell ref="BM89:BM90"/>
    <mergeCell ref="AC90:AD90"/>
    <mergeCell ref="AG90:AJ90"/>
    <mergeCell ref="AY90:BA90"/>
    <mergeCell ref="BG90:BI90"/>
    <mergeCell ref="AH134:AH135"/>
    <mergeCell ref="F140:G149"/>
    <mergeCell ref="AN143:AN144"/>
    <mergeCell ref="AJ147:AQ147"/>
    <mergeCell ref="H117:P141"/>
    <mergeCell ref="BN118:BN123"/>
    <mergeCell ref="BL119:BL123"/>
    <mergeCell ref="AE120:AG120"/>
    <mergeCell ref="AV121:AV123"/>
    <mergeCell ref="AL123:AM123"/>
    <mergeCell ref="BG105:BH105"/>
    <mergeCell ref="S110:T112"/>
    <mergeCell ref="AY110:BA110"/>
    <mergeCell ref="AF114:AF115"/>
    <mergeCell ref="AI114:AI117"/>
    <mergeCell ref="AY115:BA115"/>
    <mergeCell ref="BG115:BH115"/>
    <mergeCell ref="AF116:AF117"/>
    <mergeCell ref="A213:D213"/>
    <mergeCell ref="A215:D215"/>
    <mergeCell ref="A216:D216"/>
    <mergeCell ref="A217:D217"/>
    <mergeCell ref="A220:Z220"/>
    <mergeCell ref="D221:H221"/>
    <mergeCell ref="I221:J221"/>
    <mergeCell ref="Q221:U221"/>
    <mergeCell ref="V221:W221"/>
    <mergeCell ref="T151:AG168"/>
    <mergeCell ref="A208:I208"/>
    <mergeCell ref="J208:M208"/>
    <mergeCell ref="A210:F210"/>
    <mergeCell ref="G210:I210"/>
    <mergeCell ref="A212:D212"/>
    <mergeCell ref="D127:E130"/>
    <mergeCell ref="W129:AF144"/>
    <mergeCell ref="T131:U131"/>
    <mergeCell ref="AR224:AV224"/>
    <mergeCell ref="D225:H225"/>
    <mergeCell ref="I225:J225"/>
    <mergeCell ref="Q225:U225"/>
    <mergeCell ref="V225:W225"/>
    <mergeCell ref="AI225:AM225"/>
    <mergeCell ref="AR225:AV225"/>
    <mergeCell ref="D224:H224"/>
    <mergeCell ref="I224:J224"/>
    <mergeCell ref="Q224:U224"/>
    <mergeCell ref="V224:W224"/>
    <mergeCell ref="AC224:AF224"/>
    <mergeCell ref="AI224:AM224"/>
    <mergeCell ref="AR222:AW222"/>
    <mergeCell ref="D223:H223"/>
    <mergeCell ref="I223:J223"/>
    <mergeCell ref="Q223:U223"/>
    <mergeCell ref="V223:W223"/>
    <mergeCell ref="AC223:AD223"/>
    <mergeCell ref="AI223:AM223"/>
    <mergeCell ref="AR223:AV223"/>
    <mergeCell ref="AC221:AF222"/>
    <mergeCell ref="D222:H222"/>
    <mergeCell ref="I222:J222"/>
    <mergeCell ref="Q222:U222"/>
    <mergeCell ref="V222:W222"/>
    <mergeCell ref="AI222:AN222"/>
    <mergeCell ref="A229:C229"/>
    <mergeCell ref="G229:I229"/>
    <mergeCell ref="N229:P229"/>
    <mergeCell ref="T229:V229"/>
    <mergeCell ref="AI229:AM229"/>
    <mergeCell ref="AR229:AV229"/>
    <mergeCell ref="A228:C228"/>
    <mergeCell ref="G228:I228"/>
    <mergeCell ref="N228:P228"/>
    <mergeCell ref="T228:V228"/>
    <mergeCell ref="AI228:AM228"/>
    <mergeCell ref="AR228:AV228"/>
    <mergeCell ref="AI226:AM226"/>
    <mergeCell ref="AR226:AV226"/>
    <mergeCell ref="A227:I227"/>
    <mergeCell ref="N227:V227"/>
    <mergeCell ref="AI227:AM227"/>
    <mergeCell ref="AR227:AV227"/>
    <mergeCell ref="A232:C232"/>
    <mergeCell ref="G232:I232"/>
    <mergeCell ref="N232:P232"/>
    <mergeCell ref="T232:V232"/>
    <mergeCell ref="AI232:AM232"/>
    <mergeCell ref="AR232:AV232"/>
    <mergeCell ref="A231:C231"/>
    <mergeCell ref="G231:I231"/>
    <mergeCell ref="N231:P231"/>
    <mergeCell ref="T231:V231"/>
    <mergeCell ref="AI231:AM231"/>
    <mergeCell ref="AR231:AV231"/>
    <mergeCell ref="A230:C230"/>
    <mergeCell ref="G230:I230"/>
    <mergeCell ref="N230:P230"/>
    <mergeCell ref="T230:V230"/>
    <mergeCell ref="AI230:AM230"/>
    <mergeCell ref="AR230:AV230"/>
    <mergeCell ref="A235:C235"/>
    <mergeCell ref="G235:I235"/>
    <mergeCell ref="N235:P235"/>
    <mergeCell ref="T235:V235"/>
    <mergeCell ref="AI235:AM235"/>
    <mergeCell ref="AR235:AV235"/>
    <mergeCell ref="A234:C234"/>
    <mergeCell ref="G234:I234"/>
    <mergeCell ref="N234:P234"/>
    <mergeCell ref="T234:V234"/>
    <mergeCell ref="AI234:AM234"/>
    <mergeCell ref="AR234:AV234"/>
    <mergeCell ref="A233:C233"/>
    <mergeCell ref="G233:I233"/>
    <mergeCell ref="N233:P233"/>
    <mergeCell ref="T233:V233"/>
    <mergeCell ref="AI233:AM233"/>
    <mergeCell ref="AR233:AV233"/>
    <mergeCell ref="A238:C238"/>
    <mergeCell ref="G238:I238"/>
    <mergeCell ref="N238:P238"/>
    <mergeCell ref="T238:V238"/>
    <mergeCell ref="AI238:AM238"/>
    <mergeCell ref="AR238:AV238"/>
    <mergeCell ref="A237:C237"/>
    <mergeCell ref="G237:I237"/>
    <mergeCell ref="N237:P237"/>
    <mergeCell ref="T237:V237"/>
    <mergeCell ref="AI237:AM237"/>
    <mergeCell ref="AR237:AV237"/>
    <mergeCell ref="A236:C236"/>
    <mergeCell ref="G236:I236"/>
    <mergeCell ref="N236:P236"/>
    <mergeCell ref="T236:V236"/>
    <mergeCell ref="AI236:AM236"/>
    <mergeCell ref="AR236:AV236"/>
    <mergeCell ref="A241:C241"/>
    <mergeCell ref="G241:I241"/>
    <mergeCell ref="N241:P241"/>
    <mergeCell ref="T241:V241"/>
    <mergeCell ref="AI241:AM241"/>
    <mergeCell ref="AR241:AV241"/>
    <mergeCell ref="A240:C240"/>
    <mergeCell ref="G240:I240"/>
    <mergeCell ref="N240:P240"/>
    <mergeCell ref="T240:V240"/>
    <mergeCell ref="AI240:AM240"/>
    <mergeCell ref="AR240:AV240"/>
    <mergeCell ref="A239:C239"/>
    <mergeCell ref="G239:I239"/>
    <mergeCell ref="N239:P239"/>
    <mergeCell ref="T239:V239"/>
    <mergeCell ref="AI239:AM239"/>
    <mergeCell ref="AR239:AV239"/>
    <mergeCell ref="A244:C244"/>
    <mergeCell ref="G244:I244"/>
    <mergeCell ref="N244:P244"/>
    <mergeCell ref="T244:V244"/>
    <mergeCell ref="AI244:AM244"/>
    <mergeCell ref="AR244:AV244"/>
    <mergeCell ref="A243:C243"/>
    <mergeCell ref="G243:I243"/>
    <mergeCell ref="N243:P243"/>
    <mergeCell ref="T243:V243"/>
    <mergeCell ref="AI243:AM243"/>
    <mergeCell ref="AR243:AV243"/>
    <mergeCell ref="A242:C242"/>
    <mergeCell ref="G242:I242"/>
    <mergeCell ref="N242:P242"/>
    <mergeCell ref="T242:V242"/>
    <mergeCell ref="AI242:AM242"/>
    <mergeCell ref="AR242:AV242"/>
    <mergeCell ref="A247:C247"/>
    <mergeCell ref="G247:I247"/>
    <mergeCell ref="N247:P247"/>
    <mergeCell ref="T247:V247"/>
    <mergeCell ref="AI247:AM247"/>
    <mergeCell ref="AR247:AV247"/>
    <mergeCell ref="A246:C246"/>
    <mergeCell ref="G246:I246"/>
    <mergeCell ref="N246:P246"/>
    <mergeCell ref="T246:V246"/>
    <mergeCell ref="AI246:AM246"/>
    <mergeCell ref="AR246:AV246"/>
    <mergeCell ref="A245:C245"/>
    <mergeCell ref="G245:I245"/>
    <mergeCell ref="N245:P245"/>
    <mergeCell ref="T245:V245"/>
    <mergeCell ref="AI245:AM245"/>
    <mergeCell ref="AR245:AV245"/>
    <mergeCell ref="A250:E250"/>
    <mergeCell ref="G250:I250"/>
    <mergeCell ref="N250:R250"/>
    <mergeCell ref="T250:V250"/>
    <mergeCell ref="AI250:AM250"/>
    <mergeCell ref="AR250:AV250"/>
    <mergeCell ref="AR248:AV248"/>
    <mergeCell ref="A249:C249"/>
    <mergeCell ref="G249:I249"/>
    <mergeCell ref="N249:P249"/>
    <mergeCell ref="T249:V249"/>
    <mergeCell ref="AI249:AM249"/>
    <mergeCell ref="AR249:AV249"/>
    <mergeCell ref="A248:C248"/>
    <mergeCell ref="G248:I248"/>
    <mergeCell ref="N248:P248"/>
    <mergeCell ref="T248:V248"/>
    <mergeCell ref="AC248:AF248"/>
    <mergeCell ref="AI248:AM248"/>
    <mergeCell ref="A254:C254"/>
    <mergeCell ref="G254:I254"/>
    <mergeCell ref="N254:P254"/>
    <mergeCell ref="T254:V254"/>
    <mergeCell ref="AI254:AM254"/>
    <mergeCell ref="AR254:AV254"/>
    <mergeCell ref="A253:C253"/>
    <mergeCell ref="G253:I253"/>
    <mergeCell ref="N253:P253"/>
    <mergeCell ref="T253:V253"/>
    <mergeCell ref="AI253:AM253"/>
    <mergeCell ref="AR253:AV253"/>
    <mergeCell ref="A251:I251"/>
    <mergeCell ref="N251:V251"/>
    <mergeCell ref="AI251:AM251"/>
    <mergeCell ref="AR251:AV251"/>
    <mergeCell ref="A252:C252"/>
    <mergeCell ref="G252:I252"/>
    <mergeCell ref="N252:P252"/>
    <mergeCell ref="T252:V252"/>
    <mergeCell ref="AI252:AM252"/>
    <mergeCell ref="AR252:AV252"/>
    <mergeCell ref="A257:C257"/>
    <mergeCell ref="G257:I257"/>
    <mergeCell ref="N257:P257"/>
    <mergeCell ref="T257:V257"/>
    <mergeCell ref="AI257:AM257"/>
    <mergeCell ref="AR257:AV257"/>
    <mergeCell ref="A256:C256"/>
    <mergeCell ref="G256:I256"/>
    <mergeCell ref="N256:P256"/>
    <mergeCell ref="T256:V256"/>
    <mergeCell ref="AI256:AM256"/>
    <mergeCell ref="AR256:AV256"/>
    <mergeCell ref="A255:C255"/>
    <mergeCell ref="G255:I255"/>
    <mergeCell ref="N255:P255"/>
    <mergeCell ref="T255:V255"/>
    <mergeCell ref="AI255:AM255"/>
    <mergeCell ref="AR255:AV255"/>
    <mergeCell ref="A260:C260"/>
    <mergeCell ref="G260:I260"/>
    <mergeCell ref="N260:P260"/>
    <mergeCell ref="T260:V260"/>
    <mergeCell ref="AI260:AM260"/>
    <mergeCell ref="AR260:AV260"/>
    <mergeCell ref="A259:C259"/>
    <mergeCell ref="G259:I259"/>
    <mergeCell ref="N259:P259"/>
    <mergeCell ref="T259:V259"/>
    <mergeCell ref="AI259:AM259"/>
    <mergeCell ref="AR259:AV259"/>
    <mergeCell ref="A258:C258"/>
    <mergeCell ref="G258:I258"/>
    <mergeCell ref="N258:P258"/>
    <mergeCell ref="T258:V258"/>
    <mergeCell ref="AI258:AM258"/>
    <mergeCell ref="AR258:AV258"/>
    <mergeCell ref="A264:C264"/>
    <mergeCell ref="G264:I264"/>
    <mergeCell ref="N264:P264"/>
    <mergeCell ref="T264:V264"/>
    <mergeCell ref="AI264:AM264"/>
    <mergeCell ref="AR264:AV264"/>
    <mergeCell ref="AR262:AV262"/>
    <mergeCell ref="A263:C263"/>
    <mergeCell ref="G263:I263"/>
    <mergeCell ref="N263:P263"/>
    <mergeCell ref="T263:V263"/>
    <mergeCell ref="AI263:AM263"/>
    <mergeCell ref="AR263:AV263"/>
    <mergeCell ref="A261:C261"/>
    <mergeCell ref="G261:I261"/>
    <mergeCell ref="N261:P261"/>
    <mergeCell ref="T261:V261"/>
    <mergeCell ref="AI261:AM261"/>
    <mergeCell ref="A262:C262"/>
    <mergeCell ref="G262:I262"/>
    <mergeCell ref="N262:P262"/>
    <mergeCell ref="T262:V262"/>
    <mergeCell ref="AI262:AM262"/>
    <mergeCell ref="A268:C268"/>
    <mergeCell ref="G268:I268"/>
    <mergeCell ref="N268:P268"/>
    <mergeCell ref="T268:V268"/>
    <mergeCell ref="AI268:AM268"/>
    <mergeCell ref="AR268:AV268"/>
    <mergeCell ref="AR266:AW266"/>
    <mergeCell ref="A267:C267"/>
    <mergeCell ref="G267:I267"/>
    <mergeCell ref="N267:P267"/>
    <mergeCell ref="T267:V267"/>
    <mergeCell ref="AI267:AM267"/>
    <mergeCell ref="AR267:AV267"/>
    <mergeCell ref="A265:C265"/>
    <mergeCell ref="G265:I265"/>
    <mergeCell ref="N265:P265"/>
    <mergeCell ref="T265:V265"/>
    <mergeCell ref="AI265:AM265"/>
    <mergeCell ref="A266:C266"/>
    <mergeCell ref="G266:I266"/>
    <mergeCell ref="N266:P266"/>
    <mergeCell ref="T266:V266"/>
    <mergeCell ref="AI266:AM266"/>
    <mergeCell ref="A271:I271"/>
    <mergeCell ref="N271:V271"/>
    <mergeCell ref="AI271:AM271"/>
    <mergeCell ref="AR271:AV271"/>
    <mergeCell ref="A272:C272"/>
    <mergeCell ref="G272:I272"/>
    <mergeCell ref="N272:P272"/>
    <mergeCell ref="T272:V272"/>
    <mergeCell ref="AI272:AM272"/>
    <mergeCell ref="AR272:AV272"/>
    <mergeCell ref="A270:E270"/>
    <mergeCell ref="G270:I270"/>
    <mergeCell ref="N270:R270"/>
    <mergeCell ref="T270:V270"/>
    <mergeCell ref="AI270:AM270"/>
    <mergeCell ref="AR270:AV270"/>
    <mergeCell ref="A269:C269"/>
    <mergeCell ref="G269:I269"/>
    <mergeCell ref="N269:P269"/>
    <mergeCell ref="T269:V269"/>
    <mergeCell ref="AI269:AM269"/>
    <mergeCell ref="AR269:AV269"/>
    <mergeCell ref="A275:I275"/>
    <mergeCell ref="N275:V275"/>
    <mergeCell ref="AI275:AM275"/>
    <mergeCell ref="AR275:AV275"/>
    <mergeCell ref="A276:C276"/>
    <mergeCell ref="G276:I276"/>
    <mergeCell ref="N276:P276"/>
    <mergeCell ref="T276:V276"/>
    <mergeCell ref="AI276:AM276"/>
    <mergeCell ref="AR276:AV276"/>
    <mergeCell ref="A274:E274"/>
    <mergeCell ref="G274:I274"/>
    <mergeCell ref="N274:R274"/>
    <mergeCell ref="T274:V274"/>
    <mergeCell ref="AI274:AM274"/>
    <mergeCell ref="AR274:AV274"/>
    <mergeCell ref="A273:C273"/>
    <mergeCell ref="G273:I273"/>
    <mergeCell ref="N273:P273"/>
    <mergeCell ref="T273:V273"/>
    <mergeCell ref="AI273:AM273"/>
    <mergeCell ref="AR273:AV273"/>
    <mergeCell ref="A279:C279"/>
    <mergeCell ref="G279:I279"/>
    <mergeCell ref="N279:P279"/>
    <mergeCell ref="T279:V279"/>
    <mergeCell ref="AI279:AM279"/>
    <mergeCell ref="AR279:AV279"/>
    <mergeCell ref="A278:C278"/>
    <mergeCell ref="G278:I278"/>
    <mergeCell ref="N278:P278"/>
    <mergeCell ref="T278:V278"/>
    <mergeCell ref="AI278:AM278"/>
    <mergeCell ref="AR278:AV278"/>
    <mergeCell ref="A277:C277"/>
    <mergeCell ref="G277:I277"/>
    <mergeCell ref="N277:P277"/>
    <mergeCell ref="T277:V277"/>
    <mergeCell ref="AI277:AM277"/>
    <mergeCell ref="AR277:AV277"/>
    <mergeCell ref="A282:C282"/>
    <mergeCell ref="G282:I282"/>
    <mergeCell ref="N282:P282"/>
    <mergeCell ref="T282:V282"/>
    <mergeCell ref="AI282:AM282"/>
    <mergeCell ref="AR282:AV282"/>
    <mergeCell ref="A281:C281"/>
    <mergeCell ref="G281:I281"/>
    <mergeCell ref="N281:P281"/>
    <mergeCell ref="T281:V281"/>
    <mergeCell ref="AI281:AM281"/>
    <mergeCell ref="AR281:AV281"/>
    <mergeCell ref="A280:C280"/>
    <mergeCell ref="G280:I280"/>
    <mergeCell ref="N280:P280"/>
    <mergeCell ref="T280:V280"/>
    <mergeCell ref="AI280:AM280"/>
    <mergeCell ref="AR280:AV280"/>
    <mergeCell ref="A285:C285"/>
    <mergeCell ref="G285:I285"/>
    <mergeCell ref="N285:P285"/>
    <mergeCell ref="T285:V285"/>
    <mergeCell ref="AI285:AM285"/>
    <mergeCell ref="AR285:AV285"/>
    <mergeCell ref="A284:C284"/>
    <mergeCell ref="G284:I284"/>
    <mergeCell ref="N284:P284"/>
    <mergeCell ref="T284:V284"/>
    <mergeCell ref="AI284:AM284"/>
    <mergeCell ref="AR284:AV284"/>
    <mergeCell ref="A283:C283"/>
    <mergeCell ref="G283:I283"/>
    <mergeCell ref="N283:P283"/>
    <mergeCell ref="T283:V283"/>
    <mergeCell ref="AI283:AM283"/>
    <mergeCell ref="AR283:AV283"/>
    <mergeCell ref="A288:C288"/>
    <mergeCell ref="G288:I288"/>
    <mergeCell ref="N288:P288"/>
    <mergeCell ref="T288:V288"/>
    <mergeCell ref="AI288:AM288"/>
    <mergeCell ref="AR288:AV288"/>
    <mergeCell ref="A287:C287"/>
    <mergeCell ref="G287:I287"/>
    <mergeCell ref="N287:P287"/>
    <mergeCell ref="T287:V287"/>
    <mergeCell ref="AI287:AM287"/>
    <mergeCell ref="AR287:AV287"/>
    <mergeCell ref="A286:C286"/>
    <mergeCell ref="G286:I286"/>
    <mergeCell ref="N286:P286"/>
    <mergeCell ref="T286:V286"/>
    <mergeCell ref="AI286:AM286"/>
    <mergeCell ref="AR286:AV286"/>
    <mergeCell ref="A291:C291"/>
    <mergeCell ref="G291:I291"/>
    <mergeCell ref="N291:P291"/>
    <mergeCell ref="T291:V291"/>
    <mergeCell ref="AI291:AM291"/>
    <mergeCell ref="AR291:AV291"/>
    <mergeCell ref="A290:C290"/>
    <mergeCell ref="G290:I290"/>
    <mergeCell ref="N290:P290"/>
    <mergeCell ref="T290:V290"/>
    <mergeCell ref="AI290:AM290"/>
    <mergeCell ref="AR290:AV290"/>
    <mergeCell ref="A289:C289"/>
    <mergeCell ref="G289:I289"/>
    <mergeCell ref="N289:P289"/>
    <mergeCell ref="T289:V289"/>
    <mergeCell ref="AI289:AM289"/>
    <mergeCell ref="AR289:AV289"/>
    <mergeCell ref="AI294:AM294"/>
    <mergeCell ref="AR294:AV294"/>
    <mergeCell ref="AI295:AM295"/>
    <mergeCell ref="AR295:AV295"/>
    <mergeCell ref="A296:E296"/>
    <mergeCell ref="G296:I296"/>
    <mergeCell ref="N296:R296"/>
    <mergeCell ref="T296:V296"/>
    <mergeCell ref="AI296:AM296"/>
    <mergeCell ref="AR296:AV296"/>
    <mergeCell ref="A293:E293"/>
    <mergeCell ref="G293:I293"/>
    <mergeCell ref="N293:R293"/>
    <mergeCell ref="T293:V293"/>
    <mergeCell ref="AI293:AM293"/>
    <mergeCell ref="AR293:AV293"/>
    <mergeCell ref="A292:C292"/>
    <mergeCell ref="G292:I292"/>
    <mergeCell ref="N292:P292"/>
    <mergeCell ref="T292:V292"/>
    <mergeCell ref="AI292:AM292"/>
    <mergeCell ref="AR292:AV292"/>
    <mergeCell ref="AI299:AM299"/>
    <mergeCell ref="AR299:AV299"/>
    <mergeCell ref="A300:C300"/>
    <mergeCell ref="D300:E300"/>
    <mergeCell ref="G300:I300"/>
    <mergeCell ref="N300:P300"/>
    <mergeCell ref="Q300:R300"/>
    <mergeCell ref="T300:V300"/>
    <mergeCell ref="AI300:AM300"/>
    <mergeCell ref="AR300:AV300"/>
    <mergeCell ref="A299:C299"/>
    <mergeCell ref="D299:E299"/>
    <mergeCell ref="G299:I299"/>
    <mergeCell ref="N299:P299"/>
    <mergeCell ref="Q299:R299"/>
    <mergeCell ref="T299:V299"/>
    <mergeCell ref="AI297:AM297"/>
    <mergeCell ref="AR297:AV297"/>
    <mergeCell ref="A298:C298"/>
    <mergeCell ref="D298:E298"/>
    <mergeCell ref="G298:I298"/>
    <mergeCell ref="N298:P298"/>
    <mergeCell ref="Q298:R298"/>
    <mergeCell ref="T298:V298"/>
    <mergeCell ref="AI298:AM298"/>
    <mergeCell ref="AR298:AV298"/>
    <mergeCell ref="A297:C297"/>
    <mergeCell ref="D297:E297"/>
    <mergeCell ref="G297:I297"/>
    <mergeCell ref="N297:P297"/>
    <mergeCell ref="Q297:R297"/>
    <mergeCell ref="T297:V297"/>
    <mergeCell ref="AR302:AV302"/>
    <mergeCell ref="AI303:AM303"/>
    <mergeCell ref="AR303:AV303"/>
    <mergeCell ref="AI304:AM304"/>
    <mergeCell ref="AR304:AV304"/>
    <mergeCell ref="A305:E305"/>
    <mergeCell ref="G305:I305"/>
    <mergeCell ref="N305:R305"/>
    <mergeCell ref="T305:V305"/>
    <mergeCell ref="AI305:AM305"/>
    <mergeCell ref="A301:E301"/>
    <mergeCell ref="G301:I301"/>
    <mergeCell ref="N301:R301"/>
    <mergeCell ref="T301:V301"/>
    <mergeCell ref="AR301:AV301"/>
    <mergeCell ref="A302:E302"/>
    <mergeCell ref="G302:I302"/>
    <mergeCell ref="N302:R302"/>
    <mergeCell ref="T302:V302"/>
    <mergeCell ref="AI302:AN302"/>
    <mergeCell ref="AI307:AM307"/>
    <mergeCell ref="AR307:AV307"/>
    <mergeCell ref="A308:C308"/>
    <mergeCell ref="D308:E308"/>
    <mergeCell ref="G308:I308"/>
    <mergeCell ref="N308:P308"/>
    <mergeCell ref="Q308:R308"/>
    <mergeCell ref="T308:V308"/>
    <mergeCell ref="AI308:AM308"/>
    <mergeCell ref="AR308:AV308"/>
    <mergeCell ref="A307:C307"/>
    <mergeCell ref="D307:E307"/>
    <mergeCell ref="G307:I307"/>
    <mergeCell ref="N307:P307"/>
    <mergeCell ref="Q307:R307"/>
    <mergeCell ref="T307:V307"/>
    <mergeCell ref="AR305:AV305"/>
    <mergeCell ref="A306:C306"/>
    <mergeCell ref="D306:E306"/>
    <mergeCell ref="G306:I306"/>
    <mergeCell ref="N306:P306"/>
    <mergeCell ref="Q306:R306"/>
    <mergeCell ref="T306:V306"/>
    <mergeCell ref="AI306:AM306"/>
    <mergeCell ref="AR306:AV306"/>
    <mergeCell ref="AI311:AM311"/>
    <mergeCell ref="AR311:AV311"/>
    <mergeCell ref="AI312:AM312"/>
    <mergeCell ref="AR312:AV312"/>
    <mergeCell ref="A313:E313"/>
    <mergeCell ref="G313:I313"/>
    <mergeCell ref="N313:R313"/>
    <mergeCell ref="T313:V313"/>
    <mergeCell ref="AI313:AM313"/>
    <mergeCell ref="AR313:AV313"/>
    <mergeCell ref="A310:E310"/>
    <mergeCell ref="G310:I310"/>
    <mergeCell ref="N310:R310"/>
    <mergeCell ref="T310:V310"/>
    <mergeCell ref="AI310:AM310"/>
    <mergeCell ref="AR310:AV310"/>
    <mergeCell ref="A309:E309"/>
    <mergeCell ref="G309:I309"/>
    <mergeCell ref="N309:R309"/>
    <mergeCell ref="T309:V309"/>
    <mergeCell ref="AI309:AM309"/>
    <mergeCell ref="AR309:AV309"/>
    <mergeCell ref="AI316:AM316"/>
    <mergeCell ref="AR316:AV316"/>
    <mergeCell ref="A317:C317"/>
    <mergeCell ref="D317:E317"/>
    <mergeCell ref="G317:I317"/>
    <mergeCell ref="N317:P317"/>
    <mergeCell ref="Q317:R317"/>
    <mergeCell ref="T317:V317"/>
    <mergeCell ref="AI317:AM317"/>
    <mergeCell ref="AR317:AV317"/>
    <mergeCell ref="A316:C316"/>
    <mergeCell ref="D316:E316"/>
    <mergeCell ref="G316:I316"/>
    <mergeCell ref="N316:P316"/>
    <mergeCell ref="Q316:R316"/>
    <mergeCell ref="T316:V316"/>
    <mergeCell ref="AI314:AM314"/>
    <mergeCell ref="AR314:AV314"/>
    <mergeCell ref="A315:C315"/>
    <mergeCell ref="D315:E315"/>
    <mergeCell ref="G315:I315"/>
    <mergeCell ref="N315:P315"/>
    <mergeCell ref="Q315:R315"/>
    <mergeCell ref="T315:V315"/>
    <mergeCell ref="AI315:AM315"/>
    <mergeCell ref="AR315:AV315"/>
    <mergeCell ref="A314:C314"/>
    <mergeCell ref="D314:E314"/>
    <mergeCell ref="G314:I314"/>
    <mergeCell ref="N314:P314"/>
    <mergeCell ref="Q314:R314"/>
    <mergeCell ref="T314:V314"/>
    <mergeCell ref="AI320:AM320"/>
    <mergeCell ref="AR320:AV320"/>
    <mergeCell ref="AI321:AM321"/>
    <mergeCell ref="AR321:AV321"/>
    <mergeCell ref="A322:E322"/>
    <mergeCell ref="G322:I322"/>
    <mergeCell ref="N322:R322"/>
    <mergeCell ref="T322:V322"/>
    <mergeCell ref="AI322:AM322"/>
    <mergeCell ref="A319:E319"/>
    <mergeCell ref="G319:I319"/>
    <mergeCell ref="N319:R319"/>
    <mergeCell ref="T319:V319"/>
    <mergeCell ref="AI319:AM319"/>
    <mergeCell ref="AR319:AV319"/>
    <mergeCell ref="A318:E318"/>
    <mergeCell ref="G318:I318"/>
    <mergeCell ref="N318:R318"/>
    <mergeCell ref="T318:V318"/>
    <mergeCell ref="AI318:AM318"/>
    <mergeCell ref="AR318:AV318"/>
    <mergeCell ref="AI325:AM325"/>
    <mergeCell ref="AR325:AV325"/>
    <mergeCell ref="A326:E326"/>
    <mergeCell ref="G326:I326"/>
    <mergeCell ref="N326:R326"/>
    <mergeCell ref="T326:V326"/>
    <mergeCell ref="AI326:AM326"/>
    <mergeCell ref="AR326:AV326"/>
    <mergeCell ref="A325:C325"/>
    <mergeCell ref="D325:E325"/>
    <mergeCell ref="G325:I325"/>
    <mergeCell ref="N325:P325"/>
    <mergeCell ref="Q325:R325"/>
    <mergeCell ref="T325:V325"/>
    <mergeCell ref="AI323:AM323"/>
    <mergeCell ref="AR323:AW323"/>
    <mergeCell ref="A324:C324"/>
    <mergeCell ref="D324:E324"/>
    <mergeCell ref="G324:I324"/>
    <mergeCell ref="N324:P324"/>
    <mergeCell ref="Q324:R324"/>
    <mergeCell ref="T324:V324"/>
    <mergeCell ref="AI324:AM324"/>
    <mergeCell ref="AR324:AV324"/>
    <mergeCell ref="A323:C323"/>
    <mergeCell ref="D323:E323"/>
    <mergeCell ref="G323:I323"/>
    <mergeCell ref="N323:P323"/>
    <mergeCell ref="Q323:R323"/>
    <mergeCell ref="T323:V323"/>
    <mergeCell ref="AI329:AM329"/>
    <mergeCell ref="AR329:AV329"/>
    <mergeCell ref="AI330:AM330"/>
    <mergeCell ref="AR330:AV330"/>
    <mergeCell ref="AI331:AM331"/>
    <mergeCell ref="AR331:AV331"/>
    <mergeCell ref="A328:E328"/>
    <mergeCell ref="G328:I328"/>
    <mergeCell ref="N328:R328"/>
    <mergeCell ref="T328:V328"/>
    <mergeCell ref="AI328:AM328"/>
    <mergeCell ref="AR328:AV328"/>
    <mergeCell ref="A327:E327"/>
    <mergeCell ref="G327:I327"/>
    <mergeCell ref="N327:R327"/>
    <mergeCell ref="T327:V327"/>
    <mergeCell ref="AI327:AM327"/>
    <mergeCell ref="AR327:AV327"/>
    <mergeCell ref="AI338:AM338"/>
    <mergeCell ref="AR338:AV338"/>
    <mergeCell ref="A339:E339"/>
    <mergeCell ref="G339:I339"/>
    <mergeCell ref="N339:R339"/>
    <mergeCell ref="T339:V339"/>
    <mergeCell ref="AR339:AV339"/>
    <mergeCell ref="AI336:AM336"/>
    <mergeCell ref="AR336:AV336"/>
    <mergeCell ref="A337:E337"/>
    <mergeCell ref="F337:G337"/>
    <mergeCell ref="N337:R337"/>
    <mergeCell ref="S337:T337"/>
    <mergeCell ref="AI337:AM337"/>
    <mergeCell ref="AR337:AV337"/>
    <mergeCell ref="A332:Z333"/>
    <mergeCell ref="AI332:AM332"/>
    <mergeCell ref="AR332:AV332"/>
    <mergeCell ref="AR333:AV333"/>
    <mergeCell ref="AR334:AV334"/>
    <mergeCell ref="A335:G335"/>
    <mergeCell ref="AI335:AN335"/>
    <mergeCell ref="AR335:AV335"/>
    <mergeCell ref="A343:E343"/>
    <mergeCell ref="G343:I343"/>
    <mergeCell ref="N343:R343"/>
    <mergeCell ref="T343:V343"/>
    <mergeCell ref="AI343:AM343"/>
    <mergeCell ref="AR343:AV343"/>
    <mergeCell ref="AR341:AV341"/>
    <mergeCell ref="A342:E342"/>
    <mergeCell ref="G342:I342"/>
    <mergeCell ref="N342:R342"/>
    <mergeCell ref="T342:V342"/>
    <mergeCell ref="AI342:AM342"/>
    <mergeCell ref="AR342:AV342"/>
    <mergeCell ref="A340:E340"/>
    <mergeCell ref="G340:I340"/>
    <mergeCell ref="N340:R340"/>
    <mergeCell ref="T340:V340"/>
    <mergeCell ref="AR340:AV340"/>
    <mergeCell ref="A341:E341"/>
    <mergeCell ref="G341:I341"/>
    <mergeCell ref="N341:R341"/>
    <mergeCell ref="T341:V341"/>
    <mergeCell ref="AI341:AN341"/>
    <mergeCell ref="A346:E346"/>
    <mergeCell ref="G346:I346"/>
    <mergeCell ref="N346:R346"/>
    <mergeCell ref="T346:V346"/>
    <mergeCell ref="AI346:AM346"/>
    <mergeCell ref="AR346:AV346"/>
    <mergeCell ref="A345:E345"/>
    <mergeCell ref="G345:I345"/>
    <mergeCell ref="N345:R345"/>
    <mergeCell ref="T345:V345"/>
    <mergeCell ref="AI345:AM345"/>
    <mergeCell ref="AR345:AV345"/>
    <mergeCell ref="A344:E344"/>
    <mergeCell ref="G344:I344"/>
    <mergeCell ref="N344:R344"/>
    <mergeCell ref="T344:V344"/>
    <mergeCell ref="AI344:AM344"/>
    <mergeCell ref="AR344:AV344"/>
    <mergeCell ref="A350:E350"/>
    <mergeCell ref="G350:I350"/>
    <mergeCell ref="N350:R350"/>
    <mergeCell ref="T350:V350"/>
    <mergeCell ref="AR350:AV350"/>
    <mergeCell ref="A351:E351"/>
    <mergeCell ref="G351:I351"/>
    <mergeCell ref="N351:R351"/>
    <mergeCell ref="T351:V351"/>
    <mergeCell ref="AR351:AV351"/>
    <mergeCell ref="A349:E349"/>
    <mergeCell ref="G349:I349"/>
    <mergeCell ref="N349:R349"/>
    <mergeCell ref="T349:V349"/>
    <mergeCell ref="AI349:AM349"/>
    <mergeCell ref="AR349:AV349"/>
    <mergeCell ref="A347:E347"/>
    <mergeCell ref="N347:R347"/>
    <mergeCell ref="AI347:AM347"/>
    <mergeCell ref="AR347:AV347"/>
    <mergeCell ref="A348:E348"/>
    <mergeCell ref="G348:I348"/>
    <mergeCell ref="N348:R348"/>
    <mergeCell ref="T348:V348"/>
    <mergeCell ref="AI348:AM348"/>
    <mergeCell ref="AR348:AV348"/>
    <mergeCell ref="A354:E354"/>
    <mergeCell ref="G354:I354"/>
    <mergeCell ref="N354:R354"/>
    <mergeCell ref="T354:V354"/>
    <mergeCell ref="AI354:AM354"/>
    <mergeCell ref="AR354:AV354"/>
    <mergeCell ref="A353:E353"/>
    <mergeCell ref="G353:I353"/>
    <mergeCell ref="N353:R353"/>
    <mergeCell ref="T353:V353"/>
    <mergeCell ref="AI353:AM353"/>
    <mergeCell ref="AR353:AV353"/>
    <mergeCell ref="A352:E352"/>
    <mergeCell ref="G352:I352"/>
    <mergeCell ref="N352:R352"/>
    <mergeCell ref="T352:V352"/>
    <mergeCell ref="AI352:AN352"/>
    <mergeCell ref="AR352:AV352"/>
    <mergeCell ref="A357:E357"/>
    <mergeCell ref="G357:I357"/>
    <mergeCell ref="N357:R357"/>
    <mergeCell ref="T357:V357"/>
    <mergeCell ref="AI357:AM357"/>
    <mergeCell ref="AR357:AV357"/>
    <mergeCell ref="A356:E356"/>
    <mergeCell ref="G356:I356"/>
    <mergeCell ref="N356:R356"/>
    <mergeCell ref="T356:V356"/>
    <mergeCell ref="AI356:AM356"/>
    <mergeCell ref="AR356:AV356"/>
    <mergeCell ref="A355:E355"/>
    <mergeCell ref="G355:I355"/>
    <mergeCell ref="N355:R355"/>
    <mergeCell ref="T355:V355"/>
    <mergeCell ref="AI355:AM355"/>
    <mergeCell ref="AR355:AV355"/>
    <mergeCell ref="A360:E360"/>
    <mergeCell ref="G360:I360"/>
    <mergeCell ref="N360:R360"/>
    <mergeCell ref="T360:V360"/>
    <mergeCell ref="AI360:AM360"/>
    <mergeCell ref="AR360:AV360"/>
    <mergeCell ref="A359:E359"/>
    <mergeCell ref="G359:I359"/>
    <mergeCell ref="N359:R359"/>
    <mergeCell ref="T359:V359"/>
    <mergeCell ref="AI359:AM359"/>
    <mergeCell ref="AR359:AV359"/>
    <mergeCell ref="A358:E358"/>
    <mergeCell ref="G358:I358"/>
    <mergeCell ref="N358:R358"/>
    <mergeCell ref="T358:V358"/>
    <mergeCell ref="AI358:AM358"/>
    <mergeCell ref="AR358:AV358"/>
    <mergeCell ref="A364:E364"/>
    <mergeCell ref="G364:I364"/>
    <mergeCell ref="N364:R364"/>
    <mergeCell ref="T364:V364"/>
    <mergeCell ref="AI364:AM364"/>
    <mergeCell ref="AR364:AW364"/>
    <mergeCell ref="A362:E362"/>
    <mergeCell ref="N362:R362"/>
    <mergeCell ref="AI362:AM362"/>
    <mergeCell ref="AR362:AV362"/>
    <mergeCell ref="A363:E363"/>
    <mergeCell ref="G363:I363"/>
    <mergeCell ref="N363:R363"/>
    <mergeCell ref="T363:V363"/>
    <mergeCell ref="AI363:AM363"/>
    <mergeCell ref="A361:E361"/>
    <mergeCell ref="G361:I361"/>
    <mergeCell ref="N361:R361"/>
    <mergeCell ref="T361:V361"/>
    <mergeCell ref="AI361:AM361"/>
    <mergeCell ref="AR361:AV361"/>
    <mergeCell ref="A367:E367"/>
    <mergeCell ref="G367:I367"/>
    <mergeCell ref="N367:R367"/>
    <mergeCell ref="T367:V367"/>
    <mergeCell ref="AI367:AM367"/>
    <mergeCell ref="AR367:AV367"/>
    <mergeCell ref="A366:E366"/>
    <mergeCell ref="G366:I366"/>
    <mergeCell ref="N366:R366"/>
    <mergeCell ref="T366:V366"/>
    <mergeCell ref="AI366:AM366"/>
    <mergeCell ref="AR366:AV366"/>
    <mergeCell ref="A365:E365"/>
    <mergeCell ref="G365:I365"/>
    <mergeCell ref="N365:R365"/>
    <mergeCell ref="T365:V365"/>
    <mergeCell ref="AI365:AM365"/>
    <mergeCell ref="AR365:AV365"/>
    <mergeCell ref="AR369:AW369"/>
    <mergeCell ref="A370:E370"/>
    <mergeCell ref="N370:R370"/>
    <mergeCell ref="AR370:AV370"/>
    <mergeCell ref="A371:E371"/>
    <mergeCell ref="G371:I371"/>
    <mergeCell ref="N371:R371"/>
    <mergeCell ref="T371:V371"/>
    <mergeCell ref="AI371:AN371"/>
    <mergeCell ref="AR371:AV371"/>
    <mergeCell ref="A368:E368"/>
    <mergeCell ref="G368:I368"/>
    <mergeCell ref="N368:R368"/>
    <mergeCell ref="T368:V368"/>
    <mergeCell ref="AI368:AM368"/>
    <mergeCell ref="A369:E369"/>
    <mergeCell ref="G369:I369"/>
    <mergeCell ref="N369:R369"/>
    <mergeCell ref="T369:V369"/>
    <mergeCell ref="AI369:AM369"/>
    <mergeCell ref="A374:E374"/>
    <mergeCell ref="N374:R374"/>
    <mergeCell ref="AR374:AV374"/>
    <mergeCell ref="A375:E375"/>
    <mergeCell ref="G375:I375"/>
    <mergeCell ref="N375:R375"/>
    <mergeCell ref="T375:V375"/>
    <mergeCell ref="AR375:AV375"/>
    <mergeCell ref="A373:E373"/>
    <mergeCell ref="G373:I373"/>
    <mergeCell ref="N373:R373"/>
    <mergeCell ref="T373:V373"/>
    <mergeCell ref="AI373:AM373"/>
    <mergeCell ref="AR373:AV373"/>
    <mergeCell ref="A372:E372"/>
    <mergeCell ref="G372:I372"/>
    <mergeCell ref="N372:R372"/>
    <mergeCell ref="T372:V372"/>
    <mergeCell ref="AI372:AM372"/>
    <mergeCell ref="AR372:AV372"/>
    <mergeCell ref="AR378:AW378"/>
    <mergeCell ref="AI379:AM379"/>
    <mergeCell ref="AR379:AV379"/>
    <mergeCell ref="AI380:AM380"/>
    <mergeCell ref="AR380:AV380"/>
    <mergeCell ref="AI381:AM381"/>
    <mergeCell ref="A377:E377"/>
    <mergeCell ref="G377:I377"/>
    <mergeCell ref="N377:R377"/>
    <mergeCell ref="T377:V377"/>
    <mergeCell ref="AI377:AM377"/>
    <mergeCell ref="AI378:AM378"/>
    <mergeCell ref="A376:E376"/>
    <mergeCell ref="G376:I376"/>
    <mergeCell ref="N376:R376"/>
    <mergeCell ref="T376:V376"/>
    <mergeCell ref="AI376:AN376"/>
    <mergeCell ref="AR376:AV376"/>
    <mergeCell ref="AI390:AM390"/>
    <mergeCell ref="AR390:AW390"/>
    <mergeCell ref="AI391:AM391"/>
    <mergeCell ref="AR391:AV391"/>
    <mergeCell ref="AI392:AM392"/>
    <mergeCell ref="AR392:AV392"/>
    <mergeCell ref="AI386:AM386"/>
    <mergeCell ref="AR386:AW386"/>
    <mergeCell ref="AI387:AM387"/>
    <mergeCell ref="AR387:AV387"/>
    <mergeCell ref="AR388:AV388"/>
    <mergeCell ref="AI389:AN389"/>
    <mergeCell ref="AI382:AM382"/>
    <mergeCell ref="AR382:AW382"/>
    <mergeCell ref="AR383:AV383"/>
    <mergeCell ref="AI384:AN384"/>
    <mergeCell ref="AR384:AV384"/>
    <mergeCell ref="AI385:AM385"/>
    <mergeCell ref="AI400:AM400"/>
    <mergeCell ref="AI402:AN402"/>
    <mergeCell ref="AI403:AM403"/>
    <mergeCell ref="AI404:AM404"/>
    <mergeCell ref="AI405:AM405"/>
    <mergeCell ref="AI426:AN426"/>
    <mergeCell ref="AI397:AM397"/>
    <mergeCell ref="AR397:AV397"/>
    <mergeCell ref="AI398:AM398"/>
    <mergeCell ref="AR398:AV398"/>
    <mergeCell ref="AI399:AM399"/>
    <mergeCell ref="AR399:AV399"/>
    <mergeCell ref="AI393:AM393"/>
    <mergeCell ref="AI394:AM394"/>
    <mergeCell ref="AR394:AW394"/>
    <mergeCell ref="AI395:AM395"/>
    <mergeCell ref="AR395:AV395"/>
    <mergeCell ref="AI396:AM396"/>
    <mergeCell ref="AR396:AV396"/>
    <mergeCell ref="AI468:AN468"/>
    <mergeCell ref="AI469:AM469"/>
    <mergeCell ref="AI470:AN470"/>
    <mergeCell ref="AI471:AN471"/>
    <mergeCell ref="AI473:AN473"/>
    <mergeCell ref="AI474:AM474"/>
    <mergeCell ref="AI454:AN454"/>
    <mergeCell ref="AI455:AM455"/>
    <mergeCell ref="AI463:AN463"/>
    <mergeCell ref="AI464:AM464"/>
    <mergeCell ref="AI465:AN465"/>
    <mergeCell ref="AI466:AN466"/>
    <mergeCell ref="AI427:AM427"/>
    <mergeCell ref="AI428:AN428"/>
    <mergeCell ref="AI429:AN429"/>
    <mergeCell ref="AI447:AM447"/>
    <mergeCell ref="AI451:AN451"/>
    <mergeCell ref="AI452:AN452"/>
    <mergeCell ref="AI496:AN496"/>
    <mergeCell ref="AI497:AM497"/>
    <mergeCell ref="AI498:AN498"/>
    <mergeCell ref="AI499:AN499"/>
    <mergeCell ref="AI502:AN502"/>
    <mergeCell ref="AI503:AM503"/>
    <mergeCell ref="AI484:AN484"/>
    <mergeCell ref="AI485:AM485"/>
    <mergeCell ref="AI491:AN491"/>
    <mergeCell ref="AI492:AM492"/>
    <mergeCell ref="AI493:AN493"/>
    <mergeCell ref="AI494:AN494"/>
    <mergeCell ref="AI475:AN475"/>
    <mergeCell ref="AI476:AN476"/>
    <mergeCell ref="AI478:AN478"/>
    <mergeCell ref="AI479:AM479"/>
    <mergeCell ref="AI480:AN480"/>
    <mergeCell ref="AI481:AN481"/>
  </mergeCells>
  <phoneticPr fontId="0" type="noConversion"/>
  <conditionalFormatting sqref="A231">
    <cfRule type="expression" dxfId="64" priority="4">
      <formula>IF(D231="DESC",1,0)</formula>
    </cfRule>
  </conditionalFormatting>
  <conditionalFormatting sqref="A272:A273">
    <cfRule type="expression" dxfId="63" priority="45">
      <formula>IF(D272="DESC",1,0)</formula>
    </cfRule>
  </conditionalFormatting>
  <conditionalFormatting sqref="A276:A292">
    <cfRule type="expression" dxfId="62" priority="47">
      <formula>IF(D276="DESC",1,0)</formula>
    </cfRule>
  </conditionalFormatting>
  <conditionalFormatting sqref="A340:A345">
    <cfRule type="expression" dxfId="61" priority="22">
      <formula>IF(#REF!="DESC",1,0)</formula>
    </cfRule>
  </conditionalFormatting>
  <conditionalFormatting sqref="A348:A360">
    <cfRule type="expression" dxfId="60" priority="8">
      <formula>IF(#REF!="DESC",1,0)</formula>
    </cfRule>
  </conditionalFormatting>
  <conditionalFormatting sqref="A363:A368">
    <cfRule type="expression" dxfId="59" priority="20">
      <formula>IF(#REF!="DESC",1,0)</formula>
    </cfRule>
  </conditionalFormatting>
  <conditionalFormatting sqref="A371:A372">
    <cfRule type="expression" dxfId="58" priority="18">
      <formula>IF(#REF!="DESC",1,0)</formula>
    </cfRule>
  </conditionalFormatting>
  <conditionalFormatting sqref="A375:A376">
    <cfRule type="expression" dxfId="57" priority="16">
      <formula>IF(#REF!="DESC",1,0)</formula>
    </cfRule>
  </conditionalFormatting>
  <conditionalFormatting sqref="A269:C269">
    <cfRule type="expression" dxfId="56" priority="12">
      <formula>IF(D269="DESC",1,0)</formula>
    </cfRule>
  </conditionalFormatting>
  <conditionalFormatting sqref="A297:C300">
    <cfRule type="expression" dxfId="55" priority="54">
      <formula>IF(D297="DESC",1,0)</formula>
    </cfRule>
  </conditionalFormatting>
  <conditionalFormatting sqref="A306:C308">
    <cfRule type="expression" dxfId="54" priority="58">
      <formula>IF(D306="DESC",1,0)</formula>
    </cfRule>
  </conditionalFormatting>
  <conditionalFormatting sqref="A314:C317">
    <cfRule type="expression" dxfId="53" priority="56">
      <formula>IF(D314="DESC",1,0)</formula>
    </cfRule>
  </conditionalFormatting>
  <conditionalFormatting sqref="A323:C325">
    <cfRule type="expression" dxfId="52" priority="53">
      <formula>IF(D323="DESC",1,0)</formula>
    </cfRule>
  </conditionalFormatting>
  <conditionalFormatting sqref="A228:N228 A229:F230 A232:F249 A252:A268">
    <cfRule type="expression" dxfId="51" priority="14">
      <formula>IF(D228="DESC",1,0)</formula>
    </cfRule>
  </conditionalFormatting>
  <conditionalFormatting sqref="F238 S238:S253 S256:S259 S261:S268 S270:S325">
    <cfRule type="expression" dxfId="50" priority="60">
      <formula>IF(D238="DESC",1,0)</formula>
    </cfRule>
  </conditionalFormatting>
  <conditionalFormatting sqref="F242">
    <cfRule type="expression" dxfId="49" priority="61">
      <formula>IF(D242="DESC",1,0)</formula>
    </cfRule>
  </conditionalFormatting>
  <conditionalFormatting sqref="F262">
    <cfRule type="expression" dxfId="48" priority="28">
      <formula>IF(D262="DESC",1,0)</formula>
    </cfRule>
  </conditionalFormatting>
  <conditionalFormatting sqref="F269">
    <cfRule type="expression" dxfId="47" priority="11">
      <formula>IF(I269="DESC",1,0)</formula>
    </cfRule>
  </conditionalFormatting>
  <conditionalFormatting sqref="F297:F300">
    <cfRule type="expression" dxfId="46" priority="55">
      <formula>IF(D297="DESC",1,0)</formula>
    </cfRule>
  </conditionalFormatting>
  <conditionalFormatting sqref="F306:F308">
    <cfRule type="expression" dxfId="45" priority="48">
      <formula>IF(D306="DESC",1,0)</formula>
    </cfRule>
  </conditionalFormatting>
  <conditionalFormatting sqref="F314:F317">
    <cfRule type="expression" dxfId="44" priority="57">
      <formula>IF(D314="DESC",1,0)</formula>
    </cfRule>
  </conditionalFormatting>
  <conditionalFormatting sqref="F323:F325">
    <cfRule type="expression" dxfId="43" priority="59">
      <formula>IF(D323="DESC",1,0)</formula>
    </cfRule>
  </conditionalFormatting>
  <conditionalFormatting sqref="F348:F360">
    <cfRule type="duplicateValues" dxfId="42" priority="7"/>
  </conditionalFormatting>
  <conditionalFormatting sqref="G252:I269 G272:I273 G276:I292 G297:I300 G306:I308 G314:I317 G323:I325 G340:I345 G348:I360 G363:I368 G371:I372 G375:I376">
    <cfRule type="expression" dxfId="41" priority="2">
      <formula>IF(J252="DESC",1,0)</formula>
    </cfRule>
  </conditionalFormatting>
  <conditionalFormatting sqref="G229:N249">
    <cfRule type="expression" dxfId="40" priority="3">
      <formula>IF(J229="DESC",1,0)</formula>
    </cfRule>
  </conditionalFormatting>
  <conditionalFormatting sqref="N252:N268">
    <cfRule type="expression" dxfId="39" priority="13">
      <formula>IF(Q252="DESC",1,0)</formula>
    </cfRule>
  </conditionalFormatting>
  <conditionalFormatting sqref="N272:N273">
    <cfRule type="expression" dxfId="38" priority="44">
      <formula>IF(Q272="DESC",1,0)</formula>
    </cfRule>
  </conditionalFormatting>
  <conditionalFormatting sqref="N276:N292">
    <cfRule type="expression" dxfId="37" priority="46">
      <formula>IF(Q276="DESC",1,0)</formula>
    </cfRule>
  </conditionalFormatting>
  <conditionalFormatting sqref="N340:N345">
    <cfRule type="expression" dxfId="36" priority="21">
      <formula>IF(#REF!="DESC",1,0)</formula>
    </cfRule>
  </conditionalFormatting>
  <conditionalFormatting sqref="N348:N360">
    <cfRule type="expression" dxfId="35" priority="6">
      <formula>IF(#REF!="DESC",1,0)</formula>
    </cfRule>
  </conditionalFormatting>
  <conditionalFormatting sqref="N363:N368">
    <cfRule type="expression" dxfId="34" priority="19">
      <formula>IF(#REF!="DESC",1,0)</formula>
    </cfRule>
  </conditionalFormatting>
  <conditionalFormatting sqref="N371:N372">
    <cfRule type="expression" dxfId="33" priority="17">
      <formula>IF(#REF!="DESC",1,0)</formula>
    </cfRule>
  </conditionalFormatting>
  <conditionalFormatting sqref="N375:N376">
    <cfRule type="expression" dxfId="32" priority="15">
      <formula>IF(#REF!="DESC",1,0)</formula>
    </cfRule>
  </conditionalFormatting>
  <conditionalFormatting sqref="N269:P269">
    <cfRule type="expression" dxfId="31" priority="10">
      <formula>IF(Q269="DESC",1,0)</formula>
    </cfRule>
  </conditionalFormatting>
  <conditionalFormatting sqref="N297:P300">
    <cfRule type="expression" dxfId="30" priority="50">
      <formula>IF(Q297="DESC",1,0)</formula>
    </cfRule>
  </conditionalFormatting>
  <conditionalFormatting sqref="N306:P308">
    <cfRule type="expression" dxfId="29" priority="52">
      <formula>IF(Q306="DESC",1,0)</formula>
    </cfRule>
  </conditionalFormatting>
  <conditionalFormatting sqref="N314:P317">
    <cfRule type="expression" dxfId="28" priority="51">
      <formula>IF(Q314="DESC",1,0)</formula>
    </cfRule>
  </conditionalFormatting>
  <conditionalFormatting sqref="N323:P325">
    <cfRule type="expression" dxfId="27" priority="49">
      <formula>IF(Q323="DESC",1,0)</formula>
    </cfRule>
  </conditionalFormatting>
  <conditionalFormatting sqref="S269">
    <cfRule type="expression" dxfId="26" priority="9">
      <formula>IF(V269="DESC",1,0)</formula>
    </cfRule>
  </conditionalFormatting>
  <conditionalFormatting sqref="S348:S360">
    <cfRule type="duplicateValues" dxfId="25" priority="5"/>
  </conditionalFormatting>
  <conditionalFormatting sqref="AD241">
    <cfRule type="duplicateValues" dxfId="24" priority="62"/>
  </conditionalFormatting>
  <conditionalFormatting sqref="AD246">
    <cfRule type="duplicateValues" dxfId="23" priority="30"/>
  </conditionalFormatting>
  <conditionalFormatting sqref="AD249:AD250 AD252 AD254:AD260 AD262:AD265">
    <cfRule type="duplicateValues" dxfId="22" priority="63"/>
  </conditionalFormatting>
  <conditionalFormatting sqref="AD251">
    <cfRule type="duplicateValues" dxfId="21" priority="41"/>
  </conditionalFormatting>
  <conditionalFormatting sqref="AD253">
    <cfRule type="duplicateValues" dxfId="20" priority="43"/>
  </conditionalFormatting>
  <conditionalFormatting sqref="AD261">
    <cfRule type="duplicateValues" dxfId="19" priority="42"/>
  </conditionalFormatting>
  <conditionalFormatting sqref="AD266">
    <cfRule type="duplicateValues" dxfId="18" priority="36"/>
  </conditionalFormatting>
  <conditionalFormatting sqref="AD267">
    <cfRule type="duplicateValues" dxfId="17" priority="29"/>
  </conditionalFormatting>
  <conditionalFormatting sqref="AD268 AD270:AD273 AD275 AD278:AD281 AD283:AD289 AD291:AD292 AD294:AD302 AD304:AD306 AD308:AD310 AD313:AD318">
    <cfRule type="duplicateValues" dxfId="16" priority="64"/>
  </conditionalFormatting>
  <conditionalFormatting sqref="AD269">
    <cfRule type="duplicateValues" dxfId="15" priority="35"/>
  </conditionalFormatting>
  <conditionalFormatting sqref="AD274">
    <cfRule type="duplicateValues" dxfId="14" priority="40"/>
  </conditionalFormatting>
  <conditionalFormatting sqref="AD276">
    <cfRule type="duplicateValues" dxfId="13" priority="27"/>
  </conditionalFormatting>
  <conditionalFormatting sqref="AD277">
    <cfRule type="duplicateValues" dxfId="12" priority="26"/>
  </conditionalFormatting>
  <conditionalFormatting sqref="AD282">
    <cfRule type="duplicateValues" dxfId="11" priority="33"/>
  </conditionalFormatting>
  <conditionalFormatting sqref="AD290">
    <cfRule type="duplicateValues" dxfId="10" priority="39"/>
  </conditionalFormatting>
  <conditionalFormatting sqref="AD293">
    <cfRule type="duplicateValues" dxfId="9" priority="25"/>
  </conditionalFormatting>
  <conditionalFormatting sqref="AD303">
    <cfRule type="duplicateValues" dxfId="8" priority="34"/>
  </conditionalFormatting>
  <conditionalFormatting sqref="AD307">
    <cfRule type="duplicateValues" dxfId="7" priority="38"/>
  </conditionalFormatting>
  <conditionalFormatting sqref="AD311">
    <cfRule type="duplicateValues" dxfId="6" priority="37"/>
  </conditionalFormatting>
  <conditionalFormatting sqref="AD312">
    <cfRule type="duplicateValues" dxfId="5" priority="24"/>
  </conditionalFormatting>
  <conditionalFormatting sqref="AD320">
    <cfRule type="duplicateValues" dxfId="4" priority="32"/>
  </conditionalFormatting>
  <conditionalFormatting sqref="AD321">
    <cfRule type="duplicateValues" dxfId="3" priority="31"/>
  </conditionalFormatting>
  <conditionalFormatting sqref="BB91">
    <cfRule type="duplicateValues" dxfId="2" priority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GO199"/>
  <sheetViews>
    <sheetView topLeftCell="AR99" zoomScale="60" zoomScaleNormal="60" workbookViewId="0">
      <selection activeCell="BG85" activeCellId="7" sqref="AS115:AS116 AY118:BA119 AY101:BA102 BG101:BH102 BG108:BH109 AY93:BA94 AY85:BA86 BG85:BH86"/>
    </sheetView>
  </sheetViews>
  <sheetFormatPr baseColWidth="10" defaultColWidth="16.7109375" defaultRowHeight="15" x14ac:dyDescent="0.25"/>
  <cols>
    <col min="1" max="42" width="0" hidden="1" customWidth="1"/>
    <col min="43" max="43" width="16.7109375" hidden="1" customWidth="1"/>
  </cols>
  <sheetData>
    <row r="1" spans="1:66" ht="45.75" thickBot="1" x14ac:dyDescent="0.3">
      <c r="A1" s="1325" t="s">
        <v>148</v>
      </c>
      <c r="B1" s="1325"/>
      <c r="C1" s="1325"/>
      <c r="D1" s="1325"/>
      <c r="E1" s="1325"/>
      <c r="F1" s="1325"/>
      <c r="G1" s="1325"/>
      <c r="H1" s="1325"/>
      <c r="I1" s="1325"/>
      <c r="J1" s="1325"/>
      <c r="K1" s="1325"/>
      <c r="L1" s="1325"/>
      <c r="M1" s="1325"/>
      <c r="N1" s="1325"/>
      <c r="O1" s="1325"/>
      <c r="P1" s="1325"/>
      <c r="Q1" s="1325"/>
      <c r="R1" s="1325"/>
      <c r="S1" s="1325"/>
      <c r="T1" s="1325"/>
      <c r="U1" s="1325"/>
      <c r="V1" s="1325"/>
      <c r="W1" s="1325"/>
      <c r="X1" s="1325"/>
      <c r="Y1" s="1325"/>
      <c r="Z1" s="1325"/>
      <c r="AA1" s="1325"/>
      <c r="AB1" s="1325"/>
      <c r="AC1" s="1325"/>
      <c r="AD1" s="1325"/>
      <c r="AE1" s="1325"/>
      <c r="AF1" s="1325"/>
      <c r="AG1" s="1325"/>
      <c r="AH1" s="1325"/>
      <c r="AI1" s="1325"/>
      <c r="AJ1" s="1325"/>
      <c r="AK1" s="1325"/>
      <c r="AL1" s="1325"/>
      <c r="AM1" s="1325"/>
      <c r="AN1" s="1325"/>
      <c r="AO1" s="1325"/>
      <c r="AP1" s="1325"/>
      <c r="AQ1" s="1325"/>
      <c r="AR1" s="1325"/>
      <c r="AS1" s="1325"/>
      <c r="AT1" s="1325"/>
      <c r="AU1" s="1325"/>
      <c r="AV1" s="1325"/>
      <c r="AW1" s="1325"/>
      <c r="AX1" s="1325"/>
      <c r="AY1" s="1325"/>
      <c r="AZ1" s="1325"/>
      <c r="BA1" s="1325"/>
      <c r="BB1" s="1325"/>
      <c r="BC1" s="1325"/>
      <c r="BD1" s="1325"/>
      <c r="BE1" s="1326"/>
      <c r="BF1" s="32"/>
      <c r="BG1" s="32"/>
      <c r="BH1" s="32"/>
      <c r="BI1" s="32"/>
      <c r="BJ1" s="32"/>
      <c r="BK1" s="32"/>
      <c r="BL1" s="33"/>
      <c r="BM1" s="33"/>
      <c r="BN1" s="33"/>
    </row>
    <row r="2" spans="1:66" ht="35.2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6"/>
      <c r="N2" s="36"/>
      <c r="O2" s="36"/>
      <c r="P2" s="36"/>
      <c r="Q2" s="36"/>
      <c r="R2" s="36"/>
      <c r="S2" s="36"/>
      <c r="T2" s="36"/>
      <c r="U2" s="37"/>
      <c r="V2" s="37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2"/>
      <c r="BG2" s="32"/>
      <c r="BH2" s="32"/>
      <c r="BI2" s="32"/>
      <c r="BJ2" s="32"/>
      <c r="BK2" s="32"/>
      <c r="BL2" s="33"/>
      <c r="BM2" s="33"/>
      <c r="BN2" s="33"/>
    </row>
    <row r="3" spans="1:66" ht="1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2"/>
      <c r="M3" s="36"/>
      <c r="N3" s="36"/>
      <c r="O3" s="939"/>
      <c r="P3" s="939"/>
      <c r="Q3" s="939"/>
      <c r="R3" s="939"/>
      <c r="S3" s="939"/>
      <c r="T3" s="939"/>
      <c r="U3" s="940"/>
      <c r="V3" s="940"/>
      <c r="W3" s="939"/>
      <c r="X3" s="939"/>
      <c r="Y3" s="939"/>
      <c r="Z3" s="939"/>
      <c r="AA3" s="939"/>
      <c r="AB3" s="36"/>
      <c r="AC3" s="36"/>
      <c r="AD3" s="939"/>
      <c r="AE3" s="939"/>
      <c r="AF3" s="939"/>
      <c r="AG3" s="939"/>
      <c r="AH3" s="939"/>
      <c r="AI3" s="939"/>
      <c r="AJ3" s="939"/>
      <c r="AK3" s="939"/>
      <c r="AL3" s="939"/>
      <c r="AM3" s="939"/>
      <c r="AN3" s="939"/>
      <c r="AO3" s="939"/>
      <c r="AP3" s="939"/>
      <c r="AQ3" s="939"/>
      <c r="AR3" s="939"/>
      <c r="AS3" s="939"/>
      <c r="AT3" s="939"/>
      <c r="AU3" s="939"/>
      <c r="AV3" s="939"/>
      <c r="AW3" s="939"/>
      <c r="AX3" s="939"/>
      <c r="AY3" s="939"/>
      <c r="AZ3" s="36"/>
      <c r="BA3" s="36"/>
      <c r="BB3" s="36"/>
      <c r="BC3" s="36"/>
      <c r="BD3" s="36"/>
      <c r="BE3" s="36"/>
      <c r="BF3" s="32"/>
      <c r="BG3" s="32"/>
      <c r="BH3" s="32"/>
      <c r="BI3" s="32"/>
      <c r="BJ3" s="32"/>
      <c r="BK3" s="32"/>
      <c r="BL3" s="33"/>
      <c r="BM3" s="33"/>
      <c r="BN3" s="33"/>
    </row>
    <row r="4" spans="1:66" ht="20.25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8"/>
      <c r="M4" s="39"/>
      <c r="N4" s="39"/>
      <c r="O4" s="941"/>
      <c r="P4" s="942"/>
      <c r="Q4" s="941"/>
      <c r="R4" s="941"/>
      <c r="S4" s="941"/>
      <c r="T4" s="941"/>
      <c r="U4" s="943"/>
      <c r="V4" s="943"/>
      <c r="W4" s="943"/>
      <c r="X4" s="943"/>
      <c r="Y4" s="943"/>
      <c r="Z4" s="944"/>
      <c r="AA4" s="945"/>
      <c r="AB4" s="41"/>
      <c r="AC4" s="41"/>
      <c r="AD4" s="943"/>
      <c r="AE4" s="1327"/>
      <c r="AF4" s="1327"/>
      <c r="AG4" s="1327"/>
      <c r="AH4" s="1327"/>
      <c r="AI4" s="1327"/>
      <c r="AJ4" s="1327"/>
      <c r="AK4" s="1327"/>
      <c r="AL4" s="1327"/>
      <c r="AM4" s="1327"/>
      <c r="AN4" s="1327"/>
      <c r="AO4" s="1327"/>
      <c r="AP4" s="1327"/>
      <c r="AQ4" s="1327"/>
      <c r="AR4" s="1036"/>
      <c r="AS4" s="944"/>
      <c r="AT4" s="944"/>
      <c r="AU4" s="944"/>
      <c r="AV4" s="944"/>
      <c r="AW4" s="943"/>
      <c r="AX4" s="943"/>
      <c r="AY4" s="943"/>
      <c r="AZ4" s="41"/>
      <c r="BA4" s="41"/>
      <c r="BB4" s="42"/>
      <c r="BC4" s="43"/>
      <c r="BD4" s="45"/>
      <c r="BE4" s="45"/>
      <c r="BF4" s="45"/>
      <c r="BG4" s="45"/>
      <c r="BH4" s="45"/>
      <c r="BI4" s="46"/>
      <c r="BJ4" s="42"/>
      <c r="BK4" s="47"/>
      <c r="BL4" s="33"/>
      <c r="BM4" s="33"/>
      <c r="BN4" s="33"/>
    </row>
    <row r="5" spans="1:66" ht="21" thickBo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47"/>
      <c r="M5" s="39"/>
      <c r="N5" s="47"/>
      <c r="O5" s="946"/>
      <c r="P5" s="947"/>
      <c r="Q5" s="948"/>
      <c r="R5" s="948"/>
      <c r="S5" s="948"/>
      <c r="T5" s="948"/>
      <c r="U5" s="949"/>
      <c r="V5" s="949"/>
      <c r="W5" s="948"/>
      <c r="X5" s="948"/>
      <c r="Y5" s="948"/>
      <c r="Z5" s="946"/>
      <c r="AA5" s="946"/>
      <c r="AB5" s="48"/>
      <c r="AC5" s="50"/>
      <c r="AD5" s="1328"/>
      <c r="AE5" s="1328"/>
      <c r="AF5" s="1328"/>
      <c r="AG5" s="1328"/>
      <c r="AH5" s="948"/>
      <c r="AI5" s="948"/>
      <c r="AJ5" s="948"/>
      <c r="AK5" s="948"/>
      <c r="AL5" s="948"/>
      <c r="AM5" s="948"/>
      <c r="AN5" s="948"/>
      <c r="AO5" s="948"/>
      <c r="AP5" s="948"/>
      <c r="AQ5" s="948"/>
      <c r="AR5" s="948"/>
      <c r="AS5" s="948"/>
      <c r="AT5" s="948"/>
      <c r="AU5" s="948"/>
      <c r="AV5" s="948"/>
      <c r="AW5" s="948"/>
      <c r="AX5" s="958"/>
      <c r="AY5" s="958"/>
      <c r="AZ5" s="50"/>
      <c r="BA5" s="50"/>
      <c r="BB5" s="50"/>
      <c r="BC5" s="47"/>
      <c r="BD5" s="47"/>
      <c r="BE5" s="47"/>
      <c r="BF5" s="47"/>
      <c r="BG5" s="47"/>
      <c r="BH5" s="47"/>
      <c r="BI5" s="47"/>
      <c r="BJ5" s="47"/>
      <c r="BK5" s="47"/>
      <c r="BL5" s="33"/>
      <c r="BM5" s="33"/>
      <c r="BN5" s="33"/>
    </row>
    <row r="6" spans="1:66" ht="21" thickBo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52"/>
      <c r="L6" s="33"/>
      <c r="N6" s="53"/>
      <c r="O6" s="1329"/>
      <c r="P6" s="950"/>
      <c r="Q6" s="950"/>
      <c r="R6" s="525"/>
      <c r="S6" s="951"/>
      <c r="T6" s="951"/>
      <c r="U6" s="951"/>
      <c r="V6" s="951"/>
      <c r="W6" s="951"/>
      <c r="X6" s="951"/>
      <c r="Y6" s="951"/>
      <c r="Z6" s="951"/>
      <c r="AA6" s="952"/>
      <c r="AB6" s="56"/>
      <c r="AC6" s="56"/>
      <c r="AD6" s="952"/>
      <c r="AE6" s="952"/>
      <c r="AF6" s="952"/>
      <c r="AG6" s="1037"/>
      <c r="AH6" s="1038"/>
      <c r="AI6" s="1039"/>
      <c r="AJ6" s="1040"/>
      <c r="AK6" s="1041"/>
      <c r="AL6" s="1042"/>
      <c r="AM6" s="1043"/>
      <c r="AN6" s="1041"/>
      <c r="AO6" s="1042"/>
      <c r="AP6" s="1040"/>
      <c r="AQ6" s="1042"/>
      <c r="AR6" s="1040"/>
      <c r="AS6" s="1044"/>
      <c r="AT6" s="1045"/>
      <c r="AU6" s="960"/>
      <c r="AV6" s="960"/>
      <c r="AW6" s="960"/>
      <c r="AX6" s="1332"/>
      <c r="AY6" s="1333"/>
      <c r="AZ6" s="1332"/>
      <c r="BA6" s="1338"/>
      <c r="BB6" s="1339"/>
      <c r="BC6" s="1344"/>
      <c r="BD6" s="1345"/>
      <c r="BE6" s="1346"/>
      <c r="BF6" s="32"/>
      <c r="BG6" s="32"/>
      <c r="BH6" s="32"/>
      <c r="BI6" s="32"/>
      <c r="BJ6" s="32"/>
      <c r="BK6" s="47"/>
      <c r="BL6" s="33"/>
      <c r="BM6" s="33"/>
      <c r="BN6" s="33"/>
    </row>
    <row r="7" spans="1:66" ht="21" thickBot="1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52"/>
      <c r="L7" s="33"/>
      <c r="N7" s="53"/>
      <c r="O7" s="1330"/>
      <c r="P7" s="953"/>
      <c r="Q7" s="525"/>
      <c r="R7" s="525"/>
      <c r="S7" s="952"/>
      <c r="T7" s="952"/>
      <c r="U7" s="952"/>
      <c r="V7" s="952"/>
      <c r="W7" s="952"/>
      <c r="X7" s="952"/>
      <c r="Y7" s="952"/>
      <c r="Z7" s="952"/>
      <c r="AA7" s="952"/>
      <c r="AB7" s="56"/>
      <c r="AC7" s="56"/>
      <c r="AD7" s="952"/>
      <c r="AE7" s="952"/>
      <c r="AF7" s="952"/>
      <c r="AG7" s="1046"/>
      <c r="AH7" s="1046"/>
      <c r="AI7" s="1046"/>
      <c r="AJ7" s="1046"/>
      <c r="AK7" s="1046"/>
      <c r="AL7" s="1046"/>
      <c r="AM7" s="1046"/>
      <c r="AN7" s="1046"/>
      <c r="AO7" s="1046"/>
      <c r="AP7" s="1046"/>
      <c r="AQ7" s="1046"/>
      <c r="AR7" s="1046"/>
      <c r="AS7" s="1046"/>
      <c r="AT7" s="1046"/>
      <c r="AU7" s="960"/>
      <c r="AV7" s="960"/>
      <c r="AW7" s="960"/>
      <c r="AX7" s="1334"/>
      <c r="AY7" s="1335"/>
      <c r="AZ7" s="1334"/>
      <c r="BA7" s="1340"/>
      <c r="BB7" s="1341"/>
      <c r="BC7" s="1347"/>
      <c r="BD7" s="1210"/>
      <c r="BE7" s="1348"/>
      <c r="BF7" s="982"/>
      <c r="BG7" s="982"/>
      <c r="BH7" s="1051"/>
      <c r="BI7" s="68"/>
      <c r="BJ7" s="68"/>
      <c r="BK7" s="68"/>
      <c r="BL7" s="33"/>
      <c r="BM7" s="33"/>
      <c r="BN7" s="33"/>
    </row>
    <row r="8" spans="1:66" ht="20.25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52"/>
      <c r="L8" s="33"/>
      <c r="N8" s="53"/>
      <c r="O8" s="1330"/>
      <c r="P8" s="954"/>
      <c r="Q8" s="525"/>
      <c r="R8" s="525"/>
      <c r="S8" s="955"/>
      <c r="T8" s="955"/>
      <c r="U8" s="955"/>
      <c r="V8" s="955"/>
      <c r="W8" s="955"/>
      <c r="X8" s="955"/>
      <c r="Y8" s="955"/>
      <c r="Z8" s="955"/>
      <c r="AA8" s="952"/>
      <c r="AB8" s="56"/>
      <c r="AC8" s="56"/>
      <c r="AD8" s="952"/>
      <c r="AE8" s="952"/>
      <c r="AF8" s="952"/>
      <c r="AG8" s="960"/>
      <c r="AH8" s="960"/>
      <c r="AI8" s="960"/>
      <c r="AJ8" s="960"/>
      <c r="AK8" s="960"/>
      <c r="AL8" s="960"/>
      <c r="AM8" s="960"/>
      <c r="AN8" s="960"/>
      <c r="AO8" s="960"/>
      <c r="AP8" s="960"/>
      <c r="AQ8" s="960"/>
      <c r="AR8" s="960"/>
      <c r="AS8" s="960"/>
      <c r="AT8" s="960"/>
      <c r="AU8" s="960"/>
      <c r="AV8" s="960"/>
      <c r="AW8" s="960"/>
      <c r="AX8" s="1334"/>
      <c r="AY8" s="1335"/>
      <c r="AZ8" s="1334"/>
      <c r="BA8" s="1340"/>
      <c r="BB8" s="1341"/>
      <c r="BC8" s="1347"/>
      <c r="BD8" s="1210"/>
      <c r="BE8" s="1348"/>
      <c r="BF8" s="1303"/>
      <c r="BG8" s="1304"/>
      <c r="BH8" s="943"/>
      <c r="BI8" s="41"/>
      <c r="BJ8" s="41"/>
      <c r="BK8" s="41"/>
      <c r="BL8" s="33"/>
      <c r="BM8" s="33"/>
      <c r="BN8" s="33"/>
    </row>
    <row r="9" spans="1:66" ht="21" thickBot="1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52"/>
      <c r="L9" s="33"/>
      <c r="N9" s="53"/>
      <c r="O9" s="1330"/>
      <c r="P9" s="954"/>
      <c r="Q9" s="525"/>
      <c r="R9" s="525"/>
      <c r="S9" s="1259"/>
      <c r="T9" s="1259"/>
      <c r="U9" s="1259"/>
      <c r="V9" s="1259"/>
      <c r="W9" s="1259"/>
      <c r="X9" s="1259"/>
      <c r="Y9" s="1259"/>
      <c r="Z9" s="1259"/>
      <c r="AA9" s="956"/>
      <c r="AB9" s="34"/>
      <c r="AC9" s="33"/>
      <c r="AD9" s="960"/>
      <c r="AE9" s="960"/>
      <c r="AF9" s="960"/>
      <c r="AG9" s="960"/>
      <c r="AH9" s="960"/>
      <c r="AI9" s="960"/>
      <c r="AJ9" s="960"/>
      <c r="AK9" s="960"/>
      <c r="AL9" s="956"/>
      <c r="AM9" s="956"/>
      <c r="AN9" s="956"/>
      <c r="AO9" s="961"/>
      <c r="AP9" s="961"/>
      <c r="AQ9" s="961"/>
      <c r="AR9" s="961"/>
      <c r="AS9" s="958"/>
      <c r="AT9" s="958"/>
      <c r="AU9" s="324"/>
      <c r="AV9" s="960"/>
      <c r="AW9" s="950"/>
      <c r="AX9" s="1334"/>
      <c r="AY9" s="1335"/>
      <c r="AZ9" s="1334"/>
      <c r="BA9" s="1340"/>
      <c r="BB9" s="1341"/>
      <c r="BC9" s="1347"/>
      <c r="BD9" s="1210"/>
      <c r="BE9" s="1348"/>
      <c r="BF9" s="1305"/>
      <c r="BG9" s="1306"/>
      <c r="BH9" s="943"/>
      <c r="BI9" s="41"/>
      <c r="BJ9" s="41"/>
      <c r="BK9" s="41"/>
      <c r="BL9" s="33"/>
      <c r="BM9" s="33"/>
      <c r="BN9" s="33"/>
    </row>
    <row r="10" spans="1:66" ht="16.5" thickBo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3"/>
      <c r="L10" s="33"/>
      <c r="N10" s="53"/>
      <c r="O10" s="1330"/>
      <c r="P10" s="957"/>
      <c r="Q10" s="957"/>
      <c r="R10" s="957"/>
      <c r="S10" s="958"/>
      <c r="T10" s="958"/>
      <c r="U10" s="959"/>
      <c r="V10" s="959"/>
      <c r="W10" s="324"/>
      <c r="X10" s="960"/>
      <c r="Y10" s="960"/>
      <c r="Z10" s="961"/>
      <c r="AA10" s="961"/>
      <c r="AB10" s="72"/>
      <c r="AC10" s="32"/>
      <c r="AD10" s="958"/>
      <c r="AE10" s="1022"/>
      <c r="AF10" s="1309"/>
      <c r="AG10" s="1309"/>
      <c r="AH10" s="961"/>
      <c r="AI10" s="956"/>
      <c r="AJ10" s="956"/>
      <c r="AK10" s="956"/>
      <c r="AL10" s="956"/>
      <c r="AM10" s="956"/>
      <c r="AN10" s="956"/>
      <c r="AO10" s="961"/>
      <c r="AP10" s="1047"/>
      <c r="AQ10" s="958"/>
      <c r="AR10" s="324"/>
      <c r="AS10" s="324"/>
      <c r="AT10" s="958"/>
      <c r="AU10" s="958"/>
      <c r="AV10" s="960"/>
      <c r="AW10" s="950"/>
      <c r="AX10" s="1334"/>
      <c r="AY10" s="1335"/>
      <c r="AZ10" s="1334"/>
      <c r="BA10" s="1340"/>
      <c r="BB10" s="1341"/>
      <c r="BC10" s="1347"/>
      <c r="BD10" s="1210"/>
      <c r="BE10" s="1348"/>
      <c r="BF10" s="1305"/>
      <c r="BG10" s="1306"/>
      <c r="BH10" s="943"/>
      <c r="BI10" s="41"/>
      <c r="BJ10" s="41"/>
      <c r="BK10" s="41"/>
      <c r="BL10" s="33"/>
      <c r="BM10" s="33"/>
      <c r="BN10" s="33"/>
    </row>
    <row r="11" spans="1:66" ht="16.5" thickBot="1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3"/>
      <c r="L11" s="33"/>
      <c r="N11" s="53"/>
      <c r="O11" s="1331"/>
      <c r="P11" s="957"/>
      <c r="Q11" s="957"/>
      <c r="R11" s="957"/>
      <c r="S11" s="958"/>
      <c r="T11" s="958"/>
      <c r="U11" s="959"/>
      <c r="V11" s="959"/>
      <c r="W11" s="324"/>
      <c r="X11" s="960"/>
      <c r="Y11" s="960"/>
      <c r="Z11" s="961"/>
      <c r="AA11" s="961"/>
      <c r="AB11" s="72"/>
      <c r="AC11" s="34"/>
      <c r="AD11" s="324"/>
      <c r="AE11" s="324"/>
      <c r="AF11" s="1023"/>
      <c r="AG11" s="1023"/>
      <c r="AH11" s="961"/>
      <c r="AI11" s="956"/>
      <c r="AJ11" s="956"/>
      <c r="AK11" s="1024"/>
      <c r="AL11" s="1024"/>
      <c r="AM11" s="956"/>
      <c r="AN11" s="958"/>
      <c r="AO11" s="1047"/>
      <c r="AP11" s="958"/>
      <c r="AQ11" s="1047"/>
      <c r="AR11" s="324"/>
      <c r="AS11" s="324"/>
      <c r="AT11" s="958"/>
      <c r="AU11" s="958"/>
      <c r="AV11" s="960"/>
      <c r="AW11" s="950"/>
      <c r="AX11" s="1334"/>
      <c r="AY11" s="1335"/>
      <c r="AZ11" s="1334"/>
      <c r="BA11" s="1340"/>
      <c r="BB11" s="1341"/>
      <c r="BC11" s="1347"/>
      <c r="BD11" s="1210"/>
      <c r="BE11" s="1348"/>
      <c r="BF11" s="1307"/>
      <c r="BG11" s="1308"/>
      <c r="BH11" s="943"/>
      <c r="BI11" s="41"/>
      <c r="BJ11" s="41"/>
      <c r="BK11" s="41"/>
      <c r="BL11" s="33"/>
      <c r="BM11" s="33"/>
      <c r="BN11" s="33"/>
    </row>
    <row r="12" spans="1:66" ht="16.5" thickBo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3"/>
      <c r="L12" s="33"/>
      <c r="N12" s="80"/>
      <c r="O12" s="324"/>
      <c r="P12" s="324"/>
      <c r="Q12" s="957"/>
      <c r="R12" s="324"/>
      <c r="S12" s="525"/>
      <c r="T12" s="324"/>
      <c r="U12" s="324"/>
      <c r="V12" s="525"/>
      <c r="W12" s="525"/>
      <c r="X12" s="525"/>
      <c r="Y12" s="960"/>
      <c r="Z12" s="324"/>
      <c r="AA12" s="525"/>
      <c r="AC12" s="34"/>
      <c r="AD12" s="324"/>
      <c r="AE12" s="324"/>
      <c r="AF12" s="1023"/>
      <c r="AG12" s="1023"/>
      <c r="AH12" s="961"/>
      <c r="AI12" s="961"/>
      <c r="AJ12" s="961"/>
      <c r="AK12" s="1024"/>
      <c r="AL12" s="1024"/>
      <c r="AM12" s="956"/>
      <c r="AN12" s="958"/>
      <c r="AO12" s="958"/>
      <c r="AP12" s="1047"/>
      <c r="AQ12" s="958"/>
      <c r="AR12" s="324"/>
      <c r="AS12" s="324"/>
      <c r="AT12" s="958"/>
      <c r="AU12" s="958"/>
      <c r="AV12" s="960"/>
      <c r="AW12" s="950"/>
      <c r="AX12" s="1334"/>
      <c r="AY12" s="1335"/>
      <c r="AZ12" s="1334"/>
      <c r="BA12" s="1340"/>
      <c r="BB12" s="1341"/>
      <c r="BC12" s="1347"/>
      <c r="BD12" s="1210"/>
      <c r="BE12" s="1348"/>
      <c r="BF12" s="32"/>
      <c r="BG12" s="32"/>
      <c r="BH12" s="41"/>
      <c r="BI12" s="41"/>
      <c r="BJ12" s="41"/>
      <c r="BK12" s="41"/>
      <c r="BL12" s="33"/>
      <c r="BM12" s="33"/>
      <c r="BN12" s="33"/>
    </row>
    <row r="13" spans="1:66" ht="16.5" thickBot="1" x14ac:dyDescent="0.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3"/>
      <c r="L13" s="33"/>
      <c r="N13" s="80"/>
      <c r="O13" s="525"/>
      <c r="P13" s="324"/>
      <c r="Q13" s="957"/>
      <c r="R13" s="962"/>
      <c r="S13" s="962"/>
      <c r="T13" s="525"/>
      <c r="U13" s="324"/>
      <c r="V13" s="525"/>
      <c r="W13" s="525"/>
      <c r="X13" s="525"/>
      <c r="Y13" s="324"/>
      <c r="Z13" s="324"/>
      <c r="AA13" s="525"/>
      <c r="AC13" s="34"/>
      <c r="AD13" s="324"/>
      <c r="AE13" s="961"/>
      <c r="AF13" s="1023"/>
      <c r="AG13" s="1023"/>
      <c r="AH13" s="961"/>
      <c r="AI13" s="961"/>
      <c r="AJ13" s="961"/>
      <c r="AK13" s="1024"/>
      <c r="AL13" s="1024"/>
      <c r="AM13" s="956"/>
      <c r="AN13" s="956"/>
      <c r="AO13" s="958"/>
      <c r="AP13" s="958"/>
      <c r="AQ13" s="958"/>
      <c r="AR13" s="324"/>
      <c r="AS13" s="324"/>
      <c r="AT13" s="958"/>
      <c r="AU13" s="958"/>
      <c r="AV13" s="960"/>
      <c r="AW13" s="950"/>
      <c r="AX13" s="1334"/>
      <c r="AY13" s="1335"/>
      <c r="AZ13" s="1334"/>
      <c r="BA13" s="1340"/>
      <c r="BB13" s="1341"/>
      <c r="BC13" s="1347"/>
      <c r="BD13" s="1210"/>
      <c r="BE13" s="1348"/>
      <c r="BF13" s="32"/>
      <c r="BG13" s="32"/>
      <c r="BH13" s="41"/>
      <c r="BI13" s="41"/>
      <c r="BJ13" s="41"/>
      <c r="BK13" s="41"/>
      <c r="BL13" s="33"/>
      <c r="BM13" s="33"/>
      <c r="BN13" s="33"/>
    </row>
    <row r="14" spans="1:66" ht="16.5" thickBo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3"/>
      <c r="L14" s="33"/>
      <c r="N14" s="80"/>
      <c r="O14" s="963"/>
      <c r="P14" s="324"/>
      <c r="Q14" s="957"/>
      <c r="R14" s="962"/>
      <c r="S14" s="962"/>
      <c r="T14" s="525"/>
      <c r="U14" s="324"/>
      <c r="V14" s="525"/>
      <c r="W14" s="525"/>
      <c r="X14" s="525"/>
      <c r="Y14" s="324"/>
      <c r="Z14" s="324"/>
      <c r="AA14" s="324"/>
      <c r="AB14" s="34"/>
      <c r="AC14" s="34"/>
      <c r="AD14" s="324"/>
      <c r="AE14" s="961"/>
      <c r="AF14" s="1025"/>
      <c r="AG14" s="1025"/>
      <c r="AH14" s="525"/>
      <c r="AI14" s="961"/>
      <c r="AJ14" s="961"/>
      <c r="AK14" s="961"/>
      <c r="AL14" s="961"/>
      <c r="AM14" s="961"/>
      <c r="AN14" s="956"/>
      <c r="AO14" s="956"/>
      <c r="AP14" s="961"/>
      <c r="AQ14" s="961"/>
      <c r="AR14" s="958"/>
      <c r="AS14" s="958"/>
      <c r="AT14" s="958"/>
      <c r="AU14" s="958"/>
      <c r="AV14" s="960"/>
      <c r="AW14" s="961"/>
      <c r="AX14" s="1336"/>
      <c r="AY14" s="1337"/>
      <c r="AZ14" s="1336"/>
      <c r="BA14" s="1342"/>
      <c r="BB14" s="1343"/>
      <c r="BC14" s="1349"/>
      <c r="BD14" s="1350"/>
      <c r="BE14" s="1351"/>
      <c r="BF14" s="32"/>
      <c r="BG14" s="32"/>
      <c r="BH14" s="41"/>
      <c r="BI14" s="41"/>
      <c r="BJ14" s="41"/>
      <c r="BK14" s="41"/>
      <c r="BL14" s="33"/>
      <c r="BM14" s="33"/>
      <c r="BN14" s="33"/>
    </row>
    <row r="15" spans="1:66" ht="21" thickBo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3"/>
      <c r="L15" s="33"/>
      <c r="N15" s="80"/>
      <c r="O15" s="963"/>
      <c r="P15" s="964"/>
      <c r="Q15" s="964"/>
      <c r="R15" s="962"/>
      <c r="S15" s="962"/>
      <c r="T15" s="324"/>
      <c r="U15" s="960"/>
      <c r="V15" s="525"/>
      <c r="W15" s="525"/>
      <c r="X15" s="525"/>
      <c r="Y15" s="960"/>
      <c r="Z15" s="960"/>
      <c r="AA15" s="960"/>
      <c r="AB15" s="33"/>
      <c r="AC15" s="33"/>
      <c r="AD15" s="960"/>
      <c r="AE15" s="961"/>
      <c r="AF15" s="1310"/>
      <c r="AG15" s="1311"/>
      <c r="AH15" s="525"/>
      <c r="AI15" s="961"/>
      <c r="AJ15" s="961"/>
      <c r="AK15" s="961"/>
      <c r="AL15" s="958"/>
      <c r="AM15" s="941"/>
      <c r="AN15" s="1048"/>
      <c r="AO15" s="1048"/>
      <c r="AP15" s="961"/>
      <c r="AQ15" s="961"/>
      <c r="AR15" s="958"/>
      <c r="AS15" s="958"/>
      <c r="AT15" s="958"/>
      <c r="AU15" s="948"/>
      <c r="AV15" s="948"/>
      <c r="AW15" s="1049"/>
      <c r="AX15" s="982"/>
      <c r="AY15" s="982"/>
      <c r="AZ15" s="982"/>
      <c r="BA15" s="958"/>
      <c r="BB15" s="958"/>
      <c r="BC15" s="958"/>
      <c r="BD15" s="958"/>
      <c r="BE15" s="1030"/>
      <c r="BF15" s="32"/>
      <c r="BG15" s="32"/>
      <c r="BH15" s="41"/>
      <c r="BI15" s="41"/>
      <c r="BJ15" s="41"/>
      <c r="BK15" s="41"/>
      <c r="BL15" s="33"/>
      <c r="BM15" s="33"/>
      <c r="BN15" s="33"/>
    </row>
    <row r="16" spans="1:66" ht="15.75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3"/>
      <c r="L16" s="33"/>
      <c r="N16" s="80"/>
      <c r="O16" s="963"/>
      <c r="P16" s="965"/>
      <c r="Q16" s="324"/>
      <c r="R16" s="960"/>
      <c r="S16" s="960"/>
      <c r="T16" s="960"/>
      <c r="U16" s="960"/>
      <c r="V16" s="324"/>
      <c r="W16" s="324"/>
      <c r="X16" s="324"/>
      <c r="Y16" s="960"/>
      <c r="Z16" s="960"/>
      <c r="AA16" s="960"/>
      <c r="AB16" s="33"/>
      <c r="AC16" s="33"/>
      <c r="AD16" s="960"/>
      <c r="AE16" s="961"/>
      <c r="AF16" s="961"/>
      <c r="AG16" s="525"/>
      <c r="AH16" s="525"/>
      <c r="AI16" s="961"/>
      <c r="AJ16" s="961"/>
      <c r="AK16" s="961"/>
      <c r="AL16" s="958"/>
      <c r="AM16" s="1026"/>
      <c r="AN16" s="1027"/>
      <c r="AO16" s="961"/>
      <c r="AP16" s="1312"/>
      <c r="AQ16" s="1313"/>
      <c r="AR16" s="1313"/>
      <c r="AS16" s="1313"/>
      <c r="AT16" s="1314"/>
      <c r="AU16" s="958"/>
      <c r="AV16" s="958"/>
      <c r="AW16" s="958"/>
      <c r="AX16" s="958"/>
      <c r="AY16" s="958"/>
      <c r="AZ16" s="958"/>
      <c r="BA16" s="958"/>
      <c r="BB16" s="958"/>
      <c r="BC16" s="958"/>
      <c r="BD16" s="958"/>
      <c r="BE16" s="1031"/>
      <c r="BF16" s="47"/>
      <c r="BG16" s="47"/>
      <c r="BH16" s="41"/>
      <c r="BI16" s="41"/>
      <c r="BJ16" s="41"/>
      <c r="BK16" s="41"/>
      <c r="BL16" s="33"/>
      <c r="BM16" s="33"/>
      <c r="BN16" s="33"/>
    </row>
    <row r="17" spans="1:66" ht="23.25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3"/>
      <c r="L17" s="33"/>
      <c r="N17" s="80"/>
      <c r="O17" s="963"/>
      <c r="P17" s="952"/>
      <c r="Q17" s="966"/>
      <c r="R17" s="960"/>
      <c r="S17" s="960"/>
      <c r="T17" s="960"/>
      <c r="U17" s="960"/>
      <c r="V17" s="324"/>
      <c r="W17" s="967"/>
      <c r="X17" s="967"/>
      <c r="Y17" s="964"/>
      <c r="Z17" s="960"/>
      <c r="AA17" s="960"/>
      <c r="AB17" s="33"/>
      <c r="AC17" s="33"/>
      <c r="AD17" s="525"/>
      <c r="AE17" s="961"/>
      <c r="AF17" s="961"/>
      <c r="AG17" s="961"/>
      <c r="AH17" s="961"/>
      <c r="AI17" s="961"/>
      <c r="AJ17" s="961"/>
      <c r="AK17" s="961"/>
      <c r="AL17" s="1026"/>
      <c r="AM17" s="961"/>
      <c r="AN17" s="961"/>
      <c r="AO17" s="961"/>
      <c r="AP17" s="1315"/>
      <c r="AQ17" s="1316"/>
      <c r="AR17" s="1316"/>
      <c r="AS17" s="1316"/>
      <c r="AT17" s="1317"/>
      <c r="AU17" s="958"/>
      <c r="AV17" s="958"/>
      <c r="AW17" s="1050"/>
      <c r="AX17" s="958"/>
      <c r="AY17" s="958"/>
      <c r="AZ17" s="1321"/>
      <c r="BA17" s="1321"/>
      <c r="BB17" s="958"/>
      <c r="BC17" s="961"/>
      <c r="BD17" s="961"/>
      <c r="BE17" s="1032"/>
      <c r="BF17" s="47"/>
      <c r="BG17" s="47"/>
      <c r="BH17" s="41"/>
      <c r="BI17" s="41"/>
      <c r="BJ17" s="41"/>
      <c r="BK17" s="41"/>
      <c r="BL17" s="33"/>
      <c r="BM17" s="33"/>
      <c r="BN17" s="33"/>
    </row>
    <row r="18" spans="1:66" ht="20.25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3"/>
      <c r="L18" s="33"/>
      <c r="N18" s="80"/>
      <c r="O18" s="966"/>
      <c r="P18" s="952"/>
      <c r="Q18" s="966"/>
      <c r="R18" s="960"/>
      <c r="S18" s="960"/>
      <c r="T18" s="960"/>
      <c r="U18" s="960"/>
      <c r="V18" s="324"/>
      <c r="W18" s="967"/>
      <c r="X18" s="967"/>
      <c r="Y18" s="960"/>
      <c r="Z18" s="960"/>
      <c r="AA18" s="960"/>
      <c r="AB18" s="33"/>
      <c r="AC18" s="33"/>
      <c r="AD18" s="525"/>
      <c r="AE18" s="961"/>
      <c r="AF18" s="961"/>
      <c r="AG18" s="961"/>
      <c r="AH18" s="958"/>
      <c r="AI18" s="958"/>
      <c r="AJ18" s="958"/>
      <c r="AK18" s="1026"/>
      <c r="AL18" s="1027"/>
      <c r="AM18" s="961"/>
      <c r="AN18" s="961"/>
      <c r="AO18" s="961"/>
      <c r="AP18" s="1315"/>
      <c r="AQ18" s="1316"/>
      <c r="AR18" s="1316"/>
      <c r="AS18" s="1316"/>
      <c r="AT18" s="1317"/>
      <c r="AU18" s="958"/>
      <c r="AV18" s="958"/>
      <c r="AW18" s="958"/>
      <c r="AX18" s="958"/>
      <c r="AY18" s="958"/>
      <c r="AZ18" s="1023"/>
      <c r="BA18" s="1023"/>
      <c r="BB18" s="958"/>
      <c r="BC18" s="961"/>
      <c r="BD18" s="961"/>
      <c r="BE18" s="1033"/>
      <c r="BF18" s="47"/>
      <c r="BG18" s="47"/>
      <c r="BH18" s="41"/>
      <c r="BI18" s="41"/>
      <c r="BJ18" s="41"/>
      <c r="BK18" s="41"/>
      <c r="BL18" s="33"/>
      <c r="BM18" s="33"/>
      <c r="BN18" s="33"/>
    </row>
    <row r="19" spans="1:66" ht="21" thickBot="1" x14ac:dyDescent="0.3">
      <c r="A19" s="34"/>
      <c r="B19" s="34"/>
      <c r="C19" s="34"/>
      <c r="D19" s="52"/>
      <c r="E19" s="52"/>
      <c r="F19" s="52"/>
      <c r="G19" s="52"/>
      <c r="H19" s="52"/>
      <c r="I19" s="52"/>
      <c r="J19" s="52"/>
      <c r="K19" s="33"/>
      <c r="L19" s="33"/>
      <c r="N19" s="80"/>
      <c r="O19" s="92"/>
      <c r="P19" s="56"/>
      <c r="Q19" s="92"/>
      <c r="R19" s="34"/>
      <c r="S19" s="33"/>
      <c r="T19" s="52"/>
      <c r="U19" s="961"/>
      <c r="V19" s="958"/>
      <c r="W19" s="968"/>
      <c r="X19" s="968"/>
      <c r="Y19" s="525"/>
      <c r="Z19" s="525"/>
      <c r="AB19" s="34"/>
      <c r="AC19" s="34"/>
      <c r="AD19" s="525"/>
      <c r="AE19" s="961"/>
      <c r="AF19" s="961"/>
      <c r="AG19" s="961"/>
      <c r="AH19" s="1028"/>
      <c r="AI19" s="1014"/>
      <c r="AJ19" s="958"/>
      <c r="AK19" s="1029"/>
      <c r="AL19" s="961"/>
      <c r="AM19" s="961"/>
      <c r="AN19" s="961"/>
      <c r="AO19" s="961"/>
      <c r="AP19" s="1315"/>
      <c r="AQ19" s="1316"/>
      <c r="AR19" s="1316"/>
      <c r="AS19" s="1316"/>
      <c r="AT19" s="1317"/>
      <c r="AU19" s="958"/>
      <c r="AV19" s="958"/>
      <c r="AW19" s="958"/>
      <c r="AX19" s="958"/>
      <c r="AY19" s="958"/>
      <c r="AZ19" s="1023"/>
      <c r="BA19" s="1023"/>
      <c r="BB19" s="958"/>
      <c r="BC19" s="961"/>
      <c r="BD19" s="961"/>
      <c r="BE19" s="1033"/>
      <c r="BF19" s="47"/>
      <c r="BG19" s="47"/>
      <c r="BH19" s="41"/>
      <c r="BI19" s="41"/>
      <c r="BJ19" s="41"/>
      <c r="BK19" s="41"/>
      <c r="BL19" s="33"/>
      <c r="BM19" s="33"/>
      <c r="BN19" s="33"/>
    </row>
    <row r="20" spans="1:66" ht="21" thickBot="1" x14ac:dyDescent="0.3">
      <c r="A20" s="34"/>
      <c r="B20" s="34"/>
      <c r="C20" s="52"/>
      <c r="D20" s="52"/>
      <c r="E20" s="52"/>
      <c r="F20" s="52"/>
      <c r="G20" s="52"/>
      <c r="H20" s="52"/>
      <c r="I20" s="52"/>
      <c r="J20" s="52"/>
      <c r="K20" s="33"/>
      <c r="L20" s="33"/>
      <c r="N20" s="80"/>
      <c r="O20" s="92"/>
      <c r="P20" s="56"/>
      <c r="Q20" s="92"/>
      <c r="R20" s="34"/>
      <c r="S20" s="33"/>
      <c r="T20" s="52"/>
      <c r="U20" s="958"/>
      <c r="V20" s="969"/>
      <c r="W20" s="1322"/>
      <c r="X20" s="1323"/>
      <c r="Y20" s="969"/>
      <c r="Z20" s="525"/>
      <c r="AB20" s="72"/>
      <c r="AC20" s="72"/>
      <c r="AD20" s="961"/>
      <c r="AE20" s="1022"/>
      <c r="AF20" s="961"/>
      <c r="AG20" s="961"/>
      <c r="AH20" s="958"/>
      <c r="AI20" s="958"/>
      <c r="AJ20" s="958"/>
      <c r="AK20" s="958"/>
      <c r="AL20" s="941"/>
      <c r="AM20" s="956"/>
      <c r="AN20" s="956"/>
      <c r="AO20" s="956"/>
      <c r="AP20" s="1315"/>
      <c r="AQ20" s="1316"/>
      <c r="AR20" s="1316"/>
      <c r="AS20" s="1316"/>
      <c r="AT20" s="1317"/>
      <c r="AU20" s="958"/>
      <c r="AV20" s="958"/>
      <c r="AW20" s="958"/>
      <c r="AX20" s="958"/>
      <c r="AY20" s="958"/>
      <c r="AZ20" s="1023"/>
      <c r="BA20" s="1023"/>
      <c r="BB20" s="958"/>
      <c r="BC20" s="961"/>
      <c r="BD20" s="961"/>
      <c r="BE20" s="1033"/>
      <c r="BF20" s="47"/>
      <c r="BG20" s="47"/>
      <c r="BH20" s="41"/>
      <c r="BI20" s="41"/>
      <c r="BJ20" s="41"/>
      <c r="BK20" s="41"/>
      <c r="BL20" s="33"/>
      <c r="BM20" s="33"/>
      <c r="BN20" s="33"/>
    </row>
    <row r="21" spans="1:66" ht="20.25" x14ac:dyDescent="0.25">
      <c r="A21" s="34"/>
      <c r="B21" s="34"/>
      <c r="C21" s="52"/>
      <c r="D21" s="52"/>
      <c r="E21" s="52"/>
      <c r="F21" s="52"/>
      <c r="G21" s="52"/>
      <c r="H21" s="52"/>
      <c r="I21" s="52"/>
      <c r="J21" s="52"/>
      <c r="K21" s="33"/>
      <c r="L21" s="33"/>
      <c r="N21" s="80"/>
      <c r="O21" s="92"/>
      <c r="P21" s="56"/>
      <c r="Q21" s="92"/>
      <c r="R21" s="33"/>
      <c r="S21" s="33"/>
      <c r="T21" s="47"/>
      <c r="U21" s="958"/>
      <c r="V21" s="525"/>
      <c r="W21" s="970"/>
      <c r="X21" s="970"/>
      <c r="Y21" s="525"/>
      <c r="Z21" s="525"/>
      <c r="AB21" s="103"/>
      <c r="AC21" s="103"/>
      <c r="AD21" s="987"/>
      <c r="AE21" s="1022"/>
      <c r="AF21" s="958"/>
      <c r="AG21" s="958"/>
      <c r="AH21" s="958"/>
      <c r="AI21" s="958"/>
      <c r="AJ21" s="958"/>
      <c r="AK21" s="958"/>
      <c r="AL21" s="958"/>
      <c r="AM21" s="956"/>
      <c r="AN21" s="956"/>
      <c r="AO21" s="956"/>
      <c r="AP21" s="1315"/>
      <c r="AQ21" s="1316"/>
      <c r="AR21" s="1316"/>
      <c r="AS21" s="1316"/>
      <c r="AT21" s="1317"/>
      <c r="AU21" s="958"/>
      <c r="AV21" s="961"/>
      <c r="AW21" s="961"/>
      <c r="AX21" s="958"/>
      <c r="AY21" s="958"/>
      <c r="AZ21" s="1324"/>
      <c r="BA21" s="1324"/>
      <c r="BB21" s="958"/>
      <c r="BC21" s="961"/>
      <c r="BD21" s="961"/>
      <c r="BE21" s="1033"/>
      <c r="BF21" s="47"/>
      <c r="BG21" s="47"/>
      <c r="BH21" s="47"/>
      <c r="BI21" s="41"/>
      <c r="BJ21" s="41"/>
      <c r="BK21" s="41"/>
      <c r="BL21" s="33"/>
      <c r="BM21" s="33"/>
      <c r="BN21" s="33"/>
    </row>
    <row r="22" spans="1:66" ht="21" thickBot="1" x14ac:dyDescent="0.3">
      <c r="A22" s="34"/>
      <c r="B22" s="34"/>
      <c r="C22" s="52"/>
      <c r="D22" s="52"/>
      <c r="E22" s="52"/>
      <c r="F22" s="52"/>
      <c r="G22" s="52"/>
      <c r="H22" s="52"/>
      <c r="I22" s="52"/>
      <c r="J22" s="52"/>
      <c r="K22" s="33"/>
      <c r="L22" s="33"/>
      <c r="N22" s="53"/>
      <c r="O22" s="92"/>
      <c r="P22" s="56"/>
      <c r="Q22" s="92"/>
      <c r="R22" s="33"/>
      <c r="S22" s="47"/>
      <c r="T22" s="47"/>
      <c r="U22" s="958"/>
      <c r="V22" s="958"/>
      <c r="W22" s="525"/>
      <c r="X22" s="525"/>
      <c r="Y22" s="961"/>
      <c r="Z22" s="961"/>
      <c r="AA22" s="72"/>
      <c r="AB22" s="72"/>
      <c r="AC22" s="961"/>
      <c r="AD22" s="961"/>
      <c r="AE22" s="959"/>
      <c r="AF22" s="987"/>
      <c r="AG22" s="959"/>
      <c r="AH22" s="961"/>
      <c r="AI22" s="961"/>
      <c r="AJ22" s="958"/>
      <c r="AK22" s="961"/>
      <c r="AL22" s="958"/>
      <c r="AM22" s="956"/>
      <c r="AN22" s="956"/>
      <c r="AO22" s="956"/>
      <c r="AP22" s="1318"/>
      <c r="AQ22" s="1319"/>
      <c r="AR22" s="1319"/>
      <c r="AS22" s="1319"/>
      <c r="AT22" s="1320"/>
      <c r="AU22" s="958"/>
      <c r="AV22" s="961"/>
      <c r="AW22" s="961"/>
      <c r="AX22" s="958"/>
      <c r="AY22" s="958"/>
      <c r="AZ22" s="1034"/>
      <c r="BA22" s="1034"/>
      <c r="BB22" s="958"/>
      <c r="BC22" s="961"/>
      <c r="BD22" s="961"/>
      <c r="BE22" s="1033"/>
      <c r="BF22" s="47"/>
      <c r="BG22" s="47"/>
      <c r="BH22" s="41"/>
      <c r="BI22" s="47"/>
      <c r="BJ22" s="47"/>
      <c r="BK22" s="47"/>
      <c r="BL22" s="33"/>
      <c r="BM22" s="33"/>
      <c r="BN22" s="33"/>
    </row>
    <row r="23" spans="1:66" ht="21" x14ac:dyDescent="0.25">
      <c r="A23" s="34"/>
      <c r="B23" s="34"/>
      <c r="C23" s="52"/>
      <c r="D23" s="52"/>
      <c r="E23" s="52"/>
      <c r="F23" s="52"/>
      <c r="G23" s="52"/>
      <c r="H23" s="52"/>
      <c r="I23" s="52"/>
      <c r="J23" s="52"/>
      <c r="K23" s="33"/>
      <c r="L23" s="33"/>
      <c r="N23" s="53"/>
      <c r="O23" s="92"/>
      <c r="P23" s="56"/>
      <c r="Q23" s="92"/>
      <c r="U23" s="525"/>
      <c r="V23" s="971"/>
      <c r="W23" s="971"/>
      <c r="X23" s="971"/>
      <c r="Y23" s="964"/>
      <c r="Z23" s="525"/>
      <c r="AA23" s="84"/>
      <c r="AB23" s="84"/>
      <c r="AC23" s="961"/>
      <c r="AD23" s="987"/>
      <c r="AE23" s="959"/>
      <c r="AF23" s="988"/>
      <c r="AG23" s="958"/>
      <c r="AH23" s="961"/>
      <c r="AI23" s="961"/>
      <c r="AJ23" s="958"/>
      <c r="AK23" s="961"/>
      <c r="AL23" s="958"/>
      <c r="AM23" s="956"/>
      <c r="AN23" s="956"/>
      <c r="AO23" s="956"/>
      <c r="AP23" s="956"/>
      <c r="AQ23" s="956"/>
      <c r="AR23" s="956"/>
      <c r="AS23" s="956"/>
      <c r="AT23" s="956"/>
      <c r="AU23" s="958"/>
      <c r="AV23" s="961"/>
      <c r="AW23" s="961"/>
      <c r="AX23" s="958"/>
      <c r="AY23" s="958"/>
      <c r="AZ23" s="1034"/>
      <c r="BA23" s="1034"/>
      <c r="BB23" s="525"/>
      <c r="BC23" s="525"/>
      <c r="BD23" s="961"/>
      <c r="BE23" s="1032"/>
      <c r="BF23" s="47"/>
      <c r="BG23" s="47"/>
      <c r="BH23" s="41"/>
      <c r="BI23" s="47"/>
      <c r="BJ23" s="47"/>
      <c r="BK23" s="47"/>
      <c r="BL23" s="33"/>
      <c r="BM23" s="33"/>
      <c r="BN23" s="33"/>
    </row>
    <row r="24" spans="1:66" ht="20.25" x14ac:dyDescent="0.25">
      <c r="A24" s="34"/>
      <c r="B24" s="34"/>
      <c r="C24" s="52"/>
      <c r="D24" s="52"/>
      <c r="E24" s="52"/>
      <c r="F24" s="52"/>
      <c r="G24" s="52"/>
      <c r="H24" s="52"/>
      <c r="I24" s="52"/>
      <c r="J24" s="52"/>
      <c r="K24" s="33"/>
      <c r="L24" s="33"/>
      <c r="N24" s="53"/>
      <c r="O24" s="966"/>
      <c r="P24" s="952"/>
      <c r="Q24" s="966"/>
      <c r="R24" s="525"/>
      <c r="S24" s="525"/>
      <c r="T24" s="525"/>
      <c r="U24" s="525"/>
      <c r="V24" s="972"/>
      <c r="W24" s="972"/>
      <c r="X24" s="972"/>
      <c r="Y24" s="972"/>
      <c r="Z24" s="972"/>
      <c r="AA24" s="972"/>
      <c r="AB24" s="107"/>
      <c r="AC24" s="989"/>
      <c r="AD24" s="987"/>
      <c r="AE24" s="988"/>
      <c r="AF24" s="961"/>
      <c r="AG24" s="993"/>
      <c r="AH24" s="960"/>
      <c r="AI24" s="961"/>
      <c r="AJ24" s="958"/>
      <c r="AK24" s="961"/>
      <c r="AL24" s="958"/>
      <c r="AM24" s="956"/>
      <c r="AN24" s="956"/>
      <c r="AO24" s="956"/>
      <c r="AP24" s="956"/>
      <c r="AQ24" s="956"/>
      <c r="AR24" s="956"/>
      <c r="AS24" s="961"/>
      <c r="AT24" s="324"/>
      <c r="AU24" s="958"/>
      <c r="AV24" s="961"/>
      <c r="AW24" s="961"/>
      <c r="AX24" s="958"/>
      <c r="AY24" s="958"/>
      <c r="AZ24" s="1034"/>
      <c r="BA24" s="1034"/>
      <c r="BB24" s="525"/>
      <c r="BC24" s="525"/>
      <c r="BD24" s="961"/>
      <c r="BE24" s="1032"/>
      <c r="BF24" s="47"/>
      <c r="BG24" s="47"/>
      <c r="BH24" s="41"/>
      <c r="BI24" s="47"/>
      <c r="BJ24" s="47"/>
      <c r="BK24" s="47"/>
      <c r="BL24" s="33"/>
      <c r="BM24" s="33"/>
      <c r="BN24" s="33"/>
    </row>
    <row r="25" spans="1:66" ht="20.25" x14ac:dyDescent="0.25">
      <c r="A25" s="34"/>
      <c r="B25" s="34"/>
      <c r="C25" s="52"/>
      <c r="N25" s="110"/>
      <c r="O25" s="966"/>
      <c r="P25" s="525"/>
      <c r="Q25" s="525"/>
      <c r="R25" s="525"/>
      <c r="S25" s="525"/>
      <c r="T25" s="525"/>
      <c r="U25" s="525"/>
      <c r="V25" s="973"/>
      <c r="W25" s="973"/>
      <c r="X25" s="973"/>
      <c r="Y25" s="952"/>
      <c r="Z25" s="952"/>
      <c r="AA25" s="952"/>
      <c r="AB25" s="56"/>
      <c r="AC25" s="953"/>
      <c r="AD25" s="990"/>
      <c r="AE25" s="991"/>
      <c r="AF25" s="961"/>
      <c r="AG25" s="993"/>
      <c r="AH25" s="960"/>
      <c r="AI25" s="72"/>
      <c r="AJ25" s="47"/>
      <c r="AK25" s="72"/>
      <c r="AL25" s="47"/>
      <c r="AM25" s="71"/>
      <c r="AN25" s="71"/>
      <c r="AO25" s="71"/>
      <c r="AP25" s="71"/>
      <c r="AQ25" s="71"/>
      <c r="AR25" s="71"/>
      <c r="AS25" s="47"/>
      <c r="AT25" s="72"/>
      <c r="AU25" s="72"/>
      <c r="AV25" s="72"/>
      <c r="AW25" s="72"/>
      <c r="AX25" s="47"/>
      <c r="AY25" s="47"/>
      <c r="AZ25" s="525"/>
      <c r="BA25" s="525"/>
      <c r="BB25" s="525"/>
      <c r="BC25" s="525"/>
      <c r="BD25" s="961"/>
      <c r="BE25" s="1035"/>
      <c r="BF25" s="47"/>
      <c r="BG25" s="47"/>
      <c r="BH25" s="41"/>
      <c r="BI25" s="47"/>
      <c r="BJ25" s="47"/>
      <c r="BK25" s="47"/>
      <c r="BL25" s="33"/>
      <c r="BM25" s="33"/>
      <c r="BN25" s="33"/>
    </row>
    <row r="26" spans="1:66" ht="23.25" x14ac:dyDescent="0.25">
      <c r="A26" s="34"/>
      <c r="B26" s="34"/>
      <c r="C26" s="52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0"/>
      <c r="O26" s="974"/>
      <c r="P26" s="964"/>
      <c r="Q26" s="525"/>
      <c r="R26" s="525"/>
      <c r="S26" s="525"/>
      <c r="T26" s="525"/>
      <c r="U26" s="525"/>
      <c r="V26" s="975"/>
      <c r="W26" s="975"/>
      <c r="X26" s="975"/>
      <c r="Y26" s="976"/>
      <c r="Z26" s="976"/>
      <c r="AA26" s="977"/>
      <c r="AB26" s="119"/>
      <c r="AC26" s="952"/>
      <c r="AD26" s="980"/>
      <c r="AE26" s="991"/>
      <c r="AF26" s="961"/>
      <c r="AG26" s="993"/>
      <c r="AH26" s="960"/>
      <c r="AI26" s="72"/>
      <c r="AJ26" s="72"/>
      <c r="AK26" s="121"/>
      <c r="AL26" s="47"/>
      <c r="AM26" s="71"/>
      <c r="AN26" s="71"/>
      <c r="AO26" s="71"/>
      <c r="AP26" s="71"/>
      <c r="AQ26" s="71"/>
      <c r="AR26" s="72"/>
      <c r="AS26" s="122"/>
      <c r="AT26" s="72"/>
      <c r="AU26" s="72"/>
      <c r="AV26" s="47"/>
      <c r="AW26" s="47"/>
      <c r="AX26" s="47"/>
      <c r="AY26" s="47"/>
      <c r="AZ26" s="525"/>
      <c r="BA26" s="525"/>
      <c r="BB26" s="525"/>
      <c r="BC26" s="525"/>
      <c r="BD26" s="961"/>
      <c r="BE26" s="1031"/>
      <c r="BF26" s="47"/>
      <c r="BG26" s="47"/>
      <c r="BH26" s="41"/>
      <c r="BI26" s="47"/>
      <c r="BJ26" s="47"/>
      <c r="BK26" s="47"/>
      <c r="BL26" s="33"/>
      <c r="BM26" s="33"/>
      <c r="BN26" s="33"/>
    </row>
    <row r="27" spans="1:66" ht="15.75" x14ac:dyDescent="0.25">
      <c r="A27" s="34"/>
      <c r="B27" s="52"/>
      <c r="C27" s="52"/>
      <c r="N27" s="110"/>
      <c r="O27" s="960"/>
      <c r="P27" s="960"/>
      <c r="Q27" s="960"/>
      <c r="R27" s="960"/>
      <c r="S27" s="960"/>
      <c r="T27" s="960"/>
      <c r="U27" s="960"/>
      <c r="V27" s="960"/>
      <c r="W27" s="960"/>
      <c r="X27" s="960"/>
      <c r="Y27" s="958"/>
      <c r="Z27" s="958"/>
      <c r="AA27" s="961"/>
      <c r="AB27" s="72"/>
      <c r="AC27" s="961"/>
      <c r="AD27" s="969"/>
      <c r="AE27" s="958"/>
      <c r="AF27" s="961"/>
      <c r="AG27" s="993"/>
      <c r="AH27" s="960"/>
      <c r="AI27" s="72"/>
      <c r="AJ27" s="47"/>
      <c r="AK27" s="47"/>
      <c r="AL27" s="47"/>
      <c r="AM27" s="71"/>
      <c r="AN27" s="71"/>
      <c r="AO27" s="71"/>
      <c r="AP27" s="71"/>
      <c r="AQ27" s="71"/>
      <c r="AR27" s="72"/>
      <c r="AS27" s="47"/>
      <c r="AT27" s="72"/>
      <c r="AU27" s="72"/>
      <c r="AV27" s="47"/>
      <c r="AW27" s="47"/>
      <c r="AX27" s="47"/>
      <c r="AY27" s="47"/>
      <c r="AZ27" s="525"/>
      <c r="BA27" s="525"/>
      <c r="BB27" s="525"/>
      <c r="BC27" s="525"/>
      <c r="BD27" s="961"/>
      <c r="BE27" s="1031"/>
      <c r="BF27" s="47"/>
      <c r="BG27" s="47"/>
      <c r="BH27" s="41"/>
      <c r="BI27" s="47"/>
      <c r="BJ27" s="47"/>
      <c r="BK27" s="47"/>
      <c r="BL27" s="33"/>
      <c r="BM27" s="33"/>
      <c r="BN27" s="33"/>
    </row>
    <row r="28" spans="1:66" ht="21.75" thickBot="1" x14ac:dyDescent="0.3">
      <c r="A28" s="34"/>
      <c r="B28" s="52"/>
      <c r="C28" s="123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5"/>
      <c r="O28" s="960"/>
      <c r="P28" s="1228"/>
      <c r="Q28" s="1228"/>
      <c r="R28" s="1228"/>
      <c r="S28" s="1228"/>
      <c r="T28" s="1228"/>
      <c r="U28" s="1228"/>
      <c r="V28" s="1228"/>
      <c r="W28" s="525"/>
      <c r="X28" s="525"/>
      <c r="Y28" s="525"/>
      <c r="Z28" s="525"/>
      <c r="AA28" s="979"/>
      <c r="AB28" s="127"/>
      <c r="AC28" s="979"/>
      <c r="AD28" s="969"/>
      <c r="AE28" s="991"/>
      <c r="AF28" s="958"/>
      <c r="AG28" s="958"/>
      <c r="AH28" s="958"/>
      <c r="AI28" s="47"/>
      <c r="AJ28" s="47"/>
      <c r="AK28" s="71"/>
      <c r="AL28" s="90"/>
      <c r="AM28" s="72"/>
      <c r="AN28" s="72"/>
      <c r="AO28" s="72"/>
      <c r="AP28" s="72"/>
      <c r="AQ28" s="72"/>
      <c r="AR28" s="72"/>
      <c r="AS28" s="47"/>
      <c r="AT28" s="47"/>
      <c r="AU28" s="47"/>
      <c r="AV28" s="47"/>
      <c r="AW28" s="47"/>
      <c r="AX28" s="47"/>
      <c r="AY28" s="72"/>
      <c r="AZ28" s="525"/>
      <c r="BA28" s="525"/>
      <c r="BB28" s="525"/>
      <c r="BC28" s="525"/>
      <c r="BD28" s="961"/>
      <c r="BE28" s="1031"/>
      <c r="BF28" s="47"/>
      <c r="BG28" s="47"/>
      <c r="BH28" s="41"/>
      <c r="BI28" s="47"/>
      <c r="BJ28" s="47"/>
      <c r="BK28" s="47"/>
      <c r="BL28" s="33"/>
      <c r="BM28" s="33"/>
      <c r="BN28" s="33"/>
    </row>
    <row r="29" spans="1:66" ht="26.25" thickBot="1" x14ac:dyDescent="0.3">
      <c r="A29" s="52"/>
      <c r="B29" s="52"/>
      <c r="C29" s="123"/>
      <c r="D29" s="128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980"/>
      <c r="P29" s="960"/>
      <c r="Q29" s="955"/>
      <c r="R29" s="955"/>
      <c r="S29" s="955"/>
      <c r="T29" s="955"/>
      <c r="U29" s="955"/>
      <c r="V29" s="525"/>
      <c r="W29" s="525"/>
      <c r="X29" s="525"/>
      <c r="Y29" s="525"/>
      <c r="Z29" s="525"/>
      <c r="AA29" s="961"/>
      <c r="AB29" s="47"/>
      <c r="AC29" s="958"/>
      <c r="AD29" s="969"/>
      <c r="AE29" s="991"/>
      <c r="AF29" s="958"/>
      <c r="AG29" s="130"/>
      <c r="AH29" s="131"/>
      <c r="AI29" s="131"/>
      <c r="AJ29" s="131"/>
      <c r="AK29" s="131"/>
      <c r="AL29" s="131"/>
      <c r="AM29" s="131"/>
      <c r="AN29" s="131"/>
      <c r="AO29" s="131"/>
      <c r="AP29" s="131"/>
      <c r="AQ29" s="132"/>
      <c r="AR29" s="47"/>
      <c r="AS29" s="47"/>
      <c r="AU29" s="47"/>
      <c r="AV29" s="47"/>
      <c r="AW29" s="47"/>
      <c r="AX29" s="47"/>
      <c r="AY29" s="72"/>
      <c r="AZ29" s="525"/>
      <c r="BA29" s="525"/>
      <c r="BB29" s="525"/>
      <c r="BC29" s="525"/>
      <c r="BD29" s="961"/>
      <c r="BE29" s="1035"/>
      <c r="BF29" s="47"/>
      <c r="BG29" s="47"/>
      <c r="BH29" s="41"/>
      <c r="BI29" s="47"/>
      <c r="BJ29" s="47"/>
      <c r="BK29" s="47"/>
      <c r="BL29" s="33"/>
      <c r="BM29" s="33"/>
      <c r="BN29" s="33"/>
    </row>
    <row r="30" spans="1:66" ht="25.5" x14ac:dyDescent="0.25">
      <c r="A30" s="52"/>
      <c r="B30" s="52"/>
      <c r="C30" s="123"/>
      <c r="D30" s="133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953"/>
      <c r="P30" s="960"/>
      <c r="Q30" s="973"/>
      <c r="R30" s="973"/>
      <c r="S30" s="973"/>
      <c r="T30" s="973"/>
      <c r="U30" s="973"/>
      <c r="V30" s="525"/>
      <c r="W30" s="525"/>
      <c r="X30" s="1290"/>
      <c r="Y30" s="1290"/>
      <c r="Z30" s="1290"/>
      <c r="AA30" s="961"/>
      <c r="AB30" s="72"/>
      <c r="AC30" s="961"/>
      <c r="AD30" s="969"/>
      <c r="AE30" s="991"/>
      <c r="AF30" s="958"/>
      <c r="AG30" s="135"/>
      <c r="AH30" s="136"/>
      <c r="AI30" s="136"/>
      <c r="AJ30" s="136"/>
      <c r="AK30" s="136"/>
      <c r="AL30" s="136"/>
      <c r="AM30" s="136"/>
      <c r="AN30" s="136"/>
      <c r="AO30" s="136"/>
      <c r="AP30" s="136"/>
      <c r="AQ30" s="137"/>
      <c r="AR30" s="47"/>
      <c r="AS30" s="47"/>
      <c r="AU30" s="47"/>
      <c r="AV30" s="72"/>
      <c r="AW30" s="72"/>
      <c r="AX30" s="72"/>
      <c r="AY30" s="72"/>
      <c r="AZ30" s="72"/>
      <c r="BA30" s="72"/>
      <c r="BB30" s="72"/>
      <c r="BC30" s="72"/>
      <c r="BD30" s="1195"/>
      <c r="BE30" s="1197"/>
      <c r="BF30" s="958"/>
      <c r="BG30" s="958"/>
      <c r="BH30" s="943"/>
      <c r="BI30" s="47"/>
      <c r="BJ30" s="47"/>
      <c r="BK30" s="47"/>
      <c r="BL30" s="33"/>
      <c r="BM30" s="33"/>
      <c r="BN30" s="33"/>
    </row>
    <row r="31" spans="1:66" ht="25.5" x14ac:dyDescent="0.25">
      <c r="A31" s="52"/>
      <c r="B31" s="52"/>
      <c r="C31" s="123"/>
      <c r="D31" s="138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960"/>
      <c r="P31" s="973"/>
      <c r="Q31" s="951"/>
      <c r="R31" s="951"/>
      <c r="S31" s="951"/>
      <c r="T31" s="951"/>
      <c r="U31" s="951"/>
      <c r="V31" s="973"/>
      <c r="W31" s="525"/>
      <c r="X31" s="981"/>
      <c r="Y31" s="981"/>
      <c r="Z31" s="981"/>
      <c r="AA31" s="525"/>
      <c r="AB31" s="72"/>
      <c r="AC31" s="961"/>
      <c r="AD31" s="960"/>
      <c r="AE31" s="991"/>
      <c r="AF31" s="958"/>
      <c r="AG31" s="135"/>
      <c r="AH31" s="136"/>
      <c r="AI31" s="136"/>
      <c r="AJ31" s="136"/>
      <c r="AK31" s="136"/>
      <c r="AL31" s="136"/>
      <c r="AM31" s="136"/>
      <c r="AN31" s="136"/>
      <c r="AO31" s="136"/>
      <c r="AP31" s="136"/>
      <c r="AQ31" s="137"/>
      <c r="AR31" s="47"/>
      <c r="AS31" s="47"/>
      <c r="AU31" s="47"/>
      <c r="AV31" s="72"/>
      <c r="AW31" s="72"/>
      <c r="AX31" s="72"/>
      <c r="AY31" s="72"/>
      <c r="AZ31" s="72"/>
      <c r="BA31" s="72"/>
      <c r="BB31" s="72"/>
      <c r="BC31" s="72"/>
      <c r="BD31" s="1198"/>
      <c r="BE31" s="1200"/>
      <c r="BF31" s="958"/>
      <c r="BG31" s="958"/>
      <c r="BH31" s="958"/>
      <c r="BI31" s="47"/>
      <c r="BJ31" s="47"/>
      <c r="BK31" s="47"/>
      <c r="BL31" s="33"/>
      <c r="BM31" s="33"/>
      <c r="BN31" s="33"/>
    </row>
    <row r="32" spans="1:66" ht="26.25" thickBot="1" x14ac:dyDescent="0.3">
      <c r="A32" s="52"/>
      <c r="B32" s="52"/>
      <c r="C32" s="140"/>
      <c r="D32" s="47"/>
      <c r="E32" s="1291"/>
      <c r="F32" s="1291"/>
      <c r="G32" s="1291"/>
      <c r="H32" s="1291"/>
      <c r="I32" s="1291"/>
      <c r="J32" s="1291"/>
      <c r="K32" s="1291"/>
      <c r="L32" s="1291"/>
      <c r="M32" s="1291"/>
      <c r="N32" s="1291"/>
      <c r="O32" s="960"/>
      <c r="P32" s="973"/>
      <c r="Q32" s="951"/>
      <c r="R32" s="951"/>
      <c r="S32" s="951"/>
      <c r="T32" s="951"/>
      <c r="U32" s="951"/>
      <c r="V32" s="973"/>
      <c r="W32" s="960"/>
      <c r="X32" s="981"/>
      <c r="Y32" s="981"/>
      <c r="Z32" s="981"/>
      <c r="AA32" s="961"/>
      <c r="AB32" s="72"/>
      <c r="AC32" s="961"/>
      <c r="AD32" s="960"/>
      <c r="AE32" s="991"/>
      <c r="AF32" s="958"/>
      <c r="AG32" s="135"/>
      <c r="AH32" s="136"/>
      <c r="AI32" s="136"/>
      <c r="AJ32" s="136"/>
      <c r="AK32" s="136"/>
      <c r="AL32" s="136"/>
      <c r="AM32" s="136"/>
      <c r="AN32" s="136"/>
      <c r="AO32" s="136"/>
      <c r="AP32" s="136"/>
      <c r="AQ32" s="137"/>
      <c r="AR32" s="47"/>
      <c r="AS32" s="47"/>
      <c r="AU32" s="47"/>
      <c r="AV32" s="72"/>
      <c r="AW32" s="72"/>
      <c r="AX32" s="72"/>
      <c r="AY32" s="72"/>
      <c r="AZ32" s="72"/>
      <c r="BA32" s="72"/>
      <c r="BB32" s="72"/>
      <c r="BC32" s="72"/>
      <c r="BD32" s="1201"/>
      <c r="BE32" s="1203"/>
      <c r="BF32" s="958"/>
      <c r="BG32" s="958"/>
      <c r="BH32" s="958"/>
      <c r="BI32" s="47"/>
      <c r="BJ32" s="47"/>
      <c r="BK32" s="47"/>
      <c r="BL32" s="33"/>
      <c r="BM32" s="33"/>
      <c r="BN32" s="33"/>
    </row>
    <row r="33" spans="1:66" ht="26.25" thickBot="1" x14ac:dyDescent="0.3">
      <c r="A33" s="52"/>
      <c r="B33" s="52"/>
      <c r="C33" s="140"/>
      <c r="D33" s="47"/>
      <c r="E33" s="33"/>
      <c r="F33" s="34"/>
      <c r="G33" s="34"/>
      <c r="H33" s="34"/>
      <c r="I33" s="34"/>
      <c r="J33" s="47"/>
      <c r="K33" s="47"/>
      <c r="L33" s="34"/>
      <c r="M33" s="34"/>
      <c r="N33" s="52"/>
      <c r="O33" s="960"/>
      <c r="P33" s="960"/>
      <c r="Q33" s="973"/>
      <c r="R33" s="973"/>
      <c r="S33" s="973"/>
      <c r="T33" s="973"/>
      <c r="U33" s="973"/>
      <c r="V33" s="324"/>
      <c r="W33" s="958"/>
      <c r="X33" s="958"/>
      <c r="Y33" s="958"/>
      <c r="Z33" s="958"/>
      <c r="AA33" s="961"/>
      <c r="AB33" s="72"/>
      <c r="AC33" s="961"/>
      <c r="AD33" s="960"/>
      <c r="AE33" s="991"/>
      <c r="AF33" s="958"/>
      <c r="AG33" s="135"/>
      <c r="AH33" s="136"/>
      <c r="AI33" s="136"/>
      <c r="AJ33" s="136"/>
      <c r="AK33" s="136"/>
      <c r="AL33" s="136"/>
      <c r="AM33" s="136"/>
      <c r="AN33" s="136"/>
      <c r="AO33" s="136"/>
      <c r="AP33" s="136"/>
      <c r="AQ33" s="137"/>
      <c r="AR33" s="47"/>
      <c r="AS33" s="47"/>
      <c r="AT33" s="141"/>
      <c r="AU33" s="47"/>
      <c r="AV33" s="72"/>
      <c r="AW33" s="72"/>
      <c r="AX33" s="72"/>
      <c r="AY33" s="72"/>
      <c r="AZ33" s="72"/>
      <c r="BA33" s="72"/>
      <c r="BB33" s="72"/>
      <c r="BC33" s="72"/>
      <c r="BD33" s="961"/>
      <c r="BE33" s="1032"/>
      <c r="BF33" s="958"/>
      <c r="BG33" s="958"/>
      <c r="BH33" s="958"/>
      <c r="BI33" s="47"/>
      <c r="BJ33" s="47"/>
      <c r="BK33" s="47"/>
      <c r="BL33" s="33"/>
      <c r="BM33" s="33"/>
      <c r="BN33" s="33"/>
    </row>
    <row r="34" spans="1:66" ht="26.25" thickBot="1" x14ac:dyDescent="0.3">
      <c r="A34" s="52"/>
      <c r="B34" s="52"/>
      <c r="C34" s="140"/>
      <c r="D34" s="47"/>
      <c r="F34" s="1292"/>
      <c r="G34" s="1293"/>
      <c r="H34" s="1293"/>
      <c r="I34" s="1293"/>
      <c r="J34" s="1293"/>
      <c r="K34" s="1294"/>
      <c r="L34" s="34"/>
      <c r="M34" s="34"/>
      <c r="N34" s="52"/>
      <c r="O34" s="960"/>
      <c r="P34" s="960"/>
      <c r="Q34" s="955"/>
      <c r="R34" s="955"/>
      <c r="S34" s="955"/>
      <c r="T34" s="955"/>
      <c r="U34" s="955"/>
      <c r="V34" s="324"/>
      <c r="W34" s="958"/>
      <c r="X34" s="958"/>
      <c r="Y34" s="958"/>
      <c r="Z34" s="958"/>
      <c r="AA34" s="961"/>
      <c r="AB34" s="47"/>
      <c r="AC34" s="958"/>
      <c r="AD34" s="960"/>
      <c r="AE34" s="991"/>
      <c r="AF34" s="958"/>
      <c r="AG34" s="994"/>
      <c r="AH34" s="995"/>
      <c r="AI34" s="995"/>
      <c r="AJ34" s="995"/>
      <c r="AK34" s="995"/>
      <c r="AL34" s="995"/>
      <c r="AM34" s="995"/>
      <c r="AN34" s="995"/>
      <c r="AO34" s="995"/>
      <c r="AP34" s="995"/>
      <c r="AQ34" s="996"/>
      <c r="AR34" s="997"/>
      <c r="AS34" s="146"/>
      <c r="AT34" s="141"/>
      <c r="AU34" s="47"/>
      <c r="AV34" s="72"/>
      <c r="AW34" s="72"/>
      <c r="AX34" s="72"/>
      <c r="AY34" s="72"/>
      <c r="AZ34" s="72"/>
      <c r="BA34" s="72"/>
      <c r="BB34" s="72"/>
      <c r="BC34" s="72"/>
      <c r="BD34" s="961"/>
      <c r="BE34" s="1032"/>
      <c r="BF34" s="958"/>
      <c r="BG34" s="958"/>
      <c r="BH34" s="958"/>
      <c r="BI34" s="47"/>
      <c r="BJ34" s="47"/>
      <c r="BK34" s="47"/>
      <c r="BL34" s="33"/>
      <c r="BM34" s="33"/>
      <c r="BN34" s="33"/>
    </row>
    <row r="35" spans="1:66" ht="15.75" x14ac:dyDescent="0.25">
      <c r="A35" s="52"/>
      <c r="B35" s="52"/>
      <c r="C35" s="140"/>
      <c r="D35" s="47"/>
      <c r="E35" s="33"/>
      <c r="F35" s="1295"/>
      <c r="G35" s="1296"/>
      <c r="H35" s="1296"/>
      <c r="I35" s="1296"/>
      <c r="J35" s="1296"/>
      <c r="K35" s="1297"/>
      <c r="L35" s="34"/>
      <c r="M35" s="34"/>
      <c r="N35" s="52"/>
      <c r="O35" s="960"/>
      <c r="P35" s="960"/>
      <c r="Q35" s="958"/>
      <c r="R35" s="958"/>
      <c r="S35" s="958"/>
      <c r="T35" s="958"/>
      <c r="U35" s="958"/>
      <c r="V35" s="324"/>
      <c r="W35" s="958"/>
      <c r="X35" s="958"/>
      <c r="Y35" s="958"/>
      <c r="Z35" s="958"/>
      <c r="AA35" s="958"/>
      <c r="AB35" s="47"/>
      <c r="AC35" s="958"/>
      <c r="AD35" s="992"/>
      <c r="AE35" s="991"/>
      <c r="AF35" s="958"/>
      <c r="AG35" s="1301"/>
      <c r="AH35" s="1301"/>
      <c r="AI35" s="1301"/>
      <c r="AJ35" s="1301"/>
      <c r="AK35" s="1301"/>
      <c r="AL35" s="1301"/>
      <c r="AM35" s="1301"/>
      <c r="AN35" s="1301"/>
      <c r="AO35" s="1301"/>
      <c r="AP35" s="1301"/>
      <c r="AQ35" s="1301"/>
      <c r="AR35" s="998"/>
      <c r="AS35" s="146"/>
      <c r="AT35" s="33"/>
      <c r="AU35" s="72"/>
      <c r="AV35" s="72"/>
      <c r="AW35" s="72"/>
      <c r="AX35" s="72"/>
      <c r="AY35" s="72"/>
      <c r="AZ35" s="72"/>
      <c r="BA35" s="72"/>
      <c r="BB35" s="72"/>
      <c r="BC35" s="72"/>
      <c r="BD35" s="961"/>
      <c r="BE35" s="1032"/>
      <c r="BF35" s="958"/>
      <c r="BG35" s="958"/>
      <c r="BH35" s="958"/>
      <c r="BI35" s="47"/>
      <c r="BJ35" s="47"/>
      <c r="BK35" s="47"/>
      <c r="BL35" s="33"/>
      <c r="BM35" s="33"/>
      <c r="BN35" s="33"/>
    </row>
    <row r="36" spans="1:66" ht="15.75" x14ac:dyDescent="0.25">
      <c r="A36" s="34"/>
      <c r="B36" s="34"/>
      <c r="C36" s="140"/>
      <c r="D36" s="47"/>
      <c r="E36" s="33"/>
      <c r="F36" s="1295"/>
      <c r="G36" s="1296"/>
      <c r="H36" s="1296"/>
      <c r="I36" s="1296"/>
      <c r="J36" s="1296"/>
      <c r="K36" s="1297"/>
      <c r="L36" s="34"/>
      <c r="M36" s="34"/>
      <c r="N36" s="33"/>
      <c r="O36" s="960"/>
      <c r="P36" s="960"/>
      <c r="Q36" s="958"/>
      <c r="R36" s="958"/>
      <c r="S36" s="958"/>
      <c r="T36" s="958"/>
      <c r="U36" s="958"/>
      <c r="V36" s="324"/>
      <c r="W36" s="958"/>
      <c r="X36" s="958"/>
      <c r="Y36" s="958"/>
      <c r="Z36" s="958"/>
      <c r="AA36" s="958"/>
      <c r="AB36" s="47"/>
      <c r="AC36" s="958"/>
      <c r="AD36" s="992"/>
      <c r="AE36" s="991"/>
      <c r="AF36" s="1302"/>
      <c r="AG36" s="999"/>
      <c r="AH36" s="960"/>
      <c r="AI36" s="961"/>
      <c r="AJ36" s="958"/>
      <c r="AK36" s="958"/>
      <c r="AL36" s="958"/>
      <c r="AM36" s="958"/>
      <c r="AN36" s="958"/>
      <c r="AO36" s="958"/>
      <c r="AP36" s="958"/>
      <c r="AQ36" s="961"/>
      <c r="AR36" s="998"/>
      <c r="AS36" s="146"/>
      <c r="AT36" s="47"/>
      <c r="AU36" s="72"/>
      <c r="AV36" s="72"/>
      <c r="AW36" s="72"/>
      <c r="AX36" s="72"/>
      <c r="AY36" s="72"/>
      <c r="AZ36" s="72"/>
      <c r="BA36" s="72"/>
      <c r="BB36" s="72"/>
      <c r="BC36" s="72"/>
      <c r="BD36" s="961"/>
      <c r="BE36" s="1032"/>
      <c r="BF36" s="958"/>
      <c r="BG36" s="958"/>
      <c r="BH36" s="958"/>
      <c r="BI36" s="47"/>
      <c r="BJ36" s="47"/>
      <c r="BK36" s="47"/>
      <c r="BL36" s="33"/>
      <c r="BM36" s="33"/>
      <c r="BN36" s="33"/>
    </row>
    <row r="37" spans="1:66" ht="15.75" x14ac:dyDescent="0.25">
      <c r="A37" s="34"/>
      <c r="B37" s="34"/>
      <c r="C37" s="140"/>
      <c r="D37" s="147"/>
      <c r="E37" s="33"/>
      <c r="F37" s="1295"/>
      <c r="G37" s="1296"/>
      <c r="H37" s="1296"/>
      <c r="I37" s="1296"/>
      <c r="J37" s="1296"/>
      <c r="K37" s="1297"/>
      <c r="L37" s="34"/>
      <c r="M37" s="34"/>
      <c r="N37" s="33"/>
      <c r="O37" s="960"/>
      <c r="P37" s="960"/>
      <c r="Q37" s="958"/>
      <c r="R37" s="958"/>
      <c r="S37" s="958"/>
      <c r="T37" s="958"/>
      <c r="U37" s="958"/>
      <c r="V37" s="324"/>
      <c r="W37" s="958"/>
      <c r="X37" s="958"/>
      <c r="Y37" s="958"/>
      <c r="Z37" s="958"/>
      <c r="AA37" s="982"/>
      <c r="AB37" s="47"/>
      <c r="AC37" s="958"/>
      <c r="AD37" s="992"/>
      <c r="AE37" s="991"/>
      <c r="AF37" s="1302"/>
      <c r="AG37" s="999"/>
      <c r="AH37" s="960"/>
      <c r="AI37" s="961"/>
      <c r="AJ37" s="958"/>
      <c r="AK37" s="958"/>
      <c r="AL37" s="958"/>
      <c r="AM37" s="958"/>
      <c r="AN37" s="958"/>
      <c r="AO37" s="958"/>
      <c r="AP37" s="958"/>
      <c r="AQ37" s="961"/>
      <c r="AR37" s="998"/>
      <c r="AS37" s="146"/>
      <c r="AT37" s="47"/>
      <c r="AU37" s="72"/>
      <c r="AV37" s="72"/>
      <c r="AW37" s="72"/>
      <c r="AX37" s="72"/>
      <c r="AY37" s="72"/>
      <c r="AZ37" s="72"/>
      <c r="BA37" s="72"/>
      <c r="BB37" s="72"/>
      <c r="BC37" s="72"/>
      <c r="BD37" s="961"/>
      <c r="BE37" s="1032"/>
      <c r="BF37" s="958"/>
      <c r="BG37" s="958"/>
      <c r="BH37" s="958"/>
      <c r="BI37" s="47"/>
      <c r="BJ37" s="47"/>
      <c r="BK37" s="47"/>
      <c r="BL37" s="33"/>
      <c r="BM37" s="33"/>
      <c r="BN37" s="33"/>
    </row>
    <row r="38" spans="1:66" ht="15.75" x14ac:dyDescent="0.25">
      <c r="A38" s="34"/>
      <c r="B38" s="34"/>
      <c r="C38" s="140"/>
      <c r="D38" s="147"/>
      <c r="E38" s="33"/>
      <c r="F38" s="1295"/>
      <c r="G38" s="1296"/>
      <c r="H38" s="1296"/>
      <c r="I38" s="1296"/>
      <c r="J38" s="1296"/>
      <c r="K38" s="1297"/>
      <c r="L38" s="34"/>
      <c r="M38" s="34"/>
      <c r="N38" s="33"/>
      <c r="O38" s="960"/>
      <c r="P38" s="960"/>
      <c r="Q38" s="958"/>
      <c r="R38" s="958"/>
      <c r="S38" s="958"/>
      <c r="T38" s="958"/>
      <c r="U38" s="958"/>
      <c r="V38" s="324"/>
      <c r="W38" s="958"/>
      <c r="X38" s="958"/>
      <c r="Y38" s="958"/>
      <c r="Z38" s="958"/>
      <c r="AA38" s="961"/>
      <c r="AB38" s="47"/>
      <c r="AC38" s="958"/>
      <c r="AD38" s="992"/>
      <c r="AE38" s="991"/>
      <c r="AF38" s="1302"/>
      <c r="AG38" s="999"/>
      <c r="AH38" s="960"/>
      <c r="AI38" s="961"/>
      <c r="AJ38" s="958"/>
      <c r="AK38" s="958"/>
      <c r="AL38" s="958"/>
      <c r="AM38" s="958"/>
      <c r="AN38" s="958"/>
      <c r="AO38" s="958"/>
      <c r="AP38" s="958"/>
      <c r="AQ38" s="961"/>
      <c r="AR38" s="998"/>
      <c r="AS38" s="146"/>
      <c r="AT38" s="47"/>
      <c r="AU38" s="72"/>
      <c r="AV38" s="72"/>
      <c r="AW38" s="72"/>
      <c r="AX38" s="72"/>
      <c r="AY38" s="72"/>
      <c r="AZ38" s="72"/>
      <c r="BA38" s="72"/>
      <c r="BB38" s="72"/>
      <c r="BC38" s="72"/>
      <c r="BD38" s="961"/>
      <c r="BE38" s="1032"/>
      <c r="BF38" s="958"/>
      <c r="BG38" s="958"/>
      <c r="BH38" s="958"/>
      <c r="BI38" s="47"/>
      <c r="BJ38" s="47"/>
      <c r="BK38" s="47"/>
      <c r="BL38" s="33"/>
      <c r="BM38" s="33"/>
      <c r="BN38" s="33"/>
    </row>
    <row r="39" spans="1:66" ht="16.5" thickBot="1" x14ac:dyDescent="0.3">
      <c r="A39" s="34"/>
      <c r="B39" s="34"/>
      <c r="C39" s="140"/>
      <c r="D39" s="147"/>
      <c r="E39" s="33"/>
      <c r="F39" s="1295"/>
      <c r="G39" s="1296"/>
      <c r="H39" s="1296"/>
      <c r="I39" s="1296"/>
      <c r="J39" s="1296"/>
      <c r="K39" s="1297"/>
      <c r="L39" s="34"/>
      <c r="M39" s="34"/>
      <c r="N39" s="33"/>
      <c r="O39" s="960"/>
      <c r="P39" s="960"/>
      <c r="Q39" s="958"/>
      <c r="R39" s="958"/>
      <c r="S39" s="958"/>
      <c r="T39" s="958"/>
      <c r="U39" s="958"/>
      <c r="V39" s="324"/>
      <c r="W39" s="958"/>
      <c r="X39" s="958"/>
      <c r="Y39" s="958"/>
      <c r="Z39" s="958"/>
      <c r="AA39" s="961"/>
      <c r="AB39" s="47"/>
      <c r="AC39" s="958"/>
      <c r="AD39" s="992"/>
      <c r="AE39" s="991"/>
      <c r="AF39" s="1302"/>
      <c r="AG39" s="999"/>
      <c r="AH39" s="960"/>
      <c r="AI39" s="961"/>
      <c r="AJ39" s="958"/>
      <c r="AK39" s="958"/>
      <c r="AL39" s="958"/>
      <c r="AM39" s="958"/>
      <c r="AN39" s="958"/>
      <c r="AO39" s="958"/>
      <c r="AP39" s="958"/>
      <c r="AQ39" s="961"/>
      <c r="AR39" s="1000"/>
      <c r="AS39" s="47"/>
      <c r="AT39" s="47"/>
      <c r="AU39" s="72"/>
      <c r="AV39" s="72"/>
      <c r="AW39" s="72"/>
      <c r="AX39" s="72"/>
      <c r="AY39" s="72"/>
      <c r="AZ39" s="72"/>
      <c r="BA39" s="72"/>
      <c r="BB39" s="72"/>
      <c r="BC39" s="72"/>
      <c r="BD39" s="961"/>
      <c r="BE39" s="1032"/>
      <c r="BF39" s="958"/>
      <c r="BG39" s="958"/>
      <c r="BH39" s="958"/>
      <c r="BI39" s="47"/>
      <c r="BJ39" s="47"/>
      <c r="BK39" s="47"/>
      <c r="BL39" s="33"/>
      <c r="BM39" s="33"/>
      <c r="BN39" s="33"/>
    </row>
    <row r="40" spans="1:66" x14ac:dyDescent="0.25">
      <c r="A40" s="34"/>
      <c r="B40" s="34"/>
      <c r="C40" s="140"/>
      <c r="D40" s="147"/>
      <c r="E40" s="33"/>
      <c r="F40" s="1295"/>
      <c r="G40" s="1296"/>
      <c r="H40" s="1296"/>
      <c r="I40" s="1296"/>
      <c r="J40" s="1296"/>
      <c r="K40" s="1297"/>
      <c r="L40" s="34"/>
      <c r="M40" s="34"/>
      <c r="N40" s="33"/>
      <c r="O40" s="960"/>
      <c r="P40" s="960"/>
      <c r="Q40" s="983"/>
      <c r="R40" s="324"/>
      <c r="S40" s="324"/>
      <c r="T40" s="324"/>
      <c r="U40" s="324"/>
      <c r="V40" s="324"/>
      <c r="W40" s="958"/>
      <c r="X40" s="958"/>
      <c r="Y40" s="958"/>
      <c r="Z40" s="958"/>
      <c r="AA40" s="982"/>
      <c r="AB40" s="47"/>
      <c r="AC40" s="47"/>
      <c r="AD40" s="147"/>
      <c r="AE40" s="113"/>
      <c r="AF40" s="47"/>
      <c r="AG40" s="958"/>
      <c r="AH40" s="958"/>
      <c r="AI40" s="961"/>
      <c r="AJ40" s="958"/>
      <c r="AK40" s="958"/>
      <c r="AL40" s="958"/>
      <c r="AM40" s="958"/>
      <c r="AN40" s="958"/>
      <c r="AO40" s="958"/>
      <c r="AP40" s="958"/>
      <c r="AQ40" s="961"/>
      <c r="AR40" s="958"/>
      <c r="AS40" s="47"/>
      <c r="AT40" s="47"/>
      <c r="AU40" s="47"/>
      <c r="AV40" s="961"/>
      <c r="AW40" s="961"/>
      <c r="AX40" s="961"/>
      <c r="AY40" s="72"/>
      <c r="AZ40" s="72"/>
      <c r="BA40" s="72"/>
      <c r="BB40" s="72"/>
      <c r="BC40" s="72"/>
      <c r="BD40" s="961"/>
      <c r="BE40" s="1052"/>
      <c r="BF40" s="1268"/>
      <c r="BG40" s="960"/>
      <c r="BH40" s="958"/>
      <c r="BI40" s="47"/>
      <c r="BJ40" s="47"/>
      <c r="BK40" s="47"/>
      <c r="BL40" s="33"/>
      <c r="BM40" s="33"/>
      <c r="BN40" s="33"/>
    </row>
    <row r="41" spans="1:66" ht="16.5" thickBot="1" x14ac:dyDescent="0.3">
      <c r="A41" s="34"/>
      <c r="B41" s="34"/>
      <c r="C41" s="140"/>
      <c r="D41" s="147"/>
      <c r="E41" s="33"/>
      <c r="F41" s="1295"/>
      <c r="G41" s="1296"/>
      <c r="H41" s="1296"/>
      <c r="I41" s="1296"/>
      <c r="J41" s="1296"/>
      <c r="K41" s="1297"/>
      <c r="L41" s="34"/>
      <c r="M41" s="34"/>
      <c r="N41" s="33"/>
      <c r="O41" s="960"/>
      <c r="P41" s="960"/>
      <c r="Q41" s="957"/>
      <c r="R41" s="324"/>
      <c r="S41" s="324"/>
      <c r="T41" s="960"/>
      <c r="U41" s="324"/>
      <c r="V41" s="324"/>
      <c r="W41" s="958"/>
      <c r="X41" s="958"/>
      <c r="Y41" s="958"/>
      <c r="Z41" s="958"/>
      <c r="AA41" s="984"/>
      <c r="AB41" s="47"/>
      <c r="AC41" s="152"/>
      <c r="AD41" s="153"/>
      <c r="AE41" s="154"/>
      <c r="AF41" s="152"/>
      <c r="AG41" s="956"/>
      <c r="AH41" s="958"/>
      <c r="AI41" s="961"/>
      <c r="AJ41" s="961"/>
      <c r="AK41" s="961"/>
      <c r="AL41" s="961"/>
      <c r="AM41" s="961"/>
      <c r="AN41" s="969"/>
      <c r="AO41" s="969"/>
      <c r="AP41" s="961"/>
      <c r="AQ41" s="961"/>
      <c r="AR41" s="958"/>
      <c r="AS41" s="47"/>
      <c r="AT41" s="47"/>
      <c r="AU41" s="47"/>
      <c r="AV41" s="961"/>
      <c r="AW41" s="961"/>
      <c r="AX41" s="961"/>
      <c r="BA41" s="72"/>
      <c r="BB41" s="72"/>
      <c r="BC41" s="72"/>
      <c r="BD41" s="961"/>
      <c r="BE41" s="1052"/>
      <c r="BF41" s="1269"/>
      <c r="BG41" s="960"/>
      <c r="BH41" s="958"/>
      <c r="BI41" s="47"/>
      <c r="BJ41" s="47"/>
      <c r="BK41" s="47"/>
      <c r="BL41" s="33"/>
      <c r="BM41" s="33"/>
      <c r="BN41" s="33"/>
    </row>
    <row r="42" spans="1:66" ht="16.5" thickBot="1" x14ac:dyDescent="0.3">
      <c r="A42" s="34"/>
      <c r="B42" s="34"/>
      <c r="C42" s="140"/>
      <c r="D42" s="147"/>
      <c r="E42" s="33"/>
      <c r="F42" s="1295"/>
      <c r="G42" s="1296"/>
      <c r="H42" s="1296"/>
      <c r="I42" s="1296"/>
      <c r="J42" s="1296"/>
      <c r="K42" s="1297"/>
      <c r="L42" s="34"/>
      <c r="M42" s="34"/>
      <c r="N42" s="33"/>
      <c r="O42" s="960"/>
      <c r="P42" s="960"/>
      <c r="Q42" s="957"/>
      <c r="R42" s="324"/>
      <c r="S42" s="324"/>
      <c r="T42" s="960"/>
      <c r="U42" s="957"/>
      <c r="V42" s="983"/>
      <c r="W42" s="960"/>
      <c r="X42" s="960"/>
      <c r="Y42" s="960"/>
      <c r="Z42" s="960"/>
      <c r="AA42" s="984"/>
      <c r="AB42" s="157"/>
      <c r="AC42" s="157"/>
      <c r="AD42" s="108"/>
      <c r="AE42" s="158"/>
      <c r="AF42" s="157"/>
      <c r="AG42" s="1001"/>
      <c r="AH42" s="956"/>
      <c r="AI42" s="958"/>
      <c r="AJ42" s="958"/>
      <c r="AK42" s="958"/>
      <c r="AL42" s="958"/>
      <c r="AM42" s="958"/>
      <c r="AN42" s="998"/>
      <c r="AO42" s="998"/>
      <c r="AP42" s="961"/>
      <c r="AQ42" s="1002"/>
      <c r="AR42" s="1002"/>
      <c r="AS42" s="47"/>
      <c r="AT42" s="1271"/>
      <c r="AU42" s="72"/>
      <c r="AV42" s="961"/>
      <c r="AW42" s="961"/>
      <c r="AX42" s="961"/>
      <c r="AY42" s="72"/>
      <c r="AZ42" s="72"/>
      <c r="BA42" s="72"/>
      <c r="BB42" s="72"/>
      <c r="BC42" s="72"/>
      <c r="BD42" s="961"/>
      <c r="BE42" s="1052"/>
      <c r="BF42" s="1270"/>
      <c r="BG42" s="960"/>
      <c r="BH42" s="958"/>
      <c r="BI42" s="47"/>
      <c r="BJ42" s="47"/>
      <c r="BK42" s="47"/>
      <c r="BL42" s="33"/>
      <c r="BM42" s="33"/>
      <c r="BN42" s="33"/>
    </row>
    <row r="43" spans="1:66" ht="15.75" x14ac:dyDescent="0.25">
      <c r="A43" s="34"/>
      <c r="B43" s="34"/>
      <c r="C43" s="140"/>
      <c r="D43" s="147"/>
      <c r="E43" s="33"/>
      <c r="F43" s="1295"/>
      <c r="G43" s="1296"/>
      <c r="H43" s="1296"/>
      <c r="I43" s="1296"/>
      <c r="J43" s="1296"/>
      <c r="K43" s="1297"/>
      <c r="L43" s="34"/>
      <c r="M43" s="34"/>
      <c r="N43" s="33"/>
      <c r="O43" s="960"/>
      <c r="P43" s="960"/>
      <c r="Q43" s="985"/>
      <c r="R43" s="324"/>
      <c r="S43" s="324"/>
      <c r="T43" s="960"/>
      <c r="U43" s="1207"/>
      <c r="V43" s="1274"/>
      <c r="W43" s="960"/>
      <c r="X43" s="960"/>
      <c r="Y43" s="960"/>
      <c r="Z43" s="960"/>
      <c r="AA43" s="982"/>
      <c r="AB43" s="47"/>
      <c r="AC43" s="160"/>
      <c r="AD43" s="160"/>
      <c r="AE43" s="47"/>
      <c r="AF43" s="47"/>
      <c r="AG43" s="958"/>
      <c r="AH43" s="1003"/>
      <c r="AI43" s="958"/>
      <c r="AJ43" s="958"/>
      <c r="AK43" s="958"/>
      <c r="AL43" s="958"/>
      <c r="AM43" s="961"/>
      <c r="AN43" s="998"/>
      <c r="AO43" s="1004"/>
      <c r="AP43" s="961"/>
      <c r="AQ43" s="1276"/>
      <c r="AR43" s="1276"/>
      <c r="AS43" s="72"/>
      <c r="AT43" s="1272"/>
      <c r="AU43" s="72"/>
      <c r="AV43" s="1053"/>
      <c r="AW43" s="1053"/>
      <c r="AX43" s="1053"/>
      <c r="AY43" s="72"/>
      <c r="AZ43" s="72"/>
      <c r="BA43" s="72"/>
      <c r="BB43" s="72"/>
      <c r="BC43" s="72"/>
      <c r="BD43" s="961"/>
      <c r="BE43" s="1052"/>
      <c r="BF43" s="958"/>
      <c r="BG43" s="958"/>
      <c r="BH43" s="958"/>
      <c r="BI43" s="47"/>
      <c r="BJ43" s="47"/>
      <c r="BK43" s="47"/>
      <c r="BL43" s="33"/>
      <c r="BM43" s="33"/>
      <c r="BN43" s="33"/>
    </row>
    <row r="44" spans="1:66" ht="16.5" thickBot="1" x14ac:dyDescent="0.3">
      <c r="A44" s="34"/>
      <c r="B44" s="34"/>
      <c r="C44" s="140"/>
      <c r="D44" s="33"/>
      <c r="E44" s="33"/>
      <c r="F44" s="1295"/>
      <c r="G44" s="1296"/>
      <c r="H44" s="1296"/>
      <c r="I44" s="1296"/>
      <c r="J44" s="1296"/>
      <c r="K44" s="1297"/>
      <c r="L44" s="34"/>
      <c r="M44" s="34"/>
      <c r="N44" s="33"/>
      <c r="O44" s="960"/>
      <c r="P44" s="960"/>
      <c r="Q44" s="958"/>
      <c r="R44" s="986"/>
      <c r="S44" s="324"/>
      <c r="T44" s="960"/>
      <c r="U44" s="1211"/>
      <c r="V44" s="1275"/>
      <c r="W44" s="960"/>
      <c r="X44" s="960"/>
      <c r="Y44" s="960"/>
      <c r="Z44" s="960"/>
      <c r="AA44" s="982"/>
      <c r="AB44" s="47"/>
      <c r="AC44" s="47"/>
      <c r="AD44" s="47"/>
      <c r="AE44" s="47"/>
      <c r="AF44" s="47"/>
      <c r="AG44" s="958"/>
      <c r="AH44" s="1003"/>
      <c r="AI44" s="958"/>
      <c r="AJ44" s="1005"/>
      <c r="AK44" s="1005"/>
      <c r="AL44" s="961"/>
      <c r="AM44" s="961"/>
      <c r="AN44" s="998"/>
      <c r="AO44" s="958"/>
      <c r="AP44" s="961"/>
      <c r="AQ44" s="961"/>
      <c r="AR44" s="958"/>
      <c r="AS44" s="159"/>
      <c r="AT44" s="1272"/>
      <c r="AU44" s="72"/>
      <c r="AV44" s="166"/>
      <c r="AW44" s="166"/>
      <c r="AX44" s="166"/>
      <c r="AY44" s="72"/>
      <c r="AZ44" s="72"/>
      <c r="BA44" s="72"/>
      <c r="BB44" s="72"/>
      <c r="BC44" s="72"/>
      <c r="BD44" s="961"/>
      <c r="BE44" s="1032"/>
      <c r="BF44" s="958"/>
      <c r="BG44" s="958"/>
      <c r="BH44" s="958"/>
      <c r="BI44" s="47"/>
      <c r="BJ44" s="47"/>
      <c r="BK44" s="47"/>
      <c r="BL44" s="33"/>
      <c r="BM44" s="33"/>
      <c r="BN44" s="33"/>
    </row>
    <row r="45" spans="1:66" ht="15.75" x14ac:dyDescent="0.25">
      <c r="A45" s="34"/>
      <c r="B45" s="34"/>
      <c r="C45" s="140"/>
      <c r="D45" s="33"/>
      <c r="E45" s="33"/>
      <c r="F45" s="1295"/>
      <c r="G45" s="1296"/>
      <c r="H45" s="1296"/>
      <c r="I45" s="1296"/>
      <c r="J45" s="1296"/>
      <c r="K45" s="1297"/>
      <c r="L45" s="34"/>
      <c r="M45" s="34"/>
      <c r="N45" s="33"/>
      <c r="O45" s="33"/>
      <c r="P45" s="33"/>
      <c r="Q45" s="34"/>
      <c r="R45" s="47"/>
      <c r="S45" s="34"/>
      <c r="T45" s="33"/>
      <c r="U45" s="33"/>
      <c r="V45" s="33"/>
      <c r="W45" s="33"/>
      <c r="X45" s="33"/>
      <c r="Y45" s="33"/>
      <c r="Z45" s="33"/>
      <c r="AA45" s="47"/>
      <c r="AB45" s="47"/>
      <c r="AC45" s="47"/>
      <c r="AD45" s="47"/>
      <c r="AE45" s="47"/>
      <c r="AF45" s="47"/>
      <c r="AG45" s="47"/>
      <c r="AH45" s="161"/>
      <c r="AI45" s="47"/>
      <c r="AJ45" s="958"/>
      <c r="AK45" s="1006"/>
      <c r="AL45" s="958"/>
      <c r="AM45" s="958"/>
      <c r="AN45" s="958"/>
      <c r="AO45" s="958"/>
      <c r="AP45" s="961"/>
      <c r="AQ45" s="961"/>
      <c r="AR45" s="958"/>
      <c r="AS45" s="168"/>
      <c r="AT45" s="1272"/>
      <c r="AU45" s="166"/>
      <c r="AV45" s="169" t="s">
        <v>193</v>
      </c>
      <c r="AW45" s="169" t="s">
        <v>193</v>
      </c>
      <c r="AX45" s="169" t="s">
        <v>193</v>
      </c>
      <c r="AY45" s="166"/>
      <c r="AZ45" s="72"/>
      <c r="BA45" s="72"/>
      <c r="BB45" s="72"/>
      <c r="BC45" s="72"/>
      <c r="BD45" s="72"/>
      <c r="BE45" s="95"/>
      <c r="BF45" s="47"/>
      <c r="BG45" s="47"/>
      <c r="BH45" s="47"/>
      <c r="BI45" s="47"/>
      <c r="BJ45" s="47"/>
      <c r="BK45" s="47"/>
      <c r="BL45" s="33"/>
      <c r="BM45" s="33"/>
      <c r="BN45" s="33"/>
    </row>
    <row r="46" spans="1:66" ht="18" x14ac:dyDescent="0.25">
      <c r="A46" s="34"/>
      <c r="B46" s="34"/>
      <c r="C46" s="140"/>
      <c r="D46" s="33"/>
      <c r="E46" s="33"/>
      <c r="F46" s="1295"/>
      <c r="G46" s="1296"/>
      <c r="H46" s="1296"/>
      <c r="I46" s="1296"/>
      <c r="J46" s="1296"/>
      <c r="K46" s="1297"/>
      <c r="L46" s="34"/>
      <c r="M46" s="34"/>
      <c r="N46" s="33"/>
      <c r="O46" s="34"/>
      <c r="P46" s="33"/>
      <c r="Q46" s="52"/>
      <c r="R46" s="47"/>
      <c r="S46" s="47"/>
      <c r="T46" s="33"/>
      <c r="U46" s="33"/>
      <c r="V46" s="33"/>
      <c r="W46" s="33"/>
      <c r="X46" s="33"/>
      <c r="Y46" s="33"/>
      <c r="Z46" s="33"/>
      <c r="AA46" s="160"/>
      <c r="AB46" s="160"/>
      <c r="AC46" s="160"/>
      <c r="AD46" s="160"/>
      <c r="AE46" s="47"/>
      <c r="AF46" s="47"/>
      <c r="AG46" s="47"/>
      <c r="AH46" s="46"/>
      <c r="AI46" s="46"/>
      <c r="AJ46" s="958"/>
      <c r="AK46" s="1007"/>
      <c r="AL46" s="1006"/>
      <c r="AM46" s="958"/>
      <c r="AN46" s="958"/>
      <c r="AO46" s="958"/>
      <c r="AP46" s="1004"/>
      <c r="AQ46" s="961"/>
      <c r="AR46" s="961"/>
      <c r="AS46" s="168"/>
      <c r="AT46" s="1272"/>
      <c r="AU46" s="170"/>
      <c r="AV46" s="20">
        <v>25</v>
      </c>
      <c r="AW46" s="19">
        <v>25</v>
      </c>
      <c r="AX46" s="17">
        <v>25</v>
      </c>
      <c r="AY46" s="170"/>
      <c r="AZ46" s="47"/>
      <c r="BA46" s="47"/>
      <c r="BB46" s="47"/>
      <c r="BC46" s="47"/>
      <c r="BD46" s="47"/>
      <c r="BE46" s="95"/>
      <c r="BF46" s="47"/>
      <c r="BG46" s="47"/>
      <c r="BH46" s="47"/>
      <c r="BI46" s="47"/>
      <c r="BJ46" s="47"/>
      <c r="BK46" s="47"/>
      <c r="BL46" s="33"/>
      <c r="BM46" s="33"/>
      <c r="BN46" s="33"/>
    </row>
    <row r="47" spans="1:66" ht="18" x14ac:dyDescent="0.25">
      <c r="A47" s="34"/>
      <c r="B47" s="34"/>
      <c r="C47" s="140"/>
      <c r="D47" s="33"/>
      <c r="E47" s="33"/>
      <c r="F47" s="1295"/>
      <c r="G47" s="1296"/>
      <c r="H47" s="1296"/>
      <c r="I47" s="1296"/>
      <c r="J47" s="1296"/>
      <c r="K47" s="1297"/>
      <c r="L47" s="34"/>
      <c r="M47" s="34"/>
      <c r="N47" s="33"/>
      <c r="O47" s="34"/>
      <c r="P47" s="33"/>
      <c r="Q47" s="47"/>
      <c r="R47" s="34"/>
      <c r="S47" s="34"/>
      <c r="T47" s="33"/>
      <c r="U47" s="33"/>
      <c r="V47" s="33"/>
      <c r="W47" s="33"/>
      <c r="X47" s="33"/>
      <c r="Y47" s="33"/>
      <c r="Z47" s="33"/>
      <c r="AA47" s="39"/>
      <c r="AB47" s="32"/>
      <c r="AC47" s="32"/>
      <c r="AD47" s="46"/>
      <c r="AE47" s="46"/>
      <c r="AF47" s="46"/>
      <c r="AG47" s="46"/>
      <c r="AH47" s="121"/>
      <c r="AI47" s="121"/>
      <c r="AJ47" s="1008"/>
      <c r="AK47" s="967"/>
      <c r="AL47" s="1007"/>
      <c r="AM47" s="1006"/>
      <c r="AN47" s="956"/>
      <c r="AO47" s="1009"/>
      <c r="AP47" s="958"/>
      <c r="AQ47" s="324"/>
      <c r="AR47" s="324"/>
      <c r="AS47" s="168"/>
      <c r="AT47" s="1272"/>
      <c r="AU47" s="170"/>
      <c r="AV47" s="21">
        <v>25</v>
      </c>
      <c r="AW47" s="20">
        <v>25</v>
      </c>
      <c r="AX47" s="15">
        <v>25</v>
      </c>
      <c r="AY47" s="170"/>
      <c r="AZ47" s="47"/>
      <c r="BA47" s="47"/>
      <c r="BB47" s="47"/>
      <c r="BC47" s="47"/>
      <c r="BD47" s="47"/>
      <c r="BE47" s="95"/>
      <c r="BF47" s="47"/>
      <c r="BG47" s="47"/>
      <c r="BH47" s="47"/>
      <c r="BI47" s="47"/>
      <c r="BJ47" s="47"/>
      <c r="BK47" s="47"/>
      <c r="BL47" s="33"/>
      <c r="BM47" s="33"/>
      <c r="BN47" s="33"/>
    </row>
    <row r="48" spans="1:66" ht="15.75" x14ac:dyDescent="0.25">
      <c r="A48" s="34"/>
      <c r="B48" s="34"/>
      <c r="C48" s="140"/>
      <c r="D48" s="33"/>
      <c r="E48" s="33"/>
      <c r="F48" s="1295"/>
      <c r="G48" s="1296"/>
      <c r="H48" s="1296"/>
      <c r="I48" s="1296"/>
      <c r="J48" s="1296"/>
      <c r="K48" s="1297"/>
      <c r="L48" s="34"/>
      <c r="M48" s="34"/>
      <c r="N48" s="33"/>
      <c r="O48" s="34"/>
      <c r="P48" s="33"/>
      <c r="Q48" s="47"/>
      <c r="R48" s="34"/>
      <c r="S48" s="34"/>
      <c r="T48" s="33"/>
      <c r="U48" s="33"/>
      <c r="V48" s="33"/>
      <c r="W48" s="33"/>
      <c r="X48" s="149"/>
      <c r="Y48" s="149"/>
      <c r="Z48" s="149"/>
      <c r="AA48" s="32"/>
      <c r="AB48" s="32"/>
      <c r="AC48" s="174"/>
      <c r="AD48" s="158"/>
      <c r="AE48" s="158"/>
      <c r="AF48" s="158"/>
      <c r="AG48" s="158"/>
      <c r="AH48" s="175"/>
      <c r="AI48" s="89"/>
      <c r="AJ48" s="1010"/>
      <c r="AK48" s="1008"/>
      <c r="AL48" s="967"/>
      <c r="AM48" s="1007"/>
      <c r="AN48" s="1006"/>
      <c r="AO48" s="958"/>
      <c r="AP48" s="958"/>
      <c r="AQ48" s="324"/>
      <c r="AR48" s="324"/>
      <c r="AS48" s="75"/>
      <c r="AT48" s="1272"/>
      <c r="AU48" s="166"/>
      <c r="AV48" s="169" t="s">
        <v>193</v>
      </c>
      <c r="AW48" s="169" t="s">
        <v>193</v>
      </c>
      <c r="AX48" s="169" t="s">
        <v>193</v>
      </c>
      <c r="AY48" s="166"/>
      <c r="AZ48" s="47"/>
      <c r="BA48" s="47"/>
      <c r="BB48" s="177"/>
      <c r="BC48" s="177"/>
      <c r="BD48" s="177"/>
      <c r="BE48" s="178"/>
      <c r="BF48" s="47"/>
      <c r="BG48" s="47"/>
      <c r="BH48" s="47"/>
      <c r="BI48" s="47"/>
      <c r="BJ48" s="47"/>
      <c r="BK48" s="47"/>
      <c r="BL48" s="33"/>
      <c r="BM48" s="33"/>
      <c r="BN48" s="33"/>
    </row>
    <row r="49" spans="1:66" ht="16.5" thickBot="1" x14ac:dyDescent="0.3">
      <c r="A49" s="34"/>
      <c r="B49" s="34"/>
      <c r="C49" s="140"/>
      <c r="D49" s="33"/>
      <c r="E49" s="33"/>
      <c r="F49" s="1295"/>
      <c r="G49" s="1296"/>
      <c r="H49" s="1296"/>
      <c r="I49" s="1296"/>
      <c r="J49" s="1296"/>
      <c r="K49" s="1297"/>
      <c r="L49" s="34"/>
      <c r="M49" s="34"/>
      <c r="N49" s="33"/>
      <c r="O49" s="3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149"/>
      <c r="AA49" s="99"/>
      <c r="AB49" s="99"/>
      <c r="AC49" s="179"/>
      <c r="AD49" s="99"/>
      <c r="AE49" s="47"/>
      <c r="AF49" s="47"/>
      <c r="AG49" s="47"/>
      <c r="AH49" s="89"/>
      <c r="AI49" s="47"/>
      <c r="AJ49" s="1011"/>
      <c r="AK49" s="1010"/>
      <c r="AL49" s="1008"/>
      <c r="AM49" s="967"/>
      <c r="AN49" s="1007"/>
      <c r="AO49" s="1006"/>
      <c r="AP49" s="1012"/>
      <c r="AQ49" s="961"/>
      <c r="AR49" s="961"/>
      <c r="AS49" s="72"/>
      <c r="AT49" s="1273"/>
      <c r="AU49" s="47"/>
      <c r="AV49" s="166"/>
      <c r="AW49" s="166"/>
      <c r="AX49" s="166"/>
      <c r="AY49" s="182"/>
      <c r="AZ49" s="1277" t="s">
        <v>194</v>
      </c>
      <c r="BA49" s="1277"/>
      <c r="BB49" s="1277"/>
      <c r="BC49" s="50"/>
      <c r="BD49" s="50"/>
      <c r="BE49" s="183"/>
      <c r="BF49" s="47"/>
      <c r="BG49" s="47"/>
      <c r="BH49" s="47"/>
      <c r="BI49" s="47"/>
      <c r="BJ49" s="47"/>
      <c r="BK49" s="47"/>
      <c r="BL49" s="33"/>
      <c r="BM49" s="33"/>
      <c r="BN49" s="33"/>
    </row>
    <row r="50" spans="1:66" ht="16.5" thickBot="1" x14ac:dyDescent="0.3">
      <c r="A50" s="34"/>
      <c r="B50" s="34"/>
      <c r="C50" s="140"/>
      <c r="D50" s="33"/>
      <c r="E50" s="33"/>
      <c r="F50" s="1295"/>
      <c r="G50" s="1296"/>
      <c r="H50" s="1296"/>
      <c r="I50" s="1296"/>
      <c r="J50" s="1296"/>
      <c r="K50" s="1297"/>
      <c r="L50" s="33"/>
      <c r="M50" s="33"/>
      <c r="N50" s="33"/>
      <c r="O50" s="3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149"/>
      <c r="AA50" s="161"/>
      <c r="AB50" s="47"/>
      <c r="AC50" s="47"/>
      <c r="AD50" s="47"/>
      <c r="AE50" s="184"/>
      <c r="AF50" s="47"/>
      <c r="AG50" s="89"/>
      <c r="AH50" s="47"/>
      <c r="AI50" s="47"/>
      <c r="AJ50" s="958"/>
      <c r="AK50" s="958"/>
      <c r="AL50" s="958"/>
      <c r="AM50" s="1013"/>
      <c r="AN50" s="967"/>
      <c r="AO50" s="1007"/>
      <c r="AP50" s="1006"/>
      <c r="AQ50" s="1014"/>
      <c r="AR50" s="961"/>
      <c r="AS50" s="95"/>
      <c r="AT50" s="99"/>
      <c r="AU50" s="187"/>
      <c r="AV50" s="1054"/>
      <c r="AW50" s="1054"/>
      <c r="AX50" s="1054"/>
      <c r="AY50" s="121"/>
      <c r="AZ50" s="121"/>
      <c r="BA50" s="121"/>
      <c r="BB50" s="121"/>
      <c r="BC50" s="121"/>
      <c r="BD50" s="47"/>
      <c r="BE50" s="150"/>
      <c r="BF50" s="47"/>
      <c r="BG50" s="47"/>
      <c r="BH50" s="47"/>
      <c r="BI50" s="47"/>
      <c r="BJ50" s="47"/>
      <c r="BK50" s="47"/>
      <c r="BL50" s="33"/>
      <c r="BM50" s="33"/>
      <c r="BN50" s="33"/>
    </row>
    <row r="51" spans="1:66" ht="15.75" x14ac:dyDescent="0.25">
      <c r="A51" s="34"/>
      <c r="B51" s="34"/>
      <c r="C51" s="140"/>
      <c r="D51" s="34"/>
      <c r="E51" s="33"/>
      <c r="F51" s="1295"/>
      <c r="G51" s="1296"/>
      <c r="H51" s="1296"/>
      <c r="I51" s="1296"/>
      <c r="J51" s="1296"/>
      <c r="K51" s="1297"/>
      <c r="L51" s="34"/>
      <c r="M51" s="34"/>
      <c r="N51" s="1281"/>
      <c r="O51" s="1282"/>
      <c r="P51" s="1282"/>
      <c r="Q51" s="1282"/>
      <c r="R51" s="1282"/>
      <c r="S51" s="1282"/>
      <c r="T51" s="1283"/>
      <c r="U51" s="33"/>
      <c r="V51" s="33"/>
      <c r="W51" s="33"/>
      <c r="X51" s="33"/>
      <c r="Y51" s="33"/>
      <c r="Z51" s="149"/>
      <c r="AA51" s="161"/>
      <c r="AB51" s="47"/>
      <c r="AC51" s="47"/>
      <c r="AD51" s="121"/>
      <c r="AE51" s="47"/>
      <c r="AF51" s="89"/>
      <c r="AG51" s="47"/>
      <c r="AH51" s="47"/>
      <c r="AI51" s="47"/>
      <c r="AJ51" s="958"/>
      <c r="AK51" s="958"/>
      <c r="AL51" s="958"/>
      <c r="AM51" s="958"/>
      <c r="AN51" s="1015"/>
      <c r="AO51" s="967"/>
      <c r="AP51" s="1007"/>
      <c r="AQ51" s="1006"/>
      <c r="AR51" s="961"/>
      <c r="AS51" s="95"/>
      <c r="AT51" s="47"/>
      <c r="AU51" s="47"/>
      <c r="AV51" s="958"/>
      <c r="AW51" s="958"/>
      <c r="AX51" s="958"/>
      <c r="AY51" s="47"/>
      <c r="BC51" s="47"/>
      <c r="BD51" s="47"/>
      <c r="BE51" s="150"/>
      <c r="BF51" s="47"/>
      <c r="BG51" s="47"/>
      <c r="BH51" s="47"/>
      <c r="BI51" s="47"/>
      <c r="BJ51" s="47"/>
      <c r="BK51" s="47"/>
      <c r="BL51" s="33"/>
      <c r="BM51" s="33"/>
      <c r="BN51" s="33"/>
    </row>
    <row r="52" spans="1:66" ht="15.75" x14ac:dyDescent="0.25">
      <c r="A52" s="34"/>
      <c r="B52" s="34"/>
      <c r="C52" s="140"/>
      <c r="D52" s="34"/>
      <c r="E52" s="33"/>
      <c r="F52" s="1295"/>
      <c r="G52" s="1296"/>
      <c r="H52" s="1296"/>
      <c r="I52" s="1296"/>
      <c r="J52" s="1296"/>
      <c r="K52" s="1297"/>
      <c r="L52" s="34"/>
      <c r="M52" s="34"/>
      <c r="N52" s="1284"/>
      <c r="O52" s="1285"/>
      <c r="P52" s="1285"/>
      <c r="Q52" s="1285"/>
      <c r="R52" s="1285"/>
      <c r="S52" s="1285"/>
      <c r="T52" s="1286"/>
      <c r="U52" s="33"/>
      <c r="V52" s="33"/>
      <c r="W52" s="33"/>
      <c r="X52" s="33"/>
      <c r="Y52" s="33"/>
      <c r="Z52" s="47"/>
      <c r="AA52" s="47"/>
      <c r="AB52" s="47"/>
      <c r="AC52" s="121"/>
      <c r="AD52" s="47"/>
      <c r="AE52" s="89"/>
      <c r="AF52" s="47"/>
      <c r="AG52" s="47"/>
      <c r="AH52" s="47"/>
      <c r="AI52" s="47"/>
      <c r="AJ52" s="958"/>
      <c r="AK52" s="958"/>
      <c r="AL52" s="958"/>
      <c r="AM52" s="958"/>
      <c r="AN52" s="958"/>
      <c r="AO52" s="1016"/>
      <c r="AP52" s="967"/>
      <c r="AQ52" s="1007"/>
      <c r="AR52" s="1006"/>
      <c r="AS52" s="191"/>
      <c r="AT52" s="47"/>
      <c r="AU52" s="47"/>
      <c r="AV52" s="47"/>
      <c r="AW52" s="47"/>
      <c r="AY52" s="47"/>
      <c r="AZ52" s="47"/>
      <c r="BA52" s="47"/>
      <c r="BB52" s="47"/>
      <c r="BC52" s="47"/>
      <c r="BD52" s="47"/>
      <c r="BE52" s="47"/>
      <c r="BF52" s="138"/>
      <c r="BG52" s="47"/>
      <c r="BH52" s="47"/>
      <c r="BI52" s="47"/>
      <c r="BJ52" s="47"/>
      <c r="BK52" s="47"/>
      <c r="BL52" s="33"/>
      <c r="BM52" s="33"/>
      <c r="BN52" s="33"/>
    </row>
    <row r="53" spans="1:66" ht="16.5" thickBot="1" x14ac:dyDescent="0.3">
      <c r="A53" s="34"/>
      <c r="B53" s="34"/>
      <c r="C53" s="140"/>
      <c r="D53" s="34"/>
      <c r="E53" s="33"/>
      <c r="F53" s="1295"/>
      <c r="G53" s="1296"/>
      <c r="H53" s="1296"/>
      <c r="I53" s="1296"/>
      <c r="J53" s="1296"/>
      <c r="K53" s="1297"/>
      <c r="L53" s="34"/>
      <c r="M53" s="34"/>
      <c r="N53" s="1284"/>
      <c r="O53" s="1285"/>
      <c r="P53" s="1285"/>
      <c r="Q53" s="1285"/>
      <c r="R53" s="1285"/>
      <c r="S53" s="1285"/>
      <c r="T53" s="1286"/>
      <c r="U53" s="33"/>
      <c r="V53" s="33"/>
      <c r="W53" s="33"/>
      <c r="X53" s="33"/>
      <c r="Y53" s="33"/>
      <c r="Z53" s="72"/>
      <c r="AA53" s="47"/>
      <c r="AB53" s="152"/>
      <c r="AC53" s="47"/>
      <c r="AD53" s="89"/>
      <c r="AE53" s="47"/>
      <c r="AF53" s="47"/>
      <c r="AG53" s="47"/>
      <c r="AH53" s="47"/>
      <c r="AI53" s="47"/>
      <c r="AJ53" s="958"/>
      <c r="AK53" s="958"/>
      <c r="AL53" s="958"/>
      <c r="AM53" s="958"/>
      <c r="AN53" s="961"/>
      <c r="AO53" s="961"/>
      <c r="AP53" s="1008"/>
      <c r="AQ53" s="967"/>
      <c r="AR53" s="1017"/>
      <c r="AS53" s="193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138"/>
      <c r="BG53" s="47"/>
      <c r="BH53" s="47"/>
      <c r="BI53" s="47"/>
      <c r="BJ53" s="47"/>
      <c r="BK53" s="47"/>
      <c r="BL53" s="33"/>
      <c r="BM53" s="33"/>
      <c r="BN53" s="33"/>
    </row>
    <row r="54" spans="1:66" x14ac:dyDescent="0.25">
      <c r="A54" s="34"/>
      <c r="B54" s="34"/>
      <c r="C54" s="140"/>
      <c r="D54" s="34"/>
      <c r="E54" s="33"/>
      <c r="F54" s="1295"/>
      <c r="G54" s="1296"/>
      <c r="H54" s="1296"/>
      <c r="I54" s="1296"/>
      <c r="J54" s="1296"/>
      <c r="K54" s="1297"/>
      <c r="L54" s="34"/>
      <c r="M54" s="34"/>
      <c r="N54" s="1284"/>
      <c r="O54" s="1285"/>
      <c r="P54" s="1285"/>
      <c r="Q54" s="1285"/>
      <c r="R54" s="1285"/>
      <c r="S54" s="1285"/>
      <c r="T54" s="1286"/>
      <c r="U54" s="33"/>
      <c r="V54" s="33"/>
      <c r="W54" s="33"/>
      <c r="X54" s="33"/>
      <c r="Y54" s="33"/>
      <c r="Z54" s="47"/>
      <c r="AA54" s="152"/>
      <c r="AB54" s="100"/>
      <c r="AC54" s="89"/>
      <c r="AD54" s="47"/>
      <c r="AE54" s="47"/>
      <c r="AF54" s="47"/>
      <c r="AG54" s="47"/>
      <c r="AH54" s="47"/>
      <c r="AI54" s="47"/>
      <c r="AJ54" s="958"/>
      <c r="AK54" s="958"/>
      <c r="AL54" s="958"/>
      <c r="AM54" s="958"/>
      <c r="AN54" s="958"/>
      <c r="AO54" s="958"/>
      <c r="AP54" s="961"/>
      <c r="AQ54" s="961"/>
      <c r="AR54" s="1018"/>
      <c r="AS54" s="121"/>
      <c r="AT54" s="121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113"/>
      <c r="BG54" s="47"/>
      <c r="BH54" s="47"/>
      <c r="BI54" s="47"/>
      <c r="BJ54" s="47"/>
      <c r="BK54" s="47"/>
      <c r="BL54" s="33"/>
      <c r="BM54" s="33"/>
      <c r="BN54" s="33"/>
    </row>
    <row r="55" spans="1:66" x14ac:dyDescent="0.25">
      <c r="A55" s="34"/>
      <c r="B55" s="34"/>
      <c r="C55" s="140"/>
      <c r="D55" s="34"/>
      <c r="E55" s="33"/>
      <c r="F55" s="1295"/>
      <c r="G55" s="1296"/>
      <c r="H55" s="1296"/>
      <c r="I55" s="1296"/>
      <c r="J55" s="1296"/>
      <c r="K55" s="1297"/>
      <c r="L55" s="34"/>
      <c r="M55" s="34"/>
      <c r="N55" s="1284"/>
      <c r="O55" s="1285"/>
      <c r="P55" s="1285"/>
      <c r="Q55" s="1285"/>
      <c r="R55" s="1285"/>
      <c r="S55" s="1285"/>
      <c r="T55" s="1286"/>
      <c r="U55" s="33"/>
      <c r="V55" s="33"/>
      <c r="W55" s="33"/>
      <c r="X55" s="33"/>
      <c r="Y55" s="33"/>
      <c r="Z55" s="152"/>
      <c r="AA55" s="100"/>
      <c r="AB55" s="195"/>
      <c r="AC55" s="47"/>
      <c r="AD55" s="47"/>
      <c r="AE55" s="47"/>
      <c r="AF55" s="47"/>
      <c r="AG55" s="47"/>
      <c r="AH55" s="47"/>
      <c r="AI55" s="47"/>
      <c r="AJ55" s="958"/>
      <c r="AK55" s="958"/>
      <c r="AL55" s="958"/>
      <c r="AM55" s="958"/>
      <c r="AN55" s="958"/>
      <c r="AO55" s="958"/>
      <c r="AP55" s="958"/>
      <c r="AQ55" s="958"/>
      <c r="AR55" s="1019"/>
      <c r="AS55" s="121"/>
      <c r="AT55" s="121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113"/>
      <c r="BG55" s="47"/>
      <c r="BH55" s="47"/>
      <c r="BI55" s="47"/>
      <c r="BJ55" s="47"/>
      <c r="BK55" s="47"/>
      <c r="BL55" s="33"/>
      <c r="BM55" s="33"/>
      <c r="BN55" s="33"/>
    </row>
    <row r="56" spans="1:66" x14ac:dyDescent="0.25">
      <c r="A56" s="34"/>
      <c r="B56" s="34"/>
      <c r="C56" s="123"/>
      <c r="D56" s="197"/>
      <c r="E56" s="33"/>
      <c r="F56" s="1295"/>
      <c r="G56" s="1296"/>
      <c r="H56" s="1296"/>
      <c r="I56" s="1296"/>
      <c r="J56" s="1296"/>
      <c r="K56" s="1297"/>
      <c r="L56" s="34"/>
      <c r="M56" s="34"/>
      <c r="N56" s="1284"/>
      <c r="O56" s="1285"/>
      <c r="P56" s="1285"/>
      <c r="Q56" s="1285"/>
      <c r="R56" s="1285"/>
      <c r="S56" s="1285"/>
      <c r="T56" s="1286"/>
      <c r="U56" s="33"/>
      <c r="V56" s="33"/>
      <c r="W56" s="33"/>
      <c r="X56" s="33"/>
      <c r="Y56" s="33"/>
      <c r="Z56" s="47"/>
      <c r="AA56" s="195"/>
      <c r="AB56" s="152"/>
      <c r="AC56" s="47"/>
      <c r="AD56" s="47"/>
      <c r="AE56" s="47"/>
      <c r="AF56" s="47"/>
      <c r="AG56" s="47"/>
      <c r="AH56" s="47"/>
      <c r="AI56" s="47"/>
      <c r="AJ56" s="958"/>
      <c r="AK56" s="958"/>
      <c r="AL56" s="958"/>
      <c r="AM56" s="958"/>
      <c r="AN56" s="958"/>
      <c r="AO56" s="958"/>
      <c r="AP56" s="958"/>
      <c r="AQ56" s="958"/>
      <c r="AR56" s="1020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113"/>
      <c r="BG56" s="47"/>
      <c r="BH56" s="47"/>
      <c r="BI56" s="47"/>
      <c r="BJ56" s="47"/>
      <c r="BK56" s="47"/>
      <c r="BL56" s="33"/>
      <c r="BM56" s="33"/>
      <c r="BN56" s="33"/>
    </row>
    <row r="57" spans="1:66" ht="15.75" x14ac:dyDescent="0.25">
      <c r="A57" s="34"/>
      <c r="B57" s="34"/>
      <c r="C57" s="123"/>
      <c r="D57" s="197"/>
      <c r="E57" s="34"/>
      <c r="F57" s="1295"/>
      <c r="G57" s="1296"/>
      <c r="H57" s="1296"/>
      <c r="I57" s="1296"/>
      <c r="J57" s="1296"/>
      <c r="K57" s="1297"/>
      <c r="L57" s="34"/>
      <c r="M57" s="34"/>
      <c r="N57" s="1284"/>
      <c r="O57" s="1285"/>
      <c r="P57" s="1285"/>
      <c r="Q57" s="1285"/>
      <c r="R57" s="1285"/>
      <c r="S57" s="1285"/>
      <c r="T57" s="1286"/>
      <c r="U57" s="33"/>
      <c r="V57" s="33"/>
      <c r="W57" s="33"/>
      <c r="X57" s="33"/>
      <c r="Y57" s="33"/>
      <c r="Z57" s="89"/>
      <c r="AA57" s="179"/>
      <c r="AB57" s="71"/>
      <c r="AC57" s="47"/>
      <c r="AD57" s="47"/>
      <c r="AE57" s="47"/>
      <c r="AF57" s="47"/>
      <c r="AG57" s="47"/>
      <c r="AH57" s="47"/>
      <c r="AI57" s="47"/>
      <c r="AJ57" s="958"/>
      <c r="AK57" s="958"/>
      <c r="AL57" s="958"/>
      <c r="AM57" s="958"/>
      <c r="AN57" s="958"/>
      <c r="AO57" s="958"/>
      <c r="AP57" s="958"/>
      <c r="AQ57" s="1021"/>
      <c r="AR57" s="1020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113"/>
      <c r="BG57" s="47"/>
      <c r="BH57" s="47"/>
      <c r="BI57" s="47"/>
      <c r="BJ57" s="47"/>
      <c r="BK57" s="47"/>
      <c r="BL57" s="33"/>
      <c r="BM57" s="33"/>
      <c r="BN57" s="33"/>
    </row>
    <row r="58" spans="1:66" x14ac:dyDescent="0.25">
      <c r="A58" s="34"/>
      <c r="B58" s="34"/>
      <c r="C58" s="123"/>
      <c r="D58" s="197"/>
      <c r="E58" s="34"/>
      <c r="F58" s="1295"/>
      <c r="G58" s="1296"/>
      <c r="H58" s="1296"/>
      <c r="I58" s="1296"/>
      <c r="J58" s="1296"/>
      <c r="K58" s="1297"/>
      <c r="L58" s="34"/>
      <c r="M58" s="34"/>
      <c r="N58" s="1284"/>
      <c r="O58" s="1285"/>
      <c r="P58" s="1285"/>
      <c r="Q58" s="1285"/>
      <c r="R58" s="1285"/>
      <c r="S58" s="1285"/>
      <c r="T58" s="1286"/>
      <c r="U58" s="33"/>
      <c r="V58" s="33"/>
      <c r="W58" s="33"/>
      <c r="X58" s="33"/>
      <c r="Y58" s="33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196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113"/>
      <c r="BG58" s="47"/>
      <c r="BH58" s="47"/>
      <c r="BI58" s="47"/>
      <c r="BJ58" s="47"/>
      <c r="BK58" s="47"/>
      <c r="BL58" s="33"/>
      <c r="BM58" s="33"/>
      <c r="BN58" s="33"/>
    </row>
    <row r="59" spans="1:66" x14ac:dyDescent="0.25">
      <c r="A59" s="34"/>
      <c r="B59" s="34"/>
      <c r="C59" s="123"/>
      <c r="D59" s="197"/>
      <c r="E59" s="34"/>
      <c r="F59" s="1295"/>
      <c r="G59" s="1296"/>
      <c r="H59" s="1296"/>
      <c r="I59" s="1296"/>
      <c r="J59" s="1296"/>
      <c r="K59" s="1297"/>
      <c r="L59" s="34"/>
      <c r="M59" s="34"/>
      <c r="N59" s="1284"/>
      <c r="O59" s="1285"/>
      <c r="P59" s="1285"/>
      <c r="Q59" s="1285"/>
      <c r="R59" s="1285"/>
      <c r="S59" s="1285"/>
      <c r="T59" s="1286"/>
      <c r="U59" s="33"/>
      <c r="V59" s="33"/>
      <c r="W59" s="33"/>
      <c r="X59" s="33"/>
      <c r="Y59" s="33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121"/>
      <c r="AS59" s="47"/>
      <c r="AT59" s="121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113"/>
      <c r="BG59" s="47"/>
      <c r="BH59" s="47"/>
      <c r="BI59" s="47"/>
      <c r="BJ59" s="47"/>
      <c r="BK59" s="47"/>
      <c r="BL59" s="33"/>
      <c r="BM59" s="33"/>
      <c r="BN59" s="33"/>
    </row>
    <row r="60" spans="1:66" ht="20.25" x14ac:dyDescent="0.25">
      <c r="A60" s="34"/>
      <c r="B60" s="34"/>
      <c r="C60" s="123"/>
      <c r="D60" s="200"/>
      <c r="E60" s="84"/>
      <c r="F60" s="1295"/>
      <c r="G60" s="1296"/>
      <c r="H60" s="1296"/>
      <c r="I60" s="1296"/>
      <c r="J60" s="1296"/>
      <c r="K60" s="1297"/>
      <c r="L60" s="34"/>
      <c r="M60" s="34"/>
      <c r="N60" s="1284"/>
      <c r="O60" s="1285"/>
      <c r="P60" s="1285"/>
      <c r="Q60" s="1285"/>
      <c r="R60" s="1285"/>
      <c r="S60" s="1285"/>
      <c r="T60" s="1286"/>
      <c r="U60" s="33"/>
      <c r="V60" s="33"/>
      <c r="W60" s="33"/>
      <c r="X60" s="33"/>
      <c r="Y60" s="33"/>
      <c r="Z60" s="33"/>
      <c r="AA60" s="33"/>
      <c r="AB60" s="33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201"/>
      <c r="AS60" s="47"/>
      <c r="AT60" s="121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113"/>
      <c r="BG60" s="47"/>
      <c r="BH60" s="47"/>
      <c r="BI60" s="47"/>
      <c r="BJ60" s="47"/>
      <c r="BK60" s="47"/>
      <c r="BL60" s="33"/>
      <c r="BM60" s="33"/>
      <c r="BN60" s="33"/>
    </row>
    <row r="61" spans="1:66" ht="15.75" x14ac:dyDescent="0.25">
      <c r="A61" s="34"/>
      <c r="B61" s="34"/>
      <c r="C61" s="123"/>
      <c r="D61" s="202"/>
      <c r="E61" s="34"/>
      <c r="F61" s="1295"/>
      <c r="G61" s="1296"/>
      <c r="H61" s="1296"/>
      <c r="I61" s="1296"/>
      <c r="J61" s="1296"/>
      <c r="K61" s="1297"/>
      <c r="L61" s="34"/>
      <c r="M61" s="34"/>
      <c r="N61" s="1284"/>
      <c r="O61" s="1285"/>
      <c r="P61" s="1285"/>
      <c r="Q61" s="1285"/>
      <c r="R61" s="1285"/>
      <c r="S61" s="1285"/>
      <c r="T61" s="1286"/>
      <c r="U61" s="33"/>
      <c r="V61" s="33"/>
      <c r="W61" s="33"/>
      <c r="X61" s="33"/>
      <c r="Y61" s="33"/>
      <c r="Z61" s="33"/>
      <c r="AA61" s="33"/>
      <c r="AB61" s="33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99"/>
      <c r="AR61" s="201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113"/>
      <c r="BG61" s="47"/>
      <c r="BH61" s="47"/>
      <c r="BI61" s="47"/>
      <c r="BJ61" s="47"/>
      <c r="BK61" s="47"/>
      <c r="BL61" s="33"/>
      <c r="BM61" s="33"/>
      <c r="BN61" s="33"/>
    </row>
    <row r="62" spans="1:66" ht="20.25" x14ac:dyDescent="0.25">
      <c r="A62" s="34"/>
      <c r="B62" s="34"/>
      <c r="C62" s="123"/>
      <c r="D62" s="203"/>
      <c r="F62" s="1295"/>
      <c r="G62" s="1296"/>
      <c r="H62" s="1296"/>
      <c r="I62" s="1296"/>
      <c r="J62" s="1296"/>
      <c r="K62" s="1297"/>
      <c r="L62" s="34"/>
      <c r="M62" s="34"/>
      <c r="N62" s="1284"/>
      <c r="O62" s="1285"/>
      <c r="P62" s="1285"/>
      <c r="Q62" s="1285"/>
      <c r="R62" s="1285"/>
      <c r="S62" s="1285"/>
      <c r="T62" s="1286"/>
      <c r="U62" s="33"/>
      <c r="V62" s="33"/>
      <c r="W62" s="33"/>
      <c r="X62" s="33"/>
      <c r="Y62" s="33"/>
      <c r="Z62" s="33"/>
      <c r="AA62" s="33"/>
      <c r="AB62" s="33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201"/>
      <c r="AR62" s="150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113"/>
      <c r="BG62" s="47"/>
      <c r="BH62" s="47"/>
      <c r="BI62" s="47"/>
      <c r="BJ62" s="47"/>
      <c r="BK62" s="47"/>
      <c r="BL62" s="33"/>
      <c r="BM62" s="33"/>
      <c r="BN62" s="33"/>
    </row>
    <row r="63" spans="1:66" ht="21" thickBot="1" x14ac:dyDescent="0.3">
      <c r="A63" s="34"/>
      <c r="B63" s="34"/>
      <c r="C63" s="123"/>
      <c r="D63" s="197"/>
      <c r="E63" s="56"/>
      <c r="F63" s="1295"/>
      <c r="G63" s="1296"/>
      <c r="H63" s="1296"/>
      <c r="I63" s="1296"/>
      <c r="J63" s="1296"/>
      <c r="K63" s="1297"/>
      <c r="L63" s="34"/>
      <c r="M63" s="34"/>
      <c r="N63" s="1287"/>
      <c r="O63" s="1288"/>
      <c r="P63" s="1288"/>
      <c r="Q63" s="1288"/>
      <c r="R63" s="1288"/>
      <c r="S63" s="1288"/>
      <c r="T63" s="1289"/>
      <c r="U63" s="52"/>
      <c r="V63" s="52"/>
      <c r="W63" s="52"/>
      <c r="X63" s="52"/>
      <c r="Y63" s="52"/>
      <c r="Z63" s="204"/>
      <c r="AA63" s="204"/>
      <c r="AB63" s="204"/>
      <c r="AC63" s="72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201"/>
      <c r="AR63" s="150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113"/>
      <c r="BG63" s="47"/>
      <c r="BH63" s="47"/>
      <c r="BI63" s="47"/>
      <c r="BJ63" s="47"/>
      <c r="BK63" s="47"/>
      <c r="BL63" s="33"/>
      <c r="BM63" s="33"/>
      <c r="BN63" s="33"/>
    </row>
    <row r="64" spans="1:66" ht="21" thickBot="1" x14ac:dyDescent="0.3">
      <c r="A64" s="34"/>
      <c r="B64" s="34"/>
      <c r="C64" s="123"/>
      <c r="D64" s="197"/>
      <c r="E64" s="56"/>
      <c r="F64" s="1298"/>
      <c r="G64" s="1299"/>
      <c r="H64" s="1299"/>
      <c r="I64" s="1299"/>
      <c r="J64" s="1299"/>
      <c r="K64" s="1300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205"/>
      <c r="AA64" s="72"/>
      <c r="AB64" s="204"/>
      <c r="AC64" s="206"/>
      <c r="AD64" s="47"/>
      <c r="AE64" s="47"/>
      <c r="AF64" s="47"/>
      <c r="AG64" s="47"/>
      <c r="AH64" s="47"/>
      <c r="AI64" s="207"/>
      <c r="AJ64" s="47"/>
      <c r="AK64" s="208"/>
      <c r="AL64" s="208"/>
      <c r="AM64" s="50"/>
      <c r="AN64" s="208"/>
      <c r="AO64" s="209"/>
      <c r="AP64" s="210"/>
      <c r="AQ64" s="50"/>
      <c r="AR64" s="183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211"/>
      <c r="BF64" s="113"/>
      <c r="BG64" s="47"/>
      <c r="BH64" s="47"/>
      <c r="BI64" s="47"/>
      <c r="BJ64" s="47"/>
      <c r="BK64" s="47"/>
      <c r="BL64" s="33"/>
      <c r="BM64" s="33"/>
      <c r="BN64" s="33"/>
    </row>
    <row r="65" spans="1:66" ht="20.25" x14ac:dyDescent="0.25">
      <c r="A65" s="34"/>
      <c r="B65" s="34"/>
      <c r="C65" s="123"/>
      <c r="D65" s="197"/>
      <c r="E65" s="56"/>
      <c r="F65" s="33"/>
      <c r="G65" s="33"/>
      <c r="H65" s="33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205"/>
      <c r="AA65" s="212"/>
      <c r="AB65" s="204"/>
      <c r="AC65" s="206"/>
      <c r="AD65" s="47"/>
      <c r="AE65" s="47"/>
      <c r="AF65" s="47"/>
      <c r="AG65" s="47"/>
      <c r="AH65" s="47"/>
      <c r="AI65" s="47"/>
      <c r="AJ65" s="213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214"/>
      <c r="BF65" s="113"/>
      <c r="BG65" s="47"/>
      <c r="BH65" s="47"/>
      <c r="BI65" s="47"/>
      <c r="BJ65" s="47"/>
      <c r="BK65" s="47"/>
      <c r="BL65" s="33"/>
      <c r="BM65" s="33"/>
      <c r="BN65" s="33"/>
    </row>
    <row r="66" spans="1:66" ht="20.25" x14ac:dyDescent="0.25">
      <c r="A66" s="34"/>
      <c r="B66" s="34"/>
      <c r="C66" s="123"/>
      <c r="D66" s="197"/>
      <c r="E66" s="56"/>
      <c r="F66" s="33"/>
      <c r="G66" s="33"/>
      <c r="H66" s="33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34"/>
      <c r="X66" s="34"/>
      <c r="Y66" s="34"/>
      <c r="Z66" s="205"/>
      <c r="AA66" s="215"/>
      <c r="AB66" s="204"/>
      <c r="AC66" s="206"/>
      <c r="AD66" s="216"/>
      <c r="AE66" s="47"/>
      <c r="AF66" s="161"/>
      <c r="AG66" s="217"/>
      <c r="AH66" s="100"/>
      <c r="AI66" s="213"/>
      <c r="AJ66" s="152"/>
      <c r="AK66" s="152"/>
      <c r="AL66" s="152"/>
      <c r="AM66" s="152"/>
      <c r="AN66" s="152"/>
      <c r="AO66" s="152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218"/>
      <c r="BF66" s="113"/>
      <c r="BG66" s="47"/>
      <c r="BH66" s="47"/>
      <c r="BI66" s="47"/>
      <c r="BJ66" s="47"/>
      <c r="BK66" s="47"/>
      <c r="BL66" s="33"/>
      <c r="BM66" s="33"/>
      <c r="BN66" s="33"/>
    </row>
    <row r="67" spans="1:66" ht="20.25" x14ac:dyDescent="0.25">
      <c r="A67" s="34"/>
      <c r="B67" s="34"/>
      <c r="C67" s="34"/>
      <c r="D67" s="197"/>
      <c r="E67" s="56"/>
      <c r="F67" s="33"/>
      <c r="G67" s="33"/>
      <c r="H67" s="33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34"/>
      <c r="X67" s="34"/>
      <c r="Y67" s="34"/>
      <c r="Z67" s="219"/>
      <c r="AA67" s="215"/>
      <c r="AB67" s="204"/>
      <c r="AC67" s="206"/>
      <c r="AD67" s="47"/>
      <c r="AE67" s="161"/>
      <c r="AF67" s="217"/>
      <c r="AG67" s="100"/>
      <c r="AH67" s="213"/>
      <c r="AI67" s="152"/>
      <c r="AJ67" s="152"/>
      <c r="AK67" s="152"/>
      <c r="AL67" s="152"/>
      <c r="AM67" s="152"/>
      <c r="AN67" s="152"/>
      <c r="AO67" s="152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214"/>
      <c r="BF67" s="113"/>
      <c r="BG67" s="47"/>
      <c r="BH67" s="47"/>
      <c r="BI67" s="47"/>
      <c r="BJ67" s="47"/>
      <c r="BK67" s="47"/>
      <c r="BL67" s="33"/>
      <c r="BM67" s="33"/>
      <c r="BN67" s="33"/>
    </row>
    <row r="68" spans="1:66" ht="20.25" x14ac:dyDescent="0.25">
      <c r="A68" s="34"/>
      <c r="B68" s="34"/>
      <c r="C68" s="34"/>
      <c r="D68" s="197"/>
      <c r="E68" s="56"/>
      <c r="F68" s="33"/>
      <c r="G68" s="33"/>
      <c r="H68" s="33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34"/>
      <c r="X68" s="34"/>
      <c r="Y68" s="34"/>
      <c r="Z68" s="72"/>
      <c r="AA68" s="219"/>
      <c r="AB68" s="204"/>
      <c r="AC68" s="206"/>
      <c r="AD68" s="161"/>
      <c r="AE68" s="217"/>
      <c r="AF68" s="100"/>
      <c r="AG68" s="213"/>
      <c r="AH68" s="152"/>
      <c r="AI68" s="152"/>
      <c r="AJ68" s="152"/>
      <c r="AK68" s="152"/>
      <c r="AL68" s="152"/>
      <c r="AM68" s="152"/>
      <c r="AN68" s="152"/>
      <c r="AO68" s="152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214"/>
      <c r="BF68" s="113"/>
      <c r="BG68" s="47"/>
      <c r="BH68" s="47"/>
      <c r="BI68" s="47"/>
      <c r="BJ68" s="47"/>
      <c r="BK68" s="47"/>
      <c r="BL68" s="33"/>
      <c r="BM68" s="33"/>
      <c r="BN68" s="33"/>
    </row>
    <row r="69" spans="1:66" ht="20.25" x14ac:dyDescent="0.25">
      <c r="A69" s="34"/>
      <c r="B69" s="34"/>
      <c r="C69" s="34"/>
      <c r="D69" s="197"/>
      <c r="E69" s="56"/>
      <c r="F69" s="220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34"/>
      <c r="X69" s="34"/>
      <c r="Y69" s="34"/>
      <c r="Z69" s="204"/>
      <c r="AA69" s="204"/>
      <c r="AB69" s="204"/>
      <c r="AC69" s="47"/>
      <c r="AD69" s="217"/>
      <c r="AE69" s="100"/>
      <c r="AF69" s="213"/>
      <c r="AG69" s="152"/>
      <c r="AH69" s="152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214"/>
      <c r="BF69" s="113"/>
      <c r="BG69" s="47"/>
      <c r="BH69" s="47"/>
      <c r="BI69" s="47"/>
      <c r="BJ69" s="47"/>
      <c r="BK69" s="47"/>
      <c r="BL69" s="33"/>
      <c r="BM69" s="33"/>
      <c r="BN69" s="33"/>
    </row>
    <row r="70" spans="1:66" ht="21" x14ac:dyDescent="0.25">
      <c r="A70" s="34"/>
      <c r="B70" s="34"/>
      <c r="C70" s="34"/>
      <c r="D70" s="197"/>
      <c r="E70" s="56"/>
      <c r="F70" s="220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34"/>
      <c r="X70" s="34"/>
      <c r="Y70" s="34"/>
      <c r="Z70" s="204"/>
      <c r="AA70" s="204"/>
      <c r="AB70" s="72"/>
      <c r="AC70" s="47"/>
      <c r="AD70" s="100"/>
      <c r="AE70" s="213"/>
      <c r="AF70" s="152"/>
      <c r="AG70" s="47"/>
      <c r="AH70" s="47"/>
      <c r="AI70" s="47"/>
      <c r="AJ70" s="47"/>
      <c r="AK70" s="47"/>
      <c r="AL70" s="47"/>
      <c r="AM70" s="47"/>
      <c r="AN70" s="34"/>
      <c r="AO70" s="34"/>
      <c r="AP70" s="47"/>
      <c r="AQ70" s="47"/>
      <c r="AR70" s="105"/>
      <c r="AS70" s="105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221"/>
      <c r="BF70" s="113"/>
      <c r="BG70" s="47"/>
      <c r="BH70" s="47"/>
      <c r="BI70" s="47"/>
      <c r="BJ70" s="47"/>
      <c r="BK70" s="47"/>
      <c r="BL70" s="33"/>
      <c r="BM70" s="33"/>
      <c r="BN70" s="33"/>
    </row>
    <row r="71" spans="1:66" ht="21.75" thickBot="1" x14ac:dyDescent="0.3">
      <c r="A71" s="34"/>
      <c r="B71" s="34"/>
      <c r="C71" s="222"/>
      <c r="D71" s="56"/>
      <c r="E71" s="52"/>
      <c r="F71" s="223"/>
      <c r="G71" s="223"/>
      <c r="H71" s="223"/>
      <c r="I71" s="223"/>
      <c r="J71" s="223"/>
      <c r="K71" s="223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152"/>
      <c r="X71" s="152"/>
      <c r="Y71" s="152"/>
      <c r="Z71" s="152"/>
      <c r="AA71" s="161"/>
      <c r="AB71" s="217"/>
      <c r="AC71" s="100"/>
      <c r="AD71" s="213"/>
      <c r="AE71" s="152"/>
      <c r="AF71" s="152"/>
      <c r="AG71" s="152"/>
      <c r="AH71" s="47"/>
      <c r="AI71" s="47"/>
      <c r="AJ71" s="47"/>
      <c r="AK71" s="47"/>
      <c r="AL71" s="47"/>
      <c r="AM71" s="47"/>
      <c r="AN71" s="34"/>
      <c r="AO71" s="34"/>
      <c r="AP71" s="47"/>
      <c r="AQ71" s="47"/>
      <c r="AR71" s="105"/>
      <c r="AS71" s="105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224"/>
      <c r="BF71" s="113"/>
      <c r="BG71" s="47"/>
      <c r="BH71" s="47"/>
      <c r="BI71" s="47"/>
      <c r="BJ71" s="47"/>
      <c r="BK71" s="47"/>
      <c r="BL71" s="33"/>
      <c r="BM71" s="33"/>
      <c r="BN71" s="33"/>
    </row>
    <row r="72" spans="1:66" ht="21" x14ac:dyDescent="0.25">
      <c r="A72" s="34"/>
      <c r="B72" s="34"/>
      <c r="C72" s="34"/>
      <c r="D72" s="225"/>
      <c r="E72" s="225"/>
      <c r="F72" s="34"/>
      <c r="G72" s="34"/>
      <c r="H72" s="34"/>
      <c r="I72" s="34"/>
      <c r="J72" s="225"/>
      <c r="K72" s="226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47"/>
      <c r="X72" s="47"/>
      <c r="Y72" s="47"/>
      <c r="Z72" s="47"/>
      <c r="AA72" s="217"/>
      <c r="AB72" s="100"/>
      <c r="AC72" s="89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34"/>
      <c r="AO72" s="34"/>
      <c r="AP72" s="47"/>
      <c r="AQ72" s="47"/>
      <c r="AR72" s="105"/>
      <c r="AS72" s="105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227"/>
      <c r="BF72" s="113"/>
      <c r="BG72" s="47"/>
      <c r="BH72" s="47"/>
      <c r="BI72" s="47"/>
      <c r="BJ72" s="47"/>
      <c r="BK72" s="47"/>
      <c r="BL72" s="33"/>
      <c r="BM72" s="33"/>
      <c r="BN72" s="33"/>
    </row>
    <row r="73" spans="1:66" ht="21.75" thickBot="1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22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208"/>
      <c r="X73" s="208"/>
      <c r="Y73" s="208"/>
      <c r="Z73" s="208"/>
      <c r="AA73" s="208"/>
      <c r="AB73" s="228"/>
      <c r="AC73" s="208"/>
      <c r="AD73" s="208"/>
      <c r="AE73" s="208"/>
      <c r="AF73" s="152"/>
      <c r="AG73" s="152"/>
      <c r="AH73" s="152"/>
      <c r="AI73" s="152"/>
      <c r="AJ73" s="152"/>
      <c r="AK73" s="229"/>
      <c r="AL73" s="229"/>
      <c r="AM73" s="229"/>
      <c r="AN73" s="34"/>
      <c r="AO73" s="34"/>
      <c r="AP73" s="229"/>
      <c r="AQ73" s="229"/>
      <c r="AR73" s="105"/>
      <c r="AS73" s="105"/>
      <c r="AT73" s="230"/>
      <c r="AU73" s="230"/>
      <c r="AV73" s="230"/>
      <c r="AW73" s="230"/>
      <c r="AX73" s="47"/>
      <c r="AY73" s="47"/>
      <c r="AZ73" s="168"/>
      <c r="BA73" s="168"/>
      <c r="BB73" s="168"/>
      <c r="BC73" s="168"/>
      <c r="BD73" s="47"/>
      <c r="BE73" s="183"/>
      <c r="BF73" s="113"/>
      <c r="BG73" s="47"/>
      <c r="BH73" s="47"/>
      <c r="BI73" s="47"/>
      <c r="BJ73" s="47"/>
      <c r="BK73" s="47"/>
      <c r="BL73" s="33"/>
      <c r="BM73" s="33"/>
      <c r="BN73" s="33"/>
    </row>
    <row r="74" spans="1:66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222"/>
      <c r="L74" s="32"/>
      <c r="M74" s="47"/>
      <c r="N74" s="47"/>
      <c r="O74" s="47"/>
      <c r="P74" s="152"/>
      <c r="Q74" s="152"/>
      <c r="R74" s="152"/>
      <c r="S74" s="152"/>
      <c r="T74" s="152"/>
      <c r="U74" s="199"/>
      <c r="V74" s="149"/>
      <c r="W74" s="152"/>
      <c r="X74" s="152"/>
      <c r="Y74" s="152"/>
      <c r="Z74" s="152"/>
      <c r="AA74" s="152"/>
      <c r="AB74" s="47"/>
      <c r="AC74" s="47"/>
      <c r="AD74" s="47"/>
      <c r="AE74" s="47"/>
      <c r="AF74" s="231"/>
      <c r="AG74" s="231"/>
      <c r="AH74" s="231"/>
      <c r="AI74" s="231"/>
      <c r="AJ74" s="231"/>
      <c r="AK74" s="232"/>
      <c r="AL74" s="232"/>
      <c r="AM74" s="225"/>
      <c r="AN74" s="225"/>
      <c r="AO74" s="225"/>
      <c r="AP74" s="225"/>
      <c r="AQ74" s="225"/>
      <c r="AR74" s="225"/>
      <c r="AS74" s="225"/>
      <c r="AT74" s="225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47"/>
      <c r="BF74" s="47"/>
      <c r="BG74" s="47"/>
      <c r="BH74" s="47"/>
      <c r="BI74" s="47"/>
      <c r="BJ74" s="47"/>
      <c r="BK74" s="47"/>
      <c r="BL74" s="33"/>
      <c r="BM74" s="33"/>
      <c r="BN74" s="33"/>
    </row>
    <row r="75" spans="1:66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222"/>
      <c r="L75" s="32"/>
      <c r="M75" s="32"/>
      <c r="N75" s="32"/>
      <c r="O75" s="32"/>
      <c r="P75" s="32"/>
      <c r="Q75" s="32"/>
      <c r="R75" s="32"/>
      <c r="S75" s="32"/>
      <c r="T75" s="32"/>
      <c r="U75" s="45"/>
      <c r="V75" s="45"/>
      <c r="W75" s="32"/>
      <c r="X75" s="32"/>
      <c r="Y75" s="32"/>
      <c r="Z75" s="32"/>
      <c r="AA75" s="32"/>
      <c r="AB75" s="32"/>
      <c r="AC75" s="32"/>
      <c r="AD75" s="32"/>
      <c r="AE75" s="233"/>
      <c r="AF75" s="233"/>
      <c r="AG75" s="233"/>
      <c r="AH75" s="233"/>
      <c r="AI75" s="233"/>
      <c r="AJ75" s="233"/>
      <c r="AK75" s="233"/>
      <c r="AL75" s="233"/>
      <c r="AM75" s="34"/>
      <c r="AN75" s="34"/>
      <c r="AO75" s="34"/>
      <c r="AP75" s="34"/>
      <c r="AQ75" s="34"/>
      <c r="AR75" s="34"/>
      <c r="AS75" s="34"/>
      <c r="AT75" s="34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33"/>
      <c r="BM75" s="33"/>
      <c r="BN75" s="33"/>
    </row>
    <row r="76" spans="1:66" ht="20.25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222"/>
      <c r="L76" s="32"/>
      <c r="M76" s="32"/>
      <c r="N76" s="32"/>
      <c r="O76" s="32"/>
      <c r="P76" s="32"/>
      <c r="Q76" s="32"/>
      <c r="R76" s="32"/>
      <c r="S76" s="32"/>
      <c r="T76" s="32"/>
      <c r="U76" s="45"/>
      <c r="V76" s="45"/>
      <c r="W76" s="32"/>
      <c r="X76" s="32"/>
      <c r="Y76" s="32"/>
      <c r="Z76" s="32"/>
      <c r="AA76" s="32"/>
      <c r="AB76" s="32"/>
      <c r="AC76" s="32"/>
      <c r="AD76" s="32"/>
      <c r="AE76" s="234"/>
      <c r="AF76" s="235"/>
      <c r="AG76" s="233"/>
      <c r="AR76" s="34"/>
      <c r="AS76" s="34"/>
      <c r="AT76" s="34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33"/>
      <c r="BM76" s="33"/>
      <c r="BN76" s="33"/>
    </row>
    <row r="77" spans="1:66" ht="20.25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222"/>
      <c r="L77" s="32"/>
      <c r="M77" s="32"/>
      <c r="N77" s="32"/>
      <c r="O77" s="32"/>
      <c r="P77" s="32"/>
      <c r="Q77" s="32"/>
      <c r="R77" s="32"/>
      <c r="S77" s="32"/>
      <c r="T77" s="32"/>
      <c r="U77" s="45"/>
      <c r="V77" s="1055"/>
      <c r="W77" s="982"/>
      <c r="X77" s="982"/>
      <c r="Y77" s="982"/>
      <c r="Z77" s="982"/>
      <c r="AA77" s="982"/>
      <c r="AB77" s="982"/>
      <c r="AC77" s="982"/>
      <c r="AD77" s="982"/>
      <c r="AE77" s="1056"/>
      <c r="AF77" s="1056"/>
      <c r="AG77" s="525"/>
      <c r="AH77" s="525"/>
      <c r="AI77" s="525"/>
      <c r="AJ77" s="1056"/>
      <c r="AK77" s="1056"/>
      <c r="AL77" s="1056"/>
      <c r="AM77" s="1056"/>
      <c r="AN77" s="1056"/>
      <c r="AO77" s="960"/>
      <c r="AP77" s="960"/>
      <c r="AQ77" s="960"/>
      <c r="AR77" s="324"/>
      <c r="AS77" s="34"/>
      <c r="AT77" s="34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33"/>
      <c r="BM77" s="33"/>
      <c r="BN77" s="33"/>
    </row>
    <row r="78" spans="1:66" ht="15.75" thickBot="1" x14ac:dyDescent="0.3">
      <c r="A78" s="34"/>
      <c r="B78" s="34"/>
      <c r="C78" s="52"/>
      <c r="D78" s="52"/>
      <c r="E78" s="52"/>
      <c r="F78" s="52"/>
      <c r="G78" s="52"/>
      <c r="H78" s="52"/>
      <c r="I78" s="52"/>
      <c r="J78" s="52"/>
      <c r="K78" s="53"/>
      <c r="L78" s="32"/>
      <c r="M78" s="32"/>
      <c r="N78" s="32"/>
      <c r="O78" s="32"/>
      <c r="P78" s="32"/>
      <c r="Q78" s="32"/>
      <c r="R78" s="32"/>
      <c r="S78" s="32"/>
      <c r="T78" s="32"/>
      <c r="U78" s="236"/>
      <c r="V78" s="1057"/>
      <c r="W78" s="1058"/>
      <c r="X78" s="1058"/>
      <c r="Y78" s="1058"/>
      <c r="Z78" s="1058"/>
      <c r="AA78" s="1058"/>
      <c r="AB78" s="1059"/>
      <c r="AC78" s="1059"/>
      <c r="AD78" s="1278"/>
      <c r="AE78" s="1278"/>
      <c r="AF78" s="1279"/>
      <c r="AG78" s="1279"/>
      <c r="AH78" s="1279"/>
      <c r="AI78" s="1279"/>
      <c r="AJ78" s="1279"/>
      <c r="AK78" s="1279"/>
      <c r="AL78" s="1279"/>
      <c r="AM78" s="1279"/>
      <c r="AN78" s="1279"/>
      <c r="AO78" s="1279"/>
      <c r="AP78" s="1279"/>
      <c r="AQ78" s="1279"/>
      <c r="AR78" s="318"/>
      <c r="AS78" s="240"/>
      <c r="AT78" s="240"/>
      <c r="AU78" s="238"/>
      <c r="AV78" s="241"/>
      <c r="AW78" s="241"/>
      <c r="AX78" s="241"/>
      <c r="AY78" s="241"/>
      <c r="AZ78" s="241"/>
      <c r="BA78" s="241"/>
      <c r="BB78" s="241"/>
      <c r="BC78" s="241"/>
      <c r="BD78" s="241"/>
      <c r="BE78" s="241"/>
      <c r="BF78" s="241"/>
      <c r="BG78" s="241"/>
      <c r="BH78" s="241"/>
      <c r="BI78" s="241"/>
      <c r="BJ78" s="241"/>
      <c r="BK78" s="241"/>
      <c r="BL78" s="242"/>
      <c r="BM78" s="242"/>
      <c r="BN78" s="33"/>
    </row>
    <row r="79" spans="1:66" ht="15.75" x14ac:dyDescent="0.25">
      <c r="A79" s="34"/>
      <c r="B79" s="34"/>
      <c r="C79" s="52"/>
      <c r="D79" s="52"/>
      <c r="E79" s="52"/>
      <c r="F79" s="52"/>
      <c r="G79" s="52"/>
      <c r="H79" s="52"/>
      <c r="I79" s="52"/>
      <c r="J79" s="52"/>
      <c r="K79" s="53"/>
      <c r="L79" s="32"/>
      <c r="M79" s="32"/>
      <c r="N79" s="32"/>
      <c r="O79" s="32"/>
      <c r="P79" s="32"/>
      <c r="Q79" s="32"/>
      <c r="R79" s="32"/>
      <c r="S79" s="32"/>
      <c r="T79" s="32"/>
      <c r="U79" s="243"/>
      <c r="V79" s="982"/>
      <c r="W79" s="982"/>
      <c r="X79" s="982"/>
      <c r="Y79" s="982"/>
      <c r="Z79" s="1060"/>
      <c r="AA79" s="1060"/>
      <c r="AB79" s="1060"/>
      <c r="AC79" s="1060"/>
      <c r="AD79" s="1060"/>
      <c r="AE79" s="1060"/>
      <c r="AF79" s="1060"/>
      <c r="AG79" s="525"/>
      <c r="AH79" s="525"/>
      <c r="AI79" s="1061"/>
      <c r="AJ79" s="951"/>
      <c r="AK79" s="951"/>
      <c r="AL79" s="951"/>
      <c r="AM79" s="951"/>
      <c r="AN79" s="951"/>
      <c r="AO79" s="951"/>
      <c r="AP79" s="951"/>
      <c r="AQ79" s="951"/>
      <c r="AR79" s="1061"/>
      <c r="AS79" s="33"/>
      <c r="AT79" s="33"/>
      <c r="AU79" s="33"/>
      <c r="AV79" s="1159"/>
      <c r="AW79" s="960"/>
      <c r="AX79" s="1160"/>
      <c r="AY79" s="1160"/>
      <c r="AZ79" s="1160"/>
      <c r="BA79" s="1160"/>
      <c r="BB79" s="1160"/>
      <c r="BC79" s="1160"/>
      <c r="BD79" s="1160"/>
      <c r="BE79" s="1160"/>
      <c r="BF79" s="1160"/>
      <c r="BG79" s="1160"/>
      <c r="BH79" s="960"/>
      <c r="BI79" s="33"/>
      <c r="BJ79" s="33"/>
      <c r="BK79" s="33"/>
      <c r="BL79" s="33"/>
      <c r="BM79" s="32"/>
      <c r="BN79" s="248"/>
    </row>
    <row r="80" spans="1:66" ht="15.75" x14ac:dyDescent="0.25">
      <c r="A80" s="34"/>
      <c r="B80" s="34"/>
      <c r="C80" s="52"/>
      <c r="D80" s="155"/>
      <c r="E80" s="155"/>
      <c r="F80" s="155"/>
      <c r="G80" s="155"/>
      <c r="H80" s="52"/>
      <c r="I80" s="52"/>
      <c r="J80" s="52"/>
      <c r="K80" s="53"/>
      <c r="L80" s="32"/>
      <c r="M80" s="32"/>
      <c r="N80" s="32"/>
      <c r="O80" s="32"/>
      <c r="P80" s="32"/>
      <c r="Q80" s="32"/>
      <c r="R80" s="32"/>
      <c r="S80" s="32"/>
      <c r="T80" s="32"/>
      <c r="U80" s="243"/>
      <c r="V80" s="982"/>
      <c r="W80" s="982"/>
      <c r="X80" s="982"/>
      <c r="Y80" s="982"/>
      <c r="Z80" s="1280"/>
      <c r="AA80" s="1280"/>
      <c r="AB80" s="1280"/>
      <c r="AC80" s="1280"/>
      <c r="AD80" s="1280"/>
      <c r="AE80" s="1280"/>
      <c r="AF80" s="1280"/>
      <c r="AG80" s="965"/>
      <c r="AH80" s="965"/>
      <c r="AI80" s="965"/>
      <c r="AJ80" s="1061"/>
      <c r="AK80" s="1061"/>
      <c r="AL80" s="1061"/>
      <c r="AM80" s="1061"/>
      <c r="AN80" s="1061"/>
      <c r="AO80" s="1061"/>
      <c r="AP80" s="1061"/>
      <c r="AQ80" s="1061"/>
      <c r="AR80" s="1062"/>
      <c r="AS80" s="33"/>
      <c r="AT80" s="33"/>
      <c r="AU80" s="33"/>
      <c r="AV80" s="250"/>
      <c r="AW80" s="32"/>
      <c r="AX80" s="32"/>
      <c r="AY80" s="32"/>
      <c r="AZ80" s="32"/>
      <c r="BA80" s="47"/>
      <c r="BB80" s="47"/>
      <c r="BC80" s="47"/>
      <c r="BD80" s="33"/>
      <c r="BE80" s="33"/>
      <c r="BF80" s="72"/>
      <c r="BG80" s="72"/>
      <c r="BH80" s="47"/>
      <c r="BI80" s="33"/>
      <c r="BJ80" s="33"/>
      <c r="BK80" s="47"/>
      <c r="BL80" s="47"/>
      <c r="BM80" s="1153"/>
      <c r="BN80" s="248"/>
    </row>
    <row r="81" spans="1:66" ht="15.75" x14ac:dyDescent="0.25">
      <c r="A81" s="34"/>
      <c r="B81" s="34"/>
      <c r="C81" s="52"/>
      <c r="D81" s="155"/>
      <c r="E81" s="155"/>
      <c r="F81" s="155"/>
      <c r="G81" s="155"/>
      <c r="H81" s="52"/>
      <c r="I81" s="52"/>
      <c r="J81" s="52"/>
      <c r="K81" s="53"/>
      <c r="L81" s="32"/>
      <c r="M81" s="32"/>
      <c r="N81" s="32"/>
      <c r="O81" s="32"/>
      <c r="P81" s="32"/>
      <c r="Q81" s="32"/>
      <c r="R81" s="32"/>
      <c r="S81" s="32"/>
      <c r="T81" s="32"/>
      <c r="U81" s="243"/>
      <c r="V81" s="982"/>
      <c r="W81" s="982"/>
      <c r="X81" s="982"/>
      <c r="Y81" s="982"/>
      <c r="Z81" s="982"/>
      <c r="AA81" s="982"/>
      <c r="AB81" s="982"/>
      <c r="AC81" s="961"/>
      <c r="AD81" s="965"/>
      <c r="AE81" s="965"/>
      <c r="AF81" s="965"/>
      <c r="AG81" s="965"/>
      <c r="AH81" s="965"/>
      <c r="AI81" s="965"/>
      <c r="AJ81" s="955"/>
      <c r="AK81" s="955"/>
      <c r="AL81" s="955"/>
      <c r="AM81" s="955"/>
      <c r="AN81" s="955"/>
      <c r="AO81" s="955"/>
      <c r="AP81" s="955"/>
      <c r="AQ81" s="955"/>
      <c r="AR81" s="1006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47"/>
      <c r="BD81" s="33"/>
      <c r="BE81" s="33"/>
      <c r="BF81" s="72"/>
      <c r="BG81" s="72"/>
      <c r="BH81" s="47"/>
      <c r="BI81" s="33"/>
      <c r="BJ81" s="33"/>
      <c r="BK81" s="47"/>
      <c r="BL81" s="47"/>
      <c r="BM81" s="1153"/>
      <c r="BN81" s="248"/>
    </row>
    <row r="82" spans="1:66" ht="21" x14ac:dyDescent="0.25">
      <c r="A82" s="34"/>
      <c r="B82" s="34"/>
      <c r="C82" s="52"/>
      <c r="D82" s="253"/>
      <c r="E82" s="254"/>
      <c r="F82" s="155"/>
      <c r="G82" s="155"/>
      <c r="H82" s="52"/>
      <c r="I82" s="52"/>
      <c r="J82" s="52"/>
      <c r="K82" s="53"/>
      <c r="L82" s="32"/>
      <c r="M82" s="32"/>
      <c r="N82" s="32"/>
      <c r="O82" s="32"/>
      <c r="P82" s="32"/>
      <c r="Q82" s="32"/>
      <c r="R82" s="32"/>
      <c r="S82" s="32"/>
      <c r="T82" s="32"/>
      <c r="U82" s="255"/>
      <c r="V82" s="1266"/>
      <c r="W82" s="1228"/>
      <c r="X82" s="982"/>
      <c r="Y82" s="982"/>
      <c r="Z82" s="982"/>
      <c r="AA82" s="982"/>
      <c r="AB82" s="982"/>
      <c r="AC82" s="324"/>
      <c r="AD82" s="965"/>
      <c r="AE82" s="965"/>
      <c r="AF82" s="965"/>
      <c r="AG82" s="965"/>
      <c r="AH82" s="965"/>
      <c r="AI82" s="965"/>
      <c r="AJ82" s="1267"/>
      <c r="AK82" s="1267"/>
      <c r="AL82" s="1267"/>
      <c r="AM82" s="1267"/>
      <c r="AN82" s="1267"/>
      <c r="AO82" s="1267"/>
      <c r="AP82" s="1267"/>
      <c r="AQ82" s="1267"/>
      <c r="AR82" s="1006"/>
      <c r="AS82" s="33"/>
      <c r="AT82" s="33"/>
      <c r="AU82" s="33"/>
      <c r="AV82" s="33"/>
      <c r="AW82" s="147"/>
      <c r="AX82" s="147"/>
      <c r="AY82" s="1231" t="s">
        <v>203</v>
      </c>
      <c r="AZ82" s="1231"/>
      <c r="BA82" s="1231"/>
      <c r="BB82" s="147"/>
      <c r="BC82" s="47"/>
      <c r="BD82" s="147"/>
      <c r="BE82" s="72"/>
      <c r="BF82" s="72"/>
      <c r="BG82" s="1231" t="s">
        <v>203</v>
      </c>
      <c r="BH82" s="1231"/>
      <c r="BI82" s="147"/>
      <c r="BJ82" s="47"/>
      <c r="BK82" s="147"/>
      <c r="BL82" s="32"/>
      <c r="BM82" s="1153"/>
      <c r="BN82" s="248"/>
    </row>
    <row r="83" spans="1:66" ht="21" x14ac:dyDescent="0.25">
      <c r="A83" s="34"/>
      <c r="B83" s="34"/>
      <c r="C83" s="52"/>
      <c r="D83" s="257"/>
      <c r="E83" s="258"/>
      <c r="F83" s="254"/>
      <c r="G83" s="155"/>
      <c r="H83" s="52"/>
      <c r="I83" s="52"/>
      <c r="J83" s="52"/>
      <c r="K83" s="53"/>
      <c r="L83" s="32"/>
      <c r="M83" s="32"/>
      <c r="N83" s="32"/>
      <c r="O83" s="32"/>
      <c r="P83" s="32"/>
      <c r="Q83" s="32"/>
      <c r="R83" s="32"/>
      <c r="S83" s="32"/>
      <c r="T83" s="32"/>
      <c r="U83" s="255"/>
      <c r="V83" s="1063"/>
      <c r="W83" s="965"/>
      <c r="X83" s="982"/>
      <c r="Y83" s="1064"/>
      <c r="Z83" s="1064"/>
      <c r="AA83" s="982"/>
      <c r="AB83" s="982"/>
      <c r="AC83" s="960"/>
      <c r="AD83" s="525"/>
      <c r="AE83" s="525"/>
      <c r="AF83" s="525"/>
      <c r="AG83" s="960"/>
      <c r="AH83" s="525"/>
      <c r="AI83" s="525"/>
      <c r="AJ83" s="525"/>
      <c r="AK83" s="525"/>
      <c r="AL83" s="525"/>
      <c r="AM83" s="525"/>
      <c r="AN83" s="1065"/>
      <c r="AO83" s="1065"/>
      <c r="AP83" s="1065"/>
      <c r="AQ83" s="1065"/>
      <c r="AR83" s="324"/>
      <c r="AS83" s="34"/>
      <c r="AT83" s="233"/>
      <c r="AU83" s="34"/>
      <c r="AV83" s="33"/>
      <c r="AW83" s="147"/>
      <c r="AX83" s="147"/>
      <c r="AY83" s="262">
        <v>1</v>
      </c>
      <c r="AZ83" s="262">
        <v>2</v>
      </c>
      <c r="BA83" s="262">
        <v>3</v>
      </c>
      <c r="BB83" s="32"/>
      <c r="BC83" s="47"/>
      <c r="BD83" s="147"/>
      <c r="BE83" s="147"/>
      <c r="BF83" s="147"/>
      <c r="BG83" s="262">
        <v>1</v>
      </c>
      <c r="BH83" s="262">
        <v>2</v>
      </c>
      <c r="BI83" s="147"/>
      <c r="BJ83" s="47"/>
      <c r="BK83" s="147"/>
      <c r="BL83" s="32"/>
      <c r="BM83" s="1153"/>
      <c r="BN83" s="248"/>
    </row>
    <row r="84" spans="1:66" ht="21" x14ac:dyDescent="0.25">
      <c r="A84" s="34"/>
      <c r="B84" s="34"/>
      <c r="C84" s="52"/>
      <c r="D84" s="263"/>
      <c r="E84" s="257"/>
      <c r="F84" s="264"/>
      <c r="G84" s="155"/>
      <c r="H84" s="52"/>
      <c r="I84" s="52"/>
      <c r="J84" s="52"/>
      <c r="K84" s="53"/>
      <c r="L84" s="32"/>
      <c r="M84" s="32"/>
      <c r="N84" s="32"/>
      <c r="O84" s="32"/>
      <c r="P84" s="32"/>
      <c r="Q84" s="47"/>
      <c r="R84" s="47"/>
      <c r="S84" s="32"/>
      <c r="T84" s="32"/>
      <c r="U84" s="255"/>
      <c r="V84" s="963"/>
      <c r="W84" s="1063"/>
      <c r="X84" s="963"/>
      <c r="Y84" s="963"/>
      <c r="Z84" s="1064"/>
      <c r="AA84" s="960"/>
      <c r="AB84" s="1066"/>
      <c r="AC84" s="973"/>
      <c r="AD84" s="973"/>
      <c r="AE84" s="1067"/>
      <c r="AF84" s="960"/>
      <c r="AG84" s="1067"/>
      <c r="AH84" s="973"/>
      <c r="AI84" s="973"/>
      <c r="AJ84" s="965"/>
      <c r="AK84" s="525"/>
      <c r="AL84" s="1065"/>
      <c r="AM84" s="1228"/>
      <c r="AN84" s="1228"/>
      <c r="AO84" s="978"/>
      <c r="AP84" s="1065"/>
      <c r="AQ84" s="1065"/>
      <c r="AR84" s="324"/>
      <c r="AS84" s="34"/>
      <c r="AT84" s="34"/>
      <c r="AU84" s="34"/>
      <c r="AV84" s="33"/>
      <c r="AW84" s="147"/>
      <c r="AX84" s="267" t="s">
        <v>200</v>
      </c>
      <c r="AY84" s="268" t="s">
        <v>209</v>
      </c>
      <c r="AZ84" s="268" t="s">
        <v>209</v>
      </c>
      <c r="BA84" s="268" t="s">
        <v>209</v>
      </c>
      <c r="BB84" s="262"/>
      <c r="BC84" s="47"/>
      <c r="BD84" s="147"/>
      <c r="BE84" s="147"/>
      <c r="BF84" s="267" t="s">
        <v>210</v>
      </c>
      <c r="BG84" s="170" t="s">
        <v>209</v>
      </c>
      <c r="BH84" s="170" t="s">
        <v>209</v>
      </c>
      <c r="BI84" s="262"/>
      <c r="BJ84" s="47"/>
      <c r="BK84" s="147"/>
      <c r="BL84" s="47"/>
      <c r="BM84" s="958"/>
      <c r="BN84" s="248"/>
    </row>
    <row r="85" spans="1:66" ht="18.75" thickBot="1" x14ac:dyDescent="0.3">
      <c r="A85" s="34"/>
      <c r="B85" s="34"/>
      <c r="C85" s="52"/>
      <c r="D85" s="269"/>
      <c r="E85" s="254"/>
      <c r="F85" s="155"/>
      <c r="G85" s="155"/>
      <c r="H85" s="52"/>
      <c r="I85" s="52"/>
      <c r="J85" s="52"/>
      <c r="K85" s="53"/>
      <c r="L85" s="32"/>
      <c r="M85" s="32"/>
      <c r="N85" s="32"/>
      <c r="O85" s="32"/>
      <c r="P85" s="47"/>
      <c r="Q85" s="47"/>
      <c r="R85" s="47"/>
      <c r="S85" s="47"/>
      <c r="T85" s="32"/>
      <c r="U85" s="255"/>
      <c r="V85" s="963"/>
      <c r="W85" s="1063"/>
      <c r="X85" s="963"/>
      <c r="Y85" s="963"/>
      <c r="Z85" s="1064"/>
      <c r="AA85" s="1068"/>
      <c r="AB85" s="1069"/>
      <c r="AC85" s="951"/>
      <c r="AD85" s="951"/>
      <c r="AE85" s="1069"/>
      <c r="AF85" s="1070"/>
      <c r="AG85" s="1069"/>
      <c r="AH85" s="951"/>
      <c r="AI85" s="951"/>
      <c r="AJ85" s="1069"/>
      <c r="AK85" s="525"/>
      <c r="AL85" s="960"/>
      <c r="AM85" s="1071"/>
      <c r="AN85" s="1071"/>
      <c r="AO85" s="955"/>
      <c r="AP85" s="960"/>
      <c r="AQ85" s="960"/>
      <c r="AR85" s="324"/>
      <c r="AS85" s="34"/>
      <c r="AT85" s="34"/>
      <c r="AU85" s="240"/>
      <c r="AV85" s="33"/>
      <c r="AW85" s="262"/>
      <c r="AX85" s="268"/>
      <c r="AY85" s="17">
        <v>50</v>
      </c>
      <c r="AZ85" s="13">
        <v>50</v>
      </c>
      <c r="BA85" s="13">
        <v>50</v>
      </c>
      <c r="BB85" s="268"/>
      <c r="BC85" s="262"/>
      <c r="BD85" s="147"/>
      <c r="BE85" s="262"/>
      <c r="BF85" s="170"/>
      <c r="BG85" s="20">
        <v>50</v>
      </c>
      <c r="BH85" s="11">
        <v>50</v>
      </c>
      <c r="BI85" s="170"/>
      <c r="BJ85" s="262"/>
      <c r="BK85" s="147"/>
      <c r="BL85" s="47"/>
      <c r="BM85" s="1153"/>
      <c r="BN85" s="248"/>
    </row>
    <row r="86" spans="1:66" ht="21" thickBot="1" x14ac:dyDescent="0.3">
      <c r="A86" s="34"/>
      <c r="B86" s="34"/>
      <c r="C86" s="52"/>
      <c r="D86" s="263"/>
      <c r="E86" s="257"/>
      <c r="F86" s="264"/>
      <c r="G86" s="155"/>
      <c r="H86" s="52"/>
      <c r="I86" s="52"/>
      <c r="J86" s="52"/>
      <c r="K86" s="53"/>
      <c r="L86" s="32"/>
      <c r="M86" s="32"/>
      <c r="N86" s="32"/>
      <c r="O86" s="32"/>
      <c r="P86" s="32"/>
      <c r="Q86" s="47"/>
      <c r="R86" s="47"/>
      <c r="S86" s="32"/>
      <c r="T86" s="32"/>
      <c r="U86" s="255"/>
      <c r="V86" s="963"/>
      <c r="W86" s="1063"/>
      <c r="X86" s="1072"/>
      <c r="Y86" s="1072"/>
      <c r="Z86" s="1064"/>
      <c r="AA86" s="1068"/>
      <c r="AB86" s="1069"/>
      <c r="AC86" s="951"/>
      <c r="AD86" s="951"/>
      <c r="AE86" s="1069"/>
      <c r="AF86" s="1070"/>
      <c r="AG86" s="1069"/>
      <c r="AH86" s="951"/>
      <c r="AI86" s="951"/>
      <c r="AJ86" s="1069"/>
      <c r="AK86" s="525"/>
      <c r="AL86" s="965"/>
      <c r="AM86" s="1071"/>
      <c r="AN86" s="1071"/>
      <c r="AO86" s="973"/>
      <c r="AP86" s="980"/>
      <c r="AQ86" s="960"/>
      <c r="AR86" s="1073"/>
      <c r="AS86" s="1243"/>
      <c r="AT86" s="1244"/>
      <c r="AU86" s="34"/>
      <c r="AV86" s="33"/>
      <c r="AW86" s="262"/>
      <c r="AX86" s="268"/>
      <c r="AY86" s="17">
        <v>50</v>
      </c>
      <c r="AZ86" s="12">
        <v>50</v>
      </c>
      <c r="BA86" s="12">
        <v>50</v>
      </c>
      <c r="BB86" s="268"/>
      <c r="BC86" s="262"/>
      <c r="BD86" s="147"/>
      <c r="BE86" s="262"/>
      <c r="BF86" s="170"/>
      <c r="BG86" s="15">
        <v>50</v>
      </c>
      <c r="BH86" s="11">
        <v>50</v>
      </c>
      <c r="BI86" s="170"/>
      <c r="BJ86" s="262"/>
      <c r="BK86" s="147"/>
      <c r="BL86" s="47"/>
      <c r="BM86" s="1154"/>
      <c r="BN86" s="248"/>
    </row>
    <row r="87" spans="1:66" ht="21" thickBot="1" x14ac:dyDescent="0.3">
      <c r="A87" s="34"/>
      <c r="B87" s="34"/>
      <c r="C87" s="52"/>
      <c r="D87" s="269"/>
      <c r="E87" s="254"/>
      <c r="F87" s="155"/>
      <c r="G87" s="155"/>
      <c r="H87" s="52"/>
      <c r="I87" s="52"/>
      <c r="J87" s="52"/>
      <c r="K87" s="53"/>
      <c r="L87" s="32"/>
      <c r="M87" s="32"/>
      <c r="N87" s="32"/>
      <c r="O87" s="32"/>
      <c r="P87" s="32"/>
      <c r="Q87" s="47"/>
      <c r="R87" s="47"/>
      <c r="S87" s="32"/>
      <c r="T87" s="32"/>
      <c r="U87" s="255"/>
      <c r="V87" s="963"/>
      <c r="W87" s="1063"/>
      <c r="X87" s="1245"/>
      <c r="Y87" s="1246"/>
      <c r="Z87" s="1064"/>
      <c r="AA87" s="1068"/>
      <c r="AB87" s="1069"/>
      <c r="AC87" s="951"/>
      <c r="AD87" s="951"/>
      <c r="AE87" s="1069"/>
      <c r="AF87" s="1070"/>
      <c r="AG87" s="1069"/>
      <c r="AH87" s="951"/>
      <c r="AI87" s="951"/>
      <c r="AJ87" s="1069"/>
      <c r="AK87" s="525"/>
      <c r="AL87" s="1071"/>
      <c r="AM87" s="951"/>
      <c r="AN87" s="951"/>
      <c r="AO87" s="1071"/>
      <c r="AP87" s="973"/>
      <c r="AQ87" s="1074"/>
      <c r="AR87" s="1075"/>
      <c r="AS87" s="280"/>
      <c r="AT87" s="280"/>
      <c r="AU87" s="281"/>
      <c r="AV87" s="33"/>
      <c r="AW87" s="147"/>
      <c r="AX87" s="262"/>
      <c r="AY87" s="268" t="s">
        <v>209</v>
      </c>
      <c r="AZ87" s="268" t="s">
        <v>209</v>
      </c>
      <c r="BA87" s="268" t="s">
        <v>209</v>
      </c>
      <c r="BB87" s="262"/>
      <c r="BC87" s="47"/>
      <c r="BD87" s="147"/>
      <c r="BE87" s="147"/>
      <c r="BF87" s="262"/>
      <c r="BG87" s="170" t="s">
        <v>209</v>
      </c>
      <c r="BH87" s="170" t="s">
        <v>209</v>
      </c>
      <c r="BI87" s="262"/>
      <c r="BJ87" s="77"/>
      <c r="BK87" s="147"/>
      <c r="BL87" s="52"/>
      <c r="BM87" s="960"/>
      <c r="BN87" s="248"/>
    </row>
    <row r="88" spans="1:66" ht="21" thickBot="1" x14ac:dyDescent="0.3">
      <c r="A88" s="34"/>
      <c r="B88" s="34"/>
      <c r="C88" s="52"/>
      <c r="D88" s="263"/>
      <c r="E88" s="257"/>
      <c r="F88" s="264"/>
      <c r="G88" s="155"/>
      <c r="H88" s="52"/>
      <c r="I88" s="52"/>
      <c r="J88" s="52"/>
      <c r="K88" s="53"/>
      <c r="L88" s="32"/>
      <c r="M88" s="32"/>
      <c r="N88" s="32"/>
      <c r="O88" s="32"/>
      <c r="P88" s="32"/>
      <c r="Q88" s="32"/>
      <c r="R88" s="982"/>
      <c r="S88" s="982"/>
      <c r="T88" s="982"/>
      <c r="U88" s="1161"/>
      <c r="V88" s="1063"/>
      <c r="W88" s="1076"/>
      <c r="X88" s="1064"/>
      <c r="Y88" s="1064"/>
      <c r="Z88" s="1064"/>
      <c r="AA88" s="1068"/>
      <c r="AB88" s="1069"/>
      <c r="AC88" s="951"/>
      <c r="AD88" s="951"/>
      <c r="AE88" s="1069"/>
      <c r="AF88" s="1070"/>
      <c r="AG88" s="1069"/>
      <c r="AH88" s="951"/>
      <c r="AI88" s="951"/>
      <c r="AJ88" s="1069"/>
      <c r="AK88" s="525"/>
      <c r="AL88" s="1071"/>
      <c r="AM88" s="951"/>
      <c r="AN88" s="951"/>
      <c r="AO88" s="1071"/>
      <c r="AP88" s="973"/>
      <c r="AQ88" s="969"/>
      <c r="AR88" s="1075"/>
      <c r="AS88" s="280"/>
      <c r="AT88" s="280"/>
      <c r="AU88" s="1143"/>
      <c r="AV88" s="992"/>
      <c r="AW88" s="147"/>
      <c r="AX88" s="34"/>
      <c r="AY88" s="262">
        <v>6</v>
      </c>
      <c r="AZ88" s="262">
        <v>5</v>
      </c>
      <c r="BA88" s="262">
        <v>4</v>
      </c>
      <c r="BB88" s="32"/>
      <c r="BC88" s="47"/>
      <c r="BD88" s="147"/>
      <c r="BF88" s="147"/>
      <c r="BG88" s="262">
        <v>4</v>
      </c>
      <c r="BH88" s="262">
        <v>3</v>
      </c>
      <c r="BI88" s="284"/>
      <c r="BJ88" s="77"/>
      <c r="BK88" s="147"/>
      <c r="BL88" s="145"/>
      <c r="BM88" s="960"/>
      <c r="BN88" s="248"/>
    </row>
    <row r="89" spans="1:66" ht="21.75" thickTop="1" thickBot="1" x14ac:dyDescent="0.3">
      <c r="A89" s="34"/>
      <c r="B89" s="34"/>
      <c r="C89" s="52"/>
      <c r="D89" s="269"/>
      <c r="E89" s="254"/>
      <c r="F89" s="155"/>
      <c r="G89" s="155"/>
      <c r="H89" s="52"/>
      <c r="I89" s="52"/>
      <c r="J89" s="52"/>
      <c r="K89" s="53"/>
      <c r="L89" s="32"/>
      <c r="M89" s="47"/>
      <c r="N89" s="32"/>
      <c r="O89" s="32"/>
      <c r="P89" s="32"/>
      <c r="Q89" s="32"/>
      <c r="R89" s="982"/>
      <c r="S89" s="982"/>
      <c r="T89" s="982"/>
      <c r="U89" s="1161"/>
      <c r="V89" s="1077"/>
      <c r="W89" s="958"/>
      <c r="X89" s="1064"/>
      <c r="Y89" s="1064"/>
      <c r="Z89" s="1064"/>
      <c r="AA89" s="960"/>
      <c r="AB89" s="958"/>
      <c r="AC89" s="973"/>
      <c r="AD89" s="973"/>
      <c r="AE89" s="324"/>
      <c r="AF89" s="960"/>
      <c r="AG89" s="960"/>
      <c r="AH89" s="973"/>
      <c r="AI89" s="973"/>
      <c r="AJ89" s="525"/>
      <c r="AK89" s="525"/>
      <c r="AL89" s="960"/>
      <c r="AM89" s="1071"/>
      <c r="AN89" s="1071"/>
      <c r="AO89" s="973"/>
      <c r="AP89" s="960"/>
      <c r="AQ89" s="970"/>
      <c r="AR89" s="1075"/>
      <c r="AS89" s="280"/>
      <c r="AT89" s="280"/>
      <c r="AU89" s="1044"/>
      <c r="AV89" s="1144"/>
      <c r="AW89" s="147"/>
      <c r="AX89" s="34"/>
      <c r="AY89" s="145"/>
      <c r="AZ89" s="32"/>
      <c r="BA89" s="32"/>
      <c r="BB89" s="71"/>
      <c r="BC89" s="47"/>
      <c r="BD89" s="147"/>
      <c r="BE89" s="147"/>
      <c r="BF89" s="147"/>
      <c r="BG89" s="147"/>
      <c r="BH89" s="147"/>
      <c r="BI89" s="155"/>
      <c r="BJ89" s="287"/>
      <c r="BK89" s="77"/>
      <c r="BL89" s="155"/>
      <c r="BM89" s="1238"/>
      <c r="BN89" s="33"/>
    </row>
    <row r="90" spans="1:66" ht="22.5" thickTop="1" thickBot="1" x14ac:dyDescent="0.3">
      <c r="A90" s="34"/>
      <c r="B90" s="34"/>
      <c r="C90" s="52"/>
      <c r="D90" s="263"/>
      <c r="E90" s="257"/>
      <c r="F90" s="264"/>
      <c r="G90" s="155"/>
      <c r="H90" s="52"/>
      <c r="I90" s="52"/>
      <c r="J90" s="52"/>
      <c r="K90" s="53"/>
      <c r="L90" s="32"/>
      <c r="M90" s="47"/>
      <c r="N90" s="47"/>
      <c r="O90" s="47"/>
      <c r="P90" s="47"/>
      <c r="Q90" s="32"/>
      <c r="R90" s="982"/>
      <c r="S90" s="982"/>
      <c r="T90" s="982"/>
      <c r="U90" s="1162"/>
      <c r="V90" s="960"/>
      <c r="W90" s="960"/>
      <c r="X90" s="960"/>
      <c r="Y90" s="960"/>
      <c r="Z90" s="960"/>
      <c r="AA90" s="324"/>
      <c r="AB90" s="324"/>
      <c r="AC90" s="1263"/>
      <c r="AD90" s="1263"/>
      <c r="AE90" s="324"/>
      <c r="AF90" s="960"/>
      <c r="AG90" s="1264"/>
      <c r="AH90" s="1264"/>
      <c r="AI90" s="1264"/>
      <c r="AJ90" s="1264"/>
      <c r="AK90" s="525"/>
      <c r="AL90" s="960"/>
      <c r="AM90" s="1071"/>
      <c r="AN90" s="1071"/>
      <c r="AO90" s="955"/>
      <c r="AP90" s="960"/>
      <c r="AQ90" s="970"/>
      <c r="AR90" s="1075"/>
      <c r="AS90" s="280"/>
      <c r="AT90" s="280"/>
      <c r="AU90" s="1145"/>
      <c r="AV90" s="1144"/>
      <c r="AW90" s="290"/>
      <c r="AX90" s="291"/>
      <c r="AY90" s="1265" t="s">
        <v>203</v>
      </c>
      <c r="AZ90" s="1265"/>
      <c r="BA90" s="1265"/>
      <c r="BB90" s="291"/>
      <c r="BC90" s="291"/>
      <c r="BD90" s="291"/>
      <c r="BE90" s="291"/>
      <c r="BF90" s="291"/>
      <c r="BG90" s="1265" t="s">
        <v>203</v>
      </c>
      <c r="BH90" s="1265"/>
      <c r="BI90" s="1265"/>
      <c r="BJ90" s="291"/>
      <c r="BK90" s="292"/>
      <c r="BL90" s="218"/>
      <c r="BM90" s="1239"/>
      <c r="BN90" s="33"/>
    </row>
    <row r="91" spans="1:66" ht="18.75" thickBot="1" x14ac:dyDescent="0.3">
      <c r="A91" s="34"/>
      <c r="B91" s="34"/>
      <c r="C91" s="52"/>
      <c r="D91" s="269"/>
      <c r="E91" s="254"/>
      <c r="F91" s="155"/>
      <c r="G91" s="155"/>
      <c r="H91" s="52"/>
      <c r="I91" s="52"/>
      <c r="J91" s="52"/>
      <c r="K91" s="53"/>
      <c r="L91" s="32"/>
      <c r="M91" s="47"/>
      <c r="N91" s="47"/>
      <c r="O91" s="47"/>
      <c r="P91" s="47"/>
      <c r="Q91" s="32"/>
      <c r="R91" s="1247"/>
      <c r="S91" s="1248"/>
      <c r="T91" s="1249"/>
      <c r="U91" s="983"/>
      <c r="V91" s="960"/>
      <c r="W91" s="958"/>
      <c r="X91" s="960"/>
      <c r="Y91" s="525"/>
      <c r="Z91" s="525"/>
      <c r="AA91" s="525"/>
      <c r="AB91" s="525"/>
      <c r="AC91" s="525"/>
      <c r="AD91" s="525"/>
      <c r="AE91" s="525"/>
      <c r="AF91" s="525"/>
      <c r="AG91" s="960"/>
      <c r="AH91" s="960"/>
      <c r="AI91" s="960"/>
      <c r="AJ91" s="960"/>
      <c r="AK91" s="960"/>
      <c r="AL91" s="960"/>
      <c r="AM91" s="525"/>
      <c r="AN91" s="525"/>
      <c r="AO91" s="960"/>
      <c r="AP91" s="960"/>
      <c r="AQ91" s="970"/>
      <c r="AR91" s="1075"/>
      <c r="AS91" s="280"/>
      <c r="AT91" s="280"/>
      <c r="AU91" s="1143"/>
      <c r="AV91" s="324"/>
      <c r="AW91" s="293"/>
      <c r="AX91" s="294" t="s">
        <v>214</v>
      </c>
      <c r="AY91" s="295">
        <v>1</v>
      </c>
      <c r="AZ91" s="295">
        <v>2</v>
      </c>
      <c r="BA91" s="295">
        <v>3</v>
      </c>
      <c r="BB91" s="296" t="s">
        <v>215</v>
      </c>
      <c r="BC91" s="47"/>
      <c r="BD91" s="147"/>
      <c r="BE91" s="147"/>
      <c r="BF91" s="294" t="s">
        <v>214</v>
      </c>
      <c r="BG91" s="295">
        <v>1</v>
      </c>
      <c r="BH91" s="295">
        <v>2</v>
      </c>
      <c r="BI91" s="295">
        <v>3</v>
      </c>
      <c r="BJ91" s="297"/>
      <c r="BK91" s="298"/>
      <c r="BL91" s="264"/>
      <c r="BM91" s="960"/>
      <c r="BN91" s="248"/>
    </row>
    <row r="92" spans="1:66" ht="19.5" thickTop="1" thickBot="1" x14ac:dyDescent="0.3">
      <c r="A92" s="34"/>
      <c r="B92" s="34"/>
      <c r="C92" s="52"/>
      <c r="D92" s="263"/>
      <c r="E92" s="257"/>
      <c r="F92" s="264"/>
      <c r="G92" s="155"/>
      <c r="H92" s="52"/>
      <c r="I92" s="52"/>
      <c r="J92" s="52"/>
      <c r="K92" s="53"/>
      <c r="L92" s="47"/>
      <c r="M92" s="47"/>
      <c r="N92" s="47"/>
      <c r="O92" s="47"/>
      <c r="P92" s="47"/>
      <c r="Q92" s="32"/>
      <c r="R92" s="1250"/>
      <c r="S92" s="1251"/>
      <c r="T92" s="1252"/>
      <c r="U92" s="983"/>
      <c r="V92" s="960"/>
      <c r="W92" s="960"/>
      <c r="X92" s="960"/>
      <c r="Y92" s="525"/>
      <c r="Z92" s="525"/>
      <c r="AA92" s="525"/>
      <c r="AB92" s="525"/>
      <c r="AC92" s="525"/>
      <c r="AD92" s="525"/>
      <c r="AE92" s="525"/>
      <c r="AF92" s="525"/>
      <c r="AG92" s="960"/>
      <c r="AH92" s="960"/>
      <c r="AI92" s="960"/>
      <c r="AJ92" s="960"/>
      <c r="AK92" s="960"/>
      <c r="AL92" s="960"/>
      <c r="AM92" s="960"/>
      <c r="AN92" s="960"/>
      <c r="AO92" s="525"/>
      <c r="AP92" s="960"/>
      <c r="AQ92" s="960"/>
      <c r="AR92" s="1075"/>
      <c r="AS92" s="280"/>
      <c r="AT92" s="280"/>
      <c r="AU92" s="1256"/>
      <c r="AV92" s="1146"/>
      <c r="AW92" s="300"/>
      <c r="AX92" s="301" t="s">
        <v>204</v>
      </c>
      <c r="AY92" s="268" t="s">
        <v>209</v>
      </c>
      <c r="AZ92" s="268" t="s">
        <v>209</v>
      </c>
      <c r="BA92" s="268" t="s">
        <v>209</v>
      </c>
      <c r="BB92" s="295"/>
      <c r="BC92" s="155"/>
      <c r="BD92" s="147"/>
      <c r="BE92" s="147"/>
      <c r="BF92" s="301" t="s">
        <v>207</v>
      </c>
      <c r="BG92" s="170" t="s">
        <v>193</v>
      </c>
      <c r="BH92" s="170" t="s">
        <v>193</v>
      </c>
      <c r="BI92" s="170" t="s">
        <v>193</v>
      </c>
      <c r="BJ92" s="295"/>
      <c r="BK92" s="302"/>
      <c r="BL92" s="155"/>
      <c r="BM92" s="1155"/>
      <c r="BN92" s="248"/>
    </row>
    <row r="93" spans="1:66" ht="22.5" thickTop="1" thickBot="1" x14ac:dyDescent="0.3">
      <c r="A93" s="34"/>
      <c r="B93" s="34"/>
      <c r="C93" s="52"/>
      <c r="D93" s="269"/>
      <c r="E93" s="254"/>
      <c r="F93" s="155"/>
      <c r="G93" s="155"/>
      <c r="H93" s="52"/>
      <c r="I93" s="52"/>
      <c r="J93" s="52"/>
      <c r="K93" s="53"/>
      <c r="L93" s="47"/>
      <c r="M93" s="47"/>
      <c r="N93" s="47"/>
      <c r="O93" s="47"/>
      <c r="P93" s="47"/>
      <c r="Q93" s="32"/>
      <c r="R93" s="1250"/>
      <c r="S93" s="1251"/>
      <c r="T93" s="1252"/>
      <c r="U93" s="983"/>
      <c r="V93" s="960"/>
      <c r="W93" s="960"/>
      <c r="X93" s="960"/>
      <c r="Y93" s="960"/>
      <c r="Z93" s="960"/>
      <c r="AA93" s="525"/>
      <c r="AB93" s="1259"/>
      <c r="AC93" s="1259"/>
      <c r="AD93" s="324"/>
      <c r="AE93" s="324"/>
      <c r="AF93" s="525"/>
      <c r="AG93" s="960"/>
      <c r="AH93" s="960"/>
      <c r="AI93" s="960"/>
      <c r="AJ93" s="960"/>
      <c r="AK93" s="960"/>
      <c r="AL93" s="960"/>
      <c r="AM93" s="1228"/>
      <c r="AN93" s="1228"/>
      <c r="AO93" s="960"/>
      <c r="AP93" s="960"/>
      <c r="AQ93" s="960"/>
      <c r="AR93" s="1075"/>
      <c r="AS93" s="280"/>
      <c r="AT93" s="280"/>
      <c r="AU93" s="1257"/>
      <c r="AV93" s="1146"/>
      <c r="AW93" s="304"/>
      <c r="AX93" s="268"/>
      <c r="AY93" s="305">
        <v>50</v>
      </c>
      <c r="AZ93" s="305">
        <v>50</v>
      </c>
      <c r="BA93" s="305">
        <v>50</v>
      </c>
      <c r="BB93" s="268"/>
      <c r="BC93" s="295"/>
      <c r="BD93" s="147"/>
      <c r="BE93" s="295"/>
      <c r="BF93" s="170"/>
      <c r="BG93" s="305">
        <v>25</v>
      </c>
      <c r="BH93" s="305">
        <v>25</v>
      </c>
      <c r="BI93" s="305">
        <v>25</v>
      </c>
      <c r="BJ93" s="170"/>
      <c r="BK93" s="306"/>
      <c r="BL93" s="254"/>
      <c r="BM93" s="1155"/>
      <c r="BN93" s="248"/>
    </row>
    <row r="94" spans="1:66" ht="21.75" thickTop="1" thickBot="1" x14ac:dyDescent="0.3">
      <c r="A94" s="34"/>
      <c r="B94" s="34"/>
      <c r="C94" s="52"/>
      <c r="D94" s="263"/>
      <c r="E94" s="257"/>
      <c r="F94" s="264"/>
      <c r="G94" s="155"/>
      <c r="H94" s="52"/>
      <c r="I94" s="52"/>
      <c r="J94" s="52"/>
      <c r="K94" s="53"/>
      <c r="L94" s="47"/>
      <c r="M94" s="47"/>
      <c r="N94" s="32"/>
      <c r="O94" s="32"/>
      <c r="P94" s="32"/>
      <c r="Q94" s="32"/>
      <c r="R94" s="1250"/>
      <c r="S94" s="1251"/>
      <c r="T94" s="1252"/>
      <c r="U94" s="983"/>
      <c r="V94" s="960"/>
      <c r="W94" s="960"/>
      <c r="X94" s="960"/>
      <c r="Y94" s="960"/>
      <c r="Z94" s="960"/>
      <c r="AA94" s="965"/>
      <c r="AB94" s="1078"/>
      <c r="AC94" s="1078"/>
      <c r="AD94" s="1067"/>
      <c r="AE94" s="960"/>
      <c r="AF94" s="525"/>
      <c r="AG94" s="525"/>
      <c r="AH94" s="1260"/>
      <c r="AI94" s="1260"/>
      <c r="AJ94" s="525"/>
      <c r="AK94" s="960"/>
      <c r="AL94" s="1066"/>
      <c r="AM94" s="1079"/>
      <c r="AN94" s="1079"/>
      <c r="AO94" s="1080"/>
      <c r="AP94" s="960"/>
      <c r="AQ94" s="960"/>
      <c r="AR94" s="1075"/>
      <c r="AS94" s="280"/>
      <c r="AT94" s="280"/>
      <c r="AU94" s="1257"/>
      <c r="AV94" s="1146"/>
      <c r="AW94" s="304"/>
      <c r="AX94" s="268"/>
      <c r="AY94" s="305">
        <v>50</v>
      </c>
      <c r="AZ94" s="305">
        <v>50</v>
      </c>
      <c r="BA94" s="305">
        <v>50</v>
      </c>
      <c r="BB94" s="268"/>
      <c r="BC94" s="295"/>
      <c r="BD94" s="147"/>
      <c r="BE94" s="295"/>
      <c r="BF94" s="170"/>
      <c r="BG94" s="12">
        <v>25</v>
      </c>
      <c r="BH94" s="12">
        <v>25</v>
      </c>
      <c r="BI94" s="14">
        <v>25</v>
      </c>
      <c r="BJ94" s="170"/>
      <c r="BK94" s="306"/>
      <c r="BL94" s="264"/>
      <c r="BM94" s="1155"/>
      <c r="BN94" s="248"/>
    </row>
    <row r="95" spans="1:66" ht="19.5" thickTop="1" thickBot="1" x14ac:dyDescent="0.3">
      <c r="A95" s="34"/>
      <c r="B95" s="34"/>
      <c r="C95" s="52"/>
      <c r="D95" s="269"/>
      <c r="E95" s="254"/>
      <c r="F95" s="155"/>
      <c r="G95" s="155"/>
      <c r="H95" s="52"/>
      <c r="I95" s="52"/>
      <c r="J95" s="52"/>
      <c r="K95" s="53"/>
      <c r="L95" s="47"/>
      <c r="M95" s="47"/>
      <c r="N95" s="32"/>
      <c r="O95" s="32"/>
      <c r="P95" s="32"/>
      <c r="Q95" s="32"/>
      <c r="R95" s="1250"/>
      <c r="S95" s="1251"/>
      <c r="T95" s="1252"/>
      <c r="U95" s="1055"/>
      <c r="V95" s="960"/>
      <c r="W95" s="960"/>
      <c r="X95" s="960"/>
      <c r="Y95" s="960"/>
      <c r="Z95" s="1068"/>
      <c r="AA95" s="1079"/>
      <c r="AB95" s="951"/>
      <c r="AC95" s="951"/>
      <c r="AD95" s="1079"/>
      <c r="AE95" s="1081"/>
      <c r="AF95" s="525"/>
      <c r="AG95" s="525"/>
      <c r="AH95" s="981"/>
      <c r="AI95" s="981"/>
      <c r="AJ95" s="525"/>
      <c r="AK95" s="1068"/>
      <c r="AL95" s="1079"/>
      <c r="AM95" s="951"/>
      <c r="AN95" s="951"/>
      <c r="AO95" s="1079"/>
      <c r="AP95" s="1081"/>
      <c r="AQ95" s="1066"/>
      <c r="AR95" s="1075"/>
      <c r="AS95" s="310"/>
      <c r="AT95" s="280"/>
      <c r="AU95" s="1258"/>
      <c r="AV95" s="1146"/>
      <c r="AW95" s="300"/>
      <c r="AX95" s="295"/>
      <c r="AY95" s="268" t="s">
        <v>209</v>
      </c>
      <c r="AZ95" s="268" t="s">
        <v>209</v>
      </c>
      <c r="BA95" s="268" t="s">
        <v>209</v>
      </c>
      <c r="BB95" s="295"/>
      <c r="BC95" s="311"/>
      <c r="BD95" s="147"/>
      <c r="BE95" s="147"/>
      <c r="BF95" s="295"/>
      <c r="BG95" s="170" t="s">
        <v>193</v>
      </c>
      <c r="BH95" s="170" t="s">
        <v>193</v>
      </c>
      <c r="BI95" s="170" t="s">
        <v>193</v>
      </c>
      <c r="BJ95" s="295"/>
      <c r="BK95" s="312"/>
      <c r="BL95" s="155"/>
      <c r="BM95" s="1155"/>
      <c r="BN95" s="248"/>
    </row>
    <row r="96" spans="1:66" ht="19.5" thickTop="1" thickBot="1" x14ac:dyDescent="0.3">
      <c r="A96" s="34"/>
      <c r="B96" s="34"/>
      <c r="C96" s="52"/>
      <c r="D96" s="263"/>
      <c r="E96" s="257"/>
      <c r="F96" s="264"/>
      <c r="G96" s="155"/>
      <c r="H96" s="52"/>
      <c r="I96" s="52"/>
      <c r="J96" s="52"/>
      <c r="K96" s="53"/>
      <c r="L96" s="32"/>
      <c r="M96" s="32"/>
      <c r="N96" s="32"/>
      <c r="O96" s="32"/>
      <c r="P96" s="32"/>
      <c r="Q96" s="32"/>
      <c r="R96" s="1250"/>
      <c r="S96" s="1251"/>
      <c r="T96" s="1252"/>
      <c r="U96" s="1055"/>
      <c r="V96" s="960"/>
      <c r="W96" s="960"/>
      <c r="X96" s="960"/>
      <c r="Y96" s="960"/>
      <c r="Z96" s="1068"/>
      <c r="AA96" s="1079"/>
      <c r="AB96" s="951"/>
      <c r="AC96" s="951"/>
      <c r="AD96" s="1079"/>
      <c r="AE96" s="1081"/>
      <c r="AF96" s="525"/>
      <c r="AG96" s="525"/>
      <c r="AH96" s="981"/>
      <c r="AI96" s="981"/>
      <c r="AJ96" s="525"/>
      <c r="AK96" s="1068"/>
      <c r="AL96" s="1079"/>
      <c r="AM96" s="951"/>
      <c r="AN96" s="951"/>
      <c r="AO96" s="1079"/>
      <c r="AP96" s="1081"/>
      <c r="AQ96" s="1241"/>
      <c r="AR96" s="1242"/>
      <c r="AS96" s="1261"/>
      <c r="AT96" s="1262"/>
      <c r="AU96" s="1147"/>
      <c r="AV96" s="311"/>
      <c r="AW96" s="315"/>
      <c r="AX96" s="240"/>
      <c r="AY96" s="316">
        <v>6</v>
      </c>
      <c r="AZ96" s="316">
        <v>5</v>
      </c>
      <c r="BA96" s="316">
        <v>4</v>
      </c>
      <c r="BB96" s="317"/>
      <c r="BC96" s="318"/>
      <c r="BD96" s="319"/>
      <c r="BE96" s="319"/>
      <c r="BF96" s="319"/>
      <c r="BG96" s="316">
        <v>6</v>
      </c>
      <c r="BH96" s="316">
        <v>5</v>
      </c>
      <c r="BI96" s="316">
        <v>4</v>
      </c>
      <c r="BJ96" s="320"/>
      <c r="BK96" s="321"/>
      <c r="BL96" s="264"/>
      <c r="BM96" s="1155"/>
      <c r="BN96" s="248"/>
    </row>
    <row r="97" spans="1:66" ht="19.5" thickTop="1" thickBot="1" x14ac:dyDescent="0.3">
      <c r="A97" s="34"/>
      <c r="B97" s="34"/>
      <c r="C97" s="52"/>
      <c r="D97" s="269"/>
      <c r="E97" s="254"/>
      <c r="F97" s="155"/>
      <c r="G97" s="155"/>
      <c r="H97" s="52"/>
      <c r="I97" s="52"/>
      <c r="J97" s="52"/>
      <c r="K97" s="53"/>
      <c r="L97" s="32"/>
      <c r="M97" s="32"/>
      <c r="N97" s="32"/>
      <c r="O97" s="32"/>
      <c r="P97" s="32"/>
      <c r="Q97" s="32"/>
      <c r="R97" s="1250"/>
      <c r="S97" s="1251"/>
      <c r="T97" s="1252"/>
      <c r="U97" s="1055"/>
      <c r="V97" s="960"/>
      <c r="W97" s="960"/>
      <c r="X97" s="960"/>
      <c r="Y97" s="960"/>
      <c r="Z97" s="1068"/>
      <c r="AA97" s="1079"/>
      <c r="AB97" s="951"/>
      <c r="AC97" s="951"/>
      <c r="AD97" s="1079"/>
      <c r="AE97" s="1081"/>
      <c r="AF97" s="525"/>
      <c r="AG97" s="525"/>
      <c r="AH97" s="981"/>
      <c r="AI97" s="981"/>
      <c r="AJ97" s="525"/>
      <c r="AK97" s="1068"/>
      <c r="AL97" s="1079"/>
      <c r="AM97" s="951"/>
      <c r="AN97" s="951"/>
      <c r="AO97" s="1079"/>
      <c r="AP97" s="1083"/>
      <c r="AQ97" s="1061"/>
      <c r="AR97" s="951"/>
      <c r="AS97" s="322"/>
      <c r="AT97" s="280"/>
      <c r="AU97" s="1148"/>
      <c r="AV97" s="1144"/>
      <c r="AW97" s="147"/>
      <c r="AX97" s="324"/>
      <c r="AY97" s="324"/>
      <c r="AZ97" s="324"/>
      <c r="BA97" s="324"/>
      <c r="BC97" s="324"/>
      <c r="BD97" s="147"/>
      <c r="BE97" s="147"/>
      <c r="BF97" s="147"/>
      <c r="BG97" s="147"/>
      <c r="BH97" s="325"/>
      <c r="BI97" s="325"/>
      <c r="BJ97" s="155"/>
      <c r="BK97" s="264"/>
      <c r="BL97" s="264"/>
      <c r="BM97" s="1155"/>
      <c r="BN97" s="248"/>
    </row>
    <row r="98" spans="1:66" ht="24.75" thickTop="1" thickBot="1" x14ac:dyDescent="0.3">
      <c r="A98" s="34"/>
      <c r="B98" s="34"/>
      <c r="C98" s="52"/>
      <c r="D98" s="263"/>
      <c r="E98" s="257"/>
      <c r="F98" s="264"/>
      <c r="G98" s="155"/>
      <c r="H98" s="52"/>
      <c r="I98" s="52"/>
      <c r="J98" s="52"/>
      <c r="K98" s="53"/>
      <c r="L98" s="32"/>
      <c r="M98" s="32"/>
      <c r="N98" s="32"/>
      <c r="O98" s="32"/>
      <c r="P98" s="32"/>
      <c r="Q98" s="32"/>
      <c r="R98" s="1250"/>
      <c r="S98" s="1251"/>
      <c r="T98" s="1252"/>
      <c r="U98" s="1055"/>
      <c r="V98" s="960"/>
      <c r="W98" s="960"/>
      <c r="X98" s="960"/>
      <c r="Y98" s="960"/>
      <c r="Z98" s="1068"/>
      <c r="AA98" s="1084"/>
      <c r="AB98" s="1078"/>
      <c r="AC98" s="1078"/>
      <c r="AD98" s="1085"/>
      <c r="AE98" s="1006"/>
      <c r="AF98" s="324"/>
      <c r="AG98" s="324"/>
      <c r="AH98" s="525"/>
      <c r="AI98" s="525"/>
      <c r="AJ98" s="324"/>
      <c r="AK98" s="324"/>
      <c r="AL98" s="960"/>
      <c r="AM98" s="1079"/>
      <c r="AN98" s="1079"/>
      <c r="AO98" s="324"/>
      <c r="AP98" s="1083"/>
      <c r="AQ98" s="1061"/>
      <c r="AR98" s="951"/>
      <c r="AS98" s="310"/>
      <c r="AT98" s="280"/>
      <c r="AU98" s="1148"/>
      <c r="AV98" s="1144"/>
      <c r="AW98" s="147"/>
      <c r="AX98" s="147"/>
      <c r="AY98" s="1231" t="s">
        <v>203</v>
      </c>
      <c r="AZ98" s="1231"/>
      <c r="BA98" s="1231"/>
      <c r="BB98" s="147"/>
      <c r="BC98" s="147"/>
      <c r="BD98" s="147"/>
      <c r="BE98" s="147"/>
      <c r="BF98" s="147"/>
      <c r="BG98" s="1231" t="s">
        <v>203</v>
      </c>
      <c r="BH98" s="1231"/>
      <c r="BI98" s="147"/>
      <c r="BJ98" s="75"/>
      <c r="BK98" s="147"/>
      <c r="BL98" s="264"/>
      <c r="BM98" s="960"/>
      <c r="BN98" s="248"/>
    </row>
    <row r="99" spans="1:66" ht="19.5" thickTop="1" thickBot="1" x14ac:dyDescent="0.3">
      <c r="A99" s="34"/>
      <c r="B99" s="34"/>
      <c r="C99" s="52"/>
      <c r="D99" s="269"/>
      <c r="E99" s="254"/>
      <c r="F99" s="155"/>
      <c r="G99" s="155"/>
      <c r="H99" s="52"/>
      <c r="I99" s="52"/>
      <c r="J99" s="52"/>
      <c r="K99" s="53"/>
      <c r="L99" s="32"/>
      <c r="M99" s="32"/>
      <c r="N99" s="32"/>
      <c r="O99" s="32"/>
      <c r="P99" s="32"/>
      <c r="Q99" s="87"/>
      <c r="R99" s="1253"/>
      <c r="S99" s="1254"/>
      <c r="T99" s="1255"/>
      <c r="U99" s="1055"/>
      <c r="V99" s="1055"/>
      <c r="W99" s="982"/>
      <c r="X99" s="958"/>
      <c r="Y99" s="958"/>
      <c r="Z99" s="941"/>
      <c r="AA99" s="982"/>
      <c r="AB99" s="958"/>
      <c r="AC99" s="958"/>
      <c r="AD99" s="958"/>
      <c r="AE99" s="958"/>
      <c r="AF99" s="958"/>
      <c r="AG99" s="324"/>
      <c r="AH99" s="324"/>
      <c r="AI99" s="324"/>
      <c r="AJ99" s="525"/>
      <c r="AK99" s="525"/>
      <c r="AL99" s="960"/>
      <c r="AM99" s="324"/>
      <c r="AN99" s="525"/>
      <c r="AO99" s="525"/>
      <c r="AP99" s="1083"/>
      <c r="AQ99" s="1061"/>
      <c r="AR99" s="951"/>
      <c r="AS99" s="310"/>
      <c r="AT99" s="280"/>
      <c r="AU99" s="1042"/>
      <c r="AV99" s="1144"/>
      <c r="AW99" s="147"/>
      <c r="AX99" s="147"/>
      <c r="AY99" s="262">
        <v>1</v>
      </c>
      <c r="AZ99" s="262">
        <v>2</v>
      </c>
      <c r="BA99" s="262">
        <v>3</v>
      </c>
      <c r="BB99" s="32"/>
      <c r="BC99" s="147"/>
      <c r="BD99" s="147"/>
      <c r="BE99" s="147"/>
      <c r="BF99" s="147"/>
      <c r="BG99" s="262">
        <v>1</v>
      </c>
      <c r="BH99" s="262">
        <v>2</v>
      </c>
      <c r="BI99" s="77"/>
      <c r="BJ99" s="77"/>
      <c r="BK99" s="147"/>
      <c r="BL99" s="264"/>
      <c r="BM99" s="960"/>
      <c r="BN99" s="248"/>
    </row>
    <row r="100" spans="1:66" ht="19.5" thickTop="1" thickBot="1" x14ac:dyDescent="0.3">
      <c r="A100" s="34"/>
      <c r="B100" s="34"/>
      <c r="C100" s="52"/>
      <c r="D100" s="263"/>
      <c r="E100" s="257"/>
      <c r="F100" s="264"/>
      <c r="G100" s="155"/>
      <c r="H100" s="52"/>
      <c r="I100" s="52"/>
      <c r="J100" s="52"/>
      <c r="K100" s="53"/>
      <c r="L100" s="32"/>
      <c r="M100" s="47"/>
      <c r="N100" s="47"/>
      <c r="O100" s="47"/>
      <c r="P100" s="47"/>
      <c r="Q100" s="47"/>
      <c r="R100" s="958"/>
      <c r="S100" s="958"/>
      <c r="T100" s="958"/>
      <c r="U100" s="1163"/>
      <c r="V100" s="983"/>
      <c r="W100" s="958"/>
      <c r="X100" s="1086"/>
      <c r="Y100" s="1087"/>
      <c r="Z100" s="1088"/>
      <c r="AA100" s="1089"/>
      <c r="AB100" s="1089"/>
      <c r="AC100" s="1086"/>
      <c r="AD100" s="1086"/>
      <c r="AE100" s="1086"/>
      <c r="AF100" s="1086"/>
      <c r="AG100" s="1087"/>
      <c r="AH100" s="324"/>
      <c r="AI100" s="324"/>
      <c r="AJ100" s="324"/>
      <c r="AK100" s="324"/>
      <c r="AL100" s="324"/>
      <c r="AM100" s="525"/>
      <c r="AN100" s="525"/>
      <c r="AO100" s="525"/>
      <c r="AP100" s="1083"/>
      <c r="AQ100" s="1061"/>
      <c r="AR100" s="951"/>
      <c r="AS100" s="310"/>
      <c r="AT100" s="280"/>
      <c r="AU100" s="1148"/>
      <c r="AV100" s="1144"/>
      <c r="AW100" s="147"/>
      <c r="AX100" s="267" t="s">
        <v>226</v>
      </c>
      <c r="AY100" s="268" t="s">
        <v>209</v>
      </c>
      <c r="AZ100" s="268" t="s">
        <v>209</v>
      </c>
      <c r="BA100" s="268" t="s">
        <v>209</v>
      </c>
      <c r="BB100" s="262"/>
      <c r="BC100" s="147"/>
      <c r="BD100" s="147"/>
      <c r="BE100" s="147"/>
      <c r="BF100" s="267" t="s">
        <v>219</v>
      </c>
      <c r="BG100" s="170" t="s">
        <v>209</v>
      </c>
      <c r="BH100" s="170" t="s">
        <v>209</v>
      </c>
      <c r="BI100" s="262"/>
      <c r="BJ100" s="332"/>
      <c r="BK100" s="147"/>
      <c r="BL100" s="264"/>
      <c r="BM100" s="1156"/>
      <c r="BN100" s="33"/>
    </row>
    <row r="101" spans="1:66" ht="22.5" thickTop="1" thickBot="1" x14ac:dyDescent="0.3">
      <c r="A101" s="34"/>
      <c r="B101" s="34"/>
      <c r="C101" s="52"/>
      <c r="D101" s="269"/>
      <c r="E101" s="254"/>
      <c r="F101" s="155"/>
      <c r="G101" s="155"/>
      <c r="H101" s="52"/>
      <c r="I101" s="52"/>
      <c r="J101" s="52"/>
      <c r="K101" s="53"/>
      <c r="L101" s="32"/>
      <c r="M101" s="47"/>
      <c r="N101" s="47"/>
      <c r="O101" s="47"/>
      <c r="P101" s="47"/>
      <c r="Q101" s="47"/>
      <c r="R101" s="958"/>
      <c r="S101" s="958"/>
      <c r="T101" s="958"/>
      <c r="U101" s="1164"/>
      <c r="V101" s="983"/>
      <c r="W101" s="958"/>
      <c r="X101" s="958"/>
      <c r="Y101" s="1052"/>
      <c r="Z101" s="1090"/>
      <c r="AA101" s="982"/>
      <c r="AB101" s="982"/>
      <c r="AC101" s="958"/>
      <c r="AD101" s="982"/>
      <c r="AE101" s="958"/>
      <c r="AF101" s="958"/>
      <c r="AG101" s="1052"/>
      <c r="AH101" s="324"/>
      <c r="AI101" s="525"/>
      <c r="AJ101" s="1228"/>
      <c r="AK101" s="1228"/>
      <c r="AL101" s="324"/>
      <c r="AM101" s="525"/>
      <c r="AN101" s="525"/>
      <c r="AO101" s="525"/>
      <c r="AP101" s="1083"/>
      <c r="AQ101" s="1061"/>
      <c r="AR101" s="951"/>
      <c r="AU101" s="1147"/>
      <c r="AV101" s="1104"/>
      <c r="AW101" s="262"/>
      <c r="AX101" s="268"/>
      <c r="AY101" s="17">
        <v>50</v>
      </c>
      <c r="AZ101" s="17">
        <v>50</v>
      </c>
      <c r="BA101" s="17">
        <v>50</v>
      </c>
      <c r="BB101" s="268"/>
      <c r="BC101" s="262"/>
      <c r="BD101" s="147"/>
      <c r="BE101" s="262"/>
      <c r="BF101" s="170"/>
      <c r="BG101" s="17">
        <v>50</v>
      </c>
      <c r="BH101" s="18">
        <v>50</v>
      </c>
      <c r="BI101" s="170"/>
      <c r="BJ101" s="262"/>
      <c r="BK101" s="147"/>
      <c r="BL101" s="264"/>
      <c r="BM101" s="1238"/>
      <c r="BN101" s="33"/>
    </row>
    <row r="102" spans="1:66" ht="18.75" thickBot="1" x14ac:dyDescent="0.3">
      <c r="A102" s="34"/>
      <c r="B102" s="34"/>
      <c r="C102" s="52"/>
      <c r="D102" s="263"/>
      <c r="E102" s="257"/>
      <c r="F102" s="264"/>
      <c r="G102" s="155"/>
      <c r="H102" s="52"/>
      <c r="I102" s="52"/>
      <c r="J102" s="52"/>
      <c r="K102" s="53"/>
      <c r="L102" s="32"/>
      <c r="M102" s="39"/>
      <c r="N102" s="39"/>
      <c r="O102" s="39"/>
      <c r="P102" s="39"/>
      <c r="Q102" s="39"/>
      <c r="R102" s="941"/>
      <c r="S102" s="941"/>
      <c r="T102" s="941"/>
      <c r="U102" s="1165"/>
      <c r="V102" s="984"/>
      <c r="W102" s="941"/>
      <c r="X102" s="941"/>
      <c r="Y102" s="1091"/>
      <c r="Z102" s="1090"/>
      <c r="AA102" s="982"/>
      <c r="AB102" s="982"/>
      <c r="AC102" s="958"/>
      <c r="AD102" s="982"/>
      <c r="AE102" s="958"/>
      <c r="AF102" s="958"/>
      <c r="AG102" s="1092"/>
      <c r="AH102" s="960"/>
      <c r="AI102" s="1066"/>
      <c r="AJ102" s="1071"/>
      <c r="AK102" s="1071"/>
      <c r="AL102" s="1067"/>
      <c r="AM102" s="525"/>
      <c r="AN102" s="525"/>
      <c r="AO102" s="525"/>
      <c r="AP102" s="525"/>
      <c r="AQ102" s="1061"/>
      <c r="AR102" s="951"/>
      <c r="AS102" s="34"/>
      <c r="AT102" s="340"/>
      <c r="AU102" s="1149"/>
      <c r="AV102" s="1150"/>
      <c r="AW102" s="262"/>
      <c r="AX102" s="268"/>
      <c r="AY102" s="22">
        <v>50</v>
      </c>
      <c r="AZ102" s="12">
        <v>50</v>
      </c>
      <c r="BA102" s="12">
        <v>50</v>
      </c>
      <c r="BB102" s="268"/>
      <c r="BC102" s="262"/>
      <c r="BD102" s="147"/>
      <c r="BE102" s="262"/>
      <c r="BF102" s="170"/>
      <c r="BG102" s="15">
        <v>50</v>
      </c>
      <c r="BH102" s="18">
        <v>50</v>
      </c>
      <c r="BI102" s="170"/>
      <c r="BJ102" s="262"/>
      <c r="BK102" s="147"/>
      <c r="BL102" s="254"/>
      <c r="BM102" s="1239"/>
      <c r="BN102" s="33"/>
    </row>
    <row r="103" spans="1:66" ht="21" x14ac:dyDescent="0.25">
      <c r="A103" s="34"/>
      <c r="B103" s="34"/>
      <c r="C103" s="52"/>
      <c r="D103" s="269"/>
      <c r="E103" s="254"/>
      <c r="F103" s="155"/>
      <c r="G103" s="155"/>
      <c r="H103" s="52"/>
      <c r="I103" s="52"/>
      <c r="J103" s="52"/>
      <c r="K103" s="53"/>
      <c r="L103" s="47"/>
      <c r="M103" s="47"/>
      <c r="N103" s="47"/>
      <c r="O103" s="45"/>
      <c r="P103" s="71"/>
      <c r="Q103" s="47"/>
      <c r="R103" s="982"/>
      <c r="S103" s="982"/>
      <c r="T103" s="982"/>
      <c r="U103" s="1164"/>
      <c r="V103" s="1055"/>
      <c r="W103" s="958"/>
      <c r="X103" s="958"/>
      <c r="Y103" s="1030"/>
      <c r="Z103" s="1090"/>
      <c r="AA103" s="982"/>
      <c r="AB103" s="1240"/>
      <c r="AC103" s="1240"/>
      <c r="AD103" s="1240"/>
      <c r="AE103" s="1240"/>
      <c r="AF103" s="958"/>
      <c r="AG103" s="1093"/>
      <c r="AH103" s="1068"/>
      <c r="AI103" s="1071"/>
      <c r="AJ103" s="951"/>
      <c r="AK103" s="951"/>
      <c r="AL103" s="1071"/>
      <c r="AM103" s="525"/>
      <c r="AN103" s="525"/>
      <c r="AO103" s="525"/>
      <c r="AP103" s="525"/>
      <c r="AQ103" s="1241"/>
      <c r="AR103" s="1242"/>
      <c r="AS103" s="34"/>
      <c r="AT103" s="344"/>
      <c r="AU103" s="1151"/>
      <c r="AV103" s="1125"/>
      <c r="AW103" s="147"/>
      <c r="AX103" s="262"/>
      <c r="AY103" s="268" t="s">
        <v>209</v>
      </c>
      <c r="AZ103" s="268" t="s">
        <v>209</v>
      </c>
      <c r="BA103" s="268" t="s">
        <v>209</v>
      </c>
      <c r="BB103" s="262"/>
      <c r="BC103" s="147"/>
      <c r="BD103" s="147"/>
      <c r="BE103" s="147"/>
      <c r="BF103" s="262"/>
      <c r="BG103" s="170" t="s">
        <v>209</v>
      </c>
      <c r="BH103" s="170" t="s">
        <v>209</v>
      </c>
      <c r="BI103" s="262"/>
      <c r="BJ103" s="77"/>
      <c r="BK103" s="147"/>
      <c r="BL103" s="347"/>
      <c r="BM103" s="960"/>
      <c r="BN103" s="248"/>
    </row>
    <row r="104" spans="1:66" ht="18" x14ac:dyDescent="0.25">
      <c r="A104" s="34"/>
      <c r="B104" s="34"/>
      <c r="C104" s="52"/>
      <c r="D104" s="263"/>
      <c r="E104" s="257"/>
      <c r="F104" s="264"/>
      <c r="G104" s="155"/>
      <c r="H104" s="52"/>
      <c r="I104" s="52"/>
      <c r="J104" s="52"/>
      <c r="K104" s="53"/>
      <c r="L104" s="47"/>
      <c r="M104" s="47"/>
      <c r="N104" s="47"/>
      <c r="O104" s="45"/>
      <c r="P104" s="32"/>
      <c r="Q104" s="47"/>
      <c r="R104" s="958"/>
      <c r="S104" s="958"/>
      <c r="T104" s="958"/>
      <c r="U104" s="1164"/>
      <c r="V104" s="983"/>
      <c r="W104" s="958"/>
      <c r="X104" s="958"/>
      <c r="Y104" s="1030"/>
      <c r="Z104" s="1090"/>
      <c r="AA104" s="982"/>
      <c r="AB104" s="1240"/>
      <c r="AC104" s="1240"/>
      <c r="AD104" s="1240"/>
      <c r="AE104" s="1240"/>
      <c r="AF104" s="958"/>
      <c r="AG104" s="1092"/>
      <c r="AH104" s="1068"/>
      <c r="AI104" s="1071"/>
      <c r="AJ104" s="951"/>
      <c r="AK104" s="951"/>
      <c r="AL104" s="1071"/>
      <c r="AM104" s="1081"/>
      <c r="AN104" s="525"/>
      <c r="AO104" s="525"/>
      <c r="AP104" s="958"/>
      <c r="AQ104" s="1241"/>
      <c r="AR104" s="1242"/>
      <c r="AS104" s="348"/>
      <c r="AT104" s="344"/>
      <c r="AU104" s="1152"/>
      <c r="AV104" s="1144"/>
      <c r="AW104" s="147"/>
      <c r="AX104" s="34"/>
      <c r="AY104" s="262">
        <v>6</v>
      </c>
      <c r="AZ104" s="262">
        <v>5</v>
      </c>
      <c r="BA104" s="262">
        <v>4</v>
      </c>
      <c r="BB104" s="32"/>
      <c r="BC104" s="147"/>
      <c r="BD104" s="147"/>
      <c r="BE104" s="147"/>
      <c r="BF104" s="147"/>
      <c r="BG104" s="262">
        <v>4</v>
      </c>
      <c r="BH104" s="262">
        <v>3</v>
      </c>
      <c r="BI104" s="77"/>
      <c r="BJ104" s="77"/>
      <c r="BK104" s="147"/>
      <c r="BL104" s="264"/>
      <c r="BM104" s="525"/>
      <c r="BN104" s="248"/>
    </row>
    <row r="105" spans="1:66" ht="18.75" thickBot="1" x14ac:dyDescent="0.3">
      <c r="A105" s="34"/>
      <c r="B105" s="34"/>
      <c r="C105" s="52"/>
      <c r="D105" s="269"/>
      <c r="E105" s="254"/>
      <c r="F105" s="155"/>
      <c r="G105" s="155"/>
      <c r="H105" s="52"/>
      <c r="I105" s="52"/>
      <c r="J105" s="52"/>
      <c r="K105" s="53"/>
      <c r="L105" s="149"/>
      <c r="M105" s="47"/>
      <c r="N105" s="47"/>
      <c r="O105" s="47"/>
      <c r="P105" s="47"/>
      <c r="Q105" s="47"/>
      <c r="R105" s="958"/>
      <c r="S105" s="958"/>
      <c r="T105" s="958"/>
      <c r="U105" s="1164"/>
      <c r="V105" s="983"/>
      <c r="W105" s="958"/>
      <c r="X105" s="958"/>
      <c r="Y105" s="1052"/>
      <c r="Z105" s="1090"/>
      <c r="AA105" s="982"/>
      <c r="AB105" s="982"/>
      <c r="AC105" s="958"/>
      <c r="AD105" s="982"/>
      <c r="AE105" s="958"/>
      <c r="AF105" s="958"/>
      <c r="AG105" s="1092"/>
      <c r="AH105" s="1068"/>
      <c r="AI105" s="1071"/>
      <c r="AJ105" s="951"/>
      <c r="AK105" s="951"/>
      <c r="AL105" s="1071"/>
      <c r="AM105" s="1081"/>
      <c r="AN105" s="525"/>
      <c r="AO105" s="525"/>
      <c r="AP105" s="958"/>
      <c r="AQ105" s="1094"/>
      <c r="AR105" s="1095"/>
      <c r="AS105" s="348"/>
      <c r="AT105" s="344"/>
      <c r="AU105" s="960"/>
      <c r="AV105" s="960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231" t="s">
        <v>203</v>
      </c>
      <c r="BH105" s="1231"/>
      <c r="BI105" s="77"/>
      <c r="BJ105" s="75"/>
      <c r="BK105" s="147"/>
      <c r="BL105" s="314"/>
      <c r="BM105" s="525"/>
      <c r="BN105" s="248"/>
    </row>
    <row r="106" spans="1:66" ht="20.25" thickTop="1" thickBot="1" x14ac:dyDescent="0.3">
      <c r="A106" s="34"/>
      <c r="B106" s="34"/>
      <c r="C106" s="52"/>
      <c r="D106" s="263"/>
      <c r="E106" s="257"/>
      <c r="F106" s="264"/>
      <c r="G106" s="155"/>
      <c r="H106" s="52"/>
      <c r="I106" s="52"/>
      <c r="J106" s="52"/>
      <c r="K106" s="53"/>
      <c r="L106" s="47"/>
      <c r="M106" s="47"/>
      <c r="N106" s="47"/>
      <c r="O106" s="47"/>
      <c r="P106" s="47"/>
      <c r="Q106" s="47"/>
      <c r="R106" s="958"/>
      <c r="S106" s="958"/>
      <c r="T106" s="958"/>
      <c r="U106" s="1164"/>
      <c r="V106" s="983"/>
      <c r="W106" s="958"/>
      <c r="X106" s="958"/>
      <c r="Y106" s="1052"/>
      <c r="Z106" s="1090"/>
      <c r="AA106" s="982"/>
      <c r="AB106" s="982"/>
      <c r="AC106" s="958"/>
      <c r="AD106" s="982"/>
      <c r="AE106" s="958"/>
      <c r="AF106" s="958"/>
      <c r="AG106" s="1052"/>
      <c r="AH106" s="960"/>
      <c r="AI106" s="324"/>
      <c r="AJ106" s="1071"/>
      <c r="AK106" s="1096"/>
      <c r="AL106" s="324"/>
      <c r="AM106" s="1006"/>
      <c r="AN106" s="525"/>
      <c r="AO106" s="525"/>
      <c r="AP106" s="958"/>
      <c r="AQ106" s="311"/>
      <c r="AR106" s="1097"/>
      <c r="AS106" s="348"/>
      <c r="AT106" s="344"/>
      <c r="AU106" s="33"/>
      <c r="AV106" s="33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262">
        <v>1</v>
      </c>
      <c r="BH106" s="262">
        <v>2</v>
      </c>
      <c r="BI106" s="147"/>
      <c r="BK106" s="75"/>
      <c r="BL106" s="257"/>
      <c r="BM106" s="525"/>
      <c r="BN106" s="248"/>
    </row>
    <row r="107" spans="1:66" ht="22.5" thickTop="1" thickBot="1" x14ac:dyDescent="0.3">
      <c r="A107" s="34"/>
      <c r="B107" s="34"/>
      <c r="C107" s="52"/>
      <c r="D107" s="257"/>
      <c r="E107" s="264"/>
      <c r="F107" s="354"/>
      <c r="G107" s="155"/>
      <c r="H107" s="52"/>
      <c r="I107" s="52"/>
      <c r="J107" s="52"/>
      <c r="K107" s="53"/>
      <c r="L107" s="72"/>
      <c r="M107" s="72"/>
      <c r="N107" s="52"/>
      <c r="O107" s="52"/>
      <c r="P107" s="52"/>
      <c r="Q107" s="52"/>
      <c r="R107" s="957"/>
      <c r="S107" s="957"/>
      <c r="T107" s="957"/>
      <c r="U107" s="1164"/>
      <c r="V107" s="983"/>
      <c r="W107" s="958"/>
      <c r="X107" s="948"/>
      <c r="Y107" s="1098"/>
      <c r="Z107" s="1099"/>
      <c r="AA107" s="1100"/>
      <c r="AB107" s="1100"/>
      <c r="AC107" s="948"/>
      <c r="AD107" s="1100"/>
      <c r="AE107" s="948"/>
      <c r="AF107" s="948"/>
      <c r="AG107" s="1098"/>
      <c r="AH107" s="960"/>
      <c r="AI107" s="960"/>
      <c r="AJ107" s="1101"/>
      <c r="AK107" s="1101"/>
      <c r="AL107" s="324"/>
      <c r="AM107" s="324"/>
      <c r="AN107" s="525"/>
      <c r="AO107" s="525"/>
      <c r="AP107" s="324"/>
      <c r="AQ107" s="1102"/>
      <c r="AR107" s="1103"/>
      <c r="AS107" s="348"/>
      <c r="AT107" s="344"/>
      <c r="AU107" s="33"/>
      <c r="AV107" s="33"/>
      <c r="AW107" s="254"/>
      <c r="AX107" s="254"/>
      <c r="AY107" s="324"/>
      <c r="AZ107" s="324"/>
      <c r="BA107" s="960"/>
      <c r="BB107" s="33"/>
      <c r="BC107" s="254"/>
      <c r="BD107" s="33"/>
      <c r="BE107" s="33"/>
      <c r="BF107" s="262"/>
      <c r="BG107" s="169" t="s">
        <v>209</v>
      </c>
      <c r="BH107" s="169" t="s">
        <v>209</v>
      </c>
      <c r="BI107" s="262"/>
      <c r="BJ107" s="359"/>
      <c r="BK107" s="77"/>
      <c r="BL107" s="257"/>
      <c r="BM107" s="525"/>
      <c r="BN107" s="248"/>
    </row>
    <row r="108" spans="1:66" ht="18.75" thickBot="1" x14ac:dyDescent="0.3">
      <c r="A108" s="34"/>
      <c r="B108" s="34"/>
      <c r="C108" s="52"/>
      <c r="D108" s="52"/>
      <c r="E108" s="52"/>
      <c r="F108" s="52"/>
      <c r="G108" s="52"/>
      <c r="H108" s="52"/>
      <c r="I108" s="52"/>
      <c r="J108" s="52"/>
      <c r="K108" s="53"/>
      <c r="L108" s="72"/>
      <c r="M108" s="72"/>
      <c r="N108" s="52"/>
      <c r="O108" s="52"/>
      <c r="P108" s="52"/>
      <c r="Q108" s="52"/>
      <c r="R108" s="957"/>
      <c r="S108" s="957"/>
      <c r="T108" s="1166"/>
      <c r="U108" s="1167"/>
      <c r="V108" s="983"/>
      <c r="W108" s="958"/>
      <c r="X108" s="958"/>
      <c r="Y108" s="958"/>
      <c r="Z108" s="982"/>
      <c r="AA108" s="982"/>
      <c r="AB108" s="982"/>
      <c r="AC108" s="958"/>
      <c r="AD108" s="958"/>
      <c r="AE108" s="958"/>
      <c r="AF108" s="958"/>
      <c r="AG108" s="958"/>
      <c r="AH108" s="958"/>
      <c r="AI108" s="324"/>
      <c r="AJ108" s="324"/>
      <c r="AK108" s="324"/>
      <c r="AL108" s="324"/>
      <c r="AM108" s="324"/>
      <c r="AN108" s="324"/>
      <c r="AO108" s="324"/>
      <c r="AP108" s="324"/>
      <c r="AQ108" s="324"/>
      <c r="AR108" s="1095"/>
      <c r="AS108" s="348"/>
      <c r="AT108" s="344"/>
      <c r="AU108" s="33"/>
      <c r="AV108" s="33"/>
      <c r="AW108" s="254"/>
      <c r="AY108" s="999"/>
      <c r="AZ108" s="999"/>
      <c r="BA108" s="999"/>
      <c r="BB108" s="33"/>
      <c r="BC108" s="33"/>
      <c r="BD108" s="33"/>
      <c r="BE108" s="262"/>
      <c r="BF108" s="170"/>
      <c r="BG108" s="15">
        <v>50</v>
      </c>
      <c r="BH108" s="20">
        <v>50</v>
      </c>
      <c r="BI108" s="170"/>
      <c r="BJ108" s="262"/>
      <c r="BK108" s="33"/>
      <c r="BL108" s="257"/>
      <c r="BM108" s="1155"/>
      <c r="BN108" s="248"/>
    </row>
    <row r="109" spans="1:66" ht="19.5" thickTop="1" thickBot="1" x14ac:dyDescent="0.3">
      <c r="A109" s="34"/>
      <c r="B109" s="34"/>
      <c r="C109" s="52"/>
      <c r="D109" s="52"/>
      <c r="E109" s="52"/>
      <c r="F109" s="52"/>
      <c r="G109" s="52"/>
      <c r="H109" s="52"/>
      <c r="I109" s="52"/>
      <c r="J109" s="52"/>
      <c r="K109" s="53"/>
      <c r="L109" s="72"/>
      <c r="M109" s="72"/>
      <c r="N109" s="52"/>
      <c r="O109" s="52"/>
      <c r="P109" s="52"/>
      <c r="Q109" s="52"/>
      <c r="R109" s="957"/>
      <c r="S109" s="957"/>
      <c r="T109" s="1166"/>
      <c r="U109" s="983"/>
      <c r="V109" s="983"/>
      <c r="W109" s="958"/>
      <c r="X109" s="958"/>
      <c r="Y109" s="958"/>
      <c r="Z109" s="958"/>
      <c r="AA109" s="958"/>
      <c r="AB109" s="958"/>
      <c r="AC109" s="958"/>
      <c r="AD109" s="958"/>
      <c r="AE109" s="958"/>
      <c r="AF109" s="958"/>
      <c r="AG109" s="958"/>
      <c r="AH109" s="958"/>
      <c r="AI109" s="958"/>
      <c r="AJ109" s="958"/>
      <c r="AK109" s="324"/>
      <c r="AL109" s="324"/>
      <c r="AM109" s="324"/>
      <c r="AN109" s="324"/>
      <c r="AO109" s="324"/>
      <c r="AP109" s="324"/>
      <c r="AQ109" s="1094"/>
      <c r="AR109" s="1097"/>
      <c r="AS109" s="348"/>
      <c r="AT109" s="361"/>
      <c r="AU109" s="33"/>
      <c r="AV109" s="33"/>
      <c r="AW109" s="254"/>
      <c r="AY109" s="999"/>
      <c r="AZ109" s="999"/>
      <c r="BA109" s="999"/>
      <c r="BB109" s="33"/>
      <c r="BE109" s="262"/>
      <c r="BF109" s="170"/>
      <c r="BG109" s="15">
        <v>50</v>
      </c>
      <c r="BH109" s="19">
        <v>50</v>
      </c>
      <c r="BI109" s="170"/>
      <c r="BJ109" s="262"/>
      <c r="BK109" s="33"/>
      <c r="BL109" s="257"/>
      <c r="BM109" s="1155"/>
      <c r="BN109" s="248"/>
    </row>
    <row r="110" spans="1:66" ht="20.25" thickTop="1" thickBot="1" x14ac:dyDescent="0.3">
      <c r="A110" s="34"/>
      <c r="B110" s="34"/>
      <c r="C110" s="52"/>
      <c r="D110" s="52"/>
      <c r="E110" s="52"/>
      <c r="F110" s="52"/>
      <c r="G110" s="52"/>
      <c r="H110" s="52"/>
      <c r="I110" s="52"/>
      <c r="J110" s="52"/>
      <c r="K110" s="53"/>
      <c r="L110" s="72"/>
      <c r="M110" s="72"/>
      <c r="N110" s="52"/>
      <c r="O110" s="52"/>
      <c r="P110" s="52"/>
      <c r="Q110" s="52"/>
      <c r="R110" s="957"/>
      <c r="S110" s="1189"/>
      <c r="T110" s="1232"/>
      <c r="U110" s="1104"/>
      <c r="V110" s="1104"/>
      <c r="W110" s="957"/>
      <c r="X110" s="958"/>
      <c r="Y110" s="957"/>
      <c r="Z110" s="957"/>
      <c r="AA110" s="958"/>
      <c r="AB110" s="958"/>
      <c r="AC110" s="958"/>
      <c r="AD110" s="961"/>
      <c r="AE110" s="961"/>
      <c r="AF110" s="961"/>
      <c r="AG110" s="957"/>
      <c r="AH110" s="957"/>
      <c r="AI110" s="957"/>
      <c r="AJ110" s="957"/>
      <c r="AK110" s="525"/>
      <c r="AL110" s="525"/>
      <c r="AM110" s="525"/>
      <c r="AN110" s="525"/>
      <c r="AO110" s="525"/>
      <c r="AP110" s="525"/>
      <c r="AQ110" s="525"/>
      <c r="AR110" s="1103"/>
      <c r="AS110" s="348"/>
      <c r="AT110" s="363"/>
      <c r="AU110" s="33"/>
      <c r="AV110" s="33"/>
      <c r="AW110" s="254"/>
      <c r="AX110" s="33"/>
      <c r="AY110" s="1235"/>
      <c r="AZ110" s="1235"/>
      <c r="BA110" s="1235"/>
      <c r="BB110" s="33"/>
      <c r="BF110" s="262"/>
      <c r="BG110" s="169" t="s">
        <v>209</v>
      </c>
      <c r="BH110" s="169" t="s">
        <v>209</v>
      </c>
      <c r="BI110" s="262"/>
      <c r="BJ110" s="34"/>
      <c r="BK110" s="33"/>
      <c r="BL110" s="257"/>
      <c r="BM110" s="1155"/>
      <c r="BN110" s="248"/>
    </row>
    <row r="111" spans="1:66" ht="19.5" thickTop="1" thickBot="1" x14ac:dyDescent="0.3">
      <c r="A111" s="34"/>
      <c r="B111" s="34"/>
      <c r="C111" s="52"/>
      <c r="D111" s="52"/>
      <c r="E111" s="52"/>
      <c r="F111" s="52"/>
      <c r="G111" s="52"/>
      <c r="H111" s="52"/>
      <c r="I111" s="52"/>
      <c r="J111" s="52"/>
      <c r="K111" s="53"/>
      <c r="L111" s="72"/>
      <c r="M111" s="72"/>
      <c r="N111" s="52"/>
      <c r="O111" s="52"/>
      <c r="P111" s="52"/>
      <c r="Q111" s="52"/>
      <c r="R111" s="957"/>
      <c r="S111" s="1191"/>
      <c r="T111" s="1233"/>
      <c r="U111" s="1104"/>
      <c r="V111" s="1104"/>
      <c r="W111" s="957"/>
      <c r="X111" s="958"/>
      <c r="Y111" s="957"/>
      <c r="Z111" s="324"/>
      <c r="AA111" s="324"/>
      <c r="AB111" s="324"/>
      <c r="AC111" s="324"/>
      <c r="AD111" s="324"/>
      <c r="AE111" s="324"/>
      <c r="AF111" s="324"/>
      <c r="AG111" s="324"/>
      <c r="AH111" s="324"/>
      <c r="AI111" s="324"/>
      <c r="AJ111" s="324"/>
      <c r="AK111" s="525"/>
      <c r="AL111" s="525"/>
      <c r="AM111" s="525"/>
      <c r="AN111" s="525"/>
      <c r="AO111" s="525"/>
      <c r="AP111" s="525"/>
      <c r="AQ111" s="525"/>
      <c r="AR111" s="1095"/>
      <c r="AS111" s="348"/>
      <c r="AT111" s="280"/>
      <c r="AU111" s="33"/>
      <c r="AV111" s="264"/>
      <c r="AW111" s="254"/>
      <c r="AX111" s="33"/>
      <c r="AY111" s="960"/>
      <c r="AZ111" s="960"/>
      <c r="BA111" s="960"/>
      <c r="BB111" s="33"/>
      <c r="BF111" s="33"/>
      <c r="BG111" s="364">
        <v>4</v>
      </c>
      <c r="BH111" s="364">
        <v>3</v>
      </c>
      <c r="BI111" s="155"/>
      <c r="BJ111" s="34"/>
      <c r="BK111" s="33"/>
      <c r="BL111" s="257"/>
      <c r="BM111" s="1155"/>
      <c r="BN111" s="248"/>
    </row>
    <row r="112" spans="1:66" ht="19.5" thickTop="1" thickBot="1" x14ac:dyDescent="0.3">
      <c r="A112" s="34"/>
      <c r="B112" s="34"/>
      <c r="C112" s="52"/>
      <c r="D112" s="52"/>
      <c r="E112" s="52"/>
      <c r="F112" s="223"/>
      <c r="G112" s="223"/>
      <c r="H112" s="223"/>
      <c r="I112" s="223"/>
      <c r="J112" s="223"/>
      <c r="K112" s="365"/>
      <c r="L112" s="366"/>
      <c r="M112" s="366"/>
      <c r="N112" s="223"/>
      <c r="O112" s="223"/>
      <c r="P112" s="223"/>
      <c r="Q112" s="223"/>
      <c r="R112" s="1168"/>
      <c r="S112" s="1193"/>
      <c r="T112" s="1234"/>
      <c r="U112" s="1104"/>
      <c r="V112" s="1104"/>
      <c r="W112" s="957"/>
      <c r="X112" s="958"/>
      <c r="Y112" s="957"/>
      <c r="Z112" s="324"/>
      <c r="AA112" s="324"/>
      <c r="AB112" s="324"/>
      <c r="AC112" s="324"/>
      <c r="AD112" s="324"/>
      <c r="AE112" s="324"/>
      <c r="AF112" s="324"/>
      <c r="AG112" s="324"/>
      <c r="AH112" s="324"/>
      <c r="AI112" s="324"/>
      <c r="AJ112" s="324"/>
      <c r="AK112" s="525"/>
      <c r="AL112" s="525"/>
      <c r="AM112" s="525"/>
      <c r="AN112" s="525"/>
      <c r="AO112" s="525"/>
      <c r="AP112" s="525"/>
      <c r="AQ112" s="525"/>
      <c r="AR112" s="1097"/>
      <c r="AS112" s="348"/>
      <c r="AT112" s="280"/>
      <c r="AU112" s="218"/>
      <c r="AV112" s="314"/>
      <c r="AW112" s="254"/>
      <c r="AX112" s="33"/>
      <c r="AY112" s="33"/>
      <c r="AZ112" s="33"/>
      <c r="BA112" s="33"/>
      <c r="BB112" s="33"/>
      <c r="BC112" s="33"/>
      <c r="BD112" s="33"/>
      <c r="BE112" s="33"/>
      <c r="BK112" s="33"/>
      <c r="BL112" s="257"/>
      <c r="BM112" s="1155"/>
      <c r="BN112" s="248"/>
    </row>
    <row r="113" spans="1:66" ht="21.75" thickBot="1" x14ac:dyDescent="0.3">
      <c r="A113" s="34"/>
      <c r="B113" s="34"/>
      <c r="C113" s="52"/>
      <c r="D113" s="52"/>
      <c r="E113" s="53"/>
      <c r="F113" s="34"/>
      <c r="G113" s="34"/>
      <c r="H113" s="34"/>
      <c r="I113" s="52"/>
      <c r="J113" s="52"/>
      <c r="K113" s="52"/>
      <c r="L113" s="52"/>
      <c r="M113" s="52"/>
      <c r="N113" s="52"/>
      <c r="O113" s="52"/>
      <c r="P113" s="52"/>
      <c r="Q113" s="52"/>
      <c r="R113" s="957"/>
      <c r="S113" s="957"/>
      <c r="T113" s="957"/>
      <c r="U113" s="1104"/>
      <c r="V113" s="1105"/>
      <c r="W113" s="960"/>
      <c r="X113" s="525"/>
      <c r="Y113" s="978"/>
      <c r="Z113" s="978"/>
      <c r="AA113" s="324"/>
      <c r="AB113" s="324"/>
      <c r="AC113" s="525"/>
      <c r="AD113" s="525"/>
      <c r="AE113" s="525"/>
      <c r="AF113" s="324"/>
      <c r="AG113" s="324"/>
      <c r="AH113" s="324"/>
      <c r="AI113" s="324"/>
      <c r="AJ113" s="324"/>
      <c r="AK113" s="324"/>
      <c r="AL113" s="978"/>
      <c r="AM113" s="978"/>
      <c r="AN113" s="978"/>
      <c r="AO113" s="324"/>
      <c r="AP113" s="1094"/>
      <c r="AQ113" s="525"/>
      <c r="AR113" s="1103"/>
      <c r="AS113" s="368"/>
      <c r="AT113" s="72"/>
      <c r="AU113" s="72"/>
      <c r="AV113" s="34"/>
      <c r="AW113" s="254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K113" s="33"/>
      <c r="BL113" s="257"/>
      <c r="BM113" s="1155"/>
      <c r="BN113" s="248"/>
    </row>
    <row r="114" spans="1:66" ht="19.5" thickTop="1" thickBot="1" x14ac:dyDescent="0.3">
      <c r="A114" s="34"/>
      <c r="B114" s="34"/>
      <c r="C114" s="957"/>
      <c r="D114" s="957"/>
      <c r="E114" s="1166"/>
      <c r="F114" s="324"/>
      <c r="G114" s="324"/>
      <c r="H114" s="324"/>
      <c r="I114" s="957"/>
      <c r="J114" s="957"/>
      <c r="K114" s="957"/>
      <c r="L114" s="961"/>
      <c r="M114" s="961"/>
      <c r="N114" s="957"/>
      <c r="O114" s="957"/>
      <c r="P114" s="957"/>
      <c r="Q114" s="52"/>
      <c r="R114" s="957"/>
      <c r="S114" s="957"/>
      <c r="T114" s="957"/>
      <c r="U114" s="1104"/>
      <c r="V114" s="1105"/>
      <c r="W114" s="960"/>
      <c r="X114" s="1066"/>
      <c r="Y114" s="1061"/>
      <c r="Z114" s="1061"/>
      <c r="AA114" s="1067"/>
      <c r="AB114" s="960"/>
      <c r="AC114" s="525"/>
      <c r="AD114" s="525"/>
      <c r="AE114" s="525"/>
      <c r="AF114" s="1236"/>
      <c r="AG114" s="1041"/>
      <c r="AH114" s="1041"/>
      <c r="AI114" s="1237"/>
      <c r="AJ114" s="324"/>
      <c r="AK114" s="324"/>
      <c r="AL114" s="324"/>
      <c r="AM114" s="1071"/>
      <c r="AN114" s="324"/>
      <c r="AO114" s="324"/>
      <c r="AP114" s="957"/>
      <c r="AQ114" s="525"/>
      <c r="AR114" s="1106"/>
      <c r="AS114" s="372"/>
      <c r="AT114" s="373" t="s">
        <v>224</v>
      </c>
      <c r="AU114" s="72"/>
      <c r="AV114" s="34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77"/>
      <c r="BL114" s="257"/>
      <c r="BM114" s="1155"/>
      <c r="BN114" s="248"/>
    </row>
    <row r="115" spans="1:66" ht="18.75" thickTop="1" x14ac:dyDescent="0.25">
      <c r="A115" s="34"/>
      <c r="B115" s="34"/>
      <c r="C115" s="957"/>
      <c r="D115" s="957"/>
      <c r="E115" s="1166"/>
      <c r="F115" s="324"/>
      <c r="G115" s="324"/>
      <c r="H115" s="324"/>
      <c r="I115" s="957"/>
      <c r="J115" s="957"/>
      <c r="K115" s="957"/>
      <c r="L115" s="961"/>
      <c r="M115" s="961"/>
      <c r="N115" s="957"/>
      <c r="O115" s="957"/>
      <c r="P115" s="957"/>
      <c r="Q115" s="52"/>
      <c r="R115" s="957"/>
      <c r="S115" s="957"/>
      <c r="T115" s="957"/>
      <c r="U115" s="1104"/>
      <c r="V115" s="324"/>
      <c r="W115" s="1068"/>
      <c r="X115" s="1061"/>
      <c r="Y115" s="951"/>
      <c r="Z115" s="951"/>
      <c r="AA115" s="1061"/>
      <c r="AB115" s="1081"/>
      <c r="AC115" s="525"/>
      <c r="AD115" s="525"/>
      <c r="AE115" s="525"/>
      <c r="AF115" s="1236"/>
      <c r="AG115" s="1041"/>
      <c r="AH115" s="1041"/>
      <c r="AI115" s="1237"/>
      <c r="AJ115" s="324"/>
      <c r="AK115" s="324"/>
      <c r="AL115" s="1080"/>
      <c r="AM115" s="1079"/>
      <c r="AN115" s="525"/>
      <c r="AO115" s="958"/>
      <c r="AP115" s="957"/>
      <c r="AQ115" s="525"/>
      <c r="AR115" s="525"/>
      <c r="AS115" s="20">
        <v>50</v>
      </c>
      <c r="AT115" s="169" t="s">
        <v>209</v>
      </c>
      <c r="AU115" s="375">
        <v>1</v>
      </c>
      <c r="AV115" s="376"/>
      <c r="AW115" s="324"/>
      <c r="AX115" s="324"/>
      <c r="AY115" s="1231" t="s">
        <v>203</v>
      </c>
      <c r="AZ115" s="1231"/>
      <c r="BA115" s="1231"/>
      <c r="BB115" s="324"/>
      <c r="BC115" s="147"/>
      <c r="BD115" s="147"/>
      <c r="BE115" s="147"/>
      <c r="BF115" s="147"/>
      <c r="BG115" s="1231" t="s">
        <v>203</v>
      </c>
      <c r="BH115" s="1231"/>
      <c r="BI115" s="75"/>
      <c r="BJ115" s="77"/>
      <c r="BK115" s="33"/>
      <c r="BL115" s="257"/>
      <c r="BM115" s="1155"/>
      <c r="BN115" s="248"/>
    </row>
    <row r="116" spans="1:66" ht="18.75" thickBot="1" x14ac:dyDescent="0.3">
      <c r="A116" s="34"/>
      <c r="B116" s="34"/>
      <c r="C116" s="957"/>
      <c r="D116" s="957"/>
      <c r="E116" s="1166"/>
      <c r="F116" s="324"/>
      <c r="G116" s="324"/>
      <c r="H116" s="324"/>
      <c r="I116" s="957"/>
      <c r="J116" s="957"/>
      <c r="K116" s="957"/>
      <c r="L116" s="961"/>
      <c r="M116" s="961"/>
      <c r="N116" s="957"/>
      <c r="O116" s="957"/>
      <c r="P116" s="957"/>
      <c r="Q116" s="52"/>
      <c r="R116" s="957"/>
      <c r="S116" s="957"/>
      <c r="T116" s="957"/>
      <c r="U116" s="1104"/>
      <c r="V116" s="324"/>
      <c r="W116" s="1068"/>
      <c r="X116" s="1061"/>
      <c r="Y116" s="951"/>
      <c r="Z116" s="951"/>
      <c r="AA116" s="1061"/>
      <c r="AB116" s="1081"/>
      <c r="AC116" s="525"/>
      <c r="AD116" s="525"/>
      <c r="AE116" s="525"/>
      <c r="AF116" s="1236"/>
      <c r="AG116" s="1041"/>
      <c r="AH116" s="1041"/>
      <c r="AI116" s="1237"/>
      <c r="AJ116" s="960"/>
      <c r="AK116" s="1066"/>
      <c r="AL116" s="1080"/>
      <c r="AM116" s="951"/>
      <c r="AN116" s="1080"/>
      <c r="AO116" s="960"/>
      <c r="AP116" s="957"/>
      <c r="AQ116" s="525"/>
      <c r="AR116" s="377"/>
      <c r="AS116" s="20">
        <v>50</v>
      </c>
      <c r="AT116" s="169" t="s">
        <v>209</v>
      </c>
      <c r="AU116" s="375">
        <v>2</v>
      </c>
      <c r="AV116" s="376"/>
      <c r="AW116" s="324"/>
      <c r="AX116" s="147"/>
      <c r="AY116" s="262">
        <v>1</v>
      </c>
      <c r="AZ116" s="262">
        <v>2</v>
      </c>
      <c r="BA116" s="262">
        <v>3</v>
      </c>
      <c r="BB116" s="324"/>
      <c r="BC116" s="147"/>
      <c r="BD116" s="147"/>
      <c r="BE116" s="147"/>
      <c r="BF116" s="147"/>
      <c r="BG116" s="262">
        <v>1</v>
      </c>
      <c r="BH116" s="262">
        <v>2</v>
      </c>
      <c r="BI116" s="75"/>
      <c r="BJ116" s="77"/>
      <c r="BK116" s="33"/>
      <c r="BL116" s="257"/>
      <c r="BM116" s="1157"/>
      <c r="BN116" s="248"/>
    </row>
    <row r="117" spans="1:66" ht="18.75" thickBot="1" x14ac:dyDescent="0.3">
      <c r="A117" s="34"/>
      <c r="B117" s="34"/>
      <c r="C117" s="957"/>
      <c r="D117" s="957"/>
      <c r="E117" s="1166"/>
      <c r="F117" s="324"/>
      <c r="G117" s="324"/>
      <c r="H117" s="1216"/>
      <c r="I117" s="1217"/>
      <c r="J117" s="1217"/>
      <c r="K117" s="1217"/>
      <c r="L117" s="1217"/>
      <c r="M117" s="1217"/>
      <c r="N117" s="1217"/>
      <c r="O117" s="1217"/>
      <c r="P117" s="1218"/>
      <c r="Q117" s="52"/>
      <c r="R117" s="1169"/>
      <c r="S117" s="1169"/>
      <c r="T117" s="1169"/>
      <c r="U117" s="1104"/>
      <c r="V117" s="324"/>
      <c r="W117" s="1068"/>
      <c r="X117" s="1061"/>
      <c r="Y117" s="951"/>
      <c r="Z117" s="951"/>
      <c r="AA117" s="1061"/>
      <c r="AB117" s="1081"/>
      <c r="AC117" s="525"/>
      <c r="AD117" s="525"/>
      <c r="AE117" s="525"/>
      <c r="AF117" s="1236"/>
      <c r="AG117" s="1041"/>
      <c r="AH117" s="1041"/>
      <c r="AI117" s="1237"/>
      <c r="AJ117" s="1107"/>
      <c r="AK117" s="1079"/>
      <c r="AL117" s="951"/>
      <c r="AM117" s="1080"/>
      <c r="AN117" s="951"/>
      <c r="AO117" s="1079"/>
      <c r="AP117" s="1108"/>
      <c r="AQ117" s="525"/>
      <c r="AR117" s="1109"/>
      <c r="AS117" s="372"/>
      <c r="AT117" s="262"/>
      <c r="AU117" s="72"/>
      <c r="AV117" s="204"/>
      <c r="AW117" s="147"/>
      <c r="AX117" s="267" t="s">
        <v>227</v>
      </c>
      <c r="AY117" s="170" t="s">
        <v>209</v>
      </c>
      <c r="AZ117" s="170" t="s">
        <v>209</v>
      </c>
      <c r="BA117" s="170" t="s">
        <v>209</v>
      </c>
      <c r="BB117" s="262"/>
      <c r="BC117" s="147"/>
      <c r="BD117" s="147"/>
      <c r="BE117" s="147"/>
      <c r="BF117" s="267" t="s">
        <v>239</v>
      </c>
      <c r="BG117" s="170" t="s">
        <v>193</v>
      </c>
      <c r="BH117" s="170" t="s">
        <v>193</v>
      </c>
      <c r="BI117" s="262"/>
      <c r="BJ117" s="34"/>
      <c r="BK117" s="33"/>
      <c r="BL117" s="257"/>
      <c r="BM117" s="1158"/>
      <c r="BN117" s="248"/>
    </row>
    <row r="118" spans="1:66" ht="24" thickBot="1" x14ac:dyDescent="0.3">
      <c r="A118" s="34"/>
      <c r="B118" s="34"/>
      <c r="C118" s="957"/>
      <c r="D118" s="957"/>
      <c r="E118" s="1166"/>
      <c r="F118" s="324"/>
      <c r="G118" s="324"/>
      <c r="H118" s="1219"/>
      <c r="I118" s="1220"/>
      <c r="J118" s="1220"/>
      <c r="K118" s="1220"/>
      <c r="L118" s="1220"/>
      <c r="M118" s="1220"/>
      <c r="N118" s="1220"/>
      <c r="O118" s="1220"/>
      <c r="P118" s="1221"/>
      <c r="Q118" s="72"/>
      <c r="R118" s="1169"/>
      <c r="S118" s="1169"/>
      <c r="T118" s="1169"/>
      <c r="U118" s="1105"/>
      <c r="V118" s="324"/>
      <c r="W118" s="960"/>
      <c r="X118" s="1084"/>
      <c r="Y118" s="1078"/>
      <c r="Z118" s="1078"/>
      <c r="AA118" s="1085"/>
      <c r="AB118" s="1006"/>
      <c r="AC118" s="525"/>
      <c r="AD118" s="525"/>
      <c r="AE118" s="525"/>
      <c r="AF118" s="960"/>
      <c r="AG118" s="960"/>
      <c r="AH118" s="960"/>
      <c r="AI118" s="960"/>
      <c r="AJ118" s="324"/>
      <c r="AK118" s="324"/>
      <c r="AL118" s="1080"/>
      <c r="AM118" s="951"/>
      <c r="AN118" s="1080"/>
      <c r="AO118" s="525"/>
      <c r="AP118" s="525"/>
      <c r="AQ118" s="525"/>
      <c r="AR118" s="1025"/>
      <c r="AS118" s="1128"/>
      <c r="AT118" s="958"/>
      <c r="AU118" s="958"/>
      <c r="AV118" s="973"/>
      <c r="AW118" s="262"/>
      <c r="AX118" s="170"/>
      <c r="AY118" s="16">
        <v>50</v>
      </c>
      <c r="AZ118" s="16">
        <v>50</v>
      </c>
      <c r="BA118" s="15">
        <v>50</v>
      </c>
      <c r="BB118" s="170"/>
      <c r="BC118" s="262"/>
      <c r="BD118" s="147"/>
      <c r="BE118" s="262"/>
      <c r="BF118" s="170"/>
      <c r="BG118" s="17">
        <v>25</v>
      </c>
      <c r="BH118" s="15">
        <v>25</v>
      </c>
      <c r="BI118" s="170"/>
      <c r="BJ118" s="262"/>
      <c r="BK118" s="33"/>
      <c r="BL118" s="314"/>
      <c r="BM118" s="999"/>
      <c r="BN118" s="1225"/>
    </row>
    <row r="119" spans="1:66" ht="18" x14ac:dyDescent="0.25">
      <c r="A119" s="34"/>
      <c r="B119" s="34"/>
      <c r="C119" s="957"/>
      <c r="D119" s="957"/>
      <c r="E119" s="1166"/>
      <c r="F119" s="324"/>
      <c r="G119" s="324"/>
      <c r="H119" s="1219"/>
      <c r="I119" s="1220"/>
      <c r="J119" s="1220"/>
      <c r="K119" s="1220"/>
      <c r="L119" s="1220"/>
      <c r="M119" s="1220"/>
      <c r="N119" s="1220"/>
      <c r="O119" s="1220"/>
      <c r="P119" s="1221"/>
      <c r="Q119" s="72"/>
      <c r="R119" s="1169"/>
      <c r="S119" s="1169"/>
      <c r="T119" s="1169"/>
      <c r="U119" s="1105"/>
      <c r="V119" s="525"/>
      <c r="W119" s="525"/>
      <c r="X119" s="525"/>
      <c r="Y119" s="960"/>
      <c r="Z119" s="960"/>
      <c r="AA119" s="960"/>
      <c r="AB119" s="960"/>
      <c r="AC119" s="960"/>
      <c r="AD119" s="525"/>
      <c r="AE119" s="525"/>
      <c r="AF119" s="525"/>
      <c r="AG119" s="525"/>
      <c r="AH119" s="525"/>
      <c r="AI119" s="525"/>
      <c r="AJ119" s="960"/>
      <c r="AK119" s="324"/>
      <c r="AL119" s="525"/>
      <c r="AM119" s="1079"/>
      <c r="AN119" s="525"/>
      <c r="AO119" s="1110"/>
      <c r="AP119" s="324"/>
      <c r="AQ119" s="525"/>
      <c r="AR119" s="1025"/>
      <c r="AS119" s="1129"/>
      <c r="AT119" s="1130"/>
      <c r="AU119" s="958"/>
      <c r="AV119" s="1131"/>
      <c r="AW119" s="262"/>
      <c r="AX119" s="170"/>
      <c r="AY119" s="16">
        <v>50</v>
      </c>
      <c r="AZ119" s="16">
        <v>50</v>
      </c>
      <c r="BA119" s="15">
        <v>50</v>
      </c>
      <c r="BB119" s="170"/>
      <c r="BC119" s="262"/>
      <c r="BD119" s="147"/>
      <c r="BE119" s="262"/>
      <c r="BF119" s="170"/>
      <c r="BG119" s="22">
        <v>25</v>
      </c>
      <c r="BH119" s="23">
        <v>25</v>
      </c>
      <c r="BI119" s="170"/>
      <c r="BJ119" s="262"/>
      <c r="BK119" s="33"/>
      <c r="BL119" s="1226"/>
      <c r="BM119" s="999"/>
      <c r="BN119" s="1225"/>
    </row>
    <row r="120" spans="1:66" ht="21" x14ac:dyDescent="0.25">
      <c r="A120" s="34"/>
      <c r="B120" s="34"/>
      <c r="C120" s="957"/>
      <c r="D120" s="957"/>
      <c r="E120" s="1166"/>
      <c r="F120" s="324"/>
      <c r="G120" s="324"/>
      <c r="H120" s="1219"/>
      <c r="I120" s="1220"/>
      <c r="J120" s="1220"/>
      <c r="K120" s="1220"/>
      <c r="L120" s="1220"/>
      <c r="M120" s="1220"/>
      <c r="N120" s="1220"/>
      <c r="O120" s="1220"/>
      <c r="P120" s="1221"/>
      <c r="Q120" s="72"/>
      <c r="R120" s="1169"/>
      <c r="S120" s="1169"/>
      <c r="T120" s="1169"/>
      <c r="U120" s="1105"/>
      <c r="V120" s="525"/>
      <c r="W120" s="525"/>
      <c r="X120" s="525"/>
      <c r="Y120" s="525"/>
      <c r="Z120" s="525"/>
      <c r="AA120" s="960"/>
      <c r="AB120" s="960"/>
      <c r="AC120" s="960"/>
      <c r="AD120" s="324"/>
      <c r="AE120" s="1228"/>
      <c r="AF120" s="1228"/>
      <c r="AG120" s="1228"/>
      <c r="AH120" s="960"/>
      <c r="AI120" s="525"/>
      <c r="AJ120" s="960"/>
      <c r="AK120" s="324"/>
      <c r="AL120" s="324"/>
      <c r="AM120" s="1071"/>
      <c r="AN120" s="324"/>
      <c r="AO120" s="1110"/>
      <c r="AP120" s="324"/>
      <c r="AQ120" s="525"/>
      <c r="AR120" s="1025"/>
      <c r="AS120" s="1132"/>
      <c r="AT120" s="960"/>
      <c r="AU120" s="960"/>
      <c r="AV120" s="973"/>
      <c r="AW120" s="324"/>
      <c r="AX120" s="262"/>
      <c r="AY120" s="170" t="s">
        <v>209</v>
      </c>
      <c r="AZ120" s="170" t="s">
        <v>209</v>
      </c>
      <c r="BA120" s="170" t="s">
        <v>209</v>
      </c>
      <c r="BB120" s="262"/>
      <c r="BC120" s="324"/>
      <c r="BD120" s="147"/>
      <c r="BE120" s="147"/>
      <c r="BF120" s="262"/>
      <c r="BG120" s="170" t="s">
        <v>193</v>
      </c>
      <c r="BH120" s="170" t="s">
        <v>193</v>
      </c>
      <c r="BI120" s="262"/>
      <c r="BJ120" s="34"/>
      <c r="BK120" s="33"/>
      <c r="BL120" s="1226"/>
      <c r="BM120" s="999"/>
      <c r="BN120" s="1225"/>
    </row>
    <row r="121" spans="1:66" ht="15.75" x14ac:dyDescent="0.25">
      <c r="A121" s="34"/>
      <c r="B121" s="34"/>
      <c r="C121" s="957"/>
      <c r="D121" s="957"/>
      <c r="E121" s="1166"/>
      <c r="F121" s="957"/>
      <c r="G121" s="957"/>
      <c r="H121" s="1219"/>
      <c r="I121" s="1220"/>
      <c r="J121" s="1220"/>
      <c r="K121" s="1220"/>
      <c r="L121" s="1220"/>
      <c r="M121" s="1220"/>
      <c r="N121" s="1220"/>
      <c r="O121" s="1220"/>
      <c r="P121" s="1221"/>
      <c r="Q121" s="72"/>
      <c r="R121" s="1169"/>
      <c r="S121" s="1169"/>
      <c r="T121" s="1169"/>
      <c r="U121" s="1105"/>
      <c r="V121" s="525"/>
      <c r="W121" s="525"/>
      <c r="X121" s="525"/>
      <c r="Y121" s="525"/>
      <c r="Z121" s="525"/>
      <c r="AA121" s="960"/>
      <c r="AB121" s="960"/>
      <c r="AC121" s="960"/>
      <c r="AD121" s="324"/>
      <c r="AE121" s="955"/>
      <c r="AF121" s="960"/>
      <c r="AG121" s="960"/>
      <c r="AH121" s="960"/>
      <c r="AI121" s="525"/>
      <c r="AJ121" s="525"/>
      <c r="AK121" s="525"/>
      <c r="AL121" s="525"/>
      <c r="AM121" s="525"/>
      <c r="AN121" s="525"/>
      <c r="AO121" s="525"/>
      <c r="AP121" s="1110"/>
      <c r="AQ121" s="324"/>
      <c r="AR121" s="1025"/>
      <c r="AS121" s="1133"/>
      <c r="AT121" s="1130"/>
      <c r="AU121" s="1044"/>
      <c r="AV121" s="1229"/>
      <c r="AW121" s="324"/>
      <c r="AX121" s="324"/>
      <c r="AY121" s="262">
        <v>6</v>
      </c>
      <c r="AZ121" s="262">
        <v>5</v>
      </c>
      <c r="BA121" s="262">
        <v>4</v>
      </c>
      <c r="BB121" s="324"/>
      <c r="BC121" s="324"/>
      <c r="BD121" s="147"/>
      <c r="BE121" s="75"/>
      <c r="BF121" s="77"/>
      <c r="BG121" s="262">
        <v>4</v>
      </c>
      <c r="BH121" s="262">
        <v>3</v>
      </c>
      <c r="BI121" s="147"/>
      <c r="BJ121" s="34"/>
      <c r="BK121" s="33"/>
      <c r="BL121" s="1226"/>
      <c r="BM121" s="999"/>
      <c r="BN121" s="1225"/>
    </row>
    <row r="122" spans="1:66" ht="19.5" thickBot="1" x14ac:dyDescent="0.3">
      <c r="A122" s="34"/>
      <c r="B122" s="34"/>
      <c r="C122" s="957"/>
      <c r="D122" s="957"/>
      <c r="E122" s="1166"/>
      <c r="F122" s="324"/>
      <c r="G122" s="957"/>
      <c r="H122" s="1219"/>
      <c r="I122" s="1220"/>
      <c r="J122" s="1220"/>
      <c r="K122" s="1220"/>
      <c r="L122" s="1220"/>
      <c r="M122" s="1220"/>
      <c r="N122" s="1220"/>
      <c r="O122" s="1220"/>
      <c r="P122" s="1221"/>
      <c r="Q122" s="72"/>
      <c r="R122" s="1169"/>
      <c r="S122" s="1169"/>
      <c r="T122" s="1169"/>
      <c r="U122" s="1105"/>
      <c r="V122" s="525"/>
      <c r="W122" s="525"/>
      <c r="X122" s="525"/>
      <c r="Y122" s="525"/>
      <c r="Z122" s="525"/>
      <c r="AA122" s="1111"/>
      <c r="AB122" s="324"/>
      <c r="AC122" s="324"/>
      <c r="AD122" s="1066"/>
      <c r="AE122" s="1061"/>
      <c r="AF122" s="955"/>
      <c r="AG122" s="1082"/>
      <c r="AH122" s="1112"/>
      <c r="AI122" s="525"/>
      <c r="AJ122" s="525"/>
      <c r="AK122" s="525"/>
      <c r="AL122" s="525"/>
      <c r="AM122" s="525"/>
      <c r="AN122" s="525"/>
      <c r="AO122" s="525"/>
      <c r="AP122" s="1113"/>
      <c r="AQ122" s="324"/>
      <c r="AR122" s="1025"/>
      <c r="AS122" s="1134"/>
      <c r="AT122" s="958"/>
      <c r="AU122" s="1044"/>
      <c r="AV122" s="1229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1226"/>
      <c r="BM122" s="999"/>
      <c r="BN122" s="1225"/>
    </row>
    <row r="123" spans="1:66" ht="24" thickBot="1" x14ac:dyDescent="0.3">
      <c r="A123" s="34"/>
      <c r="B123" s="34"/>
      <c r="C123" s="957"/>
      <c r="D123" s="957"/>
      <c r="E123" s="1166"/>
      <c r="F123" s="957"/>
      <c r="G123" s="957"/>
      <c r="H123" s="1219"/>
      <c r="I123" s="1220"/>
      <c r="J123" s="1220"/>
      <c r="K123" s="1220"/>
      <c r="L123" s="1220"/>
      <c r="M123" s="1220"/>
      <c r="N123" s="1220"/>
      <c r="O123" s="1220"/>
      <c r="P123" s="1221"/>
      <c r="Q123" s="72"/>
      <c r="R123" s="1169"/>
      <c r="S123" s="1169"/>
      <c r="T123" s="1169"/>
      <c r="U123" s="1105"/>
      <c r="V123" s="525"/>
      <c r="W123" s="525"/>
      <c r="X123" s="525"/>
      <c r="Y123" s="525"/>
      <c r="Z123" s="525"/>
      <c r="AA123" s="977"/>
      <c r="AB123" s="324"/>
      <c r="AC123" s="324"/>
      <c r="AD123" s="1111"/>
      <c r="AE123" s="951"/>
      <c r="AF123" s="1061"/>
      <c r="AG123" s="955"/>
      <c r="AH123" s="1111"/>
      <c r="AI123" s="525"/>
      <c r="AJ123" s="957"/>
      <c r="AK123" s="525"/>
      <c r="AL123" s="1228"/>
      <c r="AM123" s="1228"/>
      <c r="AN123" s="960"/>
      <c r="AO123" s="324"/>
      <c r="AP123" s="324"/>
      <c r="AQ123" s="324"/>
      <c r="AR123" s="324"/>
      <c r="AS123" s="1135"/>
      <c r="AT123" s="1136"/>
      <c r="AU123" s="1137"/>
      <c r="AV123" s="1230"/>
      <c r="AW123" s="33"/>
      <c r="AX123" s="33"/>
      <c r="AY123" s="33"/>
      <c r="AZ123" s="33"/>
      <c r="BA123" s="33"/>
      <c r="BB123" s="33"/>
      <c r="BC123" s="33"/>
      <c r="BD123" s="1142"/>
      <c r="BE123" s="960"/>
      <c r="BF123" s="33"/>
      <c r="BG123" s="33"/>
      <c r="BH123" s="33"/>
      <c r="BI123" s="33"/>
      <c r="BJ123" s="33"/>
      <c r="BK123" s="33"/>
      <c r="BL123" s="1227"/>
      <c r="BM123" s="999"/>
      <c r="BN123" s="1225"/>
    </row>
    <row r="124" spans="1:66" ht="23.25" x14ac:dyDescent="0.25">
      <c r="A124" s="34"/>
      <c r="B124" s="34"/>
      <c r="C124" s="957"/>
      <c r="D124" s="957"/>
      <c r="E124" s="1166"/>
      <c r="F124" s="957"/>
      <c r="G124" s="957"/>
      <c r="H124" s="1219"/>
      <c r="I124" s="1220"/>
      <c r="J124" s="1220"/>
      <c r="K124" s="1220"/>
      <c r="L124" s="1220"/>
      <c r="M124" s="1220"/>
      <c r="N124" s="1220"/>
      <c r="O124" s="1220"/>
      <c r="P124" s="1221"/>
      <c r="Q124" s="72"/>
      <c r="R124" s="1169"/>
      <c r="S124" s="1169"/>
      <c r="T124" s="1169"/>
      <c r="U124" s="1105"/>
      <c r="V124" s="525"/>
      <c r="W124" s="525"/>
      <c r="X124" s="525"/>
      <c r="Y124" s="525"/>
      <c r="Z124" s="525"/>
      <c r="AA124" s="977"/>
      <c r="AB124" s="324"/>
      <c r="AC124" s="324"/>
      <c r="AD124" s="1111"/>
      <c r="AE124" s="951"/>
      <c r="AF124" s="951"/>
      <c r="AG124" s="1061"/>
      <c r="AH124" s="1067"/>
      <c r="AI124" s="960"/>
      <c r="AJ124" s="1114"/>
      <c r="AK124" s="1066"/>
      <c r="AL124" s="973"/>
      <c r="AM124" s="973"/>
      <c r="AN124" s="1067"/>
      <c r="AO124" s="1071"/>
      <c r="AP124" s="324"/>
      <c r="AQ124" s="324"/>
      <c r="AR124" s="993"/>
      <c r="AS124" s="1138"/>
      <c r="AT124" s="1139"/>
      <c r="AU124" s="1140"/>
      <c r="AV124" s="1141"/>
      <c r="AW124" s="406"/>
      <c r="AX124" s="406"/>
      <c r="AY124" s="406"/>
      <c r="AZ124" s="406"/>
      <c r="BA124" s="406"/>
      <c r="BB124" s="406"/>
      <c r="BC124" s="406"/>
      <c r="BD124" s="33"/>
      <c r="BE124" s="406"/>
      <c r="BF124" s="406"/>
      <c r="BG124" s="406"/>
      <c r="BH124" s="406"/>
      <c r="BI124" s="406"/>
      <c r="BJ124" s="406"/>
      <c r="BK124" s="406"/>
      <c r="BL124" s="406"/>
      <c r="BM124" s="406"/>
      <c r="BN124" s="33"/>
    </row>
    <row r="125" spans="1:66" ht="18.75" x14ac:dyDescent="0.25">
      <c r="A125" s="34"/>
      <c r="B125" s="34"/>
      <c r="C125" s="957"/>
      <c r="D125" s="957"/>
      <c r="E125" s="1166"/>
      <c r="F125" s="957"/>
      <c r="G125" s="957"/>
      <c r="H125" s="1219"/>
      <c r="I125" s="1220"/>
      <c r="J125" s="1220"/>
      <c r="K125" s="1220"/>
      <c r="L125" s="1220"/>
      <c r="M125" s="1220"/>
      <c r="N125" s="1220"/>
      <c r="O125" s="1220"/>
      <c r="P125" s="1221"/>
      <c r="Q125" s="72"/>
      <c r="R125" s="1169"/>
      <c r="S125" s="1169"/>
      <c r="T125" s="1169"/>
      <c r="U125" s="1105"/>
      <c r="V125" s="525"/>
      <c r="W125" s="525"/>
      <c r="X125" s="525"/>
      <c r="Y125" s="525"/>
      <c r="Z125" s="525"/>
      <c r="AA125" s="1111"/>
      <c r="AB125" s="324"/>
      <c r="AC125" s="324"/>
      <c r="AD125" s="1105"/>
      <c r="AE125" s="1061"/>
      <c r="AF125" s="951"/>
      <c r="AG125" s="951"/>
      <c r="AH125" s="1111"/>
      <c r="AI125" s="960"/>
      <c r="AJ125" s="1107"/>
      <c r="AK125" s="1069"/>
      <c r="AL125" s="951"/>
      <c r="AM125" s="951"/>
      <c r="AN125" s="1069"/>
      <c r="AO125" s="1070"/>
      <c r="AP125" s="324"/>
      <c r="AQ125" s="324"/>
      <c r="AR125" s="993"/>
      <c r="AS125" s="281"/>
      <c r="AT125" s="34"/>
      <c r="AU125" s="287"/>
      <c r="AV125" s="77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</row>
    <row r="126" spans="1:66" ht="19.5" thickBot="1" x14ac:dyDescent="0.3">
      <c r="A126" s="34"/>
      <c r="B126" s="34"/>
      <c r="C126" s="957"/>
      <c r="D126" s="957"/>
      <c r="E126" s="1166"/>
      <c r="F126" s="957"/>
      <c r="G126" s="957"/>
      <c r="H126" s="1219"/>
      <c r="I126" s="1220"/>
      <c r="J126" s="1220"/>
      <c r="K126" s="1220"/>
      <c r="L126" s="1220"/>
      <c r="M126" s="1220"/>
      <c r="N126" s="1220"/>
      <c r="O126" s="1220"/>
      <c r="P126" s="1221"/>
      <c r="Q126" s="72"/>
      <c r="R126" s="1169"/>
      <c r="S126" s="1169"/>
      <c r="T126" s="1169"/>
      <c r="U126" s="1105"/>
      <c r="V126" s="525"/>
      <c r="W126" s="525"/>
      <c r="X126" s="525"/>
      <c r="Y126" s="525"/>
      <c r="Z126" s="525"/>
      <c r="AA126" s="1115"/>
      <c r="AB126" s="324"/>
      <c r="AC126" s="324"/>
      <c r="AD126" s="1105"/>
      <c r="AE126" s="955"/>
      <c r="AF126" s="1061"/>
      <c r="AG126" s="951"/>
      <c r="AH126" s="1111"/>
      <c r="AI126" s="960"/>
      <c r="AJ126" s="1107"/>
      <c r="AK126" s="1069"/>
      <c r="AL126" s="951"/>
      <c r="AM126" s="951"/>
      <c r="AN126" s="1069"/>
      <c r="AO126" s="1070"/>
      <c r="AP126" s="324"/>
      <c r="AQ126" s="324"/>
      <c r="AR126" s="993"/>
      <c r="AS126" s="248"/>
      <c r="AT126" s="33"/>
      <c r="AU126" s="33"/>
      <c r="AV126" s="342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</row>
    <row r="127" spans="1:66" ht="15.75" x14ac:dyDescent="0.25">
      <c r="A127" s="34"/>
      <c r="B127" s="34"/>
      <c r="C127" s="957"/>
      <c r="D127" s="1189"/>
      <c r="E127" s="1190"/>
      <c r="F127" s="957"/>
      <c r="G127" s="957"/>
      <c r="H127" s="1219"/>
      <c r="I127" s="1220"/>
      <c r="J127" s="1220"/>
      <c r="K127" s="1220"/>
      <c r="L127" s="1220"/>
      <c r="M127" s="1220"/>
      <c r="N127" s="1220"/>
      <c r="O127" s="1220"/>
      <c r="P127" s="1221"/>
      <c r="Q127" s="72"/>
      <c r="R127" s="1169"/>
      <c r="S127" s="1169"/>
      <c r="T127" s="1169"/>
      <c r="U127" s="1105"/>
      <c r="V127" s="525"/>
      <c r="W127" s="525"/>
      <c r="X127" s="525"/>
      <c r="Y127" s="525"/>
      <c r="Z127" s="525"/>
      <c r="AA127" s="1105"/>
      <c r="AB127" s="324"/>
      <c r="AC127" s="324"/>
      <c r="AD127" s="1105"/>
      <c r="AE127" s="1105"/>
      <c r="AF127" s="955"/>
      <c r="AG127" s="1061"/>
      <c r="AH127" s="960"/>
      <c r="AI127" s="324"/>
      <c r="AJ127" s="1116"/>
      <c r="AK127" s="1069"/>
      <c r="AL127" s="951"/>
      <c r="AM127" s="951"/>
      <c r="AN127" s="1069"/>
      <c r="AO127" s="1070"/>
      <c r="AP127" s="324"/>
      <c r="AQ127" s="324"/>
      <c r="AR127" s="993"/>
      <c r="AS127" s="248"/>
      <c r="AT127" s="33"/>
      <c r="AU127" s="33"/>
      <c r="AV127" s="342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</row>
    <row r="128" spans="1:66" ht="24" thickBot="1" x14ac:dyDescent="0.3">
      <c r="A128" s="34"/>
      <c r="B128" s="34"/>
      <c r="C128" s="957"/>
      <c r="D128" s="1191"/>
      <c r="E128" s="1192"/>
      <c r="F128" s="957"/>
      <c r="G128" s="957"/>
      <c r="H128" s="1219"/>
      <c r="I128" s="1220"/>
      <c r="J128" s="1220"/>
      <c r="K128" s="1220"/>
      <c r="L128" s="1220"/>
      <c r="M128" s="1220"/>
      <c r="N128" s="1220"/>
      <c r="O128" s="1220"/>
      <c r="P128" s="1221"/>
      <c r="Q128" s="72"/>
      <c r="R128" s="1169"/>
      <c r="S128" s="1169"/>
      <c r="T128" s="962"/>
      <c r="U128" s="962"/>
      <c r="V128" s="1105"/>
      <c r="W128" s="961"/>
      <c r="X128" s="960"/>
      <c r="Y128" s="958"/>
      <c r="Z128" s="1117"/>
      <c r="AA128" s="1118"/>
      <c r="AB128" s="324"/>
      <c r="AC128" s="324"/>
      <c r="AD128" s="1105"/>
      <c r="AE128" s="1105"/>
      <c r="AF128" s="1105"/>
      <c r="AG128" s="955"/>
      <c r="AH128" s="1105"/>
      <c r="AI128" s="525"/>
      <c r="AJ128" s="1107"/>
      <c r="AK128" s="1069"/>
      <c r="AL128" s="951"/>
      <c r="AM128" s="951"/>
      <c r="AN128" s="1069"/>
      <c r="AO128" s="1070"/>
      <c r="AP128" s="324"/>
      <c r="AQ128" s="324"/>
      <c r="AR128" s="993"/>
      <c r="AS128" s="248"/>
      <c r="AT128" s="33"/>
      <c r="AU128" s="33"/>
      <c r="AV128" s="264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411"/>
      <c r="BM128" s="33"/>
      <c r="BN128" s="33"/>
    </row>
    <row r="129" spans="1:66" ht="20.25" x14ac:dyDescent="0.25">
      <c r="A129" s="34"/>
      <c r="B129" s="34"/>
      <c r="C129" s="957"/>
      <c r="D129" s="1191"/>
      <c r="E129" s="1192"/>
      <c r="F129" s="957"/>
      <c r="G129" s="957"/>
      <c r="H129" s="1219"/>
      <c r="I129" s="1220"/>
      <c r="J129" s="1220"/>
      <c r="K129" s="1220"/>
      <c r="L129" s="1220"/>
      <c r="M129" s="1220"/>
      <c r="N129" s="1220"/>
      <c r="O129" s="1220"/>
      <c r="P129" s="1221"/>
      <c r="Q129" s="72"/>
      <c r="R129" s="1169"/>
      <c r="S129" s="1169"/>
      <c r="T129" s="962"/>
      <c r="U129" s="962"/>
      <c r="V129" s="1105"/>
      <c r="W129" s="1195"/>
      <c r="X129" s="1196"/>
      <c r="Y129" s="1196"/>
      <c r="Z129" s="1196"/>
      <c r="AA129" s="1196"/>
      <c r="AB129" s="1196"/>
      <c r="AC129" s="1196"/>
      <c r="AD129" s="1196"/>
      <c r="AE129" s="1196"/>
      <c r="AF129" s="1197"/>
      <c r="AG129" s="525"/>
      <c r="AH129" s="525"/>
      <c r="AI129" s="324"/>
      <c r="AJ129" s="1119"/>
      <c r="AK129" s="324"/>
      <c r="AL129" s="973"/>
      <c r="AM129" s="973"/>
      <c r="AN129" s="324"/>
      <c r="AO129" s="324"/>
      <c r="AP129" s="960"/>
      <c r="AQ129" s="324"/>
      <c r="AR129" s="413"/>
      <c r="AS129" s="248"/>
      <c r="AT129" s="33"/>
      <c r="AU129" s="33"/>
      <c r="AV129" s="264"/>
      <c r="AW129" s="254"/>
      <c r="AX129" s="254"/>
      <c r="AY129" s="254"/>
      <c r="AZ129" s="254"/>
      <c r="BA129" s="254"/>
      <c r="BB129" s="254"/>
      <c r="BC129" s="33"/>
      <c r="BD129" s="33"/>
      <c r="BE129" s="33"/>
      <c r="BF129" s="33"/>
      <c r="BG129" s="33"/>
      <c r="BH129" s="414"/>
      <c r="BI129" s="415"/>
      <c r="BJ129" s="75"/>
      <c r="BK129" s="77"/>
      <c r="BL129" s="411"/>
      <c r="BM129" s="33"/>
      <c r="BN129" s="33"/>
    </row>
    <row r="130" spans="1:66" ht="16.5" thickBot="1" x14ac:dyDescent="0.3">
      <c r="A130" s="34"/>
      <c r="B130" s="34"/>
      <c r="C130" s="957"/>
      <c r="D130" s="1193"/>
      <c r="E130" s="1194"/>
      <c r="F130" s="957"/>
      <c r="G130" s="957"/>
      <c r="H130" s="1219"/>
      <c r="I130" s="1220"/>
      <c r="J130" s="1220"/>
      <c r="K130" s="1220"/>
      <c r="L130" s="1220"/>
      <c r="M130" s="1220"/>
      <c r="N130" s="1220"/>
      <c r="O130" s="1220"/>
      <c r="P130" s="1221"/>
      <c r="Q130" s="72"/>
      <c r="R130" s="1169"/>
      <c r="S130" s="1169"/>
      <c r="T130" s="962"/>
      <c r="U130" s="962"/>
      <c r="V130" s="324"/>
      <c r="W130" s="1198"/>
      <c r="X130" s="1199"/>
      <c r="Y130" s="1199"/>
      <c r="Z130" s="1199"/>
      <c r="AA130" s="1199"/>
      <c r="AB130" s="1199"/>
      <c r="AC130" s="1199"/>
      <c r="AD130" s="1199"/>
      <c r="AE130" s="1199"/>
      <c r="AF130" s="1200"/>
      <c r="AG130" s="525"/>
      <c r="AH130" s="377"/>
      <c r="AI130" s="377"/>
      <c r="AJ130" s="525"/>
      <c r="AK130" s="525"/>
      <c r="AL130" s="525"/>
      <c r="AM130" s="525"/>
      <c r="AN130" s="525"/>
      <c r="AO130" s="960"/>
      <c r="AP130" s="960"/>
      <c r="AQ130" s="324"/>
      <c r="AR130" s="963"/>
      <c r="AS130" s="248"/>
      <c r="AT130" s="33"/>
      <c r="AU130" s="33"/>
      <c r="AV130" s="34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411"/>
      <c r="BM130" s="33"/>
      <c r="BN130" s="33"/>
    </row>
    <row r="131" spans="1:66" ht="15.75" x14ac:dyDescent="0.25">
      <c r="A131" s="34"/>
      <c r="B131" s="34"/>
      <c r="C131" s="957"/>
      <c r="D131" s="957"/>
      <c r="E131" s="957"/>
      <c r="F131" s="957"/>
      <c r="G131" s="957"/>
      <c r="H131" s="1219"/>
      <c r="I131" s="1220"/>
      <c r="J131" s="1220"/>
      <c r="K131" s="1220"/>
      <c r="L131" s="1220"/>
      <c r="M131" s="1220"/>
      <c r="N131" s="1220"/>
      <c r="O131" s="1220"/>
      <c r="P131" s="1221"/>
      <c r="Q131" s="72"/>
      <c r="R131" s="1169"/>
      <c r="S131" s="1169"/>
      <c r="T131" s="1204"/>
      <c r="U131" s="1204"/>
      <c r="V131" s="324"/>
      <c r="W131" s="1198"/>
      <c r="X131" s="1199"/>
      <c r="Y131" s="1199"/>
      <c r="Z131" s="1199"/>
      <c r="AA131" s="1199"/>
      <c r="AB131" s="1199"/>
      <c r="AC131" s="1199"/>
      <c r="AD131" s="1199"/>
      <c r="AE131" s="1199"/>
      <c r="AF131" s="1200"/>
      <c r="AG131" s="525"/>
      <c r="AH131" s="377"/>
      <c r="AI131" s="377"/>
      <c r="AJ131" s="525"/>
      <c r="AK131" s="525"/>
      <c r="AL131" s="525"/>
      <c r="AM131" s="525"/>
      <c r="AN131" s="525"/>
      <c r="AO131" s="960"/>
      <c r="AP131" s="960"/>
      <c r="AQ131" s="960"/>
      <c r="AR131" s="963"/>
      <c r="AS131" s="248"/>
      <c r="AT131" s="33"/>
      <c r="AU131" s="33"/>
      <c r="AV131" s="34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411"/>
      <c r="BM131" s="33"/>
      <c r="BN131" s="33"/>
    </row>
    <row r="132" spans="1:66" ht="15.75" x14ac:dyDescent="0.25">
      <c r="A132" s="34"/>
      <c r="B132" s="34"/>
      <c r="C132" s="957"/>
      <c r="D132" s="957"/>
      <c r="E132" s="957"/>
      <c r="F132" s="957"/>
      <c r="G132" s="957"/>
      <c r="H132" s="1219"/>
      <c r="I132" s="1220"/>
      <c r="J132" s="1220"/>
      <c r="K132" s="1220"/>
      <c r="L132" s="1220"/>
      <c r="M132" s="1220"/>
      <c r="N132" s="1220"/>
      <c r="O132" s="1220"/>
      <c r="P132" s="1221"/>
      <c r="Q132" s="72"/>
      <c r="R132" s="1169"/>
      <c r="S132" s="1169"/>
      <c r="T132" s="1169"/>
      <c r="U132" s="324"/>
      <c r="V132" s="324"/>
      <c r="W132" s="1198"/>
      <c r="X132" s="1199"/>
      <c r="Y132" s="1199"/>
      <c r="Z132" s="1199"/>
      <c r="AA132" s="1199"/>
      <c r="AB132" s="1199"/>
      <c r="AC132" s="1199"/>
      <c r="AD132" s="1199"/>
      <c r="AE132" s="1199"/>
      <c r="AF132" s="1200"/>
      <c r="AG132" s="324"/>
      <c r="AH132" s="960"/>
      <c r="AI132" s="960"/>
      <c r="AJ132" s="525"/>
      <c r="AK132" s="525"/>
      <c r="AL132" s="525"/>
      <c r="AM132" s="525"/>
      <c r="AN132" s="525"/>
      <c r="AO132" s="957"/>
      <c r="AP132" s="324"/>
      <c r="AQ132" s="960"/>
      <c r="AR132" s="963"/>
      <c r="AS132" s="248"/>
      <c r="AT132" s="33"/>
      <c r="AU132" s="33"/>
      <c r="AV132" s="72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</row>
    <row r="133" spans="1:66" ht="15.75" thickBot="1" x14ac:dyDescent="0.3">
      <c r="A133" s="34"/>
      <c r="B133" s="34"/>
      <c r="C133" s="957"/>
      <c r="D133" s="957"/>
      <c r="E133" s="1166"/>
      <c r="F133" s="957"/>
      <c r="G133" s="957"/>
      <c r="H133" s="1219"/>
      <c r="I133" s="1220"/>
      <c r="J133" s="1220"/>
      <c r="K133" s="1220"/>
      <c r="L133" s="1220"/>
      <c r="M133" s="1220"/>
      <c r="N133" s="1220"/>
      <c r="O133" s="1220"/>
      <c r="P133" s="1221"/>
      <c r="Q133" s="72"/>
      <c r="R133" s="1169"/>
      <c r="S133" s="1169"/>
      <c r="T133" s="1169"/>
      <c r="U133" s="324"/>
      <c r="V133" s="324"/>
      <c r="W133" s="1198"/>
      <c r="X133" s="1199"/>
      <c r="Y133" s="1199"/>
      <c r="Z133" s="1199"/>
      <c r="AA133" s="1199"/>
      <c r="AB133" s="1199"/>
      <c r="AC133" s="1199"/>
      <c r="AD133" s="1199"/>
      <c r="AE133" s="1199"/>
      <c r="AF133" s="1200"/>
      <c r="AG133" s="525"/>
      <c r="AH133" s="1120"/>
      <c r="AI133" s="1107"/>
      <c r="AJ133" s="525"/>
      <c r="AK133" s="525"/>
      <c r="AL133" s="525"/>
      <c r="AM133" s="525"/>
      <c r="AN133" s="525"/>
      <c r="AO133" s="1070"/>
      <c r="AP133" s="324"/>
      <c r="AQ133" s="324"/>
      <c r="AR133" s="960"/>
      <c r="AS133" s="248"/>
      <c r="AT133" s="33"/>
      <c r="AU133" s="33"/>
      <c r="AV133" s="72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</row>
    <row r="134" spans="1:66" ht="18.75" x14ac:dyDescent="0.25">
      <c r="A134" s="34"/>
      <c r="B134" s="34"/>
      <c r="C134" s="957"/>
      <c r="D134" s="957"/>
      <c r="E134" s="1166"/>
      <c r="F134" s="957"/>
      <c r="G134" s="957"/>
      <c r="H134" s="1219"/>
      <c r="I134" s="1220"/>
      <c r="J134" s="1220"/>
      <c r="K134" s="1220"/>
      <c r="L134" s="1220"/>
      <c r="M134" s="1220"/>
      <c r="N134" s="1220"/>
      <c r="O134" s="1220"/>
      <c r="P134" s="1221"/>
      <c r="Q134" s="72"/>
      <c r="R134" s="1169"/>
      <c r="S134" s="1169"/>
      <c r="T134" s="1169"/>
      <c r="U134" s="324"/>
      <c r="V134" s="324"/>
      <c r="W134" s="1198"/>
      <c r="X134" s="1199"/>
      <c r="Y134" s="1199"/>
      <c r="Z134" s="1199"/>
      <c r="AA134" s="1199"/>
      <c r="AB134" s="1199"/>
      <c r="AC134" s="1199"/>
      <c r="AD134" s="1199"/>
      <c r="AE134" s="1199"/>
      <c r="AF134" s="1200"/>
      <c r="AG134" s="324"/>
      <c r="AH134" s="1205"/>
      <c r="AI134" s="324"/>
      <c r="AJ134" s="525"/>
      <c r="AK134" s="525"/>
      <c r="AL134" s="525"/>
      <c r="AM134" s="525"/>
      <c r="AN134" s="525"/>
      <c r="AO134" s="324"/>
      <c r="AP134" s="1121"/>
      <c r="AQ134" s="942"/>
      <c r="AR134" s="960"/>
      <c r="AS134" s="248"/>
      <c r="AT134" s="33"/>
      <c r="AU134" s="33"/>
      <c r="AV134" s="72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</row>
    <row r="135" spans="1:66" ht="19.5" thickBot="1" x14ac:dyDescent="0.3">
      <c r="A135" s="34"/>
      <c r="B135" s="34"/>
      <c r="C135" s="957"/>
      <c r="D135" s="957"/>
      <c r="E135" s="1166"/>
      <c r="F135" s="957"/>
      <c r="G135" s="957"/>
      <c r="H135" s="1219"/>
      <c r="I135" s="1220"/>
      <c r="J135" s="1220"/>
      <c r="K135" s="1220"/>
      <c r="L135" s="1220"/>
      <c r="M135" s="1220"/>
      <c r="N135" s="1220"/>
      <c r="O135" s="1220"/>
      <c r="P135" s="1221"/>
      <c r="Q135" s="72"/>
      <c r="R135" s="1169"/>
      <c r="S135" s="1169"/>
      <c r="T135" s="1169"/>
      <c r="U135" s="324"/>
      <c r="V135" s="324"/>
      <c r="W135" s="1198"/>
      <c r="X135" s="1199"/>
      <c r="Y135" s="1199"/>
      <c r="Z135" s="1199"/>
      <c r="AA135" s="1199"/>
      <c r="AB135" s="1199"/>
      <c r="AC135" s="1199"/>
      <c r="AD135" s="1199"/>
      <c r="AE135" s="1199"/>
      <c r="AF135" s="1200"/>
      <c r="AG135" s="525"/>
      <c r="AH135" s="1206"/>
      <c r="AI135" s="960"/>
      <c r="AJ135" s="525"/>
      <c r="AK135" s="525"/>
      <c r="AL135" s="525"/>
      <c r="AM135" s="525"/>
      <c r="AN135" s="525"/>
      <c r="AO135" s="377"/>
      <c r="AP135" s="1122"/>
      <c r="AQ135" s="1121"/>
      <c r="AR135" s="960"/>
      <c r="AS135" s="248"/>
      <c r="AT135" s="33"/>
      <c r="AU135" s="33"/>
      <c r="AV135" s="72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</row>
    <row r="136" spans="1:66" ht="18.75" x14ac:dyDescent="0.25">
      <c r="A136" s="34"/>
      <c r="B136" s="34"/>
      <c r="C136" s="957"/>
      <c r="D136" s="957"/>
      <c r="E136" s="1166"/>
      <c r="F136" s="957"/>
      <c r="G136" s="957"/>
      <c r="H136" s="1219"/>
      <c r="I136" s="1220"/>
      <c r="J136" s="1220"/>
      <c r="K136" s="1220"/>
      <c r="L136" s="1220"/>
      <c r="M136" s="1220"/>
      <c r="N136" s="1220"/>
      <c r="O136" s="1220"/>
      <c r="P136" s="1221"/>
      <c r="Q136" s="72"/>
      <c r="R136" s="379"/>
      <c r="S136" s="379"/>
      <c r="T136" s="379"/>
      <c r="U136" s="34"/>
      <c r="V136" s="324"/>
      <c r="W136" s="1198"/>
      <c r="X136" s="1199"/>
      <c r="Y136" s="1199"/>
      <c r="Z136" s="1199"/>
      <c r="AA136" s="1199"/>
      <c r="AB136" s="1199"/>
      <c r="AC136" s="1199"/>
      <c r="AD136" s="1199"/>
      <c r="AE136" s="1199"/>
      <c r="AF136" s="1200"/>
      <c r="AG136" s="324"/>
      <c r="AH136" s="324"/>
      <c r="AI136" s="960"/>
      <c r="AJ136" s="525"/>
      <c r="AK136" s="525"/>
      <c r="AL136" s="525"/>
      <c r="AM136" s="525"/>
      <c r="AN136" s="525"/>
      <c r="AO136" s="377"/>
      <c r="AP136" s="1122"/>
      <c r="AQ136" s="1123"/>
      <c r="AR136" s="960"/>
      <c r="AS136" s="248"/>
      <c r="AT136" s="33"/>
      <c r="AU136" s="33"/>
      <c r="AV136" s="72"/>
      <c r="AW136" s="254"/>
      <c r="AX136" s="254"/>
      <c r="AY136" s="254"/>
      <c r="AZ136" s="254"/>
      <c r="BA136" s="254"/>
      <c r="BB136" s="254"/>
      <c r="BC136" s="254"/>
      <c r="BD136" s="33"/>
      <c r="BE136" s="33"/>
      <c r="BF136" s="75"/>
      <c r="BG136" s="77"/>
      <c r="BH136" s="77"/>
      <c r="BI136" s="33"/>
      <c r="BJ136" s="33"/>
      <c r="BK136" s="34"/>
      <c r="BL136" s="33"/>
      <c r="BM136" s="33"/>
      <c r="BN136" s="33"/>
    </row>
    <row r="137" spans="1:66" ht="18.75" x14ac:dyDescent="0.25">
      <c r="A137" s="34"/>
      <c r="B137" s="34"/>
      <c r="C137" s="957"/>
      <c r="D137" s="957"/>
      <c r="E137" s="1166"/>
      <c r="F137" s="957"/>
      <c r="G137" s="957"/>
      <c r="H137" s="1219"/>
      <c r="I137" s="1220"/>
      <c r="J137" s="1220"/>
      <c r="K137" s="1220"/>
      <c r="L137" s="1220"/>
      <c r="M137" s="1220"/>
      <c r="N137" s="1220"/>
      <c r="O137" s="1220"/>
      <c r="P137" s="1221"/>
      <c r="Q137" s="72"/>
      <c r="R137" s="379"/>
      <c r="S137" s="379"/>
      <c r="T137" s="379"/>
      <c r="U137" s="72"/>
      <c r="V137" s="961"/>
      <c r="W137" s="1198"/>
      <c r="X137" s="1199"/>
      <c r="Y137" s="1199"/>
      <c r="Z137" s="1199"/>
      <c r="AA137" s="1199"/>
      <c r="AB137" s="1199"/>
      <c r="AC137" s="1199"/>
      <c r="AD137" s="1199"/>
      <c r="AE137" s="1199"/>
      <c r="AF137" s="1200"/>
      <c r="AG137" s="525"/>
      <c r="AH137" s="324"/>
      <c r="AI137" s="324"/>
      <c r="AJ137" s="324"/>
      <c r="AK137" s="324"/>
      <c r="AL137" s="324"/>
      <c r="AM137" s="324"/>
      <c r="AN137" s="324"/>
      <c r="AO137" s="324"/>
      <c r="AP137" s="1123"/>
      <c r="AQ137" s="961"/>
      <c r="AR137" s="960"/>
      <c r="AS137" s="248"/>
      <c r="AT137" s="33"/>
      <c r="AU137" s="33"/>
      <c r="AV137" s="72"/>
      <c r="AW137" s="254"/>
      <c r="AX137" s="254"/>
      <c r="AY137" s="254"/>
      <c r="AZ137" s="254"/>
      <c r="BA137" s="254"/>
      <c r="BB137" s="254"/>
      <c r="BC137" s="254"/>
      <c r="BD137" s="33"/>
      <c r="BE137" s="33"/>
      <c r="BF137" s="34"/>
      <c r="BG137" s="34"/>
      <c r="BH137" s="34"/>
      <c r="BI137" s="33"/>
      <c r="BJ137" s="33"/>
      <c r="BK137" s="34"/>
      <c r="BL137" s="33"/>
      <c r="BM137" s="33"/>
      <c r="BN137" s="33"/>
    </row>
    <row r="138" spans="1:66" x14ac:dyDescent="0.25">
      <c r="A138" s="34"/>
      <c r="B138" s="34"/>
      <c r="C138" s="957"/>
      <c r="D138" s="957"/>
      <c r="E138" s="1166"/>
      <c r="F138" s="957"/>
      <c r="G138" s="957"/>
      <c r="H138" s="1219"/>
      <c r="I138" s="1220"/>
      <c r="J138" s="1220"/>
      <c r="K138" s="1220"/>
      <c r="L138" s="1220"/>
      <c r="M138" s="1220"/>
      <c r="N138" s="1220"/>
      <c r="O138" s="1220"/>
      <c r="P138" s="1221"/>
      <c r="Q138" s="72"/>
      <c r="R138" s="379"/>
      <c r="S138" s="379"/>
      <c r="T138" s="379"/>
      <c r="U138" s="72"/>
      <c r="V138" s="961"/>
      <c r="W138" s="1198"/>
      <c r="X138" s="1199"/>
      <c r="Y138" s="1199"/>
      <c r="Z138" s="1199"/>
      <c r="AA138" s="1199"/>
      <c r="AB138" s="1199"/>
      <c r="AC138" s="1199"/>
      <c r="AD138" s="1199"/>
      <c r="AE138" s="1199"/>
      <c r="AF138" s="1200"/>
      <c r="AG138" s="324"/>
      <c r="AH138" s="958"/>
      <c r="AI138" s="958"/>
      <c r="AJ138" s="958"/>
      <c r="AK138" s="958"/>
      <c r="AL138" s="958"/>
      <c r="AM138" s="958"/>
      <c r="AN138" s="958"/>
      <c r="AO138" s="324"/>
      <c r="AP138" s="324"/>
      <c r="AQ138" s="324"/>
      <c r="AR138" s="958"/>
      <c r="AS138" s="248"/>
      <c r="AT138" s="33"/>
      <c r="AU138" s="33"/>
      <c r="AV138" s="72"/>
      <c r="AW138" s="254"/>
      <c r="AX138" s="254"/>
      <c r="AY138" s="254"/>
      <c r="AZ138" s="254"/>
      <c r="BA138" s="254"/>
      <c r="BB138" s="254"/>
      <c r="BC138" s="254"/>
      <c r="BD138" s="33"/>
      <c r="BE138" s="33"/>
      <c r="BF138" s="77"/>
      <c r="BG138" s="77"/>
      <c r="BH138" s="77"/>
      <c r="BI138" s="33"/>
      <c r="BJ138" s="33"/>
      <c r="BK138" s="34"/>
      <c r="BL138" s="33"/>
      <c r="BM138" s="33"/>
      <c r="BN138" s="33"/>
    </row>
    <row r="139" spans="1:66" ht="15.75" thickBot="1" x14ac:dyDescent="0.3">
      <c r="A139" s="34"/>
      <c r="B139" s="34"/>
      <c r="C139" s="957"/>
      <c r="D139" s="957"/>
      <c r="E139" s="1166"/>
      <c r="F139" s="957"/>
      <c r="G139" s="957"/>
      <c r="H139" s="1219"/>
      <c r="I139" s="1220"/>
      <c r="J139" s="1220"/>
      <c r="K139" s="1220"/>
      <c r="L139" s="1220"/>
      <c r="M139" s="1220"/>
      <c r="N139" s="1220"/>
      <c r="O139" s="1220"/>
      <c r="P139" s="1221"/>
      <c r="Q139" s="72"/>
      <c r="R139" s="379"/>
      <c r="S139" s="379"/>
      <c r="T139" s="379"/>
      <c r="U139" s="72"/>
      <c r="V139" s="961"/>
      <c r="W139" s="1198"/>
      <c r="X139" s="1199"/>
      <c r="Y139" s="1199"/>
      <c r="Z139" s="1199"/>
      <c r="AA139" s="1199"/>
      <c r="AB139" s="1199"/>
      <c r="AC139" s="1199"/>
      <c r="AD139" s="1199"/>
      <c r="AE139" s="1199"/>
      <c r="AF139" s="1200"/>
      <c r="AG139" s="1124"/>
      <c r="AH139" s="1124"/>
      <c r="AI139" s="1124"/>
      <c r="AJ139" s="958"/>
      <c r="AK139" s="958"/>
      <c r="AL139" s="958"/>
      <c r="AM139" s="958"/>
      <c r="AN139" s="958"/>
      <c r="AO139" s="958"/>
      <c r="AP139" s="958"/>
      <c r="AQ139" s="958"/>
      <c r="AR139" s="958"/>
      <c r="AS139" s="248"/>
      <c r="AT139" s="33"/>
      <c r="AU139" s="33"/>
      <c r="AV139" s="33"/>
      <c r="AW139" s="33"/>
      <c r="AX139" s="33"/>
      <c r="AY139" s="72"/>
      <c r="AZ139" s="72"/>
      <c r="BA139" s="72"/>
      <c r="BB139" s="47"/>
      <c r="BC139" s="77"/>
      <c r="BD139" s="33"/>
      <c r="BE139" s="33"/>
      <c r="BF139" s="77"/>
      <c r="BG139" s="77"/>
      <c r="BH139" s="77"/>
      <c r="BI139" s="33"/>
      <c r="BJ139" s="33"/>
      <c r="BK139" s="34"/>
      <c r="BL139" s="33"/>
      <c r="BM139" s="33"/>
      <c r="BN139" s="33"/>
    </row>
    <row r="140" spans="1:66" x14ac:dyDescent="0.25">
      <c r="A140" s="34"/>
      <c r="B140" s="34"/>
      <c r="C140" s="957"/>
      <c r="D140" s="957"/>
      <c r="E140" s="957"/>
      <c r="F140" s="1207"/>
      <c r="G140" s="1208"/>
      <c r="H140" s="1219"/>
      <c r="I140" s="1220"/>
      <c r="J140" s="1220"/>
      <c r="K140" s="1220"/>
      <c r="L140" s="1220"/>
      <c r="M140" s="1220"/>
      <c r="N140" s="1220"/>
      <c r="O140" s="1220"/>
      <c r="P140" s="1221"/>
      <c r="Q140" s="72"/>
      <c r="R140" s="379"/>
      <c r="S140" s="379"/>
      <c r="T140" s="379"/>
      <c r="U140" s="384"/>
      <c r="V140" s="1105"/>
      <c r="W140" s="1198"/>
      <c r="X140" s="1199"/>
      <c r="Y140" s="1199"/>
      <c r="Z140" s="1199"/>
      <c r="AA140" s="1199"/>
      <c r="AB140" s="1199"/>
      <c r="AC140" s="1199"/>
      <c r="AD140" s="1199"/>
      <c r="AE140" s="1199"/>
      <c r="AF140" s="1200"/>
      <c r="AG140" s="1003"/>
      <c r="AH140" s="1124"/>
      <c r="AI140" s="1124"/>
      <c r="AJ140" s="1124"/>
      <c r="AK140" s="1124"/>
      <c r="AL140" s="1124"/>
      <c r="AM140" s="958"/>
      <c r="AN140" s="958"/>
      <c r="AO140" s="958"/>
      <c r="AP140" s="958"/>
      <c r="AQ140" s="958"/>
      <c r="AR140" s="958"/>
      <c r="AS140" s="248"/>
      <c r="AT140" s="33"/>
      <c r="AU140" s="33"/>
      <c r="AV140" s="33"/>
      <c r="AW140" s="33"/>
      <c r="AX140" s="33"/>
      <c r="AY140" s="47"/>
      <c r="AZ140" s="47"/>
      <c r="BA140" s="47"/>
      <c r="BB140" s="47"/>
      <c r="BC140" s="47"/>
      <c r="BD140" s="33"/>
      <c r="BE140" s="33"/>
      <c r="BF140" s="77"/>
      <c r="BG140" s="77"/>
      <c r="BH140" s="77"/>
      <c r="BI140" s="33"/>
      <c r="BJ140" s="33"/>
      <c r="BK140" s="77"/>
      <c r="BL140" s="33"/>
      <c r="BM140" s="33"/>
      <c r="BN140" s="33"/>
    </row>
    <row r="141" spans="1:66" ht="16.5" thickBot="1" x14ac:dyDescent="0.3">
      <c r="A141" s="34"/>
      <c r="B141" s="34"/>
      <c r="C141" s="957"/>
      <c r="D141" s="957"/>
      <c r="E141" s="957"/>
      <c r="F141" s="1209"/>
      <c r="G141" s="1210"/>
      <c r="H141" s="1222"/>
      <c r="I141" s="1223"/>
      <c r="J141" s="1223"/>
      <c r="K141" s="1223"/>
      <c r="L141" s="1223"/>
      <c r="M141" s="1223"/>
      <c r="N141" s="1223"/>
      <c r="O141" s="1223"/>
      <c r="P141" s="1224"/>
      <c r="Q141" s="72"/>
      <c r="R141" s="379"/>
      <c r="S141" s="379"/>
      <c r="T141" s="379"/>
      <c r="U141" s="384"/>
      <c r="V141" s="1105"/>
      <c r="W141" s="1198"/>
      <c r="X141" s="1199"/>
      <c r="Y141" s="1199"/>
      <c r="Z141" s="1199"/>
      <c r="AA141" s="1199"/>
      <c r="AB141" s="1199"/>
      <c r="AC141" s="1199"/>
      <c r="AD141" s="1199"/>
      <c r="AE141" s="1199"/>
      <c r="AF141" s="1200"/>
      <c r="AG141" s="1124"/>
      <c r="AH141" s="1003"/>
      <c r="AI141" s="1003"/>
      <c r="AJ141" s="1003"/>
      <c r="AK141" s="1003"/>
      <c r="AL141" s="1003"/>
      <c r="AM141" s="1003"/>
      <c r="AN141" s="1003"/>
      <c r="AO141" s="1003"/>
      <c r="AP141" s="1003"/>
      <c r="AQ141" s="1003"/>
      <c r="AR141" s="1003"/>
      <c r="AS141" s="138"/>
      <c r="AT141" s="33"/>
      <c r="AU141" s="33"/>
      <c r="AV141" s="33"/>
      <c r="AW141" s="33"/>
      <c r="AX141" s="33"/>
      <c r="AY141" s="47"/>
      <c r="AZ141" s="47"/>
      <c r="BA141" s="47"/>
      <c r="BB141" s="47"/>
      <c r="BC141" s="47"/>
      <c r="BD141" s="33"/>
      <c r="BE141" s="33"/>
      <c r="BF141" s="77"/>
      <c r="BG141" s="77"/>
      <c r="BH141" s="77"/>
      <c r="BI141" s="33"/>
      <c r="BJ141" s="33"/>
      <c r="BK141" s="77"/>
      <c r="BL141" s="47"/>
      <c r="BM141" s="168"/>
      <c r="BN141" s="33"/>
    </row>
    <row r="142" spans="1:66" ht="15.75" thickBot="1" x14ac:dyDescent="0.3">
      <c r="A142" s="34"/>
      <c r="B142" s="34"/>
      <c r="C142" s="957"/>
      <c r="D142" s="957"/>
      <c r="E142" s="957"/>
      <c r="F142" s="1209"/>
      <c r="G142" s="1210"/>
      <c r="H142" s="1117"/>
      <c r="I142" s="957"/>
      <c r="J142" s="957"/>
      <c r="K142" s="957"/>
      <c r="L142" s="961"/>
      <c r="M142" s="961"/>
      <c r="N142" s="961"/>
      <c r="O142" s="961"/>
      <c r="P142" s="961"/>
      <c r="Q142" s="72"/>
      <c r="R142" s="72"/>
      <c r="S142" s="72"/>
      <c r="T142" s="72"/>
      <c r="U142" s="384"/>
      <c r="V142" s="1105"/>
      <c r="W142" s="1198"/>
      <c r="X142" s="1199"/>
      <c r="Y142" s="1199"/>
      <c r="Z142" s="1199"/>
      <c r="AA142" s="1199"/>
      <c r="AB142" s="1199"/>
      <c r="AC142" s="1199"/>
      <c r="AD142" s="1199"/>
      <c r="AE142" s="1199"/>
      <c r="AF142" s="1200"/>
      <c r="AG142" s="1003"/>
      <c r="AH142" s="1003"/>
      <c r="AI142" s="1003"/>
      <c r="AJ142" s="1003"/>
      <c r="AK142" s="1003"/>
      <c r="AL142" s="1003"/>
      <c r="AM142" s="1003"/>
      <c r="AN142" s="1003"/>
      <c r="AO142" s="1003"/>
      <c r="AP142" s="1003"/>
      <c r="AQ142" s="1003"/>
      <c r="AR142" s="1003"/>
      <c r="AS142" s="138"/>
      <c r="AT142" s="33"/>
      <c r="AU142" s="33"/>
      <c r="AV142" s="33"/>
      <c r="AW142" s="33"/>
      <c r="AX142" s="33"/>
      <c r="AY142" s="47"/>
      <c r="AZ142" s="47"/>
      <c r="BA142" s="47"/>
      <c r="BB142" s="47"/>
      <c r="BC142" s="47"/>
      <c r="BD142" s="33"/>
      <c r="BE142" s="33"/>
      <c r="BF142" s="77"/>
      <c r="BG142" s="77"/>
      <c r="BH142" s="77"/>
      <c r="BI142" s="33"/>
      <c r="BJ142" s="33"/>
      <c r="BK142" s="77"/>
      <c r="BL142" s="47"/>
      <c r="BM142" s="47"/>
      <c r="BN142" s="33"/>
    </row>
    <row r="143" spans="1:66" ht="15.75" x14ac:dyDescent="0.25">
      <c r="A143" s="34"/>
      <c r="B143" s="34"/>
      <c r="C143" s="957"/>
      <c r="D143" s="957"/>
      <c r="E143" s="957"/>
      <c r="F143" s="1209"/>
      <c r="G143" s="1210"/>
      <c r="H143" s="957"/>
      <c r="I143" s="957"/>
      <c r="J143" s="957"/>
      <c r="K143" s="957"/>
      <c r="L143" s="961"/>
      <c r="M143" s="1124"/>
      <c r="N143" s="1124"/>
      <c r="O143" s="1124"/>
      <c r="P143" s="1124"/>
      <c r="Q143" s="152"/>
      <c r="R143" s="152"/>
      <c r="S143" s="152"/>
      <c r="T143" s="152"/>
      <c r="U143" s="199"/>
      <c r="V143" s="1125"/>
      <c r="W143" s="1198"/>
      <c r="X143" s="1199"/>
      <c r="Y143" s="1199"/>
      <c r="Z143" s="1199"/>
      <c r="AA143" s="1199"/>
      <c r="AB143" s="1199"/>
      <c r="AC143" s="1199"/>
      <c r="AD143" s="1199"/>
      <c r="AE143" s="1199"/>
      <c r="AF143" s="1200"/>
      <c r="AG143" s="1003"/>
      <c r="AH143" s="1003"/>
      <c r="AI143" s="1003"/>
      <c r="AJ143" s="1003"/>
      <c r="AK143" s="1003"/>
      <c r="AL143" s="1126"/>
      <c r="AM143" s="999"/>
      <c r="AN143" s="1213"/>
      <c r="AO143" s="1126"/>
      <c r="AP143" s="999"/>
      <c r="AQ143" s="1003"/>
      <c r="AR143" s="1003"/>
      <c r="AS143" s="138"/>
      <c r="AT143" s="33"/>
      <c r="AU143" s="47"/>
      <c r="AV143" s="47"/>
      <c r="AW143" s="47"/>
      <c r="AX143" s="121"/>
      <c r="AY143" s="47"/>
      <c r="AZ143" s="47"/>
      <c r="BA143" s="121"/>
      <c r="BB143" s="77"/>
      <c r="BC143" s="47"/>
      <c r="BD143" s="47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</row>
    <row r="144" spans="1:66" ht="16.5" thickBot="1" x14ac:dyDescent="0.3">
      <c r="A144" s="34"/>
      <c r="B144" s="34"/>
      <c r="C144" s="957"/>
      <c r="D144" s="957"/>
      <c r="E144" s="957"/>
      <c r="F144" s="1209"/>
      <c r="G144" s="1210"/>
      <c r="H144" s="957"/>
      <c r="I144" s="957"/>
      <c r="J144" s="957"/>
      <c r="K144" s="957"/>
      <c r="L144" s="961"/>
      <c r="M144" s="1124"/>
      <c r="N144" s="1124"/>
      <c r="O144" s="1124"/>
      <c r="P144" s="1124"/>
      <c r="Q144" s="152"/>
      <c r="R144" s="152"/>
      <c r="S144" s="152"/>
      <c r="T144" s="72"/>
      <c r="U144" s="384"/>
      <c r="V144" s="1105"/>
      <c r="W144" s="1201"/>
      <c r="X144" s="1202"/>
      <c r="Y144" s="1202"/>
      <c r="Z144" s="1202"/>
      <c r="AA144" s="1202"/>
      <c r="AB144" s="1202"/>
      <c r="AC144" s="1202"/>
      <c r="AD144" s="1202"/>
      <c r="AE144" s="1202"/>
      <c r="AF144" s="1203"/>
      <c r="AG144" s="1003"/>
      <c r="AH144" s="1127"/>
      <c r="AI144" s="1127"/>
      <c r="AJ144" s="1127"/>
      <c r="AK144" s="1127"/>
      <c r="AL144" s="1126"/>
      <c r="AM144" s="999"/>
      <c r="AN144" s="1214"/>
      <c r="AO144" s="1126"/>
      <c r="AP144" s="999"/>
      <c r="AQ144" s="1127"/>
      <c r="AR144" s="1127"/>
      <c r="AS144" s="138"/>
      <c r="AT144" s="33"/>
      <c r="AU144" s="115"/>
      <c r="AV144" s="33"/>
      <c r="AW144" s="33"/>
      <c r="AX144" s="33"/>
      <c r="AY144" s="47"/>
      <c r="AZ144" s="47"/>
      <c r="BA144" s="121"/>
      <c r="BB144" s="77"/>
      <c r="BC144" s="47"/>
      <c r="BD144" s="47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</row>
    <row r="145" spans="1:66" ht="18.75" x14ac:dyDescent="0.25">
      <c r="A145" s="34"/>
      <c r="B145" s="34"/>
      <c r="C145" s="957"/>
      <c r="D145" s="957"/>
      <c r="E145" s="957"/>
      <c r="F145" s="1209"/>
      <c r="G145" s="1210"/>
      <c r="H145" s="957"/>
      <c r="I145" s="957"/>
      <c r="J145" s="957"/>
      <c r="K145" s="957"/>
      <c r="L145" s="958"/>
      <c r="M145" s="1124"/>
      <c r="N145" s="1124"/>
      <c r="O145" s="1124"/>
      <c r="P145" s="1124"/>
      <c r="Q145" s="152"/>
      <c r="R145" s="152"/>
      <c r="S145" s="152"/>
      <c r="T145" s="72"/>
      <c r="U145" s="384"/>
      <c r="V145" s="384"/>
      <c r="W145" s="72"/>
      <c r="X145" s="72"/>
      <c r="Y145" s="72"/>
      <c r="Z145" s="72"/>
      <c r="AA145" s="161"/>
      <c r="AB145" s="72"/>
      <c r="AC145" s="152"/>
      <c r="AD145" s="161"/>
      <c r="AE145" s="161"/>
      <c r="AF145" s="161"/>
      <c r="AG145" s="161"/>
      <c r="AH145" s="363"/>
      <c r="AI145" s="363"/>
      <c r="AJ145" s="1121"/>
      <c r="AK145" s="1121"/>
      <c r="AL145" s="1121"/>
      <c r="AM145" s="1121"/>
      <c r="AN145" s="1121"/>
      <c r="AO145" s="1121"/>
      <c r="AP145" s="1121"/>
      <c r="AQ145" s="1121"/>
      <c r="AR145" s="363"/>
      <c r="AS145" s="138"/>
      <c r="AT145" s="33"/>
      <c r="AU145" s="115"/>
      <c r="AV145" s="47"/>
      <c r="AW145" s="47"/>
      <c r="AX145" s="33"/>
      <c r="AY145" s="33"/>
      <c r="AZ145" s="47"/>
      <c r="BA145" s="121"/>
      <c r="BB145" s="77"/>
      <c r="BC145" s="47"/>
      <c r="BD145" s="47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</row>
    <row r="146" spans="1:66" ht="16.5" thickBot="1" x14ac:dyDescent="0.3">
      <c r="A146" s="34"/>
      <c r="B146" s="34"/>
      <c r="C146" s="957"/>
      <c r="D146" s="957"/>
      <c r="E146" s="957"/>
      <c r="F146" s="1209"/>
      <c r="G146" s="1210"/>
      <c r="H146" s="957"/>
      <c r="I146" s="957"/>
      <c r="J146" s="957"/>
      <c r="K146" s="957"/>
      <c r="L146" s="1170"/>
      <c r="M146" s="1170"/>
      <c r="N146" s="1171"/>
      <c r="O146" s="1171"/>
      <c r="P146" s="1171"/>
      <c r="Q146" s="427"/>
      <c r="R146" s="427"/>
      <c r="S146" s="427"/>
      <c r="T146" s="427"/>
      <c r="U146" s="428"/>
      <c r="V146" s="428"/>
      <c r="W146" s="123"/>
      <c r="X146" s="366"/>
      <c r="Y146" s="123"/>
      <c r="Z146" s="33"/>
      <c r="AA146" s="33"/>
      <c r="AB146" s="33"/>
      <c r="AC146" s="33"/>
      <c r="AD146" s="33"/>
      <c r="AE146" s="33"/>
      <c r="AF146" s="161"/>
      <c r="AG146" s="161"/>
      <c r="AH146" s="429"/>
      <c r="AI146" s="429"/>
      <c r="AJ146" s="967"/>
      <c r="AK146" s="967"/>
      <c r="AL146" s="967"/>
      <c r="AM146" s="967"/>
      <c r="AN146" s="967"/>
      <c r="AO146" s="967"/>
      <c r="AP146" s="967"/>
      <c r="AQ146" s="967"/>
      <c r="AR146" s="429"/>
      <c r="AS146" s="138"/>
      <c r="AT146" s="33"/>
      <c r="AU146" s="47"/>
      <c r="AV146" s="47"/>
      <c r="AW146" s="47"/>
      <c r="AX146" s="33"/>
      <c r="AY146" s="33"/>
      <c r="AZ146" s="33"/>
      <c r="BA146" s="121"/>
      <c r="BB146" s="77"/>
      <c r="BC146" s="33"/>
      <c r="BD146" s="47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</row>
    <row r="147" spans="1:66" x14ac:dyDescent="0.25">
      <c r="A147" s="34"/>
      <c r="B147" s="34"/>
      <c r="C147" s="957"/>
      <c r="D147" s="957"/>
      <c r="E147" s="957"/>
      <c r="F147" s="1209"/>
      <c r="G147" s="1210"/>
      <c r="H147" s="957"/>
      <c r="I147" s="957"/>
      <c r="J147" s="957"/>
      <c r="K147" s="1166"/>
      <c r="L147" s="1172"/>
      <c r="M147" s="1172"/>
      <c r="N147" s="985"/>
      <c r="O147" s="985"/>
      <c r="P147" s="985"/>
      <c r="Q147" s="123"/>
      <c r="R147" s="123"/>
      <c r="S147" s="123"/>
      <c r="T147" s="431"/>
      <c r="U147" s="432"/>
      <c r="V147" s="432"/>
      <c r="W147" s="433"/>
      <c r="X147" s="430"/>
      <c r="Y147" s="434"/>
      <c r="Z147" s="435"/>
      <c r="AA147" s="435"/>
      <c r="AB147" s="435"/>
      <c r="AC147" s="436"/>
      <c r="AD147" s="436"/>
      <c r="AE147" s="436"/>
      <c r="AF147" s="436"/>
      <c r="AG147" s="436"/>
      <c r="AH147" s="72"/>
      <c r="AI147" s="113"/>
      <c r="AJ147" s="1215"/>
      <c r="AK147" s="1215"/>
      <c r="AL147" s="1215"/>
      <c r="AM147" s="1215"/>
      <c r="AN147" s="1215"/>
      <c r="AO147" s="1215"/>
      <c r="AP147" s="1215"/>
      <c r="AQ147" s="1215"/>
      <c r="AR147" s="437"/>
      <c r="AS147" s="437"/>
      <c r="AT147" s="437"/>
      <c r="AU147" s="437"/>
      <c r="AV147" s="33"/>
      <c r="AW147" s="33"/>
      <c r="AX147" s="33"/>
      <c r="AY147" s="437"/>
      <c r="AZ147" s="437"/>
      <c r="BA147" s="437"/>
      <c r="BB147" s="33"/>
      <c r="BC147" s="437"/>
      <c r="BD147" s="437"/>
      <c r="BE147" s="437"/>
      <c r="BF147" s="438"/>
      <c r="BG147" s="438"/>
      <c r="BH147" s="438"/>
      <c r="BI147" s="438"/>
      <c r="BJ147" s="438"/>
      <c r="BK147" s="438"/>
      <c r="BL147" s="33"/>
      <c r="BM147" s="33"/>
      <c r="BN147" s="33"/>
    </row>
    <row r="148" spans="1:66" x14ac:dyDescent="0.25">
      <c r="A148" s="34"/>
      <c r="B148" s="34"/>
      <c r="C148" s="957"/>
      <c r="D148" s="957"/>
      <c r="E148" s="957"/>
      <c r="F148" s="1209"/>
      <c r="G148" s="1210"/>
      <c r="H148" s="957"/>
      <c r="I148" s="957"/>
      <c r="J148" s="957"/>
      <c r="K148" s="1166"/>
      <c r="L148" s="1172"/>
      <c r="M148" s="1172"/>
      <c r="N148" s="985"/>
      <c r="O148" s="985"/>
      <c r="P148" s="961"/>
      <c r="Q148" s="72"/>
      <c r="R148" s="384"/>
      <c r="S148" s="384"/>
      <c r="T148" s="72"/>
      <c r="U148" s="72"/>
      <c r="V148" s="72"/>
      <c r="W148" s="72"/>
      <c r="X148" s="47"/>
      <c r="Y148" s="161"/>
      <c r="Z148" s="161"/>
      <c r="AA148" s="72"/>
      <c r="AB148" s="72"/>
      <c r="AC148" s="72"/>
      <c r="AD148" s="72"/>
      <c r="AE148" s="72"/>
      <c r="AF148" s="47"/>
      <c r="AG148" s="161"/>
      <c r="AH148" s="52"/>
      <c r="AI148" s="113"/>
      <c r="AJ148" s="437"/>
      <c r="AK148" s="437"/>
      <c r="AL148" s="439"/>
      <c r="AM148" s="439"/>
      <c r="AN148" s="439"/>
      <c r="AO148" s="439"/>
      <c r="AP148" s="439"/>
      <c r="AQ148" s="437"/>
      <c r="AR148" s="437"/>
      <c r="AS148" s="437"/>
      <c r="AT148" s="437"/>
      <c r="AU148" s="437"/>
      <c r="AV148" s="437"/>
      <c r="AW148" s="437"/>
      <c r="AX148" s="437"/>
      <c r="AY148" s="437"/>
      <c r="AZ148" s="437"/>
      <c r="BA148" s="437"/>
      <c r="BB148" s="437"/>
      <c r="BC148" s="437"/>
      <c r="BD148" s="437"/>
      <c r="BE148" s="437"/>
      <c r="BF148" s="437"/>
      <c r="BG148" s="437"/>
      <c r="BH148" s="437"/>
      <c r="BI148" s="437"/>
      <c r="BJ148" s="437"/>
      <c r="BK148" s="437"/>
      <c r="BL148" s="33"/>
      <c r="BM148" s="33"/>
      <c r="BN148" s="33"/>
    </row>
    <row r="149" spans="1:66" ht="15.75" thickBot="1" x14ac:dyDescent="0.3">
      <c r="A149" s="34"/>
      <c r="B149" s="34"/>
      <c r="C149" s="957"/>
      <c r="D149" s="957"/>
      <c r="E149" s="957"/>
      <c r="F149" s="1211"/>
      <c r="G149" s="1212"/>
      <c r="H149" s="1173"/>
      <c r="I149" s="1173"/>
      <c r="J149" s="1173"/>
      <c r="K149" s="1168"/>
      <c r="L149" s="1172"/>
      <c r="M149" s="1172"/>
      <c r="N149" s="985"/>
      <c r="O149" s="985"/>
      <c r="P149" s="961"/>
      <c r="Q149" s="72"/>
      <c r="R149" s="384"/>
      <c r="S149" s="384"/>
      <c r="T149" s="72"/>
      <c r="U149" s="72"/>
      <c r="V149" s="72"/>
      <c r="W149" s="72"/>
      <c r="X149" s="47"/>
      <c r="Y149" s="161"/>
      <c r="Z149" s="161"/>
      <c r="AA149" s="72"/>
      <c r="AB149" s="72"/>
      <c r="AC149" s="72"/>
      <c r="AD149" s="72"/>
      <c r="AE149" s="72"/>
      <c r="AF149" s="216"/>
      <c r="AG149" s="161"/>
      <c r="AH149" s="52"/>
      <c r="AI149" s="113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252"/>
      <c r="BH149" s="72"/>
      <c r="BI149" s="72"/>
      <c r="BJ149" s="72"/>
      <c r="BK149" s="72"/>
      <c r="BL149" s="33"/>
      <c r="BM149" s="33"/>
      <c r="BN149" s="33"/>
    </row>
    <row r="150" spans="1:66" x14ac:dyDescent="0.25">
      <c r="A150" s="34"/>
      <c r="B150" s="34"/>
      <c r="C150" s="52"/>
      <c r="D150" s="52"/>
      <c r="E150" s="52"/>
      <c r="F150" s="52"/>
      <c r="G150" s="52"/>
      <c r="H150" s="52"/>
      <c r="I150" s="52"/>
      <c r="J150" s="52"/>
      <c r="K150" s="53"/>
      <c r="L150" s="430"/>
      <c r="M150" s="430"/>
      <c r="N150" s="123"/>
      <c r="O150" s="123"/>
      <c r="P150" s="72"/>
      <c r="Q150" s="72"/>
      <c r="R150" s="384"/>
      <c r="S150" s="384"/>
      <c r="T150" s="72"/>
      <c r="U150" s="72"/>
      <c r="V150" s="72"/>
      <c r="W150" s="72"/>
      <c r="X150" s="47"/>
      <c r="Y150" s="161"/>
      <c r="Z150" s="161"/>
      <c r="AA150" s="47"/>
      <c r="AB150" s="152"/>
      <c r="AC150" s="47"/>
      <c r="AD150" s="152"/>
      <c r="AE150" s="152"/>
      <c r="AF150" s="216"/>
      <c r="AG150" s="161"/>
      <c r="AH150" s="52"/>
      <c r="AI150" s="113"/>
      <c r="AJ150" s="72"/>
      <c r="AK150" s="72"/>
      <c r="AL150" s="34"/>
      <c r="AM150" s="34"/>
      <c r="AN150" s="34"/>
      <c r="AO150" s="34"/>
      <c r="AP150" s="34"/>
      <c r="AQ150" s="34"/>
      <c r="AR150" s="233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33"/>
      <c r="BM150" s="33"/>
      <c r="BN150" s="33"/>
    </row>
    <row r="151" spans="1:66" ht="18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53"/>
      <c r="L151" s="430"/>
      <c r="M151" s="430"/>
      <c r="N151" s="430"/>
      <c r="O151" s="430"/>
      <c r="P151" s="430"/>
      <c r="Q151" s="430"/>
      <c r="R151" s="123"/>
      <c r="S151" s="34"/>
      <c r="T151" s="1188"/>
      <c r="U151" s="1188"/>
      <c r="V151" s="1188"/>
      <c r="W151" s="1188"/>
      <c r="X151" s="1188"/>
      <c r="Y151" s="1188"/>
      <c r="Z151" s="1188"/>
      <c r="AA151" s="1188"/>
      <c r="AB151" s="1188"/>
      <c r="AC151" s="1188"/>
      <c r="AD151" s="1188"/>
      <c r="AE151" s="1188"/>
      <c r="AF151" s="1188"/>
      <c r="AG151" s="1188"/>
      <c r="AH151" s="52"/>
      <c r="AI151" s="113"/>
      <c r="AJ151" s="52"/>
      <c r="AK151" s="52"/>
      <c r="AL151" s="254"/>
      <c r="AM151" s="257"/>
      <c r="AN151" s="257"/>
      <c r="AO151" s="254"/>
      <c r="AP151" s="155"/>
      <c r="AQ151" s="254"/>
      <c r="AR151" s="254"/>
      <c r="AS151" s="155"/>
      <c r="AT151" s="155"/>
      <c r="AU151" s="155"/>
      <c r="AV151" s="155"/>
      <c r="AW151" s="155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33"/>
      <c r="BM151" s="33"/>
      <c r="BN151" s="33"/>
    </row>
    <row r="152" spans="1:66" ht="18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53"/>
      <c r="L152" s="430"/>
      <c r="M152" s="430"/>
      <c r="N152" s="1172"/>
      <c r="O152" s="1172"/>
      <c r="P152" s="1172"/>
      <c r="Q152" s="1172"/>
      <c r="R152" s="985"/>
      <c r="S152" s="123"/>
      <c r="T152" s="1188"/>
      <c r="U152" s="1188"/>
      <c r="V152" s="1188"/>
      <c r="W152" s="1188"/>
      <c r="X152" s="1188"/>
      <c r="Y152" s="1188"/>
      <c r="Z152" s="1188"/>
      <c r="AA152" s="1188"/>
      <c r="AB152" s="1188"/>
      <c r="AC152" s="1188"/>
      <c r="AD152" s="1188"/>
      <c r="AE152" s="1188"/>
      <c r="AF152" s="1188"/>
      <c r="AG152" s="1188"/>
      <c r="AH152" s="52"/>
      <c r="AI152" s="113"/>
      <c r="AJ152" s="52"/>
      <c r="AK152" s="73"/>
      <c r="AL152" s="257"/>
      <c r="AM152" s="263"/>
      <c r="AN152" s="263"/>
      <c r="AO152" s="257"/>
      <c r="AP152" s="155"/>
      <c r="AQ152" s="314"/>
      <c r="AR152" s="257"/>
      <c r="AS152" s="155"/>
      <c r="AT152" s="155"/>
      <c r="AU152" s="155"/>
      <c r="AV152" s="155"/>
      <c r="AW152" s="155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33"/>
      <c r="BM152" s="33"/>
      <c r="BN152" s="33"/>
    </row>
    <row r="153" spans="1:66" ht="18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53"/>
      <c r="L153" s="430"/>
      <c r="M153" s="430"/>
      <c r="N153" s="1172"/>
      <c r="O153" s="1172"/>
      <c r="P153" s="1172"/>
      <c r="Q153" s="1172"/>
      <c r="R153" s="1172"/>
      <c r="S153" s="430"/>
      <c r="T153" s="1188"/>
      <c r="U153" s="1188"/>
      <c r="V153" s="1188"/>
      <c r="W153" s="1188"/>
      <c r="X153" s="1188"/>
      <c r="Y153" s="1188"/>
      <c r="Z153" s="1188"/>
      <c r="AA153" s="1188"/>
      <c r="AB153" s="1188"/>
      <c r="AC153" s="1188"/>
      <c r="AD153" s="1188"/>
      <c r="AE153" s="1188"/>
      <c r="AF153" s="1188"/>
      <c r="AG153" s="1188"/>
      <c r="AH153" s="52"/>
      <c r="AI153" s="113"/>
      <c r="AJ153" s="52"/>
      <c r="AK153" s="34"/>
      <c r="AL153" s="257"/>
      <c r="AM153" s="263"/>
      <c r="AN153" s="263"/>
      <c r="AO153" s="257"/>
      <c r="AP153" s="314"/>
      <c r="AQ153" s="257"/>
      <c r="AR153" s="263"/>
      <c r="AS153" s="155"/>
      <c r="AT153" s="155"/>
      <c r="AU153" s="155"/>
      <c r="AV153" s="155"/>
      <c r="AW153" s="155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33"/>
      <c r="BM153" s="33"/>
      <c r="BN153" s="33"/>
    </row>
    <row r="154" spans="1:66" ht="18.75" thickBot="1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53"/>
      <c r="L154" s="430"/>
      <c r="M154" s="430"/>
      <c r="N154" s="1172"/>
      <c r="O154" s="1172"/>
      <c r="P154" s="1172"/>
      <c r="Q154" s="1172"/>
      <c r="R154" s="1172"/>
      <c r="S154" s="430"/>
      <c r="T154" s="1188"/>
      <c r="U154" s="1188"/>
      <c r="V154" s="1188"/>
      <c r="W154" s="1188"/>
      <c r="X154" s="1188"/>
      <c r="Y154" s="1188"/>
      <c r="Z154" s="1188"/>
      <c r="AA154" s="1188"/>
      <c r="AB154" s="1188"/>
      <c r="AC154" s="1188"/>
      <c r="AD154" s="1188"/>
      <c r="AE154" s="1188"/>
      <c r="AF154" s="1188"/>
      <c r="AG154" s="1188"/>
      <c r="AH154" s="52"/>
      <c r="AI154" s="113"/>
      <c r="AJ154" s="52"/>
      <c r="AK154" s="34"/>
      <c r="AL154" s="254"/>
      <c r="AM154" s="257"/>
      <c r="AN154" s="257"/>
      <c r="AO154" s="254"/>
      <c r="AP154" s="314"/>
      <c r="AQ154" s="257"/>
      <c r="AR154" s="263"/>
      <c r="AS154" s="155"/>
      <c r="AT154" s="155"/>
      <c r="AU154" s="155"/>
      <c r="AV154" s="155"/>
      <c r="AW154" s="155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33"/>
      <c r="BM154" s="33"/>
      <c r="BN154" s="33"/>
    </row>
    <row r="155" spans="1:66" ht="18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53"/>
      <c r="L155" s="164"/>
      <c r="M155" s="434"/>
      <c r="N155" s="1174"/>
      <c r="O155" s="1174"/>
      <c r="P155" s="1174"/>
      <c r="Q155" s="1175"/>
      <c r="R155" s="1172"/>
      <c r="S155" s="430"/>
      <c r="T155" s="1188"/>
      <c r="U155" s="1188"/>
      <c r="V155" s="1188"/>
      <c r="W155" s="1188"/>
      <c r="X155" s="1188"/>
      <c r="Y155" s="1188"/>
      <c r="Z155" s="1188"/>
      <c r="AA155" s="1188"/>
      <c r="AB155" s="1188"/>
      <c r="AC155" s="1188"/>
      <c r="AD155" s="1188"/>
      <c r="AE155" s="1188"/>
      <c r="AF155" s="1188"/>
      <c r="AG155" s="1188"/>
      <c r="AH155" s="52"/>
      <c r="AI155" s="113"/>
      <c r="AJ155" s="52"/>
      <c r="AK155" s="34"/>
      <c r="AL155" s="254"/>
      <c r="AM155" s="254"/>
      <c r="AN155" s="254"/>
      <c r="AO155" s="254"/>
      <c r="AP155" s="314"/>
      <c r="AQ155" s="257"/>
      <c r="AR155" s="263"/>
      <c r="AS155" s="155"/>
      <c r="AT155" s="155"/>
      <c r="AU155" s="155"/>
      <c r="AV155" s="155"/>
      <c r="AW155" s="155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33"/>
      <c r="BM155" s="33"/>
      <c r="BN155" s="33"/>
    </row>
    <row r="156" spans="1:66" ht="15.75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53"/>
      <c r="L156" s="164"/>
      <c r="M156" s="430"/>
      <c r="N156" s="1172"/>
      <c r="O156" s="1172"/>
      <c r="P156" s="1172"/>
      <c r="Q156" s="1176"/>
      <c r="R156" s="1172"/>
      <c r="S156" s="430"/>
      <c r="T156" s="1188"/>
      <c r="U156" s="1188"/>
      <c r="V156" s="1188"/>
      <c r="W156" s="1188"/>
      <c r="X156" s="1188"/>
      <c r="Y156" s="1188"/>
      <c r="Z156" s="1188"/>
      <c r="AA156" s="1188"/>
      <c r="AB156" s="1188"/>
      <c r="AC156" s="1188"/>
      <c r="AD156" s="1188"/>
      <c r="AE156" s="1188"/>
      <c r="AF156" s="1188"/>
      <c r="AG156" s="1188"/>
      <c r="AH156" s="52"/>
      <c r="AI156" s="113"/>
      <c r="AJ156" s="52"/>
      <c r="AK156" s="34"/>
      <c r="AL156" s="254"/>
      <c r="AM156" s="254"/>
      <c r="AN156" s="155"/>
      <c r="AO156" s="155"/>
      <c r="AP156" s="314"/>
      <c r="AQ156" s="263"/>
      <c r="AR156" s="263"/>
      <c r="AS156" s="155"/>
      <c r="AT156" s="155"/>
      <c r="AU156" s="155"/>
      <c r="AV156" s="155"/>
      <c r="AW156" s="155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33"/>
      <c r="BM156" s="33"/>
      <c r="BN156" s="33"/>
    </row>
    <row r="157" spans="1:66" ht="18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53"/>
      <c r="L157" s="164"/>
      <c r="M157" s="430"/>
      <c r="N157" s="1172"/>
      <c r="O157" s="1172"/>
      <c r="P157" s="1172"/>
      <c r="Q157" s="1176"/>
      <c r="R157" s="1172"/>
      <c r="S157" s="430"/>
      <c r="T157" s="1188"/>
      <c r="U157" s="1188"/>
      <c r="V157" s="1188"/>
      <c r="W157" s="1188"/>
      <c r="X157" s="1188"/>
      <c r="Y157" s="1188"/>
      <c r="Z157" s="1188"/>
      <c r="AA157" s="1188"/>
      <c r="AB157" s="1188"/>
      <c r="AC157" s="1188"/>
      <c r="AD157" s="1188"/>
      <c r="AE157" s="1188"/>
      <c r="AF157" s="1188"/>
      <c r="AG157" s="1188"/>
      <c r="AH157" s="52"/>
      <c r="AI157" s="113"/>
      <c r="AJ157" s="52"/>
      <c r="AK157" s="34"/>
      <c r="AL157" s="254"/>
      <c r="AM157" s="254"/>
      <c r="AN157" s="254"/>
      <c r="AO157" s="155"/>
      <c r="AP157" s="254"/>
      <c r="AQ157" s="314"/>
      <c r="AR157" s="257"/>
      <c r="AS157" s="155"/>
      <c r="AT157" s="155"/>
      <c r="AU157" s="155"/>
      <c r="AV157" s="155"/>
      <c r="AW157" s="155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33"/>
      <c r="BM157" s="33"/>
      <c r="BN157" s="33"/>
    </row>
    <row r="158" spans="1:66" ht="15.75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53"/>
      <c r="L158" s="164"/>
      <c r="M158" s="430"/>
      <c r="N158" s="1172"/>
      <c r="O158" s="1172"/>
      <c r="P158" s="1172"/>
      <c r="Q158" s="1177"/>
      <c r="R158" s="1172"/>
      <c r="S158" s="430"/>
      <c r="T158" s="1188"/>
      <c r="U158" s="1188"/>
      <c r="V158" s="1188"/>
      <c r="W158" s="1188"/>
      <c r="X158" s="1188"/>
      <c r="Y158" s="1188"/>
      <c r="Z158" s="1188"/>
      <c r="AA158" s="1188"/>
      <c r="AB158" s="1188"/>
      <c r="AC158" s="1188"/>
      <c r="AD158" s="1188"/>
      <c r="AE158" s="1188"/>
      <c r="AF158" s="1188"/>
      <c r="AG158" s="1188"/>
      <c r="AH158" s="52"/>
      <c r="AI158" s="113"/>
      <c r="AJ158" s="52"/>
      <c r="AK158" s="52"/>
      <c r="AL158" s="254"/>
      <c r="AM158" s="254"/>
      <c r="AN158" s="314"/>
      <c r="AO158" s="314"/>
      <c r="AP158" s="254"/>
      <c r="AQ158" s="254"/>
      <c r="AR158" s="155"/>
      <c r="AS158" s="155"/>
      <c r="AT158" s="155"/>
      <c r="AU158" s="155"/>
      <c r="AV158" s="155"/>
      <c r="AW158" s="155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33"/>
      <c r="BM158" s="33"/>
      <c r="BN158" s="33"/>
    </row>
    <row r="159" spans="1:66" ht="18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53"/>
      <c r="L159" s="164"/>
      <c r="M159" s="430"/>
      <c r="N159" s="1172"/>
      <c r="O159" s="1172"/>
      <c r="P159" s="1172"/>
      <c r="Q159" s="1176"/>
      <c r="R159" s="957"/>
      <c r="S159" s="52"/>
      <c r="T159" s="1188"/>
      <c r="U159" s="1188"/>
      <c r="V159" s="1188"/>
      <c r="W159" s="1188"/>
      <c r="X159" s="1188"/>
      <c r="Y159" s="1188"/>
      <c r="Z159" s="1188"/>
      <c r="AA159" s="1188"/>
      <c r="AB159" s="1188"/>
      <c r="AC159" s="1188"/>
      <c r="AD159" s="1188"/>
      <c r="AE159" s="1188"/>
      <c r="AF159" s="1188"/>
      <c r="AG159" s="1188"/>
      <c r="AH159" s="52"/>
      <c r="AI159" s="113"/>
      <c r="AJ159" s="34"/>
      <c r="AK159" s="412"/>
      <c r="AL159" s="254"/>
      <c r="AM159" s="314"/>
      <c r="AN159" s="257"/>
      <c r="AO159" s="257"/>
      <c r="AP159" s="314"/>
      <c r="AQ159" s="254"/>
      <c r="AR159" s="155"/>
      <c r="AS159" s="254"/>
      <c r="AT159" s="254"/>
      <c r="AU159" s="254"/>
      <c r="AV159" s="254"/>
      <c r="AW159" s="25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3"/>
      <c r="BM159" s="33"/>
      <c r="BN159" s="33"/>
    </row>
    <row r="160" spans="1:66" ht="18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53"/>
      <c r="L160" s="164"/>
      <c r="M160" s="430"/>
      <c r="N160" s="1172"/>
      <c r="O160" s="1172"/>
      <c r="P160" s="1172"/>
      <c r="Q160" s="1176"/>
      <c r="R160" s="957"/>
      <c r="S160" s="52"/>
      <c r="T160" s="1188"/>
      <c r="U160" s="1188"/>
      <c r="V160" s="1188"/>
      <c r="W160" s="1188"/>
      <c r="X160" s="1188"/>
      <c r="Y160" s="1188"/>
      <c r="Z160" s="1188"/>
      <c r="AA160" s="1188"/>
      <c r="AB160" s="1188"/>
      <c r="AC160" s="1188"/>
      <c r="AD160" s="1188"/>
      <c r="AE160" s="1188"/>
      <c r="AF160" s="1188"/>
      <c r="AG160" s="1188"/>
      <c r="AH160" s="52"/>
      <c r="AI160" s="113"/>
      <c r="AJ160" s="34"/>
      <c r="AK160" s="34"/>
      <c r="AL160" s="314"/>
      <c r="AM160" s="257"/>
      <c r="AN160" s="263"/>
      <c r="AO160" s="263"/>
      <c r="AP160" s="257"/>
      <c r="AQ160" s="314"/>
      <c r="AR160" s="155"/>
      <c r="AS160" s="254"/>
      <c r="AT160" s="254"/>
      <c r="AU160" s="254"/>
      <c r="AV160" s="254"/>
      <c r="AW160" s="25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3"/>
      <c r="BM160" s="33"/>
      <c r="BN160" s="33"/>
    </row>
    <row r="161" spans="1:66" ht="18.75" thickBot="1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53"/>
      <c r="L161" s="443"/>
      <c r="M161" s="444"/>
      <c r="N161" s="1178"/>
      <c r="O161" s="1170"/>
      <c r="P161" s="1179"/>
      <c r="Q161" s="1180"/>
      <c r="R161" s="957"/>
      <c r="S161" s="52"/>
      <c r="T161" s="1188"/>
      <c r="U161" s="1188"/>
      <c r="V161" s="1188"/>
      <c r="W161" s="1188"/>
      <c r="X161" s="1188"/>
      <c r="Y161" s="1188"/>
      <c r="Z161" s="1188"/>
      <c r="AA161" s="1188"/>
      <c r="AB161" s="1188"/>
      <c r="AC161" s="1188"/>
      <c r="AD161" s="1188"/>
      <c r="AE161" s="1188"/>
      <c r="AF161" s="1188"/>
      <c r="AG161" s="1188"/>
      <c r="AH161" s="72"/>
      <c r="AI161" s="113"/>
      <c r="AJ161" s="34"/>
      <c r="AK161" s="34"/>
      <c r="AL161" s="314"/>
      <c r="AM161" s="257"/>
      <c r="AN161" s="263"/>
      <c r="AO161" s="263"/>
      <c r="AP161" s="257"/>
      <c r="AQ161" s="314"/>
      <c r="AR161" s="155"/>
      <c r="AS161" s="254"/>
      <c r="AT161" s="254"/>
      <c r="AU161" s="254"/>
      <c r="AV161" s="254"/>
      <c r="AW161" s="25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3"/>
      <c r="BM161" s="33"/>
      <c r="BN161" s="33"/>
    </row>
    <row r="162" spans="1:66" ht="18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53"/>
      <c r="L162" s="164"/>
      <c r="M162" s="52"/>
      <c r="N162" s="957"/>
      <c r="O162" s="957"/>
      <c r="P162" s="957"/>
      <c r="Q162" s="957"/>
      <c r="R162" s="957"/>
      <c r="S162" s="52"/>
      <c r="T162" s="1188"/>
      <c r="U162" s="1188"/>
      <c r="V162" s="1188"/>
      <c r="W162" s="1188"/>
      <c r="X162" s="1188"/>
      <c r="Y162" s="1188"/>
      <c r="Z162" s="1188"/>
      <c r="AA162" s="1188"/>
      <c r="AB162" s="1188"/>
      <c r="AC162" s="1188"/>
      <c r="AD162" s="1188"/>
      <c r="AE162" s="1188"/>
      <c r="AF162" s="1188"/>
      <c r="AG162" s="1188"/>
      <c r="AH162" s="72"/>
      <c r="AI162" s="113"/>
      <c r="AJ162" s="34"/>
      <c r="AK162" s="34"/>
      <c r="AL162" s="254"/>
      <c r="AM162" s="314"/>
      <c r="AN162" s="257"/>
      <c r="AO162" s="257"/>
      <c r="AP162" s="314"/>
      <c r="AQ162" s="254"/>
      <c r="AR162" s="155"/>
      <c r="AS162" s="254"/>
      <c r="AT162" s="254"/>
      <c r="AU162" s="254"/>
      <c r="AV162" s="254"/>
      <c r="AW162" s="25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3"/>
      <c r="BM162" s="33"/>
      <c r="BN162" s="33"/>
    </row>
    <row r="163" spans="1:66" ht="15.75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53"/>
      <c r="L163" s="430"/>
      <c r="M163" s="430"/>
      <c r="N163" s="1172"/>
      <c r="O163" s="1172"/>
      <c r="P163" s="1172"/>
      <c r="Q163" s="1172"/>
      <c r="R163" s="957"/>
      <c r="S163" s="52"/>
      <c r="T163" s="1188"/>
      <c r="U163" s="1188"/>
      <c r="V163" s="1188"/>
      <c r="W163" s="1188"/>
      <c r="X163" s="1188"/>
      <c r="Y163" s="1188"/>
      <c r="Z163" s="1188"/>
      <c r="AA163" s="1188"/>
      <c r="AB163" s="1188"/>
      <c r="AC163" s="1188"/>
      <c r="AD163" s="1188"/>
      <c r="AE163" s="1188"/>
      <c r="AF163" s="1188"/>
      <c r="AG163" s="1188"/>
      <c r="AH163" s="72"/>
      <c r="AI163" s="113"/>
      <c r="AJ163" s="34"/>
      <c r="AK163" s="34"/>
      <c r="AL163" s="254"/>
      <c r="AM163" s="254"/>
      <c r="AN163" s="314"/>
      <c r="AO163" s="314"/>
      <c r="AP163" s="254"/>
      <c r="AQ163" s="254"/>
      <c r="AR163" s="254"/>
      <c r="AS163" s="254"/>
      <c r="AT163" s="254"/>
      <c r="AU163" s="254"/>
      <c r="AV163" s="254"/>
      <c r="AW163" s="254"/>
      <c r="AX163" s="34"/>
      <c r="AY163" s="52"/>
      <c r="AZ163" s="52"/>
      <c r="BA163" s="52"/>
      <c r="BB163" s="52"/>
      <c r="BC163" s="52"/>
      <c r="BD163" s="52"/>
      <c r="BE163" s="52"/>
      <c r="BF163" s="34"/>
      <c r="BG163" s="34"/>
      <c r="BH163" s="34"/>
      <c r="BI163" s="34"/>
      <c r="BJ163" s="34"/>
      <c r="BK163" s="34"/>
      <c r="BL163" s="33"/>
      <c r="BM163" s="33"/>
      <c r="BN163" s="33"/>
    </row>
    <row r="164" spans="1:66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53"/>
      <c r="L164" s="430"/>
      <c r="M164" s="430"/>
      <c r="N164" s="1172"/>
      <c r="O164" s="1172"/>
      <c r="P164" s="1172"/>
      <c r="Q164" s="1172"/>
      <c r="R164" s="957"/>
      <c r="S164" s="52"/>
      <c r="T164" s="1188"/>
      <c r="U164" s="1188"/>
      <c r="V164" s="1188"/>
      <c r="W164" s="1188"/>
      <c r="X164" s="1188"/>
      <c r="Y164" s="1188"/>
      <c r="Z164" s="1188"/>
      <c r="AA164" s="1188"/>
      <c r="AB164" s="1188"/>
      <c r="AC164" s="1188"/>
      <c r="AD164" s="1188"/>
      <c r="AE164" s="1188"/>
      <c r="AF164" s="1188"/>
      <c r="AG164" s="1188"/>
      <c r="AH164" s="72"/>
      <c r="AI164" s="113"/>
      <c r="AJ164" s="34"/>
      <c r="AK164" s="34"/>
      <c r="AL164" s="254"/>
      <c r="AM164" s="254"/>
      <c r="AN164" s="254"/>
      <c r="AO164" s="336"/>
      <c r="AP164" s="336"/>
      <c r="AQ164" s="254"/>
      <c r="AR164" s="254"/>
      <c r="AS164" s="254"/>
      <c r="AT164" s="254"/>
      <c r="AU164" s="254"/>
      <c r="AV164" s="254"/>
      <c r="AW164" s="254"/>
      <c r="AX164" s="34"/>
      <c r="AY164" s="52"/>
      <c r="AZ164" s="52"/>
      <c r="BA164" s="52"/>
      <c r="BB164" s="52"/>
      <c r="BC164" s="52"/>
      <c r="BD164" s="52"/>
      <c r="BE164" s="52"/>
      <c r="BF164" s="34"/>
      <c r="BG164" s="34"/>
      <c r="BH164" s="34"/>
      <c r="BI164" s="34"/>
      <c r="BJ164" s="34"/>
      <c r="BK164" s="34"/>
      <c r="BL164" s="33"/>
      <c r="BM164" s="33"/>
      <c r="BN164" s="33"/>
    </row>
    <row r="165" spans="1:66" x14ac:dyDescent="0.25">
      <c r="A165" s="34"/>
      <c r="B165" s="254"/>
      <c r="C165" s="254"/>
      <c r="D165" s="263"/>
      <c r="E165" s="263"/>
      <c r="F165" s="254"/>
      <c r="G165" s="254"/>
      <c r="H165" s="34"/>
      <c r="I165" s="34"/>
      <c r="J165" s="34"/>
      <c r="K165" s="53"/>
      <c r="L165" s="430"/>
      <c r="M165" s="430"/>
      <c r="N165" s="1172"/>
      <c r="O165" s="1172"/>
      <c r="P165" s="1172"/>
      <c r="Q165" s="1172"/>
      <c r="R165" s="957"/>
      <c r="S165" s="52"/>
      <c r="T165" s="1188"/>
      <c r="U165" s="1188"/>
      <c r="V165" s="1188"/>
      <c r="W165" s="1188"/>
      <c r="X165" s="1188"/>
      <c r="Y165" s="1188"/>
      <c r="Z165" s="1188"/>
      <c r="AA165" s="1188"/>
      <c r="AB165" s="1188"/>
      <c r="AC165" s="1188"/>
      <c r="AD165" s="1188"/>
      <c r="AE165" s="1188"/>
      <c r="AF165" s="1188"/>
      <c r="AG165" s="1188"/>
      <c r="AH165" s="72"/>
      <c r="AI165" s="113"/>
      <c r="AJ165" s="34"/>
      <c r="AK165" s="34"/>
      <c r="AL165" s="336"/>
      <c r="AM165" s="336"/>
      <c r="AN165" s="336"/>
      <c r="AO165" s="336"/>
      <c r="AP165" s="336"/>
      <c r="AQ165" s="254"/>
      <c r="AR165" s="254"/>
      <c r="AS165" s="254"/>
      <c r="AT165" s="254"/>
      <c r="AU165" s="254"/>
      <c r="AV165" s="254"/>
      <c r="AW165" s="254"/>
      <c r="AX165" s="34"/>
      <c r="AY165" s="52"/>
      <c r="AZ165" s="52"/>
      <c r="BA165" s="52"/>
      <c r="BB165" s="52"/>
      <c r="BC165" s="52"/>
      <c r="BD165" s="52"/>
      <c r="BE165" s="52"/>
      <c r="BF165" s="34"/>
      <c r="BG165" s="34"/>
      <c r="BH165" s="34"/>
      <c r="BI165" s="34"/>
      <c r="BJ165" s="34"/>
      <c r="BK165" s="34"/>
      <c r="BL165" s="33"/>
      <c r="BM165" s="33"/>
      <c r="BN165" s="33"/>
    </row>
    <row r="166" spans="1:66" ht="15.75" x14ac:dyDescent="0.25">
      <c r="A166" s="34"/>
      <c r="B166" s="254"/>
      <c r="C166" s="314"/>
      <c r="D166" s="263"/>
      <c r="E166" s="263"/>
      <c r="F166" s="314"/>
      <c r="G166" s="254"/>
      <c r="H166" s="34"/>
      <c r="I166" s="34"/>
      <c r="J166" s="34"/>
      <c r="K166" s="53"/>
      <c r="L166" s="430"/>
      <c r="M166" s="430"/>
      <c r="N166" s="1172"/>
      <c r="O166" s="1172"/>
      <c r="P166" s="1172"/>
      <c r="Q166" s="1172"/>
      <c r="R166" s="1181"/>
      <c r="S166" s="447"/>
      <c r="T166" s="1188"/>
      <c r="U166" s="1188"/>
      <c r="V166" s="1188"/>
      <c r="W166" s="1188"/>
      <c r="X166" s="1188"/>
      <c r="Y166" s="1188"/>
      <c r="Z166" s="1188"/>
      <c r="AA166" s="1188"/>
      <c r="AB166" s="1188"/>
      <c r="AC166" s="1188"/>
      <c r="AD166" s="1188"/>
      <c r="AE166" s="1188"/>
      <c r="AF166" s="1188"/>
      <c r="AG166" s="1188"/>
      <c r="AH166" s="72"/>
      <c r="AI166" s="113"/>
      <c r="AJ166" s="34"/>
      <c r="AK166" s="34"/>
      <c r="AL166" s="336"/>
      <c r="AM166" s="336"/>
      <c r="AN166" s="336"/>
      <c r="AO166" s="336"/>
      <c r="AP166" s="336"/>
      <c r="AQ166" s="254"/>
      <c r="AR166" s="254"/>
      <c r="AS166" s="254"/>
      <c r="AT166" s="254"/>
      <c r="AU166" s="254"/>
      <c r="AV166" s="254"/>
      <c r="AW166" s="254"/>
      <c r="AX166" s="34"/>
      <c r="AY166" s="52"/>
      <c r="AZ166" s="52"/>
      <c r="BA166" s="52"/>
      <c r="BB166" s="52"/>
      <c r="BC166" s="52"/>
      <c r="BD166" s="52"/>
      <c r="BE166" s="52"/>
      <c r="BF166" s="34"/>
      <c r="BG166" s="34"/>
      <c r="BH166" s="34"/>
      <c r="BI166" s="34"/>
      <c r="BJ166" s="34"/>
      <c r="BK166" s="34"/>
      <c r="BL166" s="33"/>
      <c r="BM166" s="33"/>
      <c r="BN166" s="33"/>
    </row>
    <row r="167" spans="1:66" ht="18" x14ac:dyDescent="0.25">
      <c r="A167" s="34"/>
      <c r="B167" s="254"/>
      <c r="C167" s="269"/>
      <c r="D167" s="263"/>
      <c r="E167" s="263"/>
      <c r="F167" s="263"/>
      <c r="G167" s="314"/>
      <c r="H167" s="34"/>
      <c r="I167" s="34"/>
      <c r="J167" s="34"/>
      <c r="K167" s="53"/>
      <c r="L167" s="430"/>
      <c r="M167" s="430"/>
      <c r="N167" s="1172"/>
      <c r="O167" s="1172"/>
      <c r="P167" s="1172"/>
      <c r="Q167" s="985"/>
      <c r="R167" s="985"/>
      <c r="S167" s="123"/>
      <c r="T167" s="1188"/>
      <c r="U167" s="1188"/>
      <c r="V167" s="1188"/>
      <c r="W167" s="1188"/>
      <c r="X167" s="1188"/>
      <c r="Y167" s="1188"/>
      <c r="Z167" s="1188"/>
      <c r="AA167" s="1188"/>
      <c r="AB167" s="1188"/>
      <c r="AC167" s="1188"/>
      <c r="AD167" s="1188"/>
      <c r="AE167" s="1188"/>
      <c r="AF167" s="1188"/>
      <c r="AG167" s="1188"/>
      <c r="AH167" s="72"/>
      <c r="AI167" s="113"/>
      <c r="AJ167" s="34"/>
      <c r="AK167" s="34"/>
      <c r="AL167" s="336"/>
      <c r="AM167" s="336"/>
      <c r="AN167" s="336"/>
      <c r="AO167" s="336"/>
      <c r="AP167" s="336"/>
      <c r="AQ167" s="254"/>
      <c r="AR167" s="254"/>
      <c r="AS167" s="254"/>
      <c r="AT167" s="254"/>
      <c r="AU167" s="254"/>
      <c r="AV167" s="254"/>
      <c r="AW167" s="254"/>
      <c r="AX167" s="34"/>
      <c r="AY167" s="52"/>
      <c r="AZ167" s="52"/>
      <c r="BA167" s="52"/>
      <c r="BB167" s="52"/>
      <c r="BC167" s="52"/>
      <c r="BD167" s="52"/>
      <c r="BE167" s="52"/>
      <c r="BF167" s="34"/>
      <c r="BG167" s="34"/>
      <c r="BH167" s="34"/>
      <c r="BI167" s="34"/>
      <c r="BJ167" s="34"/>
      <c r="BK167" s="34"/>
      <c r="BL167" s="33"/>
      <c r="BM167" s="33"/>
      <c r="BN167" s="33"/>
    </row>
    <row r="168" spans="1:66" ht="18" x14ac:dyDescent="0.25">
      <c r="A168" s="34"/>
      <c r="B168" s="254"/>
      <c r="C168" s="269"/>
      <c r="D168" s="263"/>
      <c r="E168" s="263"/>
      <c r="F168" s="269"/>
      <c r="G168" s="314"/>
      <c r="H168" s="34"/>
      <c r="I168" s="34"/>
      <c r="J168" s="34"/>
      <c r="K168" s="53"/>
      <c r="L168" s="430"/>
      <c r="M168" s="430"/>
      <c r="N168" s="1172"/>
      <c r="O168" s="1172"/>
      <c r="P168" s="1172"/>
      <c r="Q168" s="1172"/>
      <c r="R168" s="1172"/>
      <c r="S168" s="430"/>
      <c r="T168" s="1188"/>
      <c r="U168" s="1188"/>
      <c r="V168" s="1188"/>
      <c r="W168" s="1188"/>
      <c r="X168" s="1188"/>
      <c r="Y168" s="1188"/>
      <c r="Z168" s="1188"/>
      <c r="AA168" s="1188"/>
      <c r="AB168" s="1188"/>
      <c r="AC168" s="1188"/>
      <c r="AD168" s="1188"/>
      <c r="AE168" s="1188"/>
      <c r="AF168" s="1188"/>
      <c r="AG168" s="1188"/>
      <c r="AH168" s="34"/>
      <c r="AI168" s="113"/>
      <c r="AJ168" s="34"/>
      <c r="AK168" s="34"/>
      <c r="AL168" s="336"/>
      <c r="AM168" s="336"/>
      <c r="AN168" s="336"/>
      <c r="AO168" s="336"/>
      <c r="AP168" s="336"/>
      <c r="AQ168" s="254"/>
      <c r="AR168" s="254"/>
      <c r="AS168" s="254"/>
      <c r="AT168" s="254"/>
      <c r="AU168" s="254"/>
      <c r="AV168" s="254"/>
      <c r="AW168" s="254"/>
      <c r="AX168" s="34"/>
      <c r="AY168" s="52"/>
      <c r="AZ168" s="52"/>
      <c r="BA168" s="52"/>
      <c r="BB168" s="52"/>
      <c r="BC168" s="52"/>
      <c r="BD168" s="52"/>
      <c r="BE168" s="52"/>
      <c r="BF168" s="34"/>
      <c r="BG168" s="34"/>
      <c r="BH168" s="34"/>
      <c r="BI168" s="34"/>
      <c r="BJ168" s="34"/>
      <c r="BK168" s="34"/>
      <c r="BL168" s="33"/>
      <c r="BM168" s="33"/>
      <c r="BN168" s="33"/>
    </row>
    <row r="169" spans="1:66" ht="18" x14ac:dyDescent="0.25">
      <c r="A169" s="34"/>
      <c r="B169" s="254"/>
      <c r="C169" s="269"/>
      <c r="D169" s="263"/>
      <c r="E169" s="263"/>
      <c r="F169" s="269"/>
      <c r="G169" s="314"/>
      <c r="H169" s="34"/>
      <c r="I169" s="34"/>
      <c r="J169" s="34"/>
      <c r="K169" s="53"/>
      <c r="L169" s="430"/>
      <c r="M169" s="430"/>
      <c r="N169" s="1172"/>
      <c r="O169" s="1172"/>
      <c r="P169" s="1172"/>
      <c r="Q169" s="1172"/>
      <c r="R169" s="1172"/>
      <c r="S169" s="430"/>
      <c r="T169" s="430"/>
      <c r="U169" s="430"/>
      <c r="V169" s="448"/>
      <c r="W169" s="449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113"/>
      <c r="AJ169" s="34"/>
      <c r="AK169" s="34"/>
      <c r="AL169" s="336"/>
      <c r="AM169" s="336"/>
      <c r="AN169" s="336"/>
      <c r="AO169" s="336"/>
      <c r="AP169" s="336"/>
      <c r="AQ169" s="254"/>
      <c r="AR169" s="254"/>
      <c r="AS169" s="254"/>
      <c r="AT169" s="254"/>
      <c r="AU169" s="254"/>
      <c r="AV169" s="254"/>
      <c r="AW169" s="254"/>
      <c r="AX169" s="34"/>
      <c r="AY169" s="52"/>
      <c r="AZ169" s="52"/>
      <c r="BA169" s="52"/>
      <c r="BB169" s="52"/>
      <c r="BC169" s="52"/>
      <c r="BD169" s="52"/>
      <c r="BE169" s="52"/>
      <c r="BF169" s="34"/>
      <c r="BG169" s="34"/>
      <c r="BH169" s="34"/>
      <c r="BI169" s="34"/>
      <c r="BJ169" s="34"/>
      <c r="BK169" s="34"/>
      <c r="BL169" s="33"/>
      <c r="BM169" s="33"/>
      <c r="BN169" s="33"/>
    </row>
    <row r="170" spans="1:66" ht="18.75" thickBot="1" x14ac:dyDescent="0.3">
      <c r="A170" s="34"/>
      <c r="B170" s="254"/>
      <c r="C170" s="269"/>
      <c r="D170" s="263"/>
      <c r="E170" s="263"/>
      <c r="F170" s="269"/>
      <c r="G170" s="314"/>
      <c r="H170" s="34"/>
      <c r="I170" s="34"/>
      <c r="J170" s="34"/>
      <c r="K170" s="53"/>
      <c r="L170" s="430"/>
      <c r="M170" s="430"/>
      <c r="N170" s="1172"/>
      <c r="O170" s="1172"/>
      <c r="P170" s="1172"/>
      <c r="Q170" s="1172"/>
      <c r="R170" s="1172"/>
      <c r="S170" s="430"/>
      <c r="T170" s="430"/>
      <c r="U170" s="430"/>
      <c r="V170" s="430"/>
      <c r="W170" s="430"/>
      <c r="X170" s="430"/>
      <c r="Y170" s="430"/>
      <c r="Z170" s="430"/>
      <c r="AA170" s="430"/>
      <c r="AB170" s="34"/>
      <c r="AC170" s="34"/>
      <c r="AD170" s="34"/>
      <c r="AE170" s="34"/>
      <c r="AF170" s="34"/>
      <c r="AG170" s="34"/>
      <c r="AH170" s="34"/>
      <c r="AI170" s="113"/>
      <c r="AJ170" s="34"/>
      <c r="AK170" s="34"/>
      <c r="AL170" s="336"/>
      <c r="AM170" s="336"/>
      <c r="AN170" s="336"/>
      <c r="AO170" s="336"/>
      <c r="AP170" s="336"/>
      <c r="AQ170" s="254"/>
      <c r="AR170" s="254"/>
      <c r="AS170" s="254"/>
      <c r="AT170" s="254"/>
      <c r="AU170" s="254"/>
      <c r="AV170" s="254"/>
      <c r="AW170" s="254"/>
      <c r="AX170" s="34"/>
      <c r="AY170" s="52"/>
      <c r="AZ170" s="52"/>
      <c r="BA170" s="52"/>
      <c r="BB170" s="52"/>
      <c r="BC170" s="52"/>
      <c r="BD170" s="52"/>
      <c r="BE170" s="52"/>
      <c r="BF170" s="34"/>
      <c r="BG170" s="34"/>
      <c r="BH170" s="34"/>
      <c r="BI170" s="34"/>
      <c r="BJ170" s="34"/>
      <c r="BK170" s="34"/>
      <c r="BL170" s="33"/>
      <c r="BM170" s="33"/>
      <c r="BN170" s="33"/>
    </row>
    <row r="171" spans="1:66" ht="21" x14ac:dyDescent="0.25">
      <c r="A171" s="34"/>
      <c r="B171" s="254"/>
      <c r="C171" s="314"/>
      <c r="D171" s="269"/>
      <c r="E171" s="269"/>
      <c r="F171" s="314"/>
      <c r="G171" s="254"/>
      <c r="H171" s="34"/>
      <c r="I171" s="34"/>
      <c r="J171" s="34"/>
      <c r="K171" s="53"/>
      <c r="L171" s="430"/>
      <c r="M171" s="430"/>
      <c r="N171" s="1172"/>
      <c r="O171" s="1172"/>
      <c r="P171" s="1172"/>
      <c r="Q171" s="985"/>
      <c r="R171" s="1182"/>
      <c r="S171" s="451"/>
      <c r="T171" s="451"/>
      <c r="U171" s="451"/>
      <c r="V171" s="451"/>
      <c r="W171" s="452"/>
      <c r="X171" s="452"/>
      <c r="Y171" s="435"/>
      <c r="Z171" s="435"/>
      <c r="AA171" s="435"/>
      <c r="AB171" s="435"/>
      <c r="AC171" s="435"/>
      <c r="AD171" s="435"/>
      <c r="AE171" s="435"/>
      <c r="AF171" s="435"/>
      <c r="AG171" s="435"/>
      <c r="AH171" s="435"/>
      <c r="AI171" s="113"/>
      <c r="AJ171" s="34"/>
      <c r="AK171" s="34"/>
      <c r="AL171" s="336"/>
      <c r="AM171" s="336"/>
      <c r="AN171" s="336"/>
      <c r="AO171" s="336"/>
      <c r="AP171" s="336"/>
      <c r="AQ171" s="254"/>
      <c r="AR171" s="254"/>
      <c r="AS171" s="254"/>
      <c r="AT171" s="254"/>
      <c r="AU171" s="254"/>
      <c r="AV171" s="254"/>
      <c r="AW171" s="254"/>
      <c r="AX171" s="34"/>
      <c r="AY171" s="52"/>
      <c r="AZ171" s="52"/>
      <c r="BA171" s="52"/>
      <c r="BB171" s="52"/>
      <c r="BC171" s="52"/>
      <c r="BD171" s="52"/>
      <c r="BE171" s="52"/>
      <c r="BF171" s="34"/>
      <c r="BG171" s="34"/>
      <c r="BH171" s="34"/>
      <c r="BI171" s="34"/>
      <c r="BJ171" s="34"/>
      <c r="BK171" s="34"/>
      <c r="BL171" s="33"/>
      <c r="BM171" s="33"/>
      <c r="BN171" s="33"/>
    </row>
    <row r="172" spans="1:66" ht="18" x14ac:dyDescent="0.25">
      <c r="A172" s="34"/>
      <c r="B172" s="254"/>
      <c r="C172" s="254"/>
      <c r="D172" s="314"/>
      <c r="E172" s="314"/>
      <c r="F172" s="254"/>
      <c r="G172" s="254"/>
      <c r="H172" s="34"/>
      <c r="I172" s="34"/>
      <c r="J172" s="34"/>
      <c r="K172" s="53"/>
      <c r="L172" s="164"/>
      <c r="M172" s="430"/>
      <c r="N172" s="1172"/>
      <c r="O172" s="1172"/>
      <c r="P172" s="1183"/>
      <c r="Q172" s="985"/>
      <c r="R172" s="1184"/>
      <c r="S172" s="123"/>
      <c r="T172" s="123"/>
      <c r="U172" s="432"/>
      <c r="V172" s="432"/>
      <c r="W172" s="123"/>
      <c r="X172" s="123"/>
      <c r="Y172" s="123"/>
      <c r="Z172" s="123"/>
      <c r="AA172" s="52"/>
      <c r="AB172" s="52"/>
      <c r="AC172" s="52"/>
      <c r="AD172" s="52"/>
      <c r="AE172" s="52"/>
      <c r="AF172" s="34"/>
      <c r="AG172" s="34"/>
      <c r="AH172" s="72"/>
      <c r="AI172" s="113"/>
      <c r="AJ172" s="34"/>
      <c r="AK172" s="34"/>
      <c r="AL172" s="263"/>
      <c r="AM172" s="269"/>
      <c r="AN172" s="263"/>
      <c r="AO172" s="269"/>
      <c r="AP172" s="263"/>
      <c r="AQ172" s="269"/>
      <c r="AR172" s="263"/>
      <c r="AS172" s="269"/>
      <c r="AT172" s="263"/>
      <c r="AU172" s="269"/>
      <c r="AV172" s="263"/>
      <c r="AW172" s="455"/>
      <c r="AX172" s="34"/>
      <c r="AY172" s="52"/>
      <c r="AZ172" s="52"/>
      <c r="BA172" s="52"/>
      <c r="BB172" s="52"/>
      <c r="BC172" s="52"/>
      <c r="BD172" s="52"/>
      <c r="BE172" s="52"/>
      <c r="BF172" s="34"/>
      <c r="BG172" s="34"/>
      <c r="BH172" s="34"/>
      <c r="BI172" s="34"/>
      <c r="BJ172" s="34"/>
      <c r="BK172" s="34"/>
      <c r="BL172" s="33"/>
      <c r="BM172" s="33"/>
      <c r="BN172" s="33"/>
    </row>
    <row r="173" spans="1:66" ht="18" x14ac:dyDescent="0.25">
      <c r="A173" s="34"/>
      <c r="B173" s="254"/>
      <c r="C173" s="254"/>
      <c r="D173" s="254"/>
      <c r="E173" s="254"/>
      <c r="F173" s="254"/>
      <c r="G173" s="254"/>
      <c r="H173" s="34"/>
      <c r="I173" s="34"/>
      <c r="J173" s="34"/>
      <c r="K173" s="34"/>
      <c r="L173" s="456"/>
      <c r="M173" s="430"/>
      <c r="N173" s="1172"/>
      <c r="O173" s="1172"/>
      <c r="P173" s="1183"/>
      <c r="Q173" s="1172"/>
      <c r="R173" s="1185"/>
      <c r="S173" s="430"/>
      <c r="T173" s="430"/>
      <c r="U173" s="458"/>
      <c r="V173" s="458"/>
      <c r="W173" s="430"/>
      <c r="X173" s="430"/>
      <c r="Y173" s="430"/>
      <c r="Z173" s="164"/>
      <c r="AA173" s="52"/>
      <c r="AB173" s="52"/>
      <c r="AC173" s="52"/>
      <c r="AD173" s="52"/>
      <c r="AE173" s="52"/>
      <c r="AF173" s="34"/>
      <c r="AG173" s="34"/>
      <c r="AH173" s="72"/>
      <c r="AI173" s="113"/>
      <c r="AJ173" s="34"/>
      <c r="AK173" s="34"/>
      <c r="AL173" s="257"/>
      <c r="AM173" s="314"/>
      <c r="AN173" s="257"/>
      <c r="AO173" s="314"/>
      <c r="AP173" s="257"/>
      <c r="AQ173" s="314"/>
      <c r="AR173" s="257"/>
      <c r="AS173" s="314"/>
      <c r="AT173" s="257"/>
      <c r="AU173" s="314"/>
      <c r="AV173" s="257"/>
      <c r="AW173" s="459"/>
      <c r="AX173" s="34"/>
      <c r="AY173" s="52"/>
      <c r="AZ173" s="52"/>
      <c r="BA173" s="52"/>
      <c r="BB173" s="52"/>
      <c r="BC173" s="52"/>
      <c r="BD173" s="52"/>
      <c r="BE173" s="52"/>
      <c r="BF173" s="34"/>
      <c r="BG173" s="34"/>
      <c r="BH173" s="34"/>
      <c r="BI173" s="34"/>
      <c r="BJ173" s="34"/>
      <c r="BK173" s="34"/>
      <c r="BL173" s="33"/>
      <c r="BM173" s="33"/>
      <c r="BN173" s="33"/>
    </row>
    <row r="174" spans="1:66" ht="15.75" x14ac:dyDescent="0.25">
      <c r="A174" s="34"/>
      <c r="B174" s="254"/>
      <c r="C174" s="254"/>
      <c r="D174" s="254"/>
      <c r="E174" s="254"/>
      <c r="F174" s="254"/>
      <c r="G174" s="254"/>
      <c r="H174" s="34"/>
      <c r="I174" s="34"/>
      <c r="J174" s="34"/>
      <c r="K174" s="34"/>
      <c r="L174" s="460"/>
      <c r="M174" s="430"/>
      <c r="N174" s="1172"/>
      <c r="O174" s="1172"/>
      <c r="P174" s="1183"/>
      <c r="Q174" s="1172"/>
      <c r="R174" s="1185"/>
      <c r="S174" s="430"/>
      <c r="T174" s="430"/>
      <c r="U174" s="458"/>
      <c r="V174" s="458"/>
      <c r="W174" s="430"/>
      <c r="X174" s="430"/>
      <c r="Y174" s="430"/>
      <c r="Z174" s="34"/>
      <c r="AA174" s="34"/>
      <c r="AB174" s="34"/>
      <c r="AC174" s="34"/>
      <c r="AD174" s="34"/>
      <c r="AE174" s="34"/>
      <c r="AF174" s="34"/>
      <c r="AG174" s="34"/>
      <c r="AH174" s="72"/>
      <c r="AI174" s="113"/>
      <c r="AJ174" s="34"/>
      <c r="AK174" s="34"/>
      <c r="AL174" s="314"/>
      <c r="AM174" s="155"/>
      <c r="AN174" s="314"/>
      <c r="AO174" s="155"/>
      <c r="AP174" s="314"/>
      <c r="AQ174" s="155"/>
      <c r="AR174" s="314"/>
      <c r="AS174" s="155"/>
      <c r="AT174" s="314"/>
      <c r="AU174" s="155"/>
      <c r="AV174" s="314"/>
      <c r="AW174" s="77"/>
      <c r="AX174" s="34"/>
      <c r="AY174" s="52"/>
      <c r="AZ174" s="52"/>
      <c r="BA174" s="52"/>
      <c r="BB174" s="52"/>
      <c r="BC174" s="52"/>
      <c r="BD174" s="52"/>
      <c r="BE174" s="52"/>
      <c r="BF174" s="34"/>
      <c r="BG174" s="34"/>
      <c r="BH174" s="34"/>
      <c r="BI174" s="34"/>
      <c r="BJ174" s="34"/>
      <c r="BK174" s="34"/>
      <c r="BL174" s="33"/>
      <c r="BM174" s="33"/>
      <c r="BN174" s="33"/>
    </row>
    <row r="175" spans="1:66" x14ac:dyDescent="0.25">
      <c r="A175" s="34"/>
      <c r="B175" s="254"/>
      <c r="C175" s="254"/>
      <c r="D175" s="254"/>
      <c r="E175" s="254"/>
      <c r="F175" s="254"/>
      <c r="G175" s="254"/>
      <c r="H175" s="34"/>
      <c r="I175" s="34"/>
      <c r="J175" s="34"/>
      <c r="K175" s="34"/>
      <c r="L175" s="460"/>
      <c r="M175" s="430"/>
      <c r="N175" s="1172"/>
      <c r="O175" s="1172"/>
      <c r="P175" s="1186"/>
      <c r="Q175" s="1172"/>
      <c r="R175" s="1185"/>
      <c r="S175" s="430"/>
      <c r="T175" s="430"/>
      <c r="U175" s="458"/>
      <c r="V175" s="458"/>
      <c r="W175" s="430"/>
      <c r="X175" s="430"/>
      <c r="Y175" s="430"/>
      <c r="Z175" s="164"/>
      <c r="AA175" s="52"/>
      <c r="AB175" s="52"/>
      <c r="AC175" s="52"/>
      <c r="AD175" s="52"/>
      <c r="AE175" s="52"/>
      <c r="AF175" s="34"/>
      <c r="AG175" s="34"/>
      <c r="AH175" s="72"/>
      <c r="AI175" s="113"/>
      <c r="AJ175" s="34"/>
      <c r="AK175" s="34"/>
      <c r="AL175" s="336"/>
      <c r="AM175" s="336"/>
      <c r="AN175" s="336"/>
      <c r="AO175" s="336"/>
      <c r="AP175" s="336"/>
      <c r="AQ175" s="254"/>
      <c r="AR175" s="254"/>
      <c r="AS175" s="254"/>
      <c r="AT175" s="254"/>
      <c r="AU175" s="254"/>
      <c r="AV175" s="254"/>
      <c r="AW175" s="254"/>
      <c r="AX175" s="34"/>
      <c r="AY175" s="52"/>
      <c r="AZ175" s="52"/>
      <c r="BA175" s="52"/>
      <c r="BB175" s="52"/>
      <c r="BC175" s="52"/>
      <c r="BD175" s="52"/>
      <c r="BE175" s="52"/>
      <c r="BF175" s="34"/>
      <c r="BG175" s="34"/>
      <c r="BH175" s="34"/>
      <c r="BI175" s="34"/>
      <c r="BJ175" s="34"/>
      <c r="BK175" s="34"/>
      <c r="BL175" s="33"/>
      <c r="BM175" s="33"/>
      <c r="BN175" s="33"/>
    </row>
    <row r="176" spans="1:66" x14ac:dyDescent="0.25">
      <c r="A176" s="34"/>
      <c r="B176" s="254"/>
      <c r="C176" s="254"/>
      <c r="D176" s="254"/>
      <c r="E176" s="254"/>
      <c r="F176" s="254"/>
      <c r="G176" s="254"/>
      <c r="H176" s="34"/>
      <c r="I176" s="34"/>
      <c r="J176" s="34"/>
      <c r="K176" s="34"/>
      <c r="L176" s="460"/>
      <c r="M176" s="430"/>
      <c r="N176" s="1172"/>
      <c r="O176" s="1172"/>
      <c r="P176" s="1183"/>
      <c r="Q176" s="1172"/>
      <c r="R176" s="1185"/>
      <c r="S176" s="430"/>
      <c r="T176" s="430"/>
      <c r="U176" s="458"/>
      <c r="V176" s="458"/>
      <c r="W176" s="430"/>
      <c r="X176" s="430"/>
      <c r="Y176" s="430"/>
      <c r="Z176" s="164"/>
      <c r="AA176" s="34"/>
      <c r="AB176" s="34"/>
      <c r="AC176" s="34"/>
      <c r="AD176" s="34"/>
      <c r="AE176" s="34"/>
      <c r="AF176" s="34"/>
      <c r="AG176" s="34"/>
      <c r="AH176" s="72"/>
      <c r="AI176" s="113"/>
      <c r="AJ176" s="34"/>
      <c r="AK176" s="34"/>
      <c r="AL176" s="336"/>
      <c r="AM176" s="336"/>
      <c r="AN176" s="336"/>
      <c r="AO176" s="336"/>
      <c r="AP176" s="336"/>
      <c r="AQ176" s="254"/>
      <c r="AR176" s="254"/>
      <c r="AS176" s="254"/>
      <c r="AT176" s="254"/>
      <c r="AU176" s="254"/>
      <c r="AV176" s="254"/>
      <c r="AW176" s="254"/>
      <c r="AX176" s="34"/>
      <c r="AY176" s="52"/>
      <c r="AZ176" s="52"/>
      <c r="BA176" s="52"/>
      <c r="BB176" s="52"/>
      <c r="BC176" s="52"/>
      <c r="BD176" s="52"/>
      <c r="BE176" s="52"/>
      <c r="BF176" s="34"/>
      <c r="BG176" s="34"/>
      <c r="BH176" s="34"/>
      <c r="BI176" s="34"/>
      <c r="BJ176" s="34"/>
      <c r="BK176" s="34"/>
      <c r="BL176" s="33"/>
      <c r="BM176" s="33"/>
      <c r="BN176" s="33"/>
    </row>
    <row r="177" spans="1:197" ht="15.75" x14ac:dyDescent="0.25">
      <c r="A177" s="34"/>
      <c r="B177" s="254"/>
      <c r="C177" s="254"/>
      <c r="D177" s="314"/>
      <c r="E177" s="314"/>
      <c r="F177" s="254"/>
      <c r="G177" s="254"/>
      <c r="H177" s="34"/>
      <c r="I177" s="34"/>
      <c r="J177" s="34"/>
      <c r="K177" s="34"/>
      <c r="L177" s="460"/>
      <c r="M177" s="430"/>
      <c r="N177" s="1172"/>
      <c r="O177" s="1172"/>
      <c r="P177" s="1183"/>
      <c r="Q177" s="1172"/>
      <c r="R177" s="1185"/>
      <c r="S177" s="430"/>
      <c r="T177" s="430"/>
      <c r="U177" s="458"/>
      <c r="V177" s="458"/>
      <c r="W177" s="430"/>
      <c r="X177" s="430"/>
      <c r="Y177" s="430"/>
      <c r="Z177" s="164"/>
      <c r="AA177" s="34"/>
      <c r="AB177" s="34"/>
      <c r="AC177" s="34"/>
      <c r="AD177" s="34"/>
      <c r="AE177" s="34"/>
      <c r="AF177" s="34"/>
      <c r="AG177" s="34"/>
      <c r="AH177" s="72"/>
      <c r="AI177" s="113"/>
      <c r="AJ177" s="34"/>
      <c r="AK177" s="34"/>
      <c r="AL177" s="362"/>
      <c r="AM177" s="362"/>
      <c r="AN177" s="336"/>
      <c r="AO177" s="336"/>
      <c r="AP177" s="336"/>
      <c r="AQ177" s="254"/>
      <c r="AR177" s="34"/>
      <c r="AS177" s="34"/>
      <c r="AT177" s="34"/>
      <c r="AU177" s="34"/>
      <c r="AV177" s="34"/>
      <c r="AW177" s="34"/>
      <c r="AX177" s="34"/>
      <c r="AY177" s="52"/>
      <c r="AZ177" s="52"/>
      <c r="BA177" s="52"/>
      <c r="BB177" s="52"/>
      <c r="BC177" s="52"/>
      <c r="BD177" s="52"/>
      <c r="BE177" s="52"/>
      <c r="BF177" s="34"/>
      <c r="BG177" s="34"/>
      <c r="BH177" s="34"/>
      <c r="BI177" s="34"/>
      <c r="BJ177" s="34"/>
      <c r="BK177" s="34"/>
      <c r="BL177" s="33"/>
      <c r="BM177" s="33"/>
      <c r="BN177" s="33"/>
    </row>
    <row r="178" spans="1:197" ht="20.25" x14ac:dyDescent="0.25">
      <c r="A178" s="34"/>
      <c r="B178" s="254"/>
      <c r="C178" s="314"/>
      <c r="D178" s="269"/>
      <c r="E178" s="269"/>
      <c r="F178" s="314"/>
      <c r="G178" s="254"/>
      <c r="H178" s="34"/>
      <c r="I178" s="34"/>
      <c r="J178" s="34"/>
      <c r="K178" s="34"/>
      <c r="L178" s="460"/>
      <c r="M178" s="430"/>
      <c r="N178" s="1172"/>
      <c r="O178" s="1172"/>
      <c r="P178" s="1183"/>
      <c r="Q178" s="1172"/>
      <c r="R178" s="1185"/>
      <c r="S178" s="430"/>
      <c r="T178" s="430"/>
      <c r="U178" s="458"/>
      <c r="V178" s="458"/>
      <c r="W178" s="430"/>
      <c r="X178" s="430"/>
      <c r="Y178" s="430"/>
      <c r="Z178" s="164"/>
      <c r="AA178" s="34"/>
      <c r="AB178" s="34"/>
      <c r="AC178" s="34"/>
      <c r="AD178" s="34"/>
      <c r="AE178" s="34"/>
      <c r="AF178" s="34"/>
      <c r="AG178" s="34"/>
      <c r="AH178" s="72"/>
      <c r="AI178" s="113"/>
      <c r="AJ178" s="34"/>
      <c r="AK178" s="34"/>
      <c r="AL178" s="362"/>
      <c r="AM178" s="362"/>
      <c r="AN178" s="254"/>
      <c r="AO178" s="462"/>
      <c r="AP178" s="463"/>
      <c r="AQ178" s="75"/>
      <c r="AR178" s="34"/>
      <c r="AS178" s="34"/>
      <c r="AT178" s="34"/>
      <c r="AU178" s="34"/>
      <c r="AV178" s="34"/>
      <c r="AW178" s="34"/>
      <c r="AX178" s="34"/>
      <c r="AY178" s="52"/>
      <c r="AZ178" s="52"/>
      <c r="BA178" s="52"/>
      <c r="BB178" s="52"/>
      <c r="BC178" s="52"/>
      <c r="BD178" s="52"/>
      <c r="BE178" s="52"/>
      <c r="BF178" s="34"/>
      <c r="BG178" s="34"/>
      <c r="BH178" s="34"/>
      <c r="BI178" s="34"/>
      <c r="BJ178" s="34"/>
      <c r="BK178" s="34"/>
      <c r="BL178" s="33"/>
      <c r="BM178" s="33"/>
      <c r="BN178" s="33"/>
    </row>
    <row r="179" spans="1:197" ht="23.25" x14ac:dyDescent="0.25">
      <c r="A179" s="34"/>
      <c r="B179" s="314"/>
      <c r="C179" s="269"/>
      <c r="D179" s="263"/>
      <c r="E179" s="263"/>
      <c r="F179" s="269"/>
      <c r="G179" s="254"/>
      <c r="H179" s="34"/>
      <c r="I179" s="34"/>
      <c r="J179" s="34"/>
      <c r="K179" s="34"/>
      <c r="L179" s="460"/>
      <c r="M179" s="430"/>
      <c r="N179" s="1172"/>
      <c r="O179" s="1172"/>
      <c r="P179" s="1172"/>
      <c r="Q179" s="1172"/>
      <c r="R179" s="1172"/>
      <c r="S179" s="430"/>
      <c r="T179" s="430"/>
      <c r="U179" s="458"/>
      <c r="V179" s="458"/>
      <c r="W179" s="430"/>
      <c r="X179" s="430"/>
      <c r="Y179" s="430"/>
      <c r="Z179" s="164"/>
      <c r="AA179" s="34"/>
      <c r="AB179" s="34"/>
      <c r="AC179" s="34"/>
      <c r="AD179" s="34"/>
      <c r="AE179" s="34"/>
      <c r="AF179" s="34"/>
      <c r="AG179" s="34"/>
      <c r="AH179" s="72"/>
      <c r="AI179" s="113"/>
      <c r="AJ179" s="34"/>
      <c r="AK179" s="34"/>
      <c r="AL179" s="362"/>
      <c r="AM179" s="362"/>
      <c r="AN179" s="393"/>
      <c r="AO179" s="463"/>
      <c r="AP179" s="464"/>
      <c r="AQ179" s="463"/>
      <c r="AR179" s="34"/>
      <c r="AS179" s="34"/>
      <c r="AT179" s="34"/>
      <c r="AU179" s="34"/>
      <c r="AV179" s="34"/>
      <c r="AW179" s="34"/>
      <c r="AX179" s="34"/>
      <c r="AY179" s="52"/>
      <c r="AZ179" s="52"/>
      <c r="BA179" s="52"/>
      <c r="BB179" s="52"/>
      <c r="BC179" s="52"/>
      <c r="BD179" s="52"/>
      <c r="BE179" s="52"/>
      <c r="BF179" s="34"/>
      <c r="BG179" s="34"/>
      <c r="BH179" s="34"/>
      <c r="BI179" s="34"/>
      <c r="BJ179" s="34"/>
      <c r="BK179" s="34"/>
      <c r="BL179" s="33"/>
      <c r="BM179" s="33"/>
      <c r="BN179" s="33"/>
    </row>
    <row r="180" spans="1:197" ht="23.25" x14ac:dyDescent="0.25">
      <c r="A180" s="34"/>
      <c r="B180" s="314"/>
      <c r="C180" s="269"/>
      <c r="D180" s="263"/>
      <c r="E180" s="263"/>
      <c r="F180" s="269"/>
      <c r="G180" s="254"/>
      <c r="H180" s="34"/>
      <c r="I180" s="34"/>
      <c r="J180" s="34"/>
      <c r="K180" s="34"/>
      <c r="L180" s="460"/>
      <c r="M180" s="430"/>
      <c r="N180" s="1172"/>
      <c r="O180" s="1172"/>
      <c r="P180" s="1172"/>
      <c r="Q180" s="1172"/>
      <c r="R180" s="1187"/>
      <c r="S180" s="430"/>
      <c r="T180" s="430"/>
      <c r="U180" s="458"/>
      <c r="V180" s="458"/>
      <c r="W180" s="430"/>
      <c r="X180" s="430"/>
      <c r="Y180" s="430"/>
      <c r="Z180" s="466"/>
      <c r="AA180" s="34"/>
      <c r="AB180" s="34"/>
      <c r="AC180" s="34"/>
      <c r="AD180" s="34"/>
      <c r="AE180" s="34"/>
      <c r="AF180" s="34"/>
      <c r="AG180" s="34"/>
      <c r="AH180" s="72"/>
      <c r="AI180" s="113"/>
      <c r="AJ180" s="34"/>
      <c r="AK180" s="34"/>
      <c r="AL180" s="362"/>
      <c r="AM180" s="362"/>
      <c r="AN180" s="463"/>
      <c r="AO180" s="464"/>
      <c r="AP180" s="464"/>
      <c r="AQ180" s="463"/>
      <c r="AR180" s="34"/>
      <c r="AS180" s="34"/>
      <c r="AT180" s="34"/>
      <c r="AU180" s="34"/>
      <c r="AV180" s="34"/>
      <c r="AW180" s="34"/>
      <c r="AX180" s="34"/>
      <c r="AY180" s="52"/>
      <c r="AZ180" s="52"/>
      <c r="BA180" s="52"/>
      <c r="BB180" s="52"/>
      <c r="BC180" s="52"/>
      <c r="BD180" s="52"/>
      <c r="BE180" s="52"/>
      <c r="BF180" s="34"/>
      <c r="BG180" s="34"/>
      <c r="BH180" s="34"/>
      <c r="BI180" s="34"/>
      <c r="BJ180" s="34"/>
      <c r="BK180" s="34"/>
      <c r="BL180" s="33"/>
      <c r="BM180" s="33"/>
      <c r="BN180" s="33"/>
    </row>
    <row r="181" spans="1:197" ht="23.25" x14ac:dyDescent="0.25">
      <c r="A181" s="34"/>
      <c r="B181" s="314"/>
      <c r="C181" s="269"/>
      <c r="D181" s="263"/>
      <c r="E181" s="263"/>
      <c r="F181" s="269"/>
      <c r="G181" s="254"/>
      <c r="H181" s="34"/>
      <c r="I181" s="34"/>
      <c r="J181" s="34"/>
      <c r="K181" s="34"/>
      <c r="L181" s="460"/>
      <c r="M181" s="465"/>
      <c r="N181" s="465"/>
      <c r="O181" s="465"/>
      <c r="P181" s="465"/>
      <c r="Q181" s="465"/>
      <c r="R181" s="465"/>
      <c r="S181" s="465"/>
      <c r="T181" s="465"/>
      <c r="U181" s="467"/>
      <c r="V181" s="467"/>
      <c r="W181" s="164"/>
      <c r="X181" s="465"/>
      <c r="Y181" s="465"/>
      <c r="Z181" s="466"/>
      <c r="AA181" s="34"/>
      <c r="AB181" s="34"/>
      <c r="AC181" s="34"/>
      <c r="AD181" s="34"/>
      <c r="AE181" s="34"/>
      <c r="AF181" s="34"/>
      <c r="AG181" s="34"/>
      <c r="AH181" s="72"/>
      <c r="AI181" s="113"/>
      <c r="AJ181" s="34"/>
      <c r="AK181" s="34"/>
      <c r="AL181" s="362"/>
      <c r="AM181" s="362"/>
      <c r="AN181" s="463"/>
      <c r="AO181" s="464"/>
      <c r="AP181" s="463"/>
      <c r="AQ181" s="254"/>
      <c r="AR181" s="34"/>
      <c r="AS181" s="34"/>
      <c r="AT181" s="34"/>
      <c r="AU181" s="34"/>
      <c r="AV181" s="34"/>
      <c r="AW181" s="34"/>
      <c r="AX181" s="34"/>
      <c r="AY181" s="52"/>
      <c r="AZ181" s="52"/>
      <c r="BA181" s="52"/>
      <c r="BB181" s="52"/>
      <c r="BC181" s="52"/>
      <c r="BD181" s="52"/>
      <c r="BE181" s="52"/>
      <c r="BF181" s="34"/>
      <c r="BG181" s="34"/>
      <c r="BH181" s="34"/>
      <c r="BI181" s="34"/>
      <c r="BJ181" s="34"/>
      <c r="BK181" s="34"/>
      <c r="BL181" s="33"/>
      <c r="BM181" s="33"/>
      <c r="BN181" s="33"/>
    </row>
    <row r="182" spans="1:197" ht="20.25" x14ac:dyDescent="0.25">
      <c r="A182" s="34"/>
      <c r="B182" s="314"/>
      <c r="C182" s="269"/>
      <c r="D182" s="263"/>
      <c r="E182" s="263"/>
      <c r="F182" s="269"/>
      <c r="G182" s="254"/>
      <c r="H182" s="34"/>
      <c r="I182" s="34"/>
      <c r="J182" s="34"/>
      <c r="K182" s="34"/>
      <c r="L182" s="460"/>
      <c r="M182" s="465"/>
      <c r="N182" s="465"/>
      <c r="O182" s="465"/>
      <c r="P182" s="465"/>
      <c r="Q182" s="465"/>
      <c r="R182" s="465"/>
      <c r="S182" s="465"/>
      <c r="T182" s="465"/>
      <c r="U182" s="468"/>
      <c r="V182" s="467"/>
      <c r="W182" s="164"/>
      <c r="X182" s="465"/>
      <c r="Y182" s="465"/>
      <c r="Z182" s="164"/>
      <c r="AA182" s="34"/>
      <c r="AB182" s="34"/>
      <c r="AC182" s="34"/>
      <c r="AD182" s="34"/>
      <c r="AE182" s="34"/>
      <c r="AF182" s="34"/>
      <c r="AG182" s="34"/>
      <c r="AH182" s="72"/>
      <c r="AI182" s="113"/>
      <c r="AJ182" s="34"/>
      <c r="AK182" s="34"/>
      <c r="AL182" s="34"/>
      <c r="AM182" s="34"/>
      <c r="AN182" s="391"/>
      <c r="AO182" s="463"/>
      <c r="AP182" s="469"/>
      <c r="AQ182" s="75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3"/>
      <c r="BM182" s="33"/>
      <c r="BN182" s="33"/>
    </row>
    <row r="183" spans="1:197" ht="18" x14ac:dyDescent="0.25">
      <c r="A183" s="34"/>
      <c r="B183" s="314"/>
      <c r="C183" s="269"/>
      <c r="D183" s="263"/>
      <c r="E183" s="263"/>
      <c r="F183" s="269"/>
      <c r="G183" s="254"/>
      <c r="H183" s="34"/>
      <c r="I183" s="34"/>
      <c r="J183" s="34"/>
      <c r="K183" s="34"/>
      <c r="L183" s="460"/>
      <c r="M183" s="465"/>
      <c r="N183" s="465"/>
      <c r="O183" s="465"/>
      <c r="P183" s="465"/>
      <c r="Q183" s="465"/>
      <c r="R183" s="164"/>
      <c r="S183" s="430"/>
      <c r="T183" s="430"/>
      <c r="U183" s="458"/>
      <c r="V183" s="458"/>
      <c r="W183" s="430"/>
      <c r="X183" s="430"/>
      <c r="Y183" s="430"/>
      <c r="Z183" s="430"/>
      <c r="AA183" s="430"/>
      <c r="AB183" s="34"/>
      <c r="AC183" s="34"/>
      <c r="AD183" s="34"/>
      <c r="AE183" s="34"/>
      <c r="AF183" s="34"/>
      <c r="AG183" s="34"/>
      <c r="AH183" s="72"/>
      <c r="AI183" s="113"/>
      <c r="AJ183" s="34"/>
      <c r="AK183" s="34"/>
      <c r="AL183" s="34"/>
      <c r="AM183" s="34"/>
      <c r="AN183" s="407"/>
      <c r="AO183" s="407"/>
      <c r="AP183" s="77"/>
      <c r="AQ183" s="75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3"/>
      <c r="BM183" s="33"/>
      <c r="BN183" s="33"/>
    </row>
    <row r="184" spans="1:197" ht="18" x14ac:dyDescent="0.25">
      <c r="A184" s="34"/>
      <c r="B184" s="409"/>
      <c r="C184" s="314"/>
      <c r="D184" s="269"/>
      <c r="E184" s="269"/>
      <c r="F184" s="314"/>
      <c r="G184" s="254"/>
      <c r="H184" s="34"/>
      <c r="I184" s="34"/>
      <c r="J184" s="34"/>
      <c r="K184" s="34"/>
      <c r="L184" s="470"/>
      <c r="M184" s="164"/>
      <c r="N184" s="164"/>
      <c r="O184" s="164"/>
      <c r="P184" s="164"/>
      <c r="Q184" s="164"/>
      <c r="R184" s="34"/>
      <c r="S184" s="430"/>
      <c r="T184" s="430"/>
      <c r="U184" s="458"/>
      <c r="V184" s="458"/>
      <c r="W184" s="430"/>
      <c r="X184" s="430"/>
      <c r="Y184" s="430"/>
      <c r="Z184" s="430"/>
      <c r="AA184" s="430"/>
      <c r="AB184" s="34"/>
      <c r="AC184" s="34"/>
      <c r="AD184" s="34"/>
      <c r="AE184" s="34"/>
      <c r="AF184" s="34"/>
      <c r="AG184" s="34"/>
      <c r="AH184" s="72"/>
      <c r="AI184" s="113"/>
      <c r="AJ184" s="34"/>
      <c r="AK184" s="34"/>
      <c r="AL184" s="34"/>
      <c r="AM184" s="34"/>
      <c r="AN184" s="254"/>
      <c r="AO184" s="254"/>
      <c r="AP184" s="254"/>
      <c r="AQ184" s="25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3"/>
      <c r="BM184" s="33"/>
      <c r="BN184" s="33"/>
    </row>
    <row r="185" spans="1:197" ht="16.5" thickBot="1" x14ac:dyDescent="0.3">
      <c r="A185" s="34"/>
      <c r="B185" s="77"/>
      <c r="C185" s="77"/>
      <c r="D185" s="314"/>
      <c r="E185" s="314"/>
      <c r="F185" s="77"/>
      <c r="G185" s="254"/>
      <c r="H185" s="34"/>
      <c r="I185" s="34"/>
      <c r="J185" s="34"/>
      <c r="K185" s="34"/>
      <c r="L185" s="471"/>
      <c r="M185" s="472"/>
      <c r="N185" s="472"/>
      <c r="O185" s="472"/>
      <c r="P185" s="472"/>
      <c r="Q185" s="472"/>
      <c r="R185" s="472"/>
      <c r="S185" s="426"/>
      <c r="T185" s="426"/>
      <c r="U185" s="473"/>
      <c r="V185" s="473"/>
      <c r="W185" s="426"/>
      <c r="X185" s="426"/>
      <c r="Y185" s="426"/>
      <c r="Z185" s="426"/>
      <c r="AA185" s="426"/>
      <c r="AB185" s="223"/>
      <c r="AC185" s="223"/>
      <c r="AD185" s="223"/>
      <c r="AE185" s="223"/>
      <c r="AF185" s="223"/>
      <c r="AG185" s="223"/>
      <c r="AH185" s="474"/>
      <c r="AI185" s="113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3"/>
      <c r="BM185" s="33"/>
      <c r="BN185" s="33"/>
    </row>
    <row r="186" spans="1:197" x14ac:dyDescent="0.25">
      <c r="A186" s="34"/>
      <c r="B186" s="254"/>
      <c r="C186" s="254"/>
      <c r="D186" s="254"/>
      <c r="E186" s="254"/>
      <c r="F186" s="254"/>
      <c r="G186" s="25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62"/>
      <c r="V186" s="362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3"/>
      <c r="BM186" s="33"/>
      <c r="BN186" s="33"/>
    </row>
    <row r="187" spans="1:197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</row>
    <row r="188" spans="1:197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</row>
    <row r="191" spans="1:197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  <c r="CC191" s="147"/>
      <c r="CD191" s="147"/>
      <c r="CE191" s="147"/>
      <c r="CF191" s="147"/>
      <c r="CG191" s="147"/>
      <c r="CH191" s="147"/>
      <c r="CI191" s="147"/>
      <c r="CJ191" s="147"/>
      <c r="CK191" s="147"/>
      <c r="CL191" s="147"/>
      <c r="CM191" s="147"/>
      <c r="CN191" s="147"/>
      <c r="CO191" s="147"/>
      <c r="CP191" s="147"/>
      <c r="CQ191" s="147"/>
      <c r="CR191" s="147"/>
      <c r="CS191" s="147"/>
      <c r="CT191" s="147"/>
      <c r="CU191" s="147"/>
      <c r="CV191" s="147"/>
      <c r="CW191" s="147"/>
      <c r="CX191" s="147"/>
      <c r="CY191" s="147"/>
      <c r="CZ191" s="147"/>
      <c r="DA191" s="147"/>
      <c r="DB191" s="147"/>
      <c r="DC191" s="147"/>
      <c r="DD191" s="147"/>
      <c r="DE191" s="147"/>
      <c r="DF191" s="147"/>
      <c r="DG191" s="147"/>
      <c r="DH191" s="147"/>
      <c r="DI191" s="147"/>
      <c r="DJ191" s="147"/>
      <c r="DK191" s="147"/>
      <c r="DL191" s="147"/>
      <c r="DM191" s="147"/>
      <c r="DN191" s="147"/>
      <c r="DO191" s="147"/>
      <c r="DP191" s="147"/>
      <c r="DQ191" s="147"/>
      <c r="DR191" s="147"/>
      <c r="DS191" s="147"/>
      <c r="DT191" s="147"/>
      <c r="DU191" s="147"/>
      <c r="DV191" s="147"/>
      <c r="DW191" s="147"/>
      <c r="DX191" s="147"/>
      <c r="DY191" s="147"/>
      <c r="DZ191" s="147"/>
      <c r="EA191" s="147"/>
      <c r="EB191" s="147"/>
      <c r="EC191" s="147"/>
      <c r="ED191" s="147"/>
      <c r="EE191" s="147"/>
      <c r="EF191" s="147"/>
      <c r="EG191" s="147"/>
      <c r="EH191" s="147"/>
      <c r="EI191" s="147"/>
      <c r="EJ191" s="147"/>
      <c r="EK191" s="147"/>
      <c r="EL191" s="147"/>
      <c r="EM191" s="147"/>
      <c r="EN191" s="147"/>
      <c r="EO191" s="147"/>
      <c r="EP191" s="147"/>
      <c r="EQ191" s="147"/>
      <c r="ER191" s="147"/>
      <c r="ES191" s="147"/>
      <c r="ET191" s="147"/>
      <c r="EU191" s="147"/>
      <c r="EV191" s="147"/>
      <c r="EW191" s="147"/>
      <c r="EX191" s="147"/>
      <c r="EY191" s="147"/>
      <c r="EZ191" s="147"/>
      <c r="FA191" s="147"/>
      <c r="FB191" s="147"/>
      <c r="FC191" s="147"/>
      <c r="FD191" s="147"/>
      <c r="FE191" s="147"/>
      <c r="FF191" s="147"/>
      <c r="FG191" s="147"/>
      <c r="FH191" s="147"/>
      <c r="FI191" s="147"/>
      <c r="FJ191" s="147"/>
      <c r="FK191" s="147"/>
      <c r="FL191" s="147"/>
      <c r="FM191" s="147"/>
      <c r="FN191" s="147"/>
      <c r="FO191" s="147"/>
      <c r="FP191" s="147"/>
      <c r="FQ191" s="147"/>
      <c r="FR191" s="147"/>
      <c r="FS191" s="147"/>
      <c r="FT191" s="147"/>
      <c r="FU191" s="147"/>
      <c r="FV191" s="147"/>
      <c r="FW191" s="147"/>
      <c r="FX191" s="147"/>
      <c r="FY191" s="147"/>
      <c r="FZ191" s="147"/>
      <c r="GA191" s="147"/>
      <c r="GB191" s="147"/>
      <c r="GC191" s="147"/>
      <c r="GD191" s="147"/>
      <c r="GE191" s="147"/>
      <c r="GF191" s="147"/>
      <c r="GG191" s="147"/>
      <c r="GH191" s="147"/>
      <c r="GI191" s="147"/>
      <c r="GJ191" s="147"/>
      <c r="GK191" s="147"/>
      <c r="GL191" s="147"/>
      <c r="GM191" s="147"/>
      <c r="GN191" s="147"/>
      <c r="GO191" s="147"/>
    </row>
    <row r="192" spans="1:197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  <c r="CC192" s="147"/>
      <c r="CD192" s="147"/>
      <c r="CE192" s="147"/>
      <c r="CF192" s="147"/>
      <c r="CG192" s="147"/>
      <c r="CH192" s="147"/>
      <c r="CI192" s="147"/>
      <c r="CJ192" s="147"/>
      <c r="CK192" s="147"/>
      <c r="CL192" s="147"/>
      <c r="CM192" s="147"/>
      <c r="CN192" s="147"/>
      <c r="CO192" s="147"/>
      <c r="CP192" s="147"/>
      <c r="CQ192" s="147"/>
      <c r="CR192" s="147"/>
      <c r="CS192" s="147"/>
      <c r="CT192" s="147"/>
      <c r="CU192" s="147"/>
      <c r="CV192" s="147"/>
      <c r="CW192" s="147"/>
      <c r="CX192" s="147"/>
      <c r="CY192" s="147"/>
      <c r="CZ192" s="147"/>
      <c r="DA192" s="147"/>
      <c r="DB192" s="147"/>
      <c r="DC192" s="147"/>
      <c r="DD192" s="147"/>
      <c r="DE192" s="147"/>
      <c r="DF192" s="147"/>
      <c r="DG192" s="147"/>
      <c r="DH192" s="147"/>
      <c r="DI192" s="147"/>
      <c r="DJ192" s="147"/>
      <c r="DK192" s="147"/>
      <c r="DL192" s="147"/>
      <c r="DM192" s="147"/>
      <c r="DN192" s="147"/>
      <c r="DO192" s="147"/>
      <c r="DP192" s="147"/>
      <c r="DQ192" s="147"/>
      <c r="DR192" s="147"/>
      <c r="DS192" s="147"/>
      <c r="DT192" s="147"/>
      <c r="DU192" s="147"/>
      <c r="DV192" s="147"/>
      <c r="DW192" s="147"/>
      <c r="DX192" s="147"/>
      <c r="DY192" s="147"/>
      <c r="DZ192" s="147"/>
      <c r="EA192" s="147"/>
      <c r="EB192" s="147"/>
      <c r="EC192" s="147"/>
      <c r="ED192" s="147"/>
      <c r="EE192" s="147"/>
      <c r="EF192" s="147"/>
      <c r="EG192" s="147"/>
      <c r="EH192" s="147"/>
      <c r="EI192" s="147"/>
      <c r="EJ192" s="147"/>
      <c r="EK192" s="147"/>
      <c r="EL192" s="147"/>
      <c r="EM192" s="147"/>
      <c r="EN192" s="147"/>
      <c r="EO192" s="147"/>
      <c r="EP192" s="147"/>
      <c r="EQ192" s="147"/>
      <c r="ER192" s="147"/>
      <c r="ES192" s="147"/>
      <c r="ET192" s="147"/>
      <c r="EU192" s="147"/>
      <c r="EV192" s="147"/>
      <c r="EW192" s="147"/>
      <c r="EX192" s="147"/>
      <c r="EY192" s="147"/>
      <c r="EZ192" s="147"/>
      <c r="FA192" s="147"/>
      <c r="FB192" s="147"/>
      <c r="FC192" s="147"/>
      <c r="FD192" s="147"/>
      <c r="FE192" s="147"/>
      <c r="FF192" s="147"/>
      <c r="FG192" s="147"/>
      <c r="FH192" s="147"/>
      <c r="FI192" s="147"/>
      <c r="FJ192" s="147"/>
      <c r="FK192" s="147"/>
      <c r="FL192" s="147"/>
      <c r="FM192" s="147"/>
      <c r="FN192" s="147"/>
      <c r="FO192" s="147"/>
      <c r="FP192" s="147"/>
      <c r="FQ192" s="147"/>
      <c r="FR192" s="147"/>
      <c r="FS192" s="147"/>
      <c r="FT192" s="147"/>
      <c r="FU192" s="147"/>
      <c r="FV192" s="147"/>
      <c r="FW192" s="147"/>
      <c r="FX192" s="147"/>
      <c r="FY192" s="147"/>
      <c r="FZ192" s="147"/>
      <c r="GA192" s="147"/>
      <c r="GB192" s="147"/>
      <c r="GC192" s="147"/>
      <c r="GD192" s="147"/>
      <c r="GE192" s="147"/>
      <c r="GF192" s="147"/>
      <c r="GG192" s="147"/>
      <c r="GH192" s="147"/>
      <c r="GI192" s="147"/>
      <c r="GJ192" s="147"/>
      <c r="GK192" s="147"/>
      <c r="GL192" s="147"/>
      <c r="GM192" s="147"/>
      <c r="GN192" s="147"/>
      <c r="GO192" s="147"/>
    </row>
    <row r="193" spans="1:197" x14ac:dyDescent="0.2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  <c r="CC193" s="147"/>
      <c r="CD193" s="147"/>
      <c r="CE193" s="147"/>
      <c r="CF193" s="147"/>
      <c r="CG193" s="147"/>
      <c r="CH193" s="147"/>
      <c r="CI193" s="147"/>
      <c r="CJ193" s="147"/>
      <c r="CK193" s="147"/>
      <c r="CL193" s="147"/>
      <c r="CM193" s="147"/>
      <c r="CN193" s="147"/>
      <c r="CO193" s="147"/>
      <c r="CP193" s="147"/>
      <c r="CQ193" s="147"/>
      <c r="CR193" s="147"/>
      <c r="CS193" s="147"/>
      <c r="CT193" s="147"/>
      <c r="CU193" s="147"/>
      <c r="CV193" s="147"/>
      <c r="CW193" s="147"/>
      <c r="CX193" s="147"/>
      <c r="CY193" s="147"/>
      <c r="CZ193" s="147"/>
      <c r="DA193" s="147"/>
      <c r="DB193" s="147"/>
      <c r="DC193" s="147"/>
      <c r="DD193" s="147"/>
      <c r="DE193" s="147"/>
      <c r="DF193" s="147"/>
      <c r="DG193" s="147"/>
      <c r="DH193" s="147"/>
      <c r="DI193" s="147"/>
      <c r="DJ193" s="147"/>
      <c r="DK193" s="147"/>
      <c r="DL193" s="147"/>
      <c r="DM193" s="147"/>
      <c r="DN193" s="147"/>
      <c r="DO193" s="147"/>
      <c r="DP193" s="147"/>
      <c r="DQ193" s="147"/>
      <c r="DR193" s="147"/>
      <c r="DS193" s="147"/>
      <c r="DT193" s="147"/>
      <c r="DU193" s="147"/>
      <c r="DV193" s="147"/>
      <c r="DW193" s="147"/>
      <c r="DX193" s="147"/>
      <c r="DY193" s="147"/>
      <c r="DZ193" s="147"/>
      <c r="EA193" s="147"/>
      <c r="EB193" s="147"/>
      <c r="EC193" s="147"/>
      <c r="ED193" s="147"/>
      <c r="EE193" s="147"/>
      <c r="EF193" s="147"/>
      <c r="EG193" s="147"/>
      <c r="EH193" s="147"/>
      <c r="EI193" s="147"/>
      <c r="EJ193" s="147"/>
      <c r="EK193" s="147"/>
      <c r="EL193" s="147"/>
      <c r="EM193" s="147"/>
      <c r="EN193" s="147"/>
      <c r="EO193" s="147"/>
      <c r="EP193" s="147"/>
      <c r="EQ193" s="147"/>
      <c r="ER193" s="147"/>
      <c r="ES193" s="147"/>
      <c r="ET193" s="147"/>
      <c r="EU193" s="147"/>
      <c r="EV193" s="147"/>
      <c r="EW193" s="147"/>
      <c r="EX193" s="147"/>
      <c r="EY193" s="147"/>
      <c r="EZ193" s="147"/>
      <c r="FA193" s="147"/>
      <c r="FB193" s="147"/>
      <c r="FC193" s="147"/>
      <c r="FD193" s="147"/>
      <c r="FE193" s="147"/>
      <c r="FF193" s="147"/>
      <c r="FG193" s="147"/>
      <c r="FH193" s="147"/>
      <c r="FI193" s="147"/>
      <c r="FJ193" s="147"/>
      <c r="FK193" s="147"/>
      <c r="FL193" s="147"/>
      <c r="FM193" s="147"/>
      <c r="FN193" s="147"/>
      <c r="FO193" s="147"/>
      <c r="FP193" s="147"/>
      <c r="FQ193" s="147"/>
      <c r="FR193" s="147"/>
      <c r="FS193" s="147"/>
      <c r="FT193" s="147"/>
      <c r="FU193" s="147"/>
      <c r="FV193" s="147"/>
      <c r="FW193" s="147"/>
      <c r="FX193" s="147"/>
      <c r="FY193" s="147"/>
      <c r="FZ193" s="147"/>
      <c r="GA193" s="147"/>
      <c r="GB193" s="147"/>
      <c r="GC193" s="147"/>
      <c r="GD193" s="147"/>
      <c r="GE193" s="147"/>
      <c r="GF193" s="147"/>
      <c r="GG193" s="147"/>
      <c r="GH193" s="147"/>
      <c r="GI193" s="147"/>
      <c r="GJ193" s="147"/>
      <c r="GK193" s="147"/>
      <c r="GL193" s="147"/>
      <c r="GM193" s="147"/>
      <c r="GN193" s="147"/>
      <c r="GO193" s="147"/>
    </row>
    <row r="194" spans="1:197" x14ac:dyDescent="0.2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  <c r="CC194" s="147"/>
      <c r="CD194" s="147"/>
      <c r="CE194" s="147"/>
      <c r="CF194" s="147"/>
      <c r="CG194" s="147"/>
      <c r="CH194" s="147"/>
      <c r="CI194" s="147"/>
      <c r="CJ194" s="147"/>
      <c r="CK194" s="147"/>
      <c r="CL194" s="147"/>
      <c r="CM194" s="147"/>
      <c r="CN194" s="147"/>
      <c r="CO194" s="147"/>
      <c r="CP194" s="147"/>
      <c r="CQ194" s="147"/>
      <c r="CR194" s="147"/>
      <c r="CS194" s="147"/>
      <c r="CT194" s="147"/>
      <c r="CU194" s="147"/>
      <c r="CV194" s="147"/>
      <c r="CW194" s="147"/>
      <c r="CX194" s="147"/>
      <c r="CY194" s="147"/>
      <c r="CZ194" s="147"/>
      <c r="DA194" s="147"/>
      <c r="DB194" s="147"/>
      <c r="DC194" s="147"/>
      <c r="DD194" s="147"/>
      <c r="DE194" s="147"/>
      <c r="DF194" s="147"/>
      <c r="DG194" s="147"/>
      <c r="DH194" s="147"/>
      <c r="DI194" s="147"/>
      <c r="DJ194" s="147"/>
      <c r="DK194" s="147"/>
      <c r="DL194" s="147"/>
      <c r="DM194" s="147"/>
      <c r="DN194" s="147"/>
      <c r="DO194" s="147"/>
      <c r="DP194" s="147"/>
      <c r="DQ194" s="147"/>
      <c r="DR194" s="147"/>
      <c r="DS194" s="147"/>
      <c r="DT194" s="147"/>
      <c r="DU194" s="147"/>
      <c r="DV194" s="147"/>
      <c r="DW194" s="147"/>
      <c r="DX194" s="147"/>
      <c r="DY194" s="147"/>
      <c r="DZ194" s="147"/>
      <c r="EA194" s="147"/>
      <c r="EB194" s="147"/>
      <c r="EC194" s="147"/>
      <c r="ED194" s="147"/>
      <c r="EE194" s="147"/>
      <c r="EF194" s="147"/>
      <c r="EG194" s="147"/>
      <c r="EH194" s="147"/>
      <c r="EI194" s="147"/>
      <c r="EJ194" s="147"/>
      <c r="EK194" s="147"/>
      <c r="EL194" s="147"/>
      <c r="EM194" s="147"/>
      <c r="EN194" s="147"/>
      <c r="EO194" s="147"/>
      <c r="EP194" s="147"/>
      <c r="EQ194" s="147"/>
      <c r="ER194" s="147"/>
      <c r="ES194" s="147"/>
      <c r="ET194" s="147"/>
      <c r="EU194" s="147"/>
      <c r="EV194" s="147"/>
      <c r="EW194" s="147"/>
      <c r="EX194" s="147"/>
      <c r="EY194" s="147"/>
      <c r="EZ194" s="147"/>
      <c r="FA194" s="147"/>
      <c r="FB194" s="147"/>
      <c r="FC194" s="147"/>
      <c r="FD194" s="147"/>
      <c r="FE194" s="147"/>
      <c r="FF194" s="147"/>
      <c r="FG194" s="147"/>
      <c r="FH194" s="147"/>
      <c r="FI194" s="147"/>
      <c r="FJ194" s="147"/>
      <c r="FK194" s="147"/>
      <c r="FL194" s="147"/>
      <c r="FM194" s="147"/>
      <c r="FN194" s="147"/>
      <c r="FO194" s="147"/>
      <c r="FP194" s="147"/>
      <c r="FQ194" s="147"/>
      <c r="FR194" s="147"/>
      <c r="FS194" s="147"/>
      <c r="FT194" s="147"/>
      <c r="FU194" s="147"/>
      <c r="FV194" s="147"/>
      <c r="FW194" s="147"/>
      <c r="FX194" s="147"/>
      <c r="FY194" s="147"/>
      <c r="FZ194" s="147"/>
      <c r="GA194" s="147"/>
      <c r="GB194" s="147"/>
      <c r="GC194" s="147"/>
      <c r="GD194" s="147"/>
      <c r="GE194" s="147"/>
      <c r="GF194" s="147"/>
      <c r="GG194" s="147"/>
      <c r="GH194" s="147"/>
      <c r="GI194" s="147"/>
      <c r="GJ194" s="147"/>
      <c r="GK194" s="147"/>
      <c r="GL194" s="147"/>
      <c r="GM194" s="147"/>
      <c r="GN194" s="147"/>
      <c r="GO194" s="147"/>
    </row>
    <row r="195" spans="1:197" x14ac:dyDescent="0.2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  <c r="CC195" s="147"/>
      <c r="CD195" s="147"/>
      <c r="CE195" s="147"/>
      <c r="CF195" s="147"/>
      <c r="CG195" s="147"/>
      <c r="CH195" s="147"/>
      <c r="CI195" s="147"/>
      <c r="CJ195" s="147"/>
      <c r="CK195" s="147"/>
      <c r="CL195" s="147"/>
      <c r="CM195" s="147"/>
      <c r="CN195" s="147"/>
      <c r="CO195" s="147"/>
      <c r="CP195" s="147"/>
      <c r="CQ195" s="147"/>
      <c r="CR195" s="147"/>
      <c r="CS195" s="147"/>
      <c r="CT195" s="147"/>
      <c r="CU195" s="147"/>
      <c r="CV195" s="147"/>
      <c r="CW195" s="147"/>
      <c r="CX195" s="147"/>
      <c r="CY195" s="147"/>
      <c r="CZ195" s="147"/>
      <c r="DA195" s="147"/>
      <c r="DB195" s="147"/>
      <c r="DC195" s="147"/>
      <c r="DD195" s="147"/>
      <c r="DE195" s="147"/>
      <c r="DF195" s="147"/>
      <c r="DG195" s="147"/>
      <c r="DH195" s="147"/>
      <c r="DI195" s="147"/>
      <c r="DJ195" s="147"/>
      <c r="DK195" s="147"/>
      <c r="DL195" s="147"/>
      <c r="DM195" s="147"/>
      <c r="DN195" s="147"/>
      <c r="DO195" s="147"/>
      <c r="DP195" s="147"/>
      <c r="DQ195" s="147"/>
      <c r="DR195" s="147"/>
      <c r="DS195" s="147"/>
      <c r="DT195" s="147"/>
      <c r="DU195" s="147"/>
      <c r="DV195" s="147"/>
      <c r="DW195" s="147"/>
      <c r="DX195" s="147"/>
      <c r="DY195" s="147"/>
      <c r="DZ195" s="147"/>
      <c r="EA195" s="147"/>
      <c r="EB195" s="147"/>
      <c r="EC195" s="147"/>
      <c r="ED195" s="147"/>
      <c r="EE195" s="147"/>
      <c r="EF195" s="147"/>
      <c r="EG195" s="147"/>
      <c r="EH195" s="147"/>
      <c r="EI195" s="147"/>
      <c r="EJ195" s="147"/>
      <c r="EK195" s="147"/>
      <c r="EL195" s="147"/>
      <c r="EM195" s="147"/>
      <c r="EN195" s="147"/>
      <c r="EO195" s="147"/>
      <c r="EP195" s="147"/>
      <c r="EQ195" s="147"/>
      <c r="ER195" s="147"/>
      <c r="ES195" s="147"/>
      <c r="ET195" s="147"/>
      <c r="EU195" s="147"/>
      <c r="EV195" s="147"/>
      <c r="EW195" s="147"/>
      <c r="EX195" s="147"/>
      <c r="EY195" s="147"/>
      <c r="EZ195" s="147"/>
      <c r="FA195" s="147"/>
      <c r="FB195" s="147"/>
      <c r="FC195" s="147"/>
      <c r="FD195" s="147"/>
      <c r="FE195" s="147"/>
      <c r="FF195" s="147"/>
      <c r="FG195" s="147"/>
      <c r="FH195" s="147"/>
      <c r="FI195" s="147"/>
      <c r="FJ195" s="147"/>
      <c r="FK195" s="147"/>
      <c r="FL195" s="147"/>
      <c r="FM195" s="147"/>
      <c r="FN195" s="147"/>
      <c r="FO195" s="147"/>
      <c r="FP195" s="147"/>
      <c r="FQ195" s="147"/>
      <c r="FR195" s="147"/>
      <c r="FS195" s="147"/>
      <c r="FT195" s="147"/>
      <c r="FU195" s="147"/>
      <c r="FV195" s="147"/>
      <c r="FW195" s="147"/>
      <c r="FX195" s="147"/>
      <c r="FY195" s="147"/>
      <c r="FZ195" s="147"/>
      <c r="GA195" s="147"/>
      <c r="GB195" s="147"/>
      <c r="GC195" s="147"/>
      <c r="GD195" s="147"/>
      <c r="GE195" s="147"/>
      <c r="GF195" s="147"/>
      <c r="GG195" s="147"/>
      <c r="GH195" s="147"/>
      <c r="GI195" s="147"/>
      <c r="GJ195" s="147"/>
      <c r="GK195" s="147"/>
      <c r="GL195" s="147"/>
      <c r="GM195" s="147"/>
      <c r="GN195" s="147"/>
      <c r="GO195" s="147"/>
    </row>
    <row r="196" spans="1:197" x14ac:dyDescent="0.2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  <c r="CC196" s="147"/>
      <c r="CD196" s="147"/>
      <c r="CE196" s="147"/>
      <c r="CF196" s="147"/>
      <c r="CG196" s="147"/>
      <c r="CH196" s="147"/>
      <c r="CI196" s="147"/>
      <c r="CJ196" s="147"/>
      <c r="CK196" s="147"/>
      <c r="CL196" s="147"/>
      <c r="CM196" s="147"/>
      <c r="CN196" s="147"/>
      <c r="CO196" s="147"/>
      <c r="CP196" s="147"/>
      <c r="CQ196" s="147"/>
      <c r="CR196" s="147"/>
      <c r="CS196" s="147"/>
      <c r="CT196" s="147"/>
      <c r="CU196" s="147"/>
      <c r="CV196" s="147"/>
      <c r="CW196" s="147"/>
      <c r="CX196" s="147"/>
      <c r="CY196" s="147"/>
      <c r="CZ196" s="147"/>
      <c r="DA196" s="147"/>
      <c r="DB196" s="147"/>
      <c r="DC196" s="147"/>
      <c r="DD196" s="147"/>
      <c r="DE196" s="147"/>
      <c r="DF196" s="147"/>
      <c r="DG196" s="147"/>
      <c r="DH196" s="147"/>
      <c r="DI196" s="147"/>
      <c r="DJ196" s="147"/>
      <c r="DK196" s="147"/>
      <c r="DL196" s="147"/>
      <c r="DM196" s="147"/>
      <c r="DN196" s="147"/>
      <c r="DO196" s="147"/>
      <c r="DP196" s="147"/>
      <c r="DQ196" s="147"/>
      <c r="DR196" s="147"/>
      <c r="DS196" s="147"/>
      <c r="DT196" s="147"/>
      <c r="DU196" s="147"/>
      <c r="DV196" s="147"/>
      <c r="DW196" s="147"/>
      <c r="DX196" s="147"/>
      <c r="DY196" s="147"/>
      <c r="DZ196" s="147"/>
      <c r="EA196" s="147"/>
      <c r="EB196" s="147"/>
      <c r="EC196" s="147"/>
      <c r="ED196" s="147"/>
      <c r="EE196" s="147"/>
      <c r="EF196" s="147"/>
      <c r="EG196" s="147"/>
      <c r="EH196" s="147"/>
      <c r="EI196" s="147"/>
      <c r="EJ196" s="147"/>
      <c r="EK196" s="147"/>
      <c r="EL196" s="147"/>
      <c r="EM196" s="147"/>
      <c r="EN196" s="147"/>
      <c r="EO196" s="147"/>
      <c r="EP196" s="147"/>
      <c r="EQ196" s="147"/>
      <c r="ER196" s="147"/>
      <c r="ES196" s="147"/>
      <c r="ET196" s="147"/>
      <c r="EU196" s="147"/>
      <c r="EV196" s="147"/>
      <c r="EW196" s="147"/>
      <c r="EX196" s="147"/>
      <c r="EY196" s="147"/>
      <c r="EZ196" s="147"/>
      <c r="FA196" s="147"/>
      <c r="FB196" s="147"/>
      <c r="FC196" s="147"/>
      <c r="FD196" s="147"/>
      <c r="FE196" s="147"/>
      <c r="FF196" s="147"/>
      <c r="FG196" s="147"/>
      <c r="FH196" s="147"/>
      <c r="FI196" s="147"/>
      <c r="FJ196" s="147"/>
      <c r="FK196" s="147"/>
      <c r="FL196" s="147"/>
      <c r="FM196" s="147"/>
      <c r="FN196" s="147"/>
      <c r="FO196" s="147"/>
      <c r="FP196" s="147"/>
      <c r="FQ196" s="147"/>
      <c r="FR196" s="147"/>
      <c r="FS196" s="147"/>
      <c r="FT196" s="147"/>
      <c r="FU196" s="147"/>
      <c r="FV196" s="147"/>
      <c r="FW196" s="147"/>
      <c r="FX196" s="147"/>
      <c r="FY196" s="147"/>
      <c r="FZ196" s="147"/>
      <c r="GA196" s="147"/>
      <c r="GB196" s="147"/>
      <c r="GC196" s="147"/>
      <c r="GD196" s="147"/>
      <c r="GE196" s="147"/>
      <c r="GF196" s="147"/>
      <c r="GG196" s="147"/>
      <c r="GH196" s="147"/>
      <c r="GI196" s="147"/>
      <c r="GJ196" s="147"/>
      <c r="GK196" s="147"/>
      <c r="GL196" s="147"/>
      <c r="GM196" s="147"/>
      <c r="GN196" s="147"/>
      <c r="GO196" s="147"/>
    </row>
    <row r="197" spans="1:197" x14ac:dyDescent="0.2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475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  <c r="CC197" s="147"/>
      <c r="CD197" s="147"/>
      <c r="CE197" s="147"/>
      <c r="CF197" s="147"/>
      <c r="CG197" s="147"/>
      <c r="CH197" s="147"/>
      <c r="CI197" s="147"/>
      <c r="CJ197" s="147"/>
      <c r="CK197" s="147"/>
      <c r="CL197" s="147"/>
      <c r="CM197" s="147"/>
      <c r="CN197" s="147"/>
      <c r="CO197" s="147"/>
      <c r="CP197" s="147"/>
      <c r="CQ197" s="147"/>
      <c r="CR197" s="147"/>
      <c r="CS197" s="147"/>
      <c r="CT197" s="147"/>
      <c r="CU197" s="147"/>
      <c r="CV197" s="147"/>
      <c r="CW197" s="147"/>
      <c r="CX197" s="147"/>
      <c r="CY197" s="147"/>
      <c r="CZ197" s="147"/>
      <c r="DA197" s="147"/>
      <c r="DB197" s="147"/>
      <c r="DC197" s="147"/>
      <c r="DD197" s="147"/>
      <c r="DE197" s="147"/>
      <c r="DF197" s="147"/>
      <c r="DG197" s="147"/>
      <c r="DH197" s="147"/>
      <c r="DI197" s="147"/>
      <c r="DJ197" s="147"/>
      <c r="DK197" s="147"/>
      <c r="DL197" s="147"/>
      <c r="DM197" s="147"/>
      <c r="DN197" s="147"/>
      <c r="DO197" s="147"/>
      <c r="DP197" s="147"/>
      <c r="DQ197" s="147"/>
      <c r="DR197" s="147"/>
      <c r="DS197" s="147"/>
      <c r="DT197" s="147"/>
      <c r="DU197" s="147"/>
      <c r="DV197" s="147"/>
      <c r="DW197" s="147"/>
      <c r="DX197" s="147"/>
      <c r="DY197" s="147"/>
      <c r="DZ197" s="147"/>
      <c r="EA197" s="147"/>
      <c r="EB197" s="147"/>
      <c r="EC197" s="147"/>
      <c r="ED197" s="147"/>
      <c r="EE197" s="147"/>
      <c r="EF197" s="147"/>
      <c r="EG197" s="147"/>
      <c r="EH197" s="147"/>
      <c r="EI197" s="147"/>
      <c r="EJ197" s="147"/>
      <c r="EK197" s="147"/>
      <c r="EL197" s="147"/>
      <c r="EM197" s="147"/>
      <c r="EN197" s="147"/>
      <c r="EO197" s="147"/>
      <c r="EP197" s="147"/>
      <c r="EQ197" s="147"/>
      <c r="ER197" s="147"/>
      <c r="ES197" s="147"/>
      <c r="ET197" s="147"/>
      <c r="EU197" s="147"/>
      <c r="EV197" s="147"/>
      <c r="EW197" s="147"/>
      <c r="EX197" s="147"/>
      <c r="EY197" s="147"/>
      <c r="EZ197" s="147"/>
      <c r="FA197" s="147"/>
      <c r="FB197" s="147"/>
      <c r="FC197" s="147"/>
      <c r="FD197" s="147"/>
      <c r="FE197" s="147"/>
      <c r="FF197" s="147"/>
      <c r="FG197" s="147"/>
      <c r="FH197" s="147"/>
      <c r="FI197" s="147"/>
      <c r="FJ197" s="147"/>
      <c r="FK197" s="147"/>
      <c r="FL197" s="147"/>
      <c r="FM197" s="147"/>
      <c r="FN197" s="147"/>
      <c r="FO197" s="147"/>
      <c r="FP197" s="147"/>
      <c r="FQ197" s="147"/>
      <c r="FR197" s="147"/>
      <c r="FS197" s="147"/>
      <c r="FT197" s="147"/>
      <c r="FU197" s="147"/>
      <c r="FV197" s="147"/>
      <c r="FW197" s="147"/>
      <c r="FX197" s="147"/>
      <c r="FY197" s="147"/>
      <c r="FZ197" s="147"/>
      <c r="GA197" s="147"/>
      <c r="GB197" s="147"/>
      <c r="GC197" s="147"/>
      <c r="GD197" s="147"/>
      <c r="GE197" s="147"/>
      <c r="GF197" s="147"/>
      <c r="GG197" s="147"/>
      <c r="GH197" s="147"/>
      <c r="GI197" s="147"/>
      <c r="GJ197" s="147"/>
      <c r="GK197" s="147"/>
      <c r="GL197" s="147"/>
      <c r="GM197" s="147"/>
      <c r="GN197" s="147"/>
      <c r="GO197" s="147"/>
    </row>
    <row r="198" spans="1:197" x14ac:dyDescent="0.2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475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  <c r="CC198" s="147"/>
      <c r="CD198" s="147"/>
      <c r="CE198" s="147"/>
      <c r="CF198" s="147"/>
      <c r="CG198" s="147"/>
      <c r="CH198" s="147"/>
      <c r="CI198" s="147"/>
      <c r="CJ198" s="147"/>
      <c r="CK198" s="147"/>
      <c r="CL198" s="147"/>
      <c r="CM198" s="147"/>
      <c r="CN198" s="147"/>
      <c r="CO198" s="147"/>
      <c r="CP198" s="147"/>
      <c r="CQ198" s="147"/>
      <c r="CR198" s="147"/>
      <c r="CS198" s="147"/>
      <c r="CT198" s="147"/>
      <c r="CU198" s="147"/>
      <c r="CV198" s="147"/>
      <c r="CW198" s="147"/>
      <c r="CX198" s="147"/>
      <c r="CY198" s="147"/>
      <c r="CZ198" s="147"/>
      <c r="DA198" s="147"/>
      <c r="DB198" s="147"/>
      <c r="DC198" s="147"/>
      <c r="DD198" s="147"/>
      <c r="DE198" s="147"/>
      <c r="DF198" s="147"/>
      <c r="DG198" s="147"/>
      <c r="DH198" s="147"/>
      <c r="DI198" s="147"/>
      <c r="DJ198" s="147"/>
      <c r="DK198" s="147"/>
      <c r="DL198" s="147"/>
      <c r="DM198" s="147"/>
      <c r="DN198" s="147"/>
      <c r="DO198" s="147"/>
      <c r="DP198" s="147"/>
      <c r="DQ198" s="147"/>
      <c r="DR198" s="147"/>
      <c r="DS198" s="147"/>
      <c r="DT198" s="147"/>
      <c r="DU198" s="147"/>
      <c r="DV198" s="147"/>
      <c r="DW198" s="147"/>
      <c r="DX198" s="147"/>
      <c r="DY198" s="147"/>
      <c r="DZ198" s="147"/>
      <c r="EA198" s="147"/>
      <c r="EB198" s="147"/>
      <c r="EC198" s="147"/>
      <c r="ED198" s="147"/>
      <c r="EE198" s="147"/>
      <c r="EF198" s="147"/>
      <c r="EG198" s="147"/>
      <c r="EH198" s="147"/>
      <c r="EI198" s="147"/>
      <c r="EJ198" s="147"/>
      <c r="EK198" s="147"/>
      <c r="EL198" s="147"/>
      <c r="EM198" s="147"/>
      <c r="EN198" s="147"/>
      <c r="EO198" s="147"/>
      <c r="EP198" s="147"/>
      <c r="EQ198" s="147"/>
      <c r="ER198" s="147"/>
      <c r="ES198" s="147"/>
      <c r="ET198" s="147"/>
      <c r="EU198" s="147"/>
      <c r="EV198" s="147"/>
      <c r="EW198" s="147"/>
      <c r="EX198" s="147"/>
      <c r="EY198" s="147"/>
      <c r="EZ198" s="147"/>
      <c r="FA198" s="147"/>
      <c r="FB198" s="147"/>
      <c r="FC198" s="147"/>
      <c r="FD198" s="147"/>
      <c r="FE198" s="147"/>
      <c r="FF198" s="147"/>
      <c r="FG198" s="147"/>
      <c r="FH198" s="147"/>
      <c r="FI198" s="147"/>
      <c r="FJ198" s="147"/>
      <c r="FK198" s="147"/>
      <c r="FL198" s="147"/>
      <c r="FM198" s="147"/>
      <c r="FN198" s="147"/>
      <c r="FO198" s="147"/>
      <c r="FP198" s="147"/>
      <c r="FQ198" s="147"/>
      <c r="FR198" s="147"/>
      <c r="FS198" s="147"/>
      <c r="FT198" s="147"/>
      <c r="FU198" s="147"/>
      <c r="FV198" s="147"/>
      <c r="FW198" s="147"/>
      <c r="FX198" s="147"/>
      <c r="FY198" s="147"/>
      <c r="FZ198" s="147"/>
      <c r="GA198" s="147"/>
      <c r="GB198" s="147"/>
      <c r="GC198" s="147"/>
      <c r="GD198" s="147"/>
      <c r="GE198" s="147"/>
      <c r="GF198" s="147"/>
      <c r="GG198" s="147"/>
      <c r="GH198" s="147"/>
      <c r="GI198" s="147"/>
      <c r="GJ198" s="147"/>
      <c r="GK198" s="147"/>
      <c r="GL198" s="147"/>
      <c r="GM198" s="147"/>
      <c r="GN198" s="147"/>
      <c r="GO198" s="147"/>
    </row>
    <row r="199" spans="1:197" x14ac:dyDescent="0.2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475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  <c r="CC199" s="147"/>
      <c r="CD199" s="147"/>
      <c r="CE199" s="147"/>
      <c r="CF199" s="147"/>
      <c r="CG199" s="147"/>
      <c r="CH199" s="147"/>
      <c r="CI199" s="147"/>
      <c r="CJ199" s="147"/>
      <c r="CK199" s="147"/>
      <c r="CL199" s="147"/>
      <c r="CM199" s="147"/>
      <c r="CN199" s="147"/>
      <c r="CO199" s="147"/>
      <c r="CP199" s="147"/>
      <c r="CQ199" s="147"/>
      <c r="CR199" s="147"/>
      <c r="CS199" s="147"/>
      <c r="CT199" s="147"/>
      <c r="CU199" s="147"/>
      <c r="CV199" s="147"/>
      <c r="CW199" s="147"/>
      <c r="CX199" s="147"/>
      <c r="CY199" s="147"/>
      <c r="CZ199" s="147"/>
      <c r="DA199" s="147"/>
      <c r="DB199" s="147"/>
      <c r="DC199" s="147"/>
      <c r="DD199" s="147"/>
      <c r="DE199" s="147"/>
      <c r="DF199" s="147"/>
      <c r="DG199" s="147"/>
      <c r="DH199" s="147"/>
      <c r="DI199" s="147"/>
      <c r="DJ199" s="147"/>
      <c r="DK199" s="147"/>
      <c r="DL199" s="147"/>
      <c r="DM199" s="147"/>
      <c r="DN199" s="147"/>
      <c r="DO199" s="147"/>
      <c r="DP199" s="147"/>
      <c r="DQ199" s="147"/>
      <c r="DR199" s="147"/>
      <c r="DS199" s="147"/>
      <c r="DT199" s="147"/>
      <c r="DU199" s="147"/>
      <c r="DV199" s="147"/>
      <c r="DW199" s="147"/>
      <c r="DX199" s="147"/>
      <c r="DY199" s="147"/>
      <c r="DZ199" s="147"/>
      <c r="EA199" s="147"/>
      <c r="EB199" s="147"/>
      <c r="EC199" s="147"/>
      <c r="ED199" s="147"/>
      <c r="EE199" s="147"/>
      <c r="EF199" s="147"/>
      <c r="EG199" s="147"/>
      <c r="EH199" s="147"/>
      <c r="EI199" s="147"/>
      <c r="EJ199" s="147"/>
      <c r="EK199" s="147"/>
      <c r="EL199" s="147"/>
      <c r="EM199" s="147"/>
      <c r="EN199" s="147"/>
      <c r="EO199" s="147"/>
      <c r="EP199" s="147"/>
      <c r="EQ199" s="147"/>
      <c r="ER199" s="147"/>
      <c r="ES199" s="147"/>
      <c r="ET199" s="147"/>
      <c r="EU199" s="147"/>
      <c r="EV199" s="147"/>
      <c r="EW199" s="147"/>
      <c r="EX199" s="147"/>
      <c r="EY199" s="147"/>
      <c r="EZ199" s="147"/>
      <c r="FA199" s="147"/>
      <c r="FB199" s="147"/>
      <c r="FC199" s="147"/>
      <c r="FD199" s="147"/>
      <c r="FE199" s="147"/>
      <c r="FF199" s="147"/>
      <c r="FG199" s="147"/>
      <c r="FH199" s="147"/>
      <c r="FI199" s="147"/>
      <c r="FJ199" s="147"/>
      <c r="FK199" s="147"/>
      <c r="FL199" s="147"/>
      <c r="FM199" s="147"/>
      <c r="FN199" s="147"/>
      <c r="FO199" s="147"/>
      <c r="FP199" s="147"/>
      <c r="FQ199" s="147"/>
      <c r="FR199" s="147"/>
      <c r="FS199" s="147"/>
      <c r="FT199" s="147"/>
      <c r="FU199" s="147"/>
      <c r="FV199" s="147"/>
      <c r="FW199" s="147"/>
      <c r="FX199" s="147"/>
      <c r="FY199" s="147"/>
      <c r="FZ199" s="147"/>
      <c r="GA199" s="147"/>
      <c r="GB199" s="147"/>
      <c r="GC199" s="147"/>
      <c r="GD199" s="147"/>
      <c r="GE199" s="147"/>
      <c r="GF199" s="147"/>
      <c r="GG199" s="147"/>
      <c r="GH199" s="147"/>
      <c r="GI199" s="147"/>
      <c r="GJ199" s="147"/>
      <c r="GK199" s="147"/>
      <c r="GL199" s="147"/>
      <c r="GM199" s="147"/>
      <c r="GN199" s="147"/>
      <c r="GO199" s="147"/>
    </row>
  </sheetData>
  <mergeCells count="82">
    <mergeCell ref="A1:BE1"/>
    <mergeCell ref="AE4:AQ4"/>
    <mergeCell ref="AD5:AG5"/>
    <mergeCell ref="O6:O11"/>
    <mergeCell ref="AX6:AY14"/>
    <mergeCell ref="AZ6:BB14"/>
    <mergeCell ref="BC6:BE14"/>
    <mergeCell ref="BF8:BG11"/>
    <mergeCell ref="S9:Z9"/>
    <mergeCell ref="AF10:AG10"/>
    <mergeCell ref="AF15:AG15"/>
    <mergeCell ref="AP16:AT22"/>
    <mergeCell ref="AZ17:BA17"/>
    <mergeCell ref="W20:X20"/>
    <mergeCell ref="AZ21:BA21"/>
    <mergeCell ref="AY82:BA82"/>
    <mergeCell ref="N51:T63"/>
    <mergeCell ref="P28:V28"/>
    <mergeCell ref="X30:Z30"/>
    <mergeCell ref="BD30:BE32"/>
    <mergeCell ref="E32:N32"/>
    <mergeCell ref="F34:K64"/>
    <mergeCell ref="AG35:AQ35"/>
    <mergeCell ref="AF36:AF39"/>
    <mergeCell ref="AD78:AE78"/>
    <mergeCell ref="AF78:AI78"/>
    <mergeCell ref="AJ78:AM78"/>
    <mergeCell ref="AN78:AQ78"/>
    <mergeCell ref="Z80:AF80"/>
    <mergeCell ref="BF40:BF42"/>
    <mergeCell ref="AT42:AT49"/>
    <mergeCell ref="U43:V44"/>
    <mergeCell ref="AQ43:AR43"/>
    <mergeCell ref="AZ49:BB49"/>
    <mergeCell ref="BM89:BM90"/>
    <mergeCell ref="AC90:AD90"/>
    <mergeCell ref="AG90:AJ90"/>
    <mergeCell ref="AY90:BA90"/>
    <mergeCell ref="BG90:BI90"/>
    <mergeCell ref="BG82:BH82"/>
    <mergeCell ref="AM84:AN84"/>
    <mergeCell ref="AS86:AT86"/>
    <mergeCell ref="X87:Y87"/>
    <mergeCell ref="R91:T99"/>
    <mergeCell ref="AU92:AU95"/>
    <mergeCell ref="AB93:AC93"/>
    <mergeCell ref="AM93:AN93"/>
    <mergeCell ref="AH94:AI94"/>
    <mergeCell ref="AQ96:AR96"/>
    <mergeCell ref="AS96:AT96"/>
    <mergeCell ref="AY98:BA98"/>
    <mergeCell ref="BG98:BH98"/>
    <mergeCell ref="V82:W82"/>
    <mergeCell ref="AJ82:AM82"/>
    <mergeCell ref="AN82:AQ82"/>
    <mergeCell ref="AJ101:AK101"/>
    <mergeCell ref="BM101:BM102"/>
    <mergeCell ref="AB103:AE104"/>
    <mergeCell ref="AQ103:AR103"/>
    <mergeCell ref="AQ104:AR104"/>
    <mergeCell ref="BG105:BH105"/>
    <mergeCell ref="S110:T112"/>
    <mergeCell ref="AY110:BA110"/>
    <mergeCell ref="AF114:AF115"/>
    <mergeCell ref="AI114:AI117"/>
    <mergeCell ref="AY115:BA115"/>
    <mergeCell ref="BG115:BH115"/>
    <mergeCell ref="AF116:AF117"/>
    <mergeCell ref="AN143:AN144"/>
    <mergeCell ref="AJ147:AQ147"/>
    <mergeCell ref="H117:P141"/>
    <mergeCell ref="BN118:BN123"/>
    <mergeCell ref="BL119:BL123"/>
    <mergeCell ref="AE120:AG120"/>
    <mergeCell ref="AV121:AV123"/>
    <mergeCell ref="AL123:AM123"/>
    <mergeCell ref="T151:AG168"/>
    <mergeCell ref="D127:E130"/>
    <mergeCell ref="W129:AF144"/>
    <mergeCell ref="T131:U131"/>
    <mergeCell ref="AH134:AH135"/>
    <mergeCell ref="F140:G149"/>
  </mergeCells>
  <conditionalFormatting sqref="BB91">
    <cfRule type="duplicateValues" dxfId="1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GO199"/>
  <sheetViews>
    <sheetView topLeftCell="AR64" zoomScale="60" zoomScaleNormal="60" workbookViewId="0">
      <selection activeCell="AS117" sqref="AS117"/>
    </sheetView>
  </sheetViews>
  <sheetFormatPr baseColWidth="10" defaultColWidth="16.7109375" defaultRowHeight="15" x14ac:dyDescent="0.25"/>
  <cols>
    <col min="1" max="42" width="0" hidden="1" customWidth="1"/>
    <col min="43" max="43" width="16.7109375" hidden="1" customWidth="1"/>
  </cols>
  <sheetData>
    <row r="1" spans="1:66" ht="45.75" thickBot="1" x14ac:dyDescent="0.3">
      <c r="A1" s="1325" t="s">
        <v>148</v>
      </c>
      <c r="B1" s="1325"/>
      <c r="C1" s="1325"/>
      <c r="D1" s="1325"/>
      <c r="E1" s="1325"/>
      <c r="F1" s="1325"/>
      <c r="G1" s="1325"/>
      <c r="H1" s="1325"/>
      <c r="I1" s="1325"/>
      <c r="J1" s="1325"/>
      <c r="K1" s="1325"/>
      <c r="L1" s="1325"/>
      <c r="M1" s="1325"/>
      <c r="N1" s="1325"/>
      <c r="O1" s="1325"/>
      <c r="P1" s="1325"/>
      <c r="Q1" s="1325"/>
      <c r="R1" s="1325"/>
      <c r="S1" s="1325"/>
      <c r="T1" s="1325"/>
      <c r="U1" s="1325"/>
      <c r="V1" s="1325"/>
      <c r="W1" s="1325"/>
      <c r="X1" s="1325"/>
      <c r="Y1" s="1325"/>
      <c r="Z1" s="1325"/>
      <c r="AA1" s="1325"/>
      <c r="AB1" s="1325"/>
      <c r="AC1" s="1325"/>
      <c r="AD1" s="1325"/>
      <c r="AE1" s="1325"/>
      <c r="AF1" s="1325"/>
      <c r="AG1" s="1325"/>
      <c r="AH1" s="1325"/>
      <c r="AI1" s="1325"/>
      <c r="AJ1" s="1325"/>
      <c r="AK1" s="1325"/>
      <c r="AL1" s="1325"/>
      <c r="AM1" s="1325"/>
      <c r="AN1" s="1325"/>
      <c r="AO1" s="1325"/>
      <c r="AP1" s="1325"/>
      <c r="AQ1" s="1325"/>
      <c r="AR1" s="1325"/>
      <c r="AS1" s="1325"/>
      <c r="AT1" s="1325"/>
      <c r="AU1" s="1325"/>
      <c r="AV1" s="1325"/>
      <c r="AW1" s="1325"/>
      <c r="AX1" s="1325"/>
      <c r="AY1" s="1325"/>
      <c r="AZ1" s="1325"/>
      <c r="BA1" s="1325"/>
      <c r="BB1" s="1325"/>
      <c r="BC1" s="1325"/>
      <c r="BD1" s="1325"/>
      <c r="BE1" s="1326"/>
      <c r="BF1" s="32"/>
      <c r="BG1" s="32"/>
      <c r="BH1" s="32"/>
      <c r="BI1" s="32"/>
      <c r="BJ1" s="32"/>
      <c r="BK1" s="32"/>
      <c r="BL1" s="33"/>
      <c r="BM1" s="33"/>
      <c r="BN1" s="33"/>
    </row>
    <row r="2" spans="1:66" ht="35.2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6"/>
      <c r="N2" s="36"/>
      <c r="O2" s="36"/>
      <c r="P2" s="36"/>
      <c r="Q2" s="36"/>
      <c r="R2" s="36"/>
      <c r="S2" s="36"/>
      <c r="T2" s="36"/>
      <c r="U2" s="37"/>
      <c r="V2" s="37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2"/>
      <c r="BG2" s="32"/>
      <c r="BH2" s="32"/>
      <c r="BI2" s="32"/>
      <c r="BJ2" s="32"/>
      <c r="BK2" s="32"/>
      <c r="BL2" s="33"/>
      <c r="BM2" s="33"/>
      <c r="BN2" s="33"/>
    </row>
    <row r="3" spans="1:66" ht="1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2"/>
      <c r="M3" s="36"/>
      <c r="N3" s="36"/>
      <c r="O3" s="939"/>
      <c r="P3" s="939"/>
      <c r="Q3" s="939"/>
      <c r="R3" s="939"/>
      <c r="S3" s="939"/>
      <c r="T3" s="939"/>
      <c r="U3" s="940"/>
      <c r="V3" s="940"/>
      <c r="W3" s="939"/>
      <c r="X3" s="939"/>
      <c r="Y3" s="939"/>
      <c r="Z3" s="939"/>
      <c r="AA3" s="939"/>
      <c r="AB3" s="36"/>
      <c r="AC3" s="36"/>
      <c r="AD3" s="939"/>
      <c r="AE3" s="939"/>
      <c r="AF3" s="939"/>
      <c r="AG3" s="939"/>
      <c r="AH3" s="939"/>
      <c r="AI3" s="939"/>
      <c r="AJ3" s="939"/>
      <c r="AK3" s="939"/>
      <c r="AL3" s="939"/>
      <c r="AM3" s="939"/>
      <c r="AN3" s="939"/>
      <c r="AO3" s="939"/>
      <c r="AP3" s="939"/>
      <c r="AQ3" s="939"/>
      <c r="AR3" s="939"/>
      <c r="AS3" s="939"/>
      <c r="AT3" s="939"/>
      <c r="AU3" s="939"/>
      <c r="AV3" s="939"/>
      <c r="AW3" s="939"/>
      <c r="AX3" s="939"/>
      <c r="AY3" s="939"/>
      <c r="AZ3" s="36"/>
      <c r="BA3" s="36"/>
      <c r="BB3" s="36"/>
      <c r="BC3" s="36"/>
      <c r="BD3" s="36"/>
      <c r="BE3" s="36"/>
      <c r="BF3" s="32"/>
      <c r="BG3" s="32"/>
      <c r="BH3" s="32"/>
      <c r="BI3" s="32"/>
      <c r="BJ3" s="32"/>
      <c r="BK3" s="32"/>
      <c r="BL3" s="33"/>
      <c r="BM3" s="33"/>
      <c r="BN3" s="33"/>
    </row>
    <row r="4" spans="1:66" ht="20.25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8"/>
      <c r="M4" s="39"/>
      <c r="N4" s="39"/>
      <c r="O4" s="941"/>
      <c r="P4" s="942"/>
      <c r="Q4" s="941"/>
      <c r="R4" s="941"/>
      <c r="S4" s="941"/>
      <c r="T4" s="941"/>
      <c r="U4" s="943"/>
      <c r="V4" s="943"/>
      <c r="W4" s="943"/>
      <c r="X4" s="943"/>
      <c r="Y4" s="943"/>
      <c r="Z4" s="944"/>
      <c r="AA4" s="945"/>
      <c r="AB4" s="41"/>
      <c r="AC4" s="41"/>
      <c r="AD4" s="943"/>
      <c r="AE4" s="1327"/>
      <c r="AF4" s="1327"/>
      <c r="AG4" s="1327"/>
      <c r="AH4" s="1327"/>
      <c r="AI4" s="1327"/>
      <c r="AJ4" s="1327"/>
      <c r="AK4" s="1327"/>
      <c r="AL4" s="1327"/>
      <c r="AM4" s="1327"/>
      <c r="AN4" s="1327"/>
      <c r="AO4" s="1327"/>
      <c r="AP4" s="1327"/>
      <c r="AQ4" s="1327"/>
      <c r="AR4" s="1036"/>
      <c r="AS4" s="944"/>
      <c r="AT4" s="944"/>
      <c r="AU4" s="944"/>
      <c r="AV4" s="944"/>
      <c r="AW4" s="943"/>
      <c r="AX4" s="943"/>
      <c r="AY4" s="943"/>
      <c r="AZ4" s="41"/>
      <c r="BA4" s="41"/>
      <c r="BB4" s="42"/>
      <c r="BC4" s="43"/>
      <c r="BD4" s="45"/>
      <c r="BE4" s="45"/>
      <c r="BF4" s="45"/>
      <c r="BG4" s="45"/>
      <c r="BH4" s="45"/>
      <c r="BI4" s="46"/>
      <c r="BJ4" s="42"/>
      <c r="BK4" s="47"/>
      <c r="BL4" s="33"/>
      <c r="BM4" s="33"/>
      <c r="BN4" s="33"/>
    </row>
    <row r="5" spans="1:66" ht="21" thickBo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47"/>
      <c r="M5" s="39"/>
      <c r="N5" s="47"/>
      <c r="O5" s="946"/>
      <c r="P5" s="947"/>
      <c r="Q5" s="948"/>
      <c r="R5" s="948"/>
      <c r="S5" s="948"/>
      <c r="T5" s="948"/>
      <c r="U5" s="949"/>
      <c r="V5" s="949"/>
      <c r="W5" s="948"/>
      <c r="X5" s="948"/>
      <c r="Y5" s="948"/>
      <c r="Z5" s="946"/>
      <c r="AA5" s="946"/>
      <c r="AB5" s="48"/>
      <c r="AC5" s="50"/>
      <c r="AD5" s="1328"/>
      <c r="AE5" s="1328"/>
      <c r="AF5" s="1328"/>
      <c r="AG5" s="1328"/>
      <c r="AH5" s="948"/>
      <c r="AI5" s="948"/>
      <c r="AJ5" s="948"/>
      <c r="AK5" s="948"/>
      <c r="AL5" s="948"/>
      <c r="AM5" s="948"/>
      <c r="AN5" s="948"/>
      <c r="AO5" s="948"/>
      <c r="AP5" s="948"/>
      <c r="AQ5" s="948"/>
      <c r="AR5" s="948"/>
      <c r="AS5" s="948"/>
      <c r="AT5" s="948"/>
      <c r="AU5" s="948"/>
      <c r="AV5" s="948"/>
      <c r="AW5" s="948"/>
      <c r="AX5" s="958"/>
      <c r="AY5" s="958"/>
      <c r="AZ5" s="50"/>
      <c r="BA5" s="50"/>
      <c r="BB5" s="50"/>
      <c r="BC5" s="47"/>
      <c r="BD5" s="47"/>
      <c r="BE5" s="47"/>
      <c r="BF5" s="47"/>
      <c r="BG5" s="47"/>
      <c r="BH5" s="47"/>
      <c r="BI5" s="47"/>
      <c r="BJ5" s="47"/>
      <c r="BK5" s="47"/>
      <c r="BL5" s="33"/>
      <c r="BM5" s="33"/>
      <c r="BN5" s="33"/>
    </row>
    <row r="6" spans="1:66" ht="21" thickBo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52"/>
      <c r="L6" s="33"/>
      <c r="N6" s="53"/>
      <c r="O6" s="1329"/>
      <c r="P6" s="950"/>
      <c r="Q6" s="950"/>
      <c r="R6" s="525"/>
      <c r="S6" s="951"/>
      <c r="T6" s="951"/>
      <c r="U6" s="951"/>
      <c r="V6" s="951"/>
      <c r="W6" s="951"/>
      <c r="X6" s="951"/>
      <c r="Y6" s="951"/>
      <c r="Z6" s="951"/>
      <c r="AA6" s="952"/>
      <c r="AB6" s="56"/>
      <c r="AC6" s="56"/>
      <c r="AD6" s="952"/>
      <c r="AE6" s="952"/>
      <c r="AF6" s="952"/>
      <c r="AG6" s="1037"/>
      <c r="AH6" s="1038"/>
      <c r="AI6" s="1039"/>
      <c r="AJ6" s="1040"/>
      <c r="AK6" s="1041"/>
      <c r="AL6" s="1042"/>
      <c r="AM6" s="1043"/>
      <c r="AN6" s="1041"/>
      <c r="AO6" s="1042"/>
      <c r="AP6" s="1040"/>
      <c r="AQ6" s="1042"/>
      <c r="AR6" s="1040"/>
      <c r="AS6" s="1044"/>
      <c r="AT6" s="1045"/>
      <c r="AU6" s="960"/>
      <c r="AV6" s="960"/>
      <c r="AW6" s="960"/>
      <c r="AX6" s="1332"/>
      <c r="AY6" s="1333"/>
      <c r="AZ6" s="1332"/>
      <c r="BA6" s="1338"/>
      <c r="BB6" s="1339"/>
      <c r="BC6" s="1344"/>
      <c r="BD6" s="1345"/>
      <c r="BE6" s="1346"/>
      <c r="BF6" s="32"/>
      <c r="BG6" s="32"/>
      <c r="BH6" s="32"/>
      <c r="BI6" s="32"/>
      <c r="BJ6" s="32"/>
      <c r="BK6" s="47"/>
      <c r="BL6" s="33"/>
      <c r="BM6" s="33"/>
      <c r="BN6" s="33"/>
    </row>
    <row r="7" spans="1:66" ht="21" thickBot="1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52"/>
      <c r="L7" s="33"/>
      <c r="N7" s="53"/>
      <c r="O7" s="1330"/>
      <c r="P7" s="953"/>
      <c r="Q7" s="525"/>
      <c r="R7" s="525"/>
      <c r="S7" s="952"/>
      <c r="T7" s="952"/>
      <c r="U7" s="952"/>
      <c r="V7" s="952"/>
      <c r="W7" s="952"/>
      <c r="X7" s="952"/>
      <c r="Y7" s="952"/>
      <c r="Z7" s="952"/>
      <c r="AA7" s="952"/>
      <c r="AB7" s="56"/>
      <c r="AC7" s="56"/>
      <c r="AD7" s="952"/>
      <c r="AE7" s="952"/>
      <c r="AF7" s="952"/>
      <c r="AG7" s="1046"/>
      <c r="AH7" s="1046"/>
      <c r="AI7" s="1046"/>
      <c r="AJ7" s="1046"/>
      <c r="AK7" s="1046"/>
      <c r="AL7" s="1046"/>
      <c r="AM7" s="1046"/>
      <c r="AN7" s="1046"/>
      <c r="AO7" s="1046"/>
      <c r="AP7" s="1046"/>
      <c r="AQ7" s="1046"/>
      <c r="AR7" s="1046"/>
      <c r="AS7" s="1046"/>
      <c r="AT7" s="1046"/>
      <c r="AU7" s="960"/>
      <c r="AV7" s="960"/>
      <c r="AW7" s="960"/>
      <c r="AX7" s="1334"/>
      <c r="AY7" s="1335"/>
      <c r="AZ7" s="1334"/>
      <c r="BA7" s="1340"/>
      <c r="BB7" s="1341"/>
      <c r="BC7" s="1347"/>
      <c r="BD7" s="1210"/>
      <c r="BE7" s="1348"/>
      <c r="BF7" s="982"/>
      <c r="BG7" s="982"/>
      <c r="BH7" s="1051"/>
      <c r="BI7" s="68"/>
      <c r="BJ7" s="68"/>
      <c r="BK7" s="68"/>
      <c r="BL7" s="33"/>
      <c r="BM7" s="33"/>
      <c r="BN7" s="33"/>
    </row>
    <row r="8" spans="1:66" ht="20.25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52"/>
      <c r="L8" s="33"/>
      <c r="N8" s="53"/>
      <c r="O8" s="1330"/>
      <c r="P8" s="954"/>
      <c r="Q8" s="525"/>
      <c r="R8" s="525"/>
      <c r="S8" s="955"/>
      <c r="T8" s="955"/>
      <c r="U8" s="955"/>
      <c r="V8" s="955"/>
      <c r="W8" s="955"/>
      <c r="X8" s="955"/>
      <c r="Y8" s="955"/>
      <c r="Z8" s="955"/>
      <c r="AA8" s="952"/>
      <c r="AB8" s="56"/>
      <c r="AC8" s="56"/>
      <c r="AD8" s="952"/>
      <c r="AE8" s="952"/>
      <c r="AF8" s="952"/>
      <c r="AG8" s="960"/>
      <c r="AH8" s="960"/>
      <c r="AI8" s="960"/>
      <c r="AJ8" s="960"/>
      <c r="AK8" s="960"/>
      <c r="AL8" s="960"/>
      <c r="AM8" s="960"/>
      <c r="AN8" s="960"/>
      <c r="AO8" s="960"/>
      <c r="AP8" s="960"/>
      <c r="AQ8" s="960"/>
      <c r="AR8" s="960"/>
      <c r="AS8" s="960"/>
      <c r="AT8" s="960"/>
      <c r="AU8" s="960"/>
      <c r="AV8" s="960"/>
      <c r="AW8" s="960"/>
      <c r="AX8" s="1334"/>
      <c r="AY8" s="1335"/>
      <c r="AZ8" s="1334"/>
      <c r="BA8" s="1340"/>
      <c r="BB8" s="1341"/>
      <c r="BC8" s="1347"/>
      <c r="BD8" s="1210"/>
      <c r="BE8" s="1348"/>
      <c r="BF8" s="1303"/>
      <c r="BG8" s="1304"/>
      <c r="BH8" s="943"/>
      <c r="BI8" s="41"/>
      <c r="BJ8" s="41"/>
      <c r="BK8" s="41"/>
      <c r="BL8" s="33"/>
      <c r="BM8" s="33"/>
      <c r="BN8" s="33"/>
    </row>
    <row r="9" spans="1:66" ht="21" thickBot="1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52"/>
      <c r="L9" s="33"/>
      <c r="N9" s="53"/>
      <c r="O9" s="1330"/>
      <c r="P9" s="954"/>
      <c r="Q9" s="525"/>
      <c r="R9" s="525"/>
      <c r="S9" s="1259"/>
      <c r="T9" s="1259"/>
      <c r="U9" s="1259"/>
      <c r="V9" s="1259"/>
      <c r="W9" s="1259"/>
      <c r="X9" s="1259"/>
      <c r="Y9" s="1259"/>
      <c r="Z9" s="1259"/>
      <c r="AA9" s="956"/>
      <c r="AB9" s="34"/>
      <c r="AC9" s="33"/>
      <c r="AD9" s="960"/>
      <c r="AE9" s="960"/>
      <c r="AF9" s="960"/>
      <c r="AG9" s="960"/>
      <c r="AH9" s="960"/>
      <c r="AI9" s="960"/>
      <c r="AJ9" s="960"/>
      <c r="AK9" s="960"/>
      <c r="AL9" s="956"/>
      <c r="AM9" s="956"/>
      <c r="AN9" s="956"/>
      <c r="AO9" s="961"/>
      <c r="AP9" s="961"/>
      <c r="AQ9" s="961"/>
      <c r="AR9" s="961"/>
      <c r="AS9" s="958"/>
      <c r="AT9" s="958"/>
      <c r="AU9" s="324"/>
      <c r="AV9" s="960"/>
      <c r="AW9" s="950"/>
      <c r="AX9" s="1334"/>
      <c r="AY9" s="1335"/>
      <c r="AZ9" s="1334"/>
      <c r="BA9" s="1340"/>
      <c r="BB9" s="1341"/>
      <c r="BC9" s="1347"/>
      <c r="BD9" s="1210"/>
      <c r="BE9" s="1348"/>
      <c r="BF9" s="1305"/>
      <c r="BG9" s="1306"/>
      <c r="BH9" s="943"/>
      <c r="BI9" s="41"/>
      <c r="BJ9" s="41"/>
      <c r="BK9" s="41"/>
      <c r="BL9" s="33"/>
      <c r="BM9" s="33"/>
      <c r="BN9" s="33"/>
    </row>
    <row r="10" spans="1:66" ht="16.5" thickBo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3"/>
      <c r="L10" s="33"/>
      <c r="N10" s="53"/>
      <c r="O10" s="1330"/>
      <c r="P10" s="957"/>
      <c r="Q10" s="957"/>
      <c r="R10" s="957"/>
      <c r="S10" s="958"/>
      <c r="T10" s="958"/>
      <c r="U10" s="959"/>
      <c r="V10" s="959"/>
      <c r="W10" s="324"/>
      <c r="X10" s="960"/>
      <c r="Y10" s="960"/>
      <c r="Z10" s="961"/>
      <c r="AA10" s="961"/>
      <c r="AB10" s="72"/>
      <c r="AC10" s="32"/>
      <c r="AD10" s="958"/>
      <c r="AE10" s="1022"/>
      <c r="AF10" s="1309"/>
      <c r="AG10" s="1309"/>
      <c r="AH10" s="961"/>
      <c r="AI10" s="956"/>
      <c r="AJ10" s="956"/>
      <c r="AK10" s="956"/>
      <c r="AL10" s="956"/>
      <c r="AM10" s="956"/>
      <c r="AN10" s="956"/>
      <c r="AO10" s="961"/>
      <c r="AP10" s="1047"/>
      <c r="AQ10" s="958"/>
      <c r="AR10" s="324"/>
      <c r="AS10" s="324"/>
      <c r="AT10" s="958"/>
      <c r="AU10" s="958"/>
      <c r="AV10" s="960"/>
      <c r="AW10" s="950"/>
      <c r="AX10" s="1334"/>
      <c r="AY10" s="1335"/>
      <c r="AZ10" s="1334"/>
      <c r="BA10" s="1340"/>
      <c r="BB10" s="1341"/>
      <c r="BC10" s="1347"/>
      <c r="BD10" s="1210"/>
      <c r="BE10" s="1348"/>
      <c r="BF10" s="1305"/>
      <c r="BG10" s="1306"/>
      <c r="BH10" s="943"/>
      <c r="BI10" s="41"/>
      <c r="BJ10" s="41"/>
      <c r="BK10" s="41"/>
      <c r="BL10" s="33"/>
      <c r="BM10" s="33"/>
      <c r="BN10" s="33"/>
    </row>
    <row r="11" spans="1:66" ht="16.5" thickBot="1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3"/>
      <c r="L11" s="33"/>
      <c r="N11" s="53"/>
      <c r="O11" s="1331"/>
      <c r="P11" s="957"/>
      <c r="Q11" s="957"/>
      <c r="R11" s="957"/>
      <c r="S11" s="958"/>
      <c r="T11" s="958"/>
      <c r="U11" s="959"/>
      <c r="V11" s="959"/>
      <c r="W11" s="324"/>
      <c r="X11" s="960"/>
      <c r="Y11" s="960"/>
      <c r="Z11" s="961"/>
      <c r="AA11" s="961"/>
      <c r="AB11" s="72"/>
      <c r="AC11" s="34"/>
      <c r="AD11" s="324"/>
      <c r="AE11" s="324"/>
      <c r="AF11" s="1023"/>
      <c r="AG11" s="1023"/>
      <c r="AH11" s="961"/>
      <c r="AI11" s="956"/>
      <c r="AJ11" s="956"/>
      <c r="AK11" s="1024"/>
      <c r="AL11" s="1024"/>
      <c r="AM11" s="956"/>
      <c r="AN11" s="958"/>
      <c r="AO11" s="1047"/>
      <c r="AP11" s="958"/>
      <c r="AQ11" s="1047"/>
      <c r="AR11" s="324"/>
      <c r="AS11" s="324"/>
      <c r="AT11" s="958"/>
      <c r="AU11" s="958"/>
      <c r="AV11" s="960"/>
      <c r="AW11" s="950"/>
      <c r="AX11" s="1334"/>
      <c r="AY11" s="1335"/>
      <c r="AZ11" s="1334"/>
      <c r="BA11" s="1340"/>
      <c r="BB11" s="1341"/>
      <c r="BC11" s="1347"/>
      <c r="BD11" s="1210"/>
      <c r="BE11" s="1348"/>
      <c r="BF11" s="1307"/>
      <c r="BG11" s="1308"/>
      <c r="BH11" s="943"/>
      <c r="BI11" s="41"/>
      <c r="BJ11" s="41"/>
      <c r="BK11" s="41"/>
      <c r="BL11" s="33"/>
      <c r="BM11" s="33"/>
      <c r="BN11" s="33"/>
    </row>
    <row r="12" spans="1:66" ht="16.5" thickBo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3"/>
      <c r="L12" s="33"/>
      <c r="N12" s="80"/>
      <c r="O12" s="324"/>
      <c r="P12" s="324"/>
      <c r="Q12" s="957"/>
      <c r="R12" s="324"/>
      <c r="S12" s="525"/>
      <c r="T12" s="324"/>
      <c r="U12" s="324"/>
      <c r="V12" s="525"/>
      <c r="W12" s="525"/>
      <c r="X12" s="525"/>
      <c r="Y12" s="960"/>
      <c r="Z12" s="324"/>
      <c r="AA12" s="525"/>
      <c r="AC12" s="34"/>
      <c r="AD12" s="324"/>
      <c r="AE12" s="324"/>
      <c r="AF12" s="1023"/>
      <c r="AG12" s="1023"/>
      <c r="AH12" s="961"/>
      <c r="AI12" s="961"/>
      <c r="AJ12" s="961"/>
      <c r="AK12" s="1024"/>
      <c r="AL12" s="1024"/>
      <c r="AM12" s="956"/>
      <c r="AN12" s="958"/>
      <c r="AO12" s="958"/>
      <c r="AP12" s="1047"/>
      <c r="AQ12" s="958"/>
      <c r="AR12" s="324"/>
      <c r="AS12" s="324"/>
      <c r="AT12" s="958"/>
      <c r="AU12" s="958"/>
      <c r="AV12" s="960"/>
      <c r="AW12" s="950"/>
      <c r="AX12" s="1334"/>
      <c r="AY12" s="1335"/>
      <c r="AZ12" s="1334"/>
      <c r="BA12" s="1340"/>
      <c r="BB12" s="1341"/>
      <c r="BC12" s="1347"/>
      <c r="BD12" s="1210"/>
      <c r="BE12" s="1348"/>
      <c r="BF12" s="32"/>
      <c r="BG12" s="32"/>
      <c r="BH12" s="41"/>
      <c r="BI12" s="41"/>
      <c r="BJ12" s="41"/>
      <c r="BK12" s="41"/>
      <c r="BL12" s="33"/>
      <c r="BM12" s="33"/>
      <c r="BN12" s="33"/>
    </row>
    <row r="13" spans="1:66" ht="16.5" thickBot="1" x14ac:dyDescent="0.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3"/>
      <c r="L13" s="33"/>
      <c r="N13" s="80"/>
      <c r="O13" s="525"/>
      <c r="P13" s="324"/>
      <c r="Q13" s="957"/>
      <c r="R13" s="962"/>
      <c r="S13" s="962"/>
      <c r="T13" s="525"/>
      <c r="U13" s="324"/>
      <c r="V13" s="525"/>
      <c r="W13" s="525"/>
      <c r="X13" s="525"/>
      <c r="Y13" s="324"/>
      <c r="Z13" s="324"/>
      <c r="AA13" s="525"/>
      <c r="AC13" s="34"/>
      <c r="AD13" s="324"/>
      <c r="AE13" s="961"/>
      <c r="AF13" s="1023"/>
      <c r="AG13" s="1023"/>
      <c r="AH13" s="961"/>
      <c r="AI13" s="961"/>
      <c r="AJ13" s="961"/>
      <c r="AK13" s="1024"/>
      <c r="AL13" s="1024"/>
      <c r="AM13" s="956"/>
      <c r="AN13" s="956"/>
      <c r="AO13" s="958"/>
      <c r="AP13" s="958"/>
      <c r="AQ13" s="958"/>
      <c r="AR13" s="324"/>
      <c r="AS13" s="324"/>
      <c r="AT13" s="958"/>
      <c r="AU13" s="958"/>
      <c r="AV13" s="960"/>
      <c r="AW13" s="950"/>
      <c r="AX13" s="1334"/>
      <c r="AY13" s="1335"/>
      <c r="AZ13" s="1334"/>
      <c r="BA13" s="1340"/>
      <c r="BB13" s="1341"/>
      <c r="BC13" s="1347"/>
      <c r="BD13" s="1210"/>
      <c r="BE13" s="1348"/>
      <c r="BF13" s="32"/>
      <c r="BG13" s="32"/>
      <c r="BH13" s="41"/>
      <c r="BI13" s="41"/>
      <c r="BJ13" s="41"/>
      <c r="BK13" s="41"/>
      <c r="BL13" s="33"/>
      <c r="BM13" s="33"/>
      <c r="BN13" s="33"/>
    </row>
    <row r="14" spans="1:66" ht="16.5" thickBo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3"/>
      <c r="L14" s="33"/>
      <c r="N14" s="80"/>
      <c r="O14" s="963"/>
      <c r="P14" s="324"/>
      <c r="Q14" s="957"/>
      <c r="R14" s="962"/>
      <c r="S14" s="962"/>
      <c r="T14" s="525"/>
      <c r="U14" s="324"/>
      <c r="V14" s="525"/>
      <c r="W14" s="525"/>
      <c r="X14" s="525"/>
      <c r="Y14" s="324"/>
      <c r="Z14" s="324"/>
      <c r="AA14" s="324"/>
      <c r="AB14" s="34"/>
      <c r="AC14" s="34"/>
      <c r="AD14" s="324"/>
      <c r="AE14" s="961"/>
      <c r="AF14" s="1025"/>
      <c r="AG14" s="1025"/>
      <c r="AH14" s="525"/>
      <c r="AI14" s="961"/>
      <c r="AJ14" s="961"/>
      <c r="AK14" s="961"/>
      <c r="AL14" s="961"/>
      <c r="AM14" s="961"/>
      <c r="AN14" s="956"/>
      <c r="AO14" s="956"/>
      <c r="AP14" s="961"/>
      <c r="AQ14" s="961"/>
      <c r="AR14" s="958"/>
      <c r="AS14" s="958"/>
      <c r="AT14" s="958"/>
      <c r="AU14" s="958"/>
      <c r="AV14" s="960"/>
      <c r="AW14" s="961"/>
      <c r="AX14" s="1336"/>
      <c r="AY14" s="1337"/>
      <c r="AZ14" s="1336"/>
      <c r="BA14" s="1342"/>
      <c r="BB14" s="1343"/>
      <c r="BC14" s="1349"/>
      <c r="BD14" s="1350"/>
      <c r="BE14" s="1351"/>
      <c r="BF14" s="32"/>
      <c r="BG14" s="32"/>
      <c r="BH14" s="41"/>
      <c r="BI14" s="41"/>
      <c r="BJ14" s="41"/>
      <c r="BK14" s="41"/>
      <c r="BL14" s="33"/>
      <c r="BM14" s="33"/>
      <c r="BN14" s="33"/>
    </row>
    <row r="15" spans="1:66" ht="21" thickBo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3"/>
      <c r="L15" s="33"/>
      <c r="N15" s="80"/>
      <c r="O15" s="963"/>
      <c r="P15" s="964"/>
      <c r="Q15" s="964"/>
      <c r="R15" s="962"/>
      <c r="S15" s="962"/>
      <c r="T15" s="324"/>
      <c r="U15" s="960"/>
      <c r="V15" s="525"/>
      <c r="W15" s="525"/>
      <c r="X15" s="525"/>
      <c r="Y15" s="960"/>
      <c r="Z15" s="960"/>
      <c r="AA15" s="960"/>
      <c r="AB15" s="33"/>
      <c r="AC15" s="33"/>
      <c r="AD15" s="960"/>
      <c r="AE15" s="961"/>
      <c r="AF15" s="1310"/>
      <c r="AG15" s="1311"/>
      <c r="AH15" s="525"/>
      <c r="AI15" s="961"/>
      <c r="AJ15" s="961"/>
      <c r="AK15" s="961"/>
      <c r="AL15" s="958"/>
      <c r="AM15" s="941"/>
      <c r="AN15" s="1048"/>
      <c r="AO15" s="1048"/>
      <c r="AP15" s="961"/>
      <c r="AQ15" s="961"/>
      <c r="AR15" s="958"/>
      <c r="AS15" s="958"/>
      <c r="AT15" s="958"/>
      <c r="AU15" s="948"/>
      <c r="AV15" s="948"/>
      <c r="AW15" s="1049"/>
      <c r="AX15" s="982"/>
      <c r="AY15" s="982"/>
      <c r="AZ15" s="982"/>
      <c r="BA15" s="958"/>
      <c r="BB15" s="958"/>
      <c r="BC15" s="958"/>
      <c r="BD15" s="958"/>
      <c r="BE15" s="1030"/>
      <c r="BF15" s="32"/>
      <c r="BG15" s="32"/>
      <c r="BH15" s="41"/>
      <c r="BI15" s="41"/>
      <c r="BJ15" s="41"/>
      <c r="BK15" s="41"/>
      <c r="BL15" s="33"/>
      <c r="BM15" s="33"/>
      <c r="BN15" s="33"/>
    </row>
    <row r="16" spans="1:66" ht="15.75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3"/>
      <c r="L16" s="33"/>
      <c r="N16" s="80"/>
      <c r="O16" s="963"/>
      <c r="P16" s="965"/>
      <c r="Q16" s="324"/>
      <c r="R16" s="960"/>
      <c r="S16" s="960"/>
      <c r="T16" s="960"/>
      <c r="U16" s="960"/>
      <c r="V16" s="324"/>
      <c r="W16" s="324"/>
      <c r="X16" s="324"/>
      <c r="Y16" s="960"/>
      <c r="Z16" s="960"/>
      <c r="AA16" s="960"/>
      <c r="AB16" s="33"/>
      <c r="AC16" s="33"/>
      <c r="AD16" s="960"/>
      <c r="AE16" s="961"/>
      <c r="AF16" s="961"/>
      <c r="AG16" s="525"/>
      <c r="AH16" s="525"/>
      <c r="AI16" s="961"/>
      <c r="AJ16" s="961"/>
      <c r="AK16" s="961"/>
      <c r="AL16" s="958"/>
      <c r="AM16" s="1026"/>
      <c r="AN16" s="1027"/>
      <c r="AO16" s="961"/>
      <c r="AP16" s="1312"/>
      <c r="AQ16" s="1313"/>
      <c r="AR16" s="1313"/>
      <c r="AS16" s="1313"/>
      <c r="AT16" s="1314"/>
      <c r="AU16" s="958"/>
      <c r="AV16" s="958"/>
      <c r="AW16" s="958"/>
      <c r="AX16" s="958"/>
      <c r="AY16" s="958"/>
      <c r="AZ16" s="958"/>
      <c r="BA16" s="958"/>
      <c r="BB16" s="958"/>
      <c r="BC16" s="958"/>
      <c r="BD16" s="958"/>
      <c r="BE16" s="1031"/>
      <c r="BF16" s="47"/>
      <c r="BG16" s="47"/>
      <c r="BH16" s="41"/>
      <c r="BI16" s="41"/>
      <c r="BJ16" s="41"/>
      <c r="BK16" s="41"/>
      <c r="BL16" s="33"/>
      <c r="BM16" s="33"/>
      <c r="BN16" s="33"/>
    </row>
    <row r="17" spans="1:66" ht="23.25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3"/>
      <c r="L17" s="33"/>
      <c r="N17" s="80"/>
      <c r="O17" s="963"/>
      <c r="P17" s="952"/>
      <c r="Q17" s="966"/>
      <c r="R17" s="960"/>
      <c r="S17" s="960"/>
      <c r="T17" s="960"/>
      <c r="U17" s="960"/>
      <c r="V17" s="324"/>
      <c r="W17" s="967"/>
      <c r="X17" s="967"/>
      <c r="Y17" s="964"/>
      <c r="Z17" s="960"/>
      <c r="AA17" s="960"/>
      <c r="AB17" s="33"/>
      <c r="AC17" s="33"/>
      <c r="AD17" s="525"/>
      <c r="AE17" s="961"/>
      <c r="AF17" s="961"/>
      <c r="AG17" s="961"/>
      <c r="AH17" s="961"/>
      <c r="AI17" s="961"/>
      <c r="AJ17" s="961"/>
      <c r="AK17" s="961"/>
      <c r="AL17" s="1026"/>
      <c r="AM17" s="961"/>
      <c r="AN17" s="961"/>
      <c r="AO17" s="961"/>
      <c r="AP17" s="1315"/>
      <c r="AQ17" s="1316"/>
      <c r="AR17" s="1316"/>
      <c r="AS17" s="1316"/>
      <c r="AT17" s="1317"/>
      <c r="AU17" s="958"/>
      <c r="AV17" s="958"/>
      <c r="AW17" s="1050"/>
      <c r="AX17" s="958"/>
      <c r="AY17" s="958"/>
      <c r="AZ17" s="1321"/>
      <c r="BA17" s="1321"/>
      <c r="BB17" s="958"/>
      <c r="BC17" s="961"/>
      <c r="BD17" s="961"/>
      <c r="BE17" s="1032"/>
      <c r="BF17" s="47"/>
      <c r="BG17" s="47"/>
      <c r="BH17" s="41"/>
      <c r="BI17" s="41"/>
      <c r="BJ17" s="41"/>
      <c r="BK17" s="41"/>
      <c r="BL17" s="33"/>
      <c r="BM17" s="33"/>
      <c r="BN17" s="33"/>
    </row>
    <row r="18" spans="1:66" ht="20.25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3"/>
      <c r="L18" s="33"/>
      <c r="N18" s="80"/>
      <c r="O18" s="966"/>
      <c r="P18" s="952"/>
      <c r="Q18" s="966"/>
      <c r="R18" s="960"/>
      <c r="S18" s="960"/>
      <c r="T18" s="960"/>
      <c r="U18" s="960"/>
      <c r="V18" s="324"/>
      <c r="W18" s="967"/>
      <c r="X18" s="967"/>
      <c r="Y18" s="960"/>
      <c r="Z18" s="960"/>
      <c r="AA18" s="960"/>
      <c r="AB18" s="33"/>
      <c r="AC18" s="33"/>
      <c r="AD18" s="525"/>
      <c r="AE18" s="961"/>
      <c r="AF18" s="961"/>
      <c r="AG18" s="961"/>
      <c r="AH18" s="958"/>
      <c r="AI18" s="958"/>
      <c r="AJ18" s="958"/>
      <c r="AK18" s="1026"/>
      <c r="AL18" s="1027"/>
      <c r="AM18" s="961"/>
      <c r="AN18" s="961"/>
      <c r="AO18" s="961"/>
      <c r="AP18" s="1315"/>
      <c r="AQ18" s="1316"/>
      <c r="AR18" s="1316"/>
      <c r="AS18" s="1316"/>
      <c r="AT18" s="1317"/>
      <c r="AU18" s="958"/>
      <c r="AV18" s="958"/>
      <c r="AW18" s="958"/>
      <c r="AX18" s="958"/>
      <c r="AY18" s="958"/>
      <c r="AZ18" s="1023"/>
      <c r="BA18" s="1023"/>
      <c r="BB18" s="958"/>
      <c r="BC18" s="961"/>
      <c r="BD18" s="961"/>
      <c r="BE18" s="1033"/>
      <c r="BF18" s="47"/>
      <c r="BG18" s="47"/>
      <c r="BH18" s="41"/>
      <c r="BI18" s="41"/>
      <c r="BJ18" s="41"/>
      <c r="BK18" s="41"/>
      <c r="BL18" s="33"/>
      <c r="BM18" s="33"/>
      <c r="BN18" s="33"/>
    </row>
    <row r="19" spans="1:66" ht="21" thickBot="1" x14ac:dyDescent="0.3">
      <c r="A19" s="34"/>
      <c r="B19" s="34"/>
      <c r="C19" s="34"/>
      <c r="D19" s="52"/>
      <c r="E19" s="52"/>
      <c r="F19" s="52"/>
      <c r="G19" s="52"/>
      <c r="H19" s="52"/>
      <c r="I19" s="52"/>
      <c r="J19" s="52"/>
      <c r="K19" s="33"/>
      <c r="L19" s="33"/>
      <c r="N19" s="80"/>
      <c r="O19" s="92"/>
      <c r="P19" s="56"/>
      <c r="Q19" s="92"/>
      <c r="R19" s="34"/>
      <c r="S19" s="33"/>
      <c r="T19" s="52"/>
      <c r="U19" s="961"/>
      <c r="V19" s="958"/>
      <c r="W19" s="968"/>
      <c r="X19" s="968"/>
      <c r="Y19" s="525"/>
      <c r="Z19" s="525"/>
      <c r="AB19" s="34"/>
      <c r="AC19" s="34"/>
      <c r="AD19" s="525"/>
      <c r="AE19" s="961"/>
      <c r="AF19" s="961"/>
      <c r="AG19" s="961"/>
      <c r="AH19" s="1028"/>
      <c r="AI19" s="1014"/>
      <c r="AJ19" s="958"/>
      <c r="AK19" s="1029"/>
      <c r="AL19" s="961"/>
      <c r="AM19" s="961"/>
      <c r="AN19" s="961"/>
      <c r="AO19" s="961"/>
      <c r="AP19" s="1315"/>
      <c r="AQ19" s="1316"/>
      <c r="AR19" s="1316"/>
      <c r="AS19" s="1316"/>
      <c r="AT19" s="1317"/>
      <c r="AU19" s="958"/>
      <c r="AV19" s="958"/>
      <c r="AW19" s="958"/>
      <c r="AX19" s="958"/>
      <c r="AY19" s="958"/>
      <c r="AZ19" s="1023"/>
      <c r="BA19" s="1023"/>
      <c r="BB19" s="958"/>
      <c r="BC19" s="961"/>
      <c r="BD19" s="961"/>
      <c r="BE19" s="1033"/>
      <c r="BF19" s="47"/>
      <c r="BG19" s="47"/>
      <c r="BH19" s="41"/>
      <c r="BI19" s="41"/>
      <c r="BJ19" s="41"/>
      <c r="BK19" s="41"/>
      <c r="BL19" s="33"/>
      <c r="BM19" s="33"/>
      <c r="BN19" s="33"/>
    </row>
    <row r="20" spans="1:66" ht="21" thickBot="1" x14ac:dyDescent="0.3">
      <c r="A20" s="34"/>
      <c r="B20" s="34"/>
      <c r="C20" s="52"/>
      <c r="D20" s="52"/>
      <c r="E20" s="52"/>
      <c r="F20" s="52"/>
      <c r="G20" s="52"/>
      <c r="H20" s="52"/>
      <c r="I20" s="52"/>
      <c r="J20" s="52"/>
      <c r="K20" s="33"/>
      <c r="L20" s="33"/>
      <c r="N20" s="80"/>
      <c r="O20" s="92"/>
      <c r="P20" s="56"/>
      <c r="Q20" s="92"/>
      <c r="R20" s="34"/>
      <c r="S20" s="33"/>
      <c r="T20" s="52"/>
      <c r="U20" s="958"/>
      <c r="V20" s="969"/>
      <c r="W20" s="1322"/>
      <c r="X20" s="1323"/>
      <c r="Y20" s="969"/>
      <c r="Z20" s="525"/>
      <c r="AB20" s="72"/>
      <c r="AC20" s="72"/>
      <c r="AD20" s="961"/>
      <c r="AE20" s="1022"/>
      <c r="AF20" s="961"/>
      <c r="AG20" s="961"/>
      <c r="AH20" s="958"/>
      <c r="AI20" s="958"/>
      <c r="AJ20" s="958"/>
      <c r="AK20" s="958"/>
      <c r="AL20" s="941"/>
      <c r="AM20" s="956"/>
      <c r="AN20" s="956"/>
      <c r="AO20" s="956"/>
      <c r="AP20" s="1315"/>
      <c r="AQ20" s="1316"/>
      <c r="AR20" s="1316"/>
      <c r="AS20" s="1316"/>
      <c r="AT20" s="1317"/>
      <c r="AU20" s="958"/>
      <c r="AV20" s="958"/>
      <c r="AW20" s="958"/>
      <c r="AX20" s="958"/>
      <c r="AY20" s="958"/>
      <c r="AZ20" s="1023"/>
      <c r="BA20" s="1023"/>
      <c r="BB20" s="958"/>
      <c r="BC20" s="961"/>
      <c r="BD20" s="961"/>
      <c r="BE20" s="1033"/>
      <c r="BF20" s="47"/>
      <c r="BG20" s="47"/>
      <c r="BH20" s="41"/>
      <c r="BI20" s="41"/>
      <c r="BJ20" s="41"/>
      <c r="BK20" s="41"/>
      <c r="BL20" s="33"/>
      <c r="BM20" s="33"/>
      <c r="BN20" s="33"/>
    </row>
    <row r="21" spans="1:66" ht="20.25" x14ac:dyDescent="0.25">
      <c r="A21" s="34"/>
      <c r="B21" s="34"/>
      <c r="C21" s="52"/>
      <c r="D21" s="52"/>
      <c r="E21" s="52"/>
      <c r="F21" s="52"/>
      <c r="G21" s="52"/>
      <c r="H21" s="52"/>
      <c r="I21" s="52"/>
      <c r="J21" s="52"/>
      <c r="K21" s="33"/>
      <c r="L21" s="33"/>
      <c r="N21" s="80"/>
      <c r="O21" s="92"/>
      <c r="P21" s="56"/>
      <c r="Q21" s="92"/>
      <c r="R21" s="33"/>
      <c r="S21" s="33"/>
      <c r="T21" s="47"/>
      <c r="U21" s="958"/>
      <c r="V21" s="525"/>
      <c r="W21" s="970"/>
      <c r="X21" s="970"/>
      <c r="Y21" s="525"/>
      <c r="Z21" s="525"/>
      <c r="AB21" s="103"/>
      <c r="AC21" s="103"/>
      <c r="AD21" s="987"/>
      <c r="AE21" s="1022"/>
      <c r="AF21" s="958"/>
      <c r="AG21" s="958"/>
      <c r="AH21" s="958"/>
      <c r="AI21" s="958"/>
      <c r="AJ21" s="958"/>
      <c r="AK21" s="958"/>
      <c r="AL21" s="958"/>
      <c r="AM21" s="956"/>
      <c r="AN21" s="956"/>
      <c r="AO21" s="956"/>
      <c r="AP21" s="1315"/>
      <c r="AQ21" s="1316"/>
      <c r="AR21" s="1316"/>
      <c r="AS21" s="1316"/>
      <c r="AT21" s="1317"/>
      <c r="AU21" s="958"/>
      <c r="AV21" s="961"/>
      <c r="AW21" s="961"/>
      <c r="AX21" s="958"/>
      <c r="AY21" s="958"/>
      <c r="AZ21" s="1324"/>
      <c r="BA21" s="1324"/>
      <c r="BB21" s="958"/>
      <c r="BC21" s="961"/>
      <c r="BD21" s="961"/>
      <c r="BE21" s="1033"/>
      <c r="BF21" s="47"/>
      <c r="BG21" s="47"/>
      <c r="BH21" s="47"/>
      <c r="BI21" s="41"/>
      <c r="BJ21" s="41"/>
      <c r="BK21" s="41"/>
      <c r="BL21" s="33"/>
      <c r="BM21" s="33"/>
      <c r="BN21" s="33"/>
    </row>
    <row r="22" spans="1:66" ht="21" thickBot="1" x14ac:dyDescent="0.3">
      <c r="A22" s="34"/>
      <c r="B22" s="34"/>
      <c r="C22" s="52"/>
      <c r="D22" s="52"/>
      <c r="E22" s="52"/>
      <c r="F22" s="52"/>
      <c r="G22" s="52"/>
      <c r="H22" s="52"/>
      <c r="I22" s="52"/>
      <c r="J22" s="52"/>
      <c r="K22" s="33"/>
      <c r="L22" s="33"/>
      <c r="N22" s="53"/>
      <c r="O22" s="92"/>
      <c r="P22" s="56"/>
      <c r="Q22" s="92"/>
      <c r="R22" s="33"/>
      <c r="S22" s="47"/>
      <c r="T22" s="47"/>
      <c r="U22" s="958"/>
      <c r="V22" s="958"/>
      <c r="W22" s="525"/>
      <c r="X22" s="525"/>
      <c r="Y22" s="961"/>
      <c r="Z22" s="961"/>
      <c r="AA22" s="72"/>
      <c r="AB22" s="72"/>
      <c r="AC22" s="961"/>
      <c r="AD22" s="961"/>
      <c r="AE22" s="959"/>
      <c r="AF22" s="987"/>
      <c r="AG22" s="959"/>
      <c r="AH22" s="961"/>
      <c r="AI22" s="961"/>
      <c r="AJ22" s="958"/>
      <c r="AK22" s="961"/>
      <c r="AL22" s="958"/>
      <c r="AM22" s="956"/>
      <c r="AN22" s="956"/>
      <c r="AO22" s="956"/>
      <c r="AP22" s="1318"/>
      <c r="AQ22" s="1319"/>
      <c r="AR22" s="1319"/>
      <c r="AS22" s="1319"/>
      <c r="AT22" s="1320"/>
      <c r="AU22" s="958"/>
      <c r="AV22" s="961"/>
      <c r="AW22" s="961"/>
      <c r="AX22" s="958"/>
      <c r="AY22" s="958"/>
      <c r="AZ22" s="1034"/>
      <c r="BA22" s="1034"/>
      <c r="BB22" s="958"/>
      <c r="BC22" s="961"/>
      <c r="BD22" s="961"/>
      <c r="BE22" s="1033"/>
      <c r="BF22" s="47"/>
      <c r="BG22" s="47"/>
      <c r="BH22" s="41"/>
      <c r="BI22" s="47"/>
      <c r="BJ22" s="47"/>
      <c r="BK22" s="47"/>
      <c r="BL22" s="33"/>
      <c r="BM22" s="33"/>
      <c r="BN22" s="33"/>
    </row>
    <row r="23" spans="1:66" ht="21" x14ac:dyDescent="0.25">
      <c r="A23" s="34"/>
      <c r="B23" s="34"/>
      <c r="C23" s="52"/>
      <c r="D23" s="52"/>
      <c r="E23" s="52"/>
      <c r="F23" s="52"/>
      <c r="G23" s="52"/>
      <c r="H23" s="52"/>
      <c r="I23" s="52"/>
      <c r="J23" s="52"/>
      <c r="K23" s="33"/>
      <c r="L23" s="33"/>
      <c r="N23" s="53"/>
      <c r="O23" s="92"/>
      <c r="P23" s="56"/>
      <c r="Q23" s="92"/>
      <c r="U23" s="525"/>
      <c r="V23" s="971"/>
      <c r="W23" s="971"/>
      <c r="X23" s="971"/>
      <c r="Y23" s="964"/>
      <c r="Z23" s="525"/>
      <c r="AA23" s="84"/>
      <c r="AB23" s="84"/>
      <c r="AC23" s="961"/>
      <c r="AD23" s="987"/>
      <c r="AE23" s="959"/>
      <c r="AF23" s="988"/>
      <c r="AG23" s="958"/>
      <c r="AH23" s="961"/>
      <c r="AI23" s="961"/>
      <c r="AJ23" s="958"/>
      <c r="AK23" s="961"/>
      <c r="AL23" s="958"/>
      <c r="AM23" s="956"/>
      <c r="AN23" s="956"/>
      <c r="AO23" s="956"/>
      <c r="AP23" s="956"/>
      <c r="AQ23" s="956"/>
      <c r="AR23" s="956"/>
      <c r="AS23" s="956"/>
      <c r="AT23" s="956"/>
      <c r="AU23" s="958"/>
      <c r="AV23" s="961"/>
      <c r="AW23" s="961"/>
      <c r="AX23" s="958"/>
      <c r="AY23" s="958"/>
      <c r="AZ23" s="1034"/>
      <c r="BA23" s="1034"/>
      <c r="BB23" s="525"/>
      <c r="BC23" s="525"/>
      <c r="BD23" s="961"/>
      <c r="BE23" s="1032"/>
      <c r="BF23" s="47"/>
      <c r="BG23" s="47"/>
      <c r="BH23" s="41"/>
      <c r="BI23" s="47"/>
      <c r="BJ23" s="47"/>
      <c r="BK23" s="47"/>
      <c r="BL23" s="33"/>
      <c r="BM23" s="33"/>
      <c r="BN23" s="33"/>
    </row>
    <row r="24" spans="1:66" ht="20.25" x14ac:dyDescent="0.25">
      <c r="A24" s="34"/>
      <c r="B24" s="34"/>
      <c r="C24" s="52"/>
      <c r="D24" s="52"/>
      <c r="E24" s="52"/>
      <c r="F24" s="52"/>
      <c r="G24" s="52"/>
      <c r="H24" s="52"/>
      <c r="I24" s="52"/>
      <c r="J24" s="52"/>
      <c r="K24" s="33"/>
      <c r="L24" s="33"/>
      <c r="N24" s="53"/>
      <c r="O24" s="966"/>
      <c r="P24" s="952"/>
      <c r="Q24" s="966"/>
      <c r="R24" s="525"/>
      <c r="S24" s="525"/>
      <c r="T24" s="525"/>
      <c r="U24" s="525"/>
      <c r="V24" s="972"/>
      <c r="W24" s="972"/>
      <c r="X24" s="972"/>
      <c r="Y24" s="972"/>
      <c r="Z24" s="972"/>
      <c r="AA24" s="972"/>
      <c r="AB24" s="107"/>
      <c r="AC24" s="989"/>
      <c r="AD24" s="987"/>
      <c r="AE24" s="988"/>
      <c r="AF24" s="961"/>
      <c r="AG24" s="993"/>
      <c r="AH24" s="960"/>
      <c r="AI24" s="961"/>
      <c r="AJ24" s="958"/>
      <c r="AK24" s="961"/>
      <c r="AL24" s="958"/>
      <c r="AM24" s="956"/>
      <c r="AN24" s="956"/>
      <c r="AO24" s="956"/>
      <c r="AP24" s="956"/>
      <c r="AQ24" s="956"/>
      <c r="AR24" s="956"/>
      <c r="AS24" s="961"/>
      <c r="AT24" s="324"/>
      <c r="AU24" s="958"/>
      <c r="AV24" s="961"/>
      <c r="AW24" s="961"/>
      <c r="AX24" s="958"/>
      <c r="AY24" s="958"/>
      <c r="AZ24" s="1034"/>
      <c r="BA24" s="1034"/>
      <c r="BB24" s="525"/>
      <c r="BC24" s="525"/>
      <c r="BD24" s="961"/>
      <c r="BE24" s="1032"/>
      <c r="BF24" s="47"/>
      <c r="BG24" s="47"/>
      <c r="BH24" s="41"/>
      <c r="BI24" s="47"/>
      <c r="BJ24" s="47"/>
      <c r="BK24" s="47"/>
      <c r="BL24" s="33"/>
      <c r="BM24" s="33"/>
      <c r="BN24" s="33"/>
    </row>
    <row r="25" spans="1:66" ht="20.25" x14ac:dyDescent="0.25">
      <c r="A25" s="34"/>
      <c r="B25" s="34"/>
      <c r="C25" s="52"/>
      <c r="N25" s="110"/>
      <c r="O25" s="966"/>
      <c r="P25" s="525"/>
      <c r="Q25" s="525"/>
      <c r="R25" s="525"/>
      <c r="S25" s="525"/>
      <c r="T25" s="525"/>
      <c r="U25" s="525"/>
      <c r="V25" s="973"/>
      <c r="W25" s="973"/>
      <c r="X25" s="973"/>
      <c r="Y25" s="952"/>
      <c r="Z25" s="952"/>
      <c r="AA25" s="952"/>
      <c r="AB25" s="56"/>
      <c r="AC25" s="953"/>
      <c r="AD25" s="990"/>
      <c r="AE25" s="991"/>
      <c r="AF25" s="961"/>
      <c r="AG25" s="993"/>
      <c r="AH25" s="960"/>
      <c r="AI25" s="72"/>
      <c r="AJ25" s="47"/>
      <c r="AK25" s="72"/>
      <c r="AL25" s="47"/>
      <c r="AM25" s="71"/>
      <c r="AN25" s="71"/>
      <c r="AO25" s="71"/>
      <c r="AP25" s="71"/>
      <c r="AQ25" s="71"/>
      <c r="AR25" s="71"/>
      <c r="AS25" s="47"/>
      <c r="AT25" s="72"/>
      <c r="AU25" s="72"/>
      <c r="AV25" s="72"/>
      <c r="AW25" s="72"/>
      <c r="AX25" s="47"/>
      <c r="AY25" s="47"/>
      <c r="AZ25" s="525"/>
      <c r="BA25" s="525"/>
      <c r="BB25" s="525"/>
      <c r="BC25" s="525"/>
      <c r="BD25" s="961"/>
      <c r="BE25" s="1035"/>
      <c r="BF25" s="47"/>
      <c r="BG25" s="47"/>
      <c r="BH25" s="41"/>
      <c r="BI25" s="47"/>
      <c r="BJ25" s="47"/>
      <c r="BK25" s="47"/>
      <c r="BL25" s="33"/>
      <c r="BM25" s="33"/>
      <c r="BN25" s="33"/>
    </row>
    <row r="26" spans="1:66" ht="23.25" x14ac:dyDescent="0.25">
      <c r="A26" s="34"/>
      <c r="B26" s="34"/>
      <c r="C26" s="52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0"/>
      <c r="O26" s="974"/>
      <c r="P26" s="964"/>
      <c r="Q26" s="525"/>
      <c r="R26" s="525"/>
      <c r="S26" s="525"/>
      <c r="T26" s="525"/>
      <c r="U26" s="525"/>
      <c r="V26" s="975"/>
      <c r="W26" s="975"/>
      <c r="X26" s="975"/>
      <c r="Y26" s="976"/>
      <c r="Z26" s="976"/>
      <c r="AA26" s="977"/>
      <c r="AB26" s="119"/>
      <c r="AC26" s="952"/>
      <c r="AD26" s="980"/>
      <c r="AE26" s="991"/>
      <c r="AF26" s="961"/>
      <c r="AG26" s="993"/>
      <c r="AH26" s="960"/>
      <c r="AI26" s="72"/>
      <c r="AJ26" s="72"/>
      <c r="AK26" s="121"/>
      <c r="AL26" s="47"/>
      <c r="AM26" s="71"/>
      <c r="AN26" s="71"/>
      <c r="AO26" s="71"/>
      <c r="AP26" s="71"/>
      <c r="AQ26" s="71"/>
      <c r="AR26" s="72"/>
      <c r="AS26" s="122"/>
      <c r="AT26" s="72"/>
      <c r="AU26" s="72"/>
      <c r="AV26" s="47"/>
      <c r="AW26" s="47"/>
      <c r="AX26" s="47"/>
      <c r="AY26" s="47"/>
      <c r="AZ26" s="525"/>
      <c r="BA26" s="525"/>
      <c r="BB26" s="525"/>
      <c r="BC26" s="525"/>
      <c r="BD26" s="961"/>
      <c r="BE26" s="1031"/>
      <c r="BF26" s="47"/>
      <c r="BG26" s="47"/>
      <c r="BH26" s="41"/>
      <c r="BI26" s="47"/>
      <c r="BJ26" s="47"/>
      <c r="BK26" s="47"/>
      <c r="BL26" s="33"/>
      <c r="BM26" s="33"/>
      <c r="BN26" s="33"/>
    </row>
    <row r="27" spans="1:66" ht="15.75" x14ac:dyDescent="0.25">
      <c r="A27" s="34"/>
      <c r="B27" s="52"/>
      <c r="C27" s="52"/>
      <c r="N27" s="110"/>
      <c r="O27" s="960"/>
      <c r="P27" s="960"/>
      <c r="Q27" s="960"/>
      <c r="R27" s="960"/>
      <c r="S27" s="960"/>
      <c r="T27" s="960"/>
      <c r="U27" s="960"/>
      <c r="V27" s="960"/>
      <c r="W27" s="960"/>
      <c r="X27" s="960"/>
      <c r="Y27" s="958"/>
      <c r="Z27" s="958"/>
      <c r="AA27" s="961"/>
      <c r="AB27" s="72"/>
      <c r="AC27" s="961"/>
      <c r="AD27" s="969"/>
      <c r="AE27" s="958"/>
      <c r="AF27" s="961"/>
      <c r="AG27" s="993"/>
      <c r="AH27" s="960"/>
      <c r="AI27" s="72"/>
      <c r="AJ27" s="47"/>
      <c r="AK27" s="47"/>
      <c r="AL27" s="47"/>
      <c r="AM27" s="71"/>
      <c r="AN27" s="71"/>
      <c r="AO27" s="71"/>
      <c r="AP27" s="71"/>
      <c r="AQ27" s="71"/>
      <c r="AR27" s="72"/>
      <c r="AS27" s="47"/>
      <c r="AT27" s="72"/>
      <c r="AU27" s="72"/>
      <c r="AV27" s="47"/>
      <c r="AW27" s="47"/>
      <c r="AX27" s="47"/>
      <c r="AY27" s="47"/>
      <c r="AZ27" s="525"/>
      <c r="BA27" s="525"/>
      <c r="BB27" s="525"/>
      <c r="BC27" s="525"/>
      <c r="BD27" s="961"/>
      <c r="BE27" s="1031"/>
      <c r="BF27" s="47"/>
      <c r="BG27" s="47"/>
      <c r="BH27" s="41"/>
      <c r="BI27" s="47"/>
      <c r="BJ27" s="47"/>
      <c r="BK27" s="47"/>
      <c r="BL27" s="33"/>
      <c r="BM27" s="33"/>
      <c r="BN27" s="33"/>
    </row>
    <row r="28" spans="1:66" ht="21.75" thickBot="1" x14ac:dyDescent="0.3">
      <c r="A28" s="34"/>
      <c r="B28" s="52"/>
      <c r="C28" s="123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5"/>
      <c r="O28" s="960"/>
      <c r="P28" s="1228"/>
      <c r="Q28" s="1228"/>
      <c r="R28" s="1228"/>
      <c r="S28" s="1228"/>
      <c r="T28" s="1228"/>
      <c r="U28" s="1228"/>
      <c r="V28" s="1228"/>
      <c r="W28" s="525"/>
      <c r="X28" s="525"/>
      <c r="Y28" s="525"/>
      <c r="Z28" s="525"/>
      <c r="AA28" s="979"/>
      <c r="AB28" s="127"/>
      <c r="AC28" s="979"/>
      <c r="AD28" s="969"/>
      <c r="AE28" s="991"/>
      <c r="AF28" s="958"/>
      <c r="AG28" s="958"/>
      <c r="AH28" s="958"/>
      <c r="AI28" s="47"/>
      <c r="AJ28" s="47"/>
      <c r="AK28" s="71"/>
      <c r="AL28" s="90"/>
      <c r="AM28" s="72"/>
      <c r="AN28" s="72"/>
      <c r="AO28" s="72"/>
      <c r="AP28" s="72"/>
      <c r="AQ28" s="72"/>
      <c r="AR28" s="72"/>
      <c r="AS28" s="47"/>
      <c r="AT28" s="47"/>
      <c r="AU28" s="47"/>
      <c r="AV28" s="47"/>
      <c r="AW28" s="47"/>
      <c r="AX28" s="47"/>
      <c r="AY28" s="72"/>
      <c r="AZ28" s="525"/>
      <c r="BA28" s="525"/>
      <c r="BB28" s="525"/>
      <c r="BC28" s="525"/>
      <c r="BD28" s="961"/>
      <c r="BE28" s="1031"/>
      <c r="BF28" s="47"/>
      <c r="BG28" s="47"/>
      <c r="BH28" s="41"/>
      <c r="BI28" s="47"/>
      <c r="BJ28" s="47"/>
      <c r="BK28" s="47"/>
      <c r="BL28" s="33"/>
      <c r="BM28" s="33"/>
      <c r="BN28" s="33"/>
    </row>
    <row r="29" spans="1:66" ht="26.25" thickBot="1" x14ac:dyDescent="0.3">
      <c r="A29" s="52"/>
      <c r="B29" s="52"/>
      <c r="C29" s="123"/>
      <c r="D29" s="128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980"/>
      <c r="P29" s="960"/>
      <c r="Q29" s="955"/>
      <c r="R29" s="955"/>
      <c r="S29" s="955"/>
      <c r="T29" s="955"/>
      <c r="U29" s="955"/>
      <c r="V29" s="525"/>
      <c r="W29" s="525"/>
      <c r="X29" s="525"/>
      <c r="Y29" s="525"/>
      <c r="Z29" s="525"/>
      <c r="AA29" s="961"/>
      <c r="AB29" s="47"/>
      <c r="AC29" s="958"/>
      <c r="AD29" s="969"/>
      <c r="AE29" s="991"/>
      <c r="AF29" s="958"/>
      <c r="AG29" s="130"/>
      <c r="AH29" s="131"/>
      <c r="AI29" s="131"/>
      <c r="AJ29" s="131"/>
      <c r="AK29" s="131"/>
      <c r="AL29" s="131"/>
      <c r="AM29" s="131"/>
      <c r="AN29" s="131"/>
      <c r="AO29" s="131"/>
      <c r="AP29" s="131"/>
      <c r="AQ29" s="132"/>
      <c r="AR29" s="47"/>
      <c r="AS29" s="47"/>
      <c r="AU29" s="47"/>
      <c r="AV29" s="47"/>
      <c r="AW29" s="47"/>
      <c r="AX29" s="47"/>
      <c r="AY29" s="72"/>
      <c r="AZ29" s="525"/>
      <c r="BA29" s="525"/>
      <c r="BB29" s="525"/>
      <c r="BC29" s="525"/>
      <c r="BD29" s="961"/>
      <c r="BE29" s="1035"/>
      <c r="BF29" s="47"/>
      <c r="BG29" s="47"/>
      <c r="BH29" s="41"/>
      <c r="BI29" s="47"/>
      <c r="BJ29" s="47"/>
      <c r="BK29" s="47"/>
      <c r="BL29" s="33"/>
      <c r="BM29" s="33"/>
      <c r="BN29" s="33"/>
    </row>
    <row r="30" spans="1:66" ht="25.5" x14ac:dyDescent="0.25">
      <c r="A30" s="52"/>
      <c r="B30" s="52"/>
      <c r="C30" s="123"/>
      <c r="D30" s="133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953"/>
      <c r="P30" s="960"/>
      <c r="Q30" s="973"/>
      <c r="R30" s="973"/>
      <c r="S30" s="973"/>
      <c r="T30" s="973"/>
      <c r="U30" s="973"/>
      <c r="V30" s="525"/>
      <c r="W30" s="525"/>
      <c r="X30" s="1290"/>
      <c r="Y30" s="1290"/>
      <c r="Z30" s="1290"/>
      <c r="AA30" s="961"/>
      <c r="AB30" s="72"/>
      <c r="AC30" s="961"/>
      <c r="AD30" s="969"/>
      <c r="AE30" s="991"/>
      <c r="AF30" s="958"/>
      <c r="AG30" s="135"/>
      <c r="AH30" s="136"/>
      <c r="AI30" s="136"/>
      <c r="AJ30" s="136"/>
      <c r="AK30" s="136"/>
      <c r="AL30" s="136"/>
      <c r="AM30" s="136"/>
      <c r="AN30" s="136"/>
      <c r="AO30" s="136"/>
      <c r="AP30" s="136"/>
      <c r="AQ30" s="137"/>
      <c r="AR30" s="47"/>
      <c r="AS30" s="47"/>
      <c r="AU30" s="47"/>
      <c r="AV30" s="72"/>
      <c r="AW30" s="72"/>
      <c r="AX30" s="72"/>
      <c r="AY30" s="72"/>
      <c r="AZ30" s="72"/>
      <c r="BA30" s="72"/>
      <c r="BB30" s="72"/>
      <c r="BC30" s="72"/>
      <c r="BD30" s="1195"/>
      <c r="BE30" s="1197"/>
      <c r="BF30" s="958"/>
      <c r="BG30" s="958"/>
      <c r="BH30" s="943"/>
      <c r="BI30" s="47"/>
      <c r="BJ30" s="47"/>
      <c r="BK30" s="47"/>
      <c r="BL30" s="33"/>
      <c r="BM30" s="33"/>
      <c r="BN30" s="33"/>
    </row>
    <row r="31" spans="1:66" ht="25.5" x14ac:dyDescent="0.25">
      <c r="A31" s="52"/>
      <c r="B31" s="52"/>
      <c r="C31" s="123"/>
      <c r="D31" s="138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960"/>
      <c r="P31" s="973"/>
      <c r="Q31" s="951"/>
      <c r="R31" s="951"/>
      <c r="S31" s="951"/>
      <c r="T31" s="951"/>
      <c r="U31" s="951"/>
      <c r="V31" s="973"/>
      <c r="W31" s="525"/>
      <c r="X31" s="981"/>
      <c r="Y31" s="981"/>
      <c r="Z31" s="981"/>
      <c r="AA31" s="525"/>
      <c r="AB31" s="72"/>
      <c r="AC31" s="961"/>
      <c r="AD31" s="960"/>
      <c r="AE31" s="991"/>
      <c r="AF31" s="958"/>
      <c r="AG31" s="135"/>
      <c r="AH31" s="136"/>
      <c r="AI31" s="136"/>
      <c r="AJ31" s="136"/>
      <c r="AK31" s="136"/>
      <c r="AL31" s="136"/>
      <c r="AM31" s="136"/>
      <c r="AN31" s="136"/>
      <c r="AO31" s="136"/>
      <c r="AP31" s="136"/>
      <c r="AQ31" s="137"/>
      <c r="AR31" s="47"/>
      <c r="AS31" s="47"/>
      <c r="AU31" s="47"/>
      <c r="AV31" s="72"/>
      <c r="AW31" s="72"/>
      <c r="AX31" s="72"/>
      <c r="AY31" s="72"/>
      <c r="AZ31" s="72"/>
      <c r="BA31" s="72"/>
      <c r="BB31" s="72"/>
      <c r="BC31" s="72"/>
      <c r="BD31" s="1198"/>
      <c r="BE31" s="1200"/>
      <c r="BF31" s="958"/>
      <c r="BG31" s="958"/>
      <c r="BH31" s="958"/>
      <c r="BI31" s="47"/>
      <c r="BJ31" s="47"/>
      <c r="BK31" s="47"/>
      <c r="BL31" s="33"/>
      <c r="BM31" s="33"/>
      <c r="BN31" s="33"/>
    </row>
    <row r="32" spans="1:66" ht="26.25" thickBot="1" x14ac:dyDescent="0.3">
      <c r="A32" s="52"/>
      <c r="B32" s="52"/>
      <c r="C32" s="140"/>
      <c r="D32" s="47"/>
      <c r="E32" s="1291"/>
      <c r="F32" s="1291"/>
      <c r="G32" s="1291"/>
      <c r="H32" s="1291"/>
      <c r="I32" s="1291"/>
      <c r="J32" s="1291"/>
      <c r="K32" s="1291"/>
      <c r="L32" s="1291"/>
      <c r="M32" s="1291"/>
      <c r="N32" s="1291"/>
      <c r="O32" s="960"/>
      <c r="P32" s="973"/>
      <c r="Q32" s="951"/>
      <c r="R32" s="951"/>
      <c r="S32" s="951"/>
      <c r="T32" s="951"/>
      <c r="U32" s="951"/>
      <c r="V32" s="973"/>
      <c r="W32" s="960"/>
      <c r="X32" s="981"/>
      <c r="Y32" s="981"/>
      <c r="Z32" s="981"/>
      <c r="AA32" s="961"/>
      <c r="AB32" s="72"/>
      <c r="AC32" s="961"/>
      <c r="AD32" s="960"/>
      <c r="AE32" s="991"/>
      <c r="AF32" s="958"/>
      <c r="AG32" s="135"/>
      <c r="AH32" s="136"/>
      <c r="AI32" s="136"/>
      <c r="AJ32" s="136"/>
      <c r="AK32" s="136"/>
      <c r="AL32" s="136"/>
      <c r="AM32" s="136"/>
      <c r="AN32" s="136"/>
      <c r="AO32" s="136"/>
      <c r="AP32" s="136"/>
      <c r="AQ32" s="137"/>
      <c r="AR32" s="47"/>
      <c r="AS32" s="47"/>
      <c r="AU32" s="47"/>
      <c r="AV32" s="72"/>
      <c r="AW32" s="72"/>
      <c r="AX32" s="72"/>
      <c r="AY32" s="72"/>
      <c r="AZ32" s="72"/>
      <c r="BA32" s="72"/>
      <c r="BB32" s="72"/>
      <c r="BC32" s="72"/>
      <c r="BD32" s="1201"/>
      <c r="BE32" s="1203"/>
      <c r="BF32" s="958"/>
      <c r="BG32" s="958"/>
      <c r="BH32" s="958"/>
      <c r="BI32" s="47"/>
      <c r="BJ32" s="47"/>
      <c r="BK32" s="47"/>
      <c r="BL32" s="33"/>
      <c r="BM32" s="33"/>
      <c r="BN32" s="33"/>
    </row>
    <row r="33" spans="1:66" ht="26.25" thickBot="1" x14ac:dyDescent="0.3">
      <c r="A33" s="52"/>
      <c r="B33" s="52"/>
      <c r="C33" s="140"/>
      <c r="D33" s="47"/>
      <c r="E33" s="33"/>
      <c r="F33" s="34"/>
      <c r="G33" s="34"/>
      <c r="H33" s="34"/>
      <c r="I33" s="34"/>
      <c r="J33" s="47"/>
      <c r="K33" s="47"/>
      <c r="L33" s="34"/>
      <c r="M33" s="34"/>
      <c r="N33" s="52"/>
      <c r="O33" s="960"/>
      <c r="P33" s="960"/>
      <c r="Q33" s="973"/>
      <c r="R33" s="973"/>
      <c r="S33" s="973"/>
      <c r="T33" s="973"/>
      <c r="U33" s="973"/>
      <c r="V33" s="324"/>
      <c r="W33" s="958"/>
      <c r="X33" s="958"/>
      <c r="Y33" s="958"/>
      <c r="Z33" s="958"/>
      <c r="AA33" s="961"/>
      <c r="AB33" s="72"/>
      <c r="AC33" s="961"/>
      <c r="AD33" s="960"/>
      <c r="AE33" s="991"/>
      <c r="AF33" s="958"/>
      <c r="AG33" s="135"/>
      <c r="AH33" s="136"/>
      <c r="AI33" s="136"/>
      <c r="AJ33" s="136"/>
      <c r="AK33" s="136"/>
      <c r="AL33" s="136"/>
      <c r="AM33" s="136"/>
      <c r="AN33" s="136"/>
      <c r="AO33" s="136"/>
      <c r="AP33" s="136"/>
      <c r="AQ33" s="137"/>
      <c r="AR33" s="47"/>
      <c r="AS33" s="47"/>
      <c r="AT33" s="141"/>
      <c r="AU33" s="47"/>
      <c r="AV33" s="72"/>
      <c r="AW33" s="72"/>
      <c r="AX33" s="72"/>
      <c r="AY33" s="72"/>
      <c r="AZ33" s="72"/>
      <c r="BA33" s="72"/>
      <c r="BB33" s="72"/>
      <c r="BC33" s="72"/>
      <c r="BD33" s="961"/>
      <c r="BE33" s="1032"/>
      <c r="BF33" s="958"/>
      <c r="BG33" s="958"/>
      <c r="BH33" s="958"/>
      <c r="BI33" s="47"/>
      <c r="BJ33" s="47"/>
      <c r="BK33" s="47"/>
      <c r="BL33" s="33"/>
      <c r="BM33" s="33"/>
      <c r="BN33" s="33"/>
    </row>
    <row r="34" spans="1:66" ht="26.25" thickBot="1" x14ac:dyDescent="0.3">
      <c r="A34" s="52"/>
      <c r="B34" s="52"/>
      <c r="C34" s="140"/>
      <c r="D34" s="47"/>
      <c r="F34" s="1292"/>
      <c r="G34" s="1293"/>
      <c r="H34" s="1293"/>
      <c r="I34" s="1293"/>
      <c r="J34" s="1293"/>
      <c r="K34" s="1294"/>
      <c r="L34" s="34"/>
      <c r="M34" s="34"/>
      <c r="N34" s="52"/>
      <c r="O34" s="960"/>
      <c r="P34" s="960"/>
      <c r="Q34" s="955"/>
      <c r="R34" s="955"/>
      <c r="S34" s="955"/>
      <c r="T34" s="955"/>
      <c r="U34" s="955"/>
      <c r="V34" s="324"/>
      <c r="W34" s="958"/>
      <c r="X34" s="958"/>
      <c r="Y34" s="958"/>
      <c r="Z34" s="958"/>
      <c r="AA34" s="961"/>
      <c r="AB34" s="47"/>
      <c r="AC34" s="958"/>
      <c r="AD34" s="960"/>
      <c r="AE34" s="991"/>
      <c r="AF34" s="958"/>
      <c r="AG34" s="994"/>
      <c r="AH34" s="995"/>
      <c r="AI34" s="995"/>
      <c r="AJ34" s="995"/>
      <c r="AK34" s="995"/>
      <c r="AL34" s="995"/>
      <c r="AM34" s="995"/>
      <c r="AN34" s="995"/>
      <c r="AO34" s="995"/>
      <c r="AP34" s="995"/>
      <c r="AQ34" s="996"/>
      <c r="AR34" s="997"/>
      <c r="AS34" s="146"/>
      <c r="AT34" s="141"/>
      <c r="AU34" s="47"/>
      <c r="AV34" s="72"/>
      <c r="AW34" s="72"/>
      <c r="AX34" s="72"/>
      <c r="AY34" s="72"/>
      <c r="AZ34" s="72"/>
      <c r="BA34" s="72"/>
      <c r="BB34" s="72"/>
      <c r="BC34" s="72"/>
      <c r="BD34" s="961"/>
      <c r="BE34" s="1032"/>
      <c r="BF34" s="958"/>
      <c r="BG34" s="958"/>
      <c r="BH34" s="958"/>
      <c r="BI34" s="47"/>
      <c r="BJ34" s="47"/>
      <c r="BK34" s="47"/>
      <c r="BL34" s="33"/>
      <c r="BM34" s="33"/>
      <c r="BN34" s="33"/>
    </row>
    <row r="35" spans="1:66" ht="15.75" x14ac:dyDescent="0.25">
      <c r="A35" s="52"/>
      <c r="B35" s="52"/>
      <c r="C35" s="140"/>
      <c r="D35" s="47"/>
      <c r="E35" s="33"/>
      <c r="F35" s="1295"/>
      <c r="G35" s="1296"/>
      <c r="H35" s="1296"/>
      <c r="I35" s="1296"/>
      <c r="J35" s="1296"/>
      <c r="K35" s="1297"/>
      <c r="L35" s="34"/>
      <c r="M35" s="34"/>
      <c r="N35" s="52"/>
      <c r="O35" s="960"/>
      <c r="P35" s="960"/>
      <c r="Q35" s="958"/>
      <c r="R35" s="958"/>
      <c r="S35" s="958"/>
      <c r="T35" s="958"/>
      <c r="U35" s="958"/>
      <c r="V35" s="324"/>
      <c r="W35" s="958"/>
      <c r="X35" s="958"/>
      <c r="Y35" s="958"/>
      <c r="Z35" s="958"/>
      <c r="AA35" s="958"/>
      <c r="AB35" s="47"/>
      <c r="AC35" s="958"/>
      <c r="AD35" s="992"/>
      <c r="AE35" s="991"/>
      <c r="AF35" s="958"/>
      <c r="AG35" s="1301"/>
      <c r="AH35" s="1301"/>
      <c r="AI35" s="1301"/>
      <c r="AJ35" s="1301"/>
      <c r="AK35" s="1301"/>
      <c r="AL35" s="1301"/>
      <c r="AM35" s="1301"/>
      <c r="AN35" s="1301"/>
      <c r="AO35" s="1301"/>
      <c r="AP35" s="1301"/>
      <c r="AQ35" s="1301"/>
      <c r="AR35" s="998"/>
      <c r="AS35" s="146"/>
      <c r="AT35" s="33"/>
      <c r="AU35" s="72"/>
      <c r="AV35" s="72"/>
      <c r="AW35" s="72"/>
      <c r="AX35" s="72"/>
      <c r="AY35" s="72"/>
      <c r="AZ35" s="72"/>
      <c r="BA35" s="72"/>
      <c r="BB35" s="72"/>
      <c r="BC35" s="72"/>
      <c r="BD35" s="961"/>
      <c r="BE35" s="1032"/>
      <c r="BF35" s="958"/>
      <c r="BG35" s="958"/>
      <c r="BH35" s="958"/>
      <c r="BI35" s="47"/>
      <c r="BJ35" s="47"/>
      <c r="BK35" s="47"/>
      <c r="BL35" s="33"/>
      <c r="BM35" s="33"/>
      <c r="BN35" s="33"/>
    </row>
    <row r="36" spans="1:66" ht="15.75" x14ac:dyDescent="0.25">
      <c r="A36" s="34"/>
      <c r="B36" s="34"/>
      <c r="C36" s="140"/>
      <c r="D36" s="47"/>
      <c r="E36" s="33"/>
      <c r="F36" s="1295"/>
      <c r="G36" s="1296"/>
      <c r="H36" s="1296"/>
      <c r="I36" s="1296"/>
      <c r="J36" s="1296"/>
      <c r="K36" s="1297"/>
      <c r="L36" s="34"/>
      <c r="M36" s="34"/>
      <c r="N36" s="33"/>
      <c r="O36" s="960"/>
      <c r="P36" s="960"/>
      <c r="Q36" s="958"/>
      <c r="R36" s="958"/>
      <c r="S36" s="958"/>
      <c r="T36" s="958"/>
      <c r="U36" s="958"/>
      <c r="V36" s="324"/>
      <c r="W36" s="958"/>
      <c r="X36" s="958"/>
      <c r="Y36" s="958"/>
      <c r="Z36" s="958"/>
      <c r="AA36" s="958"/>
      <c r="AB36" s="47"/>
      <c r="AC36" s="958"/>
      <c r="AD36" s="992"/>
      <c r="AE36" s="991"/>
      <c r="AF36" s="1302"/>
      <c r="AG36" s="999"/>
      <c r="AH36" s="960"/>
      <c r="AI36" s="961"/>
      <c r="AJ36" s="958"/>
      <c r="AK36" s="958"/>
      <c r="AL36" s="958"/>
      <c r="AM36" s="958"/>
      <c r="AN36" s="958"/>
      <c r="AO36" s="958"/>
      <c r="AP36" s="958"/>
      <c r="AQ36" s="961"/>
      <c r="AR36" s="998"/>
      <c r="AS36" s="146"/>
      <c r="AT36" s="47"/>
      <c r="AU36" s="72"/>
      <c r="AV36" s="72"/>
      <c r="AW36" s="72"/>
      <c r="AX36" s="72"/>
      <c r="AY36" s="72"/>
      <c r="AZ36" s="72"/>
      <c r="BA36" s="72"/>
      <c r="BB36" s="72"/>
      <c r="BC36" s="72"/>
      <c r="BD36" s="961"/>
      <c r="BE36" s="1032"/>
      <c r="BF36" s="958"/>
      <c r="BG36" s="958"/>
      <c r="BH36" s="958"/>
      <c r="BI36" s="47"/>
      <c r="BJ36" s="47"/>
      <c r="BK36" s="47"/>
      <c r="BL36" s="33"/>
      <c r="BM36" s="33"/>
      <c r="BN36" s="33"/>
    </row>
    <row r="37" spans="1:66" ht="15.75" x14ac:dyDescent="0.25">
      <c r="A37" s="34"/>
      <c r="B37" s="34"/>
      <c r="C37" s="140"/>
      <c r="D37" s="147"/>
      <c r="E37" s="33"/>
      <c r="F37" s="1295"/>
      <c r="G37" s="1296"/>
      <c r="H37" s="1296"/>
      <c r="I37" s="1296"/>
      <c r="J37" s="1296"/>
      <c r="K37" s="1297"/>
      <c r="L37" s="34"/>
      <c r="M37" s="34"/>
      <c r="N37" s="33"/>
      <c r="O37" s="960"/>
      <c r="P37" s="960"/>
      <c r="Q37" s="958"/>
      <c r="R37" s="958"/>
      <c r="S37" s="958"/>
      <c r="T37" s="958"/>
      <c r="U37" s="958"/>
      <c r="V37" s="324"/>
      <c r="W37" s="958"/>
      <c r="X37" s="958"/>
      <c r="Y37" s="958"/>
      <c r="Z37" s="958"/>
      <c r="AA37" s="982"/>
      <c r="AB37" s="47"/>
      <c r="AC37" s="958"/>
      <c r="AD37" s="992"/>
      <c r="AE37" s="991"/>
      <c r="AF37" s="1302"/>
      <c r="AG37" s="999"/>
      <c r="AH37" s="960"/>
      <c r="AI37" s="961"/>
      <c r="AJ37" s="958"/>
      <c r="AK37" s="958"/>
      <c r="AL37" s="958"/>
      <c r="AM37" s="958"/>
      <c r="AN37" s="958"/>
      <c r="AO37" s="958"/>
      <c r="AP37" s="958"/>
      <c r="AQ37" s="961"/>
      <c r="AR37" s="998"/>
      <c r="AS37" s="146"/>
      <c r="AT37" s="47"/>
      <c r="AU37" s="72"/>
      <c r="AV37" s="72"/>
      <c r="AW37" s="72"/>
      <c r="AX37" s="72"/>
      <c r="AY37" s="72"/>
      <c r="AZ37" s="72"/>
      <c r="BA37" s="72"/>
      <c r="BB37" s="72"/>
      <c r="BC37" s="72"/>
      <c r="BD37" s="961"/>
      <c r="BE37" s="1032"/>
      <c r="BF37" s="958"/>
      <c r="BG37" s="958"/>
      <c r="BH37" s="958"/>
      <c r="BI37" s="47"/>
      <c r="BJ37" s="47"/>
      <c r="BK37" s="47"/>
      <c r="BL37" s="33"/>
      <c r="BM37" s="33"/>
      <c r="BN37" s="33"/>
    </row>
    <row r="38" spans="1:66" ht="15.75" x14ac:dyDescent="0.25">
      <c r="A38" s="34"/>
      <c r="B38" s="34"/>
      <c r="C38" s="140"/>
      <c r="D38" s="147"/>
      <c r="E38" s="33"/>
      <c r="F38" s="1295"/>
      <c r="G38" s="1296"/>
      <c r="H38" s="1296"/>
      <c r="I38" s="1296"/>
      <c r="J38" s="1296"/>
      <c r="K38" s="1297"/>
      <c r="L38" s="34"/>
      <c r="M38" s="34"/>
      <c r="N38" s="33"/>
      <c r="O38" s="960"/>
      <c r="P38" s="960"/>
      <c r="Q38" s="958"/>
      <c r="R38" s="958"/>
      <c r="S38" s="958"/>
      <c r="T38" s="958"/>
      <c r="U38" s="958"/>
      <c r="V38" s="324"/>
      <c r="W38" s="958"/>
      <c r="X38" s="958"/>
      <c r="Y38" s="958"/>
      <c r="Z38" s="958"/>
      <c r="AA38" s="961"/>
      <c r="AB38" s="47"/>
      <c r="AC38" s="958"/>
      <c r="AD38" s="992"/>
      <c r="AE38" s="991"/>
      <c r="AF38" s="1302"/>
      <c r="AG38" s="999"/>
      <c r="AH38" s="960"/>
      <c r="AI38" s="961"/>
      <c r="AJ38" s="958"/>
      <c r="AK38" s="958"/>
      <c r="AL38" s="958"/>
      <c r="AM38" s="958"/>
      <c r="AN38" s="958"/>
      <c r="AO38" s="958"/>
      <c r="AP38" s="958"/>
      <c r="AQ38" s="961"/>
      <c r="AR38" s="998"/>
      <c r="AS38" s="146"/>
      <c r="AT38" s="47"/>
      <c r="AU38" s="72"/>
      <c r="AV38" s="72"/>
      <c r="AW38" s="72"/>
      <c r="AX38" s="72"/>
      <c r="AY38" s="72"/>
      <c r="AZ38" s="72"/>
      <c r="BA38" s="72"/>
      <c r="BB38" s="72"/>
      <c r="BC38" s="72"/>
      <c r="BD38" s="961"/>
      <c r="BE38" s="1032"/>
      <c r="BF38" s="958"/>
      <c r="BG38" s="958"/>
      <c r="BH38" s="958"/>
      <c r="BI38" s="47"/>
      <c r="BJ38" s="47"/>
      <c r="BK38" s="47"/>
      <c r="BL38" s="33"/>
      <c r="BM38" s="33"/>
      <c r="BN38" s="33"/>
    </row>
    <row r="39" spans="1:66" ht="16.5" thickBot="1" x14ac:dyDescent="0.3">
      <c r="A39" s="34"/>
      <c r="B39" s="34"/>
      <c r="C39" s="140"/>
      <c r="D39" s="147"/>
      <c r="E39" s="33"/>
      <c r="F39" s="1295"/>
      <c r="G39" s="1296"/>
      <c r="H39" s="1296"/>
      <c r="I39" s="1296"/>
      <c r="J39" s="1296"/>
      <c r="K39" s="1297"/>
      <c r="L39" s="34"/>
      <c r="M39" s="34"/>
      <c r="N39" s="33"/>
      <c r="O39" s="960"/>
      <c r="P39" s="960"/>
      <c r="Q39" s="958"/>
      <c r="R39" s="958"/>
      <c r="S39" s="958"/>
      <c r="T39" s="958"/>
      <c r="U39" s="958"/>
      <c r="V39" s="324"/>
      <c r="W39" s="958"/>
      <c r="X39" s="958"/>
      <c r="Y39" s="958"/>
      <c r="Z39" s="958"/>
      <c r="AA39" s="961"/>
      <c r="AB39" s="47"/>
      <c r="AC39" s="958"/>
      <c r="AD39" s="992"/>
      <c r="AE39" s="991"/>
      <c r="AF39" s="1302"/>
      <c r="AG39" s="999"/>
      <c r="AH39" s="960"/>
      <c r="AI39" s="961"/>
      <c r="AJ39" s="958"/>
      <c r="AK39" s="958"/>
      <c r="AL39" s="958"/>
      <c r="AM39" s="958"/>
      <c r="AN39" s="958"/>
      <c r="AO39" s="958"/>
      <c r="AP39" s="958"/>
      <c r="AQ39" s="961"/>
      <c r="AR39" s="1000"/>
      <c r="AS39" s="47"/>
      <c r="AT39" s="47"/>
      <c r="AU39" s="72"/>
      <c r="AV39" s="72"/>
      <c r="AW39" s="72"/>
      <c r="AX39" s="72"/>
      <c r="AY39" s="72"/>
      <c r="AZ39" s="72"/>
      <c r="BA39" s="72"/>
      <c r="BB39" s="72"/>
      <c r="BC39" s="72"/>
      <c r="BD39" s="961"/>
      <c r="BE39" s="1032"/>
      <c r="BF39" s="958"/>
      <c r="BG39" s="958"/>
      <c r="BH39" s="958"/>
      <c r="BI39" s="47"/>
      <c r="BJ39" s="47"/>
      <c r="BK39" s="47"/>
      <c r="BL39" s="33"/>
      <c r="BM39" s="33"/>
      <c r="BN39" s="33"/>
    </row>
    <row r="40" spans="1:66" x14ac:dyDescent="0.25">
      <c r="A40" s="34"/>
      <c r="B40" s="34"/>
      <c r="C40" s="140"/>
      <c r="D40" s="147"/>
      <c r="E40" s="33"/>
      <c r="F40" s="1295"/>
      <c r="G40" s="1296"/>
      <c r="H40" s="1296"/>
      <c r="I40" s="1296"/>
      <c r="J40" s="1296"/>
      <c r="K40" s="1297"/>
      <c r="L40" s="34"/>
      <c r="M40" s="34"/>
      <c r="N40" s="33"/>
      <c r="O40" s="960"/>
      <c r="P40" s="960"/>
      <c r="Q40" s="983"/>
      <c r="R40" s="324"/>
      <c r="S40" s="324"/>
      <c r="T40" s="324"/>
      <c r="U40" s="324"/>
      <c r="V40" s="324"/>
      <c r="W40" s="958"/>
      <c r="X40" s="958"/>
      <c r="Y40" s="958"/>
      <c r="Z40" s="958"/>
      <c r="AA40" s="982"/>
      <c r="AB40" s="47"/>
      <c r="AC40" s="47"/>
      <c r="AD40" s="147"/>
      <c r="AE40" s="113"/>
      <c r="AF40" s="47"/>
      <c r="AG40" s="958"/>
      <c r="AH40" s="958"/>
      <c r="AI40" s="961"/>
      <c r="AJ40" s="958"/>
      <c r="AK40" s="958"/>
      <c r="AL40" s="958"/>
      <c r="AM40" s="958"/>
      <c r="AN40" s="958"/>
      <c r="AO40" s="958"/>
      <c r="AP40" s="958"/>
      <c r="AQ40" s="961"/>
      <c r="AR40" s="958"/>
      <c r="AS40" s="47"/>
      <c r="AT40" s="47"/>
      <c r="AU40" s="47"/>
      <c r="AV40" s="961"/>
      <c r="AW40" s="961"/>
      <c r="AX40" s="961"/>
      <c r="AY40" s="72"/>
      <c r="AZ40" s="72"/>
      <c r="BA40" s="72"/>
      <c r="BB40" s="72"/>
      <c r="BC40" s="72"/>
      <c r="BD40" s="961"/>
      <c r="BE40" s="1052"/>
      <c r="BF40" s="1268"/>
      <c r="BG40" s="960"/>
      <c r="BH40" s="958"/>
      <c r="BI40" s="47"/>
      <c r="BJ40" s="47"/>
      <c r="BK40" s="47"/>
      <c r="BL40" s="33"/>
      <c r="BM40" s="33"/>
      <c r="BN40" s="33"/>
    </row>
    <row r="41" spans="1:66" ht="16.5" thickBot="1" x14ac:dyDescent="0.3">
      <c r="A41" s="34"/>
      <c r="B41" s="34"/>
      <c r="C41" s="140"/>
      <c r="D41" s="147"/>
      <c r="E41" s="33"/>
      <c r="F41" s="1295"/>
      <c r="G41" s="1296"/>
      <c r="H41" s="1296"/>
      <c r="I41" s="1296"/>
      <c r="J41" s="1296"/>
      <c r="K41" s="1297"/>
      <c r="L41" s="34"/>
      <c r="M41" s="34"/>
      <c r="N41" s="33"/>
      <c r="O41" s="960"/>
      <c r="P41" s="960"/>
      <c r="Q41" s="957"/>
      <c r="R41" s="324"/>
      <c r="S41" s="324"/>
      <c r="T41" s="960"/>
      <c r="U41" s="324"/>
      <c r="V41" s="324"/>
      <c r="W41" s="958"/>
      <c r="X41" s="958"/>
      <c r="Y41" s="958"/>
      <c r="Z41" s="958"/>
      <c r="AA41" s="984"/>
      <c r="AB41" s="47"/>
      <c r="AC41" s="152"/>
      <c r="AD41" s="153"/>
      <c r="AE41" s="154"/>
      <c r="AF41" s="152"/>
      <c r="AG41" s="956"/>
      <c r="AH41" s="958"/>
      <c r="AI41" s="961"/>
      <c r="AJ41" s="961"/>
      <c r="AK41" s="961"/>
      <c r="AL41" s="961"/>
      <c r="AM41" s="961"/>
      <c r="AN41" s="969"/>
      <c r="AO41" s="969"/>
      <c r="AP41" s="961"/>
      <c r="AQ41" s="961"/>
      <c r="AR41" s="958"/>
      <c r="AS41" s="47"/>
      <c r="AT41" s="47"/>
      <c r="AU41" s="47"/>
      <c r="AV41" s="961"/>
      <c r="AW41" s="961"/>
      <c r="AX41" s="961"/>
      <c r="BA41" s="72"/>
      <c r="BB41" s="72"/>
      <c r="BC41" s="72"/>
      <c r="BD41" s="961"/>
      <c r="BE41" s="1052"/>
      <c r="BF41" s="1269"/>
      <c r="BG41" s="960"/>
      <c r="BH41" s="958"/>
      <c r="BI41" s="47"/>
      <c r="BJ41" s="47"/>
      <c r="BK41" s="47"/>
      <c r="BL41" s="33"/>
      <c r="BM41" s="33"/>
      <c r="BN41" s="33"/>
    </row>
    <row r="42" spans="1:66" ht="16.5" thickBot="1" x14ac:dyDescent="0.3">
      <c r="A42" s="34"/>
      <c r="B42" s="34"/>
      <c r="C42" s="140"/>
      <c r="D42" s="147"/>
      <c r="E42" s="33"/>
      <c r="F42" s="1295"/>
      <c r="G42" s="1296"/>
      <c r="H42" s="1296"/>
      <c r="I42" s="1296"/>
      <c r="J42" s="1296"/>
      <c r="K42" s="1297"/>
      <c r="L42" s="34"/>
      <c r="M42" s="34"/>
      <c r="N42" s="33"/>
      <c r="O42" s="960"/>
      <c r="P42" s="960"/>
      <c r="Q42" s="957"/>
      <c r="R42" s="324"/>
      <c r="S42" s="324"/>
      <c r="T42" s="960"/>
      <c r="U42" s="957"/>
      <c r="V42" s="983"/>
      <c r="W42" s="960"/>
      <c r="X42" s="960"/>
      <c r="Y42" s="960"/>
      <c r="Z42" s="960"/>
      <c r="AA42" s="984"/>
      <c r="AB42" s="157"/>
      <c r="AC42" s="157"/>
      <c r="AD42" s="108"/>
      <c r="AE42" s="158"/>
      <c r="AF42" s="157"/>
      <c r="AG42" s="1001"/>
      <c r="AH42" s="956"/>
      <c r="AI42" s="958"/>
      <c r="AJ42" s="958"/>
      <c r="AK42" s="958"/>
      <c r="AL42" s="958"/>
      <c r="AM42" s="958"/>
      <c r="AN42" s="998"/>
      <c r="AO42" s="998"/>
      <c r="AP42" s="961"/>
      <c r="AQ42" s="1002"/>
      <c r="AR42" s="1002"/>
      <c r="AS42" s="47"/>
      <c r="AT42" s="1271"/>
      <c r="AU42" s="72"/>
      <c r="AV42" s="961"/>
      <c r="AW42" s="961"/>
      <c r="AX42" s="961"/>
      <c r="AY42" s="72"/>
      <c r="AZ42" s="72"/>
      <c r="BA42" s="72"/>
      <c r="BB42" s="72"/>
      <c r="BC42" s="72"/>
      <c r="BD42" s="961"/>
      <c r="BE42" s="1052"/>
      <c r="BF42" s="1270"/>
      <c r="BG42" s="960"/>
      <c r="BH42" s="958"/>
      <c r="BI42" s="47"/>
      <c r="BJ42" s="47"/>
      <c r="BK42" s="47"/>
      <c r="BL42" s="33"/>
      <c r="BM42" s="33"/>
      <c r="BN42" s="33"/>
    </row>
    <row r="43" spans="1:66" ht="15.75" x14ac:dyDescent="0.25">
      <c r="A43" s="34"/>
      <c r="B43" s="34"/>
      <c r="C43" s="140"/>
      <c r="D43" s="147"/>
      <c r="E43" s="33"/>
      <c r="F43" s="1295"/>
      <c r="G43" s="1296"/>
      <c r="H43" s="1296"/>
      <c r="I43" s="1296"/>
      <c r="J43" s="1296"/>
      <c r="K43" s="1297"/>
      <c r="L43" s="34"/>
      <c r="M43" s="34"/>
      <c r="N43" s="33"/>
      <c r="O43" s="960"/>
      <c r="P43" s="960"/>
      <c r="Q43" s="985"/>
      <c r="R43" s="324"/>
      <c r="S43" s="324"/>
      <c r="T43" s="960"/>
      <c r="U43" s="1207"/>
      <c r="V43" s="1274"/>
      <c r="W43" s="960"/>
      <c r="X43" s="960"/>
      <c r="Y43" s="960"/>
      <c r="Z43" s="960"/>
      <c r="AA43" s="982"/>
      <c r="AB43" s="47"/>
      <c r="AC43" s="160"/>
      <c r="AD43" s="160"/>
      <c r="AE43" s="47"/>
      <c r="AF43" s="47"/>
      <c r="AG43" s="958"/>
      <c r="AH43" s="1003"/>
      <c r="AI43" s="958"/>
      <c r="AJ43" s="958"/>
      <c r="AK43" s="958"/>
      <c r="AL43" s="958"/>
      <c r="AM43" s="961"/>
      <c r="AN43" s="998"/>
      <c r="AO43" s="1004"/>
      <c r="AP43" s="961"/>
      <c r="AQ43" s="1276"/>
      <c r="AR43" s="1276"/>
      <c r="AS43" s="72"/>
      <c r="AT43" s="1272"/>
      <c r="AU43" s="72"/>
      <c r="AV43" s="1053"/>
      <c r="AW43" s="1053"/>
      <c r="AX43" s="1053"/>
      <c r="AY43" s="72"/>
      <c r="AZ43" s="72"/>
      <c r="BA43" s="72"/>
      <c r="BB43" s="72"/>
      <c r="BC43" s="72"/>
      <c r="BD43" s="961"/>
      <c r="BE43" s="1052"/>
      <c r="BF43" s="958"/>
      <c r="BG43" s="958"/>
      <c r="BH43" s="958"/>
      <c r="BI43" s="47"/>
      <c r="BJ43" s="47"/>
      <c r="BK43" s="47"/>
      <c r="BL43" s="33"/>
      <c r="BM43" s="33"/>
      <c r="BN43" s="33"/>
    </row>
    <row r="44" spans="1:66" ht="16.5" thickBot="1" x14ac:dyDescent="0.3">
      <c r="A44" s="34"/>
      <c r="B44" s="34"/>
      <c r="C44" s="140"/>
      <c r="D44" s="33"/>
      <c r="E44" s="33"/>
      <c r="F44" s="1295"/>
      <c r="G44" s="1296"/>
      <c r="H44" s="1296"/>
      <c r="I44" s="1296"/>
      <c r="J44" s="1296"/>
      <c r="K44" s="1297"/>
      <c r="L44" s="34"/>
      <c r="M44" s="34"/>
      <c r="N44" s="33"/>
      <c r="O44" s="960"/>
      <c r="P44" s="960"/>
      <c r="Q44" s="958"/>
      <c r="R44" s="986"/>
      <c r="S44" s="324"/>
      <c r="T44" s="960"/>
      <c r="U44" s="1211"/>
      <c r="V44" s="1275"/>
      <c r="W44" s="960"/>
      <c r="X44" s="960"/>
      <c r="Y44" s="960"/>
      <c r="Z44" s="960"/>
      <c r="AA44" s="982"/>
      <c r="AB44" s="47"/>
      <c r="AC44" s="47"/>
      <c r="AD44" s="47"/>
      <c r="AE44" s="47"/>
      <c r="AF44" s="47"/>
      <c r="AG44" s="958"/>
      <c r="AH44" s="1003"/>
      <c r="AI44" s="958"/>
      <c r="AJ44" s="1005"/>
      <c r="AK44" s="1005"/>
      <c r="AL44" s="961"/>
      <c r="AM44" s="961"/>
      <c r="AN44" s="998"/>
      <c r="AO44" s="958"/>
      <c r="AP44" s="961"/>
      <c r="AQ44" s="961"/>
      <c r="AR44" s="958"/>
      <c r="AS44" s="159"/>
      <c r="AT44" s="1272"/>
      <c r="AU44" s="72"/>
      <c r="AV44" s="166"/>
      <c r="AW44" s="166"/>
      <c r="AX44" s="166"/>
      <c r="AY44" s="72"/>
      <c r="AZ44" s="72"/>
      <c r="BA44" s="72"/>
      <c r="BB44" s="72"/>
      <c r="BC44" s="72"/>
      <c r="BD44" s="961"/>
      <c r="BE44" s="1032"/>
      <c r="BF44" s="958"/>
      <c r="BG44" s="958"/>
      <c r="BH44" s="958"/>
      <c r="BI44" s="47"/>
      <c r="BJ44" s="47"/>
      <c r="BK44" s="47"/>
      <c r="BL44" s="33"/>
      <c r="BM44" s="33"/>
      <c r="BN44" s="33"/>
    </row>
    <row r="45" spans="1:66" ht="15.75" x14ac:dyDescent="0.25">
      <c r="A45" s="34"/>
      <c r="B45" s="34"/>
      <c r="C45" s="140"/>
      <c r="D45" s="33"/>
      <c r="E45" s="33"/>
      <c r="F45" s="1295"/>
      <c r="G45" s="1296"/>
      <c r="H45" s="1296"/>
      <c r="I45" s="1296"/>
      <c r="J45" s="1296"/>
      <c r="K45" s="1297"/>
      <c r="L45" s="34"/>
      <c r="M45" s="34"/>
      <c r="N45" s="33"/>
      <c r="O45" s="33"/>
      <c r="P45" s="33"/>
      <c r="Q45" s="34"/>
      <c r="R45" s="47"/>
      <c r="S45" s="34"/>
      <c r="T45" s="33"/>
      <c r="U45" s="33"/>
      <c r="V45" s="33"/>
      <c r="W45" s="33"/>
      <c r="X45" s="33"/>
      <c r="Y45" s="33"/>
      <c r="Z45" s="33"/>
      <c r="AA45" s="47"/>
      <c r="AB45" s="47"/>
      <c r="AC45" s="47"/>
      <c r="AD45" s="47"/>
      <c r="AE45" s="47"/>
      <c r="AF45" s="47"/>
      <c r="AG45" s="47"/>
      <c r="AH45" s="161"/>
      <c r="AI45" s="47"/>
      <c r="AJ45" s="958"/>
      <c r="AK45" s="1006"/>
      <c r="AL45" s="958"/>
      <c r="AM45" s="958"/>
      <c r="AN45" s="958"/>
      <c r="AO45" s="958"/>
      <c r="AP45" s="961"/>
      <c r="AQ45" s="961"/>
      <c r="AR45" s="958"/>
      <c r="AS45" s="168"/>
      <c r="AT45" s="1272"/>
      <c r="AU45" s="166"/>
      <c r="AV45" s="169" t="s">
        <v>193</v>
      </c>
      <c r="AW45" s="169" t="s">
        <v>193</v>
      </c>
      <c r="AX45" s="169" t="s">
        <v>193</v>
      </c>
      <c r="AY45" s="166"/>
      <c r="AZ45" s="72"/>
      <c r="BA45" s="72"/>
      <c r="BB45" s="72"/>
      <c r="BC45" s="72"/>
      <c r="BD45" s="72"/>
      <c r="BE45" s="95"/>
      <c r="BF45" s="47"/>
      <c r="BG45" s="47"/>
      <c r="BH45" s="47"/>
      <c r="BI45" s="47"/>
      <c r="BJ45" s="47"/>
      <c r="BK45" s="47"/>
      <c r="BL45" s="33"/>
      <c r="BM45" s="33"/>
      <c r="BN45" s="33"/>
    </row>
    <row r="46" spans="1:66" ht="18" x14ac:dyDescent="0.25">
      <c r="A46" s="34"/>
      <c r="B46" s="34"/>
      <c r="C46" s="140"/>
      <c r="D46" s="33"/>
      <c r="E46" s="33"/>
      <c r="F46" s="1295"/>
      <c r="G46" s="1296"/>
      <c r="H46" s="1296"/>
      <c r="I46" s="1296"/>
      <c r="J46" s="1296"/>
      <c r="K46" s="1297"/>
      <c r="L46" s="34"/>
      <c r="M46" s="34"/>
      <c r="N46" s="33"/>
      <c r="O46" s="34"/>
      <c r="P46" s="33"/>
      <c r="Q46" s="52"/>
      <c r="R46" s="47"/>
      <c r="S46" s="47"/>
      <c r="T46" s="33"/>
      <c r="U46" s="33"/>
      <c r="V46" s="33"/>
      <c r="W46" s="33"/>
      <c r="X46" s="33"/>
      <c r="Y46" s="33"/>
      <c r="Z46" s="33"/>
      <c r="AA46" s="160"/>
      <c r="AB46" s="160"/>
      <c r="AC46" s="160"/>
      <c r="AD46" s="160"/>
      <c r="AE46" s="47"/>
      <c r="AF46" s="47"/>
      <c r="AG46" s="47"/>
      <c r="AH46" s="46"/>
      <c r="AI46" s="46"/>
      <c r="AJ46" s="958"/>
      <c r="AK46" s="1007"/>
      <c r="AL46" s="1006"/>
      <c r="AM46" s="958"/>
      <c r="AN46" s="958"/>
      <c r="AO46" s="958"/>
      <c r="AP46" s="1004"/>
      <c r="AQ46" s="961"/>
      <c r="AR46" s="961"/>
      <c r="AS46" s="168"/>
      <c r="AT46" s="1272"/>
      <c r="AU46" s="170"/>
      <c r="AV46" s="20">
        <v>100</v>
      </c>
      <c r="AW46" s="19">
        <v>100</v>
      </c>
      <c r="AX46" s="17">
        <v>100</v>
      </c>
      <c r="AY46" s="170"/>
      <c r="AZ46" s="47"/>
      <c r="BA46" s="47"/>
      <c r="BB46" s="47"/>
      <c r="BC46" s="47"/>
      <c r="BD46" s="47"/>
      <c r="BE46" s="95"/>
      <c r="BF46" s="47"/>
      <c r="BG46" s="47"/>
      <c r="BH46" s="47"/>
      <c r="BI46" s="47"/>
      <c r="BJ46" s="47"/>
      <c r="BK46" s="47"/>
      <c r="BL46" s="33"/>
      <c r="BM46" s="33"/>
      <c r="BN46" s="33"/>
    </row>
    <row r="47" spans="1:66" ht="18" x14ac:dyDescent="0.25">
      <c r="A47" s="34"/>
      <c r="B47" s="34"/>
      <c r="C47" s="140"/>
      <c r="D47" s="33"/>
      <c r="E47" s="33"/>
      <c r="F47" s="1295"/>
      <c r="G47" s="1296"/>
      <c r="H47" s="1296"/>
      <c r="I47" s="1296"/>
      <c r="J47" s="1296"/>
      <c r="K47" s="1297"/>
      <c r="L47" s="34"/>
      <c r="M47" s="34"/>
      <c r="N47" s="33"/>
      <c r="O47" s="34"/>
      <c r="P47" s="33"/>
      <c r="Q47" s="47"/>
      <c r="R47" s="34"/>
      <c r="S47" s="34"/>
      <c r="T47" s="33"/>
      <c r="U47" s="33"/>
      <c r="V47" s="33"/>
      <c r="W47" s="33"/>
      <c r="X47" s="33"/>
      <c r="Y47" s="33"/>
      <c r="Z47" s="33"/>
      <c r="AA47" s="39"/>
      <c r="AB47" s="32"/>
      <c r="AC47" s="32"/>
      <c r="AD47" s="46"/>
      <c r="AE47" s="46"/>
      <c r="AF47" s="46"/>
      <c r="AG47" s="46"/>
      <c r="AH47" s="121"/>
      <c r="AI47" s="121"/>
      <c r="AJ47" s="1008"/>
      <c r="AK47" s="967"/>
      <c r="AL47" s="1007"/>
      <c r="AM47" s="1006"/>
      <c r="AN47" s="956"/>
      <c r="AO47" s="1009"/>
      <c r="AP47" s="958"/>
      <c r="AQ47" s="324"/>
      <c r="AR47" s="324"/>
      <c r="AS47" s="168"/>
      <c r="AT47" s="1272"/>
      <c r="AU47" s="170"/>
      <c r="AV47" s="21">
        <v>100</v>
      </c>
      <c r="AW47" s="20">
        <v>100</v>
      </c>
      <c r="AX47" s="15">
        <v>100</v>
      </c>
      <c r="AY47" s="170"/>
      <c r="AZ47" s="47"/>
      <c r="BA47" s="47"/>
      <c r="BB47" s="47"/>
      <c r="BC47" s="47"/>
      <c r="BD47" s="47"/>
      <c r="BE47" s="95"/>
      <c r="BF47" s="47"/>
      <c r="BG47" s="47"/>
      <c r="BH47" s="47"/>
      <c r="BI47" s="47"/>
      <c r="BJ47" s="47"/>
      <c r="BK47" s="47"/>
      <c r="BL47" s="33"/>
      <c r="BM47" s="33"/>
      <c r="BN47" s="33"/>
    </row>
    <row r="48" spans="1:66" ht="15.75" x14ac:dyDescent="0.25">
      <c r="A48" s="34"/>
      <c r="B48" s="34"/>
      <c r="C48" s="140"/>
      <c r="D48" s="33"/>
      <c r="E48" s="33"/>
      <c r="F48" s="1295"/>
      <c r="G48" s="1296"/>
      <c r="H48" s="1296"/>
      <c r="I48" s="1296"/>
      <c r="J48" s="1296"/>
      <c r="K48" s="1297"/>
      <c r="L48" s="34"/>
      <c r="M48" s="34"/>
      <c r="N48" s="33"/>
      <c r="O48" s="34"/>
      <c r="P48" s="33"/>
      <c r="Q48" s="47"/>
      <c r="R48" s="34"/>
      <c r="S48" s="34"/>
      <c r="T48" s="33"/>
      <c r="U48" s="33"/>
      <c r="V48" s="33"/>
      <c r="W48" s="33"/>
      <c r="X48" s="149"/>
      <c r="Y48" s="149"/>
      <c r="Z48" s="149"/>
      <c r="AA48" s="32"/>
      <c r="AB48" s="32"/>
      <c r="AC48" s="174"/>
      <c r="AD48" s="158"/>
      <c r="AE48" s="158"/>
      <c r="AF48" s="158"/>
      <c r="AG48" s="158"/>
      <c r="AH48" s="175"/>
      <c r="AI48" s="89"/>
      <c r="AJ48" s="1010"/>
      <c r="AK48" s="1008"/>
      <c r="AL48" s="967"/>
      <c r="AM48" s="1007"/>
      <c r="AN48" s="1006"/>
      <c r="AO48" s="958"/>
      <c r="AP48" s="958"/>
      <c r="AQ48" s="324"/>
      <c r="AR48" s="324"/>
      <c r="AS48" s="75"/>
      <c r="AT48" s="1272"/>
      <c r="AU48" s="166"/>
      <c r="AV48" s="169" t="s">
        <v>193</v>
      </c>
      <c r="AW48" s="169" t="s">
        <v>193</v>
      </c>
      <c r="AX48" s="169" t="s">
        <v>193</v>
      </c>
      <c r="AY48" s="166"/>
      <c r="AZ48" s="47"/>
      <c r="BA48" s="47"/>
      <c r="BB48" s="177"/>
      <c r="BC48" s="177"/>
      <c r="BD48" s="177"/>
      <c r="BE48" s="178"/>
      <c r="BF48" s="47"/>
      <c r="BG48" s="47"/>
      <c r="BH48" s="47"/>
      <c r="BI48" s="47"/>
      <c r="BJ48" s="47"/>
      <c r="BK48" s="47"/>
      <c r="BL48" s="33"/>
      <c r="BM48" s="33"/>
      <c r="BN48" s="33"/>
    </row>
    <row r="49" spans="1:66" ht="16.5" thickBot="1" x14ac:dyDescent="0.3">
      <c r="A49" s="34"/>
      <c r="B49" s="34"/>
      <c r="C49" s="140"/>
      <c r="D49" s="33"/>
      <c r="E49" s="33"/>
      <c r="F49" s="1295"/>
      <c r="G49" s="1296"/>
      <c r="H49" s="1296"/>
      <c r="I49" s="1296"/>
      <c r="J49" s="1296"/>
      <c r="K49" s="1297"/>
      <c r="L49" s="34"/>
      <c r="M49" s="34"/>
      <c r="N49" s="33"/>
      <c r="O49" s="3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149"/>
      <c r="AA49" s="99"/>
      <c r="AB49" s="99"/>
      <c r="AC49" s="179"/>
      <c r="AD49" s="99"/>
      <c r="AE49" s="47"/>
      <c r="AF49" s="47"/>
      <c r="AG49" s="47"/>
      <c r="AH49" s="89"/>
      <c r="AI49" s="47"/>
      <c r="AJ49" s="1011"/>
      <c r="AK49" s="1010"/>
      <c r="AL49" s="1008"/>
      <c r="AM49" s="967"/>
      <c r="AN49" s="1007"/>
      <c r="AO49" s="1006"/>
      <c r="AP49" s="1012"/>
      <c r="AQ49" s="961"/>
      <c r="AR49" s="961"/>
      <c r="AS49" s="72"/>
      <c r="AT49" s="1273"/>
      <c r="AU49" s="47"/>
      <c r="AV49" s="166"/>
      <c r="AW49" s="166"/>
      <c r="AX49" s="166"/>
      <c r="AY49" s="182"/>
      <c r="AZ49" s="1277"/>
      <c r="BA49" s="1277"/>
      <c r="BB49" s="1277"/>
      <c r="BC49" s="50"/>
      <c r="BD49" s="50"/>
      <c r="BE49" s="183"/>
      <c r="BF49" s="47"/>
      <c r="BG49" s="47"/>
      <c r="BH49" s="47"/>
      <c r="BI49" s="47"/>
      <c r="BJ49" s="47"/>
      <c r="BK49" s="47"/>
      <c r="BL49" s="33"/>
      <c r="BM49" s="33"/>
      <c r="BN49" s="33"/>
    </row>
    <row r="50" spans="1:66" ht="16.5" thickBot="1" x14ac:dyDescent="0.3">
      <c r="A50" s="34"/>
      <c r="B50" s="34"/>
      <c r="C50" s="140"/>
      <c r="D50" s="33"/>
      <c r="E50" s="33"/>
      <c r="F50" s="1295"/>
      <c r="G50" s="1296"/>
      <c r="H50" s="1296"/>
      <c r="I50" s="1296"/>
      <c r="J50" s="1296"/>
      <c r="K50" s="1297"/>
      <c r="L50" s="33"/>
      <c r="M50" s="33"/>
      <c r="N50" s="33"/>
      <c r="O50" s="3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149"/>
      <c r="AA50" s="161"/>
      <c r="AB50" s="47"/>
      <c r="AC50" s="47"/>
      <c r="AD50" s="47"/>
      <c r="AE50" s="184"/>
      <c r="AF50" s="47"/>
      <c r="AG50" s="89"/>
      <c r="AH50" s="47"/>
      <c r="AI50" s="47"/>
      <c r="AJ50" s="958"/>
      <c r="AK50" s="958"/>
      <c r="AL50" s="958"/>
      <c r="AM50" s="1013"/>
      <c r="AN50" s="967"/>
      <c r="AO50" s="1007"/>
      <c r="AP50" s="1006"/>
      <c r="AQ50" s="1014"/>
      <c r="AR50" s="961"/>
      <c r="AS50" s="95"/>
      <c r="AT50" s="99"/>
      <c r="AU50" s="187"/>
      <c r="AV50" s="1054"/>
      <c r="AW50" s="1054"/>
      <c r="AX50" s="1054"/>
      <c r="AY50" s="121"/>
      <c r="AZ50" s="121"/>
      <c r="BA50" s="121"/>
      <c r="BB50" s="121"/>
      <c r="BC50" s="121"/>
      <c r="BD50" s="47"/>
      <c r="BE50" s="150"/>
      <c r="BF50" s="47"/>
      <c r="BG50" s="47"/>
      <c r="BH50" s="47"/>
      <c r="BI50" s="47"/>
      <c r="BJ50" s="47"/>
      <c r="BK50" s="47"/>
      <c r="BL50" s="33"/>
      <c r="BM50" s="33"/>
      <c r="BN50" s="33"/>
    </row>
    <row r="51" spans="1:66" ht="15.75" x14ac:dyDescent="0.25">
      <c r="A51" s="34"/>
      <c r="B51" s="34"/>
      <c r="C51" s="140"/>
      <c r="D51" s="34"/>
      <c r="E51" s="33"/>
      <c r="F51" s="1295"/>
      <c r="G51" s="1296"/>
      <c r="H51" s="1296"/>
      <c r="I51" s="1296"/>
      <c r="J51" s="1296"/>
      <c r="K51" s="1297"/>
      <c r="L51" s="34"/>
      <c r="M51" s="34"/>
      <c r="N51" s="1281"/>
      <c r="O51" s="1282"/>
      <c r="P51" s="1282"/>
      <c r="Q51" s="1282"/>
      <c r="R51" s="1282"/>
      <c r="S51" s="1282"/>
      <c r="T51" s="1283"/>
      <c r="U51" s="33"/>
      <c r="V51" s="33"/>
      <c r="W51" s="33"/>
      <c r="X51" s="33"/>
      <c r="Y51" s="33"/>
      <c r="Z51" s="149"/>
      <c r="AA51" s="161"/>
      <c r="AB51" s="47"/>
      <c r="AC51" s="47"/>
      <c r="AD51" s="121"/>
      <c r="AE51" s="47"/>
      <c r="AF51" s="89"/>
      <c r="AG51" s="47"/>
      <c r="AH51" s="47"/>
      <c r="AI51" s="47"/>
      <c r="AJ51" s="958"/>
      <c r="AK51" s="958"/>
      <c r="AL51" s="958"/>
      <c r="AM51" s="958"/>
      <c r="AN51" s="1015"/>
      <c r="AO51" s="967"/>
      <c r="AP51" s="1007"/>
      <c r="AQ51" s="1006"/>
      <c r="AR51" s="961"/>
      <c r="AS51" s="95"/>
      <c r="AT51" s="47"/>
      <c r="AU51" s="47"/>
      <c r="AV51" s="958"/>
      <c r="AW51" s="958"/>
      <c r="AX51" s="958"/>
      <c r="AY51" s="47"/>
      <c r="BC51" s="47"/>
      <c r="BD51" s="47"/>
      <c r="BE51" s="150"/>
      <c r="BF51" s="47"/>
      <c r="BG51" s="47"/>
      <c r="BH51" s="47"/>
      <c r="BI51" s="47"/>
      <c r="BJ51" s="47"/>
      <c r="BK51" s="47"/>
      <c r="BL51" s="33"/>
      <c r="BM51" s="33"/>
      <c r="BN51" s="33"/>
    </row>
    <row r="52" spans="1:66" ht="15.75" x14ac:dyDescent="0.25">
      <c r="A52" s="34"/>
      <c r="B52" s="34"/>
      <c r="C52" s="140"/>
      <c r="D52" s="34"/>
      <c r="E52" s="33"/>
      <c r="F52" s="1295"/>
      <c r="G52" s="1296"/>
      <c r="H52" s="1296"/>
      <c r="I52" s="1296"/>
      <c r="J52" s="1296"/>
      <c r="K52" s="1297"/>
      <c r="L52" s="34"/>
      <c r="M52" s="34"/>
      <c r="N52" s="1284"/>
      <c r="O52" s="1285"/>
      <c r="P52" s="1285"/>
      <c r="Q52" s="1285"/>
      <c r="R52" s="1285"/>
      <c r="S52" s="1285"/>
      <c r="T52" s="1286"/>
      <c r="U52" s="33"/>
      <c r="V52" s="33"/>
      <c r="W52" s="33"/>
      <c r="X52" s="33"/>
      <c r="Y52" s="33"/>
      <c r="Z52" s="47"/>
      <c r="AA52" s="47"/>
      <c r="AB52" s="47"/>
      <c r="AC52" s="121"/>
      <c r="AD52" s="47"/>
      <c r="AE52" s="89"/>
      <c r="AF52" s="47"/>
      <c r="AG52" s="47"/>
      <c r="AH52" s="47"/>
      <c r="AI52" s="47"/>
      <c r="AJ52" s="958"/>
      <c r="AK52" s="958"/>
      <c r="AL52" s="958"/>
      <c r="AM52" s="958"/>
      <c r="AN52" s="958"/>
      <c r="AO52" s="1016"/>
      <c r="AP52" s="967"/>
      <c r="AQ52" s="1007"/>
      <c r="AR52" s="1006"/>
      <c r="AS52" s="191"/>
      <c r="AT52" s="47"/>
      <c r="AU52" s="47"/>
      <c r="AV52" s="47"/>
      <c r="AW52" s="47"/>
      <c r="AY52" s="47"/>
      <c r="AZ52" s="47"/>
      <c r="BA52" s="47"/>
      <c r="BB52" s="47"/>
      <c r="BC52" s="47"/>
      <c r="BD52" s="47"/>
      <c r="BE52" s="47"/>
      <c r="BF52" s="138"/>
      <c r="BG52" s="47"/>
      <c r="BH52" s="47"/>
      <c r="BI52" s="47"/>
      <c r="BJ52" s="47"/>
      <c r="BK52" s="47"/>
      <c r="BL52" s="33"/>
      <c r="BM52" s="33"/>
      <c r="BN52" s="33"/>
    </row>
    <row r="53" spans="1:66" ht="16.5" thickBot="1" x14ac:dyDescent="0.3">
      <c r="A53" s="34"/>
      <c r="B53" s="34"/>
      <c r="C53" s="140"/>
      <c r="D53" s="34"/>
      <c r="E53" s="33"/>
      <c r="F53" s="1295"/>
      <c r="G53" s="1296"/>
      <c r="H53" s="1296"/>
      <c r="I53" s="1296"/>
      <c r="J53" s="1296"/>
      <c r="K53" s="1297"/>
      <c r="L53" s="34"/>
      <c r="M53" s="34"/>
      <c r="N53" s="1284"/>
      <c r="O53" s="1285"/>
      <c r="P53" s="1285"/>
      <c r="Q53" s="1285"/>
      <c r="R53" s="1285"/>
      <c r="S53" s="1285"/>
      <c r="T53" s="1286"/>
      <c r="U53" s="33"/>
      <c r="V53" s="33"/>
      <c r="W53" s="33"/>
      <c r="X53" s="33"/>
      <c r="Y53" s="33"/>
      <c r="Z53" s="72"/>
      <c r="AA53" s="47"/>
      <c r="AB53" s="152"/>
      <c r="AC53" s="47"/>
      <c r="AD53" s="89"/>
      <c r="AE53" s="47"/>
      <c r="AF53" s="47"/>
      <c r="AG53" s="47"/>
      <c r="AH53" s="47"/>
      <c r="AI53" s="47"/>
      <c r="AJ53" s="958"/>
      <c r="AK53" s="958"/>
      <c r="AL53" s="958"/>
      <c r="AM53" s="958"/>
      <c r="AN53" s="961"/>
      <c r="AO53" s="961"/>
      <c r="AP53" s="1008"/>
      <c r="AQ53" s="967"/>
      <c r="AR53" s="1017"/>
      <c r="AS53" s="193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138"/>
      <c r="BG53" s="47"/>
      <c r="BH53" s="47"/>
      <c r="BI53" s="47"/>
      <c r="BJ53" s="47"/>
      <c r="BK53" s="47"/>
      <c r="BL53" s="33"/>
      <c r="BM53" s="33"/>
      <c r="BN53" s="33"/>
    </row>
    <row r="54" spans="1:66" x14ac:dyDescent="0.25">
      <c r="A54" s="34"/>
      <c r="B54" s="34"/>
      <c r="C54" s="140"/>
      <c r="D54" s="34"/>
      <c r="E54" s="33"/>
      <c r="F54" s="1295"/>
      <c r="G54" s="1296"/>
      <c r="H54" s="1296"/>
      <c r="I54" s="1296"/>
      <c r="J54" s="1296"/>
      <c r="K54" s="1297"/>
      <c r="L54" s="34"/>
      <c r="M54" s="34"/>
      <c r="N54" s="1284"/>
      <c r="O54" s="1285"/>
      <c r="P54" s="1285"/>
      <c r="Q54" s="1285"/>
      <c r="R54" s="1285"/>
      <c r="S54" s="1285"/>
      <c r="T54" s="1286"/>
      <c r="U54" s="33"/>
      <c r="V54" s="33"/>
      <c r="W54" s="33"/>
      <c r="X54" s="33"/>
      <c r="Y54" s="33"/>
      <c r="Z54" s="47"/>
      <c r="AA54" s="152"/>
      <c r="AB54" s="100"/>
      <c r="AC54" s="89"/>
      <c r="AD54" s="47"/>
      <c r="AE54" s="47"/>
      <c r="AF54" s="47"/>
      <c r="AG54" s="47"/>
      <c r="AH54" s="47"/>
      <c r="AI54" s="47"/>
      <c r="AJ54" s="958"/>
      <c r="AK54" s="958"/>
      <c r="AL54" s="958"/>
      <c r="AM54" s="958"/>
      <c r="AN54" s="958"/>
      <c r="AO54" s="958"/>
      <c r="AP54" s="961"/>
      <c r="AQ54" s="961"/>
      <c r="AR54" s="1018"/>
      <c r="AS54" s="121"/>
      <c r="AT54" s="121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113"/>
      <c r="BG54" s="47"/>
      <c r="BH54" s="47"/>
      <c r="BI54" s="47"/>
      <c r="BJ54" s="47"/>
      <c r="BK54" s="47"/>
      <c r="BL54" s="33"/>
      <c r="BM54" s="33"/>
      <c r="BN54" s="33"/>
    </row>
    <row r="55" spans="1:66" x14ac:dyDescent="0.25">
      <c r="A55" s="34"/>
      <c r="B55" s="34"/>
      <c r="C55" s="140"/>
      <c r="D55" s="34"/>
      <c r="E55" s="33"/>
      <c r="F55" s="1295"/>
      <c r="G55" s="1296"/>
      <c r="H55" s="1296"/>
      <c r="I55" s="1296"/>
      <c r="J55" s="1296"/>
      <c r="K55" s="1297"/>
      <c r="L55" s="34"/>
      <c r="M55" s="34"/>
      <c r="N55" s="1284"/>
      <c r="O55" s="1285"/>
      <c r="P55" s="1285"/>
      <c r="Q55" s="1285"/>
      <c r="R55" s="1285"/>
      <c r="S55" s="1285"/>
      <c r="T55" s="1286"/>
      <c r="U55" s="33"/>
      <c r="V55" s="33"/>
      <c r="W55" s="33"/>
      <c r="X55" s="33"/>
      <c r="Y55" s="33"/>
      <c r="Z55" s="152"/>
      <c r="AA55" s="100"/>
      <c r="AB55" s="195"/>
      <c r="AC55" s="47"/>
      <c r="AD55" s="47"/>
      <c r="AE55" s="47"/>
      <c r="AF55" s="47"/>
      <c r="AG55" s="47"/>
      <c r="AH55" s="47"/>
      <c r="AI55" s="47"/>
      <c r="AJ55" s="958"/>
      <c r="AK55" s="958"/>
      <c r="AL55" s="958"/>
      <c r="AM55" s="958"/>
      <c r="AN55" s="958"/>
      <c r="AO55" s="958"/>
      <c r="AP55" s="958"/>
      <c r="AQ55" s="958"/>
      <c r="AR55" s="1019"/>
      <c r="AS55" s="121"/>
      <c r="AT55" s="121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113"/>
      <c r="BG55" s="47"/>
      <c r="BH55" s="47"/>
      <c r="BI55" s="47"/>
      <c r="BJ55" s="47"/>
      <c r="BK55" s="47"/>
      <c r="BL55" s="33"/>
      <c r="BM55" s="33"/>
      <c r="BN55" s="33"/>
    </row>
    <row r="56" spans="1:66" x14ac:dyDescent="0.25">
      <c r="A56" s="34"/>
      <c r="B56" s="34"/>
      <c r="C56" s="123"/>
      <c r="D56" s="197"/>
      <c r="E56" s="33"/>
      <c r="F56" s="1295"/>
      <c r="G56" s="1296"/>
      <c r="H56" s="1296"/>
      <c r="I56" s="1296"/>
      <c r="J56" s="1296"/>
      <c r="K56" s="1297"/>
      <c r="L56" s="34"/>
      <c r="M56" s="34"/>
      <c r="N56" s="1284"/>
      <c r="O56" s="1285"/>
      <c r="P56" s="1285"/>
      <c r="Q56" s="1285"/>
      <c r="R56" s="1285"/>
      <c r="S56" s="1285"/>
      <c r="T56" s="1286"/>
      <c r="U56" s="33"/>
      <c r="V56" s="33"/>
      <c r="W56" s="33"/>
      <c r="X56" s="33"/>
      <c r="Y56" s="33"/>
      <c r="Z56" s="47"/>
      <c r="AA56" s="195"/>
      <c r="AB56" s="152"/>
      <c r="AC56" s="47"/>
      <c r="AD56" s="47"/>
      <c r="AE56" s="47"/>
      <c r="AF56" s="47"/>
      <c r="AG56" s="47"/>
      <c r="AH56" s="47"/>
      <c r="AI56" s="47"/>
      <c r="AJ56" s="958"/>
      <c r="AK56" s="958"/>
      <c r="AL56" s="958"/>
      <c r="AM56" s="958"/>
      <c r="AN56" s="958"/>
      <c r="AO56" s="958"/>
      <c r="AP56" s="958"/>
      <c r="AQ56" s="958"/>
      <c r="AR56" s="1020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113"/>
      <c r="BG56" s="47"/>
      <c r="BH56" s="47"/>
      <c r="BI56" s="47"/>
      <c r="BJ56" s="47"/>
      <c r="BK56" s="47"/>
      <c r="BL56" s="33"/>
      <c r="BM56" s="33"/>
      <c r="BN56" s="33"/>
    </row>
    <row r="57" spans="1:66" ht="15.75" x14ac:dyDescent="0.25">
      <c r="A57" s="34"/>
      <c r="B57" s="34"/>
      <c r="C57" s="123"/>
      <c r="D57" s="197"/>
      <c r="E57" s="34"/>
      <c r="F57" s="1295"/>
      <c r="G57" s="1296"/>
      <c r="H57" s="1296"/>
      <c r="I57" s="1296"/>
      <c r="J57" s="1296"/>
      <c r="K57" s="1297"/>
      <c r="L57" s="34"/>
      <c r="M57" s="34"/>
      <c r="N57" s="1284"/>
      <c r="O57" s="1285"/>
      <c r="P57" s="1285"/>
      <c r="Q57" s="1285"/>
      <c r="R57" s="1285"/>
      <c r="S57" s="1285"/>
      <c r="T57" s="1286"/>
      <c r="U57" s="33"/>
      <c r="V57" s="33"/>
      <c r="W57" s="33"/>
      <c r="X57" s="33"/>
      <c r="Y57" s="33"/>
      <c r="Z57" s="89"/>
      <c r="AA57" s="179"/>
      <c r="AB57" s="71"/>
      <c r="AC57" s="47"/>
      <c r="AD57" s="47"/>
      <c r="AE57" s="47"/>
      <c r="AF57" s="47"/>
      <c r="AG57" s="47"/>
      <c r="AH57" s="47"/>
      <c r="AI57" s="47"/>
      <c r="AJ57" s="958"/>
      <c r="AK57" s="958"/>
      <c r="AL57" s="958"/>
      <c r="AM57" s="958"/>
      <c r="AN57" s="958"/>
      <c r="AO57" s="958"/>
      <c r="AP57" s="958"/>
      <c r="AQ57" s="1021"/>
      <c r="AR57" s="1020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113"/>
      <c r="BG57" s="47"/>
      <c r="BH57" s="47"/>
      <c r="BI57" s="47"/>
      <c r="BJ57" s="47"/>
      <c r="BK57" s="47"/>
      <c r="BL57" s="33"/>
      <c r="BM57" s="33"/>
      <c r="BN57" s="33"/>
    </row>
    <row r="58" spans="1:66" x14ac:dyDescent="0.25">
      <c r="A58" s="34"/>
      <c r="B58" s="34"/>
      <c r="C58" s="123"/>
      <c r="D58" s="197"/>
      <c r="E58" s="34"/>
      <c r="F58" s="1295"/>
      <c r="G58" s="1296"/>
      <c r="H58" s="1296"/>
      <c r="I58" s="1296"/>
      <c r="J58" s="1296"/>
      <c r="K58" s="1297"/>
      <c r="L58" s="34"/>
      <c r="M58" s="34"/>
      <c r="N58" s="1284"/>
      <c r="O58" s="1285"/>
      <c r="P58" s="1285"/>
      <c r="Q58" s="1285"/>
      <c r="R58" s="1285"/>
      <c r="S58" s="1285"/>
      <c r="T58" s="1286"/>
      <c r="U58" s="33"/>
      <c r="V58" s="33"/>
      <c r="W58" s="33"/>
      <c r="X58" s="33"/>
      <c r="Y58" s="33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196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113"/>
      <c r="BG58" s="47"/>
      <c r="BH58" s="47"/>
      <c r="BI58" s="47"/>
      <c r="BJ58" s="47"/>
      <c r="BK58" s="47"/>
      <c r="BL58" s="33"/>
      <c r="BM58" s="33"/>
      <c r="BN58" s="33"/>
    </row>
    <row r="59" spans="1:66" x14ac:dyDescent="0.25">
      <c r="A59" s="34"/>
      <c r="B59" s="34"/>
      <c r="C59" s="123"/>
      <c r="D59" s="197"/>
      <c r="E59" s="34"/>
      <c r="F59" s="1295"/>
      <c r="G59" s="1296"/>
      <c r="H59" s="1296"/>
      <c r="I59" s="1296"/>
      <c r="J59" s="1296"/>
      <c r="K59" s="1297"/>
      <c r="L59" s="34"/>
      <c r="M59" s="34"/>
      <c r="N59" s="1284"/>
      <c r="O59" s="1285"/>
      <c r="P59" s="1285"/>
      <c r="Q59" s="1285"/>
      <c r="R59" s="1285"/>
      <c r="S59" s="1285"/>
      <c r="T59" s="1286"/>
      <c r="U59" s="33"/>
      <c r="V59" s="33"/>
      <c r="W59" s="33"/>
      <c r="X59" s="33"/>
      <c r="Y59" s="33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121"/>
      <c r="AS59" s="47"/>
      <c r="AT59" s="121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113"/>
      <c r="BG59" s="47"/>
      <c r="BH59" s="47"/>
      <c r="BI59" s="47"/>
      <c r="BJ59" s="47"/>
      <c r="BK59" s="47"/>
      <c r="BL59" s="33"/>
      <c r="BM59" s="33"/>
      <c r="BN59" s="33"/>
    </row>
    <row r="60" spans="1:66" ht="20.25" x14ac:dyDescent="0.25">
      <c r="A60" s="34"/>
      <c r="B60" s="34"/>
      <c r="C60" s="123"/>
      <c r="D60" s="200"/>
      <c r="E60" s="84"/>
      <c r="F60" s="1295"/>
      <c r="G60" s="1296"/>
      <c r="H60" s="1296"/>
      <c r="I60" s="1296"/>
      <c r="J60" s="1296"/>
      <c r="K60" s="1297"/>
      <c r="L60" s="34"/>
      <c r="M60" s="34"/>
      <c r="N60" s="1284"/>
      <c r="O60" s="1285"/>
      <c r="P60" s="1285"/>
      <c r="Q60" s="1285"/>
      <c r="R60" s="1285"/>
      <c r="S60" s="1285"/>
      <c r="T60" s="1286"/>
      <c r="U60" s="33"/>
      <c r="V60" s="33"/>
      <c r="W60" s="33"/>
      <c r="X60" s="33"/>
      <c r="Y60" s="33"/>
      <c r="Z60" s="33"/>
      <c r="AA60" s="33"/>
      <c r="AB60" s="33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201"/>
      <c r="AS60" s="47"/>
      <c r="AT60" s="121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113"/>
      <c r="BG60" s="47"/>
      <c r="BH60" s="47"/>
      <c r="BI60" s="47"/>
      <c r="BJ60" s="47"/>
      <c r="BK60" s="47"/>
      <c r="BL60" s="33"/>
      <c r="BM60" s="33"/>
      <c r="BN60" s="33"/>
    </row>
    <row r="61" spans="1:66" ht="15.75" x14ac:dyDescent="0.25">
      <c r="A61" s="34"/>
      <c r="B61" s="34"/>
      <c r="C61" s="123"/>
      <c r="D61" s="202"/>
      <c r="E61" s="34"/>
      <c r="F61" s="1295"/>
      <c r="G61" s="1296"/>
      <c r="H61" s="1296"/>
      <c r="I61" s="1296"/>
      <c r="J61" s="1296"/>
      <c r="K61" s="1297"/>
      <c r="L61" s="34"/>
      <c r="M61" s="34"/>
      <c r="N61" s="1284"/>
      <c r="O61" s="1285"/>
      <c r="P61" s="1285"/>
      <c r="Q61" s="1285"/>
      <c r="R61" s="1285"/>
      <c r="S61" s="1285"/>
      <c r="T61" s="1286"/>
      <c r="U61" s="33"/>
      <c r="V61" s="33"/>
      <c r="W61" s="33"/>
      <c r="X61" s="33"/>
      <c r="Y61" s="33"/>
      <c r="Z61" s="33"/>
      <c r="AA61" s="33"/>
      <c r="AB61" s="33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99"/>
      <c r="AR61" s="201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113"/>
      <c r="BG61" s="47"/>
      <c r="BH61" s="47"/>
      <c r="BI61" s="47"/>
      <c r="BJ61" s="47"/>
      <c r="BK61" s="47"/>
      <c r="BL61" s="33"/>
      <c r="BM61" s="33"/>
      <c r="BN61" s="33"/>
    </row>
    <row r="62" spans="1:66" ht="20.25" x14ac:dyDescent="0.25">
      <c r="A62" s="34"/>
      <c r="B62" s="34"/>
      <c r="C62" s="123"/>
      <c r="D62" s="203"/>
      <c r="F62" s="1295"/>
      <c r="G62" s="1296"/>
      <c r="H62" s="1296"/>
      <c r="I62" s="1296"/>
      <c r="J62" s="1296"/>
      <c r="K62" s="1297"/>
      <c r="L62" s="34"/>
      <c r="M62" s="34"/>
      <c r="N62" s="1284"/>
      <c r="O62" s="1285"/>
      <c r="P62" s="1285"/>
      <c r="Q62" s="1285"/>
      <c r="R62" s="1285"/>
      <c r="S62" s="1285"/>
      <c r="T62" s="1286"/>
      <c r="U62" s="33"/>
      <c r="V62" s="33"/>
      <c r="W62" s="33"/>
      <c r="X62" s="33"/>
      <c r="Y62" s="33"/>
      <c r="Z62" s="33"/>
      <c r="AA62" s="33"/>
      <c r="AB62" s="33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201"/>
      <c r="AR62" s="150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113"/>
      <c r="BG62" s="47"/>
      <c r="BH62" s="47"/>
      <c r="BI62" s="47"/>
      <c r="BJ62" s="47"/>
      <c r="BK62" s="47"/>
      <c r="BL62" s="33"/>
      <c r="BM62" s="33"/>
      <c r="BN62" s="33"/>
    </row>
    <row r="63" spans="1:66" ht="21" thickBot="1" x14ac:dyDescent="0.3">
      <c r="A63" s="34"/>
      <c r="B63" s="34"/>
      <c r="C63" s="123"/>
      <c r="D63" s="197"/>
      <c r="E63" s="56"/>
      <c r="F63" s="1295"/>
      <c r="G63" s="1296"/>
      <c r="H63" s="1296"/>
      <c r="I63" s="1296"/>
      <c r="J63" s="1296"/>
      <c r="K63" s="1297"/>
      <c r="L63" s="34"/>
      <c r="M63" s="34"/>
      <c r="N63" s="1287"/>
      <c r="O63" s="1288"/>
      <c r="P63" s="1288"/>
      <c r="Q63" s="1288"/>
      <c r="R63" s="1288"/>
      <c r="S63" s="1288"/>
      <c r="T63" s="1289"/>
      <c r="U63" s="52"/>
      <c r="V63" s="52"/>
      <c r="W63" s="52"/>
      <c r="X63" s="52"/>
      <c r="Y63" s="52"/>
      <c r="Z63" s="204"/>
      <c r="AA63" s="204"/>
      <c r="AB63" s="204"/>
      <c r="AC63" s="72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201"/>
      <c r="AR63" s="150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113"/>
      <c r="BG63" s="47"/>
      <c r="BH63" s="47"/>
      <c r="BI63" s="47"/>
      <c r="BJ63" s="47"/>
      <c r="BK63" s="47"/>
      <c r="BL63" s="33"/>
      <c r="BM63" s="33"/>
      <c r="BN63" s="33"/>
    </row>
    <row r="64" spans="1:66" ht="21" thickBot="1" x14ac:dyDescent="0.3">
      <c r="A64" s="34"/>
      <c r="B64" s="34"/>
      <c r="C64" s="123"/>
      <c r="D64" s="197"/>
      <c r="E64" s="56"/>
      <c r="F64" s="1298"/>
      <c r="G64" s="1299"/>
      <c r="H64" s="1299"/>
      <c r="I64" s="1299"/>
      <c r="J64" s="1299"/>
      <c r="K64" s="1300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205"/>
      <c r="AA64" s="72"/>
      <c r="AB64" s="204"/>
      <c r="AC64" s="206"/>
      <c r="AD64" s="47"/>
      <c r="AE64" s="47"/>
      <c r="AF64" s="47"/>
      <c r="AG64" s="47"/>
      <c r="AH64" s="47"/>
      <c r="AI64" s="207"/>
      <c r="AJ64" s="47"/>
      <c r="AK64" s="208"/>
      <c r="AL64" s="208"/>
      <c r="AM64" s="50"/>
      <c r="AN64" s="208"/>
      <c r="AO64" s="209"/>
      <c r="AP64" s="210"/>
      <c r="AQ64" s="50"/>
      <c r="AR64" s="183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211"/>
      <c r="BF64" s="113"/>
      <c r="BG64" s="47"/>
      <c r="BH64" s="47"/>
      <c r="BI64" s="47"/>
      <c r="BJ64" s="47"/>
      <c r="BK64" s="47"/>
      <c r="BL64" s="33"/>
      <c r="BM64" s="33"/>
      <c r="BN64" s="33"/>
    </row>
    <row r="65" spans="1:66" ht="20.25" x14ac:dyDescent="0.25">
      <c r="A65" s="34"/>
      <c r="B65" s="34"/>
      <c r="C65" s="123"/>
      <c r="D65" s="197"/>
      <c r="E65" s="56"/>
      <c r="F65" s="33"/>
      <c r="G65" s="33"/>
      <c r="H65" s="33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205"/>
      <c r="AA65" s="212"/>
      <c r="AB65" s="204"/>
      <c r="AC65" s="206"/>
      <c r="AD65" s="47"/>
      <c r="AE65" s="47"/>
      <c r="AF65" s="47"/>
      <c r="AG65" s="47"/>
      <c r="AH65" s="47"/>
      <c r="AI65" s="47"/>
      <c r="AJ65" s="213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214"/>
      <c r="BF65" s="113"/>
      <c r="BG65" s="47"/>
      <c r="BH65" s="47"/>
      <c r="BI65" s="47"/>
      <c r="BJ65" s="47"/>
      <c r="BK65" s="47"/>
      <c r="BL65" s="33"/>
      <c r="BM65" s="33"/>
      <c r="BN65" s="33"/>
    </row>
    <row r="66" spans="1:66" ht="20.25" x14ac:dyDescent="0.25">
      <c r="A66" s="34"/>
      <c r="B66" s="34"/>
      <c r="C66" s="123"/>
      <c r="D66" s="197"/>
      <c r="E66" s="56"/>
      <c r="F66" s="33"/>
      <c r="G66" s="33"/>
      <c r="H66" s="33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34"/>
      <c r="X66" s="34"/>
      <c r="Y66" s="34"/>
      <c r="Z66" s="205"/>
      <c r="AA66" s="215"/>
      <c r="AB66" s="204"/>
      <c r="AC66" s="206"/>
      <c r="AD66" s="216"/>
      <c r="AE66" s="47"/>
      <c r="AF66" s="161"/>
      <c r="AG66" s="217"/>
      <c r="AH66" s="100"/>
      <c r="AI66" s="213"/>
      <c r="AJ66" s="152"/>
      <c r="AK66" s="152"/>
      <c r="AL66" s="152"/>
      <c r="AM66" s="152"/>
      <c r="AN66" s="152"/>
      <c r="AO66" s="152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218"/>
      <c r="BF66" s="113"/>
      <c r="BG66" s="47"/>
      <c r="BH66" s="47"/>
      <c r="BI66" s="47"/>
      <c r="BJ66" s="47"/>
      <c r="BK66" s="47"/>
      <c r="BL66" s="33"/>
      <c r="BM66" s="33"/>
      <c r="BN66" s="33"/>
    </row>
    <row r="67" spans="1:66" ht="20.25" x14ac:dyDescent="0.25">
      <c r="A67" s="34"/>
      <c r="B67" s="34"/>
      <c r="C67" s="34"/>
      <c r="D67" s="197"/>
      <c r="E67" s="56"/>
      <c r="F67" s="33"/>
      <c r="G67" s="33"/>
      <c r="H67" s="33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34"/>
      <c r="X67" s="34"/>
      <c r="Y67" s="34"/>
      <c r="Z67" s="219"/>
      <c r="AA67" s="215"/>
      <c r="AB67" s="204"/>
      <c r="AC67" s="206"/>
      <c r="AD67" s="47"/>
      <c r="AE67" s="161"/>
      <c r="AF67" s="217"/>
      <c r="AG67" s="100"/>
      <c r="AH67" s="213"/>
      <c r="AI67" s="152"/>
      <c r="AJ67" s="152"/>
      <c r="AK67" s="152"/>
      <c r="AL67" s="152"/>
      <c r="AM67" s="152"/>
      <c r="AN67" s="152"/>
      <c r="AO67" s="152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214"/>
      <c r="BF67" s="113"/>
      <c r="BG67" s="47"/>
      <c r="BH67" s="47"/>
      <c r="BI67" s="47"/>
      <c r="BJ67" s="47"/>
      <c r="BK67" s="47"/>
      <c r="BL67" s="33"/>
      <c r="BM67" s="33"/>
      <c r="BN67" s="33"/>
    </row>
    <row r="68" spans="1:66" ht="20.25" x14ac:dyDescent="0.25">
      <c r="A68" s="34"/>
      <c r="B68" s="34"/>
      <c r="C68" s="34"/>
      <c r="D68" s="197"/>
      <c r="E68" s="56"/>
      <c r="F68" s="33"/>
      <c r="G68" s="33"/>
      <c r="H68" s="33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34"/>
      <c r="X68" s="34"/>
      <c r="Y68" s="34"/>
      <c r="Z68" s="72"/>
      <c r="AA68" s="219"/>
      <c r="AB68" s="204"/>
      <c r="AC68" s="206"/>
      <c r="AD68" s="161"/>
      <c r="AE68" s="217"/>
      <c r="AF68" s="100"/>
      <c r="AG68" s="213"/>
      <c r="AH68" s="152"/>
      <c r="AI68" s="152"/>
      <c r="AJ68" s="152"/>
      <c r="AK68" s="152"/>
      <c r="AL68" s="152"/>
      <c r="AM68" s="152"/>
      <c r="AN68" s="152"/>
      <c r="AO68" s="152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214"/>
      <c r="BF68" s="113"/>
      <c r="BG68" s="47"/>
      <c r="BH68" s="47"/>
      <c r="BI68" s="47"/>
      <c r="BJ68" s="47"/>
      <c r="BK68" s="47"/>
      <c r="BL68" s="33"/>
      <c r="BM68" s="33"/>
      <c r="BN68" s="33"/>
    </row>
    <row r="69" spans="1:66" ht="20.25" x14ac:dyDescent="0.25">
      <c r="A69" s="34"/>
      <c r="B69" s="34"/>
      <c r="C69" s="34"/>
      <c r="D69" s="197"/>
      <c r="E69" s="56"/>
      <c r="F69" s="220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34"/>
      <c r="X69" s="34"/>
      <c r="Y69" s="34"/>
      <c r="Z69" s="204"/>
      <c r="AA69" s="204"/>
      <c r="AB69" s="204"/>
      <c r="AC69" s="47"/>
      <c r="AD69" s="217"/>
      <c r="AE69" s="100"/>
      <c r="AF69" s="213"/>
      <c r="AG69" s="152"/>
      <c r="AH69" s="152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214"/>
      <c r="BF69" s="113"/>
      <c r="BG69" s="47"/>
      <c r="BH69" s="47"/>
      <c r="BI69" s="47"/>
      <c r="BJ69" s="47"/>
      <c r="BK69" s="47"/>
      <c r="BL69" s="33"/>
      <c r="BM69" s="33"/>
      <c r="BN69" s="33"/>
    </row>
    <row r="70" spans="1:66" ht="21" x14ac:dyDescent="0.25">
      <c r="A70" s="34"/>
      <c r="B70" s="34"/>
      <c r="C70" s="34"/>
      <c r="D70" s="197"/>
      <c r="E70" s="56"/>
      <c r="F70" s="220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34"/>
      <c r="X70" s="34"/>
      <c r="Y70" s="34"/>
      <c r="Z70" s="204"/>
      <c r="AA70" s="204"/>
      <c r="AB70" s="72"/>
      <c r="AC70" s="47"/>
      <c r="AD70" s="100"/>
      <c r="AE70" s="213"/>
      <c r="AF70" s="152"/>
      <c r="AG70" s="47"/>
      <c r="AH70" s="47"/>
      <c r="AI70" s="47"/>
      <c r="AJ70" s="47"/>
      <c r="AK70" s="47"/>
      <c r="AL70" s="47"/>
      <c r="AM70" s="47"/>
      <c r="AN70" s="34"/>
      <c r="AO70" s="34"/>
      <c r="AP70" s="47"/>
      <c r="AQ70" s="47"/>
      <c r="AR70" s="105"/>
      <c r="AS70" s="105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221"/>
      <c r="BF70" s="113"/>
      <c r="BG70" s="47"/>
      <c r="BH70" s="47"/>
      <c r="BI70" s="47"/>
      <c r="BJ70" s="47"/>
      <c r="BK70" s="47"/>
      <c r="BL70" s="33"/>
      <c r="BM70" s="33"/>
      <c r="BN70" s="33"/>
    </row>
    <row r="71" spans="1:66" ht="21.75" thickBot="1" x14ac:dyDescent="0.3">
      <c r="A71" s="34"/>
      <c r="B71" s="34"/>
      <c r="C71" s="222"/>
      <c r="D71" s="56"/>
      <c r="E71" s="52"/>
      <c r="F71" s="223"/>
      <c r="G71" s="223"/>
      <c r="H71" s="223"/>
      <c r="I71" s="223"/>
      <c r="J71" s="223"/>
      <c r="K71" s="223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152"/>
      <c r="X71" s="152"/>
      <c r="Y71" s="152"/>
      <c r="Z71" s="152"/>
      <c r="AA71" s="161"/>
      <c r="AB71" s="217"/>
      <c r="AC71" s="100"/>
      <c r="AD71" s="213"/>
      <c r="AE71" s="152"/>
      <c r="AF71" s="152"/>
      <c r="AG71" s="152"/>
      <c r="AH71" s="47"/>
      <c r="AI71" s="47"/>
      <c r="AJ71" s="47"/>
      <c r="AK71" s="47"/>
      <c r="AL71" s="47"/>
      <c r="AM71" s="47"/>
      <c r="AN71" s="34"/>
      <c r="AO71" s="34"/>
      <c r="AP71" s="47"/>
      <c r="AQ71" s="47"/>
      <c r="AR71" s="105"/>
      <c r="AS71" s="105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224"/>
      <c r="BF71" s="113"/>
      <c r="BG71" s="47"/>
      <c r="BH71" s="47"/>
      <c r="BI71" s="47"/>
      <c r="BJ71" s="47"/>
      <c r="BK71" s="47"/>
      <c r="BL71" s="33"/>
      <c r="BM71" s="33"/>
      <c r="BN71" s="33"/>
    </row>
    <row r="72" spans="1:66" ht="21" x14ac:dyDescent="0.25">
      <c r="A72" s="34"/>
      <c r="B72" s="34"/>
      <c r="C72" s="34"/>
      <c r="D72" s="225"/>
      <c r="E72" s="225"/>
      <c r="F72" s="34"/>
      <c r="G72" s="34"/>
      <c r="H72" s="34"/>
      <c r="I72" s="34"/>
      <c r="J72" s="225"/>
      <c r="K72" s="226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47"/>
      <c r="X72" s="47"/>
      <c r="Y72" s="47"/>
      <c r="Z72" s="47"/>
      <c r="AA72" s="217"/>
      <c r="AB72" s="100"/>
      <c r="AC72" s="89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34"/>
      <c r="AO72" s="34"/>
      <c r="AP72" s="47"/>
      <c r="AQ72" s="47"/>
      <c r="AR72" s="105"/>
      <c r="AS72" s="105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227"/>
      <c r="BF72" s="113"/>
      <c r="BG72" s="47"/>
      <c r="BH72" s="47"/>
      <c r="BI72" s="47"/>
      <c r="BJ72" s="47"/>
      <c r="BK72" s="47"/>
      <c r="BL72" s="33"/>
      <c r="BM72" s="33"/>
      <c r="BN72" s="33"/>
    </row>
    <row r="73" spans="1:66" ht="21.75" thickBot="1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22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208"/>
      <c r="X73" s="208"/>
      <c r="Y73" s="208"/>
      <c r="Z73" s="208"/>
      <c r="AA73" s="208"/>
      <c r="AB73" s="228"/>
      <c r="AC73" s="208"/>
      <c r="AD73" s="208"/>
      <c r="AE73" s="208"/>
      <c r="AF73" s="152"/>
      <c r="AG73" s="152"/>
      <c r="AH73" s="152"/>
      <c r="AI73" s="152"/>
      <c r="AJ73" s="152"/>
      <c r="AK73" s="229"/>
      <c r="AL73" s="229"/>
      <c r="AM73" s="229"/>
      <c r="AN73" s="34"/>
      <c r="AO73" s="34"/>
      <c r="AP73" s="229"/>
      <c r="AQ73" s="229"/>
      <c r="AR73" s="105"/>
      <c r="AS73" s="105"/>
      <c r="AT73" s="230"/>
      <c r="AU73" s="230"/>
      <c r="AV73" s="230"/>
      <c r="AW73" s="230"/>
      <c r="AX73" s="47"/>
      <c r="AY73" s="47"/>
      <c r="AZ73" s="168"/>
      <c r="BA73" s="168"/>
      <c r="BB73" s="168"/>
      <c r="BC73" s="168"/>
      <c r="BD73" s="47"/>
      <c r="BE73" s="183"/>
      <c r="BF73" s="113"/>
      <c r="BG73" s="47"/>
      <c r="BH73" s="47"/>
      <c r="BI73" s="47"/>
      <c r="BJ73" s="47"/>
      <c r="BK73" s="47"/>
      <c r="BL73" s="33"/>
      <c r="BM73" s="33"/>
      <c r="BN73" s="33"/>
    </row>
    <row r="74" spans="1:66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222"/>
      <c r="L74" s="32"/>
      <c r="M74" s="47"/>
      <c r="N74" s="47"/>
      <c r="O74" s="47"/>
      <c r="P74" s="152"/>
      <c r="Q74" s="152"/>
      <c r="R74" s="152"/>
      <c r="S74" s="152"/>
      <c r="T74" s="152"/>
      <c r="U74" s="199"/>
      <c r="V74" s="149"/>
      <c r="W74" s="152"/>
      <c r="X74" s="152"/>
      <c r="Y74" s="152"/>
      <c r="Z74" s="152"/>
      <c r="AA74" s="152"/>
      <c r="AB74" s="47"/>
      <c r="AC74" s="47"/>
      <c r="AD74" s="47"/>
      <c r="AE74" s="47"/>
      <c r="AF74" s="231"/>
      <c r="AG74" s="231"/>
      <c r="AH74" s="231"/>
      <c r="AI74" s="231"/>
      <c r="AJ74" s="231"/>
      <c r="AK74" s="232"/>
      <c r="AL74" s="232"/>
      <c r="AM74" s="225"/>
      <c r="AN74" s="225"/>
      <c r="AO74" s="225"/>
      <c r="AP74" s="225"/>
      <c r="AQ74" s="225"/>
      <c r="AR74" s="225"/>
      <c r="AS74" s="225"/>
      <c r="AT74" s="225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47"/>
      <c r="BF74" s="47"/>
      <c r="BG74" s="47"/>
      <c r="BH74" s="47"/>
      <c r="BI74" s="47"/>
      <c r="BJ74" s="47"/>
      <c r="BK74" s="47"/>
      <c r="BL74" s="33"/>
      <c r="BM74" s="33"/>
      <c r="BN74" s="33"/>
    </row>
    <row r="75" spans="1:66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222"/>
      <c r="L75" s="32"/>
      <c r="M75" s="32"/>
      <c r="N75" s="32"/>
      <c r="O75" s="32"/>
      <c r="P75" s="32"/>
      <c r="Q75" s="32"/>
      <c r="R75" s="32"/>
      <c r="S75" s="32"/>
      <c r="T75" s="32"/>
      <c r="U75" s="45"/>
      <c r="V75" s="45"/>
      <c r="W75" s="32"/>
      <c r="X75" s="32"/>
      <c r="Y75" s="32"/>
      <c r="Z75" s="32"/>
      <c r="AA75" s="32"/>
      <c r="AB75" s="32"/>
      <c r="AC75" s="32"/>
      <c r="AD75" s="32"/>
      <c r="AE75" s="233"/>
      <c r="AF75" s="233"/>
      <c r="AG75" s="233"/>
      <c r="AH75" s="233"/>
      <c r="AI75" s="233"/>
      <c r="AJ75" s="233"/>
      <c r="AK75" s="233"/>
      <c r="AL75" s="233"/>
      <c r="AM75" s="34"/>
      <c r="AN75" s="34"/>
      <c r="AO75" s="34"/>
      <c r="AP75" s="34"/>
      <c r="AQ75" s="34"/>
      <c r="AR75" s="34"/>
      <c r="AS75" s="34"/>
      <c r="AT75" s="34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33"/>
      <c r="BM75" s="33"/>
      <c r="BN75" s="33"/>
    </row>
    <row r="76" spans="1:66" ht="20.25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222"/>
      <c r="L76" s="32"/>
      <c r="M76" s="32"/>
      <c r="N76" s="32"/>
      <c r="O76" s="32"/>
      <c r="P76" s="32"/>
      <c r="Q76" s="32"/>
      <c r="R76" s="32"/>
      <c r="S76" s="32"/>
      <c r="T76" s="32"/>
      <c r="U76" s="45"/>
      <c r="V76" s="45"/>
      <c r="W76" s="32"/>
      <c r="X76" s="32"/>
      <c r="Y76" s="32"/>
      <c r="Z76" s="32"/>
      <c r="AA76" s="32"/>
      <c r="AB76" s="32"/>
      <c r="AC76" s="32"/>
      <c r="AD76" s="32"/>
      <c r="AE76" s="234"/>
      <c r="AF76" s="235"/>
      <c r="AG76" s="233"/>
      <c r="AR76" s="34"/>
      <c r="AS76" s="34"/>
      <c r="AT76" s="34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33"/>
      <c r="BM76" s="33"/>
      <c r="BN76" s="33"/>
    </row>
    <row r="77" spans="1:66" ht="20.25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222"/>
      <c r="L77" s="32"/>
      <c r="M77" s="32"/>
      <c r="N77" s="32"/>
      <c r="O77" s="32"/>
      <c r="P77" s="32"/>
      <c r="Q77" s="32"/>
      <c r="R77" s="32"/>
      <c r="S77" s="32"/>
      <c r="T77" s="32"/>
      <c r="U77" s="45"/>
      <c r="V77" s="1055"/>
      <c r="W77" s="982"/>
      <c r="X77" s="982"/>
      <c r="Y77" s="982"/>
      <c r="Z77" s="982"/>
      <c r="AA77" s="982"/>
      <c r="AB77" s="982"/>
      <c r="AC77" s="982"/>
      <c r="AD77" s="982"/>
      <c r="AE77" s="1056"/>
      <c r="AF77" s="1056"/>
      <c r="AG77" s="525"/>
      <c r="AH77" s="525"/>
      <c r="AI77" s="525"/>
      <c r="AJ77" s="1056"/>
      <c r="AK77" s="1056"/>
      <c r="AL77" s="1056"/>
      <c r="AM77" s="1056"/>
      <c r="AN77" s="1056"/>
      <c r="AO77" s="960"/>
      <c r="AP77" s="960"/>
      <c r="AQ77" s="960"/>
      <c r="AR77" s="324"/>
      <c r="AS77" s="34"/>
      <c r="AT77" s="34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33"/>
      <c r="BM77" s="33"/>
      <c r="BN77" s="33"/>
    </row>
    <row r="78" spans="1:66" ht="15.75" thickBot="1" x14ac:dyDescent="0.3">
      <c r="A78" s="34"/>
      <c r="B78" s="34"/>
      <c r="C78" s="52"/>
      <c r="D78" s="52"/>
      <c r="E78" s="52"/>
      <c r="F78" s="52"/>
      <c r="G78" s="52"/>
      <c r="H78" s="52"/>
      <c r="I78" s="52"/>
      <c r="J78" s="52"/>
      <c r="K78" s="53"/>
      <c r="L78" s="32"/>
      <c r="M78" s="32"/>
      <c r="N78" s="32"/>
      <c r="O78" s="32"/>
      <c r="P78" s="32"/>
      <c r="Q78" s="32"/>
      <c r="R78" s="32"/>
      <c r="S78" s="32"/>
      <c r="T78" s="32"/>
      <c r="U78" s="236"/>
      <c r="V78" s="1057"/>
      <c r="W78" s="1058"/>
      <c r="X78" s="1058"/>
      <c r="Y78" s="1058"/>
      <c r="Z78" s="1058"/>
      <c r="AA78" s="1058"/>
      <c r="AB78" s="1059"/>
      <c r="AC78" s="1059"/>
      <c r="AD78" s="1278"/>
      <c r="AE78" s="1278"/>
      <c r="AF78" s="1279"/>
      <c r="AG78" s="1279"/>
      <c r="AH78" s="1279"/>
      <c r="AI78" s="1279"/>
      <c r="AJ78" s="1279"/>
      <c r="AK78" s="1279"/>
      <c r="AL78" s="1279"/>
      <c r="AM78" s="1279"/>
      <c r="AN78" s="1279"/>
      <c r="AO78" s="1279"/>
      <c r="AP78" s="1279"/>
      <c r="AQ78" s="1279"/>
      <c r="AR78" s="318"/>
      <c r="AS78" s="240"/>
      <c r="AT78" s="240"/>
      <c r="AU78" s="238"/>
      <c r="AV78" s="241"/>
      <c r="AW78" s="241"/>
      <c r="AX78" s="241"/>
      <c r="AY78" s="241"/>
      <c r="AZ78" s="241"/>
      <c r="BA78" s="241"/>
      <c r="BB78" s="241"/>
      <c r="BC78" s="241"/>
      <c r="BD78" s="241"/>
      <c r="BE78" s="241"/>
      <c r="BF78" s="241"/>
      <c r="BG78" s="241"/>
      <c r="BH78" s="241"/>
      <c r="BI78" s="241"/>
      <c r="BJ78" s="241"/>
      <c r="BK78" s="241"/>
      <c r="BL78" s="242"/>
      <c r="BM78" s="242"/>
      <c r="BN78" s="33"/>
    </row>
    <row r="79" spans="1:66" ht="15.75" x14ac:dyDescent="0.25">
      <c r="A79" s="34"/>
      <c r="B79" s="34"/>
      <c r="C79" s="52"/>
      <c r="D79" s="52"/>
      <c r="E79" s="52"/>
      <c r="F79" s="52"/>
      <c r="G79" s="52"/>
      <c r="H79" s="52"/>
      <c r="I79" s="52"/>
      <c r="J79" s="52"/>
      <c r="K79" s="53"/>
      <c r="L79" s="32"/>
      <c r="M79" s="32"/>
      <c r="N79" s="32"/>
      <c r="O79" s="32"/>
      <c r="P79" s="32"/>
      <c r="Q79" s="32"/>
      <c r="R79" s="32"/>
      <c r="S79" s="32"/>
      <c r="T79" s="32"/>
      <c r="U79" s="243"/>
      <c r="V79" s="982"/>
      <c r="W79" s="982"/>
      <c r="X79" s="982"/>
      <c r="Y79" s="982"/>
      <c r="Z79" s="1060"/>
      <c r="AA79" s="1060"/>
      <c r="AB79" s="1060"/>
      <c r="AC79" s="1060"/>
      <c r="AD79" s="1060"/>
      <c r="AE79" s="1060"/>
      <c r="AF79" s="1060"/>
      <c r="AG79" s="525"/>
      <c r="AH79" s="525"/>
      <c r="AI79" s="1061"/>
      <c r="AJ79" s="951"/>
      <c r="AK79" s="951"/>
      <c r="AL79" s="951"/>
      <c r="AM79" s="951"/>
      <c r="AN79" s="951"/>
      <c r="AO79" s="951"/>
      <c r="AP79" s="951"/>
      <c r="AQ79" s="951"/>
      <c r="AR79" s="1061"/>
      <c r="AS79" s="33"/>
      <c r="AT79" s="33"/>
      <c r="AU79" s="33"/>
      <c r="AV79" s="1159"/>
      <c r="AW79" s="960"/>
      <c r="AX79" s="1160"/>
      <c r="AY79" s="1160"/>
      <c r="AZ79" s="1160"/>
      <c r="BA79" s="1160"/>
      <c r="BB79" s="1160"/>
      <c r="BC79" s="1160"/>
      <c r="BD79" s="1160"/>
      <c r="BE79" s="1160"/>
      <c r="BF79" s="1160"/>
      <c r="BG79" s="1160"/>
      <c r="BH79" s="960"/>
      <c r="BI79" s="33"/>
      <c r="BJ79" s="33"/>
      <c r="BK79" s="33"/>
      <c r="BL79" s="33"/>
      <c r="BM79" s="32"/>
      <c r="BN79" s="248"/>
    </row>
    <row r="80" spans="1:66" ht="15.75" x14ac:dyDescent="0.25">
      <c r="A80" s="34"/>
      <c r="B80" s="34"/>
      <c r="C80" s="52"/>
      <c r="D80" s="155"/>
      <c r="E80" s="155"/>
      <c r="F80" s="155"/>
      <c r="G80" s="155"/>
      <c r="H80" s="52"/>
      <c r="I80" s="52"/>
      <c r="J80" s="52"/>
      <c r="K80" s="53"/>
      <c r="L80" s="32"/>
      <c r="M80" s="32"/>
      <c r="N80" s="32"/>
      <c r="O80" s="32"/>
      <c r="P80" s="32"/>
      <c r="Q80" s="32"/>
      <c r="R80" s="32"/>
      <c r="S80" s="32"/>
      <c r="T80" s="32"/>
      <c r="U80" s="243"/>
      <c r="V80" s="982"/>
      <c r="W80" s="982"/>
      <c r="X80" s="982"/>
      <c r="Y80" s="982"/>
      <c r="Z80" s="1280"/>
      <c r="AA80" s="1280"/>
      <c r="AB80" s="1280"/>
      <c r="AC80" s="1280"/>
      <c r="AD80" s="1280"/>
      <c r="AE80" s="1280"/>
      <c r="AF80" s="1280"/>
      <c r="AG80" s="965"/>
      <c r="AH80" s="965"/>
      <c r="AI80" s="965"/>
      <c r="AJ80" s="1061"/>
      <c r="AK80" s="1061"/>
      <c r="AL80" s="1061"/>
      <c r="AM80" s="1061"/>
      <c r="AN80" s="1061"/>
      <c r="AO80" s="1061"/>
      <c r="AP80" s="1061"/>
      <c r="AQ80" s="1061"/>
      <c r="AR80" s="1062"/>
      <c r="AS80" s="33"/>
      <c r="AT80" s="33"/>
      <c r="AU80" s="33"/>
      <c r="AV80" s="250"/>
      <c r="AW80" s="32"/>
      <c r="AX80" s="32"/>
      <c r="AY80" s="32"/>
      <c r="AZ80" s="32"/>
      <c r="BA80" s="47"/>
      <c r="BB80" s="47"/>
      <c r="BC80" s="47"/>
      <c r="BD80" s="33"/>
      <c r="BE80" s="33"/>
      <c r="BF80" s="72"/>
      <c r="BG80" s="72"/>
      <c r="BH80" s="47"/>
      <c r="BI80" s="33"/>
      <c r="BJ80" s="33"/>
      <c r="BK80" s="47"/>
      <c r="BL80" s="47"/>
      <c r="BM80" s="1153"/>
      <c r="BN80" s="248"/>
    </row>
    <row r="81" spans="1:66" ht="15.75" x14ac:dyDescent="0.25">
      <c r="A81" s="34"/>
      <c r="B81" s="34"/>
      <c r="C81" s="52"/>
      <c r="D81" s="155"/>
      <c r="E81" s="155"/>
      <c r="F81" s="155"/>
      <c r="G81" s="155"/>
      <c r="H81" s="52"/>
      <c r="I81" s="52"/>
      <c r="J81" s="52"/>
      <c r="K81" s="53"/>
      <c r="L81" s="32"/>
      <c r="M81" s="32"/>
      <c r="N81" s="32"/>
      <c r="O81" s="32"/>
      <c r="P81" s="32"/>
      <c r="Q81" s="32"/>
      <c r="R81" s="32"/>
      <c r="S81" s="32"/>
      <c r="T81" s="32"/>
      <c r="U81" s="243"/>
      <c r="V81" s="982"/>
      <c r="W81" s="982"/>
      <c r="X81" s="982"/>
      <c r="Y81" s="982"/>
      <c r="Z81" s="982"/>
      <c r="AA81" s="982"/>
      <c r="AB81" s="982"/>
      <c r="AC81" s="961"/>
      <c r="AD81" s="965"/>
      <c r="AE81" s="965"/>
      <c r="AF81" s="965"/>
      <c r="AG81" s="965"/>
      <c r="AH81" s="965"/>
      <c r="AI81" s="965"/>
      <c r="AJ81" s="955"/>
      <c r="AK81" s="955"/>
      <c r="AL81" s="955"/>
      <c r="AM81" s="955"/>
      <c r="AN81" s="955"/>
      <c r="AO81" s="955"/>
      <c r="AP81" s="955"/>
      <c r="AQ81" s="955"/>
      <c r="AR81" s="1006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47"/>
      <c r="BD81" s="33"/>
      <c r="BE81" s="33"/>
      <c r="BF81" s="72"/>
      <c r="BG81" s="72"/>
      <c r="BH81" s="47"/>
      <c r="BI81" s="33"/>
      <c r="BJ81" s="33"/>
      <c r="BK81" s="47"/>
      <c r="BL81" s="47"/>
      <c r="BM81" s="1153"/>
      <c r="BN81" s="248"/>
    </row>
    <row r="82" spans="1:66" ht="21" x14ac:dyDescent="0.25">
      <c r="A82" s="34"/>
      <c r="B82" s="34"/>
      <c r="C82" s="52"/>
      <c r="D82" s="253"/>
      <c r="E82" s="254"/>
      <c r="F82" s="155"/>
      <c r="G82" s="155"/>
      <c r="H82" s="52"/>
      <c r="I82" s="52"/>
      <c r="J82" s="52"/>
      <c r="K82" s="53"/>
      <c r="L82" s="32"/>
      <c r="M82" s="32"/>
      <c r="N82" s="32"/>
      <c r="O82" s="32"/>
      <c r="P82" s="32"/>
      <c r="Q82" s="32"/>
      <c r="R82" s="32"/>
      <c r="S82" s="32"/>
      <c r="T82" s="32"/>
      <c r="U82" s="255"/>
      <c r="V82" s="1266"/>
      <c r="W82" s="1228"/>
      <c r="X82" s="982"/>
      <c r="Y82" s="982"/>
      <c r="Z82" s="982"/>
      <c r="AA82" s="982"/>
      <c r="AB82" s="982"/>
      <c r="AC82" s="324"/>
      <c r="AD82" s="965"/>
      <c r="AE82" s="965"/>
      <c r="AF82" s="965"/>
      <c r="AG82" s="965"/>
      <c r="AH82" s="965"/>
      <c r="AI82" s="965"/>
      <c r="AJ82" s="1267"/>
      <c r="AK82" s="1267"/>
      <c r="AL82" s="1267"/>
      <c r="AM82" s="1267"/>
      <c r="AN82" s="1267"/>
      <c r="AO82" s="1267"/>
      <c r="AP82" s="1267"/>
      <c r="AQ82" s="1267"/>
      <c r="AR82" s="1006"/>
      <c r="AS82" s="33"/>
      <c r="AT82" s="33"/>
      <c r="AU82" s="33"/>
      <c r="AV82" s="33"/>
      <c r="AW82" s="147"/>
      <c r="AX82" s="147"/>
      <c r="AY82" s="1231" t="s">
        <v>203</v>
      </c>
      <c r="AZ82" s="1231"/>
      <c r="BA82" s="1231"/>
      <c r="BB82" s="147"/>
      <c r="BC82" s="47"/>
      <c r="BD82" s="147"/>
      <c r="BE82" s="72"/>
      <c r="BF82" s="72"/>
      <c r="BG82" s="1231" t="s">
        <v>203</v>
      </c>
      <c r="BH82" s="1231"/>
      <c r="BI82" s="147"/>
      <c r="BJ82" s="47"/>
      <c r="BK82" s="147"/>
      <c r="BL82" s="32"/>
      <c r="BM82" s="1153"/>
      <c r="BN82" s="248"/>
    </row>
    <row r="83" spans="1:66" ht="21" x14ac:dyDescent="0.25">
      <c r="A83" s="34"/>
      <c r="B83" s="34"/>
      <c r="C83" s="52"/>
      <c r="D83" s="257"/>
      <c r="E83" s="258"/>
      <c r="F83" s="254"/>
      <c r="G83" s="155"/>
      <c r="H83" s="52"/>
      <c r="I83" s="52"/>
      <c r="J83" s="52"/>
      <c r="K83" s="53"/>
      <c r="L83" s="32"/>
      <c r="M83" s="32"/>
      <c r="N83" s="32"/>
      <c r="O83" s="32"/>
      <c r="P83" s="32"/>
      <c r="Q83" s="32"/>
      <c r="R83" s="32"/>
      <c r="S83" s="32"/>
      <c r="T83" s="32"/>
      <c r="U83" s="255"/>
      <c r="V83" s="1063"/>
      <c r="W83" s="965"/>
      <c r="X83" s="982"/>
      <c r="Y83" s="1064"/>
      <c r="Z83" s="1064"/>
      <c r="AA83" s="982"/>
      <c r="AB83" s="982"/>
      <c r="AC83" s="960"/>
      <c r="AD83" s="525"/>
      <c r="AE83" s="525"/>
      <c r="AF83" s="525"/>
      <c r="AG83" s="960"/>
      <c r="AH83" s="525"/>
      <c r="AI83" s="525"/>
      <c r="AJ83" s="525"/>
      <c r="AK83" s="525"/>
      <c r="AL83" s="525"/>
      <c r="AM83" s="525"/>
      <c r="AN83" s="1065"/>
      <c r="AO83" s="1065"/>
      <c r="AP83" s="1065"/>
      <c r="AQ83" s="1065"/>
      <c r="AR83" s="324"/>
      <c r="AS83" s="34"/>
      <c r="AT83" s="233"/>
      <c r="AU83" s="34"/>
      <c r="AV83" s="33"/>
      <c r="AW83" s="147"/>
      <c r="AX83" s="147"/>
      <c r="AY83" s="262">
        <v>1</v>
      </c>
      <c r="AZ83" s="262">
        <v>2</v>
      </c>
      <c r="BA83" s="262">
        <v>3</v>
      </c>
      <c r="BB83" s="32"/>
      <c r="BC83" s="47"/>
      <c r="BD83" s="147"/>
      <c r="BE83" s="147"/>
      <c r="BF83" s="147"/>
      <c r="BG83" s="262">
        <v>1</v>
      </c>
      <c r="BH83" s="262">
        <v>2</v>
      </c>
      <c r="BI83" s="147"/>
      <c r="BJ83" s="47"/>
      <c r="BK83" s="147"/>
      <c r="BL83" s="32"/>
      <c r="BM83" s="1153"/>
      <c r="BN83" s="248"/>
    </row>
    <row r="84" spans="1:66" ht="21" x14ac:dyDescent="0.25">
      <c r="A84" s="34"/>
      <c r="B84" s="34"/>
      <c r="C84" s="52"/>
      <c r="D84" s="263"/>
      <c r="E84" s="257"/>
      <c r="F84" s="264"/>
      <c r="G84" s="155"/>
      <c r="H84" s="52"/>
      <c r="I84" s="52"/>
      <c r="J84" s="52"/>
      <c r="K84" s="53"/>
      <c r="L84" s="32"/>
      <c r="M84" s="32"/>
      <c r="N84" s="32"/>
      <c r="O84" s="32"/>
      <c r="P84" s="32"/>
      <c r="Q84" s="47"/>
      <c r="R84" s="47"/>
      <c r="S84" s="32"/>
      <c r="T84" s="32"/>
      <c r="U84" s="255"/>
      <c r="V84" s="963"/>
      <c r="W84" s="1063"/>
      <c r="X84" s="963"/>
      <c r="Y84" s="963"/>
      <c r="Z84" s="1064"/>
      <c r="AA84" s="960"/>
      <c r="AB84" s="1066"/>
      <c r="AC84" s="973"/>
      <c r="AD84" s="973"/>
      <c r="AE84" s="1067"/>
      <c r="AF84" s="960"/>
      <c r="AG84" s="1067"/>
      <c r="AH84" s="973"/>
      <c r="AI84" s="973"/>
      <c r="AJ84" s="965"/>
      <c r="AK84" s="525"/>
      <c r="AL84" s="1065"/>
      <c r="AM84" s="1228"/>
      <c r="AN84" s="1228"/>
      <c r="AO84" s="978"/>
      <c r="AP84" s="1065"/>
      <c r="AQ84" s="1065"/>
      <c r="AR84" s="324"/>
      <c r="AS84" s="34"/>
      <c r="AT84" s="34"/>
      <c r="AU84" s="34"/>
      <c r="AV84" s="33"/>
      <c r="AW84" s="147"/>
      <c r="AX84" s="267" t="s">
        <v>200</v>
      </c>
      <c r="AY84" s="268" t="s">
        <v>209</v>
      </c>
      <c r="AZ84" s="268" t="s">
        <v>209</v>
      </c>
      <c r="BA84" s="268" t="s">
        <v>209</v>
      </c>
      <c r="BB84" s="262"/>
      <c r="BC84" s="47"/>
      <c r="BD84" s="147"/>
      <c r="BE84" s="147"/>
      <c r="BF84" s="267" t="s">
        <v>210</v>
      </c>
      <c r="BG84" s="170" t="s">
        <v>209</v>
      </c>
      <c r="BH84" s="170" t="s">
        <v>209</v>
      </c>
      <c r="BI84" s="262"/>
      <c r="BJ84" s="47"/>
      <c r="BK84" s="147"/>
      <c r="BL84" s="47"/>
      <c r="BM84" s="958"/>
      <c r="BN84" s="248"/>
    </row>
    <row r="85" spans="1:66" ht="18.75" thickBot="1" x14ac:dyDescent="0.3">
      <c r="A85" s="34"/>
      <c r="B85" s="34"/>
      <c r="C85" s="52"/>
      <c r="D85" s="269"/>
      <c r="E85" s="254"/>
      <c r="F85" s="155"/>
      <c r="G85" s="155"/>
      <c r="H85" s="52"/>
      <c r="I85" s="52"/>
      <c r="J85" s="52"/>
      <c r="K85" s="53"/>
      <c r="L85" s="32"/>
      <c r="M85" s="32"/>
      <c r="N85" s="32"/>
      <c r="O85" s="32"/>
      <c r="P85" s="47"/>
      <c r="Q85" s="47"/>
      <c r="R85" s="47"/>
      <c r="S85" s="47"/>
      <c r="T85" s="32"/>
      <c r="U85" s="255"/>
      <c r="V85" s="963"/>
      <c r="W85" s="1063"/>
      <c r="X85" s="963"/>
      <c r="Y85" s="963"/>
      <c r="Z85" s="1064"/>
      <c r="AA85" s="1068"/>
      <c r="AB85" s="1069"/>
      <c r="AC85" s="951"/>
      <c r="AD85" s="951"/>
      <c r="AE85" s="1069"/>
      <c r="AF85" s="1070"/>
      <c r="AG85" s="1069"/>
      <c r="AH85" s="951"/>
      <c r="AI85" s="951"/>
      <c r="AJ85" s="1069"/>
      <c r="AK85" s="525"/>
      <c r="AL85" s="960"/>
      <c r="AM85" s="1071"/>
      <c r="AN85" s="1071"/>
      <c r="AO85" s="955"/>
      <c r="AP85" s="960"/>
      <c r="AQ85" s="960"/>
      <c r="AR85" s="324"/>
      <c r="AS85" s="34"/>
      <c r="AT85" s="34"/>
      <c r="AU85" s="240"/>
      <c r="AV85" s="33"/>
      <c r="AW85" s="262"/>
      <c r="AX85" s="268"/>
      <c r="AY85" s="17">
        <v>200</v>
      </c>
      <c r="AZ85" s="13">
        <v>200</v>
      </c>
      <c r="BA85" s="13">
        <v>200</v>
      </c>
      <c r="BB85" s="268"/>
      <c r="BC85" s="262"/>
      <c r="BD85" s="147"/>
      <c r="BE85" s="262"/>
      <c r="BF85" s="170"/>
      <c r="BG85" s="20">
        <v>200</v>
      </c>
      <c r="BH85" s="11">
        <v>200</v>
      </c>
      <c r="BI85" s="170"/>
      <c r="BJ85" s="262"/>
      <c r="BK85" s="147"/>
      <c r="BL85" s="47"/>
      <c r="BM85" s="1153"/>
      <c r="BN85" s="248"/>
    </row>
    <row r="86" spans="1:66" ht="21" thickBot="1" x14ac:dyDescent="0.3">
      <c r="A86" s="34"/>
      <c r="B86" s="34"/>
      <c r="C86" s="52"/>
      <c r="D86" s="263"/>
      <c r="E86" s="257"/>
      <c r="F86" s="264"/>
      <c r="G86" s="155"/>
      <c r="H86" s="52"/>
      <c r="I86" s="52"/>
      <c r="J86" s="52"/>
      <c r="K86" s="53"/>
      <c r="L86" s="32"/>
      <c r="M86" s="32"/>
      <c r="N86" s="32"/>
      <c r="O86" s="32"/>
      <c r="P86" s="32"/>
      <c r="Q86" s="47"/>
      <c r="R86" s="47"/>
      <c r="S86" s="32"/>
      <c r="T86" s="32"/>
      <c r="U86" s="255"/>
      <c r="V86" s="963"/>
      <c r="W86" s="1063"/>
      <c r="X86" s="1072"/>
      <c r="Y86" s="1072"/>
      <c r="Z86" s="1064"/>
      <c r="AA86" s="1068"/>
      <c r="AB86" s="1069"/>
      <c r="AC86" s="951"/>
      <c r="AD86" s="951"/>
      <c r="AE86" s="1069"/>
      <c r="AF86" s="1070"/>
      <c r="AG86" s="1069"/>
      <c r="AH86" s="951"/>
      <c r="AI86" s="951"/>
      <c r="AJ86" s="1069"/>
      <c r="AK86" s="525"/>
      <c r="AL86" s="965"/>
      <c r="AM86" s="1071"/>
      <c r="AN86" s="1071"/>
      <c r="AO86" s="973"/>
      <c r="AP86" s="980"/>
      <c r="AQ86" s="960"/>
      <c r="AR86" s="1073"/>
      <c r="AS86" s="1243"/>
      <c r="AT86" s="1244"/>
      <c r="AU86" s="34"/>
      <c r="AV86" s="33"/>
      <c r="AW86" s="262"/>
      <c r="AX86" s="268"/>
      <c r="AY86" s="17">
        <v>200</v>
      </c>
      <c r="AZ86" s="12">
        <v>200</v>
      </c>
      <c r="BA86" s="12">
        <v>200</v>
      </c>
      <c r="BB86" s="268"/>
      <c r="BC86" s="262"/>
      <c r="BD86" s="147"/>
      <c r="BE86" s="262"/>
      <c r="BF86" s="170"/>
      <c r="BG86" s="15">
        <v>200</v>
      </c>
      <c r="BH86" s="11">
        <v>200</v>
      </c>
      <c r="BI86" s="170"/>
      <c r="BJ86" s="262"/>
      <c r="BK86" s="147"/>
      <c r="BL86" s="47"/>
      <c r="BM86" s="1154"/>
      <c r="BN86" s="248"/>
    </row>
    <row r="87" spans="1:66" ht="21" thickBot="1" x14ac:dyDescent="0.3">
      <c r="A87" s="34"/>
      <c r="B87" s="34"/>
      <c r="C87" s="52"/>
      <c r="D87" s="269"/>
      <c r="E87" s="254"/>
      <c r="F87" s="155"/>
      <c r="G87" s="155"/>
      <c r="H87" s="52"/>
      <c r="I87" s="52"/>
      <c r="J87" s="52"/>
      <c r="K87" s="53"/>
      <c r="L87" s="32"/>
      <c r="M87" s="32"/>
      <c r="N87" s="32"/>
      <c r="O87" s="32"/>
      <c r="P87" s="32"/>
      <c r="Q87" s="47"/>
      <c r="R87" s="47"/>
      <c r="S87" s="32"/>
      <c r="T87" s="32"/>
      <c r="U87" s="255"/>
      <c r="V87" s="963"/>
      <c r="W87" s="1063"/>
      <c r="X87" s="1245"/>
      <c r="Y87" s="1246"/>
      <c r="Z87" s="1064"/>
      <c r="AA87" s="1068"/>
      <c r="AB87" s="1069"/>
      <c r="AC87" s="951"/>
      <c r="AD87" s="951"/>
      <c r="AE87" s="1069"/>
      <c r="AF87" s="1070"/>
      <c r="AG87" s="1069"/>
      <c r="AH87" s="951"/>
      <c r="AI87" s="951"/>
      <c r="AJ87" s="1069"/>
      <c r="AK87" s="525"/>
      <c r="AL87" s="1071"/>
      <c r="AM87" s="951"/>
      <c r="AN87" s="951"/>
      <c r="AO87" s="1071"/>
      <c r="AP87" s="973"/>
      <c r="AQ87" s="1074"/>
      <c r="AR87" s="1075"/>
      <c r="AS87" s="280"/>
      <c r="AT87" s="280"/>
      <c r="AU87" s="281"/>
      <c r="AV87" s="33"/>
      <c r="AW87" s="147"/>
      <c r="AX87" s="262"/>
      <c r="AY87" s="268" t="s">
        <v>209</v>
      </c>
      <c r="AZ87" s="268" t="s">
        <v>209</v>
      </c>
      <c r="BA87" s="268" t="s">
        <v>209</v>
      </c>
      <c r="BB87" s="262"/>
      <c r="BC87" s="47"/>
      <c r="BD87" s="147"/>
      <c r="BE87" s="147"/>
      <c r="BF87" s="262"/>
      <c r="BG87" s="170" t="s">
        <v>209</v>
      </c>
      <c r="BH87" s="170" t="s">
        <v>209</v>
      </c>
      <c r="BI87" s="262"/>
      <c r="BJ87" s="77"/>
      <c r="BK87" s="147"/>
      <c r="BL87" s="52"/>
      <c r="BM87" s="960"/>
      <c r="BN87" s="248"/>
    </row>
    <row r="88" spans="1:66" ht="21" thickBot="1" x14ac:dyDescent="0.3">
      <c r="A88" s="34"/>
      <c r="B88" s="34"/>
      <c r="C88" s="52"/>
      <c r="D88" s="263"/>
      <c r="E88" s="257"/>
      <c r="F88" s="264"/>
      <c r="G88" s="155"/>
      <c r="H88" s="52"/>
      <c r="I88" s="52"/>
      <c r="J88" s="52"/>
      <c r="K88" s="53"/>
      <c r="L88" s="32"/>
      <c r="M88" s="32"/>
      <c r="N88" s="32"/>
      <c r="O88" s="32"/>
      <c r="P88" s="32"/>
      <c r="Q88" s="32"/>
      <c r="R88" s="982"/>
      <c r="S88" s="982"/>
      <c r="T88" s="982"/>
      <c r="U88" s="1161"/>
      <c r="V88" s="1063"/>
      <c r="W88" s="1076"/>
      <c r="X88" s="1064"/>
      <c r="Y88" s="1064"/>
      <c r="Z88" s="1064"/>
      <c r="AA88" s="1068"/>
      <c r="AB88" s="1069"/>
      <c r="AC88" s="951"/>
      <c r="AD88" s="951"/>
      <c r="AE88" s="1069"/>
      <c r="AF88" s="1070"/>
      <c r="AG88" s="1069"/>
      <c r="AH88" s="951"/>
      <c r="AI88" s="951"/>
      <c r="AJ88" s="1069"/>
      <c r="AK88" s="525"/>
      <c r="AL88" s="1071"/>
      <c r="AM88" s="951"/>
      <c r="AN88" s="951"/>
      <c r="AO88" s="1071"/>
      <c r="AP88" s="973"/>
      <c r="AQ88" s="969"/>
      <c r="AR88" s="1075"/>
      <c r="AS88" s="280"/>
      <c r="AT88" s="280"/>
      <c r="AU88" s="1143"/>
      <c r="AV88" s="992"/>
      <c r="AW88" s="147"/>
      <c r="AX88" s="34"/>
      <c r="AY88" s="262">
        <v>6</v>
      </c>
      <c r="AZ88" s="262">
        <v>5</v>
      </c>
      <c r="BA88" s="262">
        <v>4</v>
      </c>
      <c r="BB88" s="32"/>
      <c r="BC88" s="47"/>
      <c r="BD88" s="147"/>
      <c r="BF88" s="147"/>
      <c r="BG88" s="262">
        <v>4</v>
      </c>
      <c r="BH88" s="262">
        <v>3</v>
      </c>
      <c r="BI88" s="284"/>
      <c r="BJ88" s="77"/>
      <c r="BK88" s="147"/>
      <c r="BL88" s="145"/>
      <c r="BM88" s="960"/>
      <c r="BN88" s="248"/>
    </row>
    <row r="89" spans="1:66" ht="21.75" thickTop="1" thickBot="1" x14ac:dyDescent="0.3">
      <c r="A89" s="34"/>
      <c r="B89" s="34"/>
      <c r="C89" s="52"/>
      <c r="D89" s="269"/>
      <c r="E89" s="254"/>
      <c r="F89" s="155"/>
      <c r="G89" s="155"/>
      <c r="H89" s="52"/>
      <c r="I89" s="52"/>
      <c r="J89" s="52"/>
      <c r="K89" s="53"/>
      <c r="L89" s="32"/>
      <c r="M89" s="47"/>
      <c r="N89" s="32"/>
      <c r="O89" s="32"/>
      <c r="P89" s="32"/>
      <c r="Q89" s="32"/>
      <c r="R89" s="982"/>
      <c r="S89" s="982"/>
      <c r="T89" s="982"/>
      <c r="U89" s="1161"/>
      <c r="V89" s="1077"/>
      <c r="W89" s="958"/>
      <c r="X89" s="1064"/>
      <c r="Y89" s="1064"/>
      <c r="Z89" s="1064"/>
      <c r="AA89" s="960"/>
      <c r="AB89" s="958"/>
      <c r="AC89" s="973"/>
      <c r="AD89" s="973"/>
      <c r="AE89" s="324"/>
      <c r="AF89" s="960"/>
      <c r="AG89" s="960"/>
      <c r="AH89" s="973"/>
      <c r="AI89" s="973"/>
      <c r="AJ89" s="525"/>
      <c r="AK89" s="525"/>
      <c r="AL89" s="960"/>
      <c r="AM89" s="1071"/>
      <c r="AN89" s="1071"/>
      <c r="AO89" s="973"/>
      <c r="AP89" s="960"/>
      <c r="AQ89" s="970"/>
      <c r="AR89" s="1075"/>
      <c r="AS89" s="280"/>
      <c r="AT89" s="280"/>
      <c r="AU89" s="1044"/>
      <c r="AV89" s="1144"/>
      <c r="AW89" s="147"/>
      <c r="AX89" s="34"/>
      <c r="AY89" s="145"/>
      <c r="AZ89" s="32"/>
      <c r="BA89" s="32"/>
      <c r="BB89" s="71"/>
      <c r="BC89" s="47"/>
      <c r="BD89" s="147"/>
      <c r="BE89" s="147"/>
      <c r="BF89" s="147"/>
      <c r="BG89" s="147"/>
      <c r="BH89" s="147"/>
      <c r="BI89" s="155"/>
      <c r="BJ89" s="287"/>
      <c r="BK89" s="77"/>
      <c r="BL89" s="155"/>
      <c r="BM89" s="1238"/>
      <c r="BN89" s="33"/>
    </row>
    <row r="90" spans="1:66" ht="22.5" thickTop="1" thickBot="1" x14ac:dyDescent="0.3">
      <c r="A90" s="34"/>
      <c r="B90" s="34"/>
      <c r="C90" s="52"/>
      <c r="D90" s="263"/>
      <c r="E90" s="257"/>
      <c r="F90" s="264"/>
      <c r="G90" s="155"/>
      <c r="H90" s="52"/>
      <c r="I90" s="52"/>
      <c r="J90" s="52"/>
      <c r="K90" s="53"/>
      <c r="L90" s="32"/>
      <c r="M90" s="47"/>
      <c r="N90" s="47"/>
      <c r="O90" s="47"/>
      <c r="P90" s="47"/>
      <c r="Q90" s="32"/>
      <c r="R90" s="982"/>
      <c r="S90" s="982"/>
      <c r="T90" s="982"/>
      <c r="U90" s="1162"/>
      <c r="V90" s="960"/>
      <c r="W90" s="960"/>
      <c r="X90" s="960"/>
      <c r="Y90" s="960"/>
      <c r="Z90" s="960"/>
      <c r="AA90" s="324"/>
      <c r="AB90" s="324"/>
      <c r="AC90" s="1263"/>
      <c r="AD90" s="1263"/>
      <c r="AE90" s="324"/>
      <c r="AF90" s="960"/>
      <c r="AG90" s="1264"/>
      <c r="AH90" s="1264"/>
      <c r="AI90" s="1264"/>
      <c r="AJ90" s="1264"/>
      <c r="AK90" s="525"/>
      <c r="AL90" s="960"/>
      <c r="AM90" s="1071"/>
      <c r="AN90" s="1071"/>
      <c r="AO90" s="955"/>
      <c r="AP90" s="960"/>
      <c r="AQ90" s="970"/>
      <c r="AR90" s="1075"/>
      <c r="AS90" s="280"/>
      <c r="AT90" s="280"/>
      <c r="AU90" s="1145"/>
      <c r="AV90" s="1144"/>
      <c r="AW90" s="290"/>
      <c r="AX90" s="291"/>
      <c r="AY90" s="1265" t="s">
        <v>203</v>
      </c>
      <c r="AZ90" s="1265"/>
      <c r="BA90" s="1265"/>
      <c r="BB90" s="291"/>
      <c r="BC90" s="291"/>
      <c r="BD90" s="291"/>
      <c r="BE90" s="291"/>
      <c r="BF90" s="291"/>
      <c r="BG90" s="1265" t="s">
        <v>203</v>
      </c>
      <c r="BH90" s="1265"/>
      <c r="BI90" s="1265"/>
      <c r="BJ90" s="291"/>
      <c r="BK90" s="292"/>
      <c r="BL90" s="218"/>
      <c r="BM90" s="1239"/>
      <c r="BN90" s="33"/>
    </row>
    <row r="91" spans="1:66" ht="18.75" thickBot="1" x14ac:dyDescent="0.3">
      <c r="A91" s="34"/>
      <c r="B91" s="34"/>
      <c r="C91" s="52"/>
      <c r="D91" s="269"/>
      <c r="E91" s="254"/>
      <c r="F91" s="155"/>
      <c r="G91" s="155"/>
      <c r="H91" s="52"/>
      <c r="I91" s="52"/>
      <c r="J91" s="52"/>
      <c r="K91" s="53"/>
      <c r="L91" s="32"/>
      <c r="M91" s="47"/>
      <c r="N91" s="47"/>
      <c r="O91" s="47"/>
      <c r="P91" s="47"/>
      <c r="Q91" s="32"/>
      <c r="R91" s="1247"/>
      <c r="S91" s="1248"/>
      <c r="T91" s="1249"/>
      <c r="U91" s="983"/>
      <c r="V91" s="960"/>
      <c r="W91" s="958"/>
      <c r="X91" s="960"/>
      <c r="Y91" s="525"/>
      <c r="Z91" s="525"/>
      <c r="AA91" s="525"/>
      <c r="AB91" s="525"/>
      <c r="AC91" s="525"/>
      <c r="AD91" s="525"/>
      <c r="AE91" s="525"/>
      <c r="AF91" s="525"/>
      <c r="AG91" s="960"/>
      <c r="AH91" s="960"/>
      <c r="AI91" s="960"/>
      <c r="AJ91" s="960"/>
      <c r="AK91" s="960"/>
      <c r="AL91" s="960"/>
      <c r="AM91" s="525"/>
      <c r="AN91" s="525"/>
      <c r="AO91" s="960"/>
      <c r="AP91" s="960"/>
      <c r="AQ91" s="970"/>
      <c r="AR91" s="1075"/>
      <c r="AS91" s="280"/>
      <c r="AT91" s="280"/>
      <c r="AU91" s="1143"/>
      <c r="AV91" s="324"/>
      <c r="AW91" s="293"/>
      <c r="AX91" s="294" t="s">
        <v>214</v>
      </c>
      <c r="AY91" s="295">
        <v>1</v>
      </c>
      <c r="AZ91" s="295">
        <v>2</v>
      </c>
      <c r="BA91" s="295">
        <v>3</v>
      </c>
      <c r="BB91" s="296" t="s">
        <v>215</v>
      </c>
      <c r="BC91" s="47"/>
      <c r="BD91" s="147"/>
      <c r="BE91" s="147"/>
      <c r="BF91" s="294" t="s">
        <v>214</v>
      </c>
      <c r="BG91" s="295">
        <v>1</v>
      </c>
      <c r="BH91" s="295">
        <v>2</v>
      </c>
      <c r="BI91" s="295">
        <v>3</v>
      </c>
      <c r="BJ91" s="297"/>
      <c r="BK91" s="298"/>
      <c r="BL91" s="264"/>
      <c r="BM91" s="960"/>
      <c r="BN91" s="248"/>
    </row>
    <row r="92" spans="1:66" ht="19.5" thickTop="1" thickBot="1" x14ac:dyDescent="0.3">
      <c r="A92" s="34"/>
      <c r="B92" s="34"/>
      <c r="C92" s="52"/>
      <c r="D92" s="263"/>
      <c r="E92" s="257"/>
      <c r="F92" s="264"/>
      <c r="G92" s="155"/>
      <c r="H92" s="52"/>
      <c r="I92" s="52"/>
      <c r="J92" s="52"/>
      <c r="K92" s="53"/>
      <c r="L92" s="47"/>
      <c r="M92" s="47"/>
      <c r="N92" s="47"/>
      <c r="O92" s="47"/>
      <c r="P92" s="47"/>
      <c r="Q92" s="32"/>
      <c r="R92" s="1250"/>
      <c r="S92" s="1251"/>
      <c r="T92" s="1252"/>
      <c r="U92" s="983"/>
      <c r="V92" s="960"/>
      <c r="W92" s="960"/>
      <c r="X92" s="960"/>
      <c r="Y92" s="525"/>
      <c r="Z92" s="525"/>
      <c r="AA92" s="525"/>
      <c r="AB92" s="525"/>
      <c r="AC92" s="525"/>
      <c r="AD92" s="525"/>
      <c r="AE92" s="525"/>
      <c r="AF92" s="525"/>
      <c r="AG92" s="960"/>
      <c r="AH92" s="960"/>
      <c r="AI92" s="960"/>
      <c r="AJ92" s="960"/>
      <c r="AK92" s="960"/>
      <c r="AL92" s="960"/>
      <c r="AM92" s="960"/>
      <c r="AN92" s="960"/>
      <c r="AO92" s="525"/>
      <c r="AP92" s="960"/>
      <c r="AQ92" s="960"/>
      <c r="AR92" s="1075"/>
      <c r="AS92" s="280"/>
      <c r="AT92" s="280"/>
      <c r="AU92" s="1256"/>
      <c r="AV92" s="1146"/>
      <c r="AW92" s="300"/>
      <c r="AX92" s="301" t="s">
        <v>204</v>
      </c>
      <c r="AY92" s="268" t="s">
        <v>209</v>
      </c>
      <c r="AZ92" s="268" t="s">
        <v>209</v>
      </c>
      <c r="BA92" s="268" t="s">
        <v>209</v>
      </c>
      <c r="BB92" s="295"/>
      <c r="BC92" s="155"/>
      <c r="BD92" s="147"/>
      <c r="BE92" s="147"/>
      <c r="BF92" s="301" t="s">
        <v>207</v>
      </c>
      <c r="BG92" s="170" t="s">
        <v>193</v>
      </c>
      <c r="BH92" s="170" t="s">
        <v>193</v>
      </c>
      <c r="BI92" s="170" t="s">
        <v>193</v>
      </c>
      <c r="BJ92" s="295"/>
      <c r="BK92" s="302"/>
      <c r="BL92" s="155"/>
      <c r="BM92" s="1155"/>
      <c r="BN92" s="248"/>
    </row>
    <row r="93" spans="1:66" ht="22.5" thickTop="1" thickBot="1" x14ac:dyDescent="0.3">
      <c r="A93" s="34"/>
      <c r="B93" s="34"/>
      <c r="C93" s="52"/>
      <c r="D93" s="269"/>
      <c r="E93" s="254"/>
      <c r="F93" s="155"/>
      <c r="G93" s="155"/>
      <c r="H93" s="52"/>
      <c r="I93" s="52"/>
      <c r="J93" s="52"/>
      <c r="K93" s="53"/>
      <c r="L93" s="47"/>
      <c r="M93" s="47"/>
      <c r="N93" s="47"/>
      <c r="O93" s="47"/>
      <c r="P93" s="47"/>
      <c r="Q93" s="32"/>
      <c r="R93" s="1250"/>
      <c r="S93" s="1251"/>
      <c r="T93" s="1252"/>
      <c r="U93" s="983"/>
      <c r="V93" s="960"/>
      <c r="W93" s="960"/>
      <c r="X93" s="960"/>
      <c r="Y93" s="960"/>
      <c r="Z93" s="960"/>
      <c r="AA93" s="525"/>
      <c r="AB93" s="1259"/>
      <c r="AC93" s="1259"/>
      <c r="AD93" s="324"/>
      <c r="AE93" s="324"/>
      <c r="AF93" s="525"/>
      <c r="AG93" s="960"/>
      <c r="AH93" s="960"/>
      <c r="AI93" s="960"/>
      <c r="AJ93" s="960"/>
      <c r="AK93" s="960"/>
      <c r="AL93" s="960"/>
      <c r="AM93" s="1228"/>
      <c r="AN93" s="1228"/>
      <c r="AO93" s="960"/>
      <c r="AP93" s="960"/>
      <c r="AQ93" s="960"/>
      <c r="AR93" s="1075"/>
      <c r="AS93" s="280"/>
      <c r="AT93" s="280"/>
      <c r="AU93" s="1257"/>
      <c r="AV93" s="1146"/>
      <c r="AW93" s="304"/>
      <c r="AX93" s="268"/>
      <c r="AY93" s="305">
        <v>200</v>
      </c>
      <c r="AZ93" s="305">
        <v>200</v>
      </c>
      <c r="BA93" s="305">
        <v>200</v>
      </c>
      <c r="BB93" s="268"/>
      <c r="BC93" s="295"/>
      <c r="BD93" s="147"/>
      <c r="BE93" s="295"/>
      <c r="BF93" s="170"/>
      <c r="BG93" s="305">
        <v>200</v>
      </c>
      <c r="BH93" s="305">
        <v>200</v>
      </c>
      <c r="BI93" s="305">
        <v>200</v>
      </c>
      <c r="BJ93" s="170"/>
      <c r="BK93" s="306"/>
      <c r="BL93" s="254"/>
      <c r="BM93" s="1155"/>
      <c r="BN93" s="248"/>
    </row>
    <row r="94" spans="1:66" ht="21.75" thickTop="1" thickBot="1" x14ac:dyDescent="0.3">
      <c r="A94" s="34"/>
      <c r="B94" s="34"/>
      <c r="C94" s="52"/>
      <c r="D94" s="263"/>
      <c r="E94" s="257"/>
      <c r="F94" s="264"/>
      <c r="G94" s="155"/>
      <c r="H94" s="52"/>
      <c r="I94" s="52"/>
      <c r="J94" s="52"/>
      <c r="K94" s="53"/>
      <c r="L94" s="47"/>
      <c r="M94" s="47"/>
      <c r="N94" s="32"/>
      <c r="O94" s="32"/>
      <c r="P94" s="32"/>
      <c r="Q94" s="32"/>
      <c r="R94" s="1250"/>
      <c r="S94" s="1251"/>
      <c r="T94" s="1252"/>
      <c r="U94" s="983"/>
      <c r="V94" s="960"/>
      <c r="W94" s="960"/>
      <c r="X94" s="960"/>
      <c r="Y94" s="960"/>
      <c r="Z94" s="960"/>
      <c r="AA94" s="965"/>
      <c r="AB94" s="1078"/>
      <c r="AC94" s="1078"/>
      <c r="AD94" s="1067"/>
      <c r="AE94" s="960"/>
      <c r="AF94" s="525"/>
      <c r="AG94" s="525"/>
      <c r="AH94" s="1260"/>
      <c r="AI94" s="1260"/>
      <c r="AJ94" s="525"/>
      <c r="AK94" s="960"/>
      <c r="AL94" s="1066"/>
      <c r="AM94" s="1079"/>
      <c r="AN94" s="1079"/>
      <c r="AO94" s="1080"/>
      <c r="AP94" s="960"/>
      <c r="AQ94" s="960"/>
      <c r="AR94" s="1075"/>
      <c r="AS94" s="280"/>
      <c r="AT94" s="280"/>
      <c r="AU94" s="1257"/>
      <c r="AV94" s="1146"/>
      <c r="AW94" s="304"/>
      <c r="AX94" s="268"/>
      <c r="AY94" s="305">
        <v>200</v>
      </c>
      <c r="AZ94" s="305">
        <v>200</v>
      </c>
      <c r="BA94" s="305">
        <v>200</v>
      </c>
      <c r="BB94" s="268"/>
      <c r="BC94" s="295"/>
      <c r="BD94" s="147"/>
      <c r="BE94" s="295"/>
      <c r="BF94" s="170"/>
      <c r="BG94" s="12">
        <v>200</v>
      </c>
      <c r="BH94" s="12">
        <v>200</v>
      </c>
      <c r="BI94" s="14">
        <v>200</v>
      </c>
      <c r="BJ94" s="170"/>
      <c r="BK94" s="306"/>
      <c r="BL94" s="264"/>
      <c r="BM94" s="1155"/>
      <c r="BN94" s="248"/>
    </row>
    <row r="95" spans="1:66" ht="19.5" thickTop="1" thickBot="1" x14ac:dyDescent="0.3">
      <c r="A95" s="34"/>
      <c r="B95" s="34"/>
      <c r="C95" s="52"/>
      <c r="D95" s="269"/>
      <c r="E95" s="254"/>
      <c r="F95" s="155"/>
      <c r="G95" s="155"/>
      <c r="H95" s="52"/>
      <c r="I95" s="52"/>
      <c r="J95" s="52"/>
      <c r="K95" s="53"/>
      <c r="L95" s="47"/>
      <c r="M95" s="47"/>
      <c r="N95" s="32"/>
      <c r="O95" s="32"/>
      <c r="P95" s="32"/>
      <c r="Q95" s="32"/>
      <c r="R95" s="1250"/>
      <c r="S95" s="1251"/>
      <c r="T95" s="1252"/>
      <c r="U95" s="1055"/>
      <c r="V95" s="960"/>
      <c r="W95" s="960"/>
      <c r="X95" s="960"/>
      <c r="Y95" s="960"/>
      <c r="Z95" s="1068"/>
      <c r="AA95" s="1079"/>
      <c r="AB95" s="951"/>
      <c r="AC95" s="951"/>
      <c r="AD95" s="1079"/>
      <c r="AE95" s="1081"/>
      <c r="AF95" s="525"/>
      <c r="AG95" s="525"/>
      <c r="AH95" s="981"/>
      <c r="AI95" s="981"/>
      <c r="AJ95" s="525"/>
      <c r="AK95" s="1068"/>
      <c r="AL95" s="1079"/>
      <c r="AM95" s="951"/>
      <c r="AN95" s="951"/>
      <c r="AO95" s="1079"/>
      <c r="AP95" s="1081"/>
      <c r="AQ95" s="1066"/>
      <c r="AR95" s="1075"/>
      <c r="AS95" s="310"/>
      <c r="AT95" s="280"/>
      <c r="AU95" s="1258"/>
      <c r="AV95" s="1146"/>
      <c r="AW95" s="300"/>
      <c r="AX95" s="295"/>
      <c r="AY95" s="268" t="s">
        <v>209</v>
      </c>
      <c r="AZ95" s="268" t="s">
        <v>209</v>
      </c>
      <c r="BA95" s="268" t="s">
        <v>209</v>
      </c>
      <c r="BB95" s="295"/>
      <c r="BC95" s="311"/>
      <c r="BD95" s="147"/>
      <c r="BE95" s="147"/>
      <c r="BF95" s="295"/>
      <c r="BG95" s="170" t="s">
        <v>193</v>
      </c>
      <c r="BH95" s="170" t="s">
        <v>193</v>
      </c>
      <c r="BI95" s="170" t="s">
        <v>193</v>
      </c>
      <c r="BJ95" s="295"/>
      <c r="BK95" s="312"/>
      <c r="BL95" s="155"/>
      <c r="BM95" s="1155"/>
      <c r="BN95" s="248"/>
    </row>
    <row r="96" spans="1:66" ht="19.5" thickTop="1" thickBot="1" x14ac:dyDescent="0.3">
      <c r="A96" s="34"/>
      <c r="B96" s="34"/>
      <c r="C96" s="52"/>
      <c r="D96" s="263"/>
      <c r="E96" s="257"/>
      <c r="F96" s="264"/>
      <c r="G96" s="155"/>
      <c r="H96" s="52"/>
      <c r="I96" s="52"/>
      <c r="J96" s="52"/>
      <c r="K96" s="53"/>
      <c r="L96" s="32"/>
      <c r="M96" s="32"/>
      <c r="N96" s="32"/>
      <c r="O96" s="32"/>
      <c r="P96" s="32"/>
      <c r="Q96" s="32"/>
      <c r="R96" s="1250"/>
      <c r="S96" s="1251"/>
      <c r="T96" s="1252"/>
      <c r="U96" s="1055"/>
      <c r="V96" s="960"/>
      <c r="W96" s="960"/>
      <c r="X96" s="960"/>
      <c r="Y96" s="960"/>
      <c r="Z96" s="1068"/>
      <c r="AA96" s="1079"/>
      <c r="AB96" s="951"/>
      <c r="AC96" s="951"/>
      <c r="AD96" s="1079"/>
      <c r="AE96" s="1081"/>
      <c r="AF96" s="525"/>
      <c r="AG96" s="525"/>
      <c r="AH96" s="981"/>
      <c r="AI96" s="981"/>
      <c r="AJ96" s="525"/>
      <c r="AK96" s="1068"/>
      <c r="AL96" s="1079"/>
      <c r="AM96" s="951"/>
      <c r="AN96" s="951"/>
      <c r="AO96" s="1079"/>
      <c r="AP96" s="1081"/>
      <c r="AQ96" s="1241"/>
      <c r="AR96" s="1242"/>
      <c r="AS96" s="1261"/>
      <c r="AT96" s="1262"/>
      <c r="AU96" s="1147"/>
      <c r="AV96" s="311"/>
      <c r="AW96" s="315"/>
      <c r="AX96" s="240"/>
      <c r="AY96" s="316">
        <v>6</v>
      </c>
      <c r="AZ96" s="316">
        <v>5</v>
      </c>
      <c r="BA96" s="316">
        <v>4</v>
      </c>
      <c r="BB96" s="317"/>
      <c r="BC96" s="318"/>
      <c r="BD96" s="319"/>
      <c r="BE96" s="319"/>
      <c r="BF96" s="319"/>
      <c r="BG96" s="316">
        <v>6</v>
      </c>
      <c r="BH96" s="316">
        <v>5</v>
      </c>
      <c r="BI96" s="316">
        <v>4</v>
      </c>
      <c r="BJ96" s="320"/>
      <c r="BK96" s="321"/>
      <c r="BL96" s="264"/>
      <c r="BM96" s="1155"/>
      <c r="BN96" s="248"/>
    </row>
    <row r="97" spans="1:66" ht="19.5" thickTop="1" thickBot="1" x14ac:dyDescent="0.3">
      <c r="A97" s="34"/>
      <c r="B97" s="34"/>
      <c r="C97" s="52"/>
      <c r="D97" s="269"/>
      <c r="E97" s="254"/>
      <c r="F97" s="155"/>
      <c r="G97" s="155"/>
      <c r="H97" s="52"/>
      <c r="I97" s="52"/>
      <c r="J97" s="52"/>
      <c r="K97" s="53"/>
      <c r="L97" s="32"/>
      <c r="M97" s="32"/>
      <c r="N97" s="32"/>
      <c r="O97" s="32"/>
      <c r="P97" s="32"/>
      <c r="Q97" s="32"/>
      <c r="R97" s="1250"/>
      <c r="S97" s="1251"/>
      <c r="T97" s="1252"/>
      <c r="U97" s="1055"/>
      <c r="V97" s="960"/>
      <c r="W97" s="960"/>
      <c r="X97" s="960"/>
      <c r="Y97" s="960"/>
      <c r="Z97" s="1068"/>
      <c r="AA97" s="1079"/>
      <c r="AB97" s="951"/>
      <c r="AC97" s="951"/>
      <c r="AD97" s="1079"/>
      <c r="AE97" s="1081"/>
      <c r="AF97" s="525"/>
      <c r="AG97" s="525"/>
      <c r="AH97" s="981"/>
      <c r="AI97" s="981"/>
      <c r="AJ97" s="525"/>
      <c r="AK97" s="1068"/>
      <c r="AL97" s="1079"/>
      <c r="AM97" s="951"/>
      <c r="AN97" s="951"/>
      <c r="AO97" s="1079"/>
      <c r="AP97" s="1083"/>
      <c r="AQ97" s="1061"/>
      <c r="AR97" s="951"/>
      <c r="AS97" s="322"/>
      <c r="AT97" s="280"/>
      <c r="AU97" s="1148"/>
      <c r="AV97" s="1144"/>
      <c r="AW97" s="147"/>
      <c r="AX97" s="324"/>
      <c r="AY97" s="324"/>
      <c r="AZ97" s="324"/>
      <c r="BA97" s="324"/>
      <c r="BC97" s="324"/>
      <c r="BD97" s="147"/>
      <c r="BE97" s="147"/>
      <c r="BF97" s="147"/>
      <c r="BG97" s="147"/>
      <c r="BH97" s="325"/>
      <c r="BI97" s="325"/>
      <c r="BJ97" s="155"/>
      <c r="BK97" s="264"/>
      <c r="BL97" s="264"/>
      <c r="BM97" s="1155"/>
      <c r="BN97" s="248"/>
    </row>
    <row r="98" spans="1:66" ht="24.75" thickTop="1" thickBot="1" x14ac:dyDescent="0.3">
      <c r="A98" s="34"/>
      <c r="B98" s="34"/>
      <c r="C98" s="52"/>
      <c r="D98" s="263"/>
      <c r="E98" s="257"/>
      <c r="F98" s="264"/>
      <c r="G98" s="155"/>
      <c r="H98" s="52"/>
      <c r="I98" s="52"/>
      <c r="J98" s="52"/>
      <c r="K98" s="53"/>
      <c r="L98" s="32"/>
      <c r="M98" s="32"/>
      <c r="N98" s="32"/>
      <c r="O98" s="32"/>
      <c r="P98" s="32"/>
      <c r="Q98" s="32"/>
      <c r="R98" s="1250"/>
      <c r="S98" s="1251"/>
      <c r="T98" s="1252"/>
      <c r="U98" s="1055"/>
      <c r="V98" s="960"/>
      <c r="W98" s="960"/>
      <c r="X98" s="960"/>
      <c r="Y98" s="960"/>
      <c r="Z98" s="1068"/>
      <c r="AA98" s="1084"/>
      <c r="AB98" s="1078"/>
      <c r="AC98" s="1078"/>
      <c r="AD98" s="1085"/>
      <c r="AE98" s="1006"/>
      <c r="AF98" s="324"/>
      <c r="AG98" s="324"/>
      <c r="AH98" s="525"/>
      <c r="AI98" s="525"/>
      <c r="AJ98" s="324"/>
      <c r="AK98" s="324"/>
      <c r="AL98" s="960"/>
      <c r="AM98" s="1079"/>
      <c r="AN98" s="1079"/>
      <c r="AO98" s="324"/>
      <c r="AP98" s="1083"/>
      <c r="AQ98" s="1061"/>
      <c r="AR98" s="951"/>
      <c r="AS98" s="310"/>
      <c r="AT98" s="280"/>
      <c r="AU98" s="1148"/>
      <c r="AV98" s="1144"/>
      <c r="AW98" s="147"/>
      <c r="AX98" s="147"/>
      <c r="AY98" s="1231" t="s">
        <v>203</v>
      </c>
      <c r="AZ98" s="1231"/>
      <c r="BA98" s="1231"/>
      <c r="BB98" s="147"/>
      <c r="BC98" s="147"/>
      <c r="BD98" s="147"/>
      <c r="BE98" s="147"/>
      <c r="BF98" s="147"/>
      <c r="BG98" s="1231" t="s">
        <v>203</v>
      </c>
      <c r="BH98" s="1231"/>
      <c r="BI98" s="147"/>
      <c r="BJ98" s="75"/>
      <c r="BK98" s="147"/>
      <c r="BL98" s="264"/>
      <c r="BM98" s="960"/>
      <c r="BN98" s="248"/>
    </row>
    <row r="99" spans="1:66" ht="19.5" thickTop="1" thickBot="1" x14ac:dyDescent="0.3">
      <c r="A99" s="34"/>
      <c r="B99" s="34"/>
      <c r="C99" s="52"/>
      <c r="D99" s="269"/>
      <c r="E99" s="254"/>
      <c r="F99" s="155"/>
      <c r="G99" s="155"/>
      <c r="H99" s="52"/>
      <c r="I99" s="52"/>
      <c r="J99" s="52"/>
      <c r="K99" s="53"/>
      <c r="L99" s="32"/>
      <c r="M99" s="32"/>
      <c r="N99" s="32"/>
      <c r="O99" s="32"/>
      <c r="P99" s="32"/>
      <c r="Q99" s="87"/>
      <c r="R99" s="1253"/>
      <c r="S99" s="1254"/>
      <c r="T99" s="1255"/>
      <c r="U99" s="1055"/>
      <c r="V99" s="1055"/>
      <c r="W99" s="982"/>
      <c r="X99" s="958"/>
      <c r="Y99" s="958"/>
      <c r="Z99" s="941"/>
      <c r="AA99" s="982"/>
      <c r="AB99" s="958"/>
      <c r="AC99" s="958"/>
      <c r="AD99" s="958"/>
      <c r="AE99" s="958"/>
      <c r="AF99" s="958"/>
      <c r="AG99" s="324"/>
      <c r="AH99" s="324"/>
      <c r="AI99" s="324"/>
      <c r="AJ99" s="525"/>
      <c r="AK99" s="525"/>
      <c r="AL99" s="960"/>
      <c r="AM99" s="324"/>
      <c r="AN99" s="525"/>
      <c r="AO99" s="525"/>
      <c r="AP99" s="1083"/>
      <c r="AQ99" s="1061"/>
      <c r="AR99" s="951"/>
      <c r="AS99" s="310"/>
      <c r="AT99" s="280"/>
      <c r="AU99" s="1042"/>
      <c r="AV99" s="1144"/>
      <c r="AW99" s="147"/>
      <c r="AX99" s="147"/>
      <c r="AY99" s="262">
        <v>1</v>
      </c>
      <c r="AZ99" s="262">
        <v>2</v>
      </c>
      <c r="BA99" s="262">
        <v>3</v>
      </c>
      <c r="BB99" s="32"/>
      <c r="BC99" s="147"/>
      <c r="BD99" s="147"/>
      <c r="BE99" s="147"/>
      <c r="BF99" s="147"/>
      <c r="BG99" s="262">
        <v>1</v>
      </c>
      <c r="BH99" s="262">
        <v>2</v>
      </c>
      <c r="BI99" s="77"/>
      <c r="BJ99" s="77"/>
      <c r="BK99" s="147"/>
      <c r="BL99" s="264"/>
      <c r="BM99" s="960"/>
      <c r="BN99" s="248"/>
    </row>
    <row r="100" spans="1:66" ht="19.5" thickTop="1" thickBot="1" x14ac:dyDescent="0.3">
      <c r="A100" s="34"/>
      <c r="B100" s="34"/>
      <c r="C100" s="52"/>
      <c r="D100" s="263"/>
      <c r="E100" s="257"/>
      <c r="F100" s="264"/>
      <c r="G100" s="155"/>
      <c r="H100" s="52"/>
      <c r="I100" s="52"/>
      <c r="J100" s="52"/>
      <c r="K100" s="53"/>
      <c r="L100" s="32"/>
      <c r="M100" s="47"/>
      <c r="N100" s="47"/>
      <c r="O100" s="47"/>
      <c r="P100" s="47"/>
      <c r="Q100" s="47"/>
      <c r="R100" s="958"/>
      <c r="S100" s="958"/>
      <c r="T100" s="958"/>
      <c r="U100" s="1163"/>
      <c r="V100" s="983"/>
      <c r="W100" s="958"/>
      <c r="X100" s="1086"/>
      <c r="Y100" s="1087"/>
      <c r="Z100" s="1088"/>
      <c r="AA100" s="1089"/>
      <c r="AB100" s="1089"/>
      <c r="AC100" s="1086"/>
      <c r="AD100" s="1086"/>
      <c r="AE100" s="1086"/>
      <c r="AF100" s="1086"/>
      <c r="AG100" s="1087"/>
      <c r="AH100" s="324"/>
      <c r="AI100" s="324"/>
      <c r="AJ100" s="324"/>
      <c r="AK100" s="324"/>
      <c r="AL100" s="324"/>
      <c r="AM100" s="525"/>
      <c r="AN100" s="525"/>
      <c r="AO100" s="525"/>
      <c r="AP100" s="1083"/>
      <c r="AQ100" s="1061"/>
      <c r="AR100" s="951"/>
      <c r="AS100" s="310"/>
      <c r="AT100" s="280"/>
      <c r="AU100" s="1148"/>
      <c r="AV100" s="1144"/>
      <c r="AW100" s="147"/>
      <c r="AX100" s="267" t="s">
        <v>226</v>
      </c>
      <c r="AY100" s="268" t="s">
        <v>209</v>
      </c>
      <c r="AZ100" s="268" t="s">
        <v>209</v>
      </c>
      <c r="BA100" s="268" t="s">
        <v>209</v>
      </c>
      <c r="BB100" s="262"/>
      <c r="BC100" s="147"/>
      <c r="BD100" s="147"/>
      <c r="BE100" s="147"/>
      <c r="BF100" s="267" t="s">
        <v>219</v>
      </c>
      <c r="BG100" s="170" t="s">
        <v>209</v>
      </c>
      <c r="BH100" s="170" t="s">
        <v>209</v>
      </c>
      <c r="BI100" s="262"/>
      <c r="BJ100" s="332"/>
      <c r="BK100" s="147"/>
      <c r="BL100" s="264"/>
      <c r="BM100" s="1156"/>
      <c r="BN100" s="33"/>
    </row>
    <row r="101" spans="1:66" ht="22.5" thickTop="1" thickBot="1" x14ac:dyDescent="0.3">
      <c r="A101" s="34"/>
      <c r="B101" s="34"/>
      <c r="C101" s="52"/>
      <c r="D101" s="269"/>
      <c r="E101" s="254"/>
      <c r="F101" s="155"/>
      <c r="G101" s="155"/>
      <c r="H101" s="52"/>
      <c r="I101" s="52"/>
      <c r="J101" s="52"/>
      <c r="K101" s="53"/>
      <c r="L101" s="32"/>
      <c r="M101" s="47"/>
      <c r="N101" s="47"/>
      <c r="O101" s="47"/>
      <c r="P101" s="47"/>
      <c r="Q101" s="47"/>
      <c r="R101" s="958"/>
      <c r="S101" s="958"/>
      <c r="T101" s="958"/>
      <c r="U101" s="1164"/>
      <c r="V101" s="983"/>
      <c r="W101" s="958"/>
      <c r="X101" s="958"/>
      <c r="Y101" s="1052"/>
      <c r="Z101" s="1090"/>
      <c r="AA101" s="982"/>
      <c r="AB101" s="982"/>
      <c r="AC101" s="958"/>
      <c r="AD101" s="982"/>
      <c r="AE101" s="958"/>
      <c r="AF101" s="958"/>
      <c r="AG101" s="1052"/>
      <c r="AH101" s="324"/>
      <c r="AI101" s="525"/>
      <c r="AJ101" s="1228"/>
      <c r="AK101" s="1228"/>
      <c r="AL101" s="324"/>
      <c r="AM101" s="525"/>
      <c r="AN101" s="525"/>
      <c r="AO101" s="525"/>
      <c r="AP101" s="1083"/>
      <c r="AQ101" s="1061"/>
      <c r="AR101" s="951"/>
      <c r="AU101" s="1147"/>
      <c r="AV101" s="1104"/>
      <c r="AW101" s="262"/>
      <c r="AX101" s="268"/>
      <c r="AY101" s="17">
        <v>200</v>
      </c>
      <c r="AZ101" s="17">
        <v>200</v>
      </c>
      <c r="BA101" s="17">
        <v>200</v>
      </c>
      <c r="BB101" s="268"/>
      <c r="BC101" s="262"/>
      <c r="BD101" s="147"/>
      <c r="BE101" s="262"/>
      <c r="BF101" s="170"/>
      <c r="BG101" s="17">
        <v>200</v>
      </c>
      <c r="BH101" s="18">
        <v>200</v>
      </c>
      <c r="BI101" s="170"/>
      <c r="BJ101" s="262"/>
      <c r="BK101" s="147"/>
      <c r="BL101" s="264"/>
      <c r="BM101" s="1238"/>
      <c r="BN101" s="33"/>
    </row>
    <row r="102" spans="1:66" ht="18.75" thickBot="1" x14ac:dyDescent="0.3">
      <c r="A102" s="34"/>
      <c r="B102" s="34"/>
      <c r="C102" s="52"/>
      <c r="D102" s="263"/>
      <c r="E102" s="257"/>
      <c r="F102" s="264"/>
      <c r="G102" s="155"/>
      <c r="H102" s="52"/>
      <c r="I102" s="52"/>
      <c r="J102" s="52"/>
      <c r="K102" s="53"/>
      <c r="L102" s="32"/>
      <c r="M102" s="39"/>
      <c r="N102" s="39"/>
      <c r="O102" s="39"/>
      <c r="P102" s="39"/>
      <c r="Q102" s="39"/>
      <c r="R102" s="941"/>
      <c r="S102" s="941"/>
      <c r="T102" s="941"/>
      <c r="U102" s="1165"/>
      <c r="V102" s="984"/>
      <c r="W102" s="941"/>
      <c r="X102" s="941"/>
      <c r="Y102" s="1091"/>
      <c r="Z102" s="1090"/>
      <c r="AA102" s="982"/>
      <c r="AB102" s="982"/>
      <c r="AC102" s="958"/>
      <c r="AD102" s="982"/>
      <c r="AE102" s="958"/>
      <c r="AF102" s="958"/>
      <c r="AG102" s="1092"/>
      <c r="AH102" s="960"/>
      <c r="AI102" s="1066"/>
      <c r="AJ102" s="1071"/>
      <c r="AK102" s="1071"/>
      <c r="AL102" s="1067"/>
      <c r="AM102" s="525"/>
      <c r="AN102" s="525"/>
      <c r="AO102" s="525"/>
      <c r="AP102" s="525"/>
      <c r="AQ102" s="1061"/>
      <c r="AR102" s="951"/>
      <c r="AS102" s="34"/>
      <c r="AT102" s="340"/>
      <c r="AU102" s="1149"/>
      <c r="AV102" s="1150"/>
      <c r="AW102" s="262"/>
      <c r="AX102" s="268"/>
      <c r="AY102" s="22">
        <v>200</v>
      </c>
      <c r="AZ102" s="12">
        <v>200</v>
      </c>
      <c r="BA102" s="12">
        <v>200</v>
      </c>
      <c r="BB102" s="268"/>
      <c r="BC102" s="262"/>
      <c r="BD102" s="147"/>
      <c r="BE102" s="262"/>
      <c r="BF102" s="170"/>
      <c r="BG102" s="15">
        <v>200</v>
      </c>
      <c r="BH102" s="18">
        <v>200</v>
      </c>
      <c r="BI102" s="170"/>
      <c r="BJ102" s="262"/>
      <c r="BK102" s="147"/>
      <c r="BL102" s="254"/>
      <c r="BM102" s="1239"/>
      <c r="BN102" s="33"/>
    </row>
    <row r="103" spans="1:66" ht="21" x14ac:dyDescent="0.25">
      <c r="A103" s="34"/>
      <c r="B103" s="34"/>
      <c r="C103" s="52"/>
      <c r="D103" s="269"/>
      <c r="E103" s="254"/>
      <c r="F103" s="155"/>
      <c r="G103" s="155"/>
      <c r="H103" s="52"/>
      <c r="I103" s="52"/>
      <c r="J103" s="52"/>
      <c r="K103" s="53"/>
      <c r="L103" s="47"/>
      <c r="M103" s="47"/>
      <c r="N103" s="47"/>
      <c r="O103" s="45"/>
      <c r="P103" s="71"/>
      <c r="Q103" s="47"/>
      <c r="R103" s="982"/>
      <c r="S103" s="982"/>
      <c r="T103" s="982"/>
      <c r="U103" s="1164"/>
      <c r="V103" s="1055"/>
      <c r="W103" s="958"/>
      <c r="X103" s="958"/>
      <c r="Y103" s="1030"/>
      <c r="Z103" s="1090"/>
      <c r="AA103" s="982"/>
      <c r="AB103" s="1240"/>
      <c r="AC103" s="1240"/>
      <c r="AD103" s="1240"/>
      <c r="AE103" s="1240"/>
      <c r="AF103" s="958"/>
      <c r="AG103" s="1093"/>
      <c r="AH103" s="1068"/>
      <c r="AI103" s="1071"/>
      <c r="AJ103" s="951"/>
      <c r="AK103" s="951"/>
      <c r="AL103" s="1071"/>
      <c r="AM103" s="525"/>
      <c r="AN103" s="525"/>
      <c r="AO103" s="525"/>
      <c r="AP103" s="525"/>
      <c r="AQ103" s="1241"/>
      <c r="AR103" s="1242"/>
      <c r="AS103" s="34"/>
      <c r="AT103" s="344"/>
      <c r="AU103" s="1151"/>
      <c r="AV103" s="1125"/>
      <c r="AW103" s="147"/>
      <c r="AX103" s="262"/>
      <c r="AY103" s="268" t="s">
        <v>209</v>
      </c>
      <c r="AZ103" s="268" t="s">
        <v>209</v>
      </c>
      <c r="BA103" s="268" t="s">
        <v>209</v>
      </c>
      <c r="BB103" s="262"/>
      <c r="BC103" s="147"/>
      <c r="BD103" s="147"/>
      <c r="BE103" s="147"/>
      <c r="BF103" s="262"/>
      <c r="BG103" s="170" t="s">
        <v>209</v>
      </c>
      <c r="BH103" s="170" t="s">
        <v>209</v>
      </c>
      <c r="BI103" s="262"/>
      <c r="BJ103" s="77"/>
      <c r="BK103" s="147"/>
      <c r="BL103" s="347"/>
      <c r="BM103" s="960"/>
      <c r="BN103" s="248"/>
    </row>
    <row r="104" spans="1:66" ht="18" x14ac:dyDescent="0.25">
      <c r="A104" s="34"/>
      <c r="B104" s="34"/>
      <c r="C104" s="52"/>
      <c r="D104" s="263"/>
      <c r="E104" s="257"/>
      <c r="F104" s="264"/>
      <c r="G104" s="155"/>
      <c r="H104" s="52"/>
      <c r="I104" s="52"/>
      <c r="J104" s="52"/>
      <c r="K104" s="53"/>
      <c r="L104" s="47"/>
      <c r="M104" s="47"/>
      <c r="N104" s="47"/>
      <c r="O104" s="45"/>
      <c r="P104" s="32"/>
      <c r="Q104" s="47"/>
      <c r="R104" s="958"/>
      <c r="S104" s="958"/>
      <c r="T104" s="958"/>
      <c r="U104" s="1164"/>
      <c r="V104" s="983"/>
      <c r="W104" s="958"/>
      <c r="X104" s="958"/>
      <c r="Y104" s="1030"/>
      <c r="Z104" s="1090"/>
      <c r="AA104" s="982"/>
      <c r="AB104" s="1240"/>
      <c r="AC104" s="1240"/>
      <c r="AD104" s="1240"/>
      <c r="AE104" s="1240"/>
      <c r="AF104" s="958"/>
      <c r="AG104" s="1092"/>
      <c r="AH104" s="1068"/>
      <c r="AI104" s="1071"/>
      <c r="AJ104" s="951"/>
      <c r="AK104" s="951"/>
      <c r="AL104" s="1071"/>
      <c r="AM104" s="1081"/>
      <c r="AN104" s="525"/>
      <c r="AO104" s="525"/>
      <c r="AP104" s="958"/>
      <c r="AQ104" s="1241"/>
      <c r="AR104" s="1242"/>
      <c r="AS104" s="348"/>
      <c r="AT104" s="344"/>
      <c r="AU104" s="1152"/>
      <c r="AV104" s="1144"/>
      <c r="AW104" s="147"/>
      <c r="AX104" s="34"/>
      <c r="AY104" s="262">
        <v>6</v>
      </c>
      <c r="AZ104" s="262">
        <v>5</v>
      </c>
      <c r="BA104" s="262">
        <v>4</v>
      </c>
      <c r="BB104" s="32"/>
      <c r="BC104" s="147"/>
      <c r="BD104" s="147"/>
      <c r="BE104" s="147"/>
      <c r="BF104" s="147"/>
      <c r="BG104" s="262">
        <v>4</v>
      </c>
      <c r="BH104" s="262">
        <v>3</v>
      </c>
      <c r="BI104" s="77"/>
      <c r="BJ104" s="77"/>
      <c r="BK104" s="147"/>
      <c r="BL104" s="264"/>
      <c r="BM104" s="525"/>
      <c r="BN104" s="248"/>
    </row>
    <row r="105" spans="1:66" ht="18.75" thickBot="1" x14ac:dyDescent="0.3">
      <c r="A105" s="34"/>
      <c r="B105" s="34"/>
      <c r="C105" s="52"/>
      <c r="D105" s="269"/>
      <c r="E105" s="254"/>
      <c r="F105" s="155"/>
      <c r="G105" s="155"/>
      <c r="H105" s="52"/>
      <c r="I105" s="52"/>
      <c r="J105" s="52"/>
      <c r="K105" s="53"/>
      <c r="L105" s="149"/>
      <c r="M105" s="47"/>
      <c r="N105" s="47"/>
      <c r="O105" s="47"/>
      <c r="P105" s="47"/>
      <c r="Q105" s="47"/>
      <c r="R105" s="958"/>
      <c r="S105" s="958"/>
      <c r="T105" s="958"/>
      <c r="U105" s="1164"/>
      <c r="V105" s="983"/>
      <c r="W105" s="958"/>
      <c r="X105" s="958"/>
      <c r="Y105" s="1052"/>
      <c r="Z105" s="1090"/>
      <c r="AA105" s="982"/>
      <c r="AB105" s="982"/>
      <c r="AC105" s="958"/>
      <c r="AD105" s="982"/>
      <c r="AE105" s="958"/>
      <c r="AF105" s="958"/>
      <c r="AG105" s="1092"/>
      <c r="AH105" s="1068"/>
      <c r="AI105" s="1071"/>
      <c r="AJ105" s="951"/>
      <c r="AK105" s="951"/>
      <c r="AL105" s="1071"/>
      <c r="AM105" s="1081"/>
      <c r="AN105" s="525"/>
      <c r="AO105" s="525"/>
      <c r="AP105" s="958"/>
      <c r="AQ105" s="1094"/>
      <c r="AR105" s="1095"/>
      <c r="AS105" s="348"/>
      <c r="AT105" s="344"/>
      <c r="AU105" s="960"/>
      <c r="AV105" s="960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231" t="s">
        <v>203</v>
      </c>
      <c r="BH105" s="1231"/>
      <c r="BI105" s="77"/>
      <c r="BJ105" s="75"/>
      <c r="BK105" s="147"/>
      <c r="BL105" s="314"/>
      <c r="BM105" s="525"/>
      <c r="BN105" s="248"/>
    </row>
    <row r="106" spans="1:66" ht="20.25" thickTop="1" thickBot="1" x14ac:dyDescent="0.3">
      <c r="A106" s="34"/>
      <c r="B106" s="34"/>
      <c r="C106" s="52"/>
      <c r="D106" s="263"/>
      <c r="E106" s="257"/>
      <c r="F106" s="264"/>
      <c r="G106" s="155"/>
      <c r="H106" s="52"/>
      <c r="I106" s="52"/>
      <c r="J106" s="52"/>
      <c r="K106" s="53"/>
      <c r="L106" s="47"/>
      <c r="M106" s="47"/>
      <c r="N106" s="47"/>
      <c r="O106" s="47"/>
      <c r="P106" s="47"/>
      <c r="Q106" s="47"/>
      <c r="R106" s="958"/>
      <c r="S106" s="958"/>
      <c r="T106" s="958"/>
      <c r="U106" s="1164"/>
      <c r="V106" s="983"/>
      <c r="W106" s="958"/>
      <c r="X106" s="958"/>
      <c r="Y106" s="1052"/>
      <c r="Z106" s="1090"/>
      <c r="AA106" s="982"/>
      <c r="AB106" s="982"/>
      <c r="AC106" s="958"/>
      <c r="AD106" s="982"/>
      <c r="AE106" s="958"/>
      <c r="AF106" s="958"/>
      <c r="AG106" s="1052"/>
      <c r="AH106" s="960"/>
      <c r="AI106" s="324"/>
      <c r="AJ106" s="1071"/>
      <c r="AK106" s="1096"/>
      <c r="AL106" s="324"/>
      <c r="AM106" s="1006"/>
      <c r="AN106" s="525"/>
      <c r="AO106" s="525"/>
      <c r="AP106" s="958"/>
      <c r="AQ106" s="311"/>
      <c r="AR106" s="1097"/>
      <c r="AS106" s="348"/>
      <c r="AT106" s="344"/>
      <c r="AU106" s="33"/>
      <c r="AV106" s="33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262">
        <v>1</v>
      </c>
      <c r="BH106" s="262">
        <v>2</v>
      </c>
      <c r="BI106" s="147"/>
      <c r="BK106" s="75"/>
      <c r="BL106" s="257"/>
      <c r="BM106" s="525"/>
      <c r="BN106" s="248"/>
    </row>
    <row r="107" spans="1:66" ht="22.5" thickTop="1" thickBot="1" x14ac:dyDescent="0.3">
      <c r="A107" s="34"/>
      <c r="B107" s="34"/>
      <c r="C107" s="52"/>
      <c r="D107" s="257"/>
      <c r="E107" s="264"/>
      <c r="F107" s="354"/>
      <c r="G107" s="155"/>
      <c r="H107" s="52"/>
      <c r="I107" s="52"/>
      <c r="J107" s="52"/>
      <c r="K107" s="53"/>
      <c r="L107" s="72"/>
      <c r="M107" s="72"/>
      <c r="N107" s="52"/>
      <c r="O107" s="52"/>
      <c r="P107" s="52"/>
      <c r="Q107" s="52"/>
      <c r="R107" s="957"/>
      <c r="S107" s="957"/>
      <c r="T107" s="957"/>
      <c r="U107" s="1164"/>
      <c r="V107" s="983"/>
      <c r="W107" s="958"/>
      <c r="X107" s="948"/>
      <c r="Y107" s="1098"/>
      <c r="Z107" s="1099"/>
      <c r="AA107" s="1100"/>
      <c r="AB107" s="1100"/>
      <c r="AC107" s="948"/>
      <c r="AD107" s="1100"/>
      <c r="AE107" s="948"/>
      <c r="AF107" s="948"/>
      <c r="AG107" s="1098"/>
      <c r="AH107" s="960"/>
      <c r="AI107" s="960"/>
      <c r="AJ107" s="1101"/>
      <c r="AK107" s="1101"/>
      <c r="AL107" s="324"/>
      <c r="AM107" s="324"/>
      <c r="AN107" s="525"/>
      <c r="AO107" s="525"/>
      <c r="AP107" s="324"/>
      <c r="AQ107" s="1102"/>
      <c r="AR107" s="1103"/>
      <c r="AS107" s="348"/>
      <c r="AT107" s="344"/>
      <c r="AU107" s="33"/>
      <c r="AV107" s="33"/>
      <c r="AW107" s="254"/>
      <c r="AX107" s="254"/>
      <c r="AY107" s="324"/>
      <c r="AZ107" s="324"/>
      <c r="BA107" s="960"/>
      <c r="BB107" s="33"/>
      <c r="BC107" s="254"/>
      <c r="BD107" s="33"/>
      <c r="BE107" s="33"/>
      <c r="BF107" s="262"/>
      <c r="BG107" s="169" t="s">
        <v>209</v>
      </c>
      <c r="BH107" s="169" t="s">
        <v>209</v>
      </c>
      <c r="BI107" s="262"/>
      <c r="BJ107" s="359"/>
      <c r="BK107" s="77"/>
      <c r="BL107" s="257"/>
      <c r="BM107" s="525"/>
      <c r="BN107" s="248"/>
    </row>
    <row r="108" spans="1:66" ht="18.75" thickBot="1" x14ac:dyDescent="0.3">
      <c r="A108" s="34"/>
      <c r="B108" s="34"/>
      <c r="C108" s="52"/>
      <c r="D108" s="52"/>
      <c r="E108" s="52"/>
      <c r="F108" s="52"/>
      <c r="G108" s="52"/>
      <c r="H108" s="52"/>
      <c r="I108" s="52"/>
      <c r="J108" s="52"/>
      <c r="K108" s="53"/>
      <c r="L108" s="72"/>
      <c r="M108" s="72"/>
      <c r="N108" s="52"/>
      <c r="O108" s="52"/>
      <c r="P108" s="52"/>
      <c r="Q108" s="52"/>
      <c r="R108" s="957"/>
      <c r="S108" s="957"/>
      <c r="T108" s="1166"/>
      <c r="U108" s="1167"/>
      <c r="V108" s="983"/>
      <c r="W108" s="958"/>
      <c r="X108" s="958"/>
      <c r="Y108" s="958"/>
      <c r="Z108" s="982"/>
      <c r="AA108" s="982"/>
      <c r="AB108" s="982"/>
      <c r="AC108" s="958"/>
      <c r="AD108" s="958"/>
      <c r="AE108" s="958"/>
      <c r="AF108" s="958"/>
      <c r="AG108" s="958"/>
      <c r="AH108" s="958"/>
      <c r="AI108" s="324"/>
      <c r="AJ108" s="324"/>
      <c r="AK108" s="324"/>
      <c r="AL108" s="324"/>
      <c r="AM108" s="324"/>
      <c r="AN108" s="324"/>
      <c r="AO108" s="324"/>
      <c r="AP108" s="324"/>
      <c r="AQ108" s="324"/>
      <c r="AR108" s="1095"/>
      <c r="AS108" s="348"/>
      <c r="AT108" s="344"/>
      <c r="AU108" s="33"/>
      <c r="AV108" s="33"/>
      <c r="AW108" s="254"/>
      <c r="AY108" s="999"/>
      <c r="AZ108" s="999"/>
      <c r="BA108" s="999"/>
      <c r="BB108" s="33"/>
      <c r="BC108" s="33"/>
      <c r="BD108" s="33"/>
      <c r="BE108" s="262"/>
      <c r="BF108" s="170"/>
      <c r="BG108" s="15">
        <v>200</v>
      </c>
      <c r="BH108" s="20">
        <v>200</v>
      </c>
      <c r="BI108" s="170"/>
      <c r="BJ108" s="262"/>
      <c r="BK108" s="33"/>
      <c r="BL108" s="257"/>
      <c r="BM108" s="1155"/>
      <c r="BN108" s="248"/>
    </row>
    <row r="109" spans="1:66" ht="19.5" thickTop="1" thickBot="1" x14ac:dyDescent="0.3">
      <c r="A109" s="34"/>
      <c r="B109" s="34"/>
      <c r="C109" s="52"/>
      <c r="D109" s="52"/>
      <c r="E109" s="52"/>
      <c r="F109" s="52"/>
      <c r="G109" s="52"/>
      <c r="H109" s="52"/>
      <c r="I109" s="52"/>
      <c r="J109" s="52"/>
      <c r="K109" s="53"/>
      <c r="L109" s="72"/>
      <c r="M109" s="72"/>
      <c r="N109" s="52"/>
      <c r="O109" s="52"/>
      <c r="P109" s="52"/>
      <c r="Q109" s="52"/>
      <c r="R109" s="957"/>
      <c r="S109" s="957"/>
      <c r="T109" s="1166"/>
      <c r="U109" s="983"/>
      <c r="V109" s="983"/>
      <c r="W109" s="958"/>
      <c r="X109" s="958"/>
      <c r="Y109" s="958"/>
      <c r="Z109" s="958"/>
      <c r="AA109" s="958"/>
      <c r="AB109" s="958"/>
      <c r="AC109" s="958"/>
      <c r="AD109" s="958"/>
      <c r="AE109" s="958"/>
      <c r="AF109" s="958"/>
      <c r="AG109" s="958"/>
      <c r="AH109" s="958"/>
      <c r="AI109" s="958"/>
      <c r="AJ109" s="958"/>
      <c r="AK109" s="324"/>
      <c r="AL109" s="324"/>
      <c r="AM109" s="324"/>
      <c r="AN109" s="324"/>
      <c r="AO109" s="324"/>
      <c r="AP109" s="324"/>
      <c r="AQ109" s="1094"/>
      <c r="AR109" s="1097"/>
      <c r="AS109" s="348"/>
      <c r="AT109" s="361"/>
      <c r="AU109" s="33"/>
      <c r="AV109" s="33"/>
      <c r="AW109" s="254"/>
      <c r="AY109" s="999"/>
      <c r="AZ109" s="999"/>
      <c r="BA109" s="999"/>
      <c r="BB109" s="33"/>
      <c r="BE109" s="262"/>
      <c r="BF109" s="170"/>
      <c r="BG109" s="15">
        <v>200</v>
      </c>
      <c r="BH109" s="19">
        <v>200</v>
      </c>
      <c r="BI109" s="170"/>
      <c r="BJ109" s="262"/>
      <c r="BK109" s="33"/>
      <c r="BL109" s="257"/>
      <c r="BM109" s="1155"/>
      <c r="BN109" s="248"/>
    </row>
    <row r="110" spans="1:66" ht="20.25" thickTop="1" thickBot="1" x14ac:dyDescent="0.3">
      <c r="A110" s="34"/>
      <c r="B110" s="34"/>
      <c r="C110" s="52"/>
      <c r="D110" s="52"/>
      <c r="E110" s="52"/>
      <c r="F110" s="52"/>
      <c r="G110" s="52"/>
      <c r="H110" s="52"/>
      <c r="I110" s="52"/>
      <c r="J110" s="52"/>
      <c r="K110" s="53"/>
      <c r="L110" s="72"/>
      <c r="M110" s="72"/>
      <c r="N110" s="52"/>
      <c r="O110" s="52"/>
      <c r="P110" s="52"/>
      <c r="Q110" s="52"/>
      <c r="R110" s="957"/>
      <c r="S110" s="1189"/>
      <c r="T110" s="1232"/>
      <c r="U110" s="1104"/>
      <c r="V110" s="1104"/>
      <c r="W110" s="957"/>
      <c r="X110" s="958"/>
      <c r="Y110" s="957"/>
      <c r="Z110" s="957"/>
      <c r="AA110" s="958"/>
      <c r="AB110" s="958"/>
      <c r="AC110" s="958"/>
      <c r="AD110" s="961"/>
      <c r="AE110" s="961"/>
      <c r="AF110" s="961"/>
      <c r="AG110" s="957"/>
      <c r="AH110" s="957"/>
      <c r="AI110" s="957"/>
      <c r="AJ110" s="957"/>
      <c r="AK110" s="525"/>
      <c r="AL110" s="525"/>
      <c r="AM110" s="525"/>
      <c r="AN110" s="525"/>
      <c r="AO110" s="525"/>
      <c r="AP110" s="525"/>
      <c r="AQ110" s="525"/>
      <c r="AR110" s="1103"/>
      <c r="AS110" s="348"/>
      <c r="AT110" s="363"/>
      <c r="AU110" s="33"/>
      <c r="AV110" s="33"/>
      <c r="AW110" s="254"/>
      <c r="AX110" s="33"/>
      <c r="AY110" s="1235"/>
      <c r="AZ110" s="1235"/>
      <c r="BA110" s="1235"/>
      <c r="BB110" s="33"/>
      <c r="BF110" s="262"/>
      <c r="BG110" s="169" t="s">
        <v>209</v>
      </c>
      <c r="BH110" s="169" t="s">
        <v>209</v>
      </c>
      <c r="BI110" s="262"/>
      <c r="BJ110" s="34"/>
      <c r="BK110" s="33"/>
      <c r="BL110" s="257"/>
      <c r="BM110" s="1155"/>
      <c r="BN110" s="248"/>
    </row>
    <row r="111" spans="1:66" ht="19.5" thickTop="1" thickBot="1" x14ac:dyDescent="0.3">
      <c r="A111" s="34"/>
      <c r="B111" s="34"/>
      <c r="C111" s="52"/>
      <c r="D111" s="52"/>
      <c r="E111" s="52"/>
      <c r="F111" s="52"/>
      <c r="G111" s="52"/>
      <c r="H111" s="52"/>
      <c r="I111" s="52"/>
      <c r="J111" s="52"/>
      <c r="K111" s="53"/>
      <c r="L111" s="72"/>
      <c r="M111" s="72"/>
      <c r="N111" s="52"/>
      <c r="O111" s="52"/>
      <c r="P111" s="52"/>
      <c r="Q111" s="52"/>
      <c r="R111" s="957"/>
      <c r="S111" s="1191"/>
      <c r="T111" s="1233"/>
      <c r="U111" s="1104"/>
      <c r="V111" s="1104"/>
      <c r="W111" s="957"/>
      <c r="X111" s="958"/>
      <c r="Y111" s="957"/>
      <c r="Z111" s="324"/>
      <c r="AA111" s="324"/>
      <c r="AB111" s="324"/>
      <c r="AC111" s="324"/>
      <c r="AD111" s="324"/>
      <c r="AE111" s="324"/>
      <c r="AF111" s="324"/>
      <c r="AG111" s="324"/>
      <c r="AH111" s="324"/>
      <c r="AI111" s="324"/>
      <c r="AJ111" s="324"/>
      <c r="AK111" s="525"/>
      <c r="AL111" s="525"/>
      <c r="AM111" s="525"/>
      <c r="AN111" s="525"/>
      <c r="AO111" s="525"/>
      <c r="AP111" s="525"/>
      <c r="AQ111" s="525"/>
      <c r="AR111" s="1095"/>
      <c r="AS111" s="348"/>
      <c r="AT111" s="280"/>
      <c r="AU111" s="33"/>
      <c r="AV111" s="264"/>
      <c r="AW111" s="254"/>
      <c r="AX111" s="33"/>
      <c r="AY111" s="960"/>
      <c r="AZ111" s="960"/>
      <c r="BA111" s="960"/>
      <c r="BB111" s="33"/>
      <c r="BF111" s="33"/>
      <c r="BG111" s="364">
        <v>4</v>
      </c>
      <c r="BH111" s="364">
        <v>3</v>
      </c>
      <c r="BI111" s="155"/>
      <c r="BJ111" s="34"/>
      <c r="BK111" s="33"/>
      <c r="BL111" s="257"/>
      <c r="BM111" s="1155"/>
      <c r="BN111" s="248"/>
    </row>
    <row r="112" spans="1:66" ht="19.5" thickTop="1" thickBot="1" x14ac:dyDescent="0.3">
      <c r="A112" s="34"/>
      <c r="B112" s="34"/>
      <c r="C112" s="52"/>
      <c r="D112" s="52"/>
      <c r="E112" s="52"/>
      <c r="F112" s="223"/>
      <c r="G112" s="223"/>
      <c r="H112" s="223"/>
      <c r="I112" s="223"/>
      <c r="J112" s="223"/>
      <c r="K112" s="365"/>
      <c r="L112" s="366"/>
      <c r="M112" s="366"/>
      <c r="N112" s="223"/>
      <c r="O112" s="223"/>
      <c r="P112" s="223"/>
      <c r="Q112" s="223"/>
      <c r="R112" s="1168"/>
      <c r="S112" s="1193"/>
      <c r="T112" s="1234"/>
      <c r="U112" s="1104"/>
      <c r="V112" s="1104"/>
      <c r="W112" s="957"/>
      <c r="X112" s="958"/>
      <c r="Y112" s="957"/>
      <c r="Z112" s="324"/>
      <c r="AA112" s="324"/>
      <c r="AB112" s="324"/>
      <c r="AC112" s="324"/>
      <c r="AD112" s="324"/>
      <c r="AE112" s="324"/>
      <c r="AF112" s="324"/>
      <c r="AG112" s="324"/>
      <c r="AH112" s="324"/>
      <c r="AI112" s="324"/>
      <c r="AJ112" s="324"/>
      <c r="AK112" s="525"/>
      <c r="AL112" s="525"/>
      <c r="AM112" s="525"/>
      <c r="AN112" s="525"/>
      <c r="AO112" s="525"/>
      <c r="AP112" s="525"/>
      <c r="AQ112" s="525"/>
      <c r="AR112" s="1097"/>
      <c r="AS112" s="348"/>
      <c r="AT112" s="280"/>
      <c r="AU112" s="218"/>
      <c r="AV112" s="314"/>
      <c r="AW112" s="254"/>
      <c r="AX112" s="33"/>
      <c r="AY112" s="33"/>
      <c r="AZ112" s="33"/>
      <c r="BA112" s="33"/>
      <c r="BB112" s="33"/>
      <c r="BC112" s="33"/>
      <c r="BD112" s="33"/>
      <c r="BE112" s="33"/>
      <c r="BK112" s="33"/>
      <c r="BL112" s="257"/>
      <c r="BM112" s="1155"/>
      <c r="BN112" s="248"/>
    </row>
    <row r="113" spans="1:66" ht="21.75" thickBot="1" x14ac:dyDescent="0.3">
      <c r="A113" s="34"/>
      <c r="B113" s="34"/>
      <c r="C113" s="52"/>
      <c r="D113" s="52"/>
      <c r="E113" s="53"/>
      <c r="F113" s="34"/>
      <c r="G113" s="34"/>
      <c r="H113" s="34"/>
      <c r="I113" s="52"/>
      <c r="J113" s="52"/>
      <c r="K113" s="52"/>
      <c r="L113" s="52"/>
      <c r="M113" s="52"/>
      <c r="N113" s="52"/>
      <c r="O113" s="52"/>
      <c r="P113" s="52"/>
      <c r="Q113" s="52"/>
      <c r="R113" s="957"/>
      <c r="S113" s="957"/>
      <c r="T113" s="957"/>
      <c r="U113" s="1104"/>
      <c r="V113" s="1105"/>
      <c r="W113" s="960"/>
      <c r="X113" s="525"/>
      <c r="Y113" s="978"/>
      <c r="Z113" s="978"/>
      <c r="AA113" s="324"/>
      <c r="AB113" s="324"/>
      <c r="AC113" s="525"/>
      <c r="AD113" s="525"/>
      <c r="AE113" s="525"/>
      <c r="AF113" s="324"/>
      <c r="AG113" s="324"/>
      <c r="AH113" s="324"/>
      <c r="AI113" s="324"/>
      <c r="AJ113" s="324"/>
      <c r="AK113" s="324"/>
      <c r="AL113" s="978"/>
      <c r="AM113" s="978"/>
      <c r="AN113" s="978"/>
      <c r="AO113" s="324"/>
      <c r="AP113" s="1094"/>
      <c r="AQ113" s="525"/>
      <c r="AR113" s="1103"/>
      <c r="AS113" s="368"/>
      <c r="AT113" s="72"/>
      <c r="AU113" s="72"/>
      <c r="AV113" s="34"/>
      <c r="AW113" s="254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K113" s="33"/>
      <c r="BL113" s="257"/>
      <c r="BM113" s="1155"/>
      <c r="BN113" s="248"/>
    </row>
    <row r="114" spans="1:66" ht="19.5" thickTop="1" thickBot="1" x14ac:dyDescent="0.3">
      <c r="A114" s="34"/>
      <c r="B114" s="34"/>
      <c r="C114" s="957"/>
      <c r="D114" s="957"/>
      <c r="E114" s="1166"/>
      <c r="F114" s="324"/>
      <c r="G114" s="324"/>
      <c r="H114" s="324"/>
      <c r="I114" s="957"/>
      <c r="J114" s="957"/>
      <c r="K114" s="957"/>
      <c r="L114" s="961"/>
      <c r="M114" s="961"/>
      <c r="N114" s="957"/>
      <c r="O114" s="957"/>
      <c r="P114" s="957"/>
      <c r="Q114" s="52"/>
      <c r="R114" s="957"/>
      <c r="S114" s="957"/>
      <c r="T114" s="957"/>
      <c r="U114" s="1104"/>
      <c r="V114" s="1105"/>
      <c r="W114" s="960"/>
      <c r="X114" s="1066"/>
      <c r="Y114" s="1061"/>
      <c r="Z114" s="1061"/>
      <c r="AA114" s="1067"/>
      <c r="AB114" s="960"/>
      <c r="AC114" s="525"/>
      <c r="AD114" s="525"/>
      <c r="AE114" s="525"/>
      <c r="AF114" s="1236"/>
      <c r="AG114" s="1041"/>
      <c r="AH114" s="1041"/>
      <c r="AI114" s="1237"/>
      <c r="AJ114" s="324"/>
      <c r="AK114" s="324"/>
      <c r="AL114" s="324"/>
      <c r="AM114" s="1071"/>
      <c r="AN114" s="324"/>
      <c r="AO114" s="324"/>
      <c r="AP114" s="957"/>
      <c r="AQ114" s="525"/>
      <c r="AR114" s="1106"/>
      <c r="AS114" s="372"/>
      <c r="AT114" s="373" t="s">
        <v>224</v>
      </c>
      <c r="AU114" s="72"/>
      <c r="AV114" s="34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77"/>
      <c r="BL114" s="257"/>
      <c r="BM114" s="1155"/>
      <c r="BN114" s="248"/>
    </row>
    <row r="115" spans="1:66" ht="18.75" thickTop="1" x14ac:dyDescent="0.25">
      <c r="A115" s="34"/>
      <c r="B115" s="34"/>
      <c r="C115" s="957"/>
      <c r="D115" s="957"/>
      <c r="E115" s="1166"/>
      <c r="F115" s="324"/>
      <c r="G115" s="324"/>
      <c r="H115" s="324"/>
      <c r="I115" s="957"/>
      <c r="J115" s="957"/>
      <c r="K115" s="957"/>
      <c r="L115" s="961"/>
      <c r="M115" s="961"/>
      <c r="N115" s="957"/>
      <c r="O115" s="957"/>
      <c r="P115" s="957"/>
      <c r="Q115" s="52"/>
      <c r="R115" s="957"/>
      <c r="S115" s="957"/>
      <c r="T115" s="957"/>
      <c r="U115" s="1104"/>
      <c r="V115" s="324"/>
      <c r="W115" s="1068"/>
      <c r="X115" s="1061"/>
      <c r="Y115" s="951"/>
      <c r="Z115" s="951"/>
      <c r="AA115" s="1061"/>
      <c r="AB115" s="1081"/>
      <c r="AC115" s="525"/>
      <c r="AD115" s="525"/>
      <c r="AE115" s="525"/>
      <c r="AF115" s="1236"/>
      <c r="AG115" s="1041"/>
      <c r="AH115" s="1041"/>
      <c r="AI115" s="1237"/>
      <c r="AJ115" s="324"/>
      <c r="AK115" s="324"/>
      <c r="AL115" s="1080"/>
      <c r="AM115" s="1079"/>
      <c r="AN115" s="525"/>
      <c r="AO115" s="958"/>
      <c r="AP115" s="957"/>
      <c r="AQ115" s="525"/>
      <c r="AR115" s="525"/>
      <c r="AS115" s="20">
        <v>100</v>
      </c>
      <c r="AT115" s="169" t="s">
        <v>209</v>
      </c>
      <c r="AU115" s="375">
        <v>1</v>
      </c>
      <c r="AV115" s="376"/>
      <c r="AW115" s="324"/>
      <c r="AX115" s="324"/>
      <c r="AY115" s="1231" t="s">
        <v>203</v>
      </c>
      <c r="AZ115" s="1231"/>
      <c r="BA115" s="1231"/>
      <c r="BB115" s="324"/>
      <c r="BC115" s="147"/>
      <c r="BD115" s="147"/>
      <c r="BE115" s="147"/>
      <c r="BF115" s="147"/>
      <c r="BG115" s="1231" t="s">
        <v>203</v>
      </c>
      <c r="BH115" s="1231"/>
      <c r="BI115" s="75"/>
      <c r="BJ115" s="77"/>
      <c r="BK115" s="33"/>
      <c r="BL115" s="257"/>
      <c r="BM115" s="1155"/>
      <c r="BN115" s="248"/>
    </row>
    <row r="116" spans="1:66" ht="18.75" thickBot="1" x14ac:dyDescent="0.3">
      <c r="A116" s="34"/>
      <c r="B116" s="34"/>
      <c r="C116" s="957"/>
      <c r="D116" s="957"/>
      <c r="E116" s="1166"/>
      <c r="F116" s="324"/>
      <c r="G116" s="324"/>
      <c r="H116" s="324"/>
      <c r="I116" s="957"/>
      <c r="J116" s="957"/>
      <c r="K116" s="957"/>
      <c r="L116" s="961"/>
      <c r="M116" s="961"/>
      <c r="N116" s="957"/>
      <c r="O116" s="957"/>
      <c r="P116" s="957"/>
      <c r="Q116" s="52"/>
      <c r="R116" s="957"/>
      <c r="S116" s="957"/>
      <c r="T116" s="957"/>
      <c r="U116" s="1104"/>
      <c r="V116" s="324"/>
      <c r="W116" s="1068"/>
      <c r="X116" s="1061"/>
      <c r="Y116" s="951"/>
      <c r="Z116" s="951"/>
      <c r="AA116" s="1061"/>
      <c r="AB116" s="1081"/>
      <c r="AC116" s="525"/>
      <c r="AD116" s="525"/>
      <c r="AE116" s="525"/>
      <c r="AF116" s="1236"/>
      <c r="AG116" s="1041"/>
      <c r="AH116" s="1041"/>
      <c r="AI116" s="1237"/>
      <c r="AJ116" s="960"/>
      <c r="AK116" s="1066"/>
      <c r="AL116" s="1080"/>
      <c r="AM116" s="951"/>
      <c r="AN116" s="1080"/>
      <c r="AO116" s="960"/>
      <c r="AP116" s="957"/>
      <c r="AQ116" s="525"/>
      <c r="AR116" s="377"/>
      <c r="AS116" s="20">
        <v>100</v>
      </c>
      <c r="AT116" s="169" t="s">
        <v>209</v>
      </c>
      <c r="AU116" s="375">
        <v>2</v>
      </c>
      <c r="AV116" s="376"/>
      <c r="AW116" s="324"/>
      <c r="AX116" s="147"/>
      <c r="AY116" s="262">
        <v>1</v>
      </c>
      <c r="AZ116" s="262">
        <v>2</v>
      </c>
      <c r="BA116" s="262">
        <v>3</v>
      </c>
      <c r="BB116" s="324"/>
      <c r="BC116" s="147"/>
      <c r="BD116" s="147"/>
      <c r="BE116" s="147"/>
      <c r="BF116" s="147"/>
      <c r="BG116" s="262">
        <v>1</v>
      </c>
      <c r="BH116" s="262">
        <v>2</v>
      </c>
      <c r="BI116" s="75"/>
      <c r="BJ116" s="77"/>
      <c r="BK116" s="33"/>
      <c r="BL116" s="257"/>
      <c r="BM116" s="1157"/>
      <c r="BN116" s="248"/>
    </row>
    <row r="117" spans="1:66" ht="18.75" thickBot="1" x14ac:dyDescent="0.3">
      <c r="A117" s="34"/>
      <c r="B117" s="34"/>
      <c r="C117" s="957"/>
      <c r="D117" s="957"/>
      <c r="E117" s="1166"/>
      <c r="F117" s="324"/>
      <c r="G117" s="324"/>
      <c r="H117" s="1216"/>
      <c r="I117" s="1217"/>
      <c r="J117" s="1217"/>
      <c r="K117" s="1217"/>
      <c r="L117" s="1217"/>
      <c r="M117" s="1217"/>
      <c r="N117" s="1217"/>
      <c r="O117" s="1217"/>
      <c r="P117" s="1218"/>
      <c r="Q117" s="52"/>
      <c r="R117" s="1169"/>
      <c r="S117" s="1169"/>
      <c r="T117" s="1169"/>
      <c r="U117" s="1104"/>
      <c r="V117" s="324"/>
      <c r="W117" s="1068"/>
      <c r="X117" s="1061"/>
      <c r="Y117" s="951"/>
      <c r="Z117" s="951"/>
      <c r="AA117" s="1061"/>
      <c r="AB117" s="1081"/>
      <c r="AC117" s="525"/>
      <c r="AD117" s="525"/>
      <c r="AE117" s="525"/>
      <c r="AF117" s="1236"/>
      <c r="AG117" s="1041"/>
      <c r="AH117" s="1041"/>
      <c r="AI117" s="1237"/>
      <c r="AJ117" s="1107"/>
      <c r="AK117" s="1079"/>
      <c r="AL117" s="951"/>
      <c r="AM117" s="1080"/>
      <c r="AN117" s="951"/>
      <c r="AO117" s="1079"/>
      <c r="AP117" s="1108"/>
      <c r="AQ117" s="525"/>
      <c r="AR117" s="1109"/>
      <c r="AS117" s="372"/>
      <c r="AT117" s="262"/>
      <c r="AU117" s="72"/>
      <c r="AV117" s="204"/>
      <c r="AW117" s="147"/>
      <c r="AX117" s="267" t="s">
        <v>227</v>
      </c>
      <c r="AY117" s="170" t="s">
        <v>209</v>
      </c>
      <c r="AZ117" s="170" t="s">
        <v>209</v>
      </c>
      <c r="BA117" s="170" t="s">
        <v>209</v>
      </c>
      <c r="BB117" s="262"/>
      <c r="BC117" s="147"/>
      <c r="BD117" s="147"/>
      <c r="BE117" s="147"/>
      <c r="BF117" s="267" t="s">
        <v>239</v>
      </c>
      <c r="BG117" s="170" t="s">
        <v>193</v>
      </c>
      <c r="BH117" s="170" t="s">
        <v>193</v>
      </c>
      <c r="BI117" s="262"/>
      <c r="BJ117" s="34"/>
      <c r="BK117" s="33"/>
      <c r="BL117" s="257"/>
      <c r="BM117" s="1158"/>
      <c r="BN117" s="248"/>
    </row>
    <row r="118" spans="1:66" ht="24" thickBot="1" x14ac:dyDescent="0.3">
      <c r="A118" s="34"/>
      <c r="B118" s="34"/>
      <c r="C118" s="957"/>
      <c r="D118" s="957"/>
      <c r="E118" s="1166"/>
      <c r="F118" s="324"/>
      <c r="G118" s="324"/>
      <c r="H118" s="1219"/>
      <c r="I118" s="1220"/>
      <c r="J118" s="1220"/>
      <c r="K118" s="1220"/>
      <c r="L118" s="1220"/>
      <c r="M118" s="1220"/>
      <c r="N118" s="1220"/>
      <c r="O118" s="1220"/>
      <c r="P118" s="1221"/>
      <c r="Q118" s="72"/>
      <c r="R118" s="1169"/>
      <c r="S118" s="1169"/>
      <c r="T118" s="1169"/>
      <c r="U118" s="1105"/>
      <c r="V118" s="324"/>
      <c r="W118" s="960"/>
      <c r="X118" s="1084"/>
      <c r="Y118" s="1078"/>
      <c r="Z118" s="1078"/>
      <c r="AA118" s="1085"/>
      <c r="AB118" s="1006"/>
      <c r="AC118" s="525"/>
      <c r="AD118" s="525"/>
      <c r="AE118" s="525"/>
      <c r="AF118" s="960"/>
      <c r="AG118" s="960"/>
      <c r="AH118" s="960"/>
      <c r="AI118" s="960"/>
      <c r="AJ118" s="324"/>
      <c r="AK118" s="324"/>
      <c r="AL118" s="1080"/>
      <c r="AM118" s="951"/>
      <c r="AN118" s="1080"/>
      <c r="AO118" s="525"/>
      <c r="AP118" s="525"/>
      <c r="AQ118" s="525"/>
      <c r="AR118" s="1025"/>
      <c r="AS118" s="1128"/>
      <c r="AT118" s="958"/>
      <c r="AU118" s="958"/>
      <c r="AV118" s="973"/>
      <c r="AW118" s="262"/>
      <c r="AX118" s="170"/>
      <c r="AY118" s="16">
        <v>200</v>
      </c>
      <c r="AZ118" s="16">
        <v>200</v>
      </c>
      <c r="BA118" s="15">
        <v>200</v>
      </c>
      <c r="BB118" s="170"/>
      <c r="BC118" s="262"/>
      <c r="BD118" s="147"/>
      <c r="BE118" s="262"/>
      <c r="BF118" s="170"/>
      <c r="BG118" s="17">
        <v>200</v>
      </c>
      <c r="BH118" s="15">
        <v>200</v>
      </c>
      <c r="BI118" s="170"/>
      <c r="BJ118" s="262"/>
      <c r="BK118" s="33"/>
      <c r="BL118" s="314"/>
      <c r="BM118" s="999"/>
      <c r="BN118" s="1225"/>
    </row>
    <row r="119" spans="1:66" ht="18" x14ac:dyDescent="0.25">
      <c r="A119" s="34"/>
      <c r="B119" s="34"/>
      <c r="C119" s="957"/>
      <c r="D119" s="957"/>
      <c r="E119" s="1166"/>
      <c r="F119" s="324"/>
      <c r="G119" s="324"/>
      <c r="H119" s="1219"/>
      <c r="I119" s="1220"/>
      <c r="J119" s="1220"/>
      <c r="K119" s="1220"/>
      <c r="L119" s="1220"/>
      <c r="M119" s="1220"/>
      <c r="N119" s="1220"/>
      <c r="O119" s="1220"/>
      <c r="P119" s="1221"/>
      <c r="Q119" s="72"/>
      <c r="R119" s="1169"/>
      <c r="S119" s="1169"/>
      <c r="T119" s="1169"/>
      <c r="U119" s="1105"/>
      <c r="V119" s="525"/>
      <c r="W119" s="525"/>
      <c r="X119" s="525"/>
      <c r="Y119" s="960"/>
      <c r="Z119" s="960"/>
      <c r="AA119" s="960"/>
      <c r="AB119" s="960"/>
      <c r="AC119" s="960"/>
      <c r="AD119" s="525"/>
      <c r="AE119" s="525"/>
      <c r="AF119" s="525"/>
      <c r="AG119" s="525"/>
      <c r="AH119" s="525"/>
      <c r="AI119" s="525"/>
      <c r="AJ119" s="960"/>
      <c r="AK119" s="324"/>
      <c r="AL119" s="525"/>
      <c r="AM119" s="1079"/>
      <c r="AN119" s="525"/>
      <c r="AO119" s="1110"/>
      <c r="AP119" s="324"/>
      <c r="AQ119" s="525"/>
      <c r="AR119" s="1025"/>
      <c r="AS119" s="1129"/>
      <c r="AT119" s="1130"/>
      <c r="AU119" s="958"/>
      <c r="AV119" s="1131"/>
      <c r="AW119" s="262"/>
      <c r="AX119" s="170"/>
      <c r="AY119" s="16">
        <v>200</v>
      </c>
      <c r="AZ119" s="16">
        <v>200</v>
      </c>
      <c r="BA119" s="15">
        <v>200</v>
      </c>
      <c r="BB119" s="170"/>
      <c r="BC119" s="262"/>
      <c r="BD119" s="147"/>
      <c r="BE119" s="262"/>
      <c r="BF119" s="170"/>
      <c r="BG119" s="22">
        <v>200</v>
      </c>
      <c r="BH119" s="23">
        <v>200</v>
      </c>
      <c r="BI119" s="170"/>
      <c r="BJ119" s="262"/>
      <c r="BK119" s="33"/>
      <c r="BL119" s="1226"/>
      <c r="BM119" s="999"/>
      <c r="BN119" s="1225"/>
    </row>
    <row r="120" spans="1:66" ht="21" x14ac:dyDescent="0.25">
      <c r="A120" s="34"/>
      <c r="B120" s="34"/>
      <c r="C120" s="957"/>
      <c r="D120" s="957"/>
      <c r="E120" s="1166"/>
      <c r="F120" s="324"/>
      <c r="G120" s="324"/>
      <c r="H120" s="1219"/>
      <c r="I120" s="1220"/>
      <c r="J120" s="1220"/>
      <c r="K120" s="1220"/>
      <c r="L120" s="1220"/>
      <c r="M120" s="1220"/>
      <c r="N120" s="1220"/>
      <c r="O120" s="1220"/>
      <c r="P120" s="1221"/>
      <c r="Q120" s="72"/>
      <c r="R120" s="1169"/>
      <c r="S120" s="1169"/>
      <c r="T120" s="1169"/>
      <c r="U120" s="1105"/>
      <c r="V120" s="525"/>
      <c r="W120" s="525"/>
      <c r="X120" s="525"/>
      <c r="Y120" s="525"/>
      <c r="Z120" s="525"/>
      <c r="AA120" s="960"/>
      <c r="AB120" s="960"/>
      <c r="AC120" s="960"/>
      <c r="AD120" s="324"/>
      <c r="AE120" s="1228"/>
      <c r="AF120" s="1228"/>
      <c r="AG120" s="1228"/>
      <c r="AH120" s="960"/>
      <c r="AI120" s="525"/>
      <c r="AJ120" s="960"/>
      <c r="AK120" s="324"/>
      <c r="AL120" s="324"/>
      <c r="AM120" s="1071"/>
      <c r="AN120" s="324"/>
      <c r="AO120" s="1110"/>
      <c r="AP120" s="324"/>
      <c r="AQ120" s="525"/>
      <c r="AR120" s="1025"/>
      <c r="AS120" s="1132"/>
      <c r="AT120" s="960"/>
      <c r="AU120" s="960"/>
      <c r="AV120" s="973"/>
      <c r="AW120" s="324"/>
      <c r="AX120" s="262"/>
      <c r="AY120" s="170" t="s">
        <v>209</v>
      </c>
      <c r="AZ120" s="170" t="s">
        <v>209</v>
      </c>
      <c r="BA120" s="170" t="s">
        <v>209</v>
      </c>
      <c r="BB120" s="262"/>
      <c r="BC120" s="324"/>
      <c r="BD120" s="147"/>
      <c r="BE120" s="147"/>
      <c r="BF120" s="262"/>
      <c r="BG120" s="170" t="s">
        <v>193</v>
      </c>
      <c r="BH120" s="170" t="s">
        <v>193</v>
      </c>
      <c r="BI120" s="262"/>
      <c r="BJ120" s="34"/>
      <c r="BK120" s="33"/>
      <c r="BL120" s="1226"/>
      <c r="BM120" s="999"/>
      <c r="BN120" s="1225"/>
    </row>
    <row r="121" spans="1:66" ht="15.75" x14ac:dyDescent="0.25">
      <c r="A121" s="34"/>
      <c r="B121" s="34"/>
      <c r="C121" s="957"/>
      <c r="D121" s="957"/>
      <c r="E121" s="1166"/>
      <c r="F121" s="957"/>
      <c r="G121" s="957"/>
      <c r="H121" s="1219"/>
      <c r="I121" s="1220"/>
      <c r="J121" s="1220"/>
      <c r="K121" s="1220"/>
      <c r="L121" s="1220"/>
      <c r="M121" s="1220"/>
      <c r="N121" s="1220"/>
      <c r="O121" s="1220"/>
      <c r="P121" s="1221"/>
      <c r="Q121" s="72"/>
      <c r="R121" s="1169"/>
      <c r="S121" s="1169"/>
      <c r="T121" s="1169"/>
      <c r="U121" s="1105"/>
      <c r="V121" s="525"/>
      <c r="W121" s="525"/>
      <c r="X121" s="525"/>
      <c r="Y121" s="525"/>
      <c r="Z121" s="525"/>
      <c r="AA121" s="960"/>
      <c r="AB121" s="960"/>
      <c r="AC121" s="960"/>
      <c r="AD121" s="324"/>
      <c r="AE121" s="955"/>
      <c r="AF121" s="960"/>
      <c r="AG121" s="960"/>
      <c r="AH121" s="960"/>
      <c r="AI121" s="525"/>
      <c r="AJ121" s="525"/>
      <c r="AK121" s="525"/>
      <c r="AL121" s="525"/>
      <c r="AM121" s="525"/>
      <c r="AN121" s="525"/>
      <c r="AO121" s="525"/>
      <c r="AP121" s="1110"/>
      <c r="AQ121" s="324"/>
      <c r="AR121" s="1025"/>
      <c r="AS121" s="1133"/>
      <c r="AT121" s="1130"/>
      <c r="AU121" s="1044"/>
      <c r="AV121" s="1229"/>
      <c r="AW121" s="324"/>
      <c r="AX121" s="324"/>
      <c r="AY121" s="262">
        <v>6</v>
      </c>
      <c r="AZ121" s="262">
        <v>5</v>
      </c>
      <c r="BA121" s="262">
        <v>4</v>
      </c>
      <c r="BB121" s="324"/>
      <c r="BC121" s="324"/>
      <c r="BD121" s="147"/>
      <c r="BE121" s="75"/>
      <c r="BF121" s="77"/>
      <c r="BG121" s="262">
        <v>4</v>
      </c>
      <c r="BH121" s="262">
        <v>3</v>
      </c>
      <c r="BI121" s="147"/>
      <c r="BJ121" s="34"/>
      <c r="BK121" s="33"/>
      <c r="BL121" s="1226"/>
      <c r="BM121" s="999"/>
      <c r="BN121" s="1225"/>
    </row>
    <row r="122" spans="1:66" ht="19.5" thickBot="1" x14ac:dyDescent="0.3">
      <c r="A122" s="34"/>
      <c r="B122" s="34"/>
      <c r="C122" s="957"/>
      <c r="D122" s="957"/>
      <c r="E122" s="1166"/>
      <c r="F122" s="324"/>
      <c r="G122" s="957"/>
      <c r="H122" s="1219"/>
      <c r="I122" s="1220"/>
      <c r="J122" s="1220"/>
      <c r="K122" s="1220"/>
      <c r="L122" s="1220"/>
      <c r="M122" s="1220"/>
      <c r="N122" s="1220"/>
      <c r="O122" s="1220"/>
      <c r="P122" s="1221"/>
      <c r="Q122" s="72"/>
      <c r="R122" s="1169"/>
      <c r="S122" s="1169"/>
      <c r="T122" s="1169"/>
      <c r="U122" s="1105"/>
      <c r="V122" s="525"/>
      <c r="W122" s="525"/>
      <c r="X122" s="525"/>
      <c r="Y122" s="525"/>
      <c r="Z122" s="525"/>
      <c r="AA122" s="1111"/>
      <c r="AB122" s="324"/>
      <c r="AC122" s="324"/>
      <c r="AD122" s="1066"/>
      <c r="AE122" s="1061"/>
      <c r="AF122" s="955"/>
      <c r="AG122" s="1082"/>
      <c r="AH122" s="1112"/>
      <c r="AI122" s="525"/>
      <c r="AJ122" s="525"/>
      <c r="AK122" s="525"/>
      <c r="AL122" s="525"/>
      <c r="AM122" s="525"/>
      <c r="AN122" s="525"/>
      <c r="AO122" s="525"/>
      <c r="AP122" s="1113"/>
      <c r="AQ122" s="324"/>
      <c r="AR122" s="1025"/>
      <c r="AS122" s="1134"/>
      <c r="AT122" s="958"/>
      <c r="AU122" s="1044"/>
      <c r="AV122" s="1229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1226"/>
      <c r="BM122" s="999"/>
      <c r="BN122" s="1225"/>
    </row>
    <row r="123" spans="1:66" ht="24" thickBot="1" x14ac:dyDescent="0.3">
      <c r="A123" s="34"/>
      <c r="B123" s="34"/>
      <c r="C123" s="957"/>
      <c r="D123" s="957"/>
      <c r="E123" s="1166"/>
      <c r="F123" s="957"/>
      <c r="G123" s="957"/>
      <c r="H123" s="1219"/>
      <c r="I123" s="1220"/>
      <c r="J123" s="1220"/>
      <c r="K123" s="1220"/>
      <c r="L123" s="1220"/>
      <c r="M123" s="1220"/>
      <c r="N123" s="1220"/>
      <c r="O123" s="1220"/>
      <c r="P123" s="1221"/>
      <c r="Q123" s="72"/>
      <c r="R123" s="1169"/>
      <c r="S123" s="1169"/>
      <c r="T123" s="1169"/>
      <c r="U123" s="1105"/>
      <c r="V123" s="525"/>
      <c r="W123" s="525"/>
      <c r="X123" s="525"/>
      <c r="Y123" s="525"/>
      <c r="Z123" s="525"/>
      <c r="AA123" s="977"/>
      <c r="AB123" s="324"/>
      <c r="AC123" s="324"/>
      <c r="AD123" s="1111"/>
      <c r="AE123" s="951"/>
      <c r="AF123" s="1061"/>
      <c r="AG123" s="955"/>
      <c r="AH123" s="1111"/>
      <c r="AI123" s="525"/>
      <c r="AJ123" s="957"/>
      <c r="AK123" s="525"/>
      <c r="AL123" s="1228"/>
      <c r="AM123" s="1228"/>
      <c r="AN123" s="960"/>
      <c r="AO123" s="324"/>
      <c r="AP123" s="324"/>
      <c r="AQ123" s="324"/>
      <c r="AR123" s="324"/>
      <c r="AS123" s="1135"/>
      <c r="AT123" s="1136"/>
      <c r="AU123" s="1137"/>
      <c r="AV123" s="1230"/>
      <c r="AW123" s="33"/>
      <c r="AX123" s="33"/>
      <c r="AY123" s="33"/>
      <c r="AZ123" s="33"/>
      <c r="BA123" s="33"/>
      <c r="BB123" s="33"/>
      <c r="BC123" s="33"/>
      <c r="BD123" s="1142"/>
      <c r="BE123" s="960"/>
      <c r="BF123" s="33"/>
      <c r="BG123" s="33"/>
      <c r="BH123" s="33"/>
      <c r="BI123" s="33"/>
      <c r="BJ123" s="33"/>
      <c r="BK123" s="33"/>
      <c r="BL123" s="1227"/>
      <c r="BM123" s="999"/>
      <c r="BN123" s="1225"/>
    </row>
    <row r="124" spans="1:66" ht="23.25" x14ac:dyDescent="0.25">
      <c r="A124" s="34"/>
      <c r="B124" s="34"/>
      <c r="C124" s="957"/>
      <c r="D124" s="957"/>
      <c r="E124" s="1166"/>
      <c r="F124" s="957"/>
      <c r="G124" s="957"/>
      <c r="H124" s="1219"/>
      <c r="I124" s="1220"/>
      <c r="J124" s="1220"/>
      <c r="K124" s="1220"/>
      <c r="L124" s="1220"/>
      <c r="M124" s="1220"/>
      <c r="N124" s="1220"/>
      <c r="O124" s="1220"/>
      <c r="P124" s="1221"/>
      <c r="Q124" s="72"/>
      <c r="R124" s="1169"/>
      <c r="S124" s="1169"/>
      <c r="T124" s="1169"/>
      <c r="U124" s="1105"/>
      <c r="V124" s="525"/>
      <c r="W124" s="525"/>
      <c r="X124" s="525"/>
      <c r="Y124" s="525"/>
      <c r="Z124" s="525"/>
      <c r="AA124" s="977"/>
      <c r="AB124" s="324"/>
      <c r="AC124" s="324"/>
      <c r="AD124" s="1111"/>
      <c r="AE124" s="951"/>
      <c r="AF124" s="951"/>
      <c r="AG124" s="1061"/>
      <c r="AH124" s="1067"/>
      <c r="AI124" s="960"/>
      <c r="AJ124" s="1114"/>
      <c r="AK124" s="1066"/>
      <c r="AL124" s="973"/>
      <c r="AM124" s="973"/>
      <c r="AN124" s="1067"/>
      <c r="AO124" s="1071"/>
      <c r="AP124" s="324"/>
      <c r="AQ124" s="324"/>
      <c r="AR124" s="993"/>
      <c r="AS124" s="1138"/>
      <c r="AT124" s="1139"/>
      <c r="AU124" s="1140"/>
      <c r="AV124" s="1141"/>
      <c r="AW124" s="406"/>
      <c r="AX124" s="406"/>
      <c r="AY124" s="406"/>
      <c r="AZ124" s="406"/>
      <c r="BA124" s="406"/>
      <c r="BB124" s="406"/>
      <c r="BC124" s="406"/>
      <c r="BD124" s="33"/>
      <c r="BE124" s="406"/>
      <c r="BF124" s="406"/>
      <c r="BG124" s="406"/>
      <c r="BH124" s="406"/>
      <c r="BI124" s="406"/>
      <c r="BJ124" s="406"/>
      <c r="BK124" s="406"/>
      <c r="BL124" s="406"/>
      <c r="BM124" s="406"/>
      <c r="BN124" s="33"/>
    </row>
    <row r="125" spans="1:66" ht="18.75" x14ac:dyDescent="0.25">
      <c r="A125" s="34"/>
      <c r="B125" s="34"/>
      <c r="C125" s="957"/>
      <c r="D125" s="957"/>
      <c r="E125" s="1166"/>
      <c r="F125" s="957"/>
      <c r="G125" s="957"/>
      <c r="H125" s="1219"/>
      <c r="I125" s="1220"/>
      <c r="J125" s="1220"/>
      <c r="K125" s="1220"/>
      <c r="L125" s="1220"/>
      <c r="M125" s="1220"/>
      <c r="N125" s="1220"/>
      <c r="O125" s="1220"/>
      <c r="P125" s="1221"/>
      <c r="Q125" s="72"/>
      <c r="R125" s="1169"/>
      <c r="S125" s="1169"/>
      <c r="T125" s="1169"/>
      <c r="U125" s="1105"/>
      <c r="V125" s="525"/>
      <c r="W125" s="525"/>
      <c r="X125" s="525"/>
      <c r="Y125" s="525"/>
      <c r="Z125" s="525"/>
      <c r="AA125" s="1111"/>
      <c r="AB125" s="324"/>
      <c r="AC125" s="324"/>
      <c r="AD125" s="1105"/>
      <c r="AE125" s="1061"/>
      <c r="AF125" s="951"/>
      <c r="AG125" s="951"/>
      <c r="AH125" s="1111"/>
      <c r="AI125" s="960"/>
      <c r="AJ125" s="1107"/>
      <c r="AK125" s="1069"/>
      <c r="AL125" s="951"/>
      <c r="AM125" s="951"/>
      <c r="AN125" s="1069"/>
      <c r="AO125" s="1070"/>
      <c r="AP125" s="324"/>
      <c r="AQ125" s="324"/>
      <c r="AR125" s="993"/>
      <c r="AS125" s="281"/>
      <c r="AT125" s="34"/>
      <c r="AU125" s="287"/>
      <c r="AV125" s="77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</row>
    <row r="126" spans="1:66" ht="19.5" thickBot="1" x14ac:dyDescent="0.3">
      <c r="A126" s="34"/>
      <c r="B126" s="34"/>
      <c r="C126" s="957"/>
      <c r="D126" s="957"/>
      <c r="E126" s="1166"/>
      <c r="F126" s="957"/>
      <c r="G126" s="957"/>
      <c r="H126" s="1219"/>
      <c r="I126" s="1220"/>
      <c r="J126" s="1220"/>
      <c r="K126" s="1220"/>
      <c r="L126" s="1220"/>
      <c r="M126" s="1220"/>
      <c r="N126" s="1220"/>
      <c r="O126" s="1220"/>
      <c r="P126" s="1221"/>
      <c r="Q126" s="72"/>
      <c r="R126" s="1169"/>
      <c r="S126" s="1169"/>
      <c r="T126" s="1169"/>
      <c r="U126" s="1105"/>
      <c r="V126" s="525"/>
      <c r="W126" s="525"/>
      <c r="X126" s="525"/>
      <c r="Y126" s="525"/>
      <c r="Z126" s="525"/>
      <c r="AA126" s="1115"/>
      <c r="AB126" s="324"/>
      <c r="AC126" s="324"/>
      <c r="AD126" s="1105"/>
      <c r="AE126" s="955"/>
      <c r="AF126" s="1061"/>
      <c r="AG126" s="951"/>
      <c r="AH126" s="1111"/>
      <c r="AI126" s="960"/>
      <c r="AJ126" s="1107"/>
      <c r="AK126" s="1069"/>
      <c r="AL126" s="951"/>
      <c r="AM126" s="951"/>
      <c r="AN126" s="1069"/>
      <c r="AO126" s="1070"/>
      <c r="AP126" s="324"/>
      <c r="AQ126" s="324"/>
      <c r="AR126" s="993"/>
      <c r="AS126" s="248"/>
      <c r="AT126" s="33"/>
      <c r="AU126" s="33"/>
      <c r="AV126" s="342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</row>
    <row r="127" spans="1:66" ht="15.75" x14ac:dyDescent="0.25">
      <c r="A127" s="34"/>
      <c r="B127" s="34"/>
      <c r="C127" s="957"/>
      <c r="D127" s="1189"/>
      <c r="E127" s="1190"/>
      <c r="F127" s="957"/>
      <c r="G127" s="957"/>
      <c r="H127" s="1219"/>
      <c r="I127" s="1220"/>
      <c r="J127" s="1220"/>
      <c r="K127" s="1220"/>
      <c r="L127" s="1220"/>
      <c r="M127" s="1220"/>
      <c r="N127" s="1220"/>
      <c r="O127" s="1220"/>
      <c r="P127" s="1221"/>
      <c r="Q127" s="72"/>
      <c r="R127" s="1169"/>
      <c r="S127" s="1169"/>
      <c r="T127" s="1169"/>
      <c r="U127" s="1105"/>
      <c r="V127" s="525"/>
      <c r="W127" s="525"/>
      <c r="X127" s="525"/>
      <c r="Y127" s="525"/>
      <c r="Z127" s="525"/>
      <c r="AA127" s="1105"/>
      <c r="AB127" s="324"/>
      <c r="AC127" s="324"/>
      <c r="AD127" s="1105"/>
      <c r="AE127" s="1105"/>
      <c r="AF127" s="955"/>
      <c r="AG127" s="1061"/>
      <c r="AH127" s="960"/>
      <c r="AI127" s="324"/>
      <c r="AJ127" s="1116"/>
      <c r="AK127" s="1069"/>
      <c r="AL127" s="951"/>
      <c r="AM127" s="951"/>
      <c r="AN127" s="1069"/>
      <c r="AO127" s="1070"/>
      <c r="AP127" s="324"/>
      <c r="AQ127" s="324"/>
      <c r="AR127" s="993"/>
      <c r="AS127" s="248"/>
      <c r="AT127" s="33"/>
      <c r="AU127" s="33"/>
      <c r="AV127" s="342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</row>
    <row r="128" spans="1:66" ht="24" thickBot="1" x14ac:dyDescent="0.3">
      <c r="A128" s="34"/>
      <c r="B128" s="34"/>
      <c r="C128" s="957"/>
      <c r="D128" s="1191"/>
      <c r="E128" s="1192"/>
      <c r="F128" s="957"/>
      <c r="G128" s="957"/>
      <c r="H128" s="1219"/>
      <c r="I128" s="1220"/>
      <c r="J128" s="1220"/>
      <c r="K128" s="1220"/>
      <c r="L128" s="1220"/>
      <c r="M128" s="1220"/>
      <c r="N128" s="1220"/>
      <c r="O128" s="1220"/>
      <c r="P128" s="1221"/>
      <c r="Q128" s="72"/>
      <c r="R128" s="1169"/>
      <c r="S128" s="1169"/>
      <c r="T128" s="962"/>
      <c r="U128" s="962"/>
      <c r="V128" s="1105"/>
      <c r="W128" s="961"/>
      <c r="X128" s="960"/>
      <c r="Y128" s="958"/>
      <c r="Z128" s="1117"/>
      <c r="AA128" s="1118"/>
      <c r="AB128" s="324"/>
      <c r="AC128" s="324"/>
      <c r="AD128" s="1105"/>
      <c r="AE128" s="1105"/>
      <c r="AF128" s="1105"/>
      <c r="AG128" s="955"/>
      <c r="AH128" s="1105"/>
      <c r="AI128" s="525"/>
      <c r="AJ128" s="1107"/>
      <c r="AK128" s="1069"/>
      <c r="AL128" s="951"/>
      <c r="AM128" s="951"/>
      <c r="AN128" s="1069"/>
      <c r="AO128" s="1070"/>
      <c r="AP128" s="324"/>
      <c r="AQ128" s="324"/>
      <c r="AR128" s="993"/>
      <c r="AS128" s="248"/>
      <c r="AT128" s="33"/>
      <c r="AU128" s="33"/>
      <c r="AV128" s="264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411"/>
      <c r="BM128" s="33"/>
      <c r="BN128" s="33"/>
    </row>
    <row r="129" spans="1:66" ht="20.25" x14ac:dyDescent="0.25">
      <c r="A129" s="34"/>
      <c r="B129" s="34"/>
      <c r="C129" s="957"/>
      <c r="D129" s="1191"/>
      <c r="E129" s="1192"/>
      <c r="F129" s="957"/>
      <c r="G129" s="957"/>
      <c r="H129" s="1219"/>
      <c r="I129" s="1220"/>
      <c r="J129" s="1220"/>
      <c r="K129" s="1220"/>
      <c r="L129" s="1220"/>
      <c r="M129" s="1220"/>
      <c r="N129" s="1220"/>
      <c r="O129" s="1220"/>
      <c r="P129" s="1221"/>
      <c r="Q129" s="72"/>
      <c r="R129" s="1169"/>
      <c r="S129" s="1169"/>
      <c r="T129" s="962"/>
      <c r="U129" s="962"/>
      <c r="V129" s="1105"/>
      <c r="W129" s="1195"/>
      <c r="X129" s="1196"/>
      <c r="Y129" s="1196"/>
      <c r="Z129" s="1196"/>
      <c r="AA129" s="1196"/>
      <c r="AB129" s="1196"/>
      <c r="AC129" s="1196"/>
      <c r="AD129" s="1196"/>
      <c r="AE129" s="1196"/>
      <c r="AF129" s="1197"/>
      <c r="AG129" s="525"/>
      <c r="AH129" s="525"/>
      <c r="AI129" s="324"/>
      <c r="AJ129" s="1119"/>
      <c r="AK129" s="324"/>
      <c r="AL129" s="973"/>
      <c r="AM129" s="973"/>
      <c r="AN129" s="324"/>
      <c r="AO129" s="324"/>
      <c r="AP129" s="960"/>
      <c r="AQ129" s="324"/>
      <c r="AR129" s="413"/>
      <c r="AS129" s="248"/>
      <c r="AT129" s="33"/>
      <c r="AU129" s="33"/>
      <c r="AV129" s="264"/>
      <c r="AW129" s="254"/>
      <c r="AX129" s="254"/>
      <c r="AY129" s="254"/>
      <c r="AZ129" s="254"/>
      <c r="BA129" s="254"/>
      <c r="BB129" s="254"/>
      <c r="BC129" s="33"/>
      <c r="BD129" s="33"/>
      <c r="BE129" s="33"/>
      <c r="BF129" s="33"/>
      <c r="BG129" s="33"/>
      <c r="BH129" s="414"/>
      <c r="BI129" s="415"/>
      <c r="BJ129" s="75"/>
      <c r="BK129" s="77"/>
      <c r="BL129" s="411"/>
      <c r="BM129" s="33"/>
      <c r="BN129" s="33"/>
    </row>
    <row r="130" spans="1:66" ht="16.5" thickBot="1" x14ac:dyDescent="0.3">
      <c r="A130" s="34"/>
      <c r="B130" s="34"/>
      <c r="C130" s="957"/>
      <c r="D130" s="1193"/>
      <c r="E130" s="1194"/>
      <c r="F130" s="957"/>
      <c r="G130" s="957"/>
      <c r="H130" s="1219"/>
      <c r="I130" s="1220"/>
      <c r="J130" s="1220"/>
      <c r="K130" s="1220"/>
      <c r="L130" s="1220"/>
      <c r="M130" s="1220"/>
      <c r="N130" s="1220"/>
      <c r="O130" s="1220"/>
      <c r="P130" s="1221"/>
      <c r="Q130" s="72"/>
      <c r="R130" s="1169"/>
      <c r="S130" s="1169"/>
      <c r="T130" s="962"/>
      <c r="U130" s="962"/>
      <c r="V130" s="324"/>
      <c r="W130" s="1198"/>
      <c r="X130" s="1199"/>
      <c r="Y130" s="1199"/>
      <c r="Z130" s="1199"/>
      <c r="AA130" s="1199"/>
      <c r="AB130" s="1199"/>
      <c r="AC130" s="1199"/>
      <c r="AD130" s="1199"/>
      <c r="AE130" s="1199"/>
      <c r="AF130" s="1200"/>
      <c r="AG130" s="525"/>
      <c r="AH130" s="377"/>
      <c r="AI130" s="377"/>
      <c r="AJ130" s="525"/>
      <c r="AK130" s="525"/>
      <c r="AL130" s="525"/>
      <c r="AM130" s="525"/>
      <c r="AN130" s="525"/>
      <c r="AO130" s="960"/>
      <c r="AP130" s="960"/>
      <c r="AQ130" s="324"/>
      <c r="AR130" s="963"/>
      <c r="AS130" s="248"/>
      <c r="AT130" s="33"/>
      <c r="AU130" s="33"/>
      <c r="AV130" s="34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411"/>
      <c r="BM130" s="33"/>
      <c r="BN130" s="33"/>
    </row>
    <row r="131" spans="1:66" ht="15.75" x14ac:dyDescent="0.25">
      <c r="A131" s="34"/>
      <c r="B131" s="34"/>
      <c r="C131" s="957"/>
      <c r="D131" s="957"/>
      <c r="E131" s="957"/>
      <c r="F131" s="957"/>
      <c r="G131" s="957"/>
      <c r="H131" s="1219"/>
      <c r="I131" s="1220"/>
      <c r="J131" s="1220"/>
      <c r="K131" s="1220"/>
      <c r="L131" s="1220"/>
      <c r="M131" s="1220"/>
      <c r="N131" s="1220"/>
      <c r="O131" s="1220"/>
      <c r="P131" s="1221"/>
      <c r="Q131" s="72"/>
      <c r="R131" s="1169"/>
      <c r="S131" s="1169"/>
      <c r="T131" s="1204"/>
      <c r="U131" s="1204"/>
      <c r="V131" s="324"/>
      <c r="W131" s="1198"/>
      <c r="X131" s="1199"/>
      <c r="Y131" s="1199"/>
      <c r="Z131" s="1199"/>
      <c r="AA131" s="1199"/>
      <c r="AB131" s="1199"/>
      <c r="AC131" s="1199"/>
      <c r="AD131" s="1199"/>
      <c r="AE131" s="1199"/>
      <c r="AF131" s="1200"/>
      <c r="AG131" s="525"/>
      <c r="AH131" s="377"/>
      <c r="AI131" s="377"/>
      <c r="AJ131" s="525"/>
      <c r="AK131" s="525"/>
      <c r="AL131" s="525"/>
      <c r="AM131" s="525"/>
      <c r="AN131" s="525"/>
      <c r="AO131" s="960"/>
      <c r="AP131" s="960"/>
      <c r="AQ131" s="960"/>
      <c r="AR131" s="963"/>
      <c r="AS131" s="248"/>
      <c r="AT131" s="33"/>
      <c r="AU131" s="33"/>
      <c r="AV131" s="34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411"/>
      <c r="BM131" s="33"/>
      <c r="BN131" s="33"/>
    </row>
    <row r="132" spans="1:66" ht="15.75" x14ac:dyDescent="0.25">
      <c r="A132" s="34"/>
      <c r="B132" s="34"/>
      <c r="C132" s="957"/>
      <c r="D132" s="957"/>
      <c r="E132" s="957"/>
      <c r="F132" s="957"/>
      <c r="G132" s="957"/>
      <c r="H132" s="1219"/>
      <c r="I132" s="1220"/>
      <c r="J132" s="1220"/>
      <c r="K132" s="1220"/>
      <c r="L132" s="1220"/>
      <c r="M132" s="1220"/>
      <c r="N132" s="1220"/>
      <c r="O132" s="1220"/>
      <c r="P132" s="1221"/>
      <c r="Q132" s="72"/>
      <c r="R132" s="1169"/>
      <c r="S132" s="1169"/>
      <c r="T132" s="1169"/>
      <c r="U132" s="324"/>
      <c r="V132" s="324"/>
      <c r="W132" s="1198"/>
      <c r="X132" s="1199"/>
      <c r="Y132" s="1199"/>
      <c r="Z132" s="1199"/>
      <c r="AA132" s="1199"/>
      <c r="AB132" s="1199"/>
      <c r="AC132" s="1199"/>
      <c r="AD132" s="1199"/>
      <c r="AE132" s="1199"/>
      <c r="AF132" s="1200"/>
      <c r="AG132" s="324"/>
      <c r="AH132" s="960"/>
      <c r="AI132" s="960"/>
      <c r="AJ132" s="525"/>
      <c r="AK132" s="525"/>
      <c r="AL132" s="525"/>
      <c r="AM132" s="525"/>
      <c r="AN132" s="525"/>
      <c r="AO132" s="957"/>
      <c r="AP132" s="324"/>
      <c r="AQ132" s="960"/>
      <c r="AR132" s="963"/>
      <c r="AS132" s="248"/>
      <c r="AT132" s="33"/>
      <c r="AU132" s="33"/>
      <c r="AV132" s="72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</row>
    <row r="133" spans="1:66" ht="15.75" thickBot="1" x14ac:dyDescent="0.3">
      <c r="A133" s="34"/>
      <c r="B133" s="34"/>
      <c r="C133" s="957"/>
      <c r="D133" s="957"/>
      <c r="E133" s="1166"/>
      <c r="F133" s="957"/>
      <c r="G133" s="957"/>
      <c r="H133" s="1219"/>
      <c r="I133" s="1220"/>
      <c r="J133" s="1220"/>
      <c r="K133" s="1220"/>
      <c r="L133" s="1220"/>
      <c r="M133" s="1220"/>
      <c r="N133" s="1220"/>
      <c r="O133" s="1220"/>
      <c r="P133" s="1221"/>
      <c r="Q133" s="72"/>
      <c r="R133" s="1169"/>
      <c r="S133" s="1169"/>
      <c r="T133" s="1169"/>
      <c r="U133" s="324"/>
      <c r="V133" s="324"/>
      <c r="W133" s="1198"/>
      <c r="X133" s="1199"/>
      <c r="Y133" s="1199"/>
      <c r="Z133" s="1199"/>
      <c r="AA133" s="1199"/>
      <c r="AB133" s="1199"/>
      <c r="AC133" s="1199"/>
      <c r="AD133" s="1199"/>
      <c r="AE133" s="1199"/>
      <c r="AF133" s="1200"/>
      <c r="AG133" s="525"/>
      <c r="AH133" s="1120"/>
      <c r="AI133" s="1107"/>
      <c r="AJ133" s="525"/>
      <c r="AK133" s="525"/>
      <c r="AL133" s="525"/>
      <c r="AM133" s="525"/>
      <c r="AN133" s="525"/>
      <c r="AO133" s="1070"/>
      <c r="AP133" s="324"/>
      <c r="AQ133" s="324"/>
      <c r="AR133" s="960"/>
      <c r="AS133" s="248"/>
      <c r="AT133" s="33"/>
      <c r="AU133" s="33"/>
      <c r="AV133" s="72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</row>
    <row r="134" spans="1:66" ht="18.75" x14ac:dyDescent="0.25">
      <c r="A134" s="34"/>
      <c r="B134" s="34"/>
      <c r="C134" s="957"/>
      <c r="D134" s="957"/>
      <c r="E134" s="1166"/>
      <c r="F134" s="957"/>
      <c r="G134" s="957"/>
      <c r="H134" s="1219"/>
      <c r="I134" s="1220"/>
      <c r="J134" s="1220"/>
      <c r="K134" s="1220"/>
      <c r="L134" s="1220"/>
      <c r="M134" s="1220"/>
      <c r="N134" s="1220"/>
      <c r="O134" s="1220"/>
      <c r="P134" s="1221"/>
      <c r="Q134" s="72"/>
      <c r="R134" s="1169"/>
      <c r="S134" s="1169"/>
      <c r="T134" s="1169"/>
      <c r="U134" s="324"/>
      <c r="V134" s="324"/>
      <c r="W134" s="1198"/>
      <c r="X134" s="1199"/>
      <c r="Y134" s="1199"/>
      <c r="Z134" s="1199"/>
      <c r="AA134" s="1199"/>
      <c r="AB134" s="1199"/>
      <c r="AC134" s="1199"/>
      <c r="AD134" s="1199"/>
      <c r="AE134" s="1199"/>
      <c r="AF134" s="1200"/>
      <c r="AG134" s="324"/>
      <c r="AH134" s="1205"/>
      <c r="AI134" s="324"/>
      <c r="AJ134" s="525"/>
      <c r="AK134" s="525"/>
      <c r="AL134" s="525"/>
      <c r="AM134" s="525"/>
      <c r="AN134" s="525"/>
      <c r="AO134" s="324"/>
      <c r="AP134" s="1121"/>
      <c r="AQ134" s="942"/>
      <c r="AR134" s="960"/>
      <c r="AS134" s="248"/>
      <c r="AT134" s="33"/>
      <c r="AU134" s="33"/>
      <c r="AV134" s="72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</row>
    <row r="135" spans="1:66" ht="19.5" thickBot="1" x14ac:dyDescent="0.3">
      <c r="A135" s="34"/>
      <c r="B135" s="34"/>
      <c r="C135" s="957"/>
      <c r="D135" s="957"/>
      <c r="E135" s="1166"/>
      <c r="F135" s="957"/>
      <c r="G135" s="957"/>
      <c r="H135" s="1219"/>
      <c r="I135" s="1220"/>
      <c r="J135" s="1220"/>
      <c r="K135" s="1220"/>
      <c r="L135" s="1220"/>
      <c r="M135" s="1220"/>
      <c r="N135" s="1220"/>
      <c r="O135" s="1220"/>
      <c r="P135" s="1221"/>
      <c r="Q135" s="72"/>
      <c r="R135" s="1169"/>
      <c r="S135" s="1169"/>
      <c r="T135" s="1169"/>
      <c r="U135" s="324"/>
      <c r="V135" s="324"/>
      <c r="W135" s="1198"/>
      <c r="X135" s="1199"/>
      <c r="Y135" s="1199"/>
      <c r="Z135" s="1199"/>
      <c r="AA135" s="1199"/>
      <c r="AB135" s="1199"/>
      <c r="AC135" s="1199"/>
      <c r="AD135" s="1199"/>
      <c r="AE135" s="1199"/>
      <c r="AF135" s="1200"/>
      <c r="AG135" s="525"/>
      <c r="AH135" s="1206"/>
      <c r="AI135" s="960"/>
      <c r="AJ135" s="525"/>
      <c r="AK135" s="525"/>
      <c r="AL135" s="525"/>
      <c r="AM135" s="525"/>
      <c r="AN135" s="525"/>
      <c r="AO135" s="377"/>
      <c r="AP135" s="1122"/>
      <c r="AQ135" s="1121"/>
      <c r="AR135" s="960"/>
      <c r="AS135" s="248"/>
      <c r="AT135" s="33"/>
      <c r="AU135" s="33"/>
      <c r="AV135" s="72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</row>
    <row r="136" spans="1:66" ht="18.75" x14ac:dyDescent="0.25">
      <c r="A136" s="34"/>
      <c r="B136" s="34"/>
      <c r="C136" s="957"/>
      <c r="D136" s="957"/>
      <c r="E136" s="1166"/>
      <c r="F136" s="957"/>
      <c r="G136" s="957"/>
      <c r="H136" s="1219"/>
      <c r="I136" s="1220"/>
      <c r="J136" s="1220"/>
      <c r="K136" s="1220"/>
      <c r="L136" s="1220"/>
      <c r="M136" s="1220"/>
      <c r="N136" s="1220"/>
      <c r="O136" s="1220"/>
      <c r="P136" s="1221"/>
      <c r="Q136" s="72"/>
      <c r="R136" s="379"/>
      <c r="S136" s="379"/>
      <c r="T136" s="379"/>
      <c r="U136" s="34"/>
      <c r="V136" s="324"/>
      <c r="W136" s="1198"/>
      <c r="X136" s="1199"/>
      <c r="Y136" s="1199"/>
      <c r="Z136" s="1199"/>
      <c r="AA136" s="1199"/>
      <c r="AB136" s="1199"/>
      <c r="AC136" s="1199"/>
      <c r="AD136" s="1199"/>
      <c r="AE136" s="1199"/>
      <c r="AF136" s="1200"/>
      <c r="AG136" s="324"/>
      <c r="AH136" s="324"/>
      <c r="AI136" s="960"/>
      <c r="AJ136" s="525"/>
      <c r="AK136" s="525"/>
      <c r="AL136" s="525"/>
      <c r="AM136" s="525"/>
      <c r="AN136" s="525"/>
      <c r="AO136" s="377"/>
      <c r="AP136" s="1122"/>
      <c r="AQ136" s="1123"/>
      <c r="AR136" s="960"/>
      <c r="AS136" s="248"/>
      <c r="AT136" s="33"/>
      <c r="AU136" s="33"/>
      <c r="AV136" s="72"/>
      <c r="AW136" s="254"/>
      <c r="AX136" s="254"/>
      <c r="AY136" s="254"/>
      <c r="AZ136" s="254"/>
      <c r="BA136" s="254"/>
      <c r="BB136" s="254"/>
      <c r="BC136" s="254"/>
      <c r="BD136" s="33"/>
      <c r="BE136" s="33"/>
      <c r="BF136" s="75"/>
      <c r="BG136" s="77"/>
      <c r="BH136" s="77"/>
      <c r="BI136" s="33"/>
      <c r="BJ136" s="33"/>
      <c r="BK136" s="34"/>
      <c r="BL136" s="33"/>
      <c r="BM136" s="33"/>
      <c r="BN136" s="33"/>
    </row>
    <row r="137" spans="1:66" ht="18.75" x14ac:dyDescent="0.25">
      <c r="A137" s="34"/>
      <c r="B137" s="34"/>
      <c r="C137" s="957"/>
      <c r="D137" s="957"/>
      <c r="E137" s="1166"/>
      <c r="F137" s="957"/>
      <c r="G137" s="957"/>
      <c r="H137" s="1219"/>
      <c r="I137" s="1220"/>
      <c r="J137" s="1220"/>
      <c r="K137" s="1220"/>
      <c r="L137" s="1220"/>
      <c r="M137" s="1220"/>
      <c r="N137" s="1220"/>
      <c r="O137" s="1220"/>
      <c r="P137" s="1221"/>
      <c r="Q137" s="72"/>
      <c r="R137" s="379"/>
      <c r="S137" s="379"/>
      <c r="T137" s="379"/>
      <c r="U137" s="72"/>
      <c r="V137" s="961"/>
      <c r="W137" s="1198"/>
      <c r="X137" s="1199"/>
      <c r="Y137" s="1199"/>
      <c r="Z137" s="1199"/>
      <c r="AA137" s="1199"/>
      <c r="AB137" s="1199"/>
      <c r="AC137" s="1199"/>
      <c r="AD137" s="1199"/>
      <c r="AE137" s="1199"/>
      <c r="AF137" s="1200"/>
      <c r="AG137" s="525"/>
      <c r="AH137" s="324"/>
      <c r="AI137" s="324"/>
      <c r="AJ137" s="324"/>
      <c r="AK137" s="324"/>
      <c r="AL137" s="324"/>
      <c r="AM137" s="324"/>
      <c r="AN137" s="324"/>
      <c r="AO137" s="324"/>
      <c r="AP137" s="1123"/>
      <c r="AQ137" s="961"/>
      <c r="AR137" s="960"/>
      <c r="AS137" s="248"/>
      <c r="AT137" s="33"/>
      <c r="AU137" s="33"/>
      <c r="AV137" s="72"/>
      <c r="AW137" s="254"/>
      <c r="AX137" s="254"/>
      <c r="AY137" s="254"/>
      <c r="AZ137" s="254"/>
      <c r="BA137" s="254"/>
      <c r="BB137" s="254"/>
      <c r="BC137" s="254"/>
      <c r="BD137" s="33"/>
      <c r="BE137" s="33"/>
      <c r="BF137" s="34"/>
      <c r="BG137" s="34"/>
      <c r="BH137" s="34"/>
      <c r="BI137" s="33"/>
      <c r="BJ137" s="33"/>
      <c r="BK137" s="34"/>
      <c r="BL137" s="33"/>
      <c r="BM137" s="33"/>
      <c r="BN137" s="33"/>
    </row>
    <row r="138" spans="1:66" x14ac:dyDescent="0.25">
      <c r="A138" s="34"/>
      <c r="B138" s="34"/>
      <c r="C138" s="957"/>
      <c r="D138" s="957"/>
      <c r="E138" s="1166"/>
      <c r="F138" s="957"/>
      <c r="G138" s="957"/>
      <c r="H138" s="1219"/>
      <c r="I138" s="1220"/>
      <c r="J138" s="1220"/>
      <c r="K138" s="1220"/>
      <c r="L138" s="1220"/>
      <c r="M138" s="1220"/>
      <c r="N138" s="1220"/>
      <c r="O138" s="1220"/>
      <c r="P138" s="1221"/>
      <c r="Q138" s="72"/>
      <c r="R138" s="379"/>
      <c r="S138" s="379"/>
      <c r="T138" s="379"/>
      <c r="U138" s="72"/>
      <c r="V138" s="961"/>
      <c r="W138" s="1198"/>
      <c r="X138" s="1199"/>
      <c r="Y138" s="1199"/>
      <c r="Z138" s="1199"/>
      <c r="AA138" s="1199"/>
      <c r="AB138" s="1199"/>
      <c r="AC138" s="1199"/>
      <c r="AD138" s="1199"/>
      <c r="AE138" s="1199"/>
      <c r="AF138" s="1200"/>
      <c r="AG138" s="324"/>
      <c r="AH138" s="958"/>
      <c r="AI138" s="958"/>
      <c r="AJ138" s="958"/>
      <c r="AK138" s="958"/>
      <c r="AL138" s="958"/>
      <c r="AM138" s="958"/>
      <c r="AN138" s="958"/>
      <c r="AO138" s="324"/>
      <c r="AP138" s="324"/>
      <c r="AQ138" s="324"/>
      <c r="AR138" s="958"/>
      <c r="AS138" s="248"/>
      <c r="AT138" s="33"/>
      <c r="AU138" s="33"/>
      <c r="AV138" s="72"/>
      <c r="AW138" s="254"/>
      <c r="AX138" s="254"/>
      <c r="AY138" s="254"/>
      <c r="AZ138" s="254"/>
      <c r="BA138" s="254"/>
      <c r="BB138" s="254"/>
      <c r="BC138" s="254"/>
      <c r="BD138" s="33"/>
      <c r="BE138" s="33"/>
      <c r="BF138" s="77"/>
      <c r="BG138" s="77"/>
      <c r="BH138" s="77"/>
      <c r="BI138" s="33"/>
      <c r="BJ138" s="33"/>
      <c r="BK138" s="34"/>
      <c r="BL138" s="33"/>
      <c r="BM138" s="33"/>
      <c r="BN138" s="33"/>
    </row>
    <row r="139" spans="1:66" ht="15.75" thickBot="1" x14ac:dyDescent="0.3">
      <c r="A139" s="34"/>
      <c r="B139" s="34"/>
      <c r="C139" s="957"/>
      <c r="D139" s="957"/>
      <c r="E139" s="1166"/>
      <c r="F139" s="957"/>
      <c r="G139" s="957"/>
      <c r="H139" s="1219"/>
      <c r="I139" s="1220"/>
      <c r="J139" s="1220"/>
      <c r="K139" s="1220"/>
      <c r="L139" s="1220"/>
      <c r="M139" s="1220"/>
      <c r="N139" s="1220"/>
      <c r="O139" s="1220"/>
      <c r="P139" s="1221"/>
      <c r="Q139" s="72"/>
      <c r="R139" s="379"/>
      <c r="S139" s="379"/>
      <c r="T139" s="379"/>
      <c r="U139" s="72"/>
      <c r="V139" s="961"/>
      <c r="W139" s="1198"/>
      <c r="X139" s="1199"/>
      <c r="Y139" s="1199"/>
      <c r="Z139" s="1199"/>
      <c r="AA139" s="1199"/>
      <c r="AB139" s="1199"/>
      <c r="AC139" s="1199"/>
      <c r="AD139" s="1199"/>
      <c r="AE139" s="1199"/>
      <c r="AF139" s="1200"/>
      <c r="AG139" s="1124"/>
      <c r="AH139" s="1124"/>
      <c r="AI139" s="1124"/>
      <c r="AJ139" s="958"/>
      <c r="AK139" s="958"/>
      <c r="AL139" s="958"/>
      <c r="AM139" s="958"/>
      <c r="AN139" s="958"/>
      <c r="AO139" s="958"/>
      <c r="AP139" s="958"/>
      <c r="AQ139" s="958"/>
      <c r="AR139" s="958"/>
      <c r="AS139" s="248"/>
      <c r="AT139" s="33"/>
      <c r="AU139" s="33"/>
      <c r="AV139" s="33"/>
      <c r="AW139" s="33"/>
      <c r="AX139" s="33"/>
      <c r="AY139" s="72"/>
      <c r="AZ139" s="72"/>
      <c r="BA139" s="72"/>
      <c r="BB139" s="47"/>
      <c r="BC139" s="77"/>
      <c r="BD139" s="33"/>
      <c r="BE139" s="33"/>
      <c r="BF139" s="77"/>
      <c r="BG139" s="77"/>
      <c r="BH139" s="77"/>
      <c r="BI139" s="33"/>
      <c r="BJ139" s="33"/>
      <c r="BK139" s="34"/>
      <c r="BL139" s="33"/>
      <c r="BM139" s="33"/>
      <c r="BN139" s="33"/>
    </row>
    <row r="140" spans="1:66" x14ac:dyDescent="0.25">
      <c r="A140" s="34"/>
      <c r="B140" s="34"/>
      <c r="C140" s="957"/>
      <c r="D140" s="957"/>
      <c r="E140" s="957"/>
      <c r="F140" s="1207"/>
      <c r="G140" s="1208"/>
      <c r="H140" s="1219"/>
      <c r="I140" s="1220"/>
      <c r="J140" s="1220"/>
      <c r="K140" s="1220"/>
      <c r="L140" s="1220"/>
      <c r="M140" s="1220"/>
      <c r="N140" s="1220"/>
      <c r="O140" s="1220"/>
      <c r="P140" s="1221"/>
      <c r="Q140" s="72"/>
      <c r="R140" s="379"/>
      <c r="S140" s="379"/>
      <c r="T140" s="379"/>
      <c r="U140" s="384"/>
      <c r="V140" s="1105"/>
      <c r="W140" s="1198"/>
      <c r="X140" s="1199"/>
      <c r="Y140" s="1199"/>
      <c r="Z140" s="1199"/>
      <c r="AA140" s="1199"/>
      <c r="AB140" s="1199"/>
      <c r="AC140" s="1199"/>
      <c r="AD140" s="1199"/>
      <c r="AE140" s="1199"/>
      <c r="AF140" s="1200"/>
      <c r="AG140" s="1003"/>
      <c r="AH140" s="1124"/>
      <c r="AI140" s="1124"/>
      <c r="AJ140" s="1124"/>
      <c r="AK140" s="1124"/>
      <c r="AL140" s="1124"/>
      <c r="AM140" s="958"/>
      <c r="AN140" s="958"/>
      <c r="AO140" s="958"/>
      <c r="AP140" s="958"/>
      <c r="AQ140" s="958"/>
      <c r="AR140" s="958"/>
      <c r="AS140" s="248"/>
      <c r="AT140" s="33"/>
      <c r="AU140" s="33"/>
      <c r="AV140" s="33"/>
      <c r="AW140" s="33"/>
      <c r="AX140" s="33"/>
      <c r="AY140" s="47"/>
      <c r="AZ140" s="47"/>
      <c r="BA140" s="47"/>
      <c r="BB140" s="47"/>
      <c r="BC140" s="47"/>
      <c r="BD140" s="33"/>
      <c r="BE140" s="33"/>
      <c r="BF140" s="77"/>
      <c r="BG140" s="77"/>
      <c r="BH140" s="77"/>
      <c r="BI140" s="33"/>
      <c r="BJ140" s="33"/>
      <c r="BK140" s="77"/>
      <c r="BL140" s="33"/>
      <c r="BM140" s="33"/>
      <c r="BN140" s="33"/>
    </row>
    <row r="141" spans="1:66" ht="16.5" thickBot="1" x14ac:dyDescent="0.3">
      <c r="A141" s="34"/>
      <c r="B141" s="34"/>
      <c r="C141" s="957"/>
      <c r="D141" s="957"/>
      <c r="E141" s="957"/>
      <c r="F141" s="1209"/>
      <c r="G141" s="1210"/>
      <c r="H141" s="1222"/>
      <c r="I141" s="1223"/>
      <c r="J141" s="1223"/>
      <c r="K141" s="1223"/>
      <c r="L141" s="1223"/>
      <c r="M141" s="1223"/>
      <c r="N141" s="1223"/>
      <c r="O141" s="1223"/>
      <c r="P141" s="1224"/>
      <c r="Q141" s="72"/>
      <c r="R141" s="379"/>
      <c r="S141" s="379"/>
      <c r="T141" s="379"/>
      <c r="U141" s="384"/>
      <c r="V141" s="1105"/>
      <c r="W141" s="1198"/>
      <c r="X141" s="1199"/>
      <c r="Y141" s="1199"/>
      <c r="Z141" s="1199"/>
      <c r="AA141" s="1199"/>
      <c r="AB141" s="1199"/>
      <c r="AC141" s="1199"/>
      <c r="AD141" s="1199"/>
      <c r="AE141" s="1199"/>
      <c r="AF141" s="1200"/>
      <c r="AG141" s="1124"/>
      <c r="AH141" s="1003"/>
      <c r="AI141" s="1003"/>
      <c r="AJ141" s="1003"/>
      <c r="AK141" s="1003"/>
      <c r="AL141" s="1003"/>
      <c r="AM141" s="1003"/>
      <c r="AN141" s="1003"/>
      <c r="AO141" s="1003"/>
      <c r="AP141" s="1003"/>
      <c r="AQ141" s="1003"/>
      <c r="AR141" s="1003"/>
      <c r="AS141" s="138"/>
      <c r="AT141" s="33"/>
      <c r="AU141" s="33"/>
      <c r="AV141" s="33"/>
      <c r="AW141" s="33"/>
      <c r="AX141" s="33"/>
      <c r="AY141" s="47"/>
      <c r="AZ141" s="47"/>
      <c r="BA141" s="47"/>
      <c r="BB141" s="47"/>
      <c r="BC141" s="47"/>
      <c r="BD141" s="33"/>
      <c r="BE141" s="33"/>
      <c r="BF141" s="77"/>
      <c r="BG141" s="77"/>
      <c r="BH141" s="77"/>
      <c r="BI141" s="33"/>
      <c r="BJ141" s="33"/>
      <c r="BK141" s="77"/>
      <c r="BL141" s="47"/>
      <c r="BM141" s="168"/>
      <c r="BN141" s="33"/>
    </row>
    <row r="142" spans="1:66" ht="15.75" thickBot="1" x14ac:dyDescent="0.3">
      <c r="A142" s="34"/>
      <c r="B142" s="34"/>
      <c r="C142" s="957"/>
      <c r="D142" s="957"/>
      <c r="E142" s="957"/>
      <c r="F142" s="1209"/>
      <c r="G142" s="1210"/>
      <c r="H142" s="1117"/>
      <c r="I142" s="957"/>
      <c r="J142" s="957"/>
      <c r="K142" s="957"/>
      <c r="L142" s="961"/>
      <c r="M142" s="961"/>
      <c r="N142" s="961"/>
      <c r="O142" s="961"/>
      <c r="P142" s="961"/>
      <c r="Q142" s="72"/>
      <c r="R142" s="72"/>
      <c r="S142" s="72"/>
      <c r="T142" s="72"/>
      <c r="U142" s="384"/>
      <c r="V142" s="1105"/>
      <c r="W142" s="1198"/>
      <c r="X142" s="1199"/>
      <c r="Y142" s="1199"/>
      <c r="Z142" s="1199"/>
      <c r="AA142" s="1199"/>
      <c r="AB142" s="1199"/>
      <c r="AC142" s="1199"/>
      <c r="AD142" s="1199"/>
      <c r="AE142" s="1199"/>
      <c r="AF142" s="1200"/>
      <c r="AG142" s="1003"/>
      <c r="AH142" s="1003"/>
      <c r="AI142" s="1003"/>
      <c r="AJ142" s="1003"/>
      <c r="AK142" s="1003"/>
      <c r="AL142" s="1003"/>
      <c r="AM142" s="1003"/>
      <c r="AN142" s="1003"/>
      <c r="AO142" s="1003"/>
      <c r="AP142" s="1003"/>
      <c r="AQ142" s="1003"/>
      <c r="AR142" s="1003"/>
      <c r="AS142" s="138"/>
      <c r="AT142" s="33"/>
      <c r="AU142" s="33"/>
      <c r="AV142" s="33"/>
      <c r="AW142" s="33"/>
      <c r="AX142" s="33"/>
      <c r="AY142" s="47"/>
      <c r="AZ142" s="47"/>
      <c r="BA142" s="47"/>
      <c r="BB142" s="47"/>
      <c r="BC142" s="47"/>
      <c r="BD142" s="33"/>
      <c r="BE142" s="33"/>
      <c r="BF142" s="77"/>
      <c r="BG142" s="77"/>
      <c r="BH142" s="77"/>
      <c r="BI142" s="33"/>
      <c r="BJ142" s="33"/>
      <c r="BK142" s="77"/>
      <c r="BL142" s="47"/>
      <c r="BM142" s="47"/>
      <c r="BN142" s="33"/>
    </row>
    <row r="143" spans="1:66" ht="15.75" x14ac:dyDescent="0.25">
      <c r="A143" s="34"/>
      <c r="B143" s="34"/>
      <c r="C143" s="957"/>
      <c r="D143" s="957"/>
      <c r="E143" s="957"/>
      <c r="F143" s="1209"/>
      <c r="G143" s="1210"/>
      <c r="H143" s="957"/>
      <c r="I143" s="957"/>
      <c r="J143" s="957"/>
      <c r="K143" s="957"/>
      <c r="L143" s="961"/>
      <c r="M143" s="1124"/>
      <c r="N143" s="1124"/>
      <c r="O143" s="1124"/>
      <c r="P143" s="1124"/>
      <c r="Q143" s="152"/>
      <c r="R143" s="152"/>
      <c r="S143" s="152"/>
      <c r="T143" s="152"/>
      <c r="U143" s="199"/>
      <c r="V143" s="1125"/>
      <c r="W143" s="1198"/>
      <c r="X143" s="1199"/>
      <c r="Y143" s="1199"/>
      <c r="Z143" s="1199"/>
      <c r="AA143" s="1199"/>
      <c r="AB143" s="1199"/>
      <c r="AC143" s="1199"/>
      <c r="AD143" s="1199"/>
      <c r="AE143" s="1199"/>
      <c r="AF143" s="1200"/>
      <c r="AG143" s="1003"/>
      <c r="AH143" s="1003"/>
      <c r="AI143" s="1003"/>
      <c r="AJ143" s="1003"/>
      <c r="AK143" s="1003"/>
      <c r="AL143" s="1126"/>
      <c r="AM143" s="999"/>
      <c r="AN143" s="1213"/>
      <c r="AO143" s="1126"/>
      <c r="AP143" s="999"/>
      <c r="AQ143" s="1003"/>
      <c r="AR143" s="1003"/>
      <c r="AS143" s="138"/>
      <c r="AT143" s="33"/>
      <c r="AU143" s="47"/>
      <c r="AV143" s="47"/>
      <c r="AW143" s="47"/>
      <c r="AX143" s="121"/>
      <c r="AY143" s="47"/>
      <c r="AZ143" s="47"/>
      <c r="BA143" s="121"/>
      <c r="BB143" s="77"/>
      <c r="BC143" s="47"/>
      <c r="BD143" s="47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</row>
    <row r="144" spans="1:66" ht="16.5" thickBot="1" x14ac:dyDescent="0.3">
      <c r="A144" s="34"/>
      <c r="B144" s="34"/>
      <c r="C144" s="957"/>
      <c r="D144" s="957"/>
      <c r="E144" s="957"/>
      <c r="F144" s="1209"/>
      <c r="G144" s="1210"/>
      <c r="H144" s="957"/>
      <c r="I144" s="957"/>
      <c r="J144" s="957"/>
      <c r="K144" s="957"/>
      <c r="L144" s="961"/>
      <c r="M144" s="1124"/>
      <c r="N144" s="1124"/>
      <c r="O144" s="1124"/>
      <c r="P144" s="1124"/>
      <c r="Q144" s="152"/>
      <c r="R144" s="152"/>
      <c r="S144" s="152"/>
      <c r="T144" s="72"/>
      <c r="U144" s="384"/>
      <c r="V144" s="1105"/>
      <c r="W144" s="1201"/>
      <c r="X144" s="1202"/>
      <c r="Y144" s="1202"/>
      <c r="Z144" s="1202"/>
      <c r="AA144" s="1202"/>
      <c r="AB144" s="1202"/>
      <c r="AC144" s="1202"/>
      <c r="AD144" s="1202"/>
      <c r="AE144" s="1202"/>
      <c r="AF144" s="1203"/>
      <c r="AG144" s="1003"/>
      <c r="AH144" s="1127"/>
      <c r="AI144" s="1127"/>
      <c r="AJ144" s="1127"/>
      <c r="AK144" s="1127"/>
      <c r="AL144" s="1126"/>
      <c r="AM144" s="999"/>
      <c r="AN144" s="1214"/>
      <c r="AO144" s="1126"/>
      <c r="AP144" s="999"/>
      <c r="AQ144" s="1127"/>
      <c r="AR144" s="1127"/>
      <c r="AS144" s="138"/>
      <c r="AT144" s="33"/>
      <c r="AU144" s="115"/>
      <c r="AV144" s="33"/>
      <c r="AW144" s="33"/>
      <c r="AX144" s="33"/>
      <c r="AY144" s="47"/>
      <c r="AZ144" s="47"/>
      <c r="BA144" s="121"/>
      <c r="BB144" s="77"/>
      <c r="BC144" s="47"/>
      <c r="BD144" s="47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</row>
    <row r="145" spans="1:66" ht="18.75" x14ac:dyDescent="0.25">
      <c r="A145" s="34"/>
      <c r="B145" s="34"/>
      <c r="C145" s="957"/>
      <c r="D145" s="957"/>
      <c r="E145" s="957"/>
      <c r="F145" s="1209"/>
      <c r="G145" s="1210"/>
      <c r="H145" s="957"/>
      <c r="I145" s="957"/>
      <c r="J145" s="957"/>
      <c r="K145" s="957"/>
      <c r="L145" s="958"/>
      <c r="M145" s="1124"/>
      <c r="N145" s="1124"/>
      <c r="O145" s="1124"/>
      <c r="P145" s="1124"/>
      <c r="Q145" s="152"/>
      <c r="R145" s="152"/>
      <c r="S145" s="152"/>
      <c r="T145" s="72"/>
      <c r="U145" s="384"/>
      <c r="V145" s="384"/>
      <c r="W145" s="72"/>
      <c r="X145" s="72"/>
      <c r="Y145" s="72"/>
      <c r="Z145" s="72"/>
      <c r="AA145" s="161"/>
      <c r="AB145" s="72"/>
      <c r="AC145" s="152"/>
      <c r="AD145" s="161"/>
      <c r="AE145" s="161"/>
      <c r="AF145" s="161"/>
      <c r="AG145" s="161"/>
      <c r="AH145" s="363"/>
      <c r="AI145" s="363"/>
      <c r="AJ145" s="1121"/>
      <c r="AK145" s="1121"/>
      <c r="AL145" s="1121"/>
      <c r="AM145" s="1121"/>
      <c r="AN145" s="1121"/>
      <c r="AO145" s="1121"/>
      <c r="AP145" s="1121"/>
      <c r="AQ145" s="1121"/>
      <c r="AR145" s="363"/>
      <c r="AS145" s="138"/>
      <c r="AT145" s="33"/>
      <c r="AU145" s="115"/>
      <c r="AV145" s="47"/>
      <c r="AW145" s="47"/>
      <c r="AX145" s="33"/>
      <c r="AY145" s="33"/>
      <c r="AZ145" s="47"/>
      <c r="BA145" s="121"/>
      <c r="BB145" s="77"/>
      <c r="BC145" s="47"/>
      <c r="BD145" s="47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</row>
    <row r="146" spans="1:66" ht="16.5" thickBot="1" x14ac:dyDescent="0.3">
      <c r="A146" s="34"/>
      <c r="B146" s="34"/>
      <c r="C146" s="957"/>
      <c r="D146" s="957"/>
      <c r="E146" s="957"/>
      <c r="F146" s="1209"/>
      <c r="G146" s="1210"/>
      <c r="H146" s="957"/>
      <c r="I146" s="957"/>
      <c r="J146" s="957"/>
      <c r="K146" s="957"/>
      <c r="L146" s="1170"/>
      <c r="M146" s="1170"/>
      <c r="N146" s="1171"/>
      <c r="O146" s="1171"/>
      <c r="P146" s="1171"/>
      <c r="Q146" s="427"/>
      <c r="R146" s="427"/>
      <c r="S146" s="427"/>
      <c r="T146" s="427"/>
      <c r="U146" s="428"/>
      <c r="V146" s="428"/>
      <c r="W146" s="123"/>
      <c r="X146" s="366"/>
      <c r="Y146" s="123"/>
      <c r="Z146" s="33"/>
      <c r="AA146" s="33"/>
      <c r="AB146" s="33"/>
      <c r="AC146" s="33"/>
      <c r="AD146" s="33"/>
      <c r="AE146" s="33"/>
      <c r="AF146" s="161"/>
      <c r="AG146" s="161"/>
      <c r="AH146" s="429"/>
      <c r="AI146" s="429"/>
      <c r="AJ146" s="967"/>
      <c r="AK146" s="967"/>
      <c r="AL146" s="967"/>
      <c r="AM146" s="967"/>
      <c r="AN146" s="967"/>
      <c r="AO146" s="967"/>
      <c r="AP146" s="967"/>
      <c r="AQ146" s="967"/>
      <c r="AR146" s="429"/>
      <c r="AS146" s="138"/>
      <c r="AT146" s="33"/>
      <c r="AU146" s="47"/>
      <c r="AV146" s="47"/>
      <c r="AW146" s="47"/>
      <c r="AX146" s="33"/>
      <c r="AY146" s="33"/>
      <c r="AZ146" s="33"/>
      <c r="BA146" s="121"/>
      <c r="BB146" s="77"/>
      <c r="BC146" s="33"/>
      <c r="BD146" s="47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</row>
    <row r="147" spans="1:66" x14ac:dyDescent="0.25">
      <c r="A147" s="34"/>
      <c r="B147" s="34"/>
      <c r="C147" s="957"/>
      <c r="D147" s="957"/>
      <c r="E147" s="957"/>
      <c r="F147" s="1209"/>
      <c r="G147" s="1210"/>
      <c r="H147" s="957"/>
      <c r="I147" s="957"/>
      <c r="J147" s="957"/>
      <c r="K147" s="1166"/>
      <c r="L147" s="1172"/>
      <c r="M147" s="1172"/>
      <c r="N147" s="985"/>
      <c r="O147" s="985"/>
      <c r="P147" s="985"/>
      <c r="Q147" s="123"/>
      <c r="R147" s="123"/>
      <c r="S147" s="123"/>
      <c r="T147" s="431"/>
      <c r="U147" s="432"/>
      <c r="V147" s="432"/>
      <c r="W147" s="433"/>
      <c r="X147" s="430"/>
      <c r="Y147" s="434"/>
      <c r="Z147" s="435"/>
      <c r="AA147" s="435"/>
      <c r="AB147" s="435"/>
      <c r="AC147" s="436"/>
      <c r="AD147" s="436"/>
      <c r="AE147" s="436"/>
      <c r="AF147" s="436"/>
      <c r="AG147" s="436"/>
      <c r="AH147" s="72"/>
      <c r="AI147" s="113"/>
      <c r="AJ147" s="1215"/>
      <c r="AK147" s="1215"/>
      <c r="AL147" s="1215"/>
      <c r="AM147" s="1215"/>
      <c r="AN147" s="1215"/>
      <c r="AO147" s="1215"/>
      <c r="AP147" s="1215"/>
      <c r="AQ147" s="1215"/>
      <c r="AR147" s="437"/>
      <c r="AS147" s="437"/>
      <c r="AT147" s="437"/>
      <c r="AU147" s="437"/>
      <c r="AV147" s="33"/>
      <c r="AW147" s="33"/>
      <c r="AX147" s="33"/>
      <c r="AY147" s="437"/>
      <c r="AZ147" s="437"/>
      <c r="BA147" s="437"/>
      <c r="BB147" s="33"/>
      <c r="BC147" s="437"/>
      <c r="BD147" s="437"/>
      <c r="BE147" s="437"/>
      <c r="BF147" s="438"/>
      <c r="BG147" s="438"/>
      <c r="BH147" s="438"/>
      <c r="BI147" s="438"/>
      <c r="BJ147" s="438"/>
      <c r="BK147" s="438"/>
      <c r="BL147" s="33"/>
      <c r="BM147" s="33"/>
      <c r="BN147" s="33"/>
    </row>
    <row r="148" spans="1:66" x14ac:dyDescent="0.25">
      <c r="A148" s="34"/>
      <c r="B148" s="34"/>
      <c r="C148" s="957"/>
      <c r="D148" s="957"/>
      <c r="E148" s="957"/>
      <c r="F148" s="1209"/>
      <c r="G148" s="1210"/>
      <c r="H148" s="957"/>
      <c r="I148" s="957"/>
      <c r="J148" s="957"/>
      <c r="K148" s="1166"/>
      <c r="L148" s="1172"/>
      <c r="M148" s="1172"/>
      <c r="N148" s="985"/>
      <c r="O148" s="985"/>
      <c r="P148" s="961"/>
      <c r="Q148" s="72"/>
      <c r="R148" s="384"/>
      <c r="S148" s="384"/>
      <c r="T148" s="72"/>
      <c r="U148" s="72"/>
      <c r="V148" s="72"/>
      <c r="W148" s="72"/>
      <c r="X148" s="47"/>
      <c r="Y148" s="161"/>
      <c r="Z148" s="161"/>
      <c r="AA148" s="72"/>
      <c r="AB148" s="72"/>
      <c r="AC148" s="72"/>
      <c r="AD148" s="72"/>
      <c r="AE148" s="72"/>
      <c r="AF148" s="47"/>
      <c r="AG148" s="161"/>
      <c r="AH148" s="52"/>
      <c r="AI148" s="113"/>
      <c r="AJ148" s="437"/>
      <c r="AK148" s="437"/>
      <c r="AL148" s="439"/>
      <c r="AM148" s="439"/>
      <c r="AN148" s="439"/>
      <c r="AO148" s="439"/>
      <c r="AP148" s="439"/>
      <c r="AQ148" s="437"/>
      <c r="AR148" s="437"/>
      <c r="AS148" s="437"/>
      <c r="AT148" s="437"/>
      <c r="AU148" s="437"/>
      <c r="AV148" s="437"/>
      <c r="AW148" s="437"/>
      <c r="AX148" s="437"/>
      <c r="AY148" s="437"/>
      <c r="AZ148" s="437"/>
      <c r="BA148" s="437"/>
      <c r="BB148" s="437"/>
      <c r="BC148" s="437"/>
      <c r="BD148" s="437"/>
      <c r="BE148" s="437"/>
      <c r="BF148" s="437"/>
      <c r="BG148" s="437"/>
      <c r="BH148" s="437"/>
      <c r="BI148" s="437"/>
      <c r="BJ148" s="437"/>
      <c r="BK148" s="437"/>
      <c r="BL148" s="33"/>
      <c r="BM148" s="33"/>
      <c r="BN148" s="33"/>
    </row>
    <row r="149" spans="1:66" ht="15.75" thickBot="1" x14ac:dyDescent="0.3">
      <c r="A149" s="34"/>
      <c r="B149" s="34"/>
      <c r="C149" s="957"/>
      <c r="D149" s="957"/>
      <c r="E149" s="957"/>
      <c r="F149" s="1211"/>
      <c r="G149" s="1212"/>
      <c r="H149" s="1173"/>
      <c r="I149" s="1173"/>
      <c r="J149" s="1173"/>
      <c r="K149" s="1168"/>
      <c r="L149" s="1172"/>
      <c r="M149" s="1172"/>
      <c r="N149" s="985"/>
      <c r="O149" s="985"/>
      <c r="P149" s="961"/>
      <c r="Q149" s="72"/>
      <c r="R149" s="384"/>
      <c r="S149" s="384"/>
      <c r="T149" s="72"/>
      <c r="U149" s="72"/>
      <c r="V149" s="72"/>
      <c r="W149" s="72"/>
      <c r="X149" s="47"/>
      <c r="Y149" s="161"/>
      <c r="Z149" s="161"/>
      <c r="AA149" s="72"/>
      <c r="AB149" s="72"/>
      <c r="AC149" s="72"/>
      <c r="AD149" s="72"/>
      <c r="AE149" s="72"/>
      <c r="AF149" s="216"/>
      <c r="AG149" s="161"/>
      <c r="AH149" s="52"/>
      <c r="AI149" s="113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252"/>
      <c r="BH149" s="72"/>
      <c r="BI149" s="72"/>
      <c r="BJ149" s="72"/>
      <c r="BK149" s="72"/>
      <c r="BL149" s="33"/>
      <c r="BM149" s="33"/>
      <c r="BN149" s="33"/>
    </row>
    <row r="150" spans="1:66" x14ac:dyDescent="0.25">
      <c r="A150" s="34"/>
      <c r="B150" s="34"/>
      <c r="C150" s="52"/>
      <c r="D150" s="52"/>
      <c r="E150" s="52"/>
      <c r="F150" s="52"/>
      <c r="G150" s="52"/>
      <c r="H150" s="52"/>
      <c r="I150" s="52"/>
      <c r="J150" s="52"/>
      <c r="K150" s="53"/>
      <c r="L150" s="430"/>
      <c r="M150" s="430"/>
      <c r="N150" s="123"/>
      <c r="O150" s="123"/>
      <c r="P150" s="72"/>
      <c r="Q150" s="72"/>
      <c r="R150" s="384"/>
      <c r="S150" s="384"/>
      <c r="T150" s="72"/>
      <c r="U150" s="72"/>
      <c r="V150" s="72"/>
      <c r="W150" s="72"/>
      <c r="X150" s="47"/>
      <c r="Y150" s="161"/>
      <c r="Z150" s="161"/>
      <c r="AA150" s="47"/>
      <c r="AB150" s="152"/>
      <c r="AC150" s="47"/>
      <c r="AD150" s="152"/>
      <c r="AE150" s="152"/>
      <c r="AF150" s="216"/>
      <c r="AG150" s="161"/>
      <c r="AH150" s="52"/>
      <c r="AI150" s="113"/>
      <c r="AJ150" s="72"/>
      <c r="AK150" s="72"/>
      <c r="AL150" s="34"/>
      <c r="AM150" s="34"/>
      <c r="AN150" s="34"/>
      <c r="AO150" s="34"/>
      <c r="AP150" s="34"/>
      <c r="AQ150" s="34"/>
      <c r="AR150" s="233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33"/>
      <c r="BM150" s="33"/>
      <c r="BN150" s="33"/>
    </row>
    <row r="151" spans="1:66" ht="18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53"/>
      <c r="L151" s="430"/>
      <c r="M151" s="430"/>
      <c r="N151" s="430"/>
      <c r="O151" s="430"/>
      <c r="P151" s="430"/>
      <c r="Q151" s="430"/>
      <c r="R151" s="123"/>
      <c r="S151" s="34"/>
      <c r="T151" s="1188"/>
      <c r="U151" s="1188"/>
      <c r="V151" s="1188"/>
      <c r="W151" s="1188"/>
      <c r="X151" s="1188"/>
      <c r="Y151" s="1188"/>
      <c r="Z151" s="1188"/>
      <c r="AA151" s="1188"/>
      <c r="AB151" s="1188"/>
      <c r="AC151" s="1188"/>
      <c r="AD151" s="1188"/>
      <c r="AE151" s="1188"/>
      <c r="AF151" s="1188"/>
      <c r="AG151" s="1188"/>
      <c r="AH151" s="52"/>
      <c r="AI151" s="113"/>
      <c r="AJ151" s="52"/>
      <c r="AK151" s="52"/>
      <c r="AL151" s="254"/>
      <c r="AM151" s="257"/>
      <c r="AN151" s="257"/>
      <c r="AO151" s="254"/>
      <c r="AP151" s="155"/>
      <c r="AQ151" s="254"/>
      <c r="AR151" s="254"/>
      <c r="AS151" s="155"/>
      <c r="AT151" s="155"/>
      <c r="AU151" s="155"/>
      <c r="AV151" s="155"/>
      <c r="AW151" s="155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33"/>
      <c r="BM151" s="33"/>
      <c r="BN151" s="33"/>
    </row>
    <row r="152" spans="1:66" ht="18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53"/>
      <c r="L152" s="430"/>
      <c r="M152" s="430"/>
      <c r="N152" s="1172"/>
      <c r="O152" s="1172"/>
      <c r="P152" s="1172"/>
      <c r="Q152" s="1172"/>
      <c r="R152" s="985"/>
      <c r="S152" s="123"/>
      <c r="T152" s="1188"/>
      <c r="U152" s="1188"/>
      <c r="V152" s="1188"/>
      <c r="W152" s="1188"/>
      <c r="X152" s="1188"/>
      <c r="Y152" s="1188"/>
      <c r="Z152" s="1188"/>
      <c r="AA152" s="1188"/>
      <c r="AB152" s="1188"/>
      <c r="AC152" s="1188"/>
      <c r="AD152" s="1188"/>
      <c r="AE152" s="1188"/>
      <c r="AF152" s="1188"/>
      <c r="AG152" s="1188"/>
      <c r="AH152" s="52"/>
      <c r="AI152" s="113"/>
      <c r="AJ152" s="52"/>
      <c r="AK152" s="73"/>
      <c r="AL152" s="257"/>
      <c r="AM152" s="263"/>
      <c r="AN152" s="263"/>
      <c r="AO152" s="257"/>
      <c r="AP152" s="155"/>
      <c r="AQ152" s="314"/>
      <c r="AR152" s="257"/>
      <c r="AS152" s="155"/>
      <c r="AT152" s="155"/>
      <c r="AU152" s="155"/>
      <c r="AV152" s="155"/>
      <c r="AW152" s="155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33"/>
      <c r="BM152" s="33"/>
      <c r="BN152" s="33"/>
    </row>
    <row r="153" spans="1:66" ht="18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53"/>
      <c r="L153" s="430"/>
      <c r="M153" s="430"/>
      <c r="N153" s="1172"/>
      <c r="O153" s="1172"/>
      <c r="P153" s="1172"/>
      <c r="Q153" s="1172"/>
      <c r="R153" s="1172"/>
      <c r="S153" s="430"/>
      <c r="T153" s="1188"/>
      <c r="U153" s="1188"/>
      <c r="V153" s="1188"/>
      <c r="W153" s="1188"/>
      <c r="X153" s="1188"/>
      <c r="Y153" s="1188"/>
      <c r="Z153" s="1188"/>
      <c r="AA153" s="1188"/>
      <c r="AB153" s="1188"/>
      <c r="AC153" s="1188"/>
      <c r="AD153" s="1188"/>
      <c r="AE153" s="1188"/>
      <c r="AF153" s="1188"/>
      <c r="AG153" s="1188"/>
      <c r="AH153" s="52"/>
      <c r="AI153" s="113"/>
      <c r="AJ153" s="52"/>
      <c r="AK153" s="34"/>
      <c r="AL153" s="257"/>
      <c r="AM153" s="263"/>
      <c r="AN153" s="263"/>
      <c r="AO153" s="257"/>
      <c r="AP153" s="314"/>
      <c r="AQ153" s="257"/>
      <c r="AR153" s="263"/>
      <c r="AS153" s="155"/>
      <c r="AT153" s="155"/>
      <c r="AU153" s="155"/>
      <c r="AV153" s="155"/>
      <c r="AW153" s="155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33"/>
      <c r="BM153" s="33"/>
      <c r="BN153" s="33"/>
    </row>
    <row r="154" spans="1:66" ht="18.75" thickBot="1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53"/>
      <c r="L154" s="430"/>
      <c r="M154" s="430"/>
      <c r="N154" s="1172"/>
      <c r="O154" s="1172"/>
      <c r="P154" s="1172"/>
      <c r="Q154" s="1172"/>
      <c r="R154" s="1172"/>
      <c r="S154" s="430"/>
      <c r="T154" s="1188"/>
      <c r="U154" s="1188"/>
      <c r="V154" s="1188"/>
      <c r="W154" s="1188"/>
      <c r="X154" s="1188"/>
      <c r="Y154" s="1188"/>
      <c r="Z154" s="1188"/>
      <c r="AA154" s="1188"/>
      <c r="AB154" s="1188"/>
      <c r="AC154" s="1188"/>
      <c r="AD154" s="1188"/>
      <c r="AE154" s="1188"/>
      <c r="AF154" s="1188"/>
      <c r="AG154" s="1188"/>
      <c r="AH154" s="52"/>
      <c r="AI154" s="113"/>
      <c r="AJ154" s="52"/>
      <c r="AK154" s="34"/>
      <c r="AL154" s="254"/>
      <c r="AM154" s="257"/>
      <c r="AN154" s="257"/>
      <c r="AO154" s="254"/>
      <c r="AP154" s="314"/>
      <c r="AQ154" s="257"/>
      <c r="AR154" s="263"/>
      <c r="AS154" s="155"/>
      <c r="AT154" s="155"/>
      <c r="AU154" s="155"/>
      <c r="AV154" s="155"/>
      <c r="AW154" s="155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33"/>
      <c r="BM154" s="33"/>
      <c r="BN154" s="33"/>
    </row>
    <row r="155" spans="1:66" ht="18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53"/>
      <c r="L155" s="164"/>
      <c r="M155" s="434"/>
      <c r="N155" s="1174"/>
      <c r="O155" s="1174"/>
      <c r="P155" s="1174"/>
      <c r="Q155" s="1175"/>
      <c r="R155" s="1172"/>
      <c r="S155" s="430"/>
      <c r="T155" s="1188"/>
      <c r="U155" s="1188"/>
      <c r="V155" s="1188"/>
      <c r="W155" s="1188"/>
      <c r="X155" s="1188"/>
      <c r="Y155" s="1188"/>
      <c r="Z155" s="1188"/>
      <c r="AA155" s="1188"/>
      <c r="AB155" s="1188"/>
      <c r="AC155" s="1188"/>
      <c r="AD155" s="1188"/>
      <c r="AE155" s="1188"/>
      <c r="AF155" s="1188"/>
      <c r="AG155" s="1188"/>
      <c r="AH155" s="52"/>
      <c r="AI155" s="113"/>
      <c r="AJ155" s="52"/>
      <c r="AK155" s="34"/>
      <c r="AL155" s="254"/>
      <c r="AM155" s="254"/>
      <c r="AN155" s="254"/>
      <c r="AO155" s="254"/>
      <c r="AP155" s="314"/>
      <c r="AQ155" s="257"/>
      <c r="AR155" s="263"/>
      <c r="AS155" s="155"/>
      <c r="AT155" s="155"/>
      <c r="AU155" s="155"/>
      <c r="AV155" s="155"/>
      <c r="AW155" s="155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33"/>
      <c r="BM155" s="33"/>
      <c r="BN155" s="33"/>
    </row>
    <row r="156" spans="1:66" ht="15.75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53"/>
      <c r="L156" s="164"/>
      <c r="M156" s="430"/>
      <c r="N156" s="1172"/>
      <c r="O156" s="1172"/>
      <c r="P156" s="1172"/>
      <c r="Q156" s="1176"/>
      <c r="R156" s="1172"/>
      <c r="S156" s="430"/>
      <c r="T156" s="1188"/>
      <c r="U156" s="1188"/>
      <c r="V156" s="1188"/>
      <c r="W156" s="1188"/>
      <c r="X156" s="1188"/>
      <c r="Y156" s="1188"/>
      <c r="Z156" s="1188"/>
      <c r="AA156" s="1188"/>
      <c r="AB156" s="1188"/>
      <c r="AC156" s="1188"/>
      <c r="AD156" s="1188"/>
      <c r="AE156" s="1188"/>
      <c r="AF156" s="1188"/>
      <c r="AG156" s="1188"/>
      <c r="AH156" s="52"/>
      <c r="AI156" s="113"/>
      <c r="AJ156" s="52"/>
      <c r="AK156" s="34"/>
      <c r="AL156" s="254"/>
      <c r="AM156" s="254"/>
      <c r="AN156" s="155"/>
      <c r="AO156" s="155"/>
      <c r="AP156" s="314"/>
      <c r="AQ156" s="263"/>
      <c r="AR156" s="263"/>
      <c r="AS156" s="155"/>
      <c r="AT156" s="155"/>
      <c r="AU156" s="155"/>
      <c r="AV156" s="155"/>
      <c r="AW156" s="155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33"/>
      <c r="BM156" s="33"/>
      <c r="BN156" s="33"/>
    </row>
    <row r="157" spans="1:66" ht="18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53"/>
      <c r="L157" s="164"/>
      <c r="M157" s="430"/>
      <c r="N157" s="1172"/>
      <c r="O157" s="1172"/>
      <c r="P157" s="1172"/>
      <c r="Q157" s="1176"/>
      <c r="R157" s="1172"/>
      <c r="S157" s="430"/>
      <c r="T157" s="1188"/>
      <c r="U157" s="1188"/>
      <c r="V157" s="1188"/>
      <c r="W157" s="1188"/>
      <c r="X157" s="1188"/>
      <c r="Y157" s="1188"/>
      <c r="Z157" s="1188"/>
      <c r="AA157" s="1188"/>
      <c r="AB157" s="1188"/>
      <c r="AC157" s="1188"/>
      <c r="AD157" s="1188"/>
      <c r="AE157" s="1188"/>
      <c r="AF157" s="1188"/>
      <c r="AG157" s="1188"/>
      <c r="AH157" s="52"/>
      <c r="AI157" s="113"/>
      <c r="AJ157" s="52"/>
      <c r="AK157" s="34"/>
      <c r="AL157" s="254"/>
      <c r="AM157" s="254"/>
      <c r="AN157" s="254"/>
      <c r="AO157" s="155"/>
      <c r="AP157" s="254"/>
      <c r="AQ157" s="314"/>
      <c r="AR157" s="257"/>
      <c r="AS157" s="155"/>
      <c r="AT157" s="155"/>
      <c r="AU157" s="155"/>
      <c r="AV157" s="155"/>
      <c r="AW157" s="155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33"/>
      <c r="BM157" s="33"/>
      <c r="BN157" s="33"/>
    </row>
    <row r="158" spans="1:66" ht="15.75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53"/>
      <c r="L158" s="164"/>
      <c r="M158" s="430"/>
      <c r="N158" s="1172"/>
      <c r="O158" s="1172"/>
      <c r="P158" s="1172"/>
      <c r="Q158" s="1177"/>
      <c r="R158" s="1172"/>
      <c r="S158" s="430"/>
      <c r="T158" s="1188"/>
      <c r="U158" s="1188"/>
      <c r="V158" s="1188"/>
      <c r="W158" s="1188"/>
      <c r="X158" s="1188"/>
      <c r="Y158" s="1188"/>
      <c r="Z158" s="1188"/>
      <c r="AA158" s="1188"/>
      <c r="AB158" s="1188"/>
      <c r="AC158" s="1188"/>
      <c r="AD158" s="1188"/>
      <c r="AE158" s="1188"/>
      <c r="AF158" s="1188"/>
      <c r="AG158" s="1188"/>
      <c r="AH158" s="52"/>
      <c r="AI158" s="113"/>
      <c r="AJ158" s="52"/>
      <c r="AK158" s="52"/>
      <c r="AL158" s="254"/>
      <c r="AM158" s="254"/>
      <c r="AN158" s="314"/>
      <c r="AO158" s="314"/>
      <c r="AP158" s="254"/>
      <c r="AQ158" s="254"/>
      <c r="AR158" s="155"/>
      <c r="AS158" s="155"/>
      <c r="AT158" s="155"/>
      <c r="AU158" s="155"/>
      <c r="AV158" s="155"/>
      <c r="AW158" s="155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33"/>
      <c r="BM158" s="33"/>
      <c r="BN158" s="33"/>
    </row>
    <row r="159" spans="1:66" ht="18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53"/>
      <c r="L159" s="164"/>
      <c r="M159" s="430"/>
      <c r="N159" s="1172"/>
      <c r="O159" s="1172"/>
      <c r="P159" s="1172"/>
      <c r="Q159" s="1176"/>
      <c r="R159" s="957"/>
      <c r="S159" s="52"/>
      <c r="T159" s="1188"/>
      <c r="U159" s="1188"/>
      <c r="V159" s="1188"/>
      <c r="W159" s="1188"/>
      <c r="X159" s="1188"/>
      <c r="Y159" s="1188"/>
      <c r="Z159" s="1188"/>
      <c r="AA159" s="1188"/>
      <c r="AB159" s="1188"/>
      <c r="AC159" s="1188"/>
      <c r="AD159" s="1188"/>
      <c r="AE159" s="1188"/>
      <c r="AF159" s="1188"/>
      <c r="AG159" s="1188"/>
      <c r="AH159" s="52"/>
      <c r="AI159" s="113"/>
      <c r="AJ159" s="34"/>
      <c r="AK159" s="412"/>
      <c r="AL159" s="254"/>
      <c r="AM159" s="314"/>
      <c r="AN159" s="257"/>
      <c r="AO159" s="257"/>
      <c r="AP159" s="314"/>
      <c r="AQ159" s="254"/>
      <c r="AR159" s="155"/>
      <c r="AS159" s="254"/>
      <c r="AT159" s="254"/>
      <c r="AU159" s="254"/>
      <c r="AV159" s="254"/>
      <c r="AW159" s="25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3"/>
      <c r="BM159" s="33"/>
      <c r="BN159" s="33"/>
    </row>
    <row r="160" spans="1:66" ht="18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53"/>
      <c r="L160" s="164"/>
      <c r="M160" s="430"/>
      <c r="N160" s="1172"/>
      <c r="O160" s="1172"/>
      <c r="P160" s="1172"/>
      <c r="Q160" s="1176"/>
      <c r="R160" s="957"/>
      <c r="S160" s="52"/>
      <c r="T160" s="1188"/>
      <c r="U160" s="1188"/>
      <c r="V160" s="1188"/>
      <c r="W160" s="1188"/>
      <c r="X160" s="1188"/>
      <c r="Y160" s="1188"/>
      <c r="Z160" s="1188"/>
      <c r="AA160" s="1188"/>
      <c r="AB160" s="1188"/>
      <c r="AC160" s="1188"/>
      <c r="AD160" s="1188"/>
      <c r="AE160" s="1188"/>
      <c r="AF160" s="1188"/>
      <c r="AG160" s="1188"/>
      <c r="AH160" s="52"/>
      <c r="AI160" s="113"/>
      <c r="AJ160" s="34"/>
      <c r="AK160" s="34"/>
      <c r="AL160" s="314"/>
      <c r="AM160" s="257"/>
      <c r="AN160" s="263"/>
      <c r="AO160" s="263"/>
      <c r="AP160" s="257"/>
      <c r="AQ160" s="314"/>
      <c r="AR160" s="155"/>
      <c r="AS160" s="254"/>
      <c r="AT160" s="254"/>
      <c r="AU160" s="254"/>
      <c r="AV160" s="254"/>
      <c r="AW160" s="25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3"/>
      <c r="BM160" s="33"/>
      <c r="BN160" s="33"/>
    </row>
    <row r="161" spans="1:66" ht="18.75" thickBot="1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53"/>
      <c r="L161" s="443"/>
      <c r="M161" s="444"/>
      <c r="N161" s="1178"/>
      <c r="O161" s="1170"/>
      <c r="P161" s="1179"/>
      <c r="Q161" s="1180"/>
      <c r="R161" s="957"/>
      <c r="S161" s="52"/>
      <c r="T161" s="1188"/>
      <c r="U161" s="1188"/>
      <c r="V161" s="1188"/>
      <c r="W161" s="1188"/>
      <c r="X161" s="1188"/>
      <c r="Y161" s="1188"/>
      <c r="Z161" s="1188"/>
      <c r="AA161" s="1188"/>
      <c r="AB161" s="1188"/>
      <c r="AC161" s="1188"/>
      <c r="AD161" s="1188"/>
      <c r="AE161" s="1188"/>
      <c r="AF161" s="1188"/>
      <c r="AG161" s="1188"/>
      <c r="AH161" s="72"/>
      <c r="AI161" s="113"/>
      <c r="AJ161" s="34"/>
      <c r="AK161" s="34"/>
      <c r="AL161" s="314"/>
      <c r="AM161" s="257"/>
      <c r="AN161" s="263"/>
      <c r="AO161" s="263"/>
      <c r="AP161" s="257"/>
      <c r="AQ161" s="314"/>
      <c r="AR161" s="155"/>
      <c r="AS161" s="254"/>
      <c r="AT161" s="254"/>
      <c r="AU161" s="254"/>
      <c r="AV161" s="254"/>
      <c r="AW161" s="25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3"/>
      <c r="BM161" s="33"/>
      <c r="BN161" s="33"/>
    </row>
    <row r="162" spans="1:66" ht="18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53"/>
      <c r="L162" s="164"/>
      <c r="M162" s="52"/>
      <c r="N162" s="957"/>
      <c r="O162" s="957"/>
      <c r="P162" s="957"/>
      <c r="Q162" s="957"/>
      <c r="R162" s="957"/>
      <c r="S162" s="52"/>
      <c r="T162" s="1188"/>
      <c r="U162" s="1188"/>
      <c r="V162" s="1188"/>
      <c r="W162" s="1188"/>
      <c r="X162" s="1188"/>
      <c r="Y162" s="1188"/>
      <c r="Z162" s="1188"/>
      <c r="AA162" s="1188"/>
      <c r="AB162" s="1188"/>
      <c r="AC162" s="1188"/>
      <c r="AD162" s="1188"/>
      <c r="AE162" s="1188"/>
      <c r="AF162" s="1188"/>
      <c r="AG162" s="1188"/>
      <c r="AH162" s="72"/>
      <c r="AI162" s="113"/>
      <c r="AJ162" s="34"/>
      <c r="AK162" s="34"/>
      <c r="AL162" s="254"/>
      <c r="AM162" s="314"/>
      <c r="AN162" s="257"/>
      <c r="AO162" s="257"/>
      <c r="AP162" s="314"/>
      <c r="AQ162" s="254"/>
      <c r="AR162" s="155"/>
      <c r="AS162" s="254"/>
      <c r="AT162" s="254"/>
      <c r="AU162" s="254"/>
      <c r="AV162" s="254"/>
      <c r="AW162" s="25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3"/>
      <c r="BM162" s="33"/>
      <c r="BN162" s="33"/>
    </row>
    <row r="163" spans="1:66" ht="15.75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53"/>
      <c r="L163" s="430"/>
      <c r="M163" s="430"/>
      <c r="N163" s="1172"/>
      <c r="O163" s="1172"/>
      <c r="P163" s="1172"/>
      <c r="Q163" s="1172"/>
      <c r="R163" s="957"/>
      <c r="S163" s="52"/>
      <c r="T163" s="1188"/>
      <c r="U163" s="1188"/>
      <c r="V163" s="1188"/>
      <c r="W163" s="1188"/>
      <c r="X163" s="1188"/>
      <c r="Y163" s="1188"/>
      <c r="Z163" s="1188"/>
      <c r="AA163" s="1188"/>
      <c r="AB163" s="1188"/>
      <c r="AC163" s="1188"/>
      <c r="AD163" s="1188"/>
      <c r="AE163" s="1188"/>
      <c r="AF163" s="1188"/>
      <c r="AG163" s="1188"/>
      <c r="AH163" s="72"/>
      <c r="AI163" s="113"/>
      <c r="AJ163" s="34"/>
      <c r="AK163" s="34"/>
      <c r="AL163" s="254"/>
      <c r="AM163" s="254"/>
      <c r="AN163" s="314"/>
      <c r="AO163" s="314"/>
      <c r="AP163" s="254"/>
      <c r="AQ163" s="254"/>
      <c r="AR163" s="254"/>
      <c r="AS163" s="254"/>
      <c r="AT163" s="254"/>
      <c r="AU163" s="254"/>
      <c r="AV163" s="254"/>
      <c r="AW163" s="254"/>
      <c r="AX163" s="34"/>
      <c r="AY163" s="52"/>
      <c r="AZ163" s="52"/>
      <c r="BA163" s="52"/>
      <c r="BB163" s="52"/>
      <c r="BC163" s="52"/>
      <c r="BD163" s="52"/>
      <c r="BE163" s="52"/>
      <c r="BF163" s="34"/>
      <c r="BG163" s="34"/>
      <c r="BH163" s="34"/>
      <c r="BI163" s="34"/>
      <c r="BJ163" s="34"/>
      <c r="BK163" s="34"/>
      <c r="BL163" s="33"/>
      <c r="BM163" s="33"/>
      <c r="BN163" s="33"/>
    </row>
    <row r="164" spans="1:66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53"/>
      <c r="L164" s="430"/>
      <c r="M164" s="430"/>
      <c r="N164" s="1172"/>
      <c r="O164" s="1172"/>
      <c r="P164" s="1172"/>
      <c r="Q164" s="1172"/>
      <c r="R164" s="957"/>
      <c r="S164" s="52"/>
      <c r="T164" s="1188"/>
      <c r="U164" s="1188"/>
      <c r="V164" s="1188"/>
      <c r="W164" s="1188"/>
      <c r="X164" s="1188"/>
      <c r="Y164" s="1188"/>
      <c r="Z164" s="1188"/>
      <c r="AA164" s="1188"/>
      <c r="AB164" s="1188"/>
      <c r="AC164" s="1188"/>
      <c r="AD164" s="1188"/>
      <c r="AE164" s="1188"/>
      <c r="AF164" s="1188"/>
      <c r="AG164" s="1188"/>
      <c r="AH164" s="72"/>
      <c r="AI164" s="113"/>
      <c r="AJ164" s="34"/>
      <c r="AK164" s="34"/>
      <c r="AL164" s="254"/>
      <c r="AM164" s="254"/>
      <c r="AN164" s="254"/>
      <c r="AO164" s="336"/>
      <c r="AP164" s="336"/>
      <c r="AQ164" s="254"/>
      <c r="AR164" s="254"/>
      <c r="AS164" s="254"/>
      <c r="AT164" s="254"/>
      <c r="AU164" s="254"/>
      <c r="AV164" s="254"/>
      <c r="AW164" s="254"/>
      <c r="AX164" s="34"/>
      <c r="AY164" s="52"/>
      <c r="AZ164" s="52"/>
      <c r="BA164" s="52"/>
      <c r="BB164" s="52"/>
      <c r="BC164" s="52"/>
      <c r="BD164" s="52"/>
      <c r="BE164" s="52"/>
      <c r="BF164" s="34"/>
      <c r="BG164" s="34"/>
      <c r="BH164" s="34"/>
      <c r="BI164" s="34"/>
      <c r="BJ164" s="34"/>
      <c r="BK164" s="34"/>
      <c r="BL164" s="33"/>
      <c r="BM164" s="33"/>
      <c r="BN164" s="33"/>
    </row>
    <row r="165" spans="1:66" x14ac:dyDescent="0.25">
      <c r="A165" s="34"/>
      <c r="B165" s="254"/>
      <c r="C165" s="254"/>
      <c r="D165" s="263"/>
      <c r="E165" s="263"/>
      <c r="F165" s="254"/>
      <c r="G165" s="254"/>
      <c r="H165" s="34"/>
      <c r="I165" s="34"/>
      <c r="J165" s="34"/>
      <c r="K165" s="53"/>
      <c r="L165" s="430"/>
      <c r="M165" s="430"/>
      <c r="N165" s="1172"/>
      <c r="O165" s="1172"/>
      <c r="P165" s="1172"/>
      <c r="Q165" s="1172"/>
      <c r="R165" s="957"/>
      <c r="S165" s="52"/>
      <c r="T165" s="1188"/>
      <c r="U165" s="1188"/>
      <c r="V165" s="1188"/>
      <c r="W165" s="1188"/>
      <c r="X165" s="1188"/>
      <c r="Y165" s="1188"/>
      <c r="Z165" s="1188"/>
      <c r="AA165" s="1188"/>
      <c r="AB165" s="1188"/>
      <c r="AC165" s="1188"/>
      <c r="AD165" s="1188"/>
      <c r="AE165" s="1188"/>
      <c r="AF165" s="1188"/>
      <c r="AG165" s="1188"/>
      <c r="AH165" s="72"/>
      <c r="AI165" s="113"/>
      <c r="AJ165" s="34"/>
      <c r="AK165" s="34"/>
      <c r="AL165" s="336"/>
      <c r="AM165" s="336"/>
      <c r="AN165" s="336"/>
      <c r="AO165" s="336"/>
      <c r="AP165" s="336"/>
      <c r="AQ165" s="254"/>
      <c r="AR165" s="254"/>
      <c r="AS165" s="254"/>
      <c r="AT165" s="254"/>
      <c r="AU165" s="254"/>
      <c r="AV165" s="254"/>
      <c r="AW165" s="254"/>
      <c r="AX165" s="34"/>
      <c r="AY165" s="52"/>
      <c r="AZ165" s="52"/>
      <c r="BA165" s="52"/>
      <c r="BB165" s="52"/>
      <c r="BC165" s="52"/>
      <c r="BD165" s="52"/>
      <c r="BE165" s="52"/>
      <c r="BF165" s="34"/>
      <c r="BG165" s="34"/>
      <c r="BH165" s="34"/>
      <c r="BI165" s="34"/>
      <c r="BJ165" s="34"/>
      <c r="BK165" s="34"/>
      <c r="BL165" s="33"/>
      <c r="BM165" s="33"/>
      <c r="BN165" s="33"/>
    </row>
    <row r="166" spans="1:66" ht="15.75" x14ac:dyDescent="0.25">
      <c r="A166" s="34"/>
      <c r="B166" s="254"/>
      <c r="C166" s="314"/>
      <c r="D166" s="263"/>
      <c r="E166" s="263"/>
      <c r="F166" s="314"/>
      <c r="G166" s="254"/>
      <c r="H166" s="34"/>
      <c r="I166" s="34"/>
      <c r="J166" s="34"/>
      <c r="K166" s="53"/>
      <c r="L166" s="430"/>
      <c r="M166" s="430"/>
      <c r="N166" s="1172"/>
      <c r="O166" s="1172"/>
      <c r="P166" s="1172"/>
      <c r="Q166" s="1172"/>
      <c r="R166" s="1181"/>
      <c r="S166" s="447"/>
      <c r="T166" s="1188"/>
      <c r="U166" s="1188"/>
      <c r="V166" s="1188"/>
      <c r="W166" s="1188"/>
      <c r="X166" s="1188"/>
      <c r="Y166" s="1188"/>
      <c r="Z166" s="1188"/>
      <c r="AA166" s="1188"/>
      <c r="AB166" s="1188"/>
      <c r="AC166" s="1188"/>
      <c r="AD166" s="1188"/>
      <c r="AE166" s="1188"/>
      <c r="AF166" s="1188"/>
      <c r="AG166" s="1188"/>
      <c r="AH166" s="72"/>
      <c r="AI166" s="113"/>
      <c r="AJ166" s="34"/>
      <c r="AK166" s="34"/>
      <c r="AL166" s="336"/>
      <c r="AM166" s="336"/>
      <c r="AN166" s="336"/>
      <c r="AO166" s="336"/>
      <c r="AP166" s="336"/>
      <c r="AQ166" s="254"/>
      <c r="AR166" s="254"/>
      <c r="AS166" s="254"/>
      <c r="AT166" s="254"/>
      <c r="AU166" s="254"/>
      <c r="AV166" s="254"/>
      <c r="AW166" s="254"/>
      <c r="AX166" s="34"/>
      <c r="AY166" s="52"/>
      <c r="AZ166" s="52"/>
      <c r="BA166" s="52"/>
      <c r="BB166" s="52"/>
      <c r="BC166" s="52"/>
      <c r="BD166" s="52"/>
      <c r="BE166" s="52"/>
      <c r="BF166" s="34"/>
      <c r="BG166" s="34"/>
      <c r="BH166" s="34"/>
      <c r="BI166" s="34"/>
      <c r="BJ166" s="34"/>
      <c r="BK166" s="34"/>
      <c r="BL166" s="33"/>
      <c r="BM166" s="33"/>
      <c r="BN166" s="33"/>
    </row>
    <row r="167" spans="1:66" ht="18" x14ac:dyDescent="0.25">
      <c r="A167" s="34"/>
      <c r="B167" s="254"/>
      <c r="C167" s="269"/>
      <c r="D167" s="263"/>
      <c r="E167" s="263"/>
      <c r="F167" s="263"/>
      <c r="G167" s="314"/>
      <c r="H167" s="34"/>
      <c r="I167" s="34"/>
      <c r="J167" s="34"/>
      <c r="K167" s="53"/>
      <c r="L167" s="430"/>
      <c r="M167" s="430"/>
      <c r="N167" s="1172"/>
      <c r="O167" s="1172"/>
      <c r="P167" s="1172"/>
      <c r="Q167" s="985"/>
      <c r="R167" s="985"/>
      <c r="S167" s="123"/>
      <c r="T167" s="1188"/>
      <c r="U167" s="1188"/>
      <c r="V167" s="1188"/>
      <c r="W167" s="1188"/>
      <c r="X167" s="1188"/>
      <c r="Y167" s="1188"/>
      <c r="Z167" s="1188"/>
      <c r="AA167" s="1188"/>
      <c r="AB167" s="1188"/>
      <c r="AC167" s="1188"/>
      <c r="AD167" s="1188"/>
      <c r="AE167" s="1188"/>
      <c r="AF167" s="1188"/>
      <c r="AG167" s="1188"/>
      <c r="AH167" s="72"/>
      <c r="AI167" s="113"/>
      <c r="AJ167" s="34"/>
      <c r="AK167" s="34"/>
      <c r="AL167" s="336"/>
      <c r="AM167" s="336"/>
      <c r="AN167" s="336"/>
      <c r="AO167" s="336"/>
      <c r="AP167" s="336"/>
      <c r="AQ167" s="254"/>
      <c r="AR167" s="254"/>
      <c r="AS167" s="254"/>
      <c r="AT167" s="254"/>
      <c r="AU167" s="254"/>
      <c r="AV167" s="254"/>
      <c r="AW167" s="254"/>
      <c r="AX167" s="34"/>
      <c r="AY167" s="52"/>
      <c r="AZ167" s="52"/>
      <c r="BA167" s="52"/>
      <c r="BB167" s="52"/>
      <c r="BC167" s="52"/>
      <c r="BD167" s="52"/>
      <c r="BE167" s="52"/>
      <c r="BF167" s="34"/>
      <c r="BG167" s="34"/>
      <c r="BH167" s="34"/>
      <c r="BI167" s="34"/>
      <c r="BJ167" s="34"/>
      <c r="BK167" s="34"/>
      <c r="BL167" s="33"/>
      <c r="BM167" s="33"/>
      <c r="BN167" s="33"/>
    </row>
    <row r="168" spans="1:66" ht="18" x14ac:dyDescent="0.25">
      <c r="A168" s="34"/>
      <c r="B168" s="254"/>
      <c r="C168" s="269"/>
      <c r="D168" s="263"/>
      <c r="E168" s="263"/>
      <c r="F168" s="269"/>
      <c r="G168" s="314"/>
      <c r="H168" s="34"/>
      <c r="I168" s="34"/>
      <c r="J168" s="34"/>
      <c r="K168" s="53"/>
      <c r="L168" s="430"/>
      <c r="M168" s="430"/>
      <c r="N168" s="1172"/>
      <c r="O168" s="1172"/>
      <c r="P168" s="1172"/>
      <c r="Q168" s="1172"/>
      <c r="R168" s="1172"/>
      <c r="S168" s="430"/>
      <c r="T168" s="1188"/>
      <c r="U168" s="1188"/>
      <c r="V168" s="1188"/>
      <c r="W168" s="1188"/>
      <c r="X168" s="1188"/>
      <c r="Y168" s="1188"/>
      <c r="Z168" s="1188"/>
      <c r="AA168" s="1188"/>
      <c r="AB168" s="1188"/>
      <c r="AC168" s="1188"/>
      <c r="AD168" s="1188"/>
      <c r="AE168" s="1188"/>
      <c r="AF168" s="1188"/>
      <c r="AG168" s="1188"/>
      <c r="AH168" s="34"/>
      <c r="AI168" s="113"/>
      <c r="AJ168" s="34"/>
      <c r="AK168" s="34"/>
      <c r="AL168" s="336"/>
      <c r="AM168" s="336"/>
      <c r="AN168" s="336"/>
      <c r="AO168" s="336"/>
      <c r="AP168" s="336"/>
      <c r="AQ168" s="254"/>
      <c r="AR168" s="254"/>
      <c r="AS168" s="254"/>
      <c r="AT168" s="254"/>
      <c r="AU168" s="254"/>
      <c r="AV168" s="254"/>
      <c r="AW168" s="254"/>
      <c r="AX168" s="34"/>
      <c r="AY168" s="52"/>
      <c r="AZ168" s="52"/>
      <c r="BA168" s="52"/>
      <c r="BB168" s="52"/>
      <c r="BC168" s="52"/>
      <c r="BD168" s="52"/>
      <c r="BE168" s="52"/>
      <c r="BF168" s="34"/>
      <c r="BG168" s="34"/>
      <c r="BH168" s="34"/>
      <c r="BI168" s="34"/>
      <c r="BJ168" s="34"/>
      <c r="BK168" s="34"/>
      <c r="BL168" s="33"/>
      <c r="BM168" s="33"/>
      <c r="BN168" s="33"/>
    </row>
    <row r="169" spans="1:66" ht="18" x14ac:dyDescent="0.25">
      <c r="A169" s="34"/>
      <c r="B169" s="254"/>
      <c r="C169" s="269"/>
      <c r="D169" s="263"/>
      <c r="E169" s="263"/>
      <c r="F169" s="269"/>
      <c r="G169" s="314"/>
      <c r="H169" s="34"/>
      <c r="I169" s="34"/>
      <c r="J169" s="34"/>
      <c r="K169" s="53"/>
      <c r="L169" s="430"/>
      <c r="M169" s="430"/>
      <c r="N169" s="1172"/>
      <c r="O169" s="1172"/>
      <c r="P169" s="1172"/>
      <c r="Q169" s="1172"/>
      <c r="R169" s="1172"/>
      <c r="S169" s="430"/>
      <c r="T169" s="430"/>
      <c r="U169" s="430"/>
      <c r="V169" s="448"/>
      <c r="W169" s="449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113"/>
      <c r="AJ169" s="34"/>
      <c r="AK169" s="34"/>
      <c r="AL169" s="336"/>
      <c r="AM169" s="336"/>
      <c r="AN169" s="336"/>
      <c r="AO169" s="336"/>
      <c r="AP169" s="336"/>
      <c r="AQ169" s="254"/>
      <c r="AR169" s="254"/>
      <c r="AS169" s="254"/>
      <c r="AT169" s="254"/>
      <c r="AU169" s="254"/>
      <c r="AV169" s="254"/>
      <c r="AW169" s="254"/>
      <c r="AX169" s="34"/>
      <c r="AY169" s="52"/>
      <c r="AZ169" s="52"/>
      <c r="BA169" s="52"/>
      <c r="BB169" s="52"/>
      <c r="BC169" s="52"/>
      <c r="BD169" s="52"/>
      <c r="BE169" s="52"/>
      <c r="BF169" s="34"/>
      <c r="BG169" s="34"/>
      <c r="BH169" s="34"/>
      <c r="BI169" s="34"/>
      <c r="BJ169" s="34"/>
      <c r="BK169" s="34"/>
      <c r="BL169" s="33"/>
      <c r="BM169" s="33"/>
      <c r="BN169" s="33"/>
    </row>
    <row r="170" spans="1:66" ht="18.75" thickBot="1" x14ac:dyDescent="0.3">
      <c r="A170" s="34"/>
      <c r="B170" s="254"/>
      <c r="C170" s="269"/>
      <c r="D170" s="263"/>
      <c r="E170" s="263"/>
      <c r="F170" s="269"/>
      <c r="G170" s="314"/>
      <c r="H170" s="34"/>
      <c r="I170" s="34"/>
      <c r="J170" s="34"/>
      <c r="K170" s="53"/>
      <c r="L170" s="430"/>
      <c r="M170" s="430"/>
      <c r="N170" s="1172"/>
      <c r="O170" s="1172"/>
      <c r="P170" s="1172"/>
      <c r="Q170" s="1172"/>
      <c r="R170" s="1172"/>
      <c r="S170" s="430"/>
      <c r="T170" s="430"/>
      <c r="U170" s="430"/>
      <c r="V170" s="430"/>
      <c r="W170" s="430"/>
      <c r="X170" s="430"/>
      <c r="Y170" s="430"/>
      <c r="Z170" s="430"/>
      <c r="AA170" s="430"/>
      <c r="AB170" s="34"/>
      <c r="AC170" s="34"/>
      <c r="AD170" s="34"/>
      <c r="AE170" s="34"/>
      <c r="AF170" s="34"/>
      <c r="AG170" s="34"/>
      <c r="AH170" s="34"/>
      <c r="AI170" s="113"/>
      <c r="AJ170" s="34"/>
      <c r="AK170" s="34"/>
      <c r="AL170" s="336"/>
      <c r="AM170" s="336"/>
      <c r="AN170" s="336"/>
      <c r="AO170" s="336"/>
      <c r="AP170" s="336"/>
      <c r="AQ170" s="254"/>
      <c r="AR170" s="254"/>
      <c r="AS170" s="254"/>
      <c r="AT170" s="254"/>
      <c r="AU170" s="254"/>
      <c r="AV170" s="254"/>
      <c r="AW170" s="254"/>
      <c r="AX170" s="34"/>
      <c r="AY170" s="52"/>
      <c r="AZ170" s="52"/>
      <c r="BA170" s="52"/>
      <c r="BB170" s="52"/>
      <c r="BC170" s="52"/>
      <c r="BD170" s="52"/>
      <c r="BE170" s="52"/>
      <c r="BF170" s="34"/>
      <c r="BG170" s="34"/>
      <c r="BH170" s="34"/>
      <c r="BI170" s="34"/>
      <c r="BJ170" s="34"/>
      <c r="BK170" s="34"/>
      <c r="BL170" s="33"/>
      <c r="BM170" s="33"/>
      <c r="BN170" s="33"/>
    </row>
    <row r="171" spans="1:66" ht="21" x14ac:dyDescent="0.25">
      <c r="A171" s="34"/>
      <c r="B171" s="254"/>
      <c r="C171" s="314"/>
      <c r="D171" s="269"/>
      <c r="E171" s="269"/>
      <c r="F171" s="314"/>
      <c r="G171" s="254"/>
      <c r="H171" s="34"/>
      <c r="I171" s="34"/>
      <c r="J171" s="34"/>
      <c r="K171" s="53"/>
      <c r="L171" s="430"/>
      <c r="M171" s="430"/>
      <c r="N171" s="1172"/>
      <c r="O171" s="1172"/>
      <c r="P171" s="1172"/>
      <c r="Q171" s="985"/>
      <c r="R171" s="1182"/>
      <c r="S171" s="451"/>
      <c r="T171" s="451"/>
      <c r="U171" s="451"/>
      <c r="V171" s="451"/>
      <c r="W171" s="452"/>
      <c r="X171" s="452"/>
      <c r="Y171" s="435"/>
      <c r="Z171" s="435"/>
      <c r="AA171" s="435"/>
      <c r="AB171" s="435"/>
      <c r="AC171" s="435"/>
      <c r="AD171" s="435"/>
      <c r="AE171" s="435"/>
      <c r="AF171" s="435"/>
      <c r="AG171" s="435"/>
      <c r="AH171" s="435"/>
      <c r="AI171" s="113"/>
      <c r="AJ171" s="34"/>
      <c r="AK171" s="34"/>
      <c r="AL171" s="336"/>
      <c r="AM171" s="336"/>
      <c r="AN171" s="336"/>
      <c r="AO171" s="336"/>
      <c r="AP171" s="336"/>
      <c r="AQ171" s="254"/>
      <c r="AR171" s="254"/>
      <c r="AS171" s="254"/>
      <c r="AT171" s="254"/>
      <c r="AU171" s="254"/>
      <c r="AV171" s="254"/>
      <c r="AW171" s="254"/>
      <c r="AX171" s="34"/>
      <c r="AY171" s="52"/>
      <c r="AZ171" s="52"/>
      <c r="BA171" s="52"/>
      <c r="BB171" s="52"/>
      <c r="BC171" s="52"/>
      <c r="BD171" s="52"/>
      <c r="BE171" s="52"/>
      <c r="BF171" s="34"/>
      <c r="BG171" s="34"/>
      <c r="BH171" s="34"/>
      <c r="BI171" s="34"/>
      <c r="BJ171" s="34"/>
      <c r="BK171" s="34"/>
      <c r="BL171" s="33"/>
      <c r="BM171" s="33"/>
      <c r="BN171" s="33"/>
    </row>
    <row r="172" spans="1:66" ht="18" x14ac:dyDescent="0.25">
      <c r="A172" s="34"/>
      <c r="B172" s="254"/>
      <c r="C172" s="254"/>
      <c r="D172" s="314"/>
      <c r="E172" s="314"/>
      <c r="F172" s="254"/>
      <c r="G172" s="254"/>
      <c r="H172" s="34"/>
      <c r="I172" s="34"/>
      <c r="J172" s="34"/>
      <c r="K172" s="53"/>
      <c r="L172" s="164"/>
      <c r="M172" s="430"/>
      <c r="N172" s="1172"/>
      <c r="O172" s="1172"/>
      <c r="P172" s="1183"/>
      <c r="Q172" s="985"/>
      <c r="R172" s="1184"/>
      <c r="S172" s="123"/>
      <c r="T172" s="123"/>
      <c r="U172" s="432"/>
      <c r="V172" s="432"/>
      <c r="W172" s="123"/>
      <c r="X172" s="123"/>
      <c r="Y172" s="123"/>
      <c r="Z172" s="123"/>
      <c r="AA172" s="52"/>
      <c r="AB172" s="52"/>
      <c r="AC172" s="52"/>
      <c r="AD172" s="52"/>
      <c r="AE172" s="52"/>
      <c r="AF172" s="34"/>
      <c r="AG172" s="34"/>
      <c r="AH172" s="72"/>
      <c r="AI172" s="113"/>
      <c r="AJ172" s="34"/>
      <c r="AK172" s="34"/>
      <c r="AL172" s="263"/>
      <c r="AM172" s="269"/>
      <c r="AN172" s="263"/>
      <c r="AO172" s="269"/>
      <c r="AP172" s="263"/>
      <c r="AQ172" s="269"/>
      <c r="AR172" s="263"/>
      <c r="AS172" s="269"/>
      <c r="AT172" s="263"/>
      <c r="AU172" s="269"/>
      <c r="AV172" s="263"/>
      <c r="AW172" s="455"/>
      <c r="AX172" s="34"/>
      <c r="AY172" s="52"/>
      <c r="AZ172" s="52"/>
      <c r="BA172" s="52"/>
      <c r="BB172" s="52"/>
      <c r="BC172" s="52"/>
      <c r="BD172" s="52"/>
      <c r="BE172" s="52"/>
      <c r="BF172" s="34"/>
      <c r="BG172" s="34"/>
      <c r="BH172" s="34"/>
      <c r="BI172" s="34"/>
      <c r="BJ172" s="34"/>
      <c r="BK172" s="34"/>
      <c r="BL172" s="33"/>
      <c r="BM172" s="33"/>
      <c r="BN172" s="33"/>
    </row>
    <row r="173" spans="1:66" ht="18" x14ac:dyDescent="0.25">
      <c r="A173" s="34"/>
      <c r="B173" s="254"/>
      <c r="C173" s="254"/>
      <c r="D173" s="254"/>
      <c r="E173" s="254"/>
      <c r="F173" s="254"/>
      <c r="G173" s="254"/>
      <c r="H173" s="34"/>
      <c r="I173" s="34"/>
      <c r="J173" s="34"/>
      <c r="K173" s="34"/>
      <c r="L173" s="456"/>
      <c r="M173" s="430"/>
      <c r="N173" s="1172"/>
      <c r="O173" s="1172"/>
      <c r="P173" s="1183"/>
      <c r="Q173" s="1172"/>
      <c r="R173" s="1185"/>
      <c r="S173" s="430"/>
      <c r="T173" s="430"/>
      <c r="U173" s="458"/>
      <c r="V173" s="458"/>
      <c r="W173" s="430"/>
      <c r="X173" s="430"/>
      <c r="Y173" s="430"/>
      <c r="Z173" s="164"/>
      <c r="AA173" s="52"/>
      <c r="AB173" s="52"/>
      <c r="AC173" s="52"/>
      <c r="AD173" s="52"/>
      <c r="AE173" s="52"/>
      <c r="AF173" s="34"/>
      <c r="AG173" s="34"/>
      <c r="AH173" s="72"/>
      <c r="AI173" s="113"/>
      <c r="AJ173" s="34"/>
      <c r="AK173" s="34"/>
      <c r="AL173" s="257"/>
      <c r="AM173" s="314"/>
      <c r="AN173" s="257"/>
      <c r="AO173" s="314"/>
      <c r="AP173" s="257"/>
      <c r="AQ173" s="314"/>
      <c r="AR173" s="257"/>
      <c r="AS173" s="314"/>
      <c r="AT173" s="257"/>
      <c r="AU173" s="314"/>
      <c r="AV173" s="257"/>
      <c r="AW173" s="459"/>
      <c r="AX173" s="34"/>
      <c r="AY173" s="52"/>
      <c r="AZ173" s="52"/>
      <c r="BA173" s="52"/>
      <c r="BB173" s="52"/>
      <c r="BC173" s="52"/>
      <c r="BD173" s="52"/>
      <c r="BE173" s="52"/>
      <c r="BF173" s="34"/>
      <c r="BG173" s="34"/>
      <c r="BH173" s="34"/>
      <c r="BI173" s="34"/>
      <c r="BJ173" s="34"/>
      <c r="BK173" s="34"/>
      <c r="BL173" s="33"/>
      <c r="BM173" s="33"/>
      <c r="BN173" s="33"/>
    </row>
    <row r="174" spans="1:66" ht="15.75" x14ac:dyDescent="0.25">
      <c r="A174" s="34"/>
      <c r="B174" s="254"/>
      <c r="C174" s="254"/>
      <c r="D174" s="254"/>
      <c r="E174" s="254"/>
      <c r="F174" s="254"/>
      <c r="G174" s="254"/>
      <c r="H174" s="34"/>
      <c r="I174" s="34"/>
      <c r="J174" s="34"/>
      <c r="K174" s="34"/>
      <c r="L174" s="460"/>
      <c r="M174" s="430"/>
      <c r="N174" s="1172"/>
      <c r="O174" s="1172"/>
      <c r="P174" s="1183"/>
      <c r="Q174" s="1172"/>
      <c r="R174" s="1185"/>
      <c r="S174" s="430"/>
      <c r="T174" s="430"/>
      <c r="U174" s="458"/>
      <c r="V174" s="458"/>
      <c r="W174" s="430"/>
      <c r="X174" s="430"/>
      <c r="Y174" s="430"/>
      <c r="Z174" s="34"/>
      <c r="AA174" s="34"/>
      <c r="AB174" s="34"/>
      <c r="AC174" s="34"/>
      <c r="AD174" s="34"/>
      <c r="AE174" s="34"/>
      <c r="AF174" s="34"/>
      <c r="AG174" s="34"/>
      <c r="AH174" s="72"/>
      <c r="AI174" s="113"/>
      <c r="AJ174" s="34"/>
      <c r="AK174" s="34"/>
      <c r="AL174" s="314"/>
      <c r="AM174" s="155"/>
      <c r="AN174" s="314"/>
      <c r="AO174" s="155"/>
      <c r="AP174" s="314"/>
      <c r="AQ174" s="155"/>
      <c r="AR174" s="314"/>
      <c r="AS174" s="155"/>
      <c r="AT174" s="314"/>
      <c r="AU174" s="155"/>
      <c r="AV174" s="314"/>
      <c r="AW174" s="77"/>
      <c r="AX174" s="34"/>
      <c r="AY174" s="52"/>
      <c r="AZ174" s="52"/>
      <c r="BA174" s="52"/>
      <c r="BB174" s="52"/>
      <c r="BC174" s="52"/>
      <c r="BD174" s="52"/>
      <c r="BE174" s="52"/>
      <c r="BF174" s="34"/>
      <c r="BG174" s="34"/>
      <c r="BH174" s="34"/>
      <c r="BI174" s="34"/>
      <c r="BJ174" s="34"/>
      <c r="BK174" s="34"/>
      <c r="BL174" s="33"/>
      <c r="BM174" s="33"/>
      <c r="BN174" s="33"/>
    </row>
    <row r="175" spans="1:66" x14ac:dyDescent="0.25">
      <c r="A175" s="34"/>
      <c r="B175" s="254"/>
      <c r="C175" s="254"/>
      <c r="D175" s="254"/>
      <c r="E175" s="254"/>
      <c r="F175" s="254"/>
      <c r="G175" s="254"/>
      <c r="H175" s="34"/>
      <c r="I175" s="34"/>
      <c r="J175" s="34"/>
      <c r="K175" s="34"/>
      <c r="L175" s="460"/>
      <c r="M175" s="430"/>
      <c r="N175" s="1172"/>
      <c r="O175" s="1172"/>
      <c r="P175" s="1186"/>
      <c r="Q175" s="1172"/>
      <c r="R175" s="1185"/>
      <c r="S175" s="430"/>
      <c r="T175" s="430"/>
      <c r="U175" s="458"/>
      <c r="V175" s="458"/>
      <c r="W175" s="430"/>
      <c r="X175" s="430"/>
      <c r="Y175" s="430"/>
      <c r="Z175" s="164"/>
      <c r="AA175" s="52"/>
      <c r="AB175" s="52"/>
      <c r="AC175" s="52"/>
      <c r="AD175" s="52"/>
      <c r="AE175" s="52"/>
      <c r="AF175" s="34"/>
      <c r="AG175" s="34"/>
      <c r="AH175" s="72"/>
      <c r="AI175" s="113"/>
      <c r="AJ175" s="34"/>
      <c r="AK175" s="34"/>
      <c r="AL175" s="336"/>
      <c r="AM175" s="336"/>
      <c r="AN175" s="336"/>
      <c r="AO175" s="336"/>
      <c r="AP175" s="336"/>
      <c r="AQ175" s="254"/>
      <c r="AR175" s="254"/>
      <c r="AS175" s="254"/>
      <c r="AT175" s="254"/>
      <c r="AU175" s="254"/>
      <c r="AV175" s="254"/>
      <c r="AW175" s="254"/>
      <c r="AX175" s="34"/>
      <c r="AY175" s="52"/>
      <c r="AZ175" s="52"/>
      <c r="BA175" s="52"/>
      <c r="BB175" s="52"/>
      <c r="BC175" s="52"/>
      <c r="BD175" s="52"/>
      <c r="BE175" s="52"/>
      <c r="BF175" s="34"/>
      <c r="BG175" s="34"/>
      <c r="BH175" s="34"/>
      <c r="BI175" s="34"/>
      <c r="BJ175" s="34"/>
      <c r="BK175" s="34"/>
      <c r="BL175" s="33"/>
      <c r="BM175" s="33"/>
      <c r="BN175" s="33"/>
    </row>
    <row r="176" spans="1:66" x14ac:dyDescent="0.25">
      <c r="A176" s="34"/>
      <c r="B176" s="254"/>
      <c r="C176" s="254"/>
      <c r="D176" s="254"/>
      <c r="E176" s="254"/>
      <c r="F176" s="254"/>
      <c r="G176" s="254"/>
      <c r="H176" s="34"/>
      <c r="I176" s="34"/>
      <c r="J176" s="34"/>
      <c r="K176" s="34"/>
      <c r="L176" s="460"/>
      <c r="M176" s="430"/>
      <c r="N176" s="1172"/>
      <c r="O176" s="1172"/>
      <c r="P176" s="1183"/>
      <c r="Q176" s="1172"/>
      <c r="R176" s="1185"/>
      <c r="S176" s="430"/>
      <c r="T176" s="430"/>
      <c r="U176" s="458"/>
      <c r="V176" s="458"/>
      <c r="W176" s="430"/>
      <c r="X176" s="430"/>
      <c r="Y176" s="430"/>
      <c r="Z176" s="164"/>
      <c r="AA176" s="34"/>
      <c r="AB176" s="34"/>
      <c r="AC176" s="34"/>
      <c r="AD176" s="34"/>
      <c r="AE176" s="34"/>
      <c r="AF176" s="34"/>
      <c r="AG176" s="34"/>
      <c r="AH176" s="72"/>
      <c r="AI176" s="113"/>
      <c r="AJ176" s="34"/>
      <c r="AK176" s="34"/>
      <c r="AL176" s="336"/>
      <c r="AM176" s="336"/>
      <c r="AN176" s="336"/>
      <c r="AO176" s="336"/>
      <c r="AP176" s="336"/>
      <c r="AQ176" s="254"/>
      <c r="AR176" s="254"/>
      <c r="AS176" s="254"/>
      <c r="AT176" s="254"/>
      <c r="AU176" s="254"/>
      <c r="AV176" s="254"/>
      <c r="AW176" s="254"/>
      <c r="AX176" s="34"/>
      <c r="AY176" s="52"/>
      <c r="AZ176" s="52"/>
      <c r="BA176" s="52"/>
      <c r="BB176" s="52"/>
      <c r="BC176" s="52"/>
      <c r="BD176" s="52"/>
      <c r="BE176" s="52"/>
      <c r="BF176" s="34"/>
      <c r="BG176" s="34"/>
      <c r="BH176" s="34"/>
      <c r="BI176" s="34"/>
      <c r="BJ176" s="34"/>
      <c r="BK176" s="34"/>
      <c r="BL176" s="33"/>
      <c r="BM176" s="33"/>
      <c r="BN176" s="33"/>
    </row>
    <row r="177" spans="1:197" ht="15.75" x14ac:dyDescent="0.25">
      <c r="A177" s="34"/>
      <c r="B177" s="254"/>
      <c r="C177" s="254"/>
      <c r="D177" s="314"/>
      <c r="E177" s="314"/>
      <c r="F177" s="254"/>
      <c r="G177" s="254"/>
      <c r="H177" s="34"/>
      <c r="I177" s="34"/>
      <c r="J177" s="34"/>
      <c r="K177" s="34"/>
      <c r="L177" s="460"/>
      <c r="M177" s="430"/>
      <c r="N177" s="1172"/>
      <c r="O177" s="1172"/>
      <c r="P177" s="1183"/>
      <c r="Q177" s="1172"/>
      <c r="R177" s="1185"/>
      <c r="S177" s="430"/>
      <c r="T177" s="430"/>
      <c r="U177" s="458"/>
      <c r="V177" s="458"/>
      <c r="W177" s="430"/>
      <c r="X177" s="430"/>
      <c r="Y177" s="430"/>
      <c r="Z177" s="164"/>
      <c r="AA177" s="34"/>
      <c r="AB177" s="34"/>
      <c r="AC177" s="34"/>
      <c r="AD177" s="34"/>
      <c r="AE177" s="34"/>
      <c r="AF177" s="34"/>
      <c r="AG177" s="34"/>
      <c r="AH177" s="72"/>
      <c r="AI177" s="113"/>
      <c r="AJ177" s="34"/>
      <c r="AK177" s="34"/>
      <c r="AL177" s="362"/>
      <c r="AM177" s="362"/>
      <c r="AN177" s="336"/>
      <c r="AO177" s="336"/>
      <c r="AP177" s="336"/>
      <c r="AQ177" s="254"/>
      <c r="AR177" s="34"/>
      <c r="AS177" s="34"/>
      <c r="AT177" s="34"/>
      <c r="AU177" s="34"/>
      <c r="AV177" s="34"/>
      <c r="AW177" s="34"/>
      <c r="AX177" s="34"/>
      <c r="AY177" s="52"/>
      <c r="AZ177" s="52"/>
      <c r="BA177" s="52"/>
      <c r="BB177" s="52"/>
      <c r="BC177" s="52"/>
      <c r="BD177" s="52"/>
      <c r="BE177" s="52"/>
      <c r="BF177" s="34"/>
      <c r="BG177" s="34"/>
      <c r="BH177" s="34"/>
      <c r="BI177" s="34"/>
      <c r="BJ177" s="34"/>
      <c r="BK177" s="34"/>
      <c r="BL177" s="33"/>
      <c r="BM177" s="33"/>
      <c r="BN177" s="33"/>
    </row>
    <row r="178" spans="1:197" ht="20.25" x14ac:dyDescent="0.25">
      <c r="A178" s="34"/>
      <c r="B178" s="254"/>
      <c r="C178" s="314"/>
      <c r="D178" s="269"/>
      <c r="E178" s="269"/>
      <c r="F178" s="314"/>
      <c r="G178" s="254"/>
      <c r="H178" s="34"/>
      <c r="I178" s="34"/>
      <c r="J178" s="34"/>
      <c r="K178" s="34"/>
      <c r="L178" s="460"/>
      <c r="M178" s="430"/>
      <c r="N178" s="1172"/>
      <c r="O178" s="1172"/>
      <c r="P178" s="1183"/>
      <c r="Q178" s="1172"/>
      <c r="R178" s="1185"/>
      <c r="S178" s="430"/>
      <c r="T178" s="430"/>
      <c r="U178" s="458"/>
      <c r="V178" s="458"/>
      <c r="W178" s="430"/>
      <c r="X178" s="430"/>
      <c r="Y178" s="430"/>
      <c r="Z178" s="164"/>
      <c r="AA178" s="34"/>
      <c r="AB178" s="34"/>
      <c r="AC178" s="34"/>
      <c r="AD178" s="34"/>
      <c r="AE178" s="34"/>
      <c r="AF178" s="34"/>
      <c r="AG178" s="34"/>
      <c r="AH178" s="72"/>
      <c r="AI178" s="113"/>
      <c r="AJ178" s="34"/>
      <c r="AK178" s="34"/>
      <c r="AL178" s="362"/>
      <c r="AM178" s="362"/>
      <c r="AN178" s="254"/>
      <c r="AO178" s="462"/>
      <c r="AP178" s="463"/>
      <c r="AQ178" s="75"/>
      <c r="AR178" s="34"/>
      <c r="AS178" s="34"/>
      <c r="AT178" s="34"/>
      <c r="AU178" s="34"/>
      <c r="AV178" s="34"/>
      <c r="AW178" s="34"/>
      <c r="AX178" s="34"/>
      <c r="AY178" s="52"/>
      <c r="AZ178" s="52"/>
      <c r="BA178" s="52"/>
      <c r="BB178" s="52"/>
      <c r="BC178" s="52"/>
      <c r="BD178" s="52"/>
      <c r="BE178" s="52"/>
      <c r="BF178" s="34"/>
      <c r="BG178" s="34"/>
      <c r="BH178" s="34"/>
      <c r="BI178" s="34"/>
      <c r="BJ178" s="34"/>
      <c r="BK178" s="34"/>
      <c r="BL178" s="33"/>
      <c r="BM178" s="33"/>
      <c r="BN178" s="33"/>
    </row>
    <row r="179" spans="1:197" ht="23.25" x14ac:dyDescent="0.25">
      <c r="A179" s="34"/>
      <c r="B179" s="314"/>
      <c r="C179" s="269"/>
      <c r="D179" s="263"/>
      <c r="E179" s="263"/>
      <c r="F179" s="269"/>
      <c r="G179" s="254"/>
      <c r="H179" s="34"/>
      <c r="I179" s="34"/>
      <c r="J179" s="34"/>
      <c r="K179" s="34"/>
      <c r="L179" s="460"/>
      <c r="M179" s="430"/>
      <c r="N179" s="1172"/>
      <c r="O179" s="1172"/>
      <c r="P179" s="1172"/>
      <c r="Q179" s="1172"/>
      <c r="R179" s="1172"/>
      <c r="S179" s="430"/>
      <c r="T179" s="430"/>
      <c r="U179" s="458"/>
      <c r="V179" s="458"/>
      <c r="W179" s="430"/>
      <c r="X179" s="430"/>
      <c r="Y179" s="430"/>
      <c r="Z179" s="164"/>
      <c r="AA179" s="34"/>
      <c r="AB179" s="34"/>
      <c r="AC179" s="34"/>
      <c r="AD179" s="34"/>
      <c r="AE179" s="34"/>
      <c r="AF179" s="34"/>
      <c r="AG179" s="34"/>
      <c r="AH179" s="72"/>
      <c r="AI179" s="113"/>
      <c r="AJ179" s="34"/>
      <c r="AK179" s="34"/>
      <c r="AL179" s="362"/>
      <c r="AM179" s="362"/>
      <c r="AN179" s="393"/>
      <c r="AO179" s="463"/>
      <c r="AP179" s="464"/>
      <c r="AQ179" s="463"/>
      <c r="AR179" s="34"/>
      <c r="AS179" s="34"/>
      <c r="AT179" s="34"/>
      <c r="AU179" s="34"/>
      <c r="AV179" s="34"/>
      <c r="AW179" s="34"/>
      <c r="AX179" s="34"/>
      <c r="AY179" s="52"/>
      <c r="AZ179" s="52"/>
      <c r="BA179" s="52"/>
      <c r="BB179" s="52"/>
      <c r="BC179" s="52"/>
      <c r="BD179" s="52"/>
      <c r="BE179" s="52"/>
      <c r="BF179" s="34"/>
      <c r="BG179" s="34"/>
      <c r="BH179" s="34"/>
      <c r="BI179" s="34"/>
      <c r="BJ179" s="34"/>
      <c r="BK179" s="34"/>
      <c r="BL179" s="33"/>
      <c r="BM179" s="33"/>
      <c r="BN179" s="33"/>
    </row>
    <row r="180" spans="1:197" ht="23.25" x14ac:dyDescent="0.25">
      <c r="A180" s="34"/>
      <c r="B180" s="314"/>
      <c r="C180" s="269"/>
      <c r="D180" s="263"/>
      <c r="E180" s="263"/>
      <c r="F180" s="269"/>
      <c r="G180" s="254"/>
      <c r="H180" s="34"/>
      <c r="I180" s="34"/>
      <c r="J180" s="34"/>
      <c r="K180" s="34"/>
      <c r="L180" s="460"/>
      <c r="M180" s="430"/>
      <c r="N180" s="1172"/>
      <c r="O180" s="1172"/>
      <c r="P180" s="1172"/>
      <c r="Q180" s="1172"/>
      <c r="R180" s="1187"/>
      <c r="S180" s="430"/>
      <c r="T180" s="430"/>
      <c r="U180" s="458"/>
      <c r="V180" s="458"/>
      <c r="W180" s="430"/>
      <c r="X180" s="430"/>
      <c r="Y180" s="430"/>
      <c r="Z180" s="466"/>
      <c r="AA180" s="34"/>
      <c r="AB180" s="34"/>
      <c r="AC180" s="34"/>
      <c r="AD180" s="34"/>
      <c r="AE180" s="34"/>
      <c r="AF180" s="34"/>
      <c r="AG180" s="34"/>
      <c r="AH180" s="72"/>
      <c r="AI180" s="113"/>
      <c r="AJ180" s="34"/>
      <c r="AK180" s="34"/>
      <c r="AL180" s="362"/>
      <c r="AM180" s="362"/>
      <c r="AN180" s="463"/>
      <c r="AO180" s="464"/>
      <c r="AP180" s="464"/>
      <c r="AQ180" s="463"/>
      <c r="AR180" s="34"/>
      <c r="AS180" s="34"/>
      <c r="AT180" s="34"/>
      <c r="AU180" s="34"/>
      <c r="AV180" s="34"/>
      <c r="AW180" s="34"/>
      <c r="AX180" s="34"/>
      <c r="AY180" s="52"/>
      <c r="AZ180" s="52"/>
      <c r="BA180" s="52"/>
      <c r="BB180" s="52"/>
      <c r="BC180" s="52"/>
      <c r="BD180" s="52"/>
      <c r="BE180" s="52"/>
      <c r="BF180" s="34"/>
      <c r="BG180" s="34"/>
      <c r="BH180" s="34"/>
      <c r="BI180" s="34"/>
      <c r="BJ180" s="34"/>
      <c r="BK180" s="34"/>
      <c r="BL180" s="33"/>
      <c r="BM180" s="33"/>
      <c r="BN180" s="33"/>
    </row>
    <row r="181" spans="1:197" ht="23.25" x14ac:dyDescent="0.25">
      <c r="A181" s="34"/>
      <c r="B181" s="314"/>
      <c r="C181" s="269"/>
      <c r="D181" s="263"/>
      <c r="E181" s="263"/>
      <c r="F181" s="269"/>
      <c r="G181" s="254"/>
      <c r="H181" s="34"/>
      <c r="I181" s="34"/>
      <c r="J181" s="34"/>
      <c r="K181" s="34"/>
      <c r="L181" s="460"/>
      <c r="M181" s="465"/>
      <c r="N181" s="465"/>
      <c r="O181" s="465"/>
      <c r="P181" s="465"/>
      <c r="Q181" s="465"/>
      <c r="R181" s="465"/>
      <c r="S181" s="465"/>
      <c r="T181" s="465"/>
      <c r="U181" s="467"/>
      <c r="V181" s="467"/>
      <c r="W181" s="164"/>
      <c r="X181" s="465"/>
      <c r="Y181" s="465"/>
      <c r="Z181" s="466"/>
      <c r="AA181" s="34"/>
      <c r="AB181" s="34"/>
      <c r="AC181" s="34"/>
      <c r="AD181" s="34"/>
      <c r="AE181" s="34"/>
      <c r="AF181" s="34"/>
      <c r="AG181" s="34"/>
      <c r="AH181" s="72"/>
      <c r="AI181" s="113"/>
      <c r="AJ181" s="34"/>
      <c r="AK181" s="34"/>
      <c r="AL181" s="362"/>
      <c r="AM181" s="362"/>
      <c r="AN181" s="463"/>
      <c r="AO181" s="464"/>
      <c r="AP181" s="463"/>
      <c r="AQ181" s="254"/>
      <c r="AR181" s="34"/>
      <c r="AS181" s="34"/>
      <c r="AT181" s="34"/>
      <c r="AU181" s="34"/>
      <c r="AV181" s="34"/>
      <c r="AW181" s="34"/>
      <c r="AX181" s="34"/>
      <c r="AY181" s="52"/>
      <c r="AZ181" s="52"/>
      <c r="BA181" s="52"/>
      <c r="BB181" s="52"/>
      <c r="BC181" s="52"/>
      <c r="BD181" s="52"/>
      <c r="BE181" s="52"/>
      <c r="BF181" s="34"/>
      <c r="BG181" s="34"/>
      <c r="BH181" s="34"/>
      <c r="BI181" s="34"/>
      <c r="BJ181" s="34"/>
      <c r="BK181" s="34"/>
      <c r="BL181" s="33"/>
      <c r="BM181" s="33"/>
      <c r="BN181" s="33"/>
    </row>
    <row r="182" spans="1:197" ht="20.25" x14ac:dyDescent="0.25">
      <c r="A182" s="34"/>
      <c r="B182" s="314"/>
      <c r="C182" s="269"/>
      <c r="D182" s="263"/>
      <c r="E182" s="263"/>
      <c r="F182" s="269"/>
      <c r="G182" s="254"/>
      <c r="H182" s="34"/>
      <c r="I182" s="34"/>
      <c r="J182" s="34"/>
      <c r="K182" s="34"/>
      <c r="L182" s="460"/>
      <c r="M182" s="465"/>
      <c r="N182" s="465"/>
      <c r="O182" s="465"/>
      <c r="P182" s="465"/>
      <c r="Q182" s="465"/>
      <c r="R182" s="465"/>
      <c r="S182" s="465"/>
      <c r="T182" s="465"/>
      <c r="U182" s="468"/>
      <c r="V182" s="467"/>
      <c r="W182" s="164"/>
      <c r="X182" s="465"/>
      <c r="Y182" s="465"/>
      <c r="Z182" s="164"/>
      <c r="AA182" s="34"/>
      <c r="AB182" s="34"/>
      <c r="AC182" s="34"/>
      <c r="AD182" s="34"/>
      <c r="AE182" s="34"/>
      <c r="AF182" s="34"/>
      <c r="AG182" s="34"/>
      <c r="AH182" s="72"/>
      <c r="AI182" s="113"/>
      <c r="AJ182" s="34"/>
      <c r="AK182" s="34"/>
      <c r="AL182" s="34"/>
      <c r="AM182" s="34"/>
      <c r="AN182" s="391"/>
      <c r="AO182" s="463"/>
      <c r="AP182" s="469"/>
      <c r="AQ182" s="75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3"/>
      <c r="BM182" s="33"/>
      <c r="BN182" s="33"/>
    </row>
    <row r="183" spans="1:197" ht="18" x14ac:dyDescent="0.25">
      <c r="A183" s="34"/>
      <c r="B183" s="314"/>
      <c r="C183" s="269"/>
      <c r="D183" s="263"/>
      <c r="E183" s="263"/>
      <c r="F183" s="269"/>
      <c r="G183" s="254"/>
      <c r="H183" s="34"/>
      <c r="I183" s="34"/>
      <c r="J183" s="34"/>
      <c r="K183" s="34"/>
      <c r="L183" s="460"/>
      <c r="M183" s="465"/>
      <c r="N183" s="465"/>
      <c r="O183" s="465"/>
      <c r="P183" s="465"/>
      <c r="Q183" s="465"/>
      <c r="R183" s="164"/>
      <c r="S183" s="430"/>
      <c r="T183" s="430"/>
      <c r="U183" s="458"/>
      <c r="V183" s="458"/>
      <c r="W183" s="430"/>
      <c r="X183" s="430"/>
      <c r="Y183" s="430"/>
      <c r="Z183" s="430"/>
      <c r="AA183" s="430"/>
      <c r="AB183" s="34"/>
      <c r="AC183" s="34"/>
      <c r="AD183" s="34"/>
      <c r="AE183" s="34"/>
      <c r="AF183" s="34"/>
      <c r="AG183" s="34"/>
      <c r="AH183" s="72"/>
      <c r="AI183" s="113"/>
      <c r="AJ183" s="34"/>
      <c r="AK183" s="34"/>
      <c r="AL183" s="34"/>
      <c r="AM183" s="34"/>
      <c r="AN183" s="407"/>
      <c r="AO183" s="407"/>
      <c r="AP183" s="77"/>
      <c r="AQ183" s="75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3"/>
      <c r="BM183" s="33"/>
      <c r="BN183" s="33"/>
    </row>
    <row r="184" spans="1:197" ht="18" x14ac:dyDescent="0.25">
      <c r="A184" s="34"/>
      <c r="B184" s="409"/>
      <c r="C184" s="314"/>
      <c r="D184" s="269"/>
      <c r="E184" s="269"/>
      <c r="F184" s="314"/>
      <c r="G184" s="254"/>
      <c r="H184" s="34"/>
      <c r="I184" s="34"/>
      <c r="J184" s="34"/>
      <c r="K184" s="34"/>
      <c r="L184" s="470"/>
      <c r="M184" s="164"/>
      <c r="N184" s="164"/>
      <c r="O184" s="164"/>
      <c r="P184" s="164"/>
      <c r="Q184" s="164"/>
      <c r="R184" s="34"/>
      <c r="S184" s="430"/>
      <c r="T184" s="430"/>
      <c r="U184" s="458"/>
      <c r="V184" s="458"/>
      <c r="W184" s="430"/>
      <c r="X184" s="430"/>
      <c r="Y184" s="430"/>
      <c r="Z184" s="430"/>
      <c r="AA184" s="430"/>
      <c r="AB184" s="34"/>
      <c r="AC184" s="34"/>
      <c r="AD184" s="34"/>
      <c r="AE184" s="34"/>
      <c r="AF184" s="34"/>
      <c r="AG184" s="34"/>
      <c r="AH184" s="72"/>
      <c r="AI184" s="113"/>
      <c r="AJ184" s="34"/>
      <c r="AK184" s="34"/>
      <c r="AL184" s="34"/>
      <c r="AM184" s="34"/>
      <c r="AN184" s="254"/>
      <c r="AO184" s="254"/>
      <c r="AP184" s="254"/>
      <c r="AQ184" s="25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3"/>
      <c r="BM184" s="33"/>
      <c r="BN184" s="33"/>
    </row>
    <row r="185" spans="1:197" ht="16.5" thickBot="1" x14ac:dyDescent="0.3">
      <c r="A185" s="34"/>
      <c r="B185" s="77"/>
      <c r="C185" s="77"/>
      <c r="D185" s="314"/>
      <c r="E185" s="314"/>
      <c r="F185" s="77"/>
      <c r="G185" s="254"/>
      <c r="H185" s="34"/>
      <c r="I185" s="34"/>
      <c r="J185" s="34"/>
      <c r="K185" s="34"/>
      <c r="L185" s="471"/>
      <c r="M185" s="472"/>
      <c r="N185" s="472"/>
      <c r="O185" s="472"/>
      <c r="P185" s="472"/>
      <c r="Q185" s="472"/>
      <c r="R185" s="472"/>
      <c r="S185" s="426"/>
      <c r="T185" s="426"/>
      <c r="U185" s="473"/>
      <c r="V185" s="473"/>
      <c r="W185" s="426"/>
      <c r="X185" s="426"/>
      <c r="Y185" s="426"/>
      <c r="Z185" s="426"/>
      <c r="AA185" s="426"/>
      <c r="AB185" s="223"/>
      <c r="AC185" s="223"/>
      <c r="AD185" s="223"/>
      <c r="AE185" s="223"/>
      <c r="AF185" s="223"/>
      <c r="AG185" s="223"/>
      <c r="AH185" s="474"/>
      <c r="AI185" s="113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3"/>
      <c r="BM185" s="33"/>
      <c r="BN185" s="33"/>
    </row>
    <row r="186" spans="1:197" x14ac:dyDescent="0.25">
      <c r="A186" s="34"/>
      <c r="B186" s="254"/>
      <c r="C186" s="254"/>
      <c r="D186" s="254"/>
      <c r="E186" s="254"/>
      <c r="F186" s="254"/>
      <c r="G186" s="25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62"/>
      <c r="V186" s="362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3"/>
      <c r="BM186" s="33"/>
      <c r="BN186" s="33"/>
    </row>
    <row r="187" spans="1:197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</row>
    <row r="188" spans="1:197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</row>
    <row r="191" spans="1:197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  <c r="CC191" s="147"/>
      <c r="CD191" s="147"/>
      <c r="CE191" s="147"/>
      <c r="CF191" s="147"/>
      <c r="CG191" s="147"/>
      <c r="CH191" s="147"/>
      <c r="CI191" s="147"/>
      <c r="CJ191" s="147"/>
      <c r="CK191" s="147"/>
      <c r="CL191" s="147"/>
      <c r="CM191" s="147"/>
      <c r="CN191" s="147"/>
      <c r="CO191" s="147"/>
      <c r="CP191" s="147"/>
      <c r="CQ191" s="147"/>
      <c r="CR191" s="147"/>
      <c r="CS191" s="147"/>
      <c r="CT191" s="147"/>
      <c r="CU191" s="147"/>
      <c r="CV191" s="147"/>
      <c r="CW191" s="147"/>
      <c r="CX191" s="147"/>
      <c r="CY191" s="147"/>
      <c r="CZ191" s="147"/>
      <c r="DA191" s="147"/>
      <c r="DB191" s="147"/>
      <c r="DC191" s="147"/>
      <c r="DD191" s="147"/>
      <c r="DE191" s="147"/>
      <c r="DF191" s="147"/>
      <c r="DG191" s="147"/>
      <c r="DH191" s="147"/>
      <c r="DI191" s="147"/>
      <c r="DJ191" s="147"/>
      <c r="DK191" s="147"/>
      <c r="DL191" s="147"/>
      <c r="DM191" s="147"/>
      <c r="DN191" s="147"/>
      <c r="DO191" s="147"/>
      <c r="DP191" s="147"/>
      <c r="DQ191" s="147"/>
      <c r="DR191" s="147"/>
      <c r="DS191" s="147"/>
      <c r="DT191" s="147"/>
      <c r="DU191" s="147"/>
      <c r="DV191" s="147"/>
      <c r="DW191" s="147"/>
      <c r="DX191" s="147"/>
      <c r="DY191" s="147"/>
      <c r="DZ191" s="147"/>
      <c r="EA191" s="147"/>
      <c r="EB191" s="147"/>
      <c r="EC191" s="147"/>
      <c r="ED191" s="147"/>
      <c r="EE191" s="147"/>
      <c r="EF191" s="147"/>
      <c r="EG191" s="147"/>
      <c r="EH191" s="147"/>
      <c r="EI191" s="147"/>
      <c r="EJ191" s="147"/>
      <c r="EK191" s="147"/>
      <c r="EL191" s="147"/>
      <c r="EM191" s="147"/>
      <c r="EN191" s="147"/>
      <c r="EO191" s="147"/>
      <c r="EP191" s="147"/>
      <c r="EQ191" s="147"/>
      <c r="ER191" s="147"/>
      <c r="ES191" s="147"/>
      <c r="ET191" s="147"/>
      <c r="EU191" s="147"/>
      <c r="EV191" s="147"/>
      <c r="EW191" s="147"/>
      <c r="EX191" s="147"/>
      <c r="EY191" s="147"/>
      <c r="EZ191" s="147"/>
      <c r="FA191" s="147"/>
      <c r="FB191" s="147"/>
      <c r="FC191" s="147"/>
      <c r="FD191" s="147"/>
      <c r="FE191" s="147"/>
      <c r="FF191" s="147"/>
      <c r="FG191" s="147"/>
      <c r="FH191" s="147"/>
      <c r="FI191" s="147"/>
      <c r="FJ191" s="147"/>
      <c r="FK191" s="147"/>
      <c r="FL191" s="147"/>
      <c r="FM191" s="147"/>
      <c r="FN191" s="147"/>
      <c r="FO191" s="147"/>
      <c r="FP191" s="147"/>
      <c r="FQ191" s="147"/>
      <c r="FR191" s="147"/>
      <c r="FS191" s="147"/>
      <c r="FT191" s="147"/>
      <c r="FU191" s="147"/>
      <c r="FV191" s="147"/>
      <c r="FW191" s="147"/>
      <c r="FX191" s="147"/>
      <c r="FY191" s="147"/>
      <c r="FZ191" s="147"/>
      <c r="GA191" s="147"/>
      <c r="GB191" s="147"/>
      <c r="GC191" s="147"/>
      <c r="GD191" s="147"/>
      <c r="GE191" s="147"/>
      <c r="GF191" s="147"/>
      <c r="GG191" s="147"/>
      <c r="GH191" s="147"/>
      <c r="GI191" s="147"/>
      <c r="GJ191" s="147"/>
      <c r="GK191" s="147"/>
      <c r="GL191" s="147"/>
      <c r="GM191" s="147"/>
      <c r="GN191" s="147"/>
      <c r="GO191" s="147"/>
    </row>
    <row r="192" spans="1:197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  <c r="CC192" s="147"/>
      <c r="CD192" s="147"/>
      <c r="CE192" s="147"/>
      <c r="CF192" s="147"/>
      <c r="CG192" s="147"/>
      <c r="CH192" s="147"/>
      <c r="CI192" s="147"/>
      <c r="CJ192" s="147"/>
      <c r="CK192" s="147"/>
      <c r="CL192" s="147"/>
      <c r="CM192" s="147"/>
      <c r="CN192" s="147"/>
      <c r="CO192" s="147"/>
      <c r="CP192" s="147"/>
      <c r="CQ192" s="147"/>
      <c r="CR192" s="147"/>
      <c r="CS192" s="147"/>
      <c r="CT192" s="147"/>
      <c r="CU192" s="147"/>
      <c r="CV192" s="147"/>
      <c r="CW192" s="147"/>
      <c r="CX192" s="147"/>
      <c r="CY192" s="147"/>
      <c r="CZ192" s="147"/>
      <c r="DA192" s="147"/>
      <c r="DB192" s="147"/>
      <c r="DC192" s="147"/>
      <c r="DD192" s="147"/>
      <c r="DE192" s="147"/>
      <c r="DF192" s="147"/>
      <c r="DG192" s="147"/>
      <c r="DH192" s="147"/>
      <c r="DI192" s="147"/>
      <c r="DJ192" s="147"/>
      <c r="DK192" s="147"/>
      <c r="DL192" s="147"/>
      <c r="DM192" s="147"/>
      <c r="DN192" s="147"/>
      <c r="DO192" s="147"/>
      <c r="DP192" s="147"/>
      <c r="DQ192" s="147"/>
      <c r="DR192" s="147"/>
      <c r="DS192" s="147"/>
      <c r="DT192" s="147"/>
      <c r="DU192" s="147"/>
      <c r="DV192" s="147"/>
      <c r="DW192" s="147"/>
      <c r="DX192" s="147"/>
      <c r="DY192" s="147"/>
      <c r="DZ192" s="147"/>
      <c r="EA192" s="147"/>
      <c r="EB192" s="147"/>
      <c r="EC192" s="147"/>
      <c r="ED192" s="147"/>
      <c r="EE192" s="147"/>
      <c r="EF192" s="147"/>
      <c r="EG192" s="147"/>
      <c r="EH192" s="147"/>
      <c r="EI192" s="147"/>
      <c r="EJ192" s="147"/>
      <c r="EK192" s="147"/>
      <c r="EL192" s="147"/>
      <c r="EM192" s="147"/>
      <c r="EN192" s="147"/>
      <c r="EO192" s="147"/>
      <c r="EP192" s="147"/>
      <c r="EQ192" s="147"/>
      <c r="ER192" s="147"/>
      <c r="ES192" s="147"/>
      <c r="ET192" s="147"/>
      <c r="EU192" s="147"/>
      <c r="EV192" s="147"/>
      <c r="EW192" s="147"/>
      <c r="EX192" s="147"/>
      <c r="EY192" s="147"/>
      <c r="EZ192" s="147"/>
      <c r="FA192" s="147"/>
      <c r="FB192" s="147"/>
      <c r="FC192" s="147"/>
      <c r="FD192" s="147"/>
      <c r="FE192" s="147"/>
      <c r="FF192" s="147"/>
      <c r="FG192" s="147"/>
      <c r="FH192" s="147"/>
      <c r="FI192" s="147"/>
      <c r="FJ192" s="147"/>
      <c r="FK192" s="147"/>
      <c r="FL192" s="147"/>
      <c r="FM192" s="147"/>
      <c r="FN192" s="147"/>
      <c r="FO192" s="147"/>
      <c r="FP192" s="147"/>
      <c r="FQ192" s="147"/>
      <c r="FR192" s="147"/>
      <c r="FS192" s="147"/>
      <c r="FT192" s="147"/>
      <c r="FU192" s="147"/>
      <c r="FV192" s="147"/>
      <c r="FW192" s="147"/>
      <c r="FX192" s="147"/>
      <c r="FY192" s="147"/>
      <c r="FZ192" s="147"/>
      <c r="GA192" s="147"/>
      <c r="GB192" s="147"/>
      <c r="GC192" s="147"/>
      <c r="GD192" s="147"/>
      <c r="GE192" s="147"/>
      <c r="GF192" s="147"/>
      <c r="GG192" s="147"/>
      <c r="GH192" s="147"/>
      <c r="GI192" s="147"/>
      <c r="GJ192" s="147"/>
      <c r="GK192" s="147"/>
      <c r="GL192" s="147"/>
      <c r="GM192" s="147"/>
      <c r="GN192" s="147"/>
      <c r="GO192" s="147"/>
    </row>
    <row r="193" spans="1:197" x14ac:dyDescent="0.2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  <c r="CC193" s="147"/>
      <c r="CD193" s="147"/>
      <c r="CE193" s="147"/>
      <c r="CF193" s="147"/>
      <c r="CG193" s="147"/>
      <c r="CH193" s="147"/>
      <c r="CI193" s="147"/>
      <c r="CJ193" s="147"/>
      <c r="CK193" s="147"/>
      <c r="CL193" s="147"/>
      <c r="CM193" s="147"/>
      <c r="CN193" s="147"/>
      <c r="CO193" s="147"/>
      <c r="CP193" s="147"/>
      <c r="CQ193" s="147"/>
      <c r="CR193" s="147"/>
      <c r="CS193" s="147"/>
      <c r="CT193" s="147"/>
      <c r="CU193" s="147"/>
      <c r="CV193" s="147"/>
      <c r="CW193" s="147"/>
      <c r="CX193" s="147"/>
      <c r="CY193" s="147"/>
      <c r="CZ193" s="147"/>
      <c r="DA193" s="147"/>
      <c r="DB193" s="147"/>
      <c r="DC193" s="147"/>
      <c r="DD193" s="147"/>
      <c r="DE193" s="147"/>
      <c r="DF193" s="147"/>
      <c r="DG193" s="147"/>
      <c r="DH193" s="147"/>
      <c r="DI193" s="147"/>
      <c r="DJ193" s="147"/>
      <c r="DK193" s="147"/>
      <c r="DL193" s="147"/>
      <c r="DM193" s="147"/>
      <c r="DN193" s="147"/>
      <c r="DO193" s="147"/>
      <c r="DP193" s="147"/>
      <c r="DQ193" s="147"/>
      <c r="DR193" s="147"/>
      <c r="DS193" s="147"/>
      <c r="DT193" s="147"/>
      <c r="DU193" s="147"/>
      <c r="DV193" s="147"/>
      <c r="DW193" s="147"/>
      <c r="DX193" s="147"/>
      <c r="DY193" s="147"/>
      <c r="DZ193" s="147"/>
      <c r="EA193" s="147"/>
      <c r="EB193" s="147"/>
      <c r="EC193" s="147"/>
      <c r="ED193" s="147"/>
      <c r="EE193" s="147"/>
      <c r="EF193" s="147"/>
      <c r="EG193" s="147"/>
      <c r="EH193" s="147"/>
      <c r="EI193" s="147"/>
      <c r="EJ193" s="147"/>
      <c r="EK193" s="147"/>
      <c r="EL193" s="147"/>
      <c r="EM193" s="147"/>
      <c r="EN193" s="147"/>
      <c r="EO193" s="147"/>
      <c r="EP193" s="147"/>
      <c r="EQ193" s="147"/>
      <c r="ER193" s="147"/>
      <c r="ES193" s="147"/>
      <c r="ET193" s="147"/>
      <c r="EU193" s="147"/>
      <c r="EV193" s="147"/>
      <c r="EW193" s="147"/>
      <c r="EX193" s="147"/>
      <c r="EY193" s="147"/>
      <c r="EZ193" s="147"/>
      <c r="FA193" s="147"/>
      <c r="FB193" s="147"/>
      <c r="FC193" s="147"/>
      <c r="FD193" s="147"/>
      <c r="FE193" s="147"/>
      <c r="FF193" s="147"/>
      <c r="FG193" s="147"/>
      <c r="FH193" s="147"/>
      <c r="FI193" s="147"/>
      <c r="FJ193" s="147"/>
      <c r="FK193" s="147"/>
      <c r="FL193" s="147"/>
      <c r="FM193" s="147"/>
      <c r="FN193" s="147"/>
      <c r="FO193" s="147"/>
      <c r="FP193" s="147"/>
      <c r="FQ193" s="147"/>
      <c r="FR193" s="147"/>
      <c r="FS193" s="147"/>
      <c r="FT193" s="147"/>
      <c r="FU193" s="147"/>
      <c r="FV193" s="147"/>
      <c r="FW193" s="147"/>
      <c r="FX193" s="147"/>
      <c r="FY193" s="147"/>
      <c r="FZ193" s="147"/>
      <c r="GA193" s="147"/>
      <c r="GB193" s="147"/>
      <c r="GC193" s="147"/>
      <c r="GD193" s="147"/>
      <c r="GE193" s="147"/>
      <c r="GF193" s="147"/>
      <c r="GG193" s="147"/>
      <c r="GH193" s="147"/>
      <c r="GI193" s="147"/>
      <c r="GJ193" s="147"/>
      <c r="GK193" s="147"/>
      <c r="GL193" s="147"/>
      <c r="GM193" s="147"/>
      <c r="GN193" s="147"/>
      <c r="GO193" s="147"/>
    </row>
    <row r="194" spans="1:197" x14ac:dyDescent="0.2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  <c r="CC194" s="147"/>
      <c r="CD194" s="147"/>
      <c r="CE194" s="147"/>
      <c r="CF194" s="147"/>
      <c r="CG194" s="147"/>
      <c r="CH194" s="147"/>
      <c r="CI194" s="147"/>
      <c r="CJ194" s="147"/>
      <c r="CK194" s="147"/>
      <c r="CL194" s="147"/>
      <c r="CM194" s="147"/>
      <c r="CN194" s="147"/>
      <c r="CO194" s="147"/>
      <c r="CP194" s="147"/>
      <c r="CQ194" s="147"/>
      <c r="CR194" s="147"/>
      <c r="CS194" s="147"/>
      <c r="CT194" s="147"/>
      <c r="CU194" s="147"/>
      <c r="CV194" s="147"/>
      <c r="CW194" s="147"/>
      <c r="CX194" s="147"/>
      <c r="CY194" s="147"/>
      <c r="CZ194" s="147"/>
      <c r="DA194" s="147"/>
      <c r="DB194" s="147"/>
      <c r="DC194" s="147"/>
      <c r="DD194" s="147"/>
      <c r="DE194" s="147"/>
      <c r="DF194" s="147"/>
      <c r="DG194" s="147"/>
      <c r="DH194" s="147"/>
      <c r="DI194" s="147"/>
      <c r="DJ194" s="147"/>
      <c r="DK194" s="147"/>
      <c r="DL194" s="147"/>
      <c r="DM194" s="147"/>
      <c r="DN194" s="147"/>
      <c r="DO194" s="147"/>
      <c r="DP194" s="147"/>
      <c r="DQ194" s="147"/>
      <c r="DR194" s="147"/>
      <c r="DS194" s="147"/>
      <c r="DT194" s="147"/>
      <c r="DU194" s="147"/>
      <c r="DV194" s="147"/>
      <c r="DW194" s="147"/>
      <c r="DX194" s="147"/>
      <c r="DY194" s="147"/>
      <c r="DZ194" s="147"/>
      <c r="EA194" s="147"/>
      <c r="EB194" s="147"/>
      <c r="EC194" s="147"/>
      <c r="ED194" s="147"/>
      <c r="EE194" s="147"/>
      <c r="EF194" s="147"/>
      <c r="EG194" s="147"/>
      <c r="EH194" s="147"/>
      <c r="EI194" s="147"/>
      <c r="EJ194" s="147"/>
      <c r="EK194" s="147"/>
      <c r="EL194" s="147"/>
      <c r="EM194" s="147"/>
      <c r="EN194" s="147"/>
      <c r="EO194" s="147"/>
      <c r="EP194" s="147"/>
      <c r="EQ194" s="147"/>
      <c r="ER194" s="147"/>
      <c r="ES194" s="147"/>
      <c r="ET194" s="147"/>
      <c r="EU194" s="147"/>
      <c r="EV194" s="147"/>
      <c r="EW194" s="147"/>
      <c r="EX194" s="147"/>
      <c r="EY194" s="147"/>
      <c r="EZ194" s="147"/>
      <c r="FA194" s="147"/>
      <c r="FB194" s="147"/>
      <c r="FC194" s="147"/>
      <c r="FD194" s="147"/>
      <c r="FE194" s="147"/>
      <c r="FF194" s="147"/>
      <c r="FG194" s="147"/>
      <c r="FH194" s="147"/>
      <c r="FI194" s="147"/>
      <c r="FJ194" s="147"/>
      <c r="FK194" s="147"/>
      <c r="FL194" s="147"/>
      <c r="FM194" s="147"/>
      <c r="FN194" s="147"/>
      <c r="FO194" s="147"/>
      <c r="FP194" s="147"/>
      <c r="FQ194" s="147"/>
      <c r="FR194" s="147"/>
      <c r="FS194" s="147"/>
      <c r="FT194" s="147"/>
      <c r="FU194" s="147"/>
      <c r="FV194" s="147"/>
      <c r="FW194" s="147"/>
      <c r="FX194" s="147"/>
      <c r="FY194" s="147"/>
      <c r="FZ194" s="147"/>
      <c r="GA194" s="147"/>
      <c r="GB194" s="147"/>
      <c r="GC194" s="147"/>
      <c r="GD194" s="147"/>
      <c r="GE194" s="147"/>
      <c r="GF194" s="147"/>
      <c r="GG194" s="147"/>
      <c r="GH194" s="147"/>
      <c r="GI194" s="147"/>
      <c r="GJ194" s="147"/>
      <c r="GK194" s="147"/>
      <c r="GL194" s="147"/>
      <c r="GM194" s="147"/>
      <c r="GN194" s="147"/>
      <c r="GO194" s="147"/>
    </row>
    <row r="195" spans="1:197" x14ac:dyDescent="0.2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  <c r="CC195" s="147"/>
      <c r="CD195" s="147"/>
      <c r="CE195" s="147"/>
      <c r="CF195" s="147"/>
      <c r="CG195" s="147"/>
      <c r="CH195" s="147"/>
      <c r="CI195" s="147"/>
      <c r="CJ195" s="147"/>
      <c r="CK195" s="147"/>
      <c r="CL195" s="147"/>
      <c r="CM195" s="147"/>
      <c r="CN195" s="147"/>
      <c r="CO195" s="147"/>
      <c r="CP195" s="147"/>
      <c r="CQ195" s="147"/>
      <c r="CR195" s="147"/>
      <c r="CS195" s="147"/>
      <c r="CT195" s="147"/>
      <c r="CU195" s="147"/>
      <c r="CV195" s="147"/>
      <c r="CW195" s="147"/>
      <c r="CX195" s="147"/>
      <c r="CY195" s="147"/>
      <c r="CZ195" s="147"/>
      <c r="DA195" s="147"/>
      <c r="DB195" s="147"/>
      <c r="DC195" s="147"/>
      <c r="DD195" s="147"/>
      <c r="DE195" s="147"/>
      <c r="DF195" s="147"/>
      <c r="DG195" s="147"/>
      <c r="DH195" s="147"/>
      <c r="DI195" s="147"/>
      <c r="DJ195" s="147"/>
      <c r="DK195" s="147"/>
      <c r="DL195" s="147"/>
      <c r="DM195" s="147"/>
      <c r="DN195" s="147"/>
      <c r="DO195" s="147"/>
      <c r="DP195" s="147"/>
      <c r="DQ195" s="147"/>
      <c r="DR195" s="147"/>
      <c r="DS195" s="147"/>
      <c r="DT195" s="147"/>
      <c r="DU195" s="147"/>
      <c r="DV195" s="147"/>
      <c r="DW195" s="147"/>
      <c r="DX195" s="147"/>
      <c r="DY195" s="147"/>
      <c r="DZ195" s="147"/>
      <c r="EA195" s="147"/>
      <c r="EB195" s="147"/>
      <c r="EC195" s="147"/>
      <c r="ED195" s="147"/>
      <c r="EE195" s="147"/>
      <c r="EF195" s="147"/>
      <c r="EG195" s="147"/>
      <c r="EH195" s="147"/>
      <c r="EI195" s="147"/>
      <c r="EJ195" s="147"/>
      <c r="EK195" s="147"/>
      <c r="EL195" s="147"/>
      <c r="EM195" s="147"/>
      <c r="EN195" s="147"/>
      <c r="EO195" s="147"/>
      <c r="EP195" s="147"/>
      <c r="EQ195" s="147"/>
      <c r="ER195" s="147"/>
      <c r="ES195" s="147"/>
      <c r="ET195" s="147"/>
      <c r="EU195" s="147"/>
      <c r="EV195" s="147"/>
      <c r="EW195" s="147"/>
      <c r="EX195" s="147"/>
      <c r="EY195" s="147"/>
      <c r="EZ195" s="147"/>
      <c r="FA195" s="147"/>
      <c r="FB195" s="147"/>
      <c r="FC195" s="147"/>
      <c r="FD195" s="147"/>
      <c r="FE195" s="147"/>
      <c r="FF195" s="147"/>
      <c r="FG195" s="147"/>
      <c r="FH195" s="147"/>
      <c r="FI195" s="147"/>
      <c r="FJ195" s="147"/>
      <c r="FK195" s="147"/>
      <c r="FL195" s="147"/>
      <c r="FM195" s="147"/>
      <c r="FN195" s="147"/>
      <c r="FO195" s="147"/>
      <c r="FP195" s="147"/>
      <c r="FQ195" s="147"/>
      <c r="FR195" s="147"/>
      <c r="FS195" s="147"/>
      <c r="FT195" s="147"/>
      <c r="FU195" s="147"/>
      <c r="FV195" s="147"/>
      <c r="FW195" s="147"/>
      <c r="FX195" s="147"/>
      <c r="FY195" s="147"/>
      <c r="FZ195" s="147"/>
      <c r="GA195" s="147"/>
      <c r="GB195" s="147"/>
      <c r="GC195" s="147"/>
      <c r="GD195" s="147"/>
      <c r="GE195" s="147"/>
      <c r="GF195" s="147"/>
      <c r="GG195" s="147"/>
      <c r="GH195" s="147"/>
      <c r="GI195" s="147"/>
      <c r="GJ195" s="147"/>
      <c r="GK195" s="147"/>
      <c r="GL195" s="147"/>
      <c r="GM195" s="147"/>
      <c r="GN195" s="147"/>
      <c r="GO195" s="147"/>
    </row>
    <row r="196" spans="1:197" x14ac:dyDescent="0.2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  <c r="CC196" s="147"/>
      <c r="CD196" s="147"/>
      <c r="CE196" s="147"/>
      <c r="CF196" s="147"/>
      <c r="CG196" s="147"/>
      <c r="CH196" s="147"/>
      <c r="CI196" s="147"/>
      <c r="CJ196" s="147"/>
      <c r="CK196" s="147"/>
      <c r="CL196" s="147"/>
      <c r="CM196" s="147"/>
      <c r="CN196" s="147"/>
      <c r="CO196" s="147"/>
      <c r="CP196" s="147"/>
      <c r="CQ196" s="147"/>
      <c r="CR196" s="147"/>
      <c r="CS196" s="147"/>
      <c r="CT196" s="147"/>
      <c r="CU196" s="147"/>
      <c r="CV196" s="147"/>
      <c r="CW196" s="147"/>
      <c r="CX196" s="147"/>
      <c r="CY196" s="147"/>
      <c r="CZ196" s="147"/>
      <c r="DA196" s="147"/>
      <c r="DB196" s="147"/>
      <c r="DC196" s="147"/>
      <c r="DD196" s="147"/>
      <c r="DE196" s="147"/>
      <c r="DF196" s="147"/>
      <c r="DG196" s="147"/>
      <c r="DH196" s="147"/>
      <c r="DI196" s="147"/>
      <c r="DJ196" s="147"/>
      <c r="DK196" s="147"/>
      <c r="DL196" s="147"/>
      <c r="DM196" s="147"/>
      <c r="DN196" s="147"/>
      <c r="DO196" s="147"/>
      <c r="DP196" s="147"/>
      <c r="DQ196" s="147"/>
      <c r="DR196" s="147"/>
      <c r="DS196" s="147"/>
      <c r="DT196" s="147"/>
      <c r="DU196" s="147"/>
      <c r="DV196" s="147"/>
      <c r="DW196" s="147"/>
      <c r="DX196" s="147"/>
      <c r="DY196" s="147"/>
      <c r="DZ196" s="147"/>
      <c r="EA196" s="147"/>
      <c r="EB196" s="147"/>
      <c r="EC196" s="147"/>
      <c r="ED196" s="147"/>
      <c r="EE196" s="147"/>
      <c r="EF196" s="147"/>
      <c r="EG196" s="147"/>
      <c r="EH196" s="147"/>
      <c r="EI196" s="147"/>
      <c r="EJ196" s="147"/>
      <c r="EK196" s="147"/>
      <c r="EL196" s="147"/>
      <c r="EM196" s="147"/>
      <c r="EN196" s="147"/>
      <c r="EO196" s="147"/>
      <c r="EP196" s="147"/>
      <c r="EQ196" s="147"/>
      <c r="ER196" s="147"/>
      <c r="ES196" s="147"/>
      <c r="ET196" s="147"/>
      <c r="EU196" s="147"/>
      <c r="EV196" s="147"/>
      <c r="EW196" s="147"/>
      <c r="EX196" s="147"/>
      <c r="EY196" s="147"/>
      <c r="EZ196" s="147"/>
      <c r="FA196" s="147"/>
      <c r="FB196" s="147"/>
      <c r="FC196" s="147"/>
      <c r="FD196" s="147"/>
      <c r="FE196" s="147"/>
      <c r="FF196" s="147"/>
      <c r="FG196" s="147"/>
      <c r="FH196" s="147"/>
      <c r="FI196" s="147"/>
      <c r="FJ196" s="147"/>
      <c r="FK196" s="147"/>
      <c r="FL196" s="147"/>
      <c r="FM196" s="147"/>
      <c r="FN196" s="147"/>
      <c r="FO196" s="147"/>
      <c r="FP196" s="147"/>
      <c r="FQ196" s="147"/>
      <c r="FR196" s="147"/>
      <c r="FS196" s="147"/>
      <c r="FT196" s="147"/>
      <c r="FU196" s="147"/>
      <c r="FV196" s="147"/>
      <c r="FW196" s="147"/>
      <c r="FX196" s="147"/>
      <c r="FY196" s="147"/>
      <c r="FZ196" s="147"/>
      <c r="GA196" s="147"/>
      <c r="GB196" s="147"/>
      <c r="GC196" s="147"/>
      <c r="GD196" s="147"/>
      <c r="GE196" s="147"/>
      <c r="GF196" s="147"/>
      <c r="GG196" s="147"/>
      <c r="GH196" s="147"/>
      <c r="GI196" s="147"/>
      <c r="GJ196" s="147"/>
      <c r="GK196" s="147"/>
      <c r="GL196" s="147"/>
      <c r="GM196" s="147"/>
      <c r="GN196" s="147"/>
      <c r="GO196" s="147"/>
    </row>
    <row r="197" spans="1:197" x14ac:dyDescent="0.2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475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  <c r="CC197" s="147"/>
      <c r="CD197" s="147"/>
      <c r="CE197" s="147"/>
      <c r="CF197" s="147"/>
      <c r="CG197" s="147"/>
      <c r="CH197" s="147"/>
      <c r="CI197" s="147"/>
      <c r="CJ197" s="147"/>
      <c r="CK197" s="147"/>
      <c r="CL197" s="147"/>
      <c r="CM197" s="147"/>
      <c r="CN197" s="147"/>
      <c r="CO197" s="147"/>
      <c r="CP197" s="147"/>
      <c r="CQ197" s="147"/>
      <c r="CR197" s="147"/>
      <c r="CS197" s="147"/>
      <c r="CT197" s="147"/>
      <c r="CU197" s="147"/>
      <c r="CV197" s="147"/>
      <c r="CW197" s="147"/>
      <c r="CX197" s="147"/>
      <c r="CY197" s="147"/>
      <c r="CZ197" s="147"/>
      <c r="DA197" s="147"/>
      <c r="DB197" s="147"/>
      <c r="DC197" s="147"/>
      <c r="DD197" s="147"/>
      <c r="DE197" s="147"/>
      <c r="DF197" s="147"/>
      <c r="DG197" s="147"/>
      <c r="DH197" s="147"/>
      <c r="DI197" s="147"/>
      <c r="DJ197" s="147"/>
      <c r="DK197" s="147"/>
      <c r="DL197" s="147"/>
      <c r="DM197" s="147"/>
      <c r="DN197" s="147"/>
      <c r="DO197" s="147"/>
      <c r="DP197" s="147"/>
      <c r="DQ197" s="147"/>
      <c r="DR197" s="147"/>
      <c r="DS197" s="147"/>
      <c r="DT197" s="147"/>
      <c r="DU197" s="147"/>
      <c r="DV197" s="147"/>
      <c r="DW197" s="147"/>
      <c r="DX197" s="147"/>
      <c r="DY197" s="147"/>
      <c r="DZ197" s="147"/>
      <c r="EA197" s="147"/>
      <c r="EB197" s="147"/>
      <c r="EC197" s="147"/>
      <c r="ED197" s="147"/>
      <c r="EE197" s="147"/>
      <c r="EF197" s="147"/>
      <c r="EG197" s="147"/>
      <c r="EH197" s="147"/>
      <c r="EI197" s="147"/>
      <c r="EJ197" s="147"/>
      <c r="EK197" s="147"/>
      <c r="EL197" s="147"/>
      <c r="EM197" s="147"/>
      <c r="EN197" s="147"/>
      <c r="EO197" s="147"/>
      <c r="EP197" s="147"/>
      <c r="EQ197" s="147"/>
      <c r="ER197" s="147"/>
      <c r="ES197" s="147"/>
      <c r="ET197" s="147"/>
      <c r="EU197" s="147"/>
      <c r="EV197" s="147"/>
      <c r="EW197" s="147"/>
      <c r="EX197" s="147"/>
      <c r="EY197" s="147"/>
      <c r="EZ197" s="147"/>
      <c r="FA197" s="147"/>
      <c r="FB197" s="147"/>
      <c r="FC197" s="147"/>
      <c r="FD197" s="147"/>
      <c r="FE197" s="147"/>
      <c r="FF197" s="147"/>
      <c r="FG197" s="147"/>
      <c r="FH197" s="147"/>
      <c r="FI197" s="147"/>
      <c r="FJ197" s="147"/>
      <c r="FK197" s="147"/>
      <c r="FL197" s="147"/>
      <c r="FM197" s="147"/>
      <c r="FN197" s="147"/>
      <c r="FO197" s="147"/>
      <c r="FP197" s="147"/>
      <c r="FQ197" s="147"/>
      <c r="FR197" s="147"/>
      <c r="FS197" s="147"/>
      <c r="FT197" s="147"/>
      <c r="FU197" s="147"/>
      <c r="FV197" s="147"/>
      <c r="FW197" s="147"/>
      <c r="FX197" s="147"/>
      <c r="FY197" s="147"/>
      <c r="FZ197" s="147"/>
      <c r="GA197" s="147"/>
      <c r="GB197" s="147"/>
      <c r="GC197" s="147"/>
      <c r="GD197" s="147"/>
      <c r="GE197" s="147"/>
      <c r="GF197" s="147"/>
      <c r="GG197" s="147"/>
      <c r="GH197" s="147"/>
      <c r="GI197" s="147"/>
      <c r="GJ197" s="147"/>
      <c r="GK197" s="147"/>
      <c r="GL197" s="147"/>
      <c r="GM197" s="147"/>
      <c r="GN197" s="147"/>
      <c r="GO197" s="147"/>
    </row>
    <row r="198" spans="1:197" x14ac:dyDescent="0.2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475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  <c r="CC198" s="147"/>
      <c r="CD198" s="147"/>
      <c r="CE198" s="147"/>
      <c r="CF198" s="147"/>
      <c r="CG198" s="147"/>
      <c r="CH198" s="147"/>
      <c r="CI198" s="147"/>
      <c r="CJ198" s="147"/>
      <c r="CK198" s="147"/>
      <c r="CL198" s="147"/>
      <c r="CM198" s="147"/>
      <c r="CN198" s="147"/>
      <c r="CO198" s="147"/>
      <c r="CP198" s="147"/>
      <c r="CQ198" s="147"/>
      <c r="CR198" s="147"/>
      <c r="CS198" s="147"/>
      <c r="CT198" s="147"/>
      <c r="CU198" s="147"/>
      <c r="CV198" s="147"/>
      <c r="CW198" s="147"/>
      <c r="CX198" s="147"/>
      <c r="CY198" s="147"/>
      <c r="CZ198" s="147"/>
      <c r="DA198" s="147"/>
      <c r="DB198" s="147"/>
      <c r="DC198" s="147"/>
      <c r="DD198" s="147"/>
      <c r="DE198" s="147"/>
      <c r="DF198" s="147"/>
      <c r="DG198" s="147"/>
      <c r="DH198" s="147"/>
      <c r="DI198" s="147"/>
      <c r="DJ198" s="147"/>
      <c r="DK198" s="147"/>
      <c r="DL198" s="147"/>
      <c r="DM198" s="147"/>
      <c r="DN198" s="147"/>
      <c r="DO198" s="147"/>
      <c r="DP198" s="147"/>
      <c r="DQ198" s="147"/>
      <c r="DR198" s="147"/>
      <c r="DS198" s="147"/>
      <c r="DT198" s="147"/>
      <c r="DU198" s="147"/>
      <c r="DV198" s="147"/>
      <c r="DW198" s="147"/>
      <c r="DX198" s="147"/>
      <c r="DY198" s="147"/>
      <c r="DZ198" s="147"/>
      <c r="EA198" s="147"/>
      <c r="EB198" s="147"/>
      <c r="EC198" s="147"/>
      <c r="ED198" s="147"/>
      <c r="EE198" s="147"/>
      <c r="EF198" s="147"/>
      <c r="EG198" s="147"/>
      <c r="EH198" s="147"/>
      <c r="EI198" s="147"/>
      <c r="EJ198" s="147"/>
      <c r="EK198" s="147"/>
      <c r="EL198" s="147"/>
      <c r="EM198" s="147"/>
      <c r="EN198" s="147"/>
      <c r="EO198" s="147"/>
      <c r="EP198" s="147"/>
      <c r="EQ198" s="147"/>
      <c r="ER198" s="147"/>
      <c r="ES198" s="147"/>
      <c r="ET198" s="147"/>
      <c r="EU198" s="147"/>
      <c r="EV198" s="147"/>
      <c r="EW198" s="147"/>
      <c r="EX198" s="147"/>
      <c r="EY198" s="147"/>
      <c r="EZ198" s="147"/>
      <c r="FA198" s="147"/>
      <c r="FB198" s="147"/>
      <c r="FC198" s="147"/>
      <c r="FD198" s="147"/>
      <c r="FE198" s="147"/>
      <c r="FF198" s="147"/>
      <c r="FG198" s="147"/>
      <c r="FH198" s="147"/>
      <c r="FI198" s="147"/>
      <c r="FJ198" s="147"/>
      <c r="FK198" s="147"/>
      <c r="FL198" s="147"/>
      <c r="FM198" s="147"/>
      <c r="FN198" s="147"/>
      <c r="FO198" s="147"/>
      <c r="FP198" s="147"/>
      <c r="FQ198" s="147"/>
      <c r="FR198" s="147"/>
      <c r="FS198" s="147"/>
      <c r="FT198" s="147"/>
      <c r="FU198" s="147"/>
      <c r="FV198" s="147"/>
      <c r="FW198" s="147"/>
      <c r="FX198" s="147"/>
      <c r="FY198" s="147"/>
      <c r="FZ198" s="147"/>
      <c r="GA198" s="147"/>
      <c r="GB198" s="147"/>
      <c r="GC198" s="147"/>
      <c r="GD198" s="147"/>
      <c r="GE198" s="147"/>
      <c r="GF198" s="147"/>
      <c r="GG198" s="147"/>
      <c r="GH198" s="147"/>
      <c r="GI198" s="147"/>
      <c r="GJ198" s="147"/>
      <c r="GK198" s="147"/>
      <c r="GL198" s="147"/>
      <c r="GM198" s="147"/>
      <c r="GN198" s="147"/>
      <c r="GO198" s="147"/>
    </row>
    <row r="199" spans="1:197" x14ac:dyDescent="0.2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475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  <c r="CC199" s="147"/>
      <c r="CD199" s="147"/>
      <c r="CE199" s="147"/>
      <c r="CF199" s="147"/>
      <c r="CG199" s="147"/>
      <c r="CH199" s="147"/>
      <c r="CI199" s="147"/>
      <c r="CJ199" s="147"/>
      <c r="CK199" s="147"/>
      <c r="CL199" s="147"/>
      <c r="CM199" s="147"/>
      <c r="CN199" s="147"/>
      <c r="CO199" s="147"/>
      <c r="CP199" s="147"/>
      <c r="CQ199" s="147"/>
      <c r="CR199" s="147"/>
      <c r="CS199" s="147"/>
      <c r="CT199" s="147"/>
      <c r="CU199" s="147"/>
      <c r="CV199" s="147"/>
      <c r="CW199" s="147"/>
      <c r="CX199" s="147"/>
      <c r="CY199" s="147"/>
      <c r="CZ199" s="147"/>
      <c r="DA199" s="147"/>
      <c r="DB199" s="147"/>
      <c r="DC199" s="147"/>
      <c r="DD199" s="147"/>
      <c r="DE199" s="147"/>
      <c r="DF199" s="147"/>
      <c r="DG199" s="147"/>
      <c r="DH199" s="147"/>
      <c r="DI199" s="147"/>
      <c r="DJ199" s="147"/>
      <c r="DK199" s="147"/>
      <c r="DL199" s="147"/>
      <c r="DM199" s="147"/>
      <c r="DN199" s="147"/>
      <c r="DO199" s="147"/>
      <c r="DP199" s="147"/>
      <c r="DQ199" s="147"/>
      <c r="DR199" s="147"/>
      <c r="DS199" s="147"/>
      <c r="DT199" s="147"/>
      <c r="DU199" s="147"/>
      <c r="DV199" s="147"/>
      <c r="DW199" s="147"/>
      <c r="DX199" s="147"/>
      <c r="DY199" s="147"/>
      <c r="DZ199" s="147"/>
      <c r="EA199" s="147"/>
      <c r="EB199" s="147"/>
      <c r="EC199" s="147"/>
      <c r="ED199" s="147"/>
      <c r="EE199" s="147"/>
      <c r="EF199" s="147"/>
      <c r="EG199" s="147"/>
      <c r="EH199" s="147"/>
      <c r="EI199" s="147"/>
      <c r="EJ199" s="147"/>
      <c r="EK199" s="147"/>
      <c r="EL199" s="147"/>
      <c r="EM199" s="147"/>
      <c r="EN199" s="147"/>
      <c r="EO199" s="147"/>
      <c r="EP199" s="147"/>
      <c r="EQ199" s="147"/>
      <c r="ER199" s="147"/>
      <c r="ES199" s="147"/>
      <c r="ET199" s="147"/>
      <c r="EU199" s="147"/>
      <c r="EV199" s="147"/>
      <c r="EW199" s="147"/>
      <c r="EX199" s="147"/>
      <c r="EY199" s="147"/>
      <c r="EZ199" s="147"/>
      <c r="FA199" s="147"/>
      <c r="FB199" s="147"/>
      <c r="FC199" s="147"/>
      <c r="FD199" s="147"/>
      <c r="FE199" s="147"/>
      <c r="FF199" s="147"/>
      <c r="FG199" s="147"/>
      <c r="FH199" s="147"/>
      <c r="FI199" s="147"/>
      <c r="FJ199" s="147"/>
      <c r="FK199" s="147"/>
      <c r="FL199" s="147"/>
      <c r="FM199" s="147"/>
      <c r="FN199" s="147"/>
      <c r="FO199" s="147"/>
      <c r="FP199" s="147"/>
      <c r="FQ199" s="147"/>
      <c r="FR199" s="147"/>
      <c r="FS199" s="147"/>
      <c r="FT199" s="147"/>
      <c r="FU199" s="147"/>
      <c r="FV199" s="147"/>
      <c r="FW199" s="147"/>
      <c r="FX199" s="147"/>
      <c r="FY199" s="147"/>
      <c r="FZ199" s="147"/>
      <c r="GA199" s="147"/>
      <c r="GB199" s="147"/>
      <c r="GC199" s="147"/>
      <c r="GD199" s="147"/>
      <c r="GE199" s="147"/>
      <c r="GF199" s="147"/>
      <c r="GG199" s="147"/>
      <c r="GH199" s="147"/>
      <c r="GI199" s="147"/>
      <c r="GJ199" s="147"/>
      <c r="GK199" s="147"/>
      <c r="GL199" s="147"/>
      <c r="GM199" s="147"/>
      <c r="GN199" s="147"/>
      <c r="GO199" s="147"/>
    </row>
  </sheetData>
  <mergeCells count="82">
    <mergeCell ref="A1:BE1"/>
    <mergeCell ref="AE4:AQ4"/>
    <mergeCell ref="AD5:AG5"/>
    <mergeCell ref="O6:O11"/>
    <mergeCell ref="AX6:AY14"/>
    <mergeCell ref="AZ6:BB14"/>
    <mergeCell ref="BC6:BE14"/>
    <mergeCell ref="BF8:BG11"/>
    <mergeCell ref="S9:Z9"/>
    <mergeCell ref="AF10:AG10"/>
    <mergeCell ref="AF15:AG15"/>
    <mergeCell ref="AP16:AT22"/>
    <mergeCell ref="AZ17:BA17"/>
    <mergeCell ref="W20:X20"/>
    <mergeCell ref="AZ21:BA21"/>
    <mergeCell ref="AY82:BA82"/>
    <mergeCell ref="N51:T63"/>
    <mergeCell ref="P28:V28"/>
    <mergeCell ref="X30:Z30"/>
    <mergeCell ref="BD30:BE32"/>
    <mergeCell ref="E32:N32"/>
    <mergeCell ref="F34:K64"/>
    <mergeCell ref="AG35:AQ35"/>
    <mergeCell ref="AF36:AF39"/>
    <mergeCell ref="AD78:AE78"/>
    <mergeCell ref="AF78:AI78"/>
    <mergeCell ref="AJ78:AM78"/>
    <mergeCell ref="AN78:AQ78"/>
    <mergeCell ref="Z80:AF80"/>
    <mergeCell ref="BF40:BF42"/>
    <mergeCell ref="AT42:AT49"/>
    <mergeCell ref="U43:V44"/>
    <mergeCell ref="AQ43:AR43"/>
    <mergeCell ref="AZ49:BB49"/>
    <mergeCell ref="BM89:BM90"/>
    <mergeCell ref="AC90:AD90"/>
    <mergeCell ref="AG90:AJ90"/>
    <mergeCell ref="AY90:BA90"/>
    <mergeCell ref="BG90:BI90"/>
    <mergeCell ref="BG82:BH82"/>
    <mergeCell ref="AM84:AN84"/>
    <mergeCell ref="AS86:AT86"/>
    <mergeCell ref="X87:Y87"/>
    <mergeCell ref="R91:T99"/>
    <mergeCell ref="AU92:AU95"/>
    <mergeCell ref="AB93:AC93"/>
    <mergeCell ref="AM93:AN93"/>
    <mergeCell ref="AH94:AI94"/>
    <mergeCell ref="AQ96:AR96"/>
    <mergeCell ref="AS96:AT96"/>
    <mergeCell ref="AY98:BA98"/>
    <mergeCell ref="BG98:BH98"/>
    <mergeCell ref="V82:W82"/>
    <mergeCell ref="AJ82:AM82"/>
    <mergeCell ref="AN82:AQ82"/>
    <mergeCell ref="AJ101:AK101"/>
    <mergeCell ref="BM101:BM102"/>
    <mergeCell ref="AB103:AE104"/>
    <mergeCell ref="AQ103:AR103"/>
    <mergeCell ref="AQ104:AR104"/>
    <mergeCell ref="BG105:BH105"/>
    <mergeCell ref="S110:T112"/>
    <mergeCell ref="AY110:BA110"/>
    <mergeCell ref="AF114:AF115"/>
    <mergeCell ref="AI114:AI117"/>
    <mergeCell ref="AY115:BA115"/>
    <mergeCell ref="BG115:BH115"/>
    <mergeCell ref="AF116:AF117"/>
    <mergeCell ref="AN143:AN144"/>
    <mergeCell ref="AJ147:AQ147"/>
    <mergeCell ref="H117:P141"/>
    <mergeCell ref="BN118:BN123"/>
    <mergeCell ref="BL119:BL123"/>
    <mergeCell ref="AE120:AG120"/>
    <mergeCell ref="AV121:AV123"/>
    <mergeCell ref="AL123:AM123"/>
    <mergeCell ref="T151:AG168"/>
    <mergeCell ref="D127:E130"/>
    <mergeCell ref="W129:AF144"/>
    <mergeCell ref="T131:U131"/>
    <mergeCell ref="AH134:AH135"/>
    <mergeCell ref="F140:G149"/>
  </mergeCells>
  <conditionalFormatting sqref="BB91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2025-10-28T19:23:11Z</dcterms:modified>
</cp:coreProperties>
</file>