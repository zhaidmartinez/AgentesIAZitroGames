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DE4211EB-CB23-43C4-8647-BA25030C5743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1" i="51" l="1"/>
  <c r="E491" i="51"/>
  <c r="N490" i="51"/>
  <c r="E490" i="51"/>
  <c r="N489" i="51"/>
  <c r="E489" i="51"/>
  <c r="N488" i="51"/>
  <c r="E488" i="51"/>
  <c r="N487" i="51"/>
  <c r="E487" i="51"/>
  <c r="N486" i="51"/>
  <c r="E486" i="51"/>
  <c r="N485" i="51"/>
  <c r="E485" i="51"/>
  <c r="N484" i="51"/>
  <c r="E484" i="51"/>
  <c r="N483" i="51"/>
  <c r="E483" i="51"/>
  <c r="N482" i="51"/>
  <c r="E482" i="51"/>
  <c r="E492" i="51" s="1"/>
  <c r="N480" i="51"/>
  <c r="E480" i="51"/>
  <c r="N479" i="51"/>
  <c r="E479" i="51"/>
  <c r="N478" i="51"/>
  <c r="E478" i="51"/>
  <c r="N477" i="51"/>
  <c r="E477" i="51"/>
  <c r="N476" i="51"/>
  <c r="E476" i="51"/>
  <c r="N475" i="51"/>
  <c r="E475" i="5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5" i="51"/>
  <c r="E465" i="51"/>
  <c r="N464" i="51"/>
  <c r="E464" i="51"/>
  <c r="N463" i="51"/>
  <c r="E463" i="51"/>
  <c r="N462" i="51"/>
  <c r="N466" i="51" s="1"/>
  <c r="E462" i="51"/>
  <c r="E466" i="51" s="1"/>
  <c r="N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E460" i="51" s="1"/>
  <c r="N451" i="51"/>
  <c r="E451" i="51"/>
  <c r="N450" i="51"/>
  <c r="E450" i="51"/>
  <c r="N449" i="51"/>
  <c r="E449" i="51"/>
  <c r="N448" i="51"/>
  <c r="E448" i="51"/>
  <c r="N447" i="51"/>
  <c r="E447" i="51"/>
  <c r="N446" i="51"/>
  <c r="E446" i="51"/>
  <c r="N445" i="51"/>
  <c r="E445" i="51"/>
  <c r="N444" i="51"/>
  <c r="E444" i="51"/>
  <c r="N443" i="51"/>
  <c r="E443" i="51"/>
  <c r="N442" i="51"/>
  <c r="E442" i="51"/>
  <c r="N441" i="51"/>
  <c r="E441" i="51"/>
  <c r="N440" i="51"/>
  <c r="E440" i="51"/>
  <c r="N439" i="51"/>
  <c r="E439" i="51"/>
  <c r="N438" i="51"/>
  <c r="E438" i="51"/>
  <c r="N437" i="51"/>
  <c r="E437" i="51"/>
  <c r="N436" i="51"/>
  <c r="E436" i="51"/>
  <c r="N435" i="51"/>
  <c r="E435" i="51"/>
  <c r="N434" i="51"/>
  <c r="E434" i="51"/>
  <c r="N433" i="51"/>
  <c r="E433" i="51"/>
  <c r="N432" i="51"/>
  <c r="E432" i="51"/>
  <c r="N431" i="51"/>
  <c r="E431" i="51"/>
  <c r="N430" i="51"/>
  <c r="E430" i="51"/>
  <c r="N429" i="51"/>
  <c r="N452" i="51" s="1"/>
  <c r="E429" i="51"/>
  <c r="E452" i="51" s="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3" i="51"/>
  <c r="E413" i="51"/>
  <c r="N412" i="51"/>
  <c r="E412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N427" i="51" s="1"/>
  <c r="E350" i="51"/>
  <c r="E427" i="51" s="1"/>
  <c r="F317" i="51" s="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E334" i="51"/>
  <c r="N333" i="51"/>
  <c r="E333" i="51"/>
  <c r="N332" i="51"/>
  <c r="E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N320" i="51"/>
  <c r="N348" i="51" s="1"/>
  <c r="E320" i="51"/>
  <c r="E348" i="51" s="1"/>
  <c r="P306" i="51"/>
  <c r="Q306" i="51" s="1"/>
  <c r="M306" i="51"/>
  <c r="D306" i="51"/>
  <c r="M305" i="51"/>
  <c r="D305" i="51"/>
  <c r="P305" i="51" s="1"/>
  <c r="Q305" i="51" s="1"/>
  <c r="M304" i="51"/>
  <c r="D304" i="51"/>
  <c r="P304" i="51" s="1"/>
  <c r="Q304" i="51" s="1"/>
  <c r="P303" i="51"/>
  <c r="Q303" i="51" s="1"/>
  <c r="M303" i="51"/>
  <c r="D303" i="51"/>
  <c r="P302" i="51"/>
  <c r="Q302" i="51" s="1"/>
  <c r="M302" i="51"/>
  <c r="D302" i="51"/>
  <c r="M301" i="51"/>
  <c r="D301" i="51"/>
  <c r="P301" i="51" s="1"/>
  <c r="Q301" i="51" s="1"/>
  <c r="M300" i="51"/>
  <c r="D300" i="51"/>
  <c r="P300" i="51" s="1"/>
  <c r="Q300" i="51" s="1"/>
  <c r="P299" i="51"/>
  <c r="Q299" i="51" s="1"/>
  <c r="M299" i="51"/>
  <c r="D299" i="51"/>
  <c r="P298" i="51"/>
  <c r="Q298" i="51" s="1"/>
  <c r="M298" i="51"/>
  <c r="D298" i="51"/>
  <c r="M297" i="51"/>
  <c r="D297" i="51"/>
  <c r="P297" i="51" s="1"/>
  <c r="Q297" i="51" s="1"/>
  <c r="M296" i="51"/>
  <c r="D296" i="51"/>
  <c r="P296" i="51" s="1"/>
  <c r="Q296" i="51" s="1"/>
  <c r="P295" i="51"/>
  <c r="Q295" i="51" s="1"/>
  <c r="M295" i="51"/>
  <c r="D295" i="51"/>
  <c r="P294" i="51"/>
  <c r="Q294" i="51" s="1"/>
  <c r="M294" i="51"/>
  <c r="D294" i="51"/>
  <c r="M293" i="51"/>
  <c r="D293" i="51"/>
  <c r="P293" i="51" s="1"/>
  <c r="Q293" i="51" s="1"/>
  <c r="M292" i="51"/>
  <c r="D292" i="51"/>
  <c r="P292" i="51" s="1"/>
  <c r="Q292" i="51" s="1"/>
  <c r="P291" i="51"/>
  <c r="Q291" i="51" s="1"/>
  <c r="M291" i="51"/>
  <c r="D291" i="51"/>
  <c r="P290" i="51"/>
  <c r="Q290" i="51" s="1"/>
  <c r="M290" i="51"/>
  <c r="D290" i="51"/>
  <c r="M289" i="51"/>
  <c r="D289" i="51"/>
  <c r="P289" i="51" s="1"/>
  <c r="Q289" i="51" s="1"/>
  <c r="M288" i="51"/>
  <c r="D288" i="51"/>
  <c r="P288" i="51" s="1"/>
  <c r="Q288" i="51" s="1"/>
  <c r="P287" i="51"/>
  <c r="Q287" i="51" s="1"/>
  <c r="M287" i="51"/>
  <c r="D287" i="51"/>
  <c r="P286" i="51"/>
  <c r="Q286" i="51" s="1"/>
  <c r="M286" i="51"/>
  <c r="D286" i="51"/>
  <c r="M285" i="51"/>
  <c r="D285" i="51"/>
  <c r="P285" i="51" s="1"/>
  <c r="Q285" i="51" s="1"/>
  <c r="M284" i="51"/>
  <c r="D284" i="51"/>
  <c r="P284" i="51" s="1"/>
  <c r="Q284" i="51" s="1"/>
  <c r="P283" i="51"/>
  <c r="Q283" i="51" s="1"/>
  <c r="M283" i="51"/>
  <c r="D283" i="51"/>
  <c r="P282" i="51"/>
  <c r="Q282" i="51" s="1"/>
  <c r="M282" i="51"/>
  <c r="D282" i="51"/>
  <c r="M281" i="51"/>
  <c r="D281" i="51"/>
  <c r="P281" i="51" s="1"/>
  <c r="Q281" i="51" s="1"/>
  <c r="M280" i="51"/>
  <c r="D280" i="51"/>
  <c r="P280" i="51" s="1"/>
  <c r="Q280" i="51" s="1"/>
  <c r="P279" i="51"/>
  <c r="Q279" i="51" s="1"/>
  <c r="M279" i="51"/>
  <c r="D279" i="51"/>
  <c r="P278" i="51"/>
  <c r="Q278" i="51" s="1"/>
  <c r="M278" i="51"/>
  <c r="D278" i="51"/>
  <c r="M277" i="51"/>
  <c r="D277" i="51"/>
  <c r="P277" i="51" s="1"/>
  <c r="Q277" i="51" s="1"/>
  <c r="M276" i="51"/>
  <c r="D276" i="51"/>
  <c r="P276" i="51" s="1"/>
  <c r="Q276" i="51" s="1"/>
  <c r="P275" i="51"/>
  <c r="Q275" i="51" s="1"/>
  <c r="M275" i="51"/>
  <c r="D275" i="51"/>
  <c r="P274" i="51"/>
  <c r="Q274" i="51" s="1"/>
  <c r="M274" i="51"/>
  <c r="D274" i="51"/>
  <c r="M273" i="51"/>
  <c r="D273" i="51"/>
  <c r="P273" i="51" s="1"/>
  <c r="Q273" i="51" s="1"/>
  <c r="M272" i="51"/>
  <c r="D272" i="51"/>
  <c r="P272" i="51" s="1"/>
  <c r="Q272" i="51" s="1"/>
  <c r="P271" i="51"/>
  <c r="Q271" i="51" s="1"/>
  <c r="M271" i="51"/>
  <c r="D271" i="51"/>
  <c r="P270" i="51"/>
  <c r="Q270" i="51" s="1"/>
  <c r="M270" i="51"/>
  <c r="D270" i="51"/>
  <c r="M269" i="51"/>
  <c r="D269" i="51"/>
  <c r="P269" i="51" s="1"/>
  <c r="Q269" i="51" s="1"/>
  <c r="M268" i="51"/>
  <c r="D268" i="51"/>
  <c r="P268" i="51" s="1"/>
  <c r="Q268" i="51" s="1"/>
  <c r="P267" i="51"/>
  <c r="Q267" i="51" s="1"/>
  <c r="M267" i="51"/>
  <c r="D267" i="51"/>
  <c r="P266" i="51"/>
  <c r="Q266" i="51" s="1"/>
  <c r="M266" i="51"/>
  <c r="D266" i="51"/>
  <c r="M265" i="51"/>
  <c r="D265" i="51"/>
  <c r="P265" i="51" s="1"/>
  <c r="Q265" i="51" s="1"/>
  <c r="M264" i="51"/>
  <c r="D264" i="51"/>
  <c r="P264" i="51" s="1"/>
  <c r="Q264" i="51" s="1"/>
  <c r="P263" i="51"/>
  <c r="Q263" i="51" s="1"/>
  <c r="M263" i="51"/>
  <c r="D263" i="51"/>
  <c r="P262" i="51"/>
  <c r="Q262" i="51" s="1"/>
  <c r="M262" i="51"/>
  <c r="D262" i="51"/>
  <c r="M261" i="51"/>
  <c r="D261" i="51"/>
  <c r="P261" i="51" s="1"/>
  <c r="Q261" i="51" s="1"/>
  <c r="M260" i="51"/>
  <c r="D260" i="51"/>
  <c r="P260" i="51" s="1"/>
  <c r="M259" i="51"/>
  <c r="D259" i="51"/>
  <c r="M258" i="51"/>
  <c r="D258" i="51"/>
  <c r="M257" i="51"/>
  <c r="D257" i="51"/>
  <c r="P257" i="51" s="1"/>
  <c r="Q257" i="51" s="1"/>
  <c r="Q256" i="51"/>
  <c r="M256" i="51"/>
  <c r="D256" i="51"/>
  <c r="P256" i="51" s="1"/>
  <c r="M255" i="51"/>
  <c r="D255" i="51"/>
  <c r="M254" i="51"/>
  <c r="D254" i="51"/>
  <c r="M253" i="51"/>
  <c r="D253" i="51"/>
  <c r="P253" i="51" s="1"/>
  <c r="Q253" i="51" s="1"/>
  <c r="Q252" i="51"/>
  <c r="M252" i="51"/>
  <c r="D252" i="51"/>
  <c r="P252" i="51" s="1"/>
  <c r="M251" i="51"/>
  <c r="D251" i="51"/>
  <c r="M250" i="51"/>
  <c r="D250" i="51"/>
  <c r="M249" i="51"/>
  <c r="O204" i="51" s="1"/>
  <c r="D249" i="51"/>
  <c r="P249" i="51" s="1"/>
  <c r="Q249" i="51" s="1"/>
  <c r="P248" i="51"/>
  <c r="M248" i="51"/>
  <c r="D248" i="51"/>
  <c r="Q247" i="51"/>
  <c r="P247" i="51"/>
  <c r="M247" i="51"/>
  <c r="D247" i="51"/>
  <c r="Q246" i="51"/>
  <c r="P246" i="51"/>
  <c r="M246" i="51"/>
  <c r="D246" i="51"/>
  <c r="Q245" i="51"/>
  <c r="P245" i="51"/>
  <c r="M245" i="51"/>
  <c r="D245" i="51"/>
  <c r="Q244" i="51"/>
  <c r="P244" i="51"/>
  <c r="M244" i="51"/>
  <c r="D244" i="51"/>
  <c r="Q243" i="51"/>
  <c r="P243" i="51"/>
  <c r="M243" i="51"/>
  <c r="D243" i="51"/>
  <c r="Q242" i="51"/>
  <c r="P242" i="51"/>
  <c r="M242" i="51"/>
  <c r="D242" i="51"/>
  <c r="Q241" i="51"/>
  <c r="P241" i="51"/>
  <c r="M241" i="51"/>
  <c r="D241" i="51"/>
  <c r="Q240" i="51"/>
  <c r="P240" i="51"/>
  <c r="M240" i="51"/>
  <c r="D240" i="51"/>
  <c r="Q239" i="51"/>
  <c r="P239" i="51"/>
  <c r="M239" i="51"/>
  <c r="D239" i="51"/>
  <c r="Q238" i="51"/>
  <c r="P238" i="51"/>
  <c r="M238" i="51"/>
  <c r="D238" i="51"/>
  <c r="Q237" i="51"/>
  <c r="P237" i="51"/>
  <c r="M237" i="51"/>
  <c r="D237" i="51"/>
  <c r="M236" i="51"/>
  <c r="D236" i="51"/>
  <c r="P236" i="51" s="1"/>
  <c r="Q236" i="51" s="1"/>
  <c r="M235" i="51"/>
  <c r="D235" i="51"/>
  <c r="P235" i="51" s="1"/>
  <c r="Q235" i="51" s="1"/>
  <c r="N234" i="51"/>
  <c r="M233" i="51"/>
  <c r="D233" i="51"/>
  <c r="P233" i="51" s="1"/>
  <c r="Q233" i="51" s="1"/>
  <c r="M232" i="51"/>
  <c r="D232" i="51"/>
  <c r="P232" i="51" s="1"/>
  <c r="Q232" i="51" s="1"/>
  <c r="P231" i="51"/>
  <c r="Q231" i="51" s="1"/>
  <c r="M231" i="51"/>
  <c r="D231" i="51"/>
  <c r="M230" i="51"/>
  <c r="P230" i="51" s="1"/>
  <c r="Q230" i="51" s="1"/>
  <c r="D230" i="51"/>
  <c r="M229" i="51"/>
  <c r="D229" i="51"/>
  <c r="P229" i="51" s="1"/>
  <c r="Q229" i="51" s="1"/>
  <c r="M228" i="51"/>
  <c r="D228" i="51"/>
  <c r="P228" i="51" s="1"/>
  <c r="Q228" i="51" s="1"/>
  <c r="P227" i="51"/>
  <c r="Q227" i="51" s="1"/>
  <c r="M227" i="51"/>
  <c r="D227" i="51"/>
  <c r="M226" i="51"/>
  <c r="P226" i="51" s="1"/>
  <c r="Q226" i="51" s="1"/>
  <c r="D226" i="51"/>
  <c r="M225" i="51"/>
  <c r="D225" i="51"/>
  <c r="P225" i="51" s="1"/>
  <c r="Q225" i="51" s="1"/>
  <c r="M224" i="51"/>
  <c r="D224" i="51"/>
  <c r="P224" i="51" s="1"/>
  <c r="Q224" i="51" s="1"/>
  <c r="P223" i="51"/>
  <c r="Q223" i="51" s="1"/>
  <c r="M223" i="51"/>
  <c r="D223" i="51"/>
  <c r="M222" i="51"/>
  <c r="P222" i="51" s="1"/>
  <c r="Q222" i="51" s="1"/>
  <c r="D222" i="51"/>
  <c r="M221" i="51"/>
  <c r="D221" i="51"/>
  <c r="P221" i="51" s="1"/>
  <c r="Q221" i="51" s="1"/>
  <c r="M220" i="51"/>
  <c r="D220" i="51"/>
  <c r="P220" i="51" s="1"/>
  <c r="Q220" i="51" s="1"/>
  <c r="P219" i="51"/>
  <c r="Q219" i="51" s="1"/>
  <c r="M219" i="51"/>
  <c r="D219" i="51"/>
  <c r="M218" i="51"/>
  <c r="P218" i="51" s="1"/>
  <c r="Q218" i="51" s="1"/>
  <c r="D218" i="51"/>
  <c r="M217" i="51"/>
  <c r="D217" i="51"/>
  <c r="P217" i="51" s="1"/>
  <c r="Q217" i="51" s="1"/>
  <c r="M216" i="51"/>
  <c r="D216" i="51"/>
  <c r="P216" i="51" s="1"/>
  <c r="Q216" i="51" s="1"/>
  <c r="P215" i="51"/>
  <c r="Q215" i="51" s="1"/>
  <c r="M215" i="51"/>
  <c r="D215" i="51"/>
  <c r="M214" i="51"/>
  <c r="P214" i="51" s="1"/>
  <c r="Q214" i="51" s="1"/>
  <c r="D214" i="51"/>
  <c r="M213" i="51"/>
  <c r="D213" i="51"/>
  <c r="P213" i="51" s="1"/>
  <c r="Q213" i="51" s="1"/>
  <c r="M212" i="51"/>
  <c r="D212" i="51"/>
  <c r="P212" i="51" s="1"/>
  <c r="Q212" i="51" s="1"/>
  <c r="M211" i="51"/>
  <c r="D211" i="51"/>
  <c r="P211" i="51" s="1"/>
  <c r="Q211" i="51" s="1"/>
  <c r="M210" i="51"/>
  <c r="D210" i="51"/>
  <c r="P210" i="51" s="1"/>
  <c r="Q210" i="51" s="1"/>
  <c r="N209" i="51"/>
  <c r="O202" i="51"/>
  <c r="O200" i="51" s="1"/>
  <c r="P188" i="51"/>
  <c r="Q188" i="51" s="1"/>
  <c r="G188" i="51"/>
  <c r="P187" i="51"/>
  <c r="G187" i="51"/>
  <c r="Q187" i="51" s="1"/>
  <c r="P186" i="51"/>
  <c r="G186" i="51"/>
  <c r="Q186" i="51" s="1"/>
  <c r="Q185" i="51"/>
  <c r="P185" i="51"/>
  <c r="G185" i="51"/>
  <c r="P184" i="51"/>
  <c r="Q184" i="51" s="1"/>
  <c r="G184" i="51"/>
  <c r="P183" i="51"/>
  <c r="G183" i="51"/>
  <c r="Q183" i="51" s="1"/>
  <c r="P182" i="51"/>
  <c r="G182" i="51"/>
  <c r="Q182" i="51" s="1"/>
  <c r="Q181" i="51"/>
  <c r="P181" i="51"/>
  <c r="G181" i="51"/>
  <c r="P180" i="51"/>
  <c r="G180" i="51"/>
  <c r="Q180" i="51" s="1"/>
  <c r="P179" i="51"/>
  <c r="G179" i="51"/>
  <c r="Q179" i="51" s="1"/>
  <c r="P178" i="51"/>
  <c r="G178" i="51"/>
  <c r="Q178" i="51" s="1"/>
  <c r="Q177" i="51"/>
  <c r="P177" i="51"/>
  <c r="G177" i="51"/>
  <c r="P176" i="51"/>
  <c r="G176" i="51"/>
  <c r="Q176" i="51" s="1"/>
  <c r="P175" i="51"/>
  <c r="G175" i="51"/>
  <c r="Q175" i="51" s="1"/>
  <c r="P174" i="51"/>
  <c r="G174" i="51"/>
  <c r="Q174" i="51" s="1"/>
  <c r="Q173" i="51"/>
  <c r="P173" i="51"/>
  <c r="G173" i="51"/>
  <c r="P172" i="51"/>
  <c r="G172" i="51"/>
  <c r="Q172" i="51" s="1"/>
  <c r="P171" i="51"/>
  <c r="G171" i="51"/>
  <c r="Q171" i="51" s="1"/>
  <c r="P170" i="51"/>
  <c r="G170" i="51"/>
  <c r="Q170" i="51" s="1"/>
  <c r="Q169" i="51"/>
  <c r="P169" i="51"/>
  <c r="G169" i="51"/>
  <c r="P168" i="51"/>
  <c r="G168" i="51"/>
  <c r="Q168" i="51" s="1"/>
  <c r="P167" i="51"/>
  <c r="G167" i="51"/>
  <c r="Q167" i="51" s="1"/>
  <c r="P166" i="51"/>
  <c r="G166" i="51"/>
  <c r="Q166" i="51" s="1"/>
  <c r="Q165" i="51"/>
  <c r="P165" i="51"/>
  <c r="G165" i="51"/>
  <c r="P164" i="51"/>
  <c r="G164" i="51"/>
  <c r="Q164" i="51" s="1"/>
  <c r="P163" i="51"/>
  <c r="G163" i="51"/>
  <c r="Q163" i="51" s="1"/>
  <c r="P162" i="51"/>
  <c r="G162" i="51"/>
  <c r="Q162" i="51" s="1"/>
  <c r="Q161" i="51"/>
  <c r="P161" i="51"/>
  <c r="G161" i="51"/>
  <c r="P160" i="51"/>
  <c r="G160" i="51"/>
  <c r="Q160" i="51" s="1"/>
  <c r="P159" i="51"/>
  <c r="G159" i="51"/>
  <c r="Q159" i="51" s="1"/>
  <c r="P158" i="51"/>
  <c r="G158" i="51"/>
  <c r="Q158" i="51" s="1"/>
  <c r="Q157" i="51"/>
  <c r="P157" i="51"/>
  <c r="G157" i="51"/>
  <c r="P156" i="51"/>
  <c r="G156" i="51"/>
  <c r="Q156" i="51" s="1"/>
  <c r="P155" i="51"/>
  <c r="G155" i="51"/>
  <c r="Q155" i="51" s="1"/>
  <c r="P154" i="51"/>
  <c r="G154" i="51"/>
  <c r="Q154" i="51" s="1"/>
  <c r="Q153" i="51"/>
  <c r="P153" i="51"/>
  <c r="G153" i="51"/>
  <c r="P152" i="51"/>
  <c r="G152" i="51"/>
  <c r="Q152" i="51" s="1"/>
  <c r="P151" i="51"/>
  <c r="G151" i="51"/>
  <c r="Q151" i="51" s="1"/>
  <c r="P150" i="51"/>
  <c r="G150" i="51"/>
  <c r="Q150" i="51" s="1"/>
  <c r="Q148" i="51"/>
  <c r="P148" i="51"/>
  <c r="G148" i="51"/>
  <c r="P147" i="51"/>
  <c r="G147" i="51"/>
  <c r="Q147" i="51" s="1"/>
  <c r="P146" i="51"/>
  <c r="G146" i="51"/>
  <c r="Q146" i="51" s="1"/>
  <c r="P145" i="51"/>
  <c r="G145" i="51"/>
  <c r="Q145" i="51" s="1"/>
  <c r="Q144" i="51"/>
  <c r="P144" i="51"/>
  <c r="G144" i="51"/>
  <c r="P142" i="51"/>
  <c r="G142" i="51"/>
  <c r="Q142" i="51" s="1"/>
  <c r="P141" i="51"/>
  <c r="G141" i="51"/>
  <c r="Q141" i="51" s="1"/>
  <c r="P140" i="51"/>
  <c r="G140" i="51"/>
  <c r="Q140" i="51" s="1"/>
  <c r="Q139" i="51"/>
  <c r="P139" i="51"/>
  <c r="G139" i="51"/>
  <c r="P138" i="51"/>
  <c r="G138" i="51"/>
  <c r="Q138" i="51" s="1"/>
  <c r="P137" i="51"/>
  <c r="G137" i="51"/>
  <c r="Q137" i="51" s="1"/>
  <c r="P136" i="51"/>
  <c r="G136" i="51"/>
  <c r="Q136" i="51" s="1"/>
  <c r="Q135" i="51"/>
  <c r="P135" i="51"/>
  <c r="G135" i="51"/>
  <c r="P134" i="51"/>
  <c r="G134" i="51"/>
  <c r="Q134" i="51" s="1"/>
  <c r="P133" i="51"/>
  <c r="G133" i="51"/>
  <c r="Q133" i="51" s="1"/>
  <c r="P131" i="51"/>
  <c r="G131" i="51"/>
  <c r="Q131" i="51" s="1"/>
  <c r="Q130" i="51"/>
  <c r="P130" i="51"/>
  <c r="G130" i="51"/>
  <c r="P128" i="51"/>
  <c r="G128" i="51"/>
  <c r="Q128" i="51" s="1"/>
  <c r="P127" i="51"/>
  <c r="G127" i="51"/>
  <c r="Q127" i="51" s="1"/>
  <c r="P126" i="51"/>
  <c r="G126" i="51"/>
  <c r="Q126" i="51" s="1"/>
  <c r="Q125" i="51"/>
  <c r="P125" i="51"/>
  <c r="G125" i="51"/>
  <c r="P124" i="51"/>
  <c r="G124" i="51"/>
  <c r="Q124" i="51" s="1"/>
  <c r="P123" i="51"/>
  <c r="G123" i="51"/>
  <c r="Q123" i="51" s="1"/>
  <c r="P122" i="51"/>
  <c r="G122" i="51"/>
  <c r="Q122" i="51" s="1"/>
  <c r="Q121" i="51"/>
  <c r="P121" i="51"/>
  <c r="G121" i="51"/>
  <c r="P120" i="51"/>
  <c r="G120" i="51"/>
  <c r="Q120" i="51" s="1"/>
  <c r="P119" i="51"/>
  <c r="G119" i="51"/>
  <c r="Q119" i="51" s="1"/>
  <c r="P118" i="51"/>
  <c r="G118" i="51"/>
  <c r="Q118" i="51" s="1"/>
  <c r="Q117" i="51"/>
  <c r="P117" i="51"/>
  <c r="G117" i="51"/>
  <c r="P116" i="51"/>
  <c r="G116" i="51"/>
  <c r="Q116" i="51" s="1"/>
  <c r="P115" i="51"/>
  <c r="G115" i="51"/>
  <c r="Q115" i="51" s="1"/>
  <c r="P113" i="51"/>
  <c r="G113" i="51"/>
  <c r="Q113" i="51" s="1"/>
  <c r="Q112" i="51"/>
  <c r="P112" i="51"/>
  <c r="G112" i="51"/>
  <c r="P111" i="51"/>
  <c r="G111" i="51"/>
  <c r="Q111" i="51" s="1"/>
  <c r="P110" i="51"/>
  <c r="G110" i="51"/>
  <c r="Q110" i="51" s="1"/>
  <c r="P108" i="51"/>
  <c r="G108" i="51"/>
  <c r="Q108" i="51" s="1"/>
  <c r="Q107" i="51"/>
  <c r="P107" i="51"/>
  <c r="G107" i="51"/>
  <c r="P106" i="51"/>
  <c r="G106" i="51"/>
  <c r="Q106" i="51" s="1"/>
  <c r="P104" i="51"/>
  <c r="G104" i="51"/>
  <c r="Q104" i="51" s="1"/>
  <c r="P103" i="51"/>
  <c r="G103" i="51"/>
  <c r="Q103" i="51" s="1"/>
  <c r="Q102" i="51"/>
  <c r="P102" i="51"/>
  <c r="P189" i="51" s="1"/>
  <c r="O97" i="51" s="1"/>
  <c r="G102" i="51"/>
  <c r="G189" i="51" s="1"/>
  <c r="F97" i="51" s="1"/>
  <c r="AA99" i="51"/>
  <c r="AA98" i="51"/>
  <c r="AA97" i="51"/>
  <c r="AA96" i="51"/>
  <c r="AA95" i="51"/>
  <c r="AA94" i="51"/>
  <c r="AA93" i="51"/>
  <c r="T92" i="51"/>
  <c r="J95" i="51" l="1"/>
  <c r="J89" i="51"/>
  <c r="Q189" i="51"/>
  <c r="F204" i="51"/>
  <c r="N492" i="51"/>
  <c r="O317" i="51" s="1"/>
  <c r="E315" i="51" s="1"/>
  <c r="P251" i="51"/>
  <c r="Q251" i="51" s="1"/>
  <c r="P255" i="51"/>
  <c r="Q255" i="51" s="1"/>
  <c r="P259" i="51"/>
  <c r="Q259" i="51" s="1"/>
  <c r="F202" i="51"/>
  <c r="F200" i="51" s="1"/>
  <c r="E209" i="51"/>
  <c r="E234" i="51"/>
  <c r="P250" i="51"/>
  <c r="Q250" i="51" s="1"/>
  <c r="P254" i="51"/>
  <c r="Q254" i="51" s="1"/>
  <c r="P258" i="51"/>
  <c r="Q258" i="51" s="1"/>
</calcChain>
</file>

<file path=xl/sharedStrings.xml><?xml version="1.0" encoding="utf-8"?>
<sst xmlns="http://schemas.openxmlformats.org/spreadsheetml/2006/main" count="2787" uniqueCount="776">
  <si>
    <t>PICK&amp;WIN3</t>
  </si>
  <si>
    <t>PICK AND WIN 3</t>
  </si>
  <si>
    <t>BRYKE</t>
  </si>
  <si>
    <t>SLEIC</t>
  </si>
  <si>
    <t>88 LINK LUCKY CHARMS</t>
  </si>
  <si>
    <t>88LKLCH</t>
  </si>
  <si>
    <t>88 LINK MULTIPLIER</t>
  </si>
  <si>
    <t>88LKMULTI</t>
  </si>
  <si>
    <t>88 LINK WILD DUELS</t>
  </si>
  <si>
    <t>88LKWDLS</t>
  </si>
  <si>
    <t>BASHIBA</t>
  </si>
  <si>
    <t>BSHIBA</t>
  </si>
  <si>
    <t>BASHIBA ALLURE</t>
  </si>
  <si>
    <t>BSHIBAAALL</t>
  </si>
  <si>
    <t>BASHIBA EGYPTIAN</t>
  </si>
  <si>
    <t>BSHIBAEGYP</t>
  </si>
  <si>
    <t>88 LINK SHOCK</t>
  </si>
  <si>
    <t>88LKSHK</t>
  </si>
  <si>
    <t>88 MULTI SHOCK</t>
  </si>
  <si>
    <t>88MULTISHK</t>
  </si>
  <si>
    <t>LINK ME SHOCK</t>
  </si>
  <si>
    <t>LKMSHK</t>
  </si>
  <si>
    <t>LINK SHOCK</t>
  </si>
  <si>
    <t>LSHK</t>
  </si>
  <si>
    <t>LINK SHOCK II</t>
  </si>
  <si>
    <t>LSHKII</t>
  </si>
  <si>
    <t>5 TO WIN</t>
  </si>
  <si>
    <t>5WIN</t>
  </si>
  <si>
    <t>88 MULTI</t>
  </si>
  <si>
    <t>88MULTI</t>
  </si>
  <si>
    <t>BLAZING PEARLS</t>
  </si>
  <si>
    <t>BLZPRLS</t>
  </si>
  <si>
    <t>BLAZING PEARLS II</t>
  </si>
  <si>
    <t>BLZPRLSII</t>
  </si>
  <si>
    <t>DOUBLE LINK</t>
  </si>
  <si>
    <t>DBLK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</si>
  <si>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</si>
  <si>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</si>
  <si>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</si>
  <si>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</si>
  <si>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</si>
  <si>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</si>
  <si>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</si>
  <si>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</si>
  <si>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HOT DEAL</t>
  </si>
  <si>
    <t>HDEAL</t>
  </si>
  <si>
    <t>HOT DEAL II</t>
  </si>
  <si>
    <t>HDEALII</t>
  </si>
  <si>
    <t>LIKE IT</t>
  </si>
  <si>
    <t>LKIT</t>
  </si>
  <si>
    <t>LINK KING</t>
  </si>
  <si>
    <t>KING</t>
  </si>
  <si>
    <t>LINK KING II</t>
  </si>
  <si>
    <t>KINGII</t>
  </si>
  <si>
    <t>LINK ME</t>
  </si>
  <si>
    <t>LKM</t>
  </si>
  <si>
    <t>LINK ME II</t>
  </si>
  <si>
    <t>LKMII</t>
  </si>
  <si>
    <t>LINK UP</t>
  </si>
  <si>
    <t>LKUP</t>
  </si>
  <si>
    <t>PICK AND WIN 1</t>
  </si>
  <si>
    <t>PICK&amp;WIN1</t>
  </si>
  <si>
    <t>PICK AND WIN 2</t>
  </si>
  <si>
    <t>PICK&amp;WIN2</t>
  </si>
  <si>
    <t>PICK AND WIN 24</t>
  </si>
  <si>
    <t>P&amp;W24</t>
  </si>
  <si>
    <t>24HDEAL</t>
  </si>
  <si>
    <t>24HIT</t>
  </si>
  <si>
    <t>PICK AND WIN SE</t>
  </si>
  <si>
    <t>PICK&amp;WINSE</t>
  </si>
  <si>
    <t>SMART SPINS</t>
  </si>
  <si>
    <t>SSPINS</t>
  </si>
  <si>
    <t>SMART SPINS II</t>
  </si>
  <si>
    <t>SSPINSII</t>
  </si>
  <si>
    <t>SPIN HIT</t>
  </si>
  <si>
    <t>HIT</t>
  </si>
  <si>
    <t>F10HL</t>
  </si>
  <si>
    <t>LONG WANG DRAGON</t>
  </si>
  <si>
    <t>F10LWDR</t>
  </si>
  <si>
    <t>BLAST DYNASTY</t>
  </si>
  <si>
    <t>BLSTD</t>
  </si>
  <si>
    <t>MEI SHI MEI KE</t>
  </si>
  <si>
    <t>MEISHK</t>
  </si>
  <si>
    <t>WHEEL OF LEGENDS</t>
  </si>
  <si>
    <t>WLEG</t>
  </si>
  <si>
    <t>DOUBLE LINK MULTIPLIER WARRIORS</t>
  </si>
  <si>
    <t>DBLKMW</t>
  </si>
  <si>
    <t>88 LINK MS</t>
  </si>
  <si>
    <t>88LKMS</t>
  </si>
  <si>
    <t>BASHIBA LUXOR MS</t>
  </si>
  <si>
    <t>BSHIBALUXMS</t>
  </si>
  <si>
    <t>LINK KING 2 MS</t>
  </si>
  <si>
    <t>KING2MS</t>
  </si>
  <si>
    <t>LINK KING 3 MS</t>
  </si>
  <si>
    <t>KING3MS</t>
  </si>
  <si>
    <t>LINK KING 4 MS</t>
  </si>
  <si>
    <t>KING4MS</t>
  </si>
  <si>
    <t>LINK ME 2 MS</t>
  </si>
  <si>
    <t>LKM2MS</t>
  </si>
  <si>
    <t>PICK AND WIN 24 / HOT DEAL</t>
  </si>
  <si>
    <t>PICK AND WIN 24 / SPIN HIT</t>
  </si>
  <si>
    <t>DOUBLE LINK MULTIPLIER WARRIOS MS</t>
  </si>
  <si>
    <t>DLMWMS</t>
  </si>
  <si>
    <t>MEGA KING</t>
  </si>
  <si>
    <t>MKING</t>
  </si>
  <si>
    <t>MAGIC ROOTS</t>
  </si>
  <si>
    <t>MROOTS</t>
  </si>
  <si>
    <t>LIGHT TEMPLE</t>
  </si>
  <si>
    <t>LTMPL</t>
  </si>
  <si>
    <t>ROYAL TWIST</t>
  </si>
  <si>
    <t>RTWIST</t>
  </si>
  <si>
    <t>MIGHTY HAMMER</t>
  </si>
  <si>
    <t>MHAM</t>
  </si>
  <si>
    <t>FUSHOU</t>
  </si>
  <si>
    <t>CHSTS</t>
  </si>
  <si>
    <t>COLOSSUS FIRE</t>
  </si>
  <si>
    <t>COLFIRE</t>
  </si>
  <si>
    <t>LINK KING BOOST</t>
  </si>
  <si>
    <t>KINGB</t>
  </si>
  <si>
    <t>LINK ME BOOST</t>
  </si>
  <si>
    <t>LKMB</t>
  </si>
  <si>
    <t>EPIC KINGDOM</t>
  </si>
  <si>
    <t>EPKNG</t>
  </si>
  <si>
    <t>MAGIC ROOTS v2</t>
  </si>
  <si>
    <t>MROOTSv2</t>
  </si>
  <si>
    <t>BISMUS</t>
  </si>
  <si>
    <t>LKWLD</t>
  </si>
  <si>
    <t>F10MG</t>
  </si>
  <si>
    <t>FRWLK</t>
  </si>
  <si>
    <t>FRWLKWM</t>
  </si>
  <si>
    <t>SPIGUA</t>
  </si>
  <si>
    <t>BKWLD</t>
  </si>
  <si>
    <t>LTMPLv2</t>
  </si>
  <si>
    <t>HIGH LIFE</t>
  </si>
  <si>
    <t>FORTUNE 10 MULTIGAME</t>
  </si>
  <si>
    <t>BISON MUSTANG</t>
  </si>
  <si>
    <t>FAR WEST LINK</t>
  </si>
  <si>
    <t>FAR WEST LINK WOLF MUSTANG</t>
  </si>
  <si>
    <t>WILD LINK</t>
  </si>
  <si>
    <t>BACK TO THE WILD</t>
  </si>
  <si>
    <t>LIGHT TEMPLE v2</t>
  </si>
  <si>
    <t>MIGHTY HAMMER ULTIMATE</t>
  </si>
  <si>
    <t>MHAMU</t>
  </si>
  <si>
    <t>VS</t>
  </si>
  <si>
    <t>SPIN GUARDIANS</t>
  </si>
  <si>
    <t>MIGHTY HAMMER LINK UP</t>
  </si>
  <si>
    <t>BINGO</t>
  </si>
  <si>
    <t>SEVEN CHESTS</t>
  </si>
  <si>
    <t>FUPTS</t>
  </si>
  <si>
    <t>FUSHLK</t>
  </si>
  <si>
    <t>FU FROG</t>
  </si>
  <si>
    <t>FUFRG</t>
  </si>
  <si>
    <t>ENERGY LINK RODILLOS</t>
  </si>
  <si>
    <t>ELINKR</t>
  </si>
  <si>
    <t>FU SHOU LINK</t>
  </si>
  <si>
    <t>FU POTS</t>
  </si>
  <si>
    <t>FORTK</t>
  </si>
  <si>
    <t>RMON</t>
  </si>
  <si>
    <t>LPANDU</t>
  </si>
  <si>
    <t>LUN PAN DU</t>
  </si>
  <si>
    <t>EGONG</t>
  </si>
  <si>
    <t>FORTUNE KEEPERS</t>
  </si>
  <si>
    <t>ETERNITY GONG</t>
  </si>
  <si>
    <t xml:space="preserve">I D  6 3 0 7 - C I R S A   -  C A S I N O    L I F E    D E L    V A L L E </t>
  </si>
  <si>
    <t>PISO 1</t>
  </si>
  <si>
    <t>PLANTA BAJA</t>
  </si>
  <si>
    <t>SOTANO</t>
  </si>
  <si>
    <t>ACCESO</t>
  </si>
  <si>
    <t>CAJA</t>
  </si>
  <si>
    <t>MESAS DE JUEGO EN VIVO</t>
  </si>
  <si>
    <t>SERVICIO A CLIENTES</t>
  </si>
  <si>
    <t>25C</t>
  </si>
  <si>
    <t>ISLA 1</t>
  </si>
  <si>
    <t>ISLA 2</t>
  </si>
  <si>
    <t>5C</t>
  </si>
  <si>
    <t>ESCALERAS PARA SPORT BOOK</t>
  </si>
  <si>
    <t>MIN JUG $12.50</t>
  </si>
  <si>
    <t>MIN JUG 3.40</t>
  </si>
  <si>
    <t>MIN JUG $ 3.40</t>
  </si>
  <si>
    <t>ISLA 11</t>
  </si>
  <si>
    <t>ESCALERAS</t>
  </si>
  <si>
    <t>MIN JUG $3.40</t>
  </si>
  <si>
    <t>ISLA 3</t>
  </si>
  <si>
    <t>ZONA DE POKER</t>
  </si>
  <si>
    <t>ZONA DE RESTAURANT</t>
  </si>
  <si>
    <t>MEZZANINE VIP</t>
  </si>
  <si>
    <t>gol</t>
  </si>
  <si>
    <t>ACCESO ZONA VIP</t>
  </si>
  <si>
    <t xml:space="preserve">ESCALERAS </t>
  </si>
  <si>
    <t>ISLA 4</t>
  </si>
  <si>
    <t>SIGN LK/LM-2</t>
  </si>
  <si>
    <t>MIN JUG $5.00</t>
  </si>
  <si>
    <t>ISLA 13</t>
  </si>
  <si>
    <t>ISLA 5</t>
  </si>
  <si>
    <t>10C</t>
  </si>
  <si>
    <t>MIN JUG $2.50</t>
  </si>
  <si>
    <t>ISLA 8</t>
  </si>
  <si>
    <t>ISLA 14</t>
  </si>
  <si>
    <t>ISLA 6</t>
  </si>
  <si>
    <t>ISLA 16</t>
  </si>
  <si>
    <t>MIN JUG $4.40</t>
  </si>
  <si>
    <t>ISLA 7</t>
  </si>
  <si>
    <t>BAR</t>
  </si>
  <si>
    <t>ISLA 18</t>
  </si>
  <si>
    <t>SIGN LSHOCK-2</t>
  </si>
  <si>
    <t>ISLA 17</t>
  </si>
  <si>
    <t>ATM</t>
  </si>
  <si>
    <t xml:space="preserve">BANORTE </t>
  </si>
  <si>
    <t>c</t>
  </si>
  <si>
    <t>CONCERT</t>
  </si>
  <si>
    <t>ISLA 19</t>
  </si>
  <si>
    <t>MOVIMIENTO</t>
  </si>
  <si>
    <t>ISLA 9</t>
  </si>
  <si>
    <t>CAJAS</t>
  </si>
  <si>
    <t>ISLA 12</t>
  </si>
  <si>
    <t>ISLA 10</t>
  </si>
  <si>
    <t>ELEVADOR</t>
  </si>
  <si>
    <t xml:space="preserve">ELEVADOR </t>
  </si>
  <si>
    <t>BAÑOS</t>
  </si>
  <si>
    <t>EIBE</t>
  </si>
  <si>
    <t>Zi</t>
  </si>
  <si>
    <t>AW</t>
  </si>
  <si>
    <t>KN</t>
  </si>
  <si>
    <t>MIN JUG $10.00</t>
  </si>
  <si>
    <t>money link min $2.50</t>
  </si>
  <si>
    <t>SCIGA</t>
  </si>
  <si>
    <t>SIGN ZITRO</t>
  </si>
  <si>
    <t>NOV</t>
  </si>
  <si>
    <t>gol mania plus</t>
  </si>
  <si>
    <t>50C</t>
  </si>
  <si>
    <t>Neo link min $2.50</t>
  </si>
  <si>
    <t>AR</t>
  </si>
  <si>
    <t>EIBE-SLT</t>
  </si>
  <si>
    <t>AGS</t>
  </si>
  <si>
    <t>MET</t>
  </si>
  <si>
    <t>coin fu min $5</t>
  </si>
  <si>
    <t>MIN JUG $4.00</t>
  </si>
  <si>
    <t>WINPOTSL</t>
  </si>
  <si>
    <t>FBM</t>
  </si>
  <si>
    <t>dragon link min $5</t>
  </si>
  <si>
    <t>WS</t>
  </si>
  <si>
    <t>LUD/IGT B</t>
  </si>
  <si>
    <t>AMGO</t>
  </si>
  <si>
    <t xml:space="preserve">TARZAN $10 5c </t>
  </si>
  <si>
    <t xml:space="preserve">Goriland link $5 10c </t>
  </si>
  <si>
    <t>EGT</t>
  </si>
  <si>
    <t>BALLY</t>
  </si>
  <si>
    <t xml:space="preserve">money party link </t>
  </si>
  <si>
    <t xml:space="preserve">dragon tao imperial min $4.40 5c </t>
  </si>
  <si>
    <t>IGT</t>
  </si>
  <si>
    <t xml:space="preserve">DU FU DUO CAI $3.80 10c  </t>
  </si>
  <si>
    <t>DUO FU DUO CAI</t>
  </si>
  <si>
    <t xml:space="preserve">Lady's Card's $2 5c </t>
  </si>
  <si>
    <t>MONEY LINK min $2.50</t>
  </si>
  <si>
    <t>Rising Fortunes $4.40 5c</t>
  </si>
  <si>
    <t xml:space="preserve">Bell link $5 10c </t>
  </si>
  <si>
    <t>SEPARADORES</t>
  </si>
  <si>
    <t>SIGN CRLEDA-MHAM</t>
  </si>
  <si>
    <t>LOTERIA min $5 10c</t>
  </si>
  <si>
    <t>WMS</t>
  </si>
  <si>
    <t>Loteria min $5</t>
  </si>
  <si>
    <t>Egyptian link min $3.75</t>
  </si>
  <si>
    <t xml:space="preserve">MONEY PARTY Min $5 10c </t>
  </si>
  <si>
    <t>Shadow fox $4.40 5c</t>
  </si>
  <si>
    <t>MER</t>
  </si>
  <si>
    <t>Dragon link  toro min $5</t>
  </si>
  <si>
    <t>INTV</t>
  </si>
  <si>
    <t>mithology link min $2.50</t>
  </si>
  <si>
    <t>TOTAL SALA</t>
  </si>
  <si>
    <t>ANTERIOR THERMO ENTREGADO</t>
  </si>
  <si>
    <t>THERMO ACTUAL</t>
  </si>
  <si>
    <t>2305-25</t>
  </si>
  <si>
    <t>FECHA</t>
  </si>
  <si>
    <t>SEMANA</t>
  </si>
  <si>
    <t>S21 a S32</t>
  </si>
  <si>
    <t>TOTAL</t>
  </si>
  <si>
    <t>66 MAQ.</t>
  </si>
  <si>
    <t>DETALLE POR AREAS</t>
  </si>
  <si>
    <t>COIN IN X MAQ</t>
  </si>
  <si>
    <t>MEDIA</t>
  </si>
  <si>
    <t>TOTAL BRYKE</t>
  </si>
  <si>
    <t>OCUPACIÓN</t>
  </si>
  <si>
    <t>% DEV</t>
  </si>
  <si>
    <t>TOTAL FUMAR BRYKE</t>
  </si>
  <si>
    <t>TOTAL NO FUMAR BRYKE</t>
  </si>
  <si>
    <t>AP X PART</t>
  </si>
  <si>
    <t>SPIN X MAQ X DIA</t>
  </si>
  <si>
    <t>LINEAS X SPIN</t>
  </si>
  <si>
    <t>TOTAL PACK</t>
  </si>
  <si>
    <t>ALARMAS O COMENTARIOS</t>
  </si>
  <si>
    <t>ALLURE - ILLUSION</t>
  </si>
  <si>
    <t>ILLUSION</t>
  </si>
  <si>
    <t>ALLURE</t>
  </si>
  <si>
    <t>FORTUNE 10</t>
  </si>
  <si>
    <t>ALTIUS</t>
  </si>
  <si>
    <t>FU SHOU QI TIAN LINK</t>
  </si>
  <si>
    <t>RAINING MONEY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</si>
  <si>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</si>
  <si>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</si>
  <si>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</si>
  <si>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</si>
  <si>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</si>
  <si>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</si>
  <si>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</si>
  <si>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</si>
  <si>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</si>
  <si>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</si>
  <si>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</si>
  <si>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</si>
  <si>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</si>
  <si>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</si>
  <si>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ZITRO</t>
  </si>
  <si>
    <t>AMBRA GAMING</t>
  </si>
  <si>
    <t>AMBRA</t>
  </si>
  <si>
    <t>METRONIA / BEMEX</t>
  </si>
  <si>
    <t>SABIA</t>
  </si>
  <si>
    <t>SAB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</si>
  <si>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</si>
  <si>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</si>
  <si>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</si>
  <si>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</si>
  <si>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</si>
  <si>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</si>
  <si>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</si>
  <si>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</si>
  <si>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</si>
  <si>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</si>
  <si>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</si>
  <si>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</si>
  <si>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</si>
  <si>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</si>
  <si>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</si>
  <si>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</si>
  <si>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</si>
  <si>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</si>
  <si>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</si>
  <si>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</si>
  <si>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</si>
  <si>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</si>
  <si>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</si>
  <si>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</si>
  <si>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</si>
  <si>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</si>
  <si>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</si>
  <si>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</si>
  <si>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</si>
  <si>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</si>
  <si>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</si>
  <si>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</si>
  <si>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</si>
  <si>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</si>
  <si>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</si>
  <si>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</si>
  <si>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</si>
  <si>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</si>
  <si>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</si>
  <si>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</si>
  <si>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</si>
  <si>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</si>
  <si>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</si>
  <si>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</si>
  <si>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</si>
  <si>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APEX</t>
  </si>
  <si>
    <t>ARISTOCRAT</t>
  </si>
  <si>
    <t>ARUZE</t>
  </si>
  <si>
    <t>ARU</t>
  </si>
  <si>
    <t>ASTRO</t>
  </si>
  <si>
    <t>ATRONIC</t>
  </si>
  <si>
    <t>AT</t>
  </si>
  <si>
    <t>AURIFY</t>
  </si>
  <si>
    <t>AFI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</si>
  <si>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</si>
  <si>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</si>
  <si>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</si>
  <si>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</si>
  <si>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</si>
  <si>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</si>
  <si>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</si>
  <si>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</si>
  <si>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</si>
  <si>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</si>
  <si>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</si>
  <si>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</si>
  <si>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</si>
  <si>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</si>
  <si>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</si>
  <si>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</si>
  <si>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</si>
  <si>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</si>
  <si>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</si>
  <si>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</si>
  <si>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</si>
  <si>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</si>
  <si>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</si>
  <si>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</si>
  <si>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</si>
  <si>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</si>
  <si>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</si>
  <si>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</si>
  <si>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</si>
  <si>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</si>
  <si>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</si>
  <si>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</si>
  <si>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</si>
  <si>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</si>
  <si>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</si>
  <si>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</si>
  <si>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</si>
  <si>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</si>
  <si>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</si>
  <si>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</si>
  <si>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</si>
  <si>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</si>
  <si>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</si>
  <si>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</si>
  <si>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</si>
  <si>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</si>
  <si>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</si>
  <si>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</si>
  <si>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</si>
  <si>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</si>
  <si>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</si>
  <si>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</si>
  <si>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</si>
  <si>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</si>
  <si>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</si>
  <si>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JAMES</t>
  </si>
  <si>
    <t>JMES</t>
  </si>
  <si>
    <t>JESTRE</t>
  </si>
  <si>
    <t>JES</t>
  </si>
  <si>
    <t>JVL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</si>
  <si>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</si>
  <si>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</si>
  <si>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</si>
  <si>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</si>
  <si>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</si>
  <si>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</si>
  <si>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</si>
  <si>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</si>
  <si>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</si>
  <si>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</si>
  <si>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</si>
  <si>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</si>
  <si>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</si>
  <si>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</si>
  <si>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</si>
  <si>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</si>
  <si>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</si>
  <si>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</si>
  <si>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</si>
  <si>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</si>
  <si>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</si>
  <si>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</si>
  <si>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</si>
  <si>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</si>
  <si>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</si>
  <si>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</si>
  <si>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</si>
  <si>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</si>
  <si>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</si>
  <si>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</si>
  <si>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</si>
  <si>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</si>
  <si>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</si>
  <si>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</si>
  <si>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</si>
  <si>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 SYSTEM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</si>
  <si>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</si>
  <si>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</si>
  <si>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</si>
  <si>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</si>
  <si>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</si>
  <si>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</si>
  <si>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</si>
  <si>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</si>
  <si>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</si>
  <si>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</si>
  <si>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</si>
  <si>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</si>
  <si>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</si>
  <si>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</si>
  <si>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</si>
  <si>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</si>
  <si>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</si>
  <si>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</si>
  <si>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</si>
  <si>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</si>
  <si>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</si>
  <si>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</si>
  <si>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</si>
  <si>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</si>
  <si>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</si>
  <si>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</si>
  <si>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</si>
  <si>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</si>
  <si>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</si>
  <si>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</si>
  <si>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</si>
  <si>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</si>
  <si>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</si>
  <si>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</si>
  <si>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</si>
  <si>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</si>
  <si>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</si>
  <si>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</si>
  <si>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</si>
  <si>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</si>
  <si>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</si>
  <si>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</si>
  <si>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</si>
  <si>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</si>
  <si>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</si>
  <si>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</si>
  <si>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</si>
  <si>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</si>
  <si>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</si>
  <si>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</si>
  <si>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</si>
  <si>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</si>
  <si>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</si>
  <si>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</si>
  <si>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</si>
  <si>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</si>
  <si>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</si>
  <si>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</si>
  <si>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</si>
  <si>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</si>
  <si>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</si>
  <si>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</si>
  <si>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</si>
  <si>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</si>
  <si>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</si>
  <si>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</si>
  <si>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</si>
  <si>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</si>
  <si>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</si>
  <si>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</si>
  <si>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</si>
  <si>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</si>
  <si>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</si>
  <si>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</si>
  <si>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</si>
  <si>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</si>
  <si>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</si>
  <si>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</si>
  <si>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</si>
  <si>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</si>
  <si>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</si>
  <si>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</si>
  <si>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</si>
  <si>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</si>
  <si>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</si>
  <si>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</si>
  <si>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</si>
  <si>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</si>
  <si>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</si>
  <si>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</si>
  <si>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</si>
  <si>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</si>
  <si>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</si>
  <si>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</si>
  <si>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</si>
  <si>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</si>
  <si>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</si>
  <si>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</si>
  <si>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</si>
  <si>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</si>
  <si>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</si>
  <si>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</si>
  <si>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</si>
  <si>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</si>
  <si>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</si>
  <si>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</si>
  <si>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</si>
  <si>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</si>
  <si>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</si>
  <si>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</si>
  <si>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</si>
  <si>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</si>
  <si>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</si>
  <si>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</si>
  <si>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</si>
  <si>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LINK KING / LINK ME 2 CARAS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</si>
  <si>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</si>
  <si>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</si>
  <si>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</si>
  <si>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</si>
  <si>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</si>
  <si>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</si>
  <si>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</si>
  <si>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</si>
  <si>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</si>
  <si>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</si>
  <si>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</si>
  <si>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</si>
  <si>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</si>
  <si>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</si>
  <si>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</si>
  <si>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</si>
  <si>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</si>
  <si>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</si>
  <si>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</si>
  <si>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</si>
  <si>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</si>
  <si>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</si>
  <si>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</si>
  <si>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</si>
  <si>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</si>
  <si>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</si>
  <si>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</si>
  <si>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</si>
  <si>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</si>
  <si>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</si>
  <si>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</si>
  <si>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</si>
  <si>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</si>
  <si>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</si>
  <si>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</si>
  <si>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</si>
  <si>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</si>
  <si>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</si>
  <si>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</si>
  <si>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</si>
  <si>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</si>
  <si>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</si>
  <si>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</si>
  <si>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</si>
  <si>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</si>
  <si>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</si>
  <si>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</si>
  <si>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</si>
  <si>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</si>
  <si>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</si>
  <si>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</si>
  <si>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</si>
  <si>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</si>
  <si>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</si>
  <si>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</si>
  <si>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</si>
  <si>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</si>
  <si>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</si>
  <si>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</si>
  <si>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</si>
  <si>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SIGN MKING-2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</si>
  <si>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</si>
  <si>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</si>
  <si>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</si>
  <si>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</si>
  <si>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</si>
  <si>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</si>
  <si>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</si>
  <si>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</si>
  <si>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</si>
  <si>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</si>
  <si>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</si>
  <si>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</si>
  <si>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</si>
  <si>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</si>
  <si>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</si>
  <si>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</si>
  <si>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</si>
  <si>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SIGN MHAM-2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</si>
  <si>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</si>
  <si>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</si>
  <si>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</si>
  <si>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</si>
  <si>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</si>
  <si>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</si>
  <si>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</si>
  <si>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</si>
  <si>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</si>
  <si>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</si>
  <si>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</si>
  <si>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</si>
  <si>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</si>
  <si>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</si>
  <si>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</si>
  <si>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</si>
  <si>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</si>
  <si>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</si>
  <si>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</si>
  <si>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</si>
  <si>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</si>
  <si>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</si>
  <si>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</si>
  <si>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</si>
  <si>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</si>
  <si>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</si>
  <si>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</si>
  <si>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</si>
  <si>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</si>
  <si>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</si>
  <si>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</si>
  <si>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</si>
  <si>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</si>
  <si>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</si>
  <si>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</si>
  <si>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</si>
  <si>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</si>
  <si>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</si>
  <si>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CON ACUMULADO</t>
  </si>
  <si>
    <t>SIGN CRLEDA-DBLK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</si>
  <si>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</si>
  <si>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</si>
  <si>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</si>
  <si>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</si>
  <si>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</si>
  <si>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</si>
  <si>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</si>
  <si>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</si>
  <si>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</si>
  <si>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</si>
  <si>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</si>
  <si>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</si>
  <si>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</si>
  <si>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</si>
  <si>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</si>
  <si>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</si>
  <si>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</si>
  <si>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</si>
  <si>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SIGN CRLED-MHAM</t>
  </si>
  <si>
    <t>MIGHTY HAMMER CON ACUMULADO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</si>
  <si>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</si>
  <si>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</si>
  <si>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</si>
  <si>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</si>
  <si>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</si>
  <si>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</si>
  <si>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</si>
  <si>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</si>
  <si>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</si>
  <si>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</si>
  <si>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</si>
  <si>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</si>
  <si>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</si>
  <si>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</si>
  <si>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</si>
  <si>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</si>
  <si>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</si>
  <si>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</si>
  <si>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</si>
  <si>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</si>
  <si>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</si>
  <si>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</si>
  <si>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</si>
  <si>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</si>
  <si>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</si>
  <si>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</si>
  <si>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</si>
  <si>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</si>
  <si>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</si>
  <si>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</si>
  <si>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</si>
  <si>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</si>
  <si>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</si>
  <si>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</si>
  <si>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</si>
  <si>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</si>
  <si>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</si>
  <si>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</si>
  <si>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</si>
  <si>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</si>
  <si>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</si>
  <si>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</si>
  <si>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</si>
  <si>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</si>
  <si>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</si>
  <si>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</si>
  <si>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</si>
  <si>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</si>
  <si>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</si>
  <si>
    <t>LIMITAZO</t>
  </si>
  <si>
    <t>ISLA 15</t>
  </si>
  <si>
    <t>RETIRO</t>
  </si>
  <si>
    <t>}</t>
  </si>
  <si>
    <t>SIGN LKLM-2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</si>
</sst>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(* #,##0_);_(* \(#,##0\);_(* &quot;-&quot;_);_(@_)"/>
    <numFmt numFmtId="171" formatCode="h:mm;@"/>
    <numFmt numFmtId="172" formatCode="_-* #,##0\ _€_-;\-* #,##0\ _€_-;_-* &quot;-&quot;\ _€_-;_-@_-"/>
    <numFmt numFmtId="173" formatCode="0000000"/>
  </numFmts>
  <fonts count="1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0"/>
      <color rgb="FFFFFFFF"/>
      <name val="Arial"/>
      <family val="2"/>
    </font>
    <font>
      <b/>
      <sz val="9"/>
      <color rgb="FFFF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name val="Arial"/>
      <family val="2"/>
    </font>
    <font>
      <b/>
      <sz val="26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6"/>
      <name val="Calibri"/>
      <family val="2"/>
    </font>
    <font>
      <b/>
      <sz val="12"/>
      <color rgb="FFFFFFFF"/>
      <name val="Calibri"/>
      <family val="2"/>
    </font>
    <font>
      <sz val="10"/>
      <color indexed="9"/>
      <name val="Arial"/>
      <family val="2"/>
    </font>
    <font>
      <b/>
      <sz val="12"/>
      <color rgb="FF000000"/>
      <name val="Calibri"/>
      <family val="2"/>
    </font>
    <font>
      <sz val="12"/>
      <name val="Arial"/>
      <family val="2"/>
    </font>
    <font>
      <b/>
      <sz val="12"/>
      <color indexed="9"/>
      <name val="Calibri"/>
      <family val="2"/>
    </font>
    <font>
      <b/>
      <sz val="12"/>
      <color indexed="63"/>
      <name val="Calibri"/>
      <family val="2"/>
    </font>
    <font>
      <b/>
      <sz val="12"/>
      <name val="Arial"/>
      <family val="2"/>
    </font>
    <font>
      <b/>
      <sz val="14"/>
      <color rgb="FF568FD4"/>
      <name val="Arial"/>
      <family val="2"/>
    </font>
    <font>
      <b/>
      <sz val="16"/>
      <color rgb="FFFFFFFF"/>
      <name val="Calibri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name val="Calibri"/>
      <family val="2"/>
      <scheme val="minor"/>
    </font>
    <font>
      <u/>
      <sz val="11"/>
      <name val="Arial"/>
      <family val="2"/>
    </font>
    <font>
      <sz val="14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name val="Arial"/>
      <family val="2"/>
    </font>
    <font>
      <b/>
      <sz val="16"/>
      <name val="Calibri"/>
      <family val="2"/>
      <scheme val="minor"/>
    </font>
    <font>
      <b/>
      <sz val="12"/>
      <color rgb="FF4A4529"/>
      <name val="Calibri"/>
      <family val="2"/>
    </font>
    <font>
      <b/>
      <sz val="11"/>
      <color theme="0"/>
      <name val="Calibri"/>
      <family val="2"/>
    </font>
    <font>
      <b/>
      <sz val="2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indexed="10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8"/>
      <color rgb="FF000000"/>
      <name val="Calibri"/>
      <family val="2"/>
    </font>
    <font>
      <u/>
      <sz val="16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theme="9"/>
      <name val="Arial"/>
      <family val="2"/>
    </font>
    <font>
      <b/>
      <sz val="9"/>
      <name val="Arial"/>
      <family val="2"/>
    </font>
    <font>
      <b/>
      <sz val="12"/>
      <color rgb="FFFABF8F"/>
      <name val="Calibri"/>
      <family val="2"/>
    </font>
    <font>
      <b/>
      <sz val="12"/>
      <color theme="3" tint="0.39997558519241921"/>
      <name val="Calibri"/>
      <family val="2"/>
      <scheme val="minor"/>
    </font>
    <font>
      <b/>
      <sz val="16"/>
      <color rgb="FFFF0000"/>
      <name val="Calibri"/>
      <family val="2"/>
    </font>
    <font>
      <b/>
      <sz val="14"/>
      <color rgb="FFFF0000"/>
      <name val="Calibri"/>
      <family val="2"/>
    </font>
    <font>
      <sz val="16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  <scheme val="minor"/>
    </font>
    <font>
      <sz val="16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568FD4"/>
      <name val="Arial"/>
      <family val="2"/>
    </font>
    <font>
      <b/>
      <sz val="14"/>
      <color rgb="FF000000"/>
      <name val="Calibri"/>
      <family val="2"/>
    </font>
    <font>
      <b/>
      <sz val="10"/>
      <color indexed="8"/>
      <name val="Arial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indexed="10"/>
      <name val="Calibri"/>
      <family val="2"/>
      <scheme val="minor"/>
    </font>
    <font>
      <b/>
      <sz val="12"/>
      <color rgb="FFFF0000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22"/>
      <color rgb="FFFF0000"/>
      <name val="Calibri"/>
      <family val="2"/>
      <scheme val="minor"/>
    </font>
    <font>
      <sz val="18"/>
      <color rgb="FFFF0000"/>
      <name val="Calibri"/>
      <family val="2"/>
    </font>
    <font>
      <sz val="22"/>
      <color theme="1"/>
      <name val="Calibri"/>
      <family val="2"/>
      <scheme val="minor"/>
    </font>
    <font>
      <b/>
      <sz val="14"/>
      <name val="Calibri"/>
      <family val="2"/>
    </font>
    <font>
      <sz val="36"/>
      <name val="Arial"/>
      <family val="2"/>
    </font>
    <font>
      <b/>
      <sz val="10"/>
      <name val="Calibri"/>
      <family val="2"/>
    </font>
    <font>
      <b/>
      <sz val="22"/>
      <color indexed="8"/>
      <name val="Calibri"/>
      <family val="2"/>
    </font>
    <font>
      <b/>
      <sz val="18"/>
      <color rgb="FFFFFFFF"/>
      <name val="Calibri"/>
      <family val="2"/>
    </font>
    <font>
      <b/>
      <sz val="18"/>
      <color rgb="FFFFFF00"/>
      <name val="Calibri"/>
      <family val="2"/>
    </font>
    <font>
      <b/>
      <sz val="11"/>
      <color rgb="FFFFFFFF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5" tint="0.79998168889431442"/>
      <name val="Calibri"/>
      <family val="2"/>
      <scheme val="minor"/>
    </font>
    <font>
      <b/>
      <sz val="18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8"/>
      <color rgb="FF1F4A7E"/>
      <name val="Calibri"/>
      <family val="2"/>
    </font>
    <font>
      <sz val="11"/>
      <color rgb="FF00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5" tint="0.3999755851924192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Calibri"/>
      <family val="2"/>
    </font>
    <font>
      <sz val="12"/>
      <color rgb="FFFF0000"/>
      <name val="Calibri"/>
      <family val="2"/>
      <scheme val="minor"/>
    </font>
  </fonts>
  <fills count="17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rgb="FF00B0F0"/>
        <bgColor auto="1"/>
      </patternFill>
    </fill>
    <fill>
      <patternFill patternType="solid">
        <fgColor rgb="FF92D050"/>
        <bgColor auto="1"/>
      </patternFill>
    </fill>
    <fill>
      <patternFill patternType="gray0625">
        <fgColor auto="1"/>
        <bgColor rgb="FFAB1D05"/>
      </patternFill>
    </fill>
    <fill>
      <patternFill patternType="gray125">
        <fgColor auto="1"/>
        <bgColor theme="9" tint="-0.499984740745262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F61EA9"/>
        <bgColor auto="1"/>
      </patternFill>
    </fill>
    <fill>
      <patternFill patternType="gray0625">
        <fgColor auto="1"/>
        <bgColor rgb="FF00B050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D1B10"/>
        <bgColor indexed="64"/>
      </patternFill>
    </fill>
    <fill>
      <patternFill patternType="solid">
        <fgColor rgb="FFCBC0D9"/>
        <bgColor indexed="64"/>
      </patternFill>
    </fill>
    <fill>
      <patternFill patternType="gray0625">
        <bgColor rgb="FF568FD4"/>
      </patternFill>
    </fill>
    <fill>
      <patternFill patternType="solid">
        <fgColor rgb="FF642523"/>
        <bgColor indexed="64"/>
      </patternFill>
    </fill>
    <fill>
      <patternFill patternType="gray125">
        <bgColor rgb="FF974706"/>
      </patternFill>
    </fill>
    <fill>
      <patternFill patternType="solid">
        <fgColor rgb="FF808080"/>
        <bgColor indexed="64"/>
      </patternFill>
    </fill>
    <fill>
      <patternFill patternType="gray0625">
        <bgColor rgb="FFC2D69B"/>
      </patternFill>
    </fill>
    <fill>
      <patternFill patternType="solid">
        <fgColor rgb="FFB2A1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</patternFill>
    </fill>
    <fill>
      <patternFill patternType="solid">
        <fgColor rgb="FFC2D69B"/>
        <bgColor indexed="64"/>
      </patternFill>
    </fill>
    <fill>
      <patternFill patternType="gray0625">
        <bgColor rgb="FF00B05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gray0625">
        <bgColor rgb="FF9ABA58"/>
      </patternFill>
    </fill>
    <fill>
      <patternFill patternType="solid">
        <fgColor theme="1"/>
        <bgColor rgb="FFFF0000"/>
      </patternFill>
    </fill>
    <fill>
      <patternFill patternType="solid">
        <fgColor rgb="FF96363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000000"/>
        <bgColor rgb="FFFF0000"/>
      </patternFill>
    </fill>
    <fill>
      <patternFill patternType="solid">
        <fgColor rgb="FF215968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8" tint="0.59999389629810485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0"/>
      </top>
      <bottom/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0"/>
      </left>
      <right/>
      <top/>
      <bottom/>
      <diagonal/>
    </border>
    <border>
      <left/>
      <right style="medium">
        <color indexed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0"/>
      </left>
      <right/>
      <top/>
      <bottom style="medium">
        <color indexed="0"/>
      </bottom>
      <diagonal/>
    </border>
    <border>
      <left/>
      <right/>
      <top/>
      <bottom style="medium">
        <color indexed="0"/>
      </bottom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0"/>
      </bottom>
      <diagonal/>
    </border>
    <border>
      <left/>
      <right style="medium">
        <color indexed="64"/>
      </right>
      <top/>
      <bottom style="medium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0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53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5" applyNumberFormat="0" applyAlignment="0" applyProtection="0"/>
    <xf numFmtId="0" fontId="15" fillId="22" borderId="6" applyNumberFormat="0" applyAlignment="0" applyProtection="0"/>
    <xf numFmtId="0" fontId="16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5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4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4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8" applyNumberFormat="0" applyFont="0" applyAlignment="0" applyProtection="0"/>
    <xf numFmtId="0" fontId="11" fillId="33" borderId="8" applyNumberFormat="0" applyFont="0" applyAlignment="0" applyProtection="0"/>
    <xf numFmtId="0" fontId="1" fillId="33" borderId="8" applyNumberFormat="0" applyFont="0" applyAlignment="0" applyProtection="0"/>
    <xf numFmtId="0" fontId="1" fillId="33" borderId="8" applyNumberFormat="0" applyFont="0" applyAlignment="0" applyProtection="0"/>
    <xf numFmtId="0" fontId="1" fillId="33" borderId="8" applyNumberFormat="0" applyFont="0" applyAlignment="0" applyProtection="0"/>
    <xf numFmtId="0" fontId="1" fillId="33" borderId="8" applyNumberFormat="0" applyFont="0" applyAlignment="0" applyProtection="0"/>
    <xf numFmtId="0" fontId="1" fillId="33" borderId="8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9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17" fillId="0" borderId="12" applyNumberFormat="0" applyFill="0" applyAlignment="0" applyProtection="0"/>
    <xf numFmtId="0" fontId="30" fillId="0" borderId="13" applyNumberFormat="0" applyFill="0" applyAlignment="0" applyProtection="0"/>
    <xf numFmtId="0" fontId="22" fillId="0" borderId="0">
      <protection locked="0"/>
    </xf>
    <xf numFmtId="0" fontId="22" fillId="0" borderId="0">
      <protection locked="0"/>
    </xf>
    <xf numFmtId="0" fontId="10" fillId="0" borderId="0">
      <protection locked="0"/>
    </xf>
  </cellStyleXfs>
  <cellXfs count="1359">
    <xf numFmtId="0" fontId="0" fillId="0" borderId="0" xfId="0"/>
    <xf numFmtId="0" fontId="0" fillId="0" borderId="18" xfId="0" applyBorder="1" applyAlignment="1">
      <alignment vertical="center"/>
    </xf>
    <xf numFmtId="0" fontId="1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8" fillId="0" borderId="19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2" fillId="0" borderId="0" xfId="115" applyFont="1" applyAlignment="1">
      <alignment vertical="center"/>
    </xf>
    <xf numFmtId="0" fontId="35" fillId="0" borderId="22" xfId="150" applyFont="1" applyBorder="1" applyAlignment="1">
      <alignment horizontal="center" vertical="center" shrinkToFit="1"/>
    </xf>
    <xf numFmtId="0" fontId="5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/>
    </xf>
    <xf numFmtId="4" fontId="36" fillId="0" borderId="0" xfId="0" applyNumberFormat="1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3" fillId="0" borderId="32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54" fillId="0" borderId="33" xfId="250" applyFont="1" applyBorder="1" applyAlignment="1" applyProtection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54" fillId="0" borderId="36" xfId="250" applyFont="1" applyBorder="1" applyAlignment="1" applyProtection="1">
      <alignment horizontal="center" vertical="center"/>
    </xf>
    <xf numFmtId="0" fontId="58" fillId="0" borderId="0" xfId="0" applyFont="1" applyAlignment="1">
      <alignment horizontal="right" vertical="center"/>
    </xf>
    <xf numFmtId="0" fontId="22" fillId="0" borderId="32" xfId="0" applyFont="1" applyBorder="1" applyAlignment="1">
      <alignment vertical="center"/>
    </xf>
    <xf numFmtId="0" fontId="48" fillId="0" borderId="28" xfId="0" applyFont="1" applyBorder="1" applyAlignment="1">
      <alignment horizontal="center" vertical="center"/>
    </xf>
    <xf numFmtId="0" fontId="57" fillId="0" borderId="3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8" fillId="0" borderId="33" xfId="142" applyFont="1" applyBorder="1" applyAlignment="1" applyProtection="1">
      <alignment horizontal="center" vertical="center" shrinkToFit="1"/>
    </xf>
    <xf numFmtId="0" fontId="40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1" fontId="55" fillId="0" borderId="0" xfId="0" applyNumberFormat="1" applyFont="1" applyAlignment="1">
      <alignment horizontal="center" vertical="center"/>
    </xf>
    <xf numFmtId="0" fontId="71" fillId="0" borderId="0" xfId="118" applyFont="1" applyAlignment="1">
      <alignment horizontal="center" vertical="center"/>
    </xf>
    <xf numFmtId="0" fontId="65" fillId="0" borderId="30" xfId="0" applyFont="1" applyBorder="1" applyAlignment="1">
      <alignment vertical="center"/>
    </xf>
    <xf numFmtId="0" fontId="41" fillId="0" borderId="0" xfId="115" applyFont="1" applyAlignment="1">
      <alignment horizontal="center" vertical="center"/>
    </xf>
    <xf numFmtId="0" fontId="55" fillId="0" borderId="30" xfId="0" applyFont="1" applyBorder="1" applyAlignment="1">
      <alignment horizontal="center" vertical="center"/>
    </xf>
    <xf numFmtId="1" fontId="55" fillId="0" borderId="30" xfId="0" applyNumberFormat="1" applyFont="1" applyBorder="1" applyAlignment="1">
      <alignment horizontal="center" vertical="center"/>
    </xf>
    <xf numFmtId="0" fontId="65" fillId="0" borderId="32" xfId="0" applyFont="1" applyBorder="1" applyAlignment="1">
      <alignment vertical="center"/>
    </xf>
    <xf numFmtId="0" fontId="65" fillId="0" borderId="20" xfId="0" applyFont="1" applyBorder="1" applyAlignment="1">
      <alignment vertical="center"/>
    </xf>
    <xf numFmtId="0" fontId="65" fillId="0" borderId="21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74" fillId="0" borderId="0" xfId="0" applyFont="1" applyAlignment="1">
      <alignment horizontal="center" vertical="center"/>
    </xf>
    <xf numFmtId="0" fontId="75" fillId="0" borderId="33" xfId="131" applyFont="1" applyBorder="1" applyAlignment="1">
      <alignment horizontal="center" vertical="center"/>
    </xf>
    <xf numFmtId="0" fontId="22" fillId="0" borderId="26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72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69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 applyProtection="1">
      <alignment vertical="center"/>
      <protection locked="0"/>
    </xf>
    <xf numFmtId="0" fontId="48" fillId="0" borderId="40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9" fillId="0" borderId="41" xfId="0" applyFont="1" applyBorder="1" applyAlignment="1">
      <alignment vertical="center"/>
    </xf>
    <xf numFmtId="0" fontId="40" fillId="0" borderId="0" xfId="160" applyFont="1" applyAlignment="1">
      <alignment horizontal="center" vertical="center"/>
    </xf>
    <xf numFmtId="0" fontId="9" fillId="0" borderId="42" xfId="0" applyFont="1" applyBorder="1" applyAlignment="1">
      <alignment vertical="center"/>
    </xf>
    <xf numFmtId="0" fontId="65" fillId="0" borderId="0" xfId="160" applyFont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58" fillId="0" borderId="0" xfId="115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6" fillId="0" borderId="33" xfId="0" applyFont="1" applyBorder="1" applyAlignment="1">
      <alignment horizontal="center" vertical="center"/>
    </xf>
    <xf numFmtId="0" fontId="81" fillId="0" borderId="33" xfId="0" applyFont="1" applyBorder="1" applyAlignment="1">
      <alignment horizontal="center" vertical="center"/>
    </xf>
    <xf numFmtId="0" fontId="82" fillId="0" borderId="33" xfId="13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70" fillId="0" borderId="33" xfId="250" applyFont="1" applyBorder="1" applyAlignment="1" applyProtection="1">
      <alignment horizontal="center" vertical="center"/>
    </xf>
    <xf numFmtId="0" fontId="52" fillId="0" borderId="33" xfId="250" applyFont="1" applyBorder="1" applyAlignment="1" applyProtection="1">
      <alignment horizontal="center" vertical="center"/>
    </xf>
    <xf numFmtId="0" fontId="86" fillId="0" borderId="36" xfId="131" applyFont="1" applyBorder="1" applyAlignment="1">
      <alignment horizontal="center" vertical="center"/>
    </xf>
    <xf numFmtId="0" fontId="22" fillId="0" borderId="0" xfId="0" applyFont="1" applyAlignment="1">
      <alignment horizontal="left" vertical="center" textRotation="180"/>
    </xf>
    <xf numFmtId="0" fontId="88" fillId="0" borderId="0" xfId="0" applyFont="1" applyAlignment="1">
      <alignment horizontal="left" vertical="center"/>
    </xf>
    <xf numFmtId="0" fontId="22" fillId="0" borderId="39" xfId="0" applyFont="1" applyBorder="1" applyAlignment="1">
      <alignment horizontal="left" vertical="center" textRotation="180"/>
    </xf>
    <xf numFmtId="0" fontId="89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91" fillId="0" borderId="0" xfId="0" applyFont="1" applyAlignment="1">
      <alignment horizontal="left" vertical="center"/>
    </xf>
    <xf numFmtId="0" fontId="86" fillId="0" borderId="1" xfId="131" applyFont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/>
    </xf>
    <xf numFmtId="0" fontId="35" fillId="0" borderId="44" xfId="150" applyFont="1" applyBorder="1" applyAlignment="1">
      <alignment horizontal="center" vertical="center" shrinkToFit="1"/>
    </xf>
    <xf numFmtId="0" fontId="91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3" fillId="0" borderId="0" xfId="141" applyFont="1" applyAlignment="1">
      <alignment horizontal="left" vertical="center" shrinkToFit="1"/>
    </xf>
    <xf numFmtId="0" fontId="35" fillId="0" borderId="45" xfId="152" applyFont="1" applyBorder="1" applyAlignment="1" applyProtection="1">
      <alignment horizontal="center" vertical="center" shrinkToFit="1"/>
    </xf>
    <xf numFmtId="0" fontId="80" fillId="0" borderId="0" xfId="0" applyFont="1" applyAlignment="1">
      <alignment horizontal="right" vertical="center"/>
    </xf>
    <xf numFmtId="0" fontId="104" fillId="0" borderId="33" xfId="250" applyFont="1" applyBorder="1" applyAlignment="1" applyProtection="1">
      <alignment horizontal="center" vertical="center"/>
    </xf>
    <xf numFmtId="0" fontId="105" fillId="0" borderId="0" xfId="0" applyFont="1" applyAlignment="1">
      <alignment vertical="center"/>
    </xf>
    <xf numFmtId="0" fontId="91" fillId="0" borderId="0" xfId="0" applyFont="1" applyAlignment="1">
      <alignment vertical="center"/>
    </xf>
    <xf numFmtId="0" fontId="61" fillId="0" borderId="0" xfId="0" applyFont="1" applyAlignment="1">
      <alignment horizontal="right" vertical="center"/>
    </xf>
    <xf numFmtId="0" fontId="107" fillId="0" borderId="0" xfId="0" applyFont="1" applyAlignment="1">
      <alignment horizontal="center" vertical="center"/>
    </xf>
    <xf numFmtId="0" fontId="108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0" fontId="91" fillId="0" borderId="46" xfId="0" applyFont="1" applyBorder="1" applyAlignment="1">
      <alignment horizontal="center" vertical="center"/>
    </xf>
    <xf numFmtId="0" fontId="66" fillId="0" borderId="0" xfId="160" applyFont="1" applyAlignment="1">
      <alignment horizontal="center" vertical="center"/>
    </xf>
    <xf numFmtId="0" fontId="48" fillId="0" borderId="47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 shrinkToFit="1"/>
    </xf>
    <xf numFmtId="0" fontId="110" fillId="0" borderId="2" xfId="250" applyFont="1" applyBorder="1" applyAlignment="1" applyProtection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53" fillId="0" borderId="46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111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6" fillId="0" borderId="30" xfId="0" applyFont="1" applyBorder="1" applyAlignment="1">
      <alignment vertical="center"/>
    </xf>
    <xf numFmtId="0" fontId="58" fillId="0" borderId="0" xfId="0" applyFont="1" applyAlignment="1">
      <alignment vertical="center"/>
    </xf>
    <xf numFmtId="0" fontId="2" fillId="0" borderId="39" xfId="0" applyFont="1" applyBorder="1" applyAlignment="1">
      <alignment vertical="center"/>
    </xf>
    <xf numFmtId="0" fontId="91" fillId="0" borderId="46" xfId="0" applyFont="1" applyBorder="1" applyAlignment="1">
      <alignment vertical="center"/>
    </xf>
    <xf numFmtId="0" fontId="112" fillId="0" borderId="0" xfId="0" applyFont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" fontId="61" fillId="0" borderId="19" xfId="0" applyNumberFormat="1" applyFont="1" applyBorder="1" applyAlignment="1">
      <alignment horizontal="center" vertical="center" wrapText="1"/>
    </xf>
    <xf numFmtId="1" fontId="61" fillId="0" borderId="20" xfId="0" applyNumberFormat="1" applyFont="1" applyBorder="1" applyAlignment="1">
      <alignment horizontal="center" vertical="center" wrapText="1"/>
    </xf>
    <xf numFmtId="1" fontId="61" fillId="0" borderId="21" xfId="0" applyNumberFormat="1" applyFont="1" applyBorder="1" applyAlignment="1">
      <alignment horizontal="center" vertical="center" wrapText="1"/>
    </xf>
    <xf numFmtId="0" fontId="22" fillId="0" borderId="25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" fontId="61" fillId="0" borderId="25" xfId="0" applyNumberFormat="1" applyFont="1" applyBorder="1" applyAlignment="1">
      <alignment horizontal="center" vertical="center" wrapText="1"/>
    </xf>
    <xf numFmtId="1" fontId="61" fillId="0" borderId="0" xfId="0" applyNumberFormat="1" applyFont="1" applyAlignment="1">
      <alignment horizontal="center" vertical="center" wrapText="1"/>
    </xf>
    <xf numFmtId="1" fontId="61" fillId="0" borderId="26" xfId="0" applyNumberFormat="1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/>
    </xf>
    <xf numFmtId="1" fontId="61" fillId="0" borderId="29" xfId="0" applyNumberFormat="1" applyFont="1" applyBorder="1" applyAlignment="1">
      <alignment horizontal="center" vertical="center" wrapText="1"/>
    </xf>
    <xf numFmtId="1" fontId="61" fillId="0" borderId="30" xfId="0" applyNumberFormat="1" applyFont="1" applyBorder="1" applyAlignment="1">
      <alignment horizontal="center" vertical="center" wrapText="1"/>
    </xf>
    <xf numFmtId="1" fontId="61" fillId="0" borderId="3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9" fillId="113" borderId="0" xfId="0" applyFont="1" applyFill="1" applyAlignment="1">
      <alignment vertical="center"/>
    </xf>
    <xf numFmtId="0" fontId="50" fillId="113" borderId="0" xfId="0" applyFont="1" applyFill="1" applyAlignment="1">
      <alignment horizontal="center" vertical="center"/>
    </xf>
    <xf numFmtId="0" fontId="49" fillId="113" borderId="0" xfId="0" applyFont="1" applyFill="1" applyAlignment="1">
      <alignment horizontal="center" vertical="center"/>
    </xf>
    <xf numFmtId="0" fontId="50" fillId="113" borderId="0" xfId="0" applyFont="1" applyFill="1" applyAlignment="1">
      <alignment vertical="center"/>
    </xf>
    <xf numFmtId="0" fontId="2" fillId="113" borderId="0" xfId="0" applyFont="1" applyFill="1" applyAlignment="1">
      <alignment vertical="center"/>
    </xf>
    <xf numFmtId="0" fontId="6" fillId="113" borderId="0" xfId="0" applyFont="1" applyFill="1" applyAlignment="1">
      <alignment vertical="center"/>
    </xf>
    <xf numFmtId="0" fontId="35" fillId="35" borderId="3" xfId="0" applyFont="1" applyFill="1" applyBorder="1" applyAlignment="1">
      <alignment horizontal="center" vertical="center"/>
    </xf>
    <xf numFmtId="0" fontId="35" fillId="35" borderId="18" xfId="0" applyFont="1" applyFill="1" applyBorder="1" applyAlignment="1">
      <alignment horizontal="center" vertical="center"/>
    </xf>
    <xf numFmtId="0" fontId="35" fillId="35" borderId="4" xfId="0" applyFont="1" applyFill="1" applyBorder="1" applyAlignment="1">
      <alignment horizontal="center" vertical="center"/>
    </xf>
    <xf numFmtId="0" fontId="51" fillId="114" borderId="0" xfId="0" applyFont="1" applyFill="1" applyAlignment="1">
      <alignment horizontal="center" vertical="center"/>
    </xf>
    <xf numFmtId="0" fontId="52" fillId="116" borderId="0" xfId="0" applyFont="1" applyFill="1" applyAlignment="1">
      <alignment horizontal="center" vertical="center"/>
    </xf>
    <xf numFmtId="0" fontId="53" fillId="107" borderId="0" xfId="0" applyFont="1" applyFill="1" applyAlignment="1">
      <alignment vertical="center"/>
    </xf>
    <xf numFmtId="0" fontId="48" fillId="107" borderId="0" xfId="0" applyFont="1" applyFill="1" applyAlignment="1">
      <alignment horizontal="center" vertical="center"/>
    </xf>
    <xf numFmtId="0" fontId="53" fillId="118" borderId="23" xfId="0" applyFont="1" applyFill="1" applyBorder="1" applyAlignment="1">
      <alignment vertical="center"/>
    </xf>
    <xf numFmtId="0" fontId="53" fillId="118" borderId="24" xfId="0" applyFont="1" applyFill="1" applyBorder="1" applyAlignment="1">
      <alignment vertical="center"/>
    </xf>
    <xf numFmtId="0" fontId="55" fillId="107" borderId="0" xfId="0" applyFont="1" applyFill="1" applyAlignment="1">
      <alignment horizontal="center" vertical="center"/>
    </xf>
    <xf numFmtId="0" fontId="31" fillId="114" borderId="0" xfId="0" applyFont="1" applyFill="1" applyAlignment="1">
      <alignment horizontal="center" vertical="center"/>
    </xf>
    <xf numFmtId="0" fontId="116" fillId="116" borderId="0" xfId="0" applyFont="1" applyFill="1" applyAlignment="1">
      <alignment horizontal="center" vertical="center"/>
    </xf>
    <xf numFmtId="0" fontId="2" fillId="107" borderId="0" xfId="0" applyFont="1" applyFill="1" applyAlignment="1">
      <alignment vertical="center"/>
    </xf>
    <xf numFmtId="0" fontId="38" fillId="113" borderId="0" xfId="0" applyFont="1" applyFill="1" applyAlignment="1">
      <alignment horizontal="center" vertical="center" wrapText="1"/>
    </xf>
    <xf numFmtId="0" fontId="53" fillId="118" borderId="27" xfId="0" applyFont="1" applyFill="1" applyBorder="1" applyAlignment="1">
      <alignment vertical="center"/>
    </xf>
    <xf numFmtId="0" fontId="53" fillId="118" borderId="28" xfId="0" applyFont="1" applyFill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66" fillId="35" borderId="0" xfId="0" applyFont="1" applyFill="1" applyAlignment="1">
      <alignment horizontal="center" vertical="center"/>
    </xf>
    <xf numFmtId="0" fontId="66" fillId="35" borderId="0" xfId="0" applyFont="1" applyFill="1" applyAlignment="1">
      <alignment vertical="center"/>
    </xf>
    <xf numFmtId="0" fontId="55" fillId="113" borderId="0" xfId="0" applyFont="1" applyFill="1" applyAlignment="1">
      <alignment horizontal="center" vertical="center"/>
    </xf>
    <xf numFmtId="0" fontId="2" fillId="113" borderId="0" xfId="0" applyFont="1" applyFill="1" applyAlignment="1">
      <alignment horizontal="center" vertical="center"/>
    </xf>
    <xf numFmtId="0" fontId="50" fillId="107" borderId="0" xfId="0" applyFont="1" applyFill="1" applyAlignment="1">
      <alignment horizontal="center" vertical="center"/>
    </xf>
    <xf numFmtId="0" fontId="67" fillId="107" borderId="0" xfId="0" applyFont="1" applyFill="1" applyAlignment="1">
      <alignment vertical="center" wrapText="1"/>
    </xf>
    <xf numFmtId="0" fontId="6" fillId="107" borderId="0" xfId="0" applyFont="1" applyFill="1" applyAlignment="1">
      <alignment vertical="center"/>
    </xf>
    <xf numFmtId="0" fontId="68" fillId="0" borderId="55" xfId="0" applyFont="1" applyBorder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1" fontId="31" fillId="0" borderId="0" xfId="0" applyNumberFormat="1" applyFont="1" applyAlignment="1">
      <alignment horizontal="right" vertical="center"/>
    </xf>
    <xf numFmtId="1" fontId="31" fillId="0" borderId="0" xfId="0" applyNumberFormat="1" applyFont="1" applyAlignment="1">
      <alignment horizontal="left" vertical="center"/>
    </xf>
    <xf numFmtId="0" fontId="68" fillId="0" borderId="41" xfId="0" applyFont="1" applyBorder="1" applyAlignment="1">
      <alignment horizontal="center" vertical="center" wrapText="1"/>
    </xf>
    <xf numFmtId="0" fontId="71" fillId="105" borderId="0" xfId="118" applyFont="1" applyFill="1" applyAlignment="1">
      <alignment horizontal="center" vertical="center"/>
    </xf>
    <xf numFmtId="0" fontId="15" fillId="105" borderId="0" xfId="118" applyFont="1" applyFill="1" applyAlignment="1">
      <alignment horizontal="center" vertical="center"/>
    </xf>
    <xf numFmtId="0" fontId="68" fillId="0" borderId="42" xfId="0" applyFont="1" applyBorder="1" applyAlignment="1">
      <alignment horizontal="center" vertical="center" wrapText="1"/>
    </xf>
    <xf numFmtId="0" fontId="30" fillId="0" borderId="0" xfId="141" applyFont="1" applyAlignment="1">
      <alignment horizontal="right" vertical="center" shrinkToFit="1"/>
    </xf>
    <xf numFmtId="0" fontId="55" fillId="107" borderId="30" xfId="0" applyFont="1" applyFill="1" applyBorder="1" applyAlignment="1">
      <alignment horizontal="center" vertical="center"/>
    </xf>
    <xf numFmtId="0" fontId="118" fillId="105" borderId="51" xfId="138" applyFont="1" applyFill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0" fontId="53" fillId="118" borderId="38" xfId="0" applyFont="1" applyFill="1" applyBorder="1" applyAlignment="1">
      <alignment vertical="center"/>
    </xf>
    <xf numFmtId="0" fontId="53" fillId="118" borderId="40" xfId="0" applyFont="1" applyFill="1" applyBorder="1" applyAlignment="1">
      <alignment vertical="center"/>
    </xf>
    <xf numFmtId="0" fontId="50" fillId="107" borderId="0" xfId="0" applyFont="1" applyFill="1" applyAlignment="1">
      <alignment vertical="center"/>
    </xf>
    <xf numFmtId="0" fontId="48" fillId="107" borderId="19" xfId="0" applyFont="1" applyFill="1" applyBorder="1" applyAlignment="1">
      <alignment horizontal="center" vertical="center"/>
    </xf>
    <xf numFmtId="0" fontId="48" fillId="107" borderId="20" xfId="0" applyFont="1" applyFill="1" applyBorder="1" applyAlignment="1">
      <alignment horizontal="center" vertical="center"/>
    </xf>
    <xf numFmtId="0" fontId="48" fillId="107" borderId="21" xfId="0" applyFont="1" applyFill="1" applyBorder="1" applyAlignment="1">
      <alignment horizontal="center" vertical="center"/>
    </xf>
    <xf numFmtId="0" fontId="49" fillId="113" borderId="32" xfId="0" applyFont="1" applyFill="1" applyBorder="1" applyAlignment="1">
      <alignment vertical="center"/>
    </xf>
    <xf numFmtId="0" fontId="48" fillId="107" borderId="25" xfId="0" applyFont="1" applyFill="1" applyBorder="1" applyAlignment="1">
      <alignment horizontal="center" vertical="center"/>
    </xf>
    <xf numFmtId="0" fontId="48" fillId="107" borderId="26" xfId="0" applyFont="1" applyFill="1" applyBorder="1" applyAlignment="1">
      <alignment horizontal="center" vertical="center"/>
    </xf>
    <xf numFmtId="0" fontId="83" fillId="35" borderId="0" xfId="0" applyFont="1" applyFill="1" applyAlignment="1">
      <alignment horizontal="center" vertical="center"/>
    </xf>
    <xf numFmtId="0" fontId="85" fillId="107" borderId="0" xfId="0" applyFont="1" applyFill="1" applyAlignment="1">
      <alignment vertical="center"/>
    </xf>
    <xf numFmtId="0" fontId="65" fillId="114" borderId="0" xfId="0" applyFont="1" applyFill="1" applyAlignment="1">
      <alignment vertical="center"/>
    </xf>
    <xf numFmtId="0" fontId="32" fillId="35" borderId="0" xfId="0" applyFont="1" applyFill="1" applyAlignment="1">
      <alignment horizontal="center" vertical="center"/>
    </xf>
    <xf numFmtId="0" fontId="48" fillId="107" borderId="29" xfId="0" applyFont="1" applyFill="1" applyBorder="1" applyAlignment="1">
      <alignment horizontal="center" vertical="center"/>
    </xf>
    <xf numFmtId="0" fontId="48" fillId="107" borderId="30" xfId="0" applyFont="1" applyFill="1" applyBorder="1" applyAlignment="1">
      <alignment horizontal="center" vertical="center"/>
    </xf>
    <xf numFmtId="0" fontId="48" fillId="107" borderId="31" xfId="0" applyFont="1" applyFill="1" applyBorder="1" applyAlignment="1">
      <alignment horizontal="center" vertical="center"/>
    </xf>
    <xf numFmtId="0" fontId="120" fillId="0" borderId="0" xfId="0" applyFont="1" applyAlignment="1">
      <alignment vertical="center"/>
    </xf>
    <xf numFmtId="0" fontId="120" fillId="0" borderId="0" xfId="0" applyFont="1" applyAlignment="1">
      <alignment horizontal="left" vertical="center"/>
    </xf>
    <xf numFmtId="0" fontId="122" fillId="0" borderId="0" xfId="0" applyFont="1" applyAlignment="1">
      <alignment vertical="center"/>
    </xf>
    <xf numFmtId="0" fontId="53" fillId="118" borderId="34" xfId="0" applyFont="1" applyFill="1" applyBorder="1" applyAlignment="1">
      <alignment vertical="center"/>
    </xf>
    <xf numFmtId="0" fontId="92" fillId="120" borderId="0" xfId="141" applyFont="1" applyFill="1" applyAlignment="1">
      <alignment horizontal="center" vertical="center" shrinkToFit="1"/>
    </xf>
    <xf numFmtId="0" fontId="31" fillId="107" borderId="0" xfId="0" applyFont="1" applyFill="1" applyAlignment="1">
      <alignment horizontal="right" vertical="center"/>
    </xf>
    <xf numFmtId="0" fontId="120" fillId="120" borderId="0" xfId="141" applyFont="1" applyFill="1" applyAlignment="1">
      <alignment horizontal="center" vertical="center" shrinkToFit="1"/>
    </xf>
    <xf numFmtId="0" fontId="66" fillId="35" borderId="0" xfId="0" applyFont="1" applyFill="1" applyAlignment="1" applyProtection="1">
      <alignment horizontal="center" vertical="center"/>
      <protection locked="0"/>
    </xf>
    <xf numFmtId="0" fontId="87" fillId="121" borderId="0" xfId="141" applyFont="1" applyFill="1" applyAlignment="1">
      <alignment horizontal="center" vertical="center" shrinkToFit="1"/>
    </xf>
    <xf numFmtId="0" fontId="120" fillId="121" borderId="0" xfId="141" applyFont="1" applyFill="1" applyAlignment="1">
      <alignment horizontal="center" vertical="center" shrinkToFit="1"/>
    </xf>
    <xf numFmtId="0" fontId="31" fillId="107" borderId="0" xfId="0" applyFont="1" applyFill="1" applyAlignment="1">
      <alignment horizontal="left" vertical="center"/>
    </xf>
    <xf numFmtId="0" fontId="97" fillId="123" borderId="0" xfId="0" applyFont="1" applyFill="1" applyAlignment="1">
      <alignment horizontal="center" vertical="center"/>
    </xf>
    <xf numFmtId="0" fontId="120" fillId="123" borderId="0" xfId="0" applyFont="1" applyFill="1" applyAlignment="1">
      <alignment horizontal="center" vertical="center"/>
    </xf>
    <xf numFmtId="0" fontId="98" fillId="107" borderId="0" xfId="0" applyFont="1" applyFill="1" applyAlignment="1">
      <alignment horizontal="center" vertical="center" shrinkToFit="1"/>
    </xf>
    <xf numFmtId="0" fontId="92" fillId="121" borderId="0" xfId="141" applyFont="1" applyFill="1" applyAlignment="1">
      <alignment horizontal="center" vertical="center" shrinkToFit="1"/>
    </xf>
    <xf numFmtId="14" fontId="22" fillId="0" borderId="0" xfId="0" applyNumberFormat="1" applyFont="1" applyAlignment="1">
      <alignment vertical="center"/>
    </xf>
    <xf numFmtId="0" fontId="99" fillId="105" borderId="0" xfId="118" applyFont="1" applyFill="1" applyAlignment="1">
      <alignment horizontal="center" vertical="center"/>
    </xf>
    <xf numFmtId="0" fontId="126" fillId="0" borderId="0" xfId="0" applyFont="1" applyAlignment="1">
      <alignment vertical="center"/>
    </xf>
    <xf numFmtId="0" fontId="127" fillId="0" borderId="0" xfId="251" applyFont="1" applyAlignment="1" applyProtection="1">
      <alignment vertical="center"/>
    </xf>
    <xf numFmtId="0" fontId="30" fillId="0" borderId="0" xfId="0" applyFont="1" applyAlignment="1">
      <alignment horizontal="center" vertical="center"/>
    </xf>
    <xf numFmtId="0" fontId="60" fillId="116" borderId="0" xfId="0" applyFont="1" applyFill="1" applyAlignment="1">
      <alignment horizontal="center" vertical="center"/>
    </xf>
    <xf numFmtId="0" fontId="35" fillId="0" borderId="57" xfId="150" applyFont="1" applyBorder="1" applyAlignment="1">
      <alignment horizontal="center" vertical="center" shrinkToFit="1"/>
    </xf>
    <xf numFmtId="0" fontId="35" fillId="0" borderId="58" xfId="150" applyFont="1" applyBorder="1" applyAlignment="1">
      <alignment horizontal="center" vertical="center" shrinkToFit="1"/>
    </xf>
    <xf numFmtId="0" fontId="9" fillId="0" borderId="0" xfId="0" applyFont="1" applyAlignment="1" applyProtection="1">
      <alignment horizontal="center" vertical="center"/>
      <protection locked="0"/>
    </xf>
    <xf numFmtId="0" fontId="35" fillId="35" borderId="15" xfId="0" applyFont="1" applyFill="1" applyBorder="1" applyAlignment="1">
      <alignment horizontal="center" vertical="center" textRotation="90" wrapText="1"/>
    </xf>
    <xf numFmtId="0" fontId="6" fillId="107" borderId="0" xfId="0" applyFont="1" applyFill="1" applyAlignment="1">
      <alignment horizontal="center" vertical="center"/>
    </xf>
    <xf numFmtId="0" fontId="35" fillId="35" borderId="1" xfId="0" applyFont="1" applyFill="1" applyBorder="1" applyAlignment="1">
      <alignment horizontal="center" vertical="center" textRotation="90" wrapText="1"/>
    </xf>
    <xf numFmtId="0" fontId="15" fillId="125" borderId="0" xfId="0" applyFont="1" applyFill="1" applyAlignment="1">
      <alignment horizontal="center" vertical="center"/>
    </xf>
    <xf numFmtId="0" fontId="37" fillId="126" borderId="0" xfId="0" applyFont="1" applyFill="1" applyAlignment="1">
      <alignment horizontal="center" vertical="center"/>
    </xf>
    <xf numFmtId="0" fontId="2" fillId="107" borderId="34" xfId="0" applyFont="1" applyFill="1" applyBorder="1" applyAlignment="1">
      <alignment vertical="center"/>
    </xf>
    <xf numFmtId="0" fontId="2" fillId="107" borderId="35" xfId="0" applyFont="1" applyFill="1" applyBorder="1" applyAlignment="1">
      <alignment vertical="center"/>
    </xf>
    <xf numFmtId="0" fontId="6" fillId="107" borderId="35" xfId="0" applyFont="1" applyFill="1" applyBorder="1" applyAlignment="1">
      <alignment vertical="center"/>
    </xf>
    <xf numFmtId="0" fontId="6" fillId="107" borderId="24" xfId="0" applyFont="1" applyFill="1" applyBorder="1" applyAlignment="1">
      <alignment vertical="center"/>
    </xf>
    <xf numFmtId="0" fontId="66" fillId="35" borderId="0" xfId="141" applyFont="1" applyFill="1" applyAlignment="1">
      <alignment horizontal="center" vertical="center" shrinkToFit="1"/>
    </xf>
    <xf numFmtId="0" fontId="103" fillId="35" borderId="0" xfId="0" applyFont="1" applyFill="1" applyAlignment="1">
      <alignment horizontal="center" vertical="center" shrinkToFit="1"/>
    </xf>
    <xf numFmtId="0" fontId="15" fillId="126" borderId="0" xfId="0" applyFont="1" applyFill="1" applyAlignment="1">
      <alignment horizontal="center" vertical="center"/>
    </xf>
    <xf numFmtId="0" fontId="2" fillId="107" borderId="27" xfId="0" applyFont="1" applyFill="1" applyBorder="1" applyAlignment="1">
      <alignment vertical="center"/>
    </xf>
    <xf numFmtId="0" fontId="6" fillId="107" borderId="28" xfId="0" applyFont="1" applyFill="1" applyBorder="1" applyAlignment="1">
      <alignment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48" fillId="107" borderId="0" xfId="0" applyFont="1" applyFill="1" applyAlignment="1">
      <alignment vertical="center"/>
    </xf>
    <xf numFmtId="0" fontId="2" fillId="107" borderId="46" xfId="0" applyFont="1" applyFill="1" applyBorder="1" applyAlignment="1">
      <alignment vertical="center"/>
    </xf>
    <xf numFmtId="0" fontId="53" fillId="0" borderId="0" xfId="0" applyFont="1"/>
    <xf numFmtId="0" fontId="91" fillId="0" borderId="0" xfId="0" applyFont="1"/>
    <xf numFmtId="0" fontId="33" fillId="0" borderId="0" xfId="0" applyFont="1"/>
    <xf numFmtId="0" fontId="58" fillId="107" borderId="0" xfId="0" applyFont="1" applyFill="1" applyAlignment="1">
      <alignment vertical="center"/>
    </xf>
    <xf numFmtId="0" fontId="58" fillId="107" borderId="0" xfId="0" applyFont="1" applyFill="1" applyAlignment="1">
      <alignment horizontal="center" vertical="center"/>
    </xf>
    <xf numFmtId="0" fontId="55" fillId="107" borderId="38" xfId="0" applyFont="1" applyFill="1" applyBorder="1" applyAlignment="1">
      <alignment horizontal="center" vertical="center"/>
    </xf>
    <xf numFmtId="0" fontId="55" fillId="107" borderId="39" xfId="0" applyFont="1" applyFill="1" applyBorder="1" applyAlignment="1">
      <alignment horizontal="center" vertical="center"/>
    </xf>
    <xf numFmtId="0" fontId="58" fillId="107" borderId="39" xfId="0" applyFont="1" applyFill="1" applyBorder="1" applyAlignment="1">
      <alignment horizontal="center" vertical="center"/>
    </xf>
    <xf numFmtId="0" fontId="6" fillId="107" borderId="40" xfId="0" applyFont="1" applyFill="1" applyBorder="1" applyAlignment="1">
      <alignment vertical="center"/>
    </xf>
    <xf numFmtId="0" fontId="31" fillId="0" borderId="59" xfId="0" applyFont="1" applyBorder="1" applyAlignment="1">
      <alignment horizontal="center" vertical="center"/>
    </xf>
    <xf numFmtId="0" fontId="2" fillId="107" borderId="16" xfId="0" applyFont="1" applyFill="1" applyBorder="1" applyAlignment="1">
      <alignment vertical="center"/>
    </xf>
    <xf numFmtId="0" fontId="2" fillId="107" borderId="37" xfId="0" applyFont="1" applyFill="1" applyBorder="1" applyAlignment="1">
      <alignment vertical="center"/>
    </xf>
    <xf numFmtId="0" fontId="6" fillId="113" borderId="0" xfId="0" applyFont="1" applyFill="1" applyAlignment="1">
      <alignment horizontal="center" vertical="center"/>
    </xf>
    <xf numFmtId="0" fontId="31" fillId="107" borderId="0" xfId="0" applyFont="1" applyFill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" fillId="107" borderId="0" xfId="0" applyFont="1" applyFill="1" applyAlignment="1">
      <alignment horizontal="left" vertical="center"/>
    </xf>
    <xf numFmtId="0" fontId="15" fillId="40" borderId="0" xfId="118" applyFont="1" applyFill="1" applyAlignment="1">
      <alignment horizontal="center" vertical="center"/>
    </xf>
    <xf numFmtId="0" fontId="99" fillId="40" borderId="0" xfId="118" applyFont="1" applyFill="1" applyAlignment="1">
      <alignment horizontal="center" vertical="center"/>
    </xf>
    <xf numFmtId="0" fontId="123" fillId="34" borderId="36" xfId="138" applyFont="1" applyFill="1" applyBorder="1" applyAlignment="1">
      <alignment horizontal="center" vertical="center" shrinkToFit="1"/>
    </xf>
    <xf numFmtId="0" fontId="58" fillId="0" borderId="33" xfId="138" applyFont="1" applyBorder="1" applyAlignment="1">
      <alignment horizontal="center" vertical="center" shrinkToFit="1"/>
    </xf>
    <xf numFmtId="0" fontId="2" fillId="107" borderId="19" xfId="0" applyFont="1" applyFill="1" applyBorder="1" applyAlignment="1">
      <alignment vertical="center"/>
    </xf>
    <xf numFmtId="0" fontId="2" fillId="107" borderId="20" xfId="0" applyFont="1" applyFill="1" applyBorder="1" applyAlignment="1">
      <alignment vertical="center"/>
    </xf>
    <xf numFmtId="0" fontId="2" fillId="107" borderId="21" xfId="0" applyFont="1" applyFill="1" applyBorder="1" applyAlignment="1">
      <alignment vertical="center"/>
    </xf>
    <xf numFmtId="0" fontId="2" fillId="107" borderId="25" xfId="0" applyFont="1" applyFill="1" applyBorder="1" applyAlignment="1">
      <alignment vertical="center"/>
    </xf>
    <xf numFmtId="0" fontId="2" fillId="107" borderId="26" xfId="0" applyFont="1" applyFill="1" applyBorder="1" applyAlignment="1">
      <alignment vertical="center"/>
    </xf>
    <xf numFmtId="0" fontId="113" fillId="107" borderId="49" xfId="0" applyFont="1" applyFill="1" applyBorder="1" applyAlignment="1">
      <alignment horizontal="center" vertical="center"/>
    </xf>
    <xf numFmtId="0" fontId="113" fillId="107" borderId="17" xfId="0" applyFont="1" applyFill="1" applyBorder="1" applyAlignment="1">
      <alignment horizontal="center" vertical="center"/>
    </xf>
    <xf numFmtId="0" fontId="113" fillId="107" borderId="50" xfId="0" applyFont="1" applyFill="1" applyBorder="1" applyAlignment="1">
      <alignment horizontal="center" vertical="center"/>
    </xf>
    <xf numFmtId="0" fontId="113" fillId="107" borderId="52" xfId="0" applyFont="1" applyFill="1" applyBorder="1" applyAlignment="1">
      <alignment horizontal="center" vertical="center"/>
    </xf>
    <xf numFmtId="0" fontId="113" fillId="107" borderId="53" xfId="0" applyFont="1" applyFill="1" applyBorder="1" applyAlignment="1">
      <alignment horizontal="center" vertical="center"/>
    </xf>
    <xf numFmtId="0" fontId="113" fillId="107" borderId="54" xfId="0" applyFont="1" applyFill="1" applyBorder="1" applyAlignment="1">
      <alignment horizontal="center" vertical="center"/>
    </xf>
    <xf numFmtId="0" fontId="2" fillId="110" borderId="0" xfId="115" applyFont="1" applyFill="1" applyAlignment="1">
      <alignment vertical="center"/>
    </xf>
    <xf numFmtId="0" fontId="35" fillId="128" borderId="22" xfId="150" applyFont="1" applyFill="1" applyBorder="1" applyAlignment="1">
      <alignment horizontal="center" vertical="center" shrinkToFit="1"/>
    </xf>
    <xf numFmtId="0" fontId="62" fillId="65" borderId="0" xfId="0" applyFont="1" applyFill="1" applyAlignment="1">
      <alignment horizontal="center" vertical="center"/>
    </xf>
    <xf numFmtId="0" fontId="63" fillId="110" borderId="0" xfId="115" applyFont="1" applyFill="1" applyAlignment="1">
      <alignment vertical="center"/>
    </xf>
    <xf numFmtId="0" fontId="2" fillId="110" borderId="0" xfId="0" applyFont="1" applyFill="1" applyAlignment="1">
      <alignment vertical="center"/>
    </xf>
    <xf numFmtId="0" fontId="31" fillId="65" borderId="0" xfId="0" applyFont="1" applyFill="1" applyAlignment="1">
      <alignment horizontal="right" vertical="center"/>
    </xf>
    <xf numFmtId="0" fontId="31" fillId="65" borderId="0" xfId="0" applyFont="1" applyFill="1" applyAlignment="1">
      <alignment horizontal="left" vertical="center"/>
    </xf>
    <xf numFmtId="0" fontId="117" fillId="42" borderId="33" xfId="138" applyFont="1" applyFill="1" applyBorder="1" applyAlignment="1">
      <alignment horizontal="center" vertical="center" shrinkToFit="1"/>
    </xf>
    <xf numFmtId="0" fontId="6" fillId="65" borderId="0" xfId="0" applyFont="1" applyFill="1" applyAlignment="1">
      <alignment horizontal="right" vertical="center"/>
    </xf>
    <xf numFmtId="0" fontId="65" fillId="110" borderId="0" xfId="0" applyFont="1" applyFill="1" applyAlignment="1">
      <alignment vertical="center"/>
    </xf>
    <xf numFmtId="0" fontId="40" fillId="65" borderId="0" xfId="0" applyFont="1" applyFill="1" applyAlignment="1">
      <alignment horizontal="left" vertical="center"/>
    </xf>
    <xf numFmtId="0" fontId="58" fillId="65" borderId="0" xfId="0" applyFont="1" applyFill="1" applyAlignment="1">
      <alignment horizontal="right" vertical="center"/>
    </xf>
    <xf numFmtId="0" fontId="67" fillId="65" borderId="0" xfId="0" applyFont="1" applyFill="1" applyAlignment="1">
      <alignment horizontal="center" vertical="center"/>
    </xf>
    <xf numFmtId="0" fontId="36" fillId="132" borderId="0" xfId="0" applyFont="1" applyFill="1" applyAlignment="1">
      <alignment horizontal="center" vertical="center"/>
    </xf>
    <xf numFmtId="0" fontId="69" fillId="65" borderId="0" xfId="0" applyFont="1" applyFill="1" applyAlignment="1">
      <alignment horizontal="right" vertical="center"/>
    </xf>
    <xf numFmtId="0" fontId="31" fillId="132" borderId="0" xfId="0" applyFont="1" applyFill="1" applyAlignment="1">
      <alignment horizontal="center" vertical="center"/>
    </xf>
    <xf numFmtId="0" fontId="56" fillId="129" borderId="43" xfId="0" applyFont="1" applyFill="1" applyBorder="1" applyAlignment="1">
      <alignment horizontal="center" vertical="center"/>
    </xf>
    <xf numFmtId="0" fontId="114" fillId="115" borderId="36" xfId="142" applyFont="1" applyFill="1" applyBorder="1" applyAlignment="1" applyProtection="1">
      <alignment horizontal="center" vertical="center" shrinkToFit="1"/>
    </xf>
    <xf numFmtId="0" fontId="86" fillId="47" borderId="1" xfId="131" applyFont="1" applyFill="1" applyBorder="1" applyAlignment="1" applyProtection="1">
      <alignment horizontal="center" vertical="center"/>
      <protection locked="0"/>
    </xf>
    <xf numFmtId="0" fontId="94" fillId="35" borderId="0" xfId="0" applyFont="1" applyFill="1" applyAlignment="1">
      <alignment horizontal="center" vertical="center" wrapText="1"/>
    </xf>
    <xf numFmtId="0" fontId="35" fillId="128" borderId="44" xfId="150" applyFont="1" applyFill="1" applyBorder="1" applyAlignment="1">
      <alignment horizontal="center" vertical="center" shrinkToFit="1"/>
    </xf>
    <xf numFmtId="0" fontId="40" fillId="65" borderId="0" xfId="0" applyFont="1" applyFill="1" applyAlignment="1">
      <alignment horizontal="center" vertical="center"/>
    </xf>
    <xf numFmtId="0" fontId="123" fillId="70" borderId="36" xfId="138" applyFont="1" applyFill="1" applyBorder="1" applyAlignment="1">
      <alignment horizontal="center" vertical="center" shrinkToFit="1"/>
    </xf>
    <xf numFmtId="0" fontId="49" fillId="65" borderId="0" xfId="0" applyFont="1" applyFill="1" applyAlignment="1">
      <alignment horizontal="center" vertical="center"/>
    </xf>
    <xf numFmtId="0" fontId="2" fillId="65" borderId="0" xfId="0" applyFont="1" applyFill="1" applyAlignment="1">
      <alignment vertical="center"/>
    </xf>
    <xf numFmtId="0" fontId="35" fillId="136" borderId="45" xfId="152" applyFont="1" applyFill="1" applyBorder="1" applyAlignment="1" applyProtection="1">
      <alignment horizontal="center" vertical="center" shrinkToFit="1"/>
    </xf>
    <xf numFmtId="0" fontId="2" fillId="132" borderId="0" xfId="115" applyFont="1" applyFill="1" applyAlignment="1">
      <alignment vertical="center"/>
    </xf>
    <xf numFmtId="0" fontId="80" fillId="65" borderId="0" xfId="0" applyFont="1" applyFill="1" applyAlignment="1">
      <alignment horizontal="right" vertical="center"/>
    </xf>
    <xf numFmtId="0" fontId="58" fillId="132" borderId="0" xfId="0" applyFont="1" applyFill="1" applyAlignment="1">
      <alignment horizontal="center" vertical="center"/>
    </xf>
    <xf numFmtId="0" fontId="31" fillId="65" borderId="0" xfId="0" applyFont="1" applyFill="1" applyAlignment="1">
      <alignment horizontal="center" vertical="center"/>
    </xf>
    <xf numFmtId="0" fontId="35" fillId="128" borderId="57" xfId="150" applyFont="1" applyFill="1" applyBorder="1" applyAlignment="1">
      <alignment horizontal="center" vertical="center" shrinkToFit="1"/>
    </xf>
    <xf numFmtId="0" fontId="35" fillId="128" borderId="58" xfId="150" applyFont="1" applyFill="1" applyBorder="1" applyAlignment="1">
      <alignment horizontal="center" vertical="center" shrinkToFit="1"/>
    </xf>
    <xf numFmtId="0" fontId="61" fillId="65" borderId="0" xfId="0" applyFont="1" applyFill="1" applyAlignment="1">
      <alignment horizontal="right" vertical="center"/>
    </xf>
    <xf numFmtId="0" fontId="0" fillId="0" borderId="0" xfId="0" applyProtection="1">
      <protection locked="0"/>
    </xf>
    <xf numFmtId="0" fontId="34" fillId="0" borderId="0" xfId="252" applyFont="1" applyAlignment="1">
      <alignment horizontal="center" vertical="top" shrinkToFit="1"/>
      <protection locked="0"/>
    </xf>
    <xf numFmtId="0" fontId="129" fillId="0" borderId="0" xfId="252" applyFont="1" applyAlignment="1">
      <alignment horizontal="center" vertical="top" shrinkToFit="1"/>
      <protection locked="0"/>
    </xf>
    <xf numFmtId="0" fontId="130" fillId="0" borderId="0" xfId="252" applyFont="1" applyAlignment="1" applyProtection="1">
      <alignment horizontal="center" vertical="center" shrinkToFit="1"/>
    </xf>
    <xf numFmtId="0" fontId="33" fillId="0" borderId="0" xfId="0" applyFont="1" applyProtection="1">
      <protection locked="0"/>
    </xf>
    <xf numFmtId="0" fontId="6" fillId="0" borderId="0" xfId="138" applyFont="1" applyAlignment="1" applyProtection="1">
      <alignment horizontal="center" vertical="center"/>
      <protection locked="0"/>
    </xf>
    <xf numFmtId="0" fontId="133" fillId="0" borderId="0" xfId="0" applyFont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34" fillId="0" borderId="0" xfId="0" applyFont="1" applyAlignment="1" applyProtection="1">
      <alignment horizontal="center" vertical="center"/>
      <protection locked="0"/>
    </xf>
    <xf numFmtId="0" fontId="135" fillId="0" borderId="0" xfId="0" applyFont="1" applyAlignment="1" applyProtection="1">
      <alignment horizontal="center" vertical="center"/>
      <protection locked="0"/>
    </xf>
    <xf numFmtId="1" fontId="30" fillId="146" borderId="1" xfId="203" applyNumberFormat="1" applyFont="1" applyFill="1" applyBorder="1" applyAlignment="1" applyProtection="1">
      <alignment horizontal="right" vertical="center"/>
    </xf>
    <xf numFmtId="0" fontId="132" fillId="0" borderId="0" xfId="0" applyFont="1" applyAlignment="1" applyProtection="1">
      <alignment horizontal="center" wrapText="1"/>
      <protection locked="0"/>
    </xf>
    <xf numFmtId="14" fontId="132" fillId="0" borderId="0" xfId="0" applyNumberFormat="1" applyFont="1" applyAlignment="1" applyProtection="1">
      <alignment horizontal="center" wrapText="1"/>
      <protection locked="0"/>
    </xf>
    <xf numFmtId="0" fontId="86" fillId="148" borderId="4" xfId="0" applyFont="1" applyFill="1" applyBorder="1" applyAlignment="1">
      <alignment horizontal="center" vertical="center"/>
    </xf>
    <xf numFmtId="170" fontId="36" fillId="0" borderId="1" xfId="138" applyNumberFormat="1" applyFont="1" applyBorder="1" applyAlignment="1">
      <alignment horizontal="center" vertical="center" shrinkToFit="1"/>
    </xf>
    <xf numFmtId="0" fontId="55" fillId="141" borderId="14" xfId="150" applyFont="1" applyFill="1" applyBorder="1" applyAlignment="1" applyProtection="1">
      <alignment vertical="center" shrinkToFit="1"/>
      <protection locked="0"/>
    </xf>
    <xf numFmtId="0" fontId="55" fillId="0" borderId="14" xfId="150" applyFont="1" applyBorder="1" applyAlignment="1" applyProtection="1">
      <alignment vertical="center" shrinkToFit="1"/>
      <protection locked="0"/>
    </xf>
    <xf numFmtId="0" fontId="102" fillId="0" borderId="3" xfId="0" applyFont="1" applyBorder="1" applyAlignment="1" applyProtection="1">
      <alignment horizontal="center"/>
      <protection locked="0"/>
    </xf>
    <xf numFmtId="0" fontId="102" fillId="0" borderId="18" xfId="0" applyFont="1" applyBorder="1" applyAlignment="1" applyProtection="1">
      <alignment horizontal="center"/>
      <protection locked="0"/>
    </xf>
    <xf numFmtId="0" fontId="102" fillId="0" borderId="0" xfId="0" applyFont="1" applyAlignment="1" applyProtection="1">
      <alignment horizontal="center"/>
      <protection locked="0"/>
    </xf>
    <xf numFmtId="0" fontId="100" fillId="0" borderId="0" xfId="0" applyFont="1" applyAlignment="1">
      <alignment horizontal="center"/>
    </xf>
    <xf numFmtId="0" fontId="45" fillId="0" borderId="2" xfId="0" applyFont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45" fillId="0" borderId="65" xfId="0" applyFont="1" applyBorder="1" applyAlignment="1" applyProtection="1">
      <alignment horizontal="center" vertical="center"/>
      <protection locked="0"/>
    </xf>
    <xf numFmtId="0" fontId="136" fillId="149" borderId="0" xfId="0" applyFont="1" applyFill="1" applyAlignment="1">
      <alignment horizontal="center" vertical="center"/>
    </xf>
    <xf numFmtId="170" fontId="0" fillId="0" borderId="68" xfId="225" applyNumberFormat="1" applyFont="1" applyFill="1" applyBorder="1" applyAlignment="1" applyProtection="1">
      <alignment horizontal="center" vertical="center"/>
    </xf>
    <xf numFmtId="172" fontId="163" fillId="0" borderId="2" xfId="0" applyNumberFormat="1" applyFont="1" applyBorder="1" applyAlignment="1">
      <alignment horizontal="center" vertical="center"/>
    </xf>
    <xf numFmtId="0" fontId="12" fillId="47" borderId="0" xfId="0" applyFont="1" applyFill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0" xfId="0" applyFont="1" applyBorder="1" applyAlignment="1">
      <alignment horizontal="center" vertical="center"/>
    </xf>
    <xf numFmtId="0" fontId="57" fillId="0" borderId="69" xfId="0" applyFont="1" applyBorder="1" applyAlignment="1">
      <alignment horizontal="center" vertical="center"/>
    </xf>
    <xf numFmtId="0" fontId="57" fillId="0" borderId="70" xfId="0" applyFont="1" applyBorder="1" applyAlignment="1">
      <alignment horizontal="center" vertical="center"/>
    </xf>
    <xf numFmtId="0" fontId="117" fillId="42" borderId="71" xfId="138" applyFont="1" applyFill="1" applyBorder="1" applyAlignment="1">
      <alignment horizontal="center" vertical="center" shrinkToFit="1"/>
    </xf>
    <xf numFmtId="0" fontId="58" fillId="0" borderId="71" xfId="142" applyFont="1" applyBorder="1" applyAlignment="1" applyProtection="1">
      <alignment horizontal="center" vertical="center" shrinkToFit="1"/>
    </xf>
    <xf numFmtId="0" fontId="57" fillId="0" borderId="71" xfId="0" applyFont="1" applyBorder="1" applyAlignment="1">
      <alignment horizontal="center" vertical="center"/>
    </xf>
    <xf numFmtId="0" fontId="118" fillId="105" borderId="71" xfId="138" applyFont="1" applyFill="1" applyBorder="1" applyAlignment="1">
      <alignment horizontal="center" vertical="center" shrinkToFit="1"/>
    </xf>
    <xf numFmtId="0" fontId="54" fillId="0" borderId="71" xfId="250" applyFont="1" applyBorder="1" applyAlignment="1" applyProtection="1">
      <alignment horizontal="center" vertical="center"/>
    </xf>
    <xf numFmtId="0" fontId="86" fillId="0" borderId="71" xfId="131" applyFont="1" applyBorder="1" applyAlignment="1">
      <alignment horizontal="center" vertical="center"/>
    </xf>
    <xf numFmtId="0" fontId="52" fillId="0" borderId="71" xfId="0" applyFont="1" applyBorder="1" applyAlignment="1">
      <alignment horizontal="center" vertical="center"/>
    </xf>
    <xf numFmtId="0" fontId="52" fillId="0" borderId="33" xfId="0" applyFont="1" applyBorder="1" applyAlignment="1">
      <alignment horizontal="center" vertical="center"/>
    </xf>
    <xf numFmtId="0" fontId="81" fillId="0" borderId="71" xfId="0" applyFont="1" applyBorder="1" applyAlignment="1">
      <alignment horizontal="center" vertical="center"/>
    </xf>
    <xf numFmtId="0" fontId="82" fillId="0" borderId="71" xfId="131" applyFont="1" applyBorder="1" applyAlignment="1">
      <alignment horizontal="center" vertical="center"/>
    </xf>
    <xf numFmtId="0" fontId="114" fillId="115" borderId="71" xfId="142" applyFont="1" applyFill="1" applyBorder="1" applyAlignment="1" applyProtection="1">
      <alignment horizontal="center" vertical="center" shrinkToFit="1"/>
    </xf>
    <xf numFmtId="0" fontId="121" fillId="119" borderId="71" xfId="142" applyFont="1" applyFill="1" applyBorder="1" applyAlignment="1" applyProtection="1">
      <alignment horizontal="center" vertical="center" shrinkToFit="1"/>
    </xf>
    <xf numFmtId="0" fontId="52" fillId="0" borderId="71" xfId="250" applyFont="1" applyBorder="1" applyAlignment="1" applyProtection="1">
      <alignment horizontal="center" vertical="center"/>
    </xf>
    <xf numFmtId="0" fontId="58" fillId="0" borderId="71" xfId="138" applyFont="1" applyBorder="1" applyAlignment="1">
      <alignment horizontal="center" vertical="center" shrinkToFit="1"/>
    </xf>
    <xf numFmtId="0" fontId="70" fillId="0" borderId="71" xfId="250" applyFont="1" applyBorder="1" applyAlignment="1" applyProtection="1">
      <alignment horizontal="center" vertical="center"/>
    </xf>
    <xf numFmtId="0" fontId="54" fillId="0" borderId="71" xfId="250" applyFont="1" applyBorder="1" applyAlignment="1">
      <alignment horizontal="center" vertical="center"/>
      <protection locked="0"/>
    </xf>
    <xf numFmtId="0" fontId="93" fillId="0" borderId="71" xfId="131" applyFont="1" applyBorder="1" applyAlignment="1">
      <alignment horizontal="center" vertical="center"/>
    </xf>
    <xf numFmtId="0" fontId="115" fillId="117" borderId="71" xfId="142" applyFont="1" applyFill="1" applyBorder="1" applyAlignment="1" applyProtection="1">
      <alignment horizontal="center" vertical="center" shrinkToFit="1"/>
    </xf>
    <xf numFmtId="0" fontId="119" fillId="122" borderId="71" xfId="142" applyFont="1" applyFill="1" applyBorder="1" applyAlignment="1" applyProtection="1">
      <alignment horizontal="center" vertical="center" shrinkToFit="1"/>
    </xf>
    <xf numFmtId="0" fontId="123" fillId="74" borderId="71" xfId="138" applyFont="1" applyFill="1" applyBorder="1" applyAlignment="1">
      <alignment horizontal="center" vertical="center" shrinkToFit="1"/>
    </xf>
    <xf numFmtId="0" fontId="86" fillId="0" borderId="71" xfId="131" applyFont="1" applyBorder="1" applyAlignment="1" applyProtection="1">
      <alignment horizontal="center" vertical="center"/>
      <protection locked="0"/>
    </xf>
    <xf numFmtId="0" fontId="66" fillId="0" borderId="72" xfId="0" applyFont="1" applyBorder="1" applyAlignment="1" applyProtection="1">
      <alignment horizontal="center" vertical="center"/>
      <protection locked="0"/>
    </xf>
    <xf numFmtId="0" fontId="121" fillId="124" borderId="71" xfId="141" applyFont="1" applyFill="1" applyBorder="1" applyAlignment="1">
      <alignment horizontal="center" vertical="center" shrinkToFit="1"/>
    </xf>
    <xf numFmtId="0" fontId="125" fillId="68" borderId="71" xfId="138" applyFont="1" applyFill="1" applyBorder="1" applyAlignment="1">
      <alignment horizontal="center" vertical="center" shrinkToFit="1"/>
    </xf>
    <xf numFmtId="0" fontId="101" fillId="0" borderId="70" xfId="0" applyFont="1" applyBorder="1" applyAlignment="1">
      <alignment horizontal="center" vertical="center"/>
    </xf>
    <xf numFmtId="0" fontId="104" fillId="0" borderId="71" xfId="250" applyFont="1" applyBorder="1" applyAlignment="1" applyProtection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4" fillId="0" borderId="74" xfId="250" applyFont="1" applyBorder="1" applyAlignment="1" applyProtection="1">
      <alignment horizontal="center" vertical="center"/>
    </xf>
    <xf numFmtId="0" fontId="119" fillId="122" borderId="74" xfId="142" applyFont="1" applyFill="1" applyBorder="1" applyAlignment="1" applyProtection="1">
      <alignment horizontal="center" vertical="center" shrinkToFit="1"/>
    </xf>
    <xf numFmtId="0" fontId="35" fillId="35" borderId="75" xfId="0" applyFont="1" applyFill="1" applyBorder="1" applyAlignment="1">
      <alignment horizontal="center" vertical="center" textRotation="90" wrapText="1"/>
    </xf>
    <xf numFmtId="0" fontId="124" fillId="44" borderId="71" xfId="138" applyFont="1" applyFill="1" applyBorder="1" applyAlignment="1">
      <alignment horizontal="center" vertical="center" shrinkToFit="1"/>
    </xf>
    <xf numFmtId="0" fontId="114" fillId="127" borderId="71" xfId="142" applyFont="1" applyFill="1" applyBorder="1" applyAlignment="1" applyProtection="1">
      <alignment horizontal="center" vertical="center" shrinkToFit="1"/>
    </xf>
    <xf numFmtId="0" fontId="104" fillId="0" borderId="71" xfId="250" applyFont="1" applyBorder="1" applyAlignment="1" applyProtection="1">
      <alignment horizontal="center"/>
    </xf>
    <xf numFmtId="0" fontId="101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21" fillId="119" borderId="33" xfId="142" applyFont="1" applyFill="1" applyBorder="1" applyAlignment="1" applyProtection="1">
      <alignment horizontal="center" vertical="center" shrinkToFit="1"/>
    </xf>
    <xf numFmtId="0" fontId="123" fillId="71" borderId="74" xfId="138" applyFont="1" applyFill="1" applyBorder="1" applyAlignment="1">
      <alignment horizontal="center" vertical="center" shrinkToFit="1"/>
    </xf>
    <xf numFmtId="0" fontId="124" fillId="41" borderId="71" xfId="138" applyFont="1" applyFill="1" applyBorder="1" applyAlignment="1">
      <alignment horizontal="center" vertical="center" shrinkToFit="1"/>
    </xf>
    <xf numFmtId="0" fontId="124" fillId="41" borderId="33" xfId="138" applyFont="1" applyFill="1" applyBorder="1" applyAlignment="1">
      <alignment horizontal="center" vertical="center" shrinkToFit="1"/>
    </xf>
    <xf numFmtId="0" fontId="9" fillId="0" borderId="61" xfId="0" applyFont="1" applyBorder="1" applyAlignment="1">
      <alignment horizontal="center" vertical="center"/>
    </xf>
    <xf numFmtId="0" fontId="70" fillId="47" borderId="79" xfId="250" applyFont="1" applyFill="1" applyBorder="1" applyAlignment="1" applyProtection="1">
      <alignment horizontal="center" vertical="center"/>
    </xf>
    <xf numFmtId="0" fontId="82" fillId="77" borderId="79" xfId="131" applyFont="1" applyFill="1" applyBorder="1" applyAlignment="1">
      <alignment horizontal="center" vertical="center"/>
    </xf>
    <xf numFmtId="0" fontId="56" fillId="129" borderId="79" xfId="0" applyFont="1" applyFill="1" applyBorder="1" applyAlignment="1">
      <alignment horizontal="center" vertical="center"/>
    </xf>
    <xf numFmtId="0" fontId="54" fillId="47" borderId="79" xfId="250" applyFont="1" applyFill="1" applyBorder="1" applyAlignment="1" applyProtection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1" xfId="0" applyFont="1" applyBorder="1" applyAlignment="1">
      <alignment vertical="center"/>
    </xf>
    <xf numFmtId="0" fontId="115" fillId="117" borderId="81" xfId="142" applyFont="1" applyFill="1" applyBorder="1" applyAlignment="1" applyProtection="1">
      <alignment horizontal="center" vertical="center" shrinkToFit="1"/>
    </xf>
    <xf numFmtId="0" fontId="119" fillId="122" borderId="81" xfId="142" applyFont="1" applyFill="1" applyBorder="1" applyAlignment="1" applyProtection="1">
      <alignment horizontal="center" vertical="center" shrinkToFit="1"/>
    </xf>
    <xf numFmtId="0" fontId="125" fillId="68" borderId="81" xfId="138" applyFont="1" applyFill="1" applyBorder="1" applyAlignment="1">
      <alignment horizontal="center" vertical="center" shrinkToFit="1"/>
    </xf>
    <xf numFmtId="0" fontId="123" fillId="34" borderId="81" xfId="138" applyFont="1" applyFill="1" applyBorder="1" applyAlignment="1">
      <alignment horizontal="center" vertical="center" shrinkToFit="1"/>
    </xf>
    <xf numFmtId="0" fontId="94" fillId="0" borderId="0" xfId="0" applyFont="1" applyAlignment="1">
      <alignment horizontal="center" vertical="center"/>
    </xf>
    <xf numFmtId="0" fontId="56" fillId="0" borderId="78" xfId="0" applyFont="1" applyBorder="1" applyAlignment="1">
      <alignment horizontal="center" vertical="center"/>
    </xf>
    <xf numFmtId="0" fontId="15" fillId="0" borderId="0" xfId="118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94" fillId="0" borderId="0" xfId="0" applyFont="1" applyAlignment="1" applyProtection="1">
      <alignment horizontal="center" vertical="center"/>
      <protection locked="0"/>
    </xf>
    <xf numFmtId="0" fontId="70" fillId="0" borderId="79" xfId="250" applyFont="1" applyBorder="1" applyAlignment="1" applyProtection="1">
      <alignment horizontal="center" vertical="center"/>
    </xf>
    <xf numFmtId="0" fontId="105" fillId="0" borderId="0" xfId="0" applyFont="1" applyAlignment="1">
      <alignment horizontal="center" vertical="center"/>
    </xf>
    <xf numFmtId="0" fontId="54" fillId="0" borderId="33" xfId="250" applyFont="1" applyBorder="1" applyAlignment="1">
      <alignment horizontal="center" vertical="center"/>
      <protection locked="0"/>
    </xf>
    <xf numFmtId="0" fontId="82" fillId="0" borderId="79" xfId="131" applyFont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86" fillId="0" borderId="33" xfId="0" applyFont="1" applyBorder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04" fillId="0" borderId="79" xfId="250" applyFont="1" applyBorder="1" applyAlignment="1" applyProtection="1">
      <alignment horizontal="center" vertical="center"/>
    </xf>
    <xf numFmtId="0" fontId="56" fillId="0" borderId="79" xfId="0" applyFont="1" applyBorder="1" applyAlignment="1">
      <alignment horizontal="center" vertical="center"/>
    </xf>
    <xf numFmtId="0" fontId="54" fillId="0" borderId="79" xfId="250" applyFont="1" applyBorder="1" applyAlignment="1">
      <alignment horizontal="center" vertical="center"/>
      <protection locked="0"/>
    </xf>
    <xf numFmtId="0" fontId="54" fillId="0" borderId="79" xfId="250" applyFont="1" applyBorder="1" applyAlignment="1" applyProtection="1">
      <alignment horizontal="center" vertical="center"/>
    </xf>
    <xf numFmtId="0" fontId="52" fillId="0" borderId="79" xfId="0" applyFont="1" applyBorder="1" applyAlignment="1">
      <alignment horizontal="center" vertical="center"/>
    </xf>
    <xf numFmtId="0" fontId="137" fillId="0" borderId="81" xfId="138" applyFont="1" applyBorder="1" applyAlignment="1">
      <alignment horizontal="center" vertical="center" shrinkToFit="1"/>
    </xf>
    <xf numFmtId="0" fontId="114" fillId="115" borderId="79" xfId="142" applyFont="1" applyFill="1" applyBorder="1" applyAlignment="1" applyProtection="1">
      <alignment horizontal="center" vertical="center" shrinkToFit="1"/>
    </xf>
    <xf numFmtId="0" fontId="115" fillId="117" borderId="79" xfId="142" applyFont="1" applyFill="1" applyBorder="1" applyAlignment="1" applyProtection="1">
      <alignment horizontal="center" vertical="center" shrinkToFit="1"/>
    </xf>
    <xf numFmtId="0" fontId="54" fillId="47" borderId="81" xfId="250" applyFont="1" applyFill="1" applyBorder="1" applyAlignment="1" applyProtection="1">
      <alignment horizontal="center" vertical="center"/>
    </xf>
    <xf numFmtId="0" fontId="56" fillId="129" borderId="82" xfId="0" applyFont="1" applyFill="1" applyBorder="1" applyAlignment="1">
      <alignment horizontal="center" vertical="center"/>
    </xf>
    <xf numFmtId="0" fontId="56" fillId="129" borderId="83" xfId="0" applyFont="1" applyFill="1" applyBorder="1" applyAlignment="1">
      <alignment horizontal="center" vertical="center"/>
    </xf>
    <xf numFmtId="0" fontId="57" fillId="47" borderId="82" xfId="0" applyFont="1" applyFill="1" applyBorder="1" applyAlignment="1">
      <alignment horizontal="center" vertical="center"/>
    </xf>
    <xf numFmtId="0" fontId="57" fillId="47" borderId="83" xfId="0" applyFont="1" applyFill="1" applyBorder="1" applyAlignment="1">
      <alignment horizontal="center" vertical="center"/>
    </xf>
    <xf numFmtId="0" fontId="57" fillId="47" borderId="79" xfId="0" applyFont="1" applyFill="1" applyBorder="1" applyAlignment="1">
      <alignment horizontal="center" vertical="center"/>
    </xf>
    <xf numFmtId="0" fontId="58" fillId="130" borderId="79" xfId="142" applyFont="1" applyFill="1" applyBorder="1" applyAlignment="1" applyProtection="1">
      <alignment horizontal="center" vertical="center" shrinkToFit="1"/>
    </xf>
    <xf numFmtId="0" fontId="117" fillId="42" borderId="79" xfId="138" applyFont="1" applyFill="1" applyBorder="1" applyAlignment="1">
      <alignment horizontal="center" vertical="center" shrinkToFit="1"/>
    </xf>
    <xf numFmtId="0" fontId="58" fillId="131" borderId="79" xfId="138" applyFont="1" applyFill="1" applyBorder="1" applyAlignment="1">
      <alignment horizontal="center" vertical="center" shrinkToFit="1"/>
    </xf>
    <xf numFmtId="0" fontId="117" fillId="42" borderId="84" xfId="138" applyFont="1" applyFill="1" applyBorder="1" applyAlignment="1">
      <alignment horizontal="center" vertical="center" shrinkToFit="1"/>
    </xf>
    <xf numFmtId="0" fontId="58" fillId="130" borderId="84" xfId="142" applyFont="1" applyFill="1" applyBorder="1" applyAlignment="1" applyProtection="1">
      <alignment horizontal="center" vertical="center" shrinkToFit="1"/>
    </xf>
    <xf numFmtId="0" fontId="57" fillId="47" borderId="84" xfId="0" applyFont="1" applyFill="1" applyBorder="1" applyAlignment="1">
      <alignment horizontal="center" vertical="center"/>
    </xf>
    <xf numFmtId="0" fontId="54" fillId="47" borderId="84" xfId="250" applyFont="1" applyFill="1" applyBorder="1" applyAlignment="1" applyProtection="1">
      <alignment horizontal="center" vertical="center"/>
    </xf>
    <xf numFmtId="0" fontId="118" fillId="105" borderId="79" xfId="138" applyFont="1" applyFill="1" applyBorder="1" applyAlignment="1">
      <alignment horizontal="center" vertical="center" shrinkToFit="1"/>
    </xf>
    <xf numFmtId="0" fontId="86" fillId="112" borderId="84" xfId="131" applyFont="1" applyFill="1" applyBorder="1" applyAlignment="1">
      <alignment horizontal="center" vertical="center"/>
    </xf>
    <xf numFmtId="0" fontId="115" fillId="0" borderId="84" xfId="142" applyFont="1" applyBorder="1" applyAlignment="1" applyProtection="1">
      <alignment horizontal="center" vertical="center" shrinkToFit="1"/>
    </xf>
    <xf numFmtId="0" fontId="119" fillId="0" borderId="84" xfId="142" applyFont="1" applyBorder="1" applyAlignment="1" applyProtection="1">
      <alignment horizontal="center" vertical="center" shrinkToFit="1"/>
    </xf>
    <xf numFmtId="0" fontId="52" fillId="38" borderId="84" xfId="0" applyFont="1" applyFill="1" applyBorder="1" applyAlignment="1">
      <alignment horizontal="center" vertical="center"/>
    </xf>
    <xf numFmtId="0" fontId="79" fillId="133" borderId="84" xfId="138" applyFont="1" applyFill="1" applyBorder="1" applyAlignment="1">
      <alignment horizontal="center" vertical="center" shrinkToFit="1"/>
    </xf>
    <xf numFmtId="0" fontId="79" fillId="133" borderId="79" xfId="138" applyFont="1" applyFill="1" applyBorder="1" applyAlignment="1">
      <alignment horizontal="center" vertical="center" shrinkToFit="1"/>
    </xf>
    <xf numFmtId="0" fontId="52" fillId="38" borderId="79" xfId="0" applyFont="1" applyFill="1" applyBorder="1" applyAlignment="1">
      <alignment horizontal="center" vertical="center"/>
    </xf>
    <xf numFmtId="0" fontId="81" fillId="40" borderId="79" xfId="0" applyFont="1" applyFill="1" applyBorder="1" applyAlignment="1">
      <alignment horizontal="center" vertical="center"/>
    </xf>
    <xf numFmtId="0" fontId="52" fillId="38" borderId="79" xfId="250" applyFont="1" applyFill="1" applyBorder="1" applyAlignment="1" applyProtection="1">
      <alignment horizontal="center" vertical="center"/>
    </xf>
    <xf numFmtId="0" fontId="86" fillId="39" borderId="81" xfId="131" applyFont="1" applyFill="1" applyBorder="1" applyAlignment="1">
      <alignment horizontal="center" vertical="center"/>
    </xf>
    <xf numFmtId="0" fontId="81" fillId="40" borderId="84" xfId="0" applyFont="1" applyFill="1" applyBorder="1" applyAlignment="1">
      <alignment horizontal="center" vertical="center"/>
    </xf>
    <xf numFmtId="0" fontId="82" fillId="77" borderId="84" xfId="131" applyFont="1" applyFill="1" applyBorder="1" applyAlignment="1">
      <alignment horizontal="center" vertical="center"/>
    </xf>
    <xf numFmtId="0" fontId="114" fillId="115" borderId="84" xfId="142" applyFont="1" applyFill="1" applyBorder="1" applyAlignment="1" applyProtection="1">
      <alignment horizontal="center" vertical="center" shrinkToFit="1"/>
    </xf>
    <xf numFmtId="0" fontId="121" fillId="119" borderId="84" xfId="142" applyFont="1" applyFill="1" applyBorder="1" applyAlignment="1" applyProtection="1">
      <alignment horizontal="center" vertical="center" shrinkToFit="1"/>
    </xf>
    <xf numFmtId="0" fontId="52" fillId="38" borderId="84" xfId="250" applyFont="1" applyFill="1" applyBorder="1" applyAlignment="1" applyProtection="1">
      <alignment horizontal="center" vertical="center"/>
    </xf>
    <xf numFmtId="0" fontId="58" fillId="131" borderId="84" xfId="138" applyFont="1" applyFill="1" applyBorder="1" applyAlignment="1">
      <alignment horizontal="center" vertical="center" shrinkToFit="1"/>
    </xf>
    <xf numFmtId="0" fontId="70" fillId="47" borderId="84" xfId="250" applyFont="1" applyFill="1" applyBorder="1" applyAlignment="1" applyProtection="1">
      <alignment horizontal="center" vertical="center"/>
    </xf>
    <xf numFmtId="0" fontId="114" fillId="115" borderId="81" xfId="142" applyFont="1" applyFill="1" applyBorder="1" applyAlignment="1" applyProtection="1">
      <alignment horizontal="center" vertical="center" shrinkToFit="1"/>
    </xf>
    <xf numFmtId="0" fontId="54" fillId="134" borderId="84" xfId="250" applyFont="1" applyFill="1" applyBorder="1" applyAlignment="1">
      <alignment horizontal="center" vertical="center"/>
      <protection locked="0"/>
    </xf>
    <xf numFmtId="0" fontId="58" fillId="52" borderId="84" xfId="138" applyFont="1" applyFill="1" applyBorder="1" applyAlignment="1">
      <alignment horizontal="center" vertical="center" shrinkToFit="1"/>
    </xf>
    <xf numFmtId="0" fontId="93" fillId="37" borderId="84" xfId="131" applyFont="1" applyFill="1" applyBorder="1" applyAlignment="1">
      <alignment horizontal="center" vertical="center"/>
    </xf>
    <xf numFmtId="0" fontId="52" fillId="38" borderId="84" xfId="250" applyFont="1" applyFill="1" applyBorder="1" applyAlignment="1" applyProtection="1">
      <alignment horizontal="center"/>
    </xf>
    <xf numFmtId="0" fontId="58" fillId="135" borderId="84" xfId="142" applyFont="1" applyFill="1" applyBorder="1" applyAlignment="1" applyProtection="1">
      <alignment horizontal="center" vertical="center" shrinkToFit="1"/>
    </xf>
    <xf numFmtId="0" fontId="115" fillId="117" borderId="84" xfId="142" applyFont="1" applyFill="1" applyBorder="1" applyAlignment="1" applyProtection="1">
      <alignment horizontal="center" vertical="center" shrinkToFit="1"/>
    </xf>
    <xf numFmtId="0" fontId="119" fillId="122" borderId="84" xfId="142" applyFont="1" applyFill="1" applyBorder="1" applyAlignment="1" applyProtection="1">
      <alignment horizontal="center" vertical="center" shrinkToFit="1"/>
    </xf>
    <xf numFmtId="0" fontId="123" fillId="74" borderId="84" xfId="138" applyFont="1" applyFill="1" applyBorder="1" applyAlignment="1">
      <alignment horizontal="center" vertical="center" shrinkToFit="1"/>
    </xf>
    <xf numFmtId="0" fontId="86" fillId="47" borderId="84" xfId="131" applyFont="1" applyFill="1" applyBorder="1" applyAlignment="1" applyProtection="1">
      <alignment horizontal="center" vertical="center"/>
      <protection locked="0"/>
    </xf>
    <xf numFmtId="0" fontId="123" fillId="70" borderId="81" xfId="138" applyFont="1" applyFill="1" applyBorder="1" applyAlignment="1">
      <alignment horizontal="center" vertical="center" shrinkToFit="1"/>
    </xf>
    <xf numFmtId="0" fontId="124" fillId="0" borderId="84" xfId="138" applyFont="1" applyBorder="1" applyAlignment="1">
      <alignment horizontal="center" vertical="center" shrinkToFit="1"/>
    </xf>
    <xf numFmtId="0" fontId="121" fillId="124" borderId="84" xfId="141" applyFont="1" applyFill="1" applyBorder="1" applyAlignment="1">
      <alignment horizontal="center" vertical="center" shrinkToFit="1"/>
    </xf>
    <xf numFmtId="0" fontId="52" fillId="137" borderId="84" xfId="0" applyFont="1" applyFill="1" applyBorder="1" applyAlignment="1">
      <alignment horizontal="center" vertical="center"/>
    </xf>
    <xf numFmtId="0" fontId="125" fillId="68" borderId="84" xfId="138" applyFont="1" applyFill="1" applyBorder="1" applyAlignment="1">
      <alignment horizontal="center" vertical="center" shrinkToFit="1"/>
    </xf>
    <xf numFmtId="0" fontId="54" fillId="65" borderId="84" xfId="250" applyFont="1" applyFill="1" applyBorder="1" applyAlignment="1" applyProtection="1">
      <alignment horizontal="center" vertical="center"/>
    </xf>
    <xf numFmtId="0" fontId="101" fillId="138" borderId="83" xfId="0" applyFont="1" applyFill="1" applyBorder="1" applyAlignment="1">
      <alignment horizontal="center" vertical="center"/>
    </xf>
    <xf numFmtId="0" fontId="56" fillId="129" borderId="86" xfId="0" applyFont="1" applyFill="1" applyBorder="1" applyAlignment="1">
      <alignment horizontal="center" vertical="center"/>
    </xf>
    <xf numFmtId="0" fontId="101" fillId="138" borderId="86" xfId="0" applyFont="1" applyFill="1" applyBorder="1" applyAlignment="1">
      <alignment horizontal="center" vertical="center"/>
    </xf>
    <xf numFmtId="0" fontId="54" fillId="65" borderId="87" xfId="250" applyFont="1" applyFill="1" applyBorder="1" applyAlignment="1" applyProtection="1">
      <alignment horizontal="center" vertical="center"/>
    </xf>
    <xf numFmtId="0" fontId="56" fillId="129" borderId="84" xfId="0" applyFont="1" applyFill="1" applyBorder="1" applyAlignment="1">
      <alignment horizontal="center" vertical="center"/>
    </xf>
    <xf numFmtId="0" fontId="54" fillId="47" borderId="88" xfId="250" applyFont="1" applyFill="1" applyBorder="1" applyAlignment="1" applyProtection="1">
      <alignment horizontal="center" vertical="center"/>
    </xf>
    <xf numFmtId="0" fontId="119" fillId="122" borderId="88" xfId="142" applyFont="1" applyFill="1" applyBorder="1" applyAlignment="1" applyProtection="1">
      <alignment horizontal="center" vertical="center" shrinkToFit="1"/>
    </xf>
    <xf numFmtId="0" fontId="124" fillId="41" borderId="84" xfId="138" applyFont="1" applyFill="1" applyBorder="1" applyAlignment="1">
      <alignment horizontal="center" vertical="center" shrinkToFit="1"/>
    </xf>
    <xf numFmtId="0" fontId="35" fillId="35" borderId="89" xfId="0" applyFont="1" applyFill="1" applyBorder="1" applyAlignment="1">
      <alignment horizontal="center" vertical="center" textRotation="90" wrapText="1"/>
    </xf>
    <xf numFmtId="0" fontId="104" fillId="120" borderId="84" xfId="250" applyFont="1" applyFill="1" applyBorder="1" applyAlignment="1" applyProtection="1">
      <alignment horizontal="center" vertical="center"/>
    </xf>
    <xf numFmtId="0" fontId="124" fillId="44" borderId="84" xfId="138" applyFont="1" applyFill="1" applyBorder="1" applyAlignment="1">
      <alignment horizontal="center" vertical="center" shrinkToFit="1"/>
    </xf>
    <xf numFmtId="0" fontId="114" fillId="127" borderId="84" xfId="142" applyFont="1" applyFill="1" applyBorder="1" applyAlignment="1" applyProtection="1">
      <alignment horizontal="center" vertical="center" shrinkToFit="1"/>
    </xf>
    <xf numFmtId="0" fontId="75" fillId="34" borderId="84" xfId="131" applyFont="1" applyFill="1" applyBorder="1" applyAlignment="1">
      <alignment horizontal="center" vertical="center"/>
    </xf>
    <xf numFmtId="0" fontId="104" fillId="120" borderId="84" xfId="250" applyFont="1" applyFill="1" applyBorder="1" applyAlignment="1" applyProtection="1">
      <alignment horizontal="center"/>
    </xf>
    <xf numFmtId="0" fontId="101" fillId="138" borderId="84" xfId="0" applyFont="1" applyFill="1" applyBorder="1" applyAlignment="1">
      <alignment horizontal="center" vertical="center"/>
    </xf>
    <xf numFmtId="0" fontId="137" fillId="0" borderId="88" xfId="138" applyFont="1" applyBorder="1" applyAlignment="1">
      <alignment horizontal="center" vertical="center" shrinkToFit="1"/>
    </xf>
    <xf numFmtId="0" fontId="75" fillId="52" borderId="84" xfId="131" applyFont="1" applyFill="1" applyBorder="1" applyAlignment="1">
      <alignment horizontal="center" vertical="center"/>
    </xf>
    <xf numFmtId="0" fontId="56" fillId="129" borderId="93" xfId="0" applyFont="1" applyFill="1" applyBorder="1" applyAlignment="1">
      <alignment horizontal="center" vertical="center"/>
    </xf>
    <xf numFmtId="0" fontId="115" fillId="117" borderId="94" xfId="142" applyFont="1" applyFill="1" applyBorder="1" applyAlignment="1" applyProtection="1">
      <alignment horizontal="center" vertical="center" shrinkToFit="1"/>
    </xf>
    <xf numFmtId="0" fontId="119" fillId="122" borderId="94" xfId="142" applyFont="1" applyFill="1" applyBorder="1" applyAlignment="1" applyProtection="1">
      <alignment horizontal="center" vertical="center" shrinkToFit="1"/>
    </xf>
    <xf numFmtId="0" fontId="125" fillId="68" borderId="94" xfId="138" applyFont="1" applyFill="1" applyBorder="1" applyAlignment="1">
      <alignment horizontal="center" vertical="center" shrinkToFit="1"/>
    </xf>
    <xf numFmtId="0" fontId="123" fillId="34" borderId="94" xfId="138" applyFont="1" applyFill="1" applyBorder="1" applyAlignment="1">
      <alignment horizontal="center" vertical="center" shrinkToFit="1"/>
    </xf>
    <xf numFmtId="0" fontId="52" fillId="38" borderId="87" xfId="250" applyFont="1" applyFill="1" applyBorder="1" applyAlignment="1" applyProtection="1">
      <alignment horizontal="center" vertical="center"/>
    </xf>
    <xf numFmtId="0" fontId="58" fillId="52" borderId="87" xfId="138" applyFont="1" applyFill="1" applyBorder="1" applyAlignment="1">
      <alignment horizontal="center" vertical="center" shrinkToFit="1"/>
    </xf>
    <xf numFmtId="0" fontId="86" fillId="139" borderId="84" xfId="0" applyFont="1" applyFill="1" applyBorder="1" applyAlignment="1">
      <alignment horizontal="center" vertical="center"/>
    </xf>
    <xf numFmtId="0" fontId="70" fillId="47" borderId="87" xfId="250" applyFont="1" applyFill="1" applyBorder="1" applyAlignment="1" applyProtection="1">
      <alignment horizontal="center" vertical="center"/>
    </xf>
    <xf numFmtId="0" fontId="132" fillId="0" borderId="87" xfId="0" applyFont="1" applyBorder="1" applyAlignment="1">
      <alignment horizontal="center" vertical="center" wrapText="1"/>
    </xf>
    <xf numFmtId="14" fontId="131" fillId="46" borderId="87" xfId="0" applyNumberFormat="1" applyFont="1" applyFill="1" applyBorder="1" applyAlignment="1" applyProtection="1">
      <alignment horizontal="center" vertical="center" wrapText="1"/>
      <protection locked="0"/>
    </xf>
    <xf numFmtId="0" fontId="30" fillId="141" borderId="87" xfId="0" applyFont="1" applyFill="1" applyBorder="1" applyAlignment="1" applyProtection="1">
      <alignment horizontal="center" vertical="center" wrapText="1"/>
      <protection locked="0"/>
    </xf>
    <xf numFmtId="167" fontId="30" fillId="141" borderId="87" xfId="43" applyFont="1" applyFill="1" applyBorder="1" applyAlignment="1" applyProtection="1">
      <alignment horizontal="right" vertical="center"/>
    </xf>
    <xf numFmtId="0" fontId="30" fillId="142" borderId="87" xfId="0" applyFont="1" applyFill="1" applyBorder="1" applyAlignment="1" applyProtection="1">
      <alignment horizontal="center" vertical="center" wrapText="1"/>
      <protection locked="0"/>
    </xf>
    <xf numFmtId="0" fontId="30" fillId="143" borderId="87" xfId="0" applyFont="1" applyFill="1" applyBorder="1" applyAlignment="1" applyProtection="1">
      <alignment horizontal="center" vertical="center" wrapText="1"/>
      <protection locked="0"/>
    </xf>
    <xf numFmtId="167" fontId="30" fillId="143" borderId="87" xfId="43" applyFont="1" applyFill="1" applyBorder="1" applyAlignment="1" applyProtection="1">
      <alignment horizontal="right" vertical="center"/>
    </xf>
    <xf numFmtId="0" fontId="30" fillId="144" borderId="96" xfId="0" applyFont="1" applyFill="1" applyBorder="1" applyAlignment="1" applyProtection="1">
      <alignment horizontal="center" vertical="center" wrapText="1"/>
      <protection locked="0"/>
    </xf>
    <xf numFmtId="171" fontId="30" fillId="144" borderId="87" xfId="203" applyNumberFormat="1" applyFont="1" applyFill="1" applyBorder="1" applyAlignment="1" applyProtection="1">
      <alignment horizontal="right" vertical="center" wrapText="1"/>
      <protection locked="0"/>
    </xf>
    <xf numFmtId="0" fontId="30" fillId="145" borderId="87" xfId="0" applyFont="1" applyFill="1" applyBorder="1" applyAlignment="1" applyProtection="1">
      <alignment horizontal="center" vertical="center" wrapText="1"/>
      <protection locked="0"/>
    </xf>
    <xf numFmtId="10" fontId="30" fillId="145" borderId="87" xfId="203" applyNumberFormat="1" applyFont="1" applyFill="1" applyBorder="1" applyAlignment="1" applyProtection="1">
      <alignment horizontal="right" vertical="center"/>
    </xf>
    <xf numFmtId="0" fontId="30" fillId="146" borderId="87" xfId="0" applyFont="1" applyFill="1" applyBorder="1" applyAlignment="1" applyProtection="1">
      <alignment horizontal="center" vertical="center" wrapText="1"/>
      <protection locked="0"/>
    </xf>
    <xf numFmtId="0" fontId="30" fillId="147" borderId="87" xfId="0" applyFont="1" applyFill="1" applyBorder="1" applyAlignment="1" applyProtection="1">
      <alignment horizontal="center" vertical="center" wrapText="1"/>
      <protection locked="0"/>
    </xf>
    <xf numFmtId="1" fontId="30" fillId="147" borderId="87" xfId="203" applyNumberFormat="1" applyFont="1" applyFill="1" applyBorder="1" applyAlignment="1" applyProtection="1">
      <alignment horizontal="right" vertical="center"/>
    </xf>
    <xf numFmtId="0" fontId="30" fillId="106" borderId="87" xfId="0" applyFont="1" applyFill="1" applyBorder="1" applyAlignment="1" applyProtection="1">
      <alignment horizontal="center" vertical="center" wrapText="1"/>
      <protection locked="0"/>
    </xf>
    <xf numFmtId="1" fontId="30" fillId="106" borderId="87" xfId="203" applyNumberFormat="1" applyFont="1" applyFill="1" applyBorder="1" applyAlignment="1" applyProtection="1">
      <alignment horizontal="right" vertical="center"/>
    </xf>
    <xf numFmtId="0" fontId="136" fillId="133" borderId="87" xfId="0" applyFont="1" applyFill="1" applyBorder="1" applyAlignment="1">
      <alignment horizontal="center" vertical="center"/>
    </xf>
    <xf numFmtId="0" fontId="58" fillId="0" borderId="96" xfId="150" applyFont="1" applyBorder="1" applyAlignment="1" applyProtection="1">
      <alignment horizontal="left" vertical="center" shrinkToFit="1"/>
      <protection locked="0"/>
    </xf>
    <xf numFmtId="0" fontId="58" fillId="0" borderId="97" xfId="150" applyFont="1" applyBorder="1" applyAlignment="1" applyProtection="1">
      <alignment horizontal="left" vertical="center" shrinkToFit="1"/>
      <protection locked="0"/>
    </xf>
    <xf numFmtId="0" fontId="55" fillId="0" borderId="97" xfId="150" applyFont="1" applyBorder="1" applyAlignment="1" applyProtection="1">
      <alignment vertical="center" shrinkToFit="1"/>
      <protection locked="0"/>
    </xf>
    <xf numFmtId="0" fontId="55" fillId="0" borderId="94" xfId="150" applyFont="1" applyBorder="1" applyAlignment="1" applyProtection="1">
      <alignment vertical="center" shrinkToFit="1"/>
      <protection locked="0"/>
    </xf>
    <xf numFmtId="0" fontId="137" fillId="83" borderId="94" xfId="138" applyFont="1" applyFill="1" applyBorder="1" applyAlignment="1">
      <alignment horizontal="center" vertical="center" shrinkToFit="1"/>
    </xf>
    <xf numFmtId="170" fontId="0" fillId="0" borderId="94" xfId="0" applyNumberFormat="1" applyBorder="1" applyAlignment="1">
      <alignment horizontal="center" vertical="center"/>
    </xf>
    <xf numFmtId="0" fontId="137" fillId="84" borderId="94" xfId="138" applyFont="1" applyFill="1" applyBorder="1" applyAlignment="1">
      <alignment horizontal="center" vertical="center" shrinkToFit="1"/>
    </xf>
    <xf numFmtId="170" fontId="36" fillId="0" borderId="87" xfId="138" applyNumberFormat="1" applyFont="1" applyBorder="1" applyAlignment="1">
      <alignment horizontal="center" vertical="center" shrinkToFit="1"/>
    </xf>
    <xf numFmtId="0" fontId="123" fillId="71" borderId="94" xfId="138" applyFont="1" applyFill="1" applyBorder="1" applyAlignment="1">
      <alignment horizontal="center" vertical="center" shrinkToFit="1"/>
    </xf>
    <xf numFmtId="0" fontId="55" fillId="141" borderId="97" xfId="150" applyFont="1" applyFill="1" applyBorder="1" applyAlignment="1" applyProtection="1">
      <alignment vertical="center" shrinkToFit="1"/>
      <protection locked="0"/>
    </xf>
    <xf numFmtId="0" fontId="55" fillId="141" borderId="94" xfId="150" applyFont="1" applyFill="1" applyBorder="1" applyAlignment="1" applyProtection="1">
      <alignment vertical="center" shrinkToFit="1"/>
      <protection locked="0"/>
    </xf>
    <xf numFmtId="170" fontId="0" fillId="141" borderId="94" xfId="0" applyNumberFormat="1" applyFill="1" applyBorder="1" applyAlignment="1">
      <alignment horizontal="center" vertical="center"/>
    </xf>
    <xf numFmtId="170" fontId="36" fillId="141" borderId="87" xfId="138" applyNumberFormat="1" applyFont="1" applyFill="1" applyBorder="1" applyAlignment="1">
      <alignment horizontal="center" vertical="center" shrinkToFit="1"/>
    </xf>
    <xf numFmtId="0" fontId="117" fillId="49" borderId="94" xfId="138" applyFont="1" applyFill="1" applyBorder="1" applyAlignment="1">
      <alignment horizontal="center" vertical="center" shrinkToFit="1"/>
    </xf>
    <xf numFmtId="0" fontId="117" fillId="85" borderId="94" xfId="138" applyFont="1" applyFill="1" applyBorder="1" applyAlignment="1">
      <alignment horizontal="center" vertical="center" shrinkToFit="1"/>
    </xf>
    <xf numFmtId="0" fontId="117" fillId="50" borderId="94" xfId="138" applyFont="1" applyFill="1" applyBorder="1" applyAlignment="1">
      <alignment horizontal="center" vertical="center" shrinkToFit="1"/>
    </xf>
    <xf numFmtId="0" fontId="138" fillId="100" borderId="94" xfId="138" applyFont="1" applyFill="1" applyBorder="1" applyAlignment="1">
      <alignment horizontal="center" vertical="center" shrinkToFit="1"/>
    </xf>
    <xf numFmtId="0" fontId="123" fillId="66" borderId="94" xfId="138" applyFont="1" applyFill="1" applyBorder="1" applyAlignment="1">
      <alignment horizontal="center" vertical="center" shrinkToFit="1"/>
    </xf>
    <xf numFmtId="0" fontId="139" fillId="67" borderId="94" xfId="138" applyFont="1" applyFill="1" applyBorder="1" applyAlignment="1">
      <alignment horizontal="center" vertical="center" shrinkToFit="1"/>
    </xf>
    <xf numFmtId="0" fontId="123" fillId="63" borderId="94" xfId="138" applyFont="1" applyFill="1" applyBorder="1" applyAlignment="1">
      <alignment horizontal="center" vertical="center" shrinkToFit="1"/>
    </xf>
    <xf numFmtId="0" fontId="139" fillId="35" borderId="94" xfId="138" applyFont="1" applyFill="1" applyBorder="1" applyAlignment="1">
      <alignment horizontal="center" vertical="center" shrinkToFit="1"/>
    </xf>
    <xf numFmtId="0" fontId="139" fillId="44" borderId="94" xfId="138" applyFont="1" applyFill="1" applyBorder="1" applyAlignment="1">
      <alignment horizontal="center" vertical="center" shrinkToFit="1"/>
    </xf>
    <xf numFmtId="0" fontId="124" fillId="111" borderId="94" xfId="138" applyFont="1" applyFill="1" applyBorder="1" applyAlignment="1">
      <alignment horizontal="center" vertical="center" shrinkToFit="1"/>
    </xf>
    <xf numFmtId="0" fontId="124" fillId="112" borderId="94" xfId="138" applyFont="1" applyFill="1" applyBorder="1" applyAlignment="1">
      <alignment horizontal="center" vertical="center" shrinkToFit="1"/>
    </xf>
    <xf numFmtId="0" fontId="124" fillId="44" borderId="94" xfId="138" applyFont="1" applyFill="1" applyBorder="1" applyAlignment="1">
      <alignment horizontal="center" vertical="center" shrinkToFit="1"/>
    </xf>
    <xf numFmtId="0" fontId="124" fillId="41" borderId="94" xfId="138" applyFont="1" applyFill="1" applyBorder="1" applyAlignment="1">
      <alignment horizontal="center" vertical="center" shrinkToFit="1"/>
    </xf>
    <xf numFmtId="0" fontId="140" fillId="39" borderId="94" xfId="138" applyFont="1" applyFill="1" applyBorder="1" applyAlignment="1">
      <alignment horizontal="center" vertical="center" shrinkToFit="1"/>
    </xf>
    <xf numFmtId="0" fontId="124" fillId="109" borderId="94" xfId="138" applyFont="1" applyFill="1" applyBorder="1" applyAlignment="1">
      <alignment horizontal="center" vertical="center" shrinkToFit="1"/>
    </xf>
    <xf numFmtId="0" fontId="140" fillId="69" borderId="94" xfId="138" applyFont="1" applyFill="1" applyBorder="1" applyAlignment="1">
      <alignment horizontal="center" vertical="center" shrinkToFit="1"/>
    </xf>
    <xf numFmtId="0" fontId="124" fillId="43" borderId="94" xfId="138" applyFont="1" applyFill="1" applyBorder="1" applyAlignment="1">
      <alignment horizontal="center" vertical="center" shrinkToFit="1"/>
    </xf>
    <xf numFmtId="0" fontId="125" fillId="76" borderId="94" xfId="138" applyFont="1" applyFill="1" applyBorder="1" applyAlignment="1">
      <alignment horizontal="center" vertical="center" shrinkToFit="1"/>
    </xf>
    <xf numFmtId="0" fontId="124" fillId="77" borderId="94" xfId="138" applyFont="1" applyFill="1" applyBorder="1" applyAlignment="1">
      <alignment horizontal="center" vertical="center" shrinkToFit="1"/>
    </xf>
    <xf numFmtId="0" fontId="55" fillId="141" borderId="87" xfId="150" applyFont="1" applyFill="1" applyBorder="1" applyAlignment="1" applyProtection="1">
      <alignment vertical="center" shrinkToFit="1"/>
      <protection locked="0"/>
    </xf>
    <xf numFmtId="170" fontId="0" fillId="141" borderId="87" xfId="0" applyNumberFormat="1" applyFill="1" applyBorder="1" applyAlignment="1">
      <alignment horizontal="center" vertical="center"/>
    </xf>
    <xf numFmtId="0" fontId="0" fillId="0" borderId="97" xfId="0" applyBorder="1" applyProtection="1">
      <protection locked="0"/>
    </xf>
    <xf numFmtId="0" fontId="0" fillId="0" borderId="94" xfId="0" applyBorder="1" applyProtection="1">
      <protection locked="0"/>
    </xf>
    <xf numFmtId="0" fontId="117" fillId="86" borderId="94" xfId="138" applyFont="1" applyFill="1" applyBorder="1" applyAlignment="1">
      <alignment horizontal="center" vertical="center" shrinkToFit="1"/>
    </xf>
    <xf numFmtId="0" fontId="123" fillId="70" borderId="94" xfId="138" applyFont="1" applyFill="1" applyBorder="1" applyAlignment="1">
      <alignment horizontal="center" vertical="center" shrinkToFit="1"/>
    </xf>
    <xf numFmtId="0" fontId="141" fillId="71" borderId="94" xfId="138" applyFont="1" applyFill="1" applyBorder="1" applyAlignment="1">
      <alignment horizontal="center" vertical="center" shrinkToFit="1"/>
    </xf>
    <xf numFmtId="0" fontId="117" fillId="51" borderId="94" xfId="138" applyFont="1" applyFill="1" applyBorder="1" applyAlignment="1">
      <alignment horizontal="center" vertical="center" shrinkToFit="1"/>
    </xf>
    <xf numFmtId="0" fontId="142" fillId="78" borderId="94" xfId="138" applyFont="1" applyFill="1" applyBorder="1" applyAlignment="1">
      <alignment horizontal="center" vertical="center" shrinkToFit="1"/>
    </xf>
    <xf numFmtId="0" fontId="117" fillId="72" borderId="94" xfId="138" applyFont="1" applyFill="1" applyBorder="1" applyAlignment="1">
      <alignment horizontal="center" vertical="center" shrinkToFit="1"/>
    </xf>
    <xf numFmtId="0" fontId="143" fillId="73" borderId="94" xfId="138" applyFont="1" applyFill="1" applyBorder="1" applyAlignment="1">
      <alignment horizontal="center" vertical="center" shrinkToFit="1"/>
    </xf>
    <xf numFmtId="0" fontId="144" fillId="73" borderId="94" xfId="138" applyFont="1" applyFill="1" applyBorder="1" applyAlignment="1">
      <alignment horizontal="center" vertical="center" shrinkToFit="1"/>
    </xf>
    <xf numFmtId="0" fontId="145" fillId="73" borderId="94" xfId="138" applyFont="1" applyFill="1" applyBorder="1" applyAlignment="1">
      <alignment horizontal="center" vertical="center" shrinkToFit="1"/>
    </xf>
    <xf numFmtId="0" fontId="123" fillId="68" borderId="94" xfId="138" applyFont="1" applyFill="1" applyBorder="1" applyAlignment="1">
      <alignment horizontal="center" vertical="center" shrinkToFit="1"/>
    </xf>
    <xf numFmtId="0" fontId="117" fillId="42" borderId="94" xfId="138" applyFont="1" applyFill="1" applyBorder="1" applyAlignment="1">
      <alignment horizontal="center" vertical="center" shrinkToFit="1"/>
    </xf>
    <xf numFmtId="0" fontId="118" fillId="105" borderId="94" xfId="138" applyFont="1" applyFill="1" applyBorder="1" applyAlignment="1">
      <alignment horizontal="center" vertical="center" shrinkToFit="1"/>
    </xf>
    <xf numFmtId="0" fontId="117" fillId="52" borderId="94" xfId="138" applyFont="1" applyFill="1" applyBorder="1" applyAlignment="1">
      <alignment horizontal="center" vertical="center" shrinkToFit="1"/>
    </xf>
    <xf numFmtId="0" fontId="117" fillId="53" borderId="94" xfId="138" applyFont="1" applyFill="1" applyBorder="1" applyAlignment="1">
      <alignment horizontal="center" vertical="center" shrinkToFit="1"/>
    </xf>
    <xf numFmtId="0" fontId="146" fillId="54" borderId="94" xfId="138" applyFont="1" applyFill="1" applyBorder="1" applyAlignment="1">
      <alignment horizontal="center" vertical="center" shrinkToFit="1"/>
    </xf>
    <xf numFmtId="0" fontId="146" fillId="87" borderId="94" xfId="138" applyFont="1" applyFill="1" applyBorder="1" applyAlignment="1">
      <alignment horizontal="center" vertical="center" shrinkToFit="1"/>
    </xf>
    <xf numFmtId="0" fontId="117" fillId="88" borderId="94" xfId="138" applyFont="1" applyFill="1" applyBorder="1" applyAlignment="1">
      <alignment horizontal="center" vertical="center" shrinkToFit="1"/>
    </xf>
    <xf numFmtId="0" fontId="147" fillId="55" borderId="94" xfId="138" applyFont="1" applyFill="1" applyBorder="1" applyAlignment="1">
      <alignment horizontal="center" vertical="center" shrinkToFit="1"/>
    </xf>
    <xf numFmtId="0" fontId="147" fillId="56" borderId="94" xfId="138" applyFont="1" applyFill="1" applyBorder="1" applyAlignment="1">
      <alignment horizontal="center" vertical="center" shrinkToFit="1"/>
    </xf>
    <xf numFmtId="0" fontId="123" fillId="104" borderId="94" xfId="138" applyFont="1" applyFill="1" applyBorder="1" applyAlignment="1">
      <alignment horizontal="center" vertical="center" shrinkToFit="1"/>
    </xf>
    <xf numFmtId="0" fontId="117" fillId="57" borderId="94" xfId="138" applyFont="1" applyFill="1" applyBorder="1" applyAlignment="1">
      <alignment horizontal="center" vertical="center" shrinkToFit="1"/>
    </xf>
    <xf numFmtId="0" fontId="148" fillId="58" borderId="94" xfId="138" applyFont="1" applyFill="1" applyBorder="1" applyAlignment="1">
      <alignment horizontal="center" vertical="center" shrinkToFit="1"/>
    </xf>
    <xf numFmtId="0" fontId="117" fillId="108" borderId="94" xfId="138" applyFont="1" applyFill="1" applyBorder="1" applyAlignment="1">
      <alignment horizontal="center" vertical="center" shrinkToFit="1"/>
    </xf>
    <xf numFmtId="0" fontId="124" fillId="101" borderId="94" xfId="138" applyFont="1" applyFill="1" applyBorder="1" applyAlignment="1">
      <alignment horizontal="center" vertical="center" shrinkToFit="1"/>
    </xf>
    <xf numFmtId="0" fontId="149" fillId="102" borderId="94" xfId="138" applyFont="1" applyFill="1" applyBorder="1" applyAlignment="1">
      <alignment horizontal="center" vertical="center" shrinkToFit="1"/>
    </xf>
    <xf numFmtId="0" fontId="117" fillId="89" borderId="94" xfId="138" applyFont="1" applyFill="1" applyBorder="1" applyAlignment="1">
      <alignment horizontal="center" vertical="center" shrinkToFit="1"/>
    </xf>
    <xf numFmtId="0" fontId="117" fillId="59" borderId="94" xfId="138" applyFont="1" applyFill="1" applyBorder="1" applyAlignment="1">
      <alignment horizontal="center" vertical="center" shrinkToFit="1"/>
    </xf>
    <xf numFmtId="0" fontId="117" fillId="90" borderId="94" xfId="138" applyFont="1" applyFill="1" applyBorder="1" applyAlignment="1">
      <alignment horizontal="center" vertical="center" shrinkToFit="1"/>
    </xf>
    <xf numFmtId="0" fontId="117" fillId="91" borderId="94" xfId="138" applyFont="1" applyFill="1" applyBorder="1" applyAlignment="1">
      <alignment horizontal="center" vertical="center" shrinkToFit="1"/>
    </xf>
    <xf numFmtId="0" fontId="146" fillId="92" borderId="94" xfId="138" applyFont="1" applyFill="1" applyBorder="1" applyAlignment="1">
      <alignment horizontal="center" vertical="center" shrinkToFit="1"/>
    </xf>
    <xf numFmtId="0" fontId="123" fillId="93" borderId="94" xfId="138" applyFont="1" applyFill="1" applyBorder="1" applyAlignment="1">
      <alignment horizontal="center" vertical="center" shrinkToFit="1"/>
    </xf>
    <xf numFmtId="0" fontId="123" fillId="75" borderId="94" xfId="138" applyFont="1" applyFill="1" applyBorder="1" applyAlignment="1">
      <alignment horizontal="center" vertical="center" shrinkToFit="1"/>
    </xf>
    <xf numFmtId="0" fontId="150" fillId="35" borderId="94" xfId="138" applyFont="1" applyFill="1" applyBorder="1" applyAlignment="1">
      <alignment horizontal="center" vertical="center" shrinkToFit="1"/>
    </xf>
    <xf numFmtId="0" fontId="151" fillId="94" borderId="94" xfId="138" applyFont="1" applyFill="1" applyBorder="1" applyAlignment="1">
      <alignment horizontal="center" vertical="center" shrinkToFit="1"/>
    </xf>
    <xf numFmtId="0" fontId="117" fillId="95" borderId="94" xfId="138" applyFont="1" applyFill="1" applyBorder="1" applyAlignment="1">
      <alignment horizontal="center" vertical="center" shrinkToFit="1"/>
    </xf>
    <xf numFmtId="0" fontId="148" fillId="79" borderId="94" xfId="138" applyFont="1" applyFill="1" applyBorder="1" applyAlignment="1">
      <alignment horizontal="center" vertical="center" shrinkToFit="1"/>
    </xf>
    <xf numFmtId="0" fontId="146" fillId="96" borderId="94" xfId="138" applyFont="1" applyFill="1" applyBorder="1" applyAlignment="1">
      <alignment horizontal="center" vertical="center" shrinkToFit="1"/>
    </xf>
    <xf numFmtId="0" fontId="146" fillId="97" borderId="94" xfId="138" applyFont="1" applyFill="1" applyBorder="1" applyAlignment="1">
      <alignment horizontal="center" vertical="center" shrinkToFit="1"/>
    </xf>
    <xf numFmtId="0" fontId="146" fillId="80" borderId="94" xfId="138" applyFont="1" applyFill="1" applyBorder="1" applyAlignment="1">
      <alignment horizontal="center" vertical="center" shrinkToFit="1"/>
    </xf>
    <xf numFmtId="0" fontId="146" fillId="98" borderId="94" xfId="138" applyFont="1" applyFill="1" applyBorder="1" applyAlignment="1">
      <alignment horizontal="center" vertical="center" shrinkToFit="1"/>
    </xf>
    <xf numFmtId="0" fontId="124" fillId="110" borderId="94" xfId="138" applyFont="1" applyFill="1" applyBorder="1" applyAlignment="1">
      <alignment horizontal="center" vertical="center" shrinkToFit="1"/>
    </xf>
    <xf numFmtId="0" fontId="152" fillId="60" borderId="94" xfId="138" applyFont="1" applyFill="1" applyBorder="1" applyAlignment="1">
      <alignment horizontal="center" vertical="center" shrinkToFit="1"/>
    </xf>
    <xf numFmtId="0" fontId="152" fillId="61" borderId="94" xfId="138" applyFont="1" applyFill="1" applyBorder="1" applyAlignment="1">
      <alignment horizontal="center" vertical="center" shrinkToFit="1"/>
    </xf>
    <xf numFmtId="0" fontId="123" fillId="58" borderId="94" xfId="138" applyFont="1" applyFill="1" applyBorder="1" applyAlignment="1">
      <alignment horizontal="center" vertical="center" shrinkToFit="1"/>
    </xf>
    <xf numFmtId="0" fontId="123" fillId="62" borderId="94" xfId="138" applyFont="1" applyFill="1" applyBorder="1" applyAlignment="1">
      <alignment horizontal="center" vertical="center" shrinkToFit="1"/>
    </xf>
    <xf numFmtId="0" fontId="138" fillId="74" borderId="94" xfId="138" applyFont="1" applyFill="1" applyBorder="1" applyAlignment="1">
      <alignment horizontal="center" vertical="center" shrinkToFit="1"/>
    </xf>
    <xf numFmtId="0" fontId="153" fillId="81" borderId="94" xfId="138" applyFont="1" applyFill="1" applyBorder="1" applyAlignment="1">
      <alignment horizontal="center" vertical="center" shrinkToFit="1"/>
    </xf>
    <xf numFmtId="0" fontId="123" fillId="74" borderId="94" xfId="138" applyFont="1" applyFill="1" applyBorder="1" applyAlignment="1">
      <alignment horizontal="center" vertical="center" shrinkToFit="1"/>
    </xf>
    <xf numFmtId="0" fontId="117" fillId="64" borderId="94" xfId="138" applyFont="1" applyFill="1" applyBorder="1" applyAlignment="1">
      <alignment horizontal="center" vertical="center" shrinkToFit="1"/>
    </xf>
    <xf numFmtId="0" fontId="117" fillId="65" borderId="94" xfId="138" applyFont="1" applyFill="1" applyBorder="1" applyAlignment="1">
      <alignment horizontal="center" vertical="center" shrinkToFit="1"/>
    </xf>
    <xf numFmtId="0" fontId="117" fillId="99" borderId="94" xfId="138" applyFont="1" applyFill="1" applyBorder="1" applyAlignment="1">
      <alignment horizontal="center" vertical="center" shrinkToFit="1"/>
    </xf>
    <xf numFmtId="0" fontId="117" fillId="103" borderId="94" xfId="138" applyFont="1" applyFill="1" applyBorder="1" applyAlignment="1">
      <alignment horizontal="center" vertical="center" shrinkToFit="1"/>
    </xf>
    <xf numFmtId="0" fontId="55" fillId="0" borderId="96" xfId="150" applyFont="1" applyBorder="1" applyAlignment="1" applyProtection="1">
      <alignment vertical="center" shrinkToFit="1"/>
      <protection locked="0"/>
    </xf>
    <xf numFmtId="0" fontId="55" fillId="0" borderId="87" xfId="150" applyFont="1" applyBorder="1" applyAlignment="1" applyProtection="1">
      <alignment vertical="center" shrinkToFit="1"/>
      <protection locked="0"/>
    </xf>
    <xf numFmtId="170" fontId="0" fillId="0" borderId="105" xfId="0" applyNumberFormat="1" applyBorder="1" applyAlignment="1">
      <alignment horizontal="center" vertical="center"/>
    </xf>
    <xf numFmtId="170" fontId="0" fillId="0" borderId="106" xfId="225" applyNumberFormat="1" applyFont="1" applyFill="1" applyBorder="1" applyAlignment="1" applyProtection="1">
      <alignment horizontal="center" vertical="center"/>
    </xf>
    <xf numFmtId="0" fontId="86" fillId="47" borderId="94" xfId="131" applyFont="1" applyFill="1" applyBorder="1" applyAlignment="1">
      <alignment horizontal="center"/>
    </xf>
    <xf numFmtId="170" fontId="0" fillId="0" borderId="87" xfId="0" applyNumberFormat="1" applyBorder="1" applyAlignment="1">
      <alignment horizontal="center" vertical="center"/>
    </xf>
    <xf numFmtId="0" fontId="82" fillId="77" borderId="94" xfId="131" applyFont="1" applyFill="1" applyBorder="1" applyAlignment="1">
      <alignment horizontal="center"/>
    </xf>
    <xf numFmtId="0" fontId="156" fillId="48" borderId="94" xfId="131" applyFont="1" applyFill="1" applyBorder="1" applyAlignment="1">
      <alignment horizontal="center"/>
    </xf>
    <xf numFmtId="0" fontId="86" fillId="82" borderId="94" xfId="131" applyFont="1" applyFill="1" applyBorder="1" applyAlignment="1">
      <alignment horizontal="center"/>
    </xf>
    <xf numFmtId="0" fontId="136" fillId="54" borderId="94" xfId="131" applyFont="1" applyFill="1" applyBorder="1" applyAlignment="1">
      <alignment horizontal="center"/>
    </xf>
    <xf numFmtId="0" fontId="86" fillId="37" borderId="94" xfId="131" applyFont="1" applyFill="1" applyBorder="1" applyAlignment="1">
      <alignment horizontal="center"/>
    </xf>
    <xf numFmtId="0" fontId="75" fillId="47" borderId="87" xfId="131" applyFont="1" applyFill="1" applyBorder="1" applyAlignment="1">
      <alignment horizontal="center"/>
    </xf>
    <xf numFmtId="0" fontId="86" fillId="39" borderId="94" xfId="131" applyFont="1" applyFill="1" applyBorder="1" applyAlignment="1">
      <alignment horizontal="center"/>
    </xf>
    <xf numFmtId="0" fontId="86" fillId="150" borderId="94" xfId="131" applyFont="1" applyFill="1" applyBorder="1" applyAlignment="1">
      <alignment horizontal="center"/>
    </xf>
    <xf numFmtId="0" fontId="86" fillId="42" borderId="94" xfId="131" applyFont="1" applyFill="1" applyBorder="1" applyAlignment="1">
      <alignment horizontal="center"/>
    </xf>
    <xf numFmtId="0" fontId="73" fillId="151" borderId="94" xfId="138" applyFont="1" applyFill="1" applyBorder="1" applyAlignment="1">
      <alignment horizontal="center" vertical="center" shrinkToFit="1"/>
    </xf>
    <xf numFmtId="0" fontId="86" fillId="37" borderId="87" xfId="131" applyFont="1" applyFill="1" applyBorder="1" applyAlignment="1">
      <alignment horizontal="center"/>
    </xf>
    <xf numFmtId="0" fontId="73" fillId="152" borderId="94" xfId="138" applyFont="1" applyFill="1" applyBorder="1" applyAlignment="1">
      <alignment horizontal="center" vertical="center" shrinkToFit="1"/>
    </xf>
    <xf numFmtId="0" fontId="73" fillId="153" borderId="94" xfId="138" applyFont="1" applyFill="1" applyBorder="1" applyAlignment="1">
      <alignment horizontal="center" vertical="center" shrinkToFit="1"/>
    </xf>
    <xf numFmtId="0" fontId="93" fillId="37" borderId="87" xfId="131" applyFont="1" applyFill="1" applyBorder="1" applyAlignment="1">
      <alignment horizontal="center"/>
    </xf>
    <xf numFmtId="0" fontId="157" fillId="40" borderId="87" xfId="0" applyFont="1" applyFill="1" applyBorder="1" applyAlignment="1">
      <alignment horizontal="center"/>
    </xf>
    <xf numFmtId="0" fontId="155" fillId="154" borderId="94" xfId="138" applyFont="1" applyFill="1" applyBorder="1" applyAlignment="1">
      <alignment horizontal="center" vertical="center" shrinkToFit="1"/>
    </xf>
    <xf numFmtId="0" fontId="58" fillId="155" borderId="94" xfId="138" applyFont="1" applyFill="1" applyBorder="1" applyAlignment="1">
      <alignment horizontal="center" vertical="center" shrinkToFit="1"/>
    </xf>
    <xf numFmtId="0" fontId="155" fillId="156" borderId="94" xfId="138" applyFont="1" applyFill="1" applyBorder="1" applyAlignment="1">
      <alignment horizontal="center" vertical="center" shrinkToFit="1"/>
    </xf>
    <xf numFmtId="0" fontId="155" fillId="157" borderId="94" xfId="138" applyFont="1" applyFill="1" applyBorder="1" applyAlignment="1">
      <alignment horizontal="center" vertical="center" shrinkToFit="1"/>
    </xf>
    <xf numFmtId="0" fontId="86" fillId="139" borderId="87" xfId="0" applyFont="1" applyFill="1" applyBorder="1" applyAlignment="1">
      <alignment horizontal="center"/>
    </xf>
    <xf numFmtId="0" fontId="136" fillId="46" borderId="87" xfId="131" applyFont="1" applyFill="1" applyBorder="1" applyAlignment="1">
      <alignment horizontal="center"/>
    </xf>
    <xf numFmtId="0" fontId="58" fillId="44" borderId="87" xfId="138" applyFont="1" applyFill="1" applyBorder="1" applyAlignment="1">
      <alignment horizontal="center" vertical="center" shrinkToFit="1"/>
    </xf>
    <xf numFmtId="0" fontId="158" fillId="158" borderId="87" xfId="0" applyFont="1" applyFill="1" applyBorder="1" applyAlignment="1">
      <alignment horizontal="center"/>
    </xf>
    <xf numFmtId="0" fontId="86" fillId="158" borderId="87" xfId="0" applyFont="1" applyFill="1" applyBorder="1" applyAlignment="1">
      <alignment horizontal="center"/>
    </xf>
    <xf numFmtId="0" fontId="86" fillId="65" borderId="87" xfId="0" applyFont="1" applyFill="1" applyBorder="1" applyAlignment="1">
      <alignment horizontal="center"/>
    </xf>
    <xf numFmtId="0" fontId="58" fillId="148" borderId="87" xfId="138" applyFont="1" applyFill="1" applyBorder="1" applyAlignment="1">
      <alignment horizontal="center" vertical="center" shrinkToFit="1"/>
    </xf>
    <xf numFmtId="0" fontId="86" fillId="159" borderId="87" xfId="0" applyFont="1" applyFill="1" applyBorder="1" applyAlignment="1">
      <alignment horizontal="center"/>
    </xf>
    <xf numFmtId="0" fontId="136" fillId="133" borderId="87" xfId="131" applyFont="1" applyFill="1" applyBorder="1" applyAlignment="1">
      <alignment horizontal="center"/>
    </xf>
    <xf numFmtId="0" fontId="155" fillId="160" borderId="87" xfId="138" applyFont="1" applyFill="1" applyBorder="1" applyAlignment="1">
      <alignment horizontal="center" vertical="center" shrinkToFit="1"/>
    </xf>
    <xf numFmtId="0" fontId="156" fillId="106" borderId="87" xfId="0" applyFont="1" applyFill="1" applyBorder="1" applyAlignment="1">
      <alignment horizontal="center"/>
    </xf>
    <xf numFmtId="0" fontId="58" fillId="161" borderId="87" xfId="138" applyFont="1" applyFill="1" applyBorder="1" applyAlignment="1">
      <alignment horizontal="center" vertical="center" shrinkToFit="1"/>
    </xf>
    <xf numFmtId="14" fontId="155" fillId="45" borderId="87" xfId="138" applyNumberFormat="1" applyFont="1" applyFill="1" applyBorder="1" applyAlignment="1">
      <alignment horizontal="center" vertical="center" shrinkToFit="1"/>
    </xf>
    <xf numFmtId="0" fontId="155" fillId="45" borderId="87" xfId="138" applyFont="1" applyFill="1" applyBorder="1" applyAlignment="1">
      <alignment horizontal="center" vertical="center" shrinkToFit="1"/>
    </xf>
    <xf numFmtId="14" fontId="58" fillId="44" borderId="87" xfId="138" applyNumberFormat="1" applyFont="1" applyFill="1" applyBorder="1" applyAlignment="1">
      <alignment horizontal="center" vertical="center" shrinkToFit="1"/>
    </xf>
    <xf numFmtId="0" fontId="159" fillId="65" borderId="87" xfId="0" applyFont="1" applyFill="1" applyBorder="1" applyAlignment="1">
      <alignment horizontal="center"/>
    </xf>
    <xf numFmtId="0" fontId="73" fillId="151" borderId="87" xfId="138" applyFont="1" applyFill="1" applyBorder="1" applyAlignment="1">
      <alignment horizontal="center" vertical="center" shrinkToFit="1"/>
    </xf>
    <xf numFmtId="0" fontId="160" fillId="140" borderId="87" xfId="131" applyFont="1" applyFill="1" applyBorder="1" applyAlignment="1">
      <alignment horizontal="center"/>
    </xf>
    <xf numFmtId="0" fontId="155" fillId="162" borderId="87" xfId="138" applyFont="1" applyFill="1" applyBorder="1" applyAlignment="1">
      <alignment horizontal="center" vertical="center" shrinkToFit="1"/>
    </xf>
    <xf numFmtId="0" fontId="159" fillId="35" borderId="94" xfId="0" applyFont="1" applyFill="1" applyBorder="1" applyAlignment="1">
      <alignment horizontal="center"/>
    </xf>
    <xf numFmtId="0" fontId="158" fillId="163" borderId="87" xfId="0" applyFont="1" applyFill="1" applyBorder="1" applyAlignment="1">
      <alignment horizontal="center"/>
    </xf>
    <xf numFmtId="0" fontId="86" fillId="164" borderId="87" xfId="0" applyFont="1" applyFill="1" applyBorder="1" applyAlignment="1">
      <alignment horizontal="center"/>
    </xf>
    <xf numFmtId="0" fontId="58" fillId="155" borderId="87" xfId="138" applyFont="1" applyFill="1" applyBorder="1" applyAlignment="1">
      <alignment horizontal="center" vertical="center" shrinkToFit="1"/>
    </xf>
    <xf numFmtId="0" fontId="86" fillId="35" borderId="87" xfId="0" applyFont="1" applyFill="1" applyBorder="1" applyAlignment="1">
      <alignment horizontal="center"/>
    </xf>
    <xf numFmtId="0" fontId="136" fillId="37" borderId="87" xfId="0" applyFont="1" applyFill="1" applyBorder="1" applyAlignment="1">
      <alignment horizontal="center"/>
    </xf>
    <xf numFmtId="0" fontId="155" fillId="165" borderId="87" xfId="138" applyFont="1" applyFill="1" applyBorder="1" applyAlignment="1">
      <alignment horizontal="center" vertical="center" shrinkToFit="1"/>
    </xf>
    <xf numFmtId="0" fontId="79" fillId="133" borderId="87" xfId="138" applyFont="1" applyFill="1" applyBorder="1" applyAlignment="1">
      <alignment horizontal="center" vertical="center" shrinkToFit="1"/>
    </xf>
    <xf numFmtId="0" fontId="67" fillId="133" borderId="87" xfId="138" applyFont="1" applyFill="1" applyBorder="1" applyAlignment="1">
      <alignment horizontal="center" vertical="center" shrinkToFit="1"/>
    </xf>
    <xf numFmtId="0" fontId="161" fillId="40" borderId="87" xfId="138" applyFont="1" applyFill="1" applyBorder="1" applyAlignment="1">
      <alignment horizontal="center" vertical="center" shrinkToFit="1"/>
    </xf>
    <xf numFmtId="0" fontId="136" fillId="166" borderId="87" xfId="0" applyFont="1" applyFill="1" applyBorder="1" applyAlignment="1">
      <alignment horizontal="center"/>
    </xf>
    <xf numFmtId="0" fontId="73" fillId="167" borderId="87" xfId="138" applyFont="1" applyFill="1" applyBorder="1" applyAlignment="1" applyProtection="1">
      <alignment horizontal="center" vertical="center" shrinkToFit="1"/>
      <protection locked="0"/>
    </xf>
    <xf numFmtId="0" fontId="155" fillId="168" borderId="87" xfId="138" applyFont="1" applyFill="1" applyBorder="1" applyAlignment="1">
      <alignment horizontal="center" vertical="center" shrinkToFit="1"/>
    </xf>
    <xf numFmtId="0" fontId="86" fillId="54" borderId="87" xfId="0" applyFont="1" applyFill="1" applyBorder="1" applyAlignment="1">
      <alignment horizontal="center"/>
    </xf>
    <xf numFmtId="0" fontId="67" fillId="42" borderId="87" xfId="138" applyFont="1" applyFill="1" applyBorder="1" applyAlignment="1" applyProtection="1">
      <alignment horizontal="center" vertical="center" shrinkToFit="1"/>
      <protection locked="0"/>
    </xf>
    <xf numFmtId="0" fontId="73" fillId="169" borderId="87" xfId="138" applyFont="1" applyFill="1" applyBorder="1" applyAlignment="1">
      <alignment horizontal="center" vertical="center" shrinkToFit="1"/>
    </xf>
    <xf numFmtId="0" fontId="86" fillId="36" borderId="87" xfId="0" applyFont="1" applyFill="1" applyBorder="1" applyAlignment="1">
      <alignment horizontal="center"/>
    </xf>
    <xf numFmtId="0" fontId="86" fillId="40" borderId="87" xfId="0" applyFont="1" applyFill="1" applyBorder="1" applyAlignment="1">
      <alignment horizontal="center"/>
    </xf>
    <xf numFmtId="0" fontId="159" fillId="139" borderId="87" xfId="131" applyFont="1" applyFill="1" applyBorder="1" applyAlignment="1">
      <alignment horizontal="center"/>
    </xf>
    <xf numFmtId="0" fontId="86" fillId="42" borderId="87" xfId="0" applyFont="1" applyFill="1" applyBorder="1" applyAlignment="1">
      <alignment horizontal="center"/>
    </xf>
    <xf numFmtId="0" fontId="86" fillId="160" borderId="87" xfId="0" applyFont="1" applyFill="1" applyBorder="1" applyAlignment="1">
      <alignment horizontal="center"/>
    </xf>
    <xf numFmtId="0" fontId="73" fillId="170" borderId="87" xfId="138" applyFont="1" applyFill="1" applyBorder="1" applyAlignment="1">
      <alignment horizontal="center" vertical="center" shrinkToFit="1"/>
    </xf>
    <xf numFmtId="0" fontId="73" fillId="171" borderId="87" xfId="138" applyFont="1" applyFill="1" applyBorder="1" applyAlignment="1">
      <alignment horizontal="center" vertical="center" shrinkToFit="1"/>
    </xf>
    <xf numFmtId="0" fontId="155" fillId="172" borderId="87" xfId="138" applyFont="1" applyFill="1" applyBorder="1" applyAlignment="1">
      <alignment horizontal="center" vertical="center" shrinkToFit="1"/>
    </xf>
    <xf numFmtId="0" fontId="75" fillId="52" borderId="87" xfId="131" applyFont="1" applyFill="1" applyBorder="1" applyAlignment="1">
      <alignment horizontal="center"/>
    </xf>
    <xf numFmtId="0" fontId="86" fillId="41" borderId="87" xfId="0" applyFont="1" applyFill="1" applyBorder="1" applyAlignment="1">
      <alignment horizontal="center"/>
    </xf>
    <xf numFmtId="0" fontId="86" fillId="112" borderId="87" xfId="131" applyFont="1" applyFill="1" applyBorder="1" applyAlignment="1">
      <alignment horizontal="center"/>
    </xf>
    <xf numFmtId="0" fontId="86" fillId="173" borderId="87" xfId="0" applyFont="1" applyFill="1" applyBorder="1" applyAlignment="1">
      <alignment horizontal="center"/>
    </xf>
    <xf numFmtId="0" fontId="73" fillId="174" borderId="87" xfId="138" applyFont="1" applyFill="1" applyBorder="1" applyAlignment="1">
      <alignment horizontal="center" vertical="center" shrinkToFit="1"/>
    </xf>
    <xf numFmtId="0" fontId="155" fillId="175" borderId="87" xfId="138" applyFont="1" applyFill="1" applyBorder="1" applyAlignment="1">
      <alignment horizontal="center" vertical="center" shrinkToFit="1"/>
    </xf>
    <xf numFmtId="0" fontId="86" fillId="76" borderId="87" xfId="0" applyFont="1" applyFill="1" applyBorder="1" applyAlignment="1">
      <alignment horizontal="center"/>
    </xf>
    <xf numFmtId="0" fontId="86" fillId="121" borderId="87" xfId="0" applyFont="1" applyFill="1" applyBorder="1" applyAlignment="1">
      <alignment horizontal="center"/>
    </xf>
    <xf numFmtId="0" fontId="58" fillId="131" borderId="87" xfId="138" applyFont="1" applyFill="1" applyBorder="1" applyAlignment="1">
      <alignment horizontal="center" vertical="center" shrinkToFit="1"/>
    </xf>
    <xf numFmtId="0" fontId="86" fillId="142" borderId="87" xfId="0" applyFont="1" applyFill="1" applyBorder="1" applyAlignment="1">
      <alignment horizontal="center"/>
    </xf>
    <xf numFmtId="0" fontId="155" fillId="152" borderId="87" xfId="138" applyFont="1" applyFill="1" applyBorder="1" applyAlignment="1">
      <alignment horizontal="center" vertical="center" shrinkToFit="1"/>
    </xf>
    <xf numFmtId="0" fontId="67" fillId="176" borderId="87" xfId="138" applyFont="1" applyFill="1" applyBorder="1" applyAlignment="1">
      <alignment horizontal="center" vertical="center" shrinkToFit="1"/>
    </xf>
    <xf numFmtId="0" fontId="155" fillId="177" borderId="87" xfId="138" applyFont="1" applyFill="1" applyBorder="1" applyAlignment="1">
      <alignment horizontal="center" vertical="center" shrinkToFit="1"/>
    </xf>
    <xf numFmtId="0" fontId="58" fillId="145" borderId="87" xfId="138" applyFont="1" applyFill="1" applyBorder="1" applyAlignment="1">
      <alignment horizontal="center" vertical="center" shrinkToFit="1"/>
    </xf>
    <xf numFmtId="0" fontId="86" fillId="140" borderId="87" xfId="0" applyFont="1" applyFill="1" applyBorder="1" applyAlignment="1">
      <alignment horizontal="center"/>
    </xf>
    <xf numFmtId="172" fontId="42" fillId="178" borderId="87" xfId="138" applyNumberFormat="1" applyFont="1" applyFill="1" applyBorder="1" applyAlignment="1">
      <alignment vertical="center" shrinkToFit="1"/>
    </xf>
    <xf numFmtId="0" fontId="83" fillId="35" borderId="0" xfId="0" applyFont="1" applyFill="1" applyAlignment="1">
      <alignment horizontal="center" vertical="center"/>
    </xf>
    <xf numFmtId="0" fontId="67" fillId="0" borderId="72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35" borderId="0" xfId="0" applyFont="1" applyFill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48" fillId="107" borderId="19" xfId="0" applyFont="1" applyFill="1" applyBorder="1" applyAlignment="1">
      <alignment horizontal="center" vertical="center"/>
    </xf>
    <xf numFmtId="0" fontId="48" fillId="107" borderId="20" xfId="0" applyFont="1" applyFill="1" applyBorder="1" applyAlignment="1">
      <alignment horizontal="center" vertical="center"/>
    </xf>
    <xf numFmtId="0" fontId="48" fillId="107" borderId="21" xfId="0" applyFont="1" applyFill="1" applyBorder="1" applyAlignment="1">
      <alignment horizontal="center" vertical="center"/>
    </xf>
    <xf numFmtId="0" fontId="48" fillId="107" borderId="25" xfId="0" applyFont="1" applyFill="1" applyBorder="1" applyAlignment="1">
      <alignment horizontal="center" vertical="center"/>
    </xf>
    <xf numFmtId="0" fontId="48" fillId="107" borderId="0" xfId="0" applyFont="1" applyFill="1" applyAlignment="1">
      <alignment horizontal="center" vertical="center"/>
    </xf>
    <xf numFmtId="0" fontId="48" fillId="107" borderId="26" xfId="0" applyFont="1" applyFill="1" applyBorder="1" applyAlignment="1">
      <alignment horizontal="center" vertical="center"/>
    </xf>
    <xf numFmtId="0" fontId="48" fillId="107" borderId="29" xfId="0" applyFont="1" applyFill="1" applyBorder="1" applyAlignment="1">
      <alignment horizontal="center" vertical="center"/>
    </xf>
    <xf numFmtId="0" fontId="48" fillId="107" borderId="30" xfId="0" applyFont="1" applyFill="1" applyBorder="1" applyAlignment="1">
      <alignment horizontal="center" vertical="center"/>
    </xf>
    <xf numFmtId="0" fontId="48" fillId="107" borderId="31" xfId="0" applyFont="1" applyFill="1" applyBorder="1" applyAlignment="1">
      <alignment horizontal="center" vertical="center"/>
    </xf>
    <xf numFmtId="0" fontId="106" fillId="0" borderId="37" xfId="0" applyFont="1" applyBorder="1" applyAlignment="1">
      <alignment horizontal="center" vertical="center"/>
    </xf>
    <xf numFmtId="0" fontId="94" fillId="0" borderId="73" xfId="0" applyFont="1" applyBorder="1" applyAlignment="1" applyProtection="1">
      <alignment horizontal="center" vertical="center"/>
      <protection locked="0"/>
    </xf>
    <xf numFmtId="0" fontId="95" fillId="0" borderId="37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48" fillId="0" borderId="47" xfId="0" applyFont="1" applyBorder="1" applyAlignment="1">
      <alignment horizontal="center" vertical="center"/>
    </xf>
    <xf numFmtId="0" fontId="48" fillId="0" borderId="48" xfId="0" applyFont="1" applyBorder="1" applyAlignment="1">
      <alignment horizontal="center" vertical="center"/>
    </xf>
    <xf numFmtId="0" fontId="106" fillId="0" borderId="73" xfId="0" applyFont="1" applyBorder="1" applyAlignment="1" applyProtection="1">
      <alignment horizontal="center" vertical="center"/>
      <protection locked="0"/>
    </xf>
    <xf numFmtId="0" fontId="106" fillId="0" borderId="73" xfId="0" applyFont="1" applyBorder="1" applyAlignment="1">
      <alignment horizontal="center" vertical="center"/>
    </xf>
    <xf numFmtId="0" fontId="105" fillId="0" borderId="77" xfId="0" applyFont="1" applyBorder="1" applyAlignment="1">
      <alignment horizontal="center" vertical="center"/>
    </xf>
    <xf numFmtId="0" fontId="95" fillId="0" borderId="80" xfId="0" applyFont="1" applyBorder="1" applyAlignment="1">
      <alignment horizontal="center" vertical="center"/>
    </xf>
    <xf numFmtId="0" fontId="95" fillId="0" borderId="74" xfId="0" applyFont="1" applyBorder="1" applyAlignment="1">
      <alignment horizontal="center" vertical="center"/>
    </xf>
    <xf numFmtId="0" fontId="106" fillId="35" borderId="73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/>
    </xf>
    <xf numFmtId="0" fontId="66" fillId="35" borderId="72" xfId="0" applyFont="1" applyFill="1" applyBorder="1" applyAlignment="1" applyProtection="1">
      <alignment horizontal="center" vertical="center"/>
      <protection locked="0"/>
    </xf>
    <xf numFmtId="0" fontId="84" fillId="35" borderId="37" xfId="0" applyFont="1" applyFill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03" fillId="35" borderId="0" xfId="142" applyFont="1" applyFill="1" applyAlignment="1" applyProtection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165" fillId="107" borderId="19" xfId="0" applyFont="1" applyFill="1" applyBorder="1" applyAlignment="1">
      <alignment horizontal="center" vertical="center"/>
    </xf>
    <xf numFmtId="0" fontId="165" fillId="107" borderId="20" xfId="0" applyFont="1" applyFill="1" applyBorder="1" applyAlignment="1">
      <alignment horizontal="center" vertical="center"/>
    </xf>
    <xf numFmtId="0" fontId="165" fillId="107" borderId="25" xfId="0" applyFont="1" applyFill="1" applyBorder="1" applyAlignment="1">
      <alignment horizontal="center" vertical="center"/>
    </xf>
    <xf numFmtId="0" fontId="165" fillId="107" borderId="0" xfId="0" applyFont="1" applyFill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66" fillId="35" borderId="0" xfId="0" applyFont="1" applyFill="1" applyAlignment="1" applyProtection="1">
      <alignment horizontal="center" vertical="center"/>
      <protection locked="0"/>
    </xf>
    <xf numFmtId="0" fontId="46" fillId="52" borderId="3" xfId="0" applyFont="1" applyFill="1" applyBorder="1" applyAlignment="1">
      <alignment horizontal="center" vertical="center"/>
    </xf>
    <xf numFmtId="0" fontId="46" fillId="52" borderId="18" xfId="0" applyFont="1" applyFill="1" applyBorder="1" applyAlignment="1">
      <alignment horizontal="center" vertical="center"/>
    </xf>
    <xf numFmtId="0" fontId="46" fillId="52" borderId="4" xfId="0" applyFont="1" applyFill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30" xfId="0" applyFont="1" applyBorder="1" applyAlignment="1">
      <alignment horizontal="center" vertical="center"/>
    </xf>
    <xf numFmtId="0" fontId="38" fillId="113" borderId="0" xfId="0" applyFont="1" applyFill="1" applyAlignment="1">
      <alignment horizontal="center" vertical="center" wrapText="1"/>
    </xf>
    <xf numFmtId="0" fontId="48" fillId="107" borderId="19" xfId="0" applyFont="1" applyFill="1" applyBorder="1" applyAlignment="1">
      <alignment horizontal="center" vertical="center" wrapText="1"/>
    </xf>
    <xf numFmtId="0" fontId="48" fillId="107" borderId="21" xfId="0" applyFont="1" applyFill="1" applyBorder="1" applyAlignment="1">
      <alignment horizontal="center" vertical="center" wrapText="1"/>
    </xf>
    <xf numFmtId="0" fontId="48" fillId="107" borderId="25" xfId="0" applyFont="1" applyFill="1" applyBorder="1" applyAlignment="1">
      <alignment horizontal="center" vertical="center" wrapText="1"/>
    </xf>
    <xf numFmtId="0" fontId="48" fillId="107" borderId="26" xfId="0" applyFont="1" applyFill="1" applyBorder="1" applyAlignment="1">
      <alignment horizontal="center" vertical="center" wrapText="1"/>
    </xf>
    <xf numFmtId="0" fontId="48" fillId="107" borderId="29" xfId="0" applyFont="1" applyFill="1" applyBorder="1" applyAlignment="1">
      <alignment horizontal="center" vertical="center" wrapText="1"/>
    </xf>
    <xf numFmtId="0" fontId="48" fillId="107" borderId="31" xfId="0" applyFont="1" applyFill="1" applyBorder="1" applyAlignment="1">
      <alignment horizontal="center" vertical="center" wrapText="1"/>
    </xf>
    <xf numFmtId="0" fontId="43" fillId="35" borderId="0" xfId="0" applyFont="1" applyFill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72" fillId="0" borderId="76" xfId="0" applyFont="1" applyBorder="1" applyAlignment="1">
      <alignment horizontal="center" vertical="center" wrapText="1"/>
    </xf>
    <xf numFmtId="0" fontId="72" fillId="0" borderId="20" xfId="0" applyFont="1" applyBorder="1" applyAlignment="1">
      <alignment horizontal="center" vertical="center" wrapText="1"/>
    </xf>
    <xf numFmtId="0" fontId="72" fillId="0" borderId="21" xfId="0" applyFont="1" applyBorder="1" applyAlignment="1">
      <alignment horizontal="center" vertical="center" wrapText="1"/>
    </xf>
    <xf numFmtId="0" fontId="72" fillId="0" borderId="32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2" fillId="0" borderId="26" xfId="0" applyFont="1" applyBorder="1" applyAlignment="1">
      <alignment horizontal="center" vertical="center" wrapText="1"/>
    </xf>
    <xf numFmtId="1" fontId="78" fillId="35" borderId="19" xfId="0" applyNumberFormat="1" applyFont="1" applyFill="1" applyBorder="1" applyAlignment="1">
      <alignment horizontal="center" vertical="center" wrapText="1"/>
    </xf>
    <xf numFmtId="1" fontId="78" fillId="35" borderId="21" xfId="0" applyNumberFormat="1" applyFont="1" applyFill="1" applyBorder="1" applyAlignment="1">
      <alignment horizontal="center" vertical="center" wrapText="1"/>
    </xf>
    <xf numFmtId="1" fontId="78" fillId="35" borderId="25" xfId="0" applyNumberFormat="1" applyFont="1" applyFill="1" applyBorder="1" applyAlignment="1">
      <alignment horizontal="center" vertical="center" wrapText="1"/>
    </xf>
    <xf numFmtId="1" fontId="78" fillId="35" borderId="26" xfId="0" applyNumberFormat="1" applyFont="1" applyFill="1" applyBorder="1" applyAlignment="1">
      <alignment horizontal="center" vertical="center" wrapText="1"/>
    </xf>
    <xf numFmtId="1" fontId="78" fillId="35" borderId="29" xfId="0" applyNumberFormat="1" applyFont="1" applyFill="1" applyBorder="1" applyAlignment="1">
      <alignment horizontal="center" vertical="center" wrapText="1"/>
    </xf>
    <xf numFmtId="1" fontId="78" fillId="35" borderId="31" xfId="0" applyNumberFormat="1" applyFont="1" applyFill="1" applyBorder="1" applyAlignment="1">
      <alignment horizontal="center" vertical="center" wrapText="1"/>
    </xf>
    <xf numFmtId="0" fontId="48" fillId="107" borderId="34" xfId="0" applyFont="1" applyFill="1" applyBorder="1" applyAlignment="1">
      <alignment horizontal="center" vertical="center"/>
    </xf>
    <xf numFmtId="0" fontId="48" fillId="107" borderId="35" xfId="0" applyFont="1" applyFill="1" applyBorder="1" applyAlignment="1">
      <alignment horizontal="center" vertical="center"/>
    </xf>
    <xf numFmtId="0" fontId="48" fillId="107" borderId="24" xfId="0" applyFont="1" applyFill="1" applyBorder="1" applyAlignment="1">
      <alignment horizontal="center" vertical="center"/>
    </xf>
    <xf numFmtId="0" fontId="48" fillId="107" borderId="27" xfId="0" applyFont="1" applyFill="1" applyBorder="1" applyAlignment="1">
      <alignment horizontal="center" vertical="center"/>
    </xf>
    <xf numFmtId="0" fontId="48" fillId="107" borderId="28" xfId="0" applyFont="1" applyFill="1" applyBorder="1" applyAlignment="1">
      <alignment horizontal="center" vertical="center"/>
    </xf>
    <xf numFmtId="0" fontId="48" fillId="107" borderId="38" xfId="0" applyFont="1" applyFill="1" applyBorder="1" applyAlignment="1">
      <alignment horizontal="center" vertical="center"/>
    </xf>
    <xf numFmtId="0" fontId="48" fillId="107" borderId="39" xfId="0" applyFont="1" applyFill="1" applyBorder="1" applyAlignment="1">
      <alignment horizontal="center" vertical="center"/>
    </xf>
    <xf numFmtId="0" fontId="48" fillId="107" borderId="40" xfId="0" applyFont="1" applyFill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66" fillId="35" borderId="0" xfId="160" applyFont="1" applyFill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5" fillId="35" borderId="61" xfId="0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107" fillId="35" borderId="0" xfId="0" applyFont="1" applyFill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91" fillId="0" borderId="46" xfId="0" applyFont="1" applyBorder="1" applyAlignment="1">
      <alignment horizontal="center" vertical="center"/>
    </xf>
    <xf numFmtId="0" fontId="66" fillId="35" borderId="85" xfId="0" applyFont="1" applyFill="1" applyBorder="1" applyAlignment="1" applyProtection="1">
      <alignment horizontal="center" vertical="center"/>
      <protection locked="0"/>
    </xf>
    <xf numFmtId="0" fontId="25" fillId="35" borderId="80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6" fillId="0" borderId="85" xfId="0" applyFont="1" applyBorder="1" applyAlignment="1" applyProtection="1">
      <alignment horizontal="center" vertical="center"/>
      <protection locked="0"/>
    </xf>
    <xf numFmtId="0" fontId="9" fillId="0" borderId="61" xfId="0" applyFont="1" applyBorder="1" applyAlignment="1" applyProtection="1">
      <alignment horizontal="center" vertical="center"/>
      <protection locked="0"/>
    </xf>
    <xf numFmtId="0" fontId="164" fillId="0" borderId="96" xfId="150" applyFont="1" applyBorder="1" applyAlignment="1">
      <alignment horizontal="left" vertical="center" shrinkToFit="1"/>
    </xf>
    <xf numFmtId="0" fontId="164" fillId="0" borderId="97" xfId="150" applyFont="1" applyBorder="1" applyAlignment="1">
      <alignment horizontal="left" vertical="center" shrinkToFit="1"/>
    </xf>
    <xf numFmtId="0" fontId="164" fillId="0" borderId="94" xfId="150" applyFont="1" applyBorder="1" applyAlignment="1">
      <alignment horizontal="left" vertical="center" shrinkToFit="1"/>
    </xf>
    <xf numFmtId="0" fontId="58" fillId="0" borderId="87" xfId="0" applyFont="1" applyBorder="1" applyAlignment="1">
      <alignment horizontal="left" vertical="center" wrapText="1" shrinkToFit="1"/>
    </xf>
    <xf numFmtId="0" fontId="36" fillId="0" borderId="3" xfId="0" applyFont="1" applyBorder="1" applyAlignment="1">
      <alignment horizontal="center" vertical="center" wrapText="1" shrinkToFit="1"/>
    </xf>
    <xf numFmtId="0" fontId="36" fillId="0" borderId="18" xfId="0" applyFont="1" applyBorder="1" applyAlignment="1">
      <alignment horizontal="center" vertical="center" wrapText="1" shrinkToFit="1"/>
    </xf>
    <xf numFmtId="0" fontId="36" fillId="0" borderId="4" xfId="0" applyFont="1" applyBorder="1" applyAlignment="1">
      <alignment horizontal="center" vertical="center" wrapText="1" shrinkToFit="1"/>
    </xf>
    <xf numFmtId="0" fontId="58" fillId="0" borderId="107" xfId="0" applyFont="1" applyBorder="1" applyAlignment="1">
      <alignment horizontal="left" vertical="center" wrapText="1" shrinkToFit="1"/>
    </xf>
    <xf numFmtId="0" fontId="58" fillId="0" borderId="108" xfId="0" applyFont="1" applyBorder="1" applyAlignment="1">
      <alignment horizontal="left" vertical="center" wrapText="1" shrinkToFit="1"/>
    </xf>
    <xf numFmtId="0" fontId="58" fillId="0" borderId="109" xfId="0" applyFont="1" applyBorder="1" applyAlignment="1">
      <alignment horizontal="left" vertical="center" wrapText="1" shrinkToFit="1"/>
    </xf>
    <xf numFmtId="0" fontId="102" fillId="0" borderId="3" xfId="0" applyFont="1" applyBorder="1" applyAlignment="1" applyProtection="1">
      <alignment horizontal="center"/>
      <protection locked="0"/>
    </xf>
    <xf numFmtId="0" fontId="102" fillId="0" borderId="18" xfId="0" applyFont="1" applyBorder="1" applyAlignment="1" applyProtection="1">
      <alignment horizontal="center"/>
      <protection locked="0"/>
    </xf>
    <xf numFmtId="0" fontId="102" fillId="0" borderId="4" xfId="0" applyFont="1" applyBorder="1" applyAlignment="1" applyProtection="1">
      <alignment horizontal="center"/>
      <protection locked="0"/>
    </xf>
    <xf numFmtId="170" fontId="100" fillId="133" borderId="3" xfId="0" applyNumberFormat="1" applyFont="1" applyFill="1" applyBorder="1" applyAlignment="1">
      <alignment horizontal="center" vertical="center"/>
    </xf>
    <xf numFmtId="170" fontId="100" fillId="133" borderId="4" xfId="0" applyNumberFormat="1" applyFont="1" applyFill="1" applyBorder="1" applyAlignment="1">
      <alignment horizontal="center" vertical="center"/>
    </xf>
    <xf numFmtId="0" fontId="156" fillId="0" borderId="96" xfId="126" applyFont="1" applyBorder="1" applyAlignment="1">
      <alignment horizontal="left" shrinkToFit="1"/>
    </xf>
    <xf numFmtId="0" fontId="156" fillId="0" borderId="94" xfId="126" applyFont="1" applyBorder="1" applyAlignment="1">
      <alignment horizontal="left" shrinkToFit="1"/>
    </xf>
    <xf numFmtId="0" fontId="162" fillId="35" borderId="0" xfId="0" applyFont="1" applyFill="1" applyAlignment="1" applyProtection="1">
      <alignment horizontal="center" vertical="center"/>
      <protection locked="0"/>
    </xf>
    <xf numFmtId="0" fontId="32" fillId="142" borderId="3" xfId="0" applyFont="1" applyFill="1" applyBorder="1" applyAlignment="1">
      <alignment horizontal="center" vertical="center"/>
    </xf>
    <xf numFmtId="0" fontId="32" fillId="142" borderId="18" xfId="0" applyFont="1" applyFill="1" applyBorder="1" applyAlignment="1">
      <alignment horizontal="center" vertical="center"/>
    </xf>
    <xf numFmtId="0" fontId="32" fillId="142" borderId="4" xfId="0" applyFont="1" applyFill="1" applyBorder="1" applyAlignment="1">
      <alignment horizontal="center" vertical="center"/>
    </xf>
    <xf numFmtId="0" fontId="155" fillId="133" borderId="97" xfId="138" applyFont="1" applyFill="1" applyBorder="1" applyAlignment="1" applyProtection="1">
      <alignment horizontal="center" vertical="center" shrinkToFit="1"/>
      <protection locked="0"/>
    </xf>
    <xf numFmtId="0" fontId="155" fillId="133" borderId="94" xfId="138" applyFont="1" applyFill="1" applyBorder="1" applyAlignment="1" applyProtection="1">
      <alignment horizontal="center" vertical="center" shrinkToFit="1"/>
      <protection locked="0"/>
    </xf>
    <xf numFmtId="0" fontId="155" fillId="133" borderId="66" xfId="138" applyFont="1" applyFill="1" applyBorder="1" applyAlignment="1" applyProtection="1">
      <alignment horizontal="center" vertical="center" shrinkToFit="1"/>
      <protection locked="0"/>
    </xf>
    <xf numFmtId="0" fontId="155" fillId="133" borderId="67" xfId="138" applyFont="1" applyFill="1" applyBorder="1" applyAlignment="1" applyProtection="1">
      <alignment horizontal="center" vertical="center" shrinkToFit="1"/>
      <protection locked="0"/>
    </xf>
    <xf numFmtId="0" fontId="156" fillId="0" borderId="96" xfId="126" applyFont="1" applyBorder="1" applyAlignment="1" applyProtection="1">
      <alignment horizontal="left" shrinkToFit="1"/>
      <protection locked="0"/>
    </xf>
    <xf numFmtId="0" fontId="156" fillId="0" borderId="104" xfId="126" applyFont="1" applyBorder="1" applyAlignment="1" applyProtection="1">
      <alignment horizontal="left" shrinkToFit="1"/>
      <protection locked="0"/>
    </xf>
    <xf numFmtId="0" fontId="44" fillId="133" borderId="62" xfId="0" applyFont="1" applyFill="1" applyBorder="1" applyAlignment="1">
      <alignment horizontal="center" vertical="center"/>
    </xf>
    <xf numFmtId="0" fontId="44" fillId="133" borderId="63" xfId="0" applyFont="1" applyFill="1" applyBorder="1" applyAlignment="1">
      <alignment horizontal="center" vertical="center"/>
    </xf>
    <xf numFmtId="0" fontId="45" fillId="0" borderId="3" xfId="0" applyFont="1" applyBorder="1" applyAlignment="1" applyProtection="1">
      <alignment horizontal="center"/>
      <protection locked="0"/>
    </xf>
    <xf numFmtId="0" fontId="45" fillId="0" borderId="18" xfId="0" applyFont="1" applyBorder="1" applyAlignment="1" applyProtection="1">
      <alignment horizontal="center"/>
      <protection locked="0"/>
    </xf>
    <xf numFmtId="0" fontId="45" fillId="0" borderId="3" xfId="0" applyFont="1" applyBorder="1" applyAlignment="1" applyProtection="1">
      <alignment horizontal="center" vertical="center"/>
      <protection locked="0"/>
    </xf>
    <xf numFmtId="0" fontId="45" fillId="0" borderId="4" xfId="0" applyFont="1" applyBorder="1" applyAlignment="1" applyProtection="1">
      <alignment horizontal="center" vertical="center"/>
      <protection locked="0"/>
    </xf>
    <xf numFmtId="0" fontId="155" fillId="133" borderId="37" xfId="138" applyFont="1" applyFill="1" applyBorder="1" applyAlignment="1" applyProtection="1">
      <alignment horizontal="center" vertical="center" shrinkToFit="1"/>
      <protection locked="0"/>
    </xf>
    <xf numFmtId="14" fontId="155" fillId="133" borderId="0" xfId="138" applyNumberFormat="1" applyFont="1" applyFill="1" applyAlignment="1" applyProtection="1">
      <alignment horizontal="center" vertical="center" shrinkToFit="1"/>
      <protection locked="0"/>
    </xf>
    <xf numFmtId="0" fontId="155" fillId="133" borderId="0" xfId="138" applyFont="1" applyFill="1" applyAlignment="1" applyProtection="1">
      <alignment horizontal="center" vertical="center" shrinkToFit="1"/>
      <protection locked="0"/>
    </xf>
    <xf numFmtId="0" fontId="58" fillId="0" borderId="101" xfId="150" applyFont="1" applyBorder="1" applyAlignment="1" applyProtection="1">
      <alignment horizontal="left" vertical="center" shrinkToFit="1"/>
      <protection locked="0"/>
    </xf>
    <xf numFmtId="0" fontId="58" fillId="0" borderId="102" xfId="150" applyFont="1" applyBorder="1" applyAlignment="1" applyProtection="1">
      <alignment horizontal="left" vertical="center" shrinkToFit="1"/>
      <protection locked="0"/>
    </xf>
    <xf numFmtId="0" fontId="58" fillId="0" borderId="103" xfId="150" applyFont="1" applyBorder="1" applyAlignment="1" applyProtection="1">
      <alignment horizontal="left" vertical="center" shrinkToFit="1"/>
      <protection locked="0"/>
    </xf>
    <xf numFmtId="0" fontId="135" fillId="133" borderId="0" xfId="0" applyFont="1" applyFill="1" applyAlignment="1" applyProtection="1">
      <alignment horizontal="center" vertical="center"/>
      <protection locked="0"/>
    </xf>
    <xf numFmtId="0" fontId="154" fillId="35" borderId="0" xfId="0" applyFont="1" applyFill="1" applyAlignment="1" applyProtection="1">
      <alignment horizontal="center" vertical="center"/>
      <protection locked="0"/>
    </xf>
    <xf numFmtId="0" fontId="58" fillId="0" borderId="96" xfId="150" applyFont="1" applyBorder="1" applyAlignment="1" applyProtection="1">
      <alignment horizontal="left" vertical="center" shrinkToFit="1"/>
      <protection locked="0"/>
    </xf>
    <xf numFmtId="0" fontId="58" fillId="0" borderId="97" xfId="150" applyFont="1" applyBorder="1" applyAlignment="1" applyProtection="1">
      <alignment horizontal="left" vertical="center" shrinkToFit="1"/>
      <protection locked="0"/>
    </xf>
    <xf numFmtId="0" fontId="58" fillId="141" borderId="96" xfId="150" applyFont="1" applyFill="1" applyBorder="1" applyAlignment="1" applyProtection="1">
      <alignment horizontal="left" vertical="center" shrinkToFit="1"/>
      <protection locked="0"/>
    </xf>
    <xf numFmtId="0" fontId="58" fillId="141" borderId="97" xfId="150" applyFont="1" applyFill="1" applyBorder="1" applyAlignment="1" applyProtection="1">
      <alignment horizontal="left" vertical="center" shrinkToFit="1"/>
      <protection locked="0"/>
    </xf>
    <xf numFmtId="0" fontId="0" fillId="0" borderId="97" xfId="0" applyBorder="1" applyAlignment="1">
      <alignment horizontal="left" vertical="center" shrinkToFit="1"/>
    </xf>
    <xf numFmtId="0" fontId="58" fillId="141" borderId="98" xfId="138" applyFont="1" applyFill="1" applyBorder="1" applyAlignment="1" applyProtection="1">
      <alignment horizontal="center" vertical="center" shrinkToFit="1"/>
      <protection locked="0"/>
    </xf>
    <xf numFmtId="0" fontId="58" fillId="141" borderId="99" xfId="138" applyFont="1" applyFill="1" applyBorder="1" applyAlignment="1" applyProtection="1">
      <alignment horizontal="center" vertical="center" shrinkToFit="1"/>
      <protection locked="0"/>
    </xf>
    <xf numFmtId="0" fontId="58" fillId="141" borderId="100" xfId="138" applyFont="1" applyFill="1" applyBorder="1" applyAlignment="1" applyProtection="1">
      <alignment horizontal="center" vertical="center" shrinkToFit="1"/>
      <protection locked="0"/>
    </xf>
    <xf numFmtId="0" fontId="107" fillId="35" borderId="3" xfId="0" applyFont="1" applyFill="1" applyBorder="1" applyAlignment="1" applyProtection="1">
      <alignment horizontal="center" vertical="center"/>
      <protection locked="0"/>
    </xf>
    <xf numFmtId="0" fontId="107" fillId="35" borderId="18" xfId="0" applyFont="1" applyFill="1" applyBorder="1" applyAlignment="1" applyProtection="1">
      <alignment horizontal="center" vertical="center"/>
      <protection locked="0"/>
    </xf>
    <xf numFmtId="0" fontId="107" fillId="35" borderId="4" xfId="0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4" fontId="131" fillId="46" borderId="96" xfId="0" applyNumberFormat="1" applyFont="1" applyFill="1" applyBorder="1" applyAlignment="1" applyProtection="1">
      <alignment horizontal="center" vertical="center" wrapText="1"/>
      <protection locked="0"/>
    </xf>
    <xf numFmtId="14" fontId="131" fillId="46" borderId="97" xfId="0" applyNumberFormat="1" applyFont="1" applyFill="1" applyBorder="1" applyAlignment="1" applyProtection="1">
      <alignment horizontal="center" vertical="center" wrapText="1"/>
      <protection locked="0"/>
    </xf>
    <xf numFmtId="14" fontId="131" fillId="46" borderId="94" xfId="0" applyNumberFormat="1" applyFont="1" applyFill="1" applyBorder="1" applyAlignment="1" applyProtection="1">
      <alignment horizontal="center" vertical="center" wrapText="1"/>
      <protection locked="0"/>
    </xf>
    <xf numFmtId="0" fontId="124" fillId="0" borderId="60" xfId="0" applyFont="1" applyBorder="1" applyAlignment="1" applyProtection="1">
      <alignment horizontal="center"/>
      <protection locked="0"/>
    </xf>
    <xf numFmtId="0" fontId="124" fillId="0" borderId="46" xfId="0" applyFont="1" applyBorder="1" applyAlignment="1" applyProtection="1">
      <alignment horizontal="center"/>
      <protection locked="0"/>
    </xf>
    <xf numFmtId="0" fontId="134" fillId="35" borderId="0" xfId="0" applyFont="1" applyFill="1" applyAlignment="1" applyProtection="1">
      <alignment horizontal="center" vertical="center"/>
      <protection locked="0"/>
    </xf>
    <xf numFmtId="0" fontId="102" fillId="106" borderId="3" xfId="0" applyFont="1" applyFill="1" applyBorder="1" applyAlignment="1" applyProtection="1">
      <alignment horizontal="center" vertical="center"/>
      <protection locked="0"/>
    </xf>
    <xf numFmtId="0" fontId="102" fillId="106" borderId="18" xfId="0" applyFont="1" applyFill="1" applyBorder="1" applyAlignment="1" applyProtection="1">
      <alignment horizontal="center" vertical="center"/>
      <protection locked="0"/>
    </xf>
    <xf numFmtId="0" fontId="102" fillId="106" borderId="4" xfId="0" applyFont="1" applyFill="1" applyBorder="1" applyAlignment="1" applyProtection="1">
      <alignment horizontal="center" vertical="center"/>
      <protection locked="0"/>
    </xf>
    <xf numFmtId="0" fontId="102" fillId="35" borderId="3" xfId="0" applyFont="1" applyFill="1" applyBorder="1" applyAlignment="1" applyProtection="1">
      <alignment horizontal="center"/>
      <protection locked="0"/>
    </xf>
    <xf numFmtId="0" fontId="102" fillId="35" borderId="18" xfId="0" applyFont="1" applyFill="1" applyBorder="1" applyAlignment="1" applyProtection="1">
      <alignment horizontal="center"/>
      <protection locked="0"/>
    </xf>
    <xf numFmtId="0" fontId="102" fillId="35" borderId="4" xfId="0" applyFont="1" applyFill="1" applyBorder="1" applyAlignment="1" applyProtection="1">
      <alignment horizontal="center"/>
      <protection locked="0"/>
    </xf>
    <xf numFmtId="0" fontId="132" fillId="140" borderId="96" xfId="0" applyFont="1" applyFill="1" applyBorder="1" applyAlignment="1" applyProtection="1">
      <alignment horizontal="center" wrapText="1"/>
      <protection locked="0"/>
    </xf>
    <xf numFmtId="0" fontId="132" fillId="140" borderId="94" xfId="0" applyFont="1" applyFill="1" applyBorder="1" applyAlignment="1" applyProtection="1">
      <alignment horizontal="center" wrapText="1"/>
      <protection locked="0"/>
    </xf>
    <xf numFmtId="0" fontId="132" fillId="140" borderId="87" xfId="0" applyFont="1" applyFill="1" applyBorder="1" applyAlignment="1" applyProtection="1">
      <alignment horizontal="center" wrapText="1"/>
      <protection locked="0"/>
    </xf>
    <xf numFmtId="14" fontId="132" fillId="0" borderId="96" xfId="0" applyNumberFormat="1" applyFont="1" applyBorder="1" applyAlignment="1" applyProtection="1">
      <alignment horizontal="center" wrapText="1"/>
      <protection locked="0"/>
    </xf>
    <xf numFmtId="14" fontId="132" fillId="0" borderId="94" xfId="0" applyNumberFormat="1" applyFont="1" applyBorder="1" applyAlignment="1" applyProtection="1">
      <alignment horizontal="center" wrapText="1"/>
      <protection locked="0"/>
    </xf>
    <xf numFmtId="0" fontId="132" fillId="0" borderId="96" xfId="0" applyFont="1" applyBorder="1" applyAlignment="1" applyProtection="1">
      <alignment horizontal="center" wrapText="1"/>
      <protection locked="0"/>
    </xf>
    <xf numFmtId="0" fontId="132" fillId="0" borderId="94" xfId="0" applyFont="1" applyBorder="1" applyAlignment="1" applyProtection="1">
      <alignment horizontal="center" wrapText="1"/>
      <protection locked="0"/>
    </xf>
    <xf numFmtId="14" fontId="132" fillId="0" borderId="87" xfId="0" applyNumberFormat="1" applyFont="1" applyBorder="1" applyAlignment="1">
      <alignment horizontal="center" wrapText="1"/>
    </xf>
    <xf numFmtId="0" fontId="132" fillId="0" borderId="87" xfId="0" applyFont="1" applyBorder="1" applyAlignment="1" applyProtection="1">
      <alignment horizontal="center" wrapText="1"/>
      <protection locked="0"/>
    </xf>
    <xf numFmtId="0" fontId="66" fillId="35" borderId="20" xfId="0" applyFont="1" applyFill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128" fillId="0" borderId="3" xfId="252" applyFont="1" applyBorder="1" applyAlignment="1">
      <alignment horizontal="center" vertical="top" shrinkToFit="1"/>
      <protection locked="0"/>
    </xf>
    <xf numFmtId="0" fontId="129" fillId="0" borderId="18" xfId="252" applyFont="1" applyBorder="1" applyAlignment="1">
      <alignment horizontal="center" vertical="top" shrinkToFit="1"/>
      <protection locked="0"/>
    </xf>
    <xf numFmtId="0" fontId="129" fillId="0" borderId="4" xfId="252" applyFont="1" applyBorder="1" applyAlignment="1">
      <alignment horizontal="center" vertical="top" shrinkToFit="1"/>
      <protection locked="0"/>
    </xf>
    <xf numFmtId="170" fontId="130" fillId="0" borderId="3" xfId="252" applyNumberFormat="1" applyFont="1" applyBorder="1" applyAlignment="1" applyProtection="1">
      <alignment horizontal="center" vertical="center" shrinkToFit="1"/>
    </xf>
    <xf numFmtId="170" fontId="130" fillId="0" borderId="18" xfId="252" applyNumberFormat="1" applyFont="1" applyBorder="1" applyAlignment="1" applyProtection="1">
      <alignment horizontal="center" vertical="center" shrinkToFit="1"/>
    </xf>
    <xf numFmtId="170" fontId="130" fillId="0" borderId="4" xfId="252" applyNumberFormat="1" applyFont="1" applyBorder="1" applyAlignment="1" applyProtection="1">
      <alignment horizontal="center" vertical="center" shrinkToFit="1"/>
    </xf>
    <xf numFmtId="0" fontId="131" fillId="54" borderId="87" xfId="0" applyFont="1" applyFill="1" applyBorder="1" applyAlignment="1" applyProtection="1">
      <alignment horizontal="center" vertical="center" wrapText="1"/>
      <protection locked="0"/>
    </xf>
    <xf numFmtId="0" fontId="9" fillId="0" borderId="90" xfId="0" applyFont="1" applyBorder="1" applyAlignment="1" applyProtection="1">
      <alignment horizontal="center" vertical="center"/>
      <protection locked="0"/>
    </xf>
    <xf numFmtId="0" fontId="91" fillId="0" borderId="37" xfId="0" applyFont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50" xfId="0" applyFont="1" applyBorder="1" applyAlignment="1">
      <alignment horizontal="center" vertical="center"/>
    </xf>
    <xf numFmtId="0" fontId="48" fillId="0" borderId="91" xfId="0" applyFont="1" applyBorder="1" applyAlignment="1">
      <alignment horizontal="center" vertical="center"/>
    </xf>
    <xf numFmtId="0" fontId="48" fillId="0" borderId="84" xfId="0" applyFont="1" applyBorder="1" applyAlignment="1">
      <alignment horizontal="center" vertical="center"/>
    </xf>
    <xf numFmtId="0" fontId="48" fillId="0" borderId="92" xfId="0" applyFont="1" applyBorder="1" applyAlignment="1">
      <alignment horizontal="center" vertical="center"/>
    </xf>
    <xf numFmtId="0" fontId="48" fillId="0" borderId="52" xfId="0" applyFont="1" applyBorder="1" applyAlignment="1">
      <alignment horizontal="center" vertical="center"/>
    </xf>
    <xf numFmtId="0" fontId="48" fillId="0" borderId="53" xfId="0" applyFon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" fontId="61" fillId="0" borderId="19" xfId="0" applyNumberFormat="1" applyFont="1" applyBorder="1" applyAlignment="1">
      <alignment horizontal="center" vertical="center" wrapText="1"/>
    </xf>
    <xf numFmtId="1" fontId="61" fillId="0" borderId="20" xfId="0" applyNumberFormat="1" applyFont="1" applyBorder="1" applyAlignment="1">
      <alignment horizontal="center" vertical="center" wrapText="1"/>
    </xf>
    <xf numFmtId="1" fontId="61" fillId="0" borderId="21" xfId="0" applyNumberFormat="1" applyFont="1" applyBorder="1" applyAlignment="1">
      <alignment horizontal="center" vertical="center" wrapText="1"/>
    </xf>
    <xf numFmtId="1" fontId="61" fillId="0" borderId="25" xfId="0" applyNumberFormat="1" applyFont="1" applyBorder="1" applyAlignment="1">
      <alignment horizontal="center" vertical="center" wrapText="1"/>
    </xf>
    <xf numFmtId="1" fontId="61" fillId="0" borderId="0" xfId="0" applyNumberFormat="1" applyFont="1" applyAlignment="1">
      <alignment horizontal="center" vertical="center" wrapText="1"/>
    </xf>
    <xf numFmtId="1" fontId="61" fillId="0" borderId="26" xfId="0" applyNumberFormat="1" applyFont="1" applyBorder="1" applyAlignment="1">
      <alignment horizontal="center" vertical="center" wrapText="1"/>
    </xf>
    <xf numFmtId="1" fontId="61" fillId="0" borderId="29" xfId="0" applyNumberFormat="1" applyFont="1" applyBorder="1" applyAlignment="1">
      <alignment horizontal="center" vertical="center" wrapText="1"/>
    </xf>
    <xf numFmtId="1" fontId="61" fillId="0" borderId="30" xfId="0" applyNumberFormat="1" applyFont="1" applyBorder="1" applyAlignment="1">
      <alignment horizontal="center" vertical="center" wrapText="1"/>
    </xf>
    <xf numFmtId="1" fontId="61" fillId="0" borderId="31" xfId="0" applyNumberFormat="1" applyFont="1" applyBorder="1" applyAlignment="1">
      <alignment horizontal="center" vertical="center" wrapText="1"/>
    </xf>
    <xf numFmtId="0" fontId="2" fillId="0" borderId="95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48" fillId="0" borderId="40" xfId="0" applyFont="1" applyBorder="1" applyAlignment="1">
      <alignment horizontal="center" vertical="center"/>
    </xf>
    <xf numFmtId="0" fontId="113" fillId="107" borderId="49" xfId="0" applyFont="1" applyFill="1" applyBorder="1" applyAlignment="1">
      <alignment horizontal="center" vertical="center"/>
    </xf>
    <xf numFmtId="0" fontId="113" fillId="107" borderId="17" xfId="0" applyFont="1" applyFill="1" applyBorder="1" applyAlignment="1">
      <alignment horizontal="center" vertical="center"/>
    </xf>
    <xf numFmtId="0" fontId="113" fillId="107" borderId="50" xfId="0" applyFont="1" applyFill="1" applyBorder="1" applyAlignment="1">
      <alignment horizontal="center" vertical="center"/>
    </xf>
    <xf numFmtId="0" fontId="113" fillId="107" borderId="52" xfId="0" applyFont="1" applyFill="1" applyBorder="1" applyAlignment="1">
      <alignment horizontal="center" vertical="center"/>
    </xf>
    <xf numFmtId="0" fontId="113" fillId="107" borderId="53" xfId="0" applyFont="1" applyFill="1" applyBorder="1" applyAlignment="1">
      <alignment horizontal="center" vertical="center"/>
    </xf>
    <xf numFmtId="0" fontId="113" fillId="107" borderId="54" xfId="0" applyFont="1" applyFill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72" fillId="0" borderId="19" xfId="0" applyFont="1" applyBorder="1" applyAlignment="1">
      <alignment horizontal="center" vertical="center"/>
    </xf>
    <xf numFmtId="0" fontId="72" fillId="0" borderId="20" xfId="0" applyFont="1" applyBorder="1" applyAlignment="1">
      <alignment horizontal="center" vertical="center"/>
    </xf>
    <xf numFmtId="0" fontId="72" fillId="0" borderId="21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26" xfId="0" applyFont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72" fillId="0" borderId="30" xfId="0" applyFont="1" applyBorder="1" applyAlignment="1">
      <alignment horizontal="center" vertical="center"/>
    </xf>
    <xf numFmtId="0" fontId="72" fillId="0" borderId="31" xfId="0" applyFont="1" applyBorder="1" applyAlignment="1">
      <alignment horizontal="center" vertical="center"/>
    </xf>
    <xf numFmtId="0" fontId="35" fillId="35" borderId="3" xfId="0" applyFont="1" applyFill="1" applyBorder="1" applyAlignment="1">
      <alignment horizontal="center" vertical="center"/>
    </xf>
    <xf numFmtId="0" fontId="35" fillId="35" borderId="18" xfId="0" applyFont="1" applyFill="1" applyBorder="1" applyAlignment="1">
      <alignment horizontal="center" vertical="center"/>
    </xf>
    <xf numFmtId="0" fontId="35" fillId="35" borderId="4" xfId="0" applyFont="1" applyFill="1" applyBorder="1" applyAlignment="1">
      <alignment horizontal="center" vertical="center"/>
    </xf>
    <xf numFmtId="0" fontId="66" fillId="35" borderId="0" xfId="0" applyFont="1" applyFill="1" applyAlignment="1">
      <alignment horizontal="center" vertical="center" wrapText="1"/>
    </xf>
    <xf numFmtId="0" fontId="68" fillId="0" borderId="55" xfId="0" applyFont="1" applyBorder="1" applyAlignment="1">
      <alignment horizontal="center" vertical="center" wrapText="1"/>
    </xf>
    <xf numFmtId="0" fontId="68" fillId="0" borderId="41" xfId="0" applyFont="1" applyBorder="1" applyAlignment="1">
      <alignment horizontal="center" vertical="center" wrapText="1"/>
    </xf>
    <xf numFmtId="0" fontId="68" fillId="0" borderId="42" xfId="0" applyFont="1" applyBorder="1" applyAlignment="1">
      <alignment horizontal="center" vertical="center" wrapText="1"/>
    </xf>
    <xf numFmtId="173" fontId="46" fillId="52" borderId="3" xfId="0" applyNumberFormat="1" applyFont="1" applyFill="1" applyBorder="1" applyAlignment="1">
      <alignment horizontal="center" vertical="center"/>
    </xf>
    <xf numFmtId="173" fontId="46" fillId="52" borderId="18" xfId="0" applyNumberFormat="1" applyFont="1" applyFill="1" applyBorder="1" applyAlignment="1">
      <alignment horizontal="center" vertical="center"/>
    </xf>
    <xf numFmtId="173" fontId="46" fillId="52" borderId="4" xfId="0" applyNumberFormat="1" applyFont="1" applyFill="1" applyBorder="1" applyAlignment="1">
      <alignment horizontal="center" vertical="center"/>
    </xf>
    <xf numFmtId="173" fontId="0" fillId="0" borderId="18" xfId="0" applyNumberFormat="1" applyBorder="1" applyAlignment="1">
      <alignment vertical="center"/>
    </xf>
    <xf numFmtId="173" fontId="1" fillId="0" borderId="0" xfId="0" applyNumberFormat="1" applyFont="1" applyAlignment="1">
      <alignment vertical="center"/>
    </xf>
    <xf numFmtId="173" fontId="47" fillId="0" borderId="0" xfId="0" applyNumberFormat="1" applyFont="1" applyAlignment="1">
      <alignment horizontal="center" vertical="center"/>
    </xf>
    <xf numFmtId="173" fontId="48" fillId="0" borderId="0" xfId="0" applyNumberFormat="1" applyFont="1" applyAlignment="1">
      <alignment horizontal="center" vertical="center"/>
    </xf>
    <xf numFmtId="173" fontId="0" fillId="0" borderId="0" xfId="0" applyNumberFormat="1" applyAlignment="1">
      <alignment vertical="center"/>
    </xf>
    <xf numFmtId="173" fontId="49" fillId="113" borderId="0" xfId="0" applyNumberFormat="1" applyFont="1" applyFill="1" applyAlignment="1">
      <alignment vertical="center"/>
    </xf>
    <xf numFmtId="173" fontId="50" fillId="113" borderId="0" xfId="0" applyNumberFormat="1" applyFont="1" applyFill="1" applyAlignment="1">
      <alignment horizontal="center" vertical="center"/>
    </xf>
    <xf numFmtId="173" fontId="49" fillId="113" borderId="0" xfId="0" applyNumberFormat="1" applyFont="1" applyFill="1" applyAlignment="1">
      <alignment horizontal="center" vertical="center"/>
    </xf>
    <xf numFmtId="173" fontId="50" fillId="113" borderId="0" xfId="0" applyNumberFormat="1" applyFont="1" applyFill="1" applyAlignment="1">
      <alignment vertical="center"/>
    </xf>
    <xf numFmtId="173" fontId="2" fillId="113" borderId="0" xfId="0" applyNumberFormat="1" applyFont="1" applyFill="1" applyAlignment="1">
      <alignment vertical="center"/>
    </xf>
    <xf numFmtId="173" fontId="6" fillId="113" borderId="0" xfId="0" applyNumberFormat="1" applyFont="1" applyFill="1" applyAlignment="1">
      <alignment vertical="center"/>
    </xf>
    <xf numFmtId="173" fontId="35" fillId="35" borderId="3" xfId="0" applyNumberFormat="1" applyFont="1" applyFill="1" applyBorder="1" applyAlignment="1">
      <alignment horizontal="center" vertical="center"/>
    </xf>
    <xf numFmtId="173" fontId="35" fillId="35" borderId="18" xfId="0" applyNumberFormat="1" applyFont="1" applyFill="1" applyBorder="1" applyAlignment="1">
      <alignment horizontal="center" vertical="center"/>
    </xf>
    <xf numFmtId="173" fontId="35" fillId="35" borderId="4" xfId="0" applyNumberFormat="1" applyFont="1" applyFill="1" applyBorder="1" applyAlignment="1">
      <alignment horizontal="center" vertical="center"/>
    </xf>
    <xf numFmtId="173" fontId="48" fillId="0" borderId="19" xfId="0" applyNumberFormat="1" applyFont="1" applyBorder="1" applyAlignment="1">
      <alignment horizontal="center" vertical="center"/>
    </xf>
    <xf numFmtId="173" fontId="48" fillId="0" borderId="20" xfId="0" applyNumberFormat="1" applyFont="1" applyBorder="1" applyAlignment="1">
      <alignment horizontal="center" vertical="center"/>
    </xf>
    <xf numFmtId="173" fontId="48" fillId="0" borderId="21" xfId="0" applyNumberFormat="1" applyFont="1" applyBorder="1" applyAlignment="1">
      <alignment horizontal="center" vertical="center"/>
    </xf>
    <xf numFmtId="173" fontId="35" fillId="0" borderId="44" xfId="150" applyNumberFormat="1" applyFont="1" applyBorder="1" applyAlignment="1">
      <alignment horizontal="center" vertical="center" shrinkToFit="1"/>
    </xf>
    <xf numFmtId="173" fontId="86" fillId="0" borderId="1" xfId="131" applyNumberFormat="1" applyFont="1" applyBorder="1" applyAlignment="1" applyProtection="1">
      <alignment horizontal="center" vertical="center"/>
      <protection locked="0"/>
    </xf>
    <xf numFmtId="173" fontId="51" fillId="114" borderId="0" xfId="0" applyNumberFormat="1" applyFont="1" applyFill="1" applyAlignment="1">
      <alignment horizontal="center" vertical="center"/>
    </xf>
    <xf numFmtId="173" fontId="114" fillId="115" borderId="71" xfId="142" applyNumberFormat="1" applyFont="1" applyFill="1" applyBorder="1" applyAlignment="1" applyProtection="1">
      <alignment horizontal="center" vertical="center" shrinkToFit="1"/>
    </xf>
    <xf numFmtId="173" fontId="2" fillId="0" borderId="0" xfId="115" applyNumberFormat="1" applyFont="1" applyAlignment="1">
      <alignment vertical="center"/>
    </xf>
    <xf numFmtId="173" fontId="52" fillId="116" borderId="0" xfId="0" applyNumberFormat="1" applyFont="1" applyFill="1" applyAlignment="1">
      <alignment horizontal="center" vertical="center"/>
    </xf>
    <xf numFmtId="173" fontId="123" fillId="71" borderId="74" xfId="138" applyNumberFormat="1" applyFont="1" applyFill="1" applyBorder="1" applyAlignment="1">
      <alignment horizontal="center" vertical="center" shrinkToFit="1"/>
    </xf>
    <xf numFmtId="173" fontId="53" fillId="107" borderId="0" xfId="0" applyNumberFormat="1" applyFont="1" applyFill="1" applyAlignment="1">
      <alignment vertical="center"/>
    </xf>
    <xf numFmtId="173" fontId="38" fillId="113" borderId="0" xfId="0" applyNumberFormat="1" applyFont="1" applyFill="1" applyAlignment="1">
      <alignment horizontal="center" vertical="center" wrapText="1"/>
    </xf>
    <xf numFmtId="173" fontId="48" fillId="107" borderId="0" xfId="0" applyNumberFormat="1" applyFont="1" applyFill="1" applyAlignment="1">
      <alignment horizontal="center" vertical="center"/>
    </xf>
    <xf numFmtId="173" fontId="53" fillId="118" borderId="23" xfId="0" applyNumberFormat="1" applyFont="1" applyFill="1" applyBorder="1" applyAlignment="1">
      <alignment vertical="center"/>
    </xf>
    <xf numFmtId="173" fontId="53" fillId="118" borderId="24" xfId="0" applyNumberFormat="1" applyFont="1" applyFill="1" applyBorder="1" applyAlignment="1">
      <alignment vertical="center"/>
    </xf>
    <xf numFmtId="173" fontId="54" fillId="0" borderId="36" xfId="250" applyNumberFormat="1" applyFont="1" applyBorder="1" applyAlignment="1" applyProtection="1">
      <alignment horizontal="center" vertical="center"/>
    </xf>
    <xf numFmtId="173" fontId="53" fillId="0" borderId="0" xfId="0" applyNumberFormat="1" applyFont="1" applyAlignment="1">
      <alignment vertical="center"/>
    </xf>
    <xf numFmtId="173" fontId="55" fillId="107" borderId="0" xfId="0" applyNumberFormat="1" applyFont="1" applyFill="1" applyAlignment="1">
      <alignment horizontal="center" vertical="center"/>
    </xf>
    <xf numFmtId="173" fontId="55" fillId="0" borderId="0" xfId="0" applyNumberFormat="1" applyFont="1" applyAlignment="1">
      <alignment horizontal="center" vertical="center"/>
    </xf>
    <xf numFmtId="173" fontId="48" fillId="107" borderId="19" xfId="0" applyNumberFormat="1" applyFont="1" applyFill="1" applyBorder="1" applyAlignment="1">
      <alignment horizontal="center" vertical="center" wrapText="1"/>
    </xf>
    <xf numFmtId="173" fontId="48" fillId="107" borderId="21" xfId="0" applyNumberFormat="1" applyFont="1" applyFill="1" applyBorder="1" applyAlignment="1">
      <alignment horizontal="center" vertical="center" wrapText="1"/>
    </xf>
    <xf numFmtId="173" fontId="2" fillId="0" borderId="0" xfId="0" applyNumberFormat="1" applyFont="1" applyAlignment="1">
      <alignment vertical="center"/>
    </xf>
    <xf numFmtId="173" fontId="56" fillId="0" borderId="69" xfId="0" applyNumberFormat="1" applyFont="1" applyBorder="1" applyAlignment="1">
      <alignment horizontal="center" vertical="center"/>
    </xf>
    <xf numFmtId="173" fontId="56" fillId="0" borderId="70" xfId="0" applyNumberFormat="1" applyFont="1" applyBorder="1" applyAlignment="1">
      <alignment horizontal="center" vertical="center"/>
    </xf>
    <xf numFmtId="173" fontId="22" fillId="0" borderId="0" xfId="0" applyNumberFormat="1" applyFont="1" applyAlignment="1">
      <alignment vertical="center"/>
    </xf>
    <xf numFmtId="173" fontId="57" fillId="0" borderId="69" xfId="0" applyNumberFormat="1" applyFont="1" applyBorder="1" applyAlignment="1">
      <alignment horizontal="center" vertical="center"/>
    </xf>
    <xf numFmtId="173" fontId="57" fillId="0" borderId="70" xfId="0" applyNumberFormat="1" applyFont="1" applyBorder="1" applyAlignment="1">
      <alignment horizontal="center" vertical="center"/>
    </xf>
    <xf numFmtId="173" fontId="58" fillId="0" borderId="0" xfId="0" applyNumberFormat="1" applyFont="1" applyAlignment="1">
      <alignment horizontal="center" vertical="center"/>
    </xf>
    <xf numFmtId="173" fontId="48" fillId="0" borderId="25" xfId="0" applyNumberFormat="1" applyFont="1" applyBorder="1" applyAlignment="1">
      <alignment horizontal="center" vertical="center"/>
    </xf>
    <xf numFmtId="173" fontId="48" fillId="0" borderId="0" xfId="0" applyNumberFormat="1" applyFont="1" applyAlignment="1">
      <alignment horizontal="center" vertical="center"/>
    </xf>
    <xf numFmtId="173" fontId="48" fillId="0" borderId="26" xfId="0" applyNumberFormat="1" applyFont="1" applyBorder="1" applyAlignment="1">
      <alignment horizontal="center" vertical="center"/>
    </xf>
    <xf numFmtId="173" fontId="31" fillId="114" borderId="0" xfId="0" applyNumberFormat="1" applyFont="1" applyFill="1" applyAlignment="1">
      <alignment horizontal="center" vertical="center"/>
    </xf>
    <xf numFmtId="173" fontId="59" fillId="0" borderId="0" xfId="0" applyNumberFormat="1" applyFont="1" applyAlignment="1">
      <alignment horizontal="center" vertical="center"/>
    </xf>
    <xf numFmtId="173" fontId="36" fillId="0" borderId="0" xfId="0" applyNumberFormat="1" applyFont="1" applyAlignment="1">
      <alignment vertical="center"/>
    </xf>
    <xf numFmtId="173" fontId="62" fillId="0" borderId="0" xfId="0" applyNumberFormat="1" applyFont="1" applyAlignment="1">
      <alignment horizontal="center" vertical="center"/>
    </xf>
    <xf numFmtId="173" fontId="116" fillId="116" borderId="0" xfId="0" applyNumberFormat="1" applyFont="1" applyFill="1" applyAlignment="1">
      <alignment horizontal="center" vertical="center"/>
    </xf>
    <xf numFmtId="173" fontId="2" fillId="107" borderId="0" xfId="0" applyNumberFormat="1" applyFont="1" applyFill="1" applyAlignment="1">
      <alignment vertical="center"/>
    </xf>
    <xf numFmtId="173" fontId="53" fillId="118" borderId="27" xfId="0" applyNumberFormat="1" applyFont="1" applyFill="1" applyBorder="1" applyAlignment="1">
      <alignment vertical="center"/>
    </xf>
    <xf numFmtId="173" fontId="53" fillId="118" borderId="28" xfId="0" applyNumberFormat="1" applyFont="1" applyFill="1" applyBorder="1" applyAlignment="1">
      <alignment vertical="center"/>
    </xf>
    <xf numFmtId="173" fontId="48" fillId="107" borderId="25" xfId="0" applyNumberFormat="1" applyFont="1" applyFill="1" applyBorder="1" applyAlignment="1">
      <alignment horizontal="center" vertical="center" wrapText="1"/>
    </xf>
    <xf numFmtId="173" fontId="48" fillId="107" borderId="26" xfId="0" applyNumberFormat="1" applyFont="1" applyFill="1" applyBorder="1" applyAlignment="1">
      <alignment horizontal="center" vertical="center" wrapText="1"/>
    </xf>
    <xf numFmtId="173" fontId="2" fillId="0" borderId="0" xfId="0" applyNumberFormat="1" applyFont="1" applyAlignment="1">
      <alignment horizontal="left" vertical="center"/>
    </xf>
    <xf numFmtId="173" fontId="50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73" fontId="48" fillId="0" borderId="29" xfId="0" applyNumberFormat="1" applyFont="1" applyBorder="1" applyAlignment="1">
      <alignment horizontal="center" vertical="center"/>
    </xf>
    <xf numFmtId="173" fontId="48" fillId="0" borderId="30" xfId="0" applyNumberFormat="1" applyFont="1" applyBorder="1" applyAlignment="1">
      <alignment horizontal="center" vertical="center"/>
    </xf>
    <xf numFmtId="173" fontId="48" fillId="0" borderId="31" xfId="0" applyNumberFormat="1" applyFont="1" applyBorder="1" applyAlignment="1">
      <alignment horizontal="center" vertical="center"/>
    </xf>
    <xf numFmtId="173" fontId="31" fillId="0" borderId="0" xfId="0" applyNumberFormat="1" applyFont="1" applyAlignment="1">
      <alignment horizontal="center" vertical="center"/>
    </xf>
    <xf numFmtId="173" fontId="64" fillId="0" borderId="0" xfId="0" applyNumberFormat="1" applyFont="1" applyAlignment="1">
      <alignment horizontal="center" vertical="center"/>
    </xf>
    <xf numFmtId="173" fontId="53" fillId="0" borderId="32" xfId="0" applyNumberFormat="1" applyFont="1" applyBorder="1" applyAlignment="1">
      <alignment vertical="center"/>
    </xf>
    <xf numFmtId="173" fontId="65" fillId="0" borderId="0" xfId="0" applyNumberFormat="1" applyFont="1" applyAlignment="1">
      <alignment vertical="center"/>
    </xf>
    <xf numFmtId="173" fontId="66" fillId="35" borderId="0" xfId="0" applyNumberFormat="1" applyFont="1" applyFill="1" applyAlignment="1">
      <alignment horizontal="center" vertical="center"/>
    </xf>
    <xf numFmtId="173" fontId="66" fillId="35" borderId="0" xfId="0" applyNumberFormat="1" applyFont="1" applyFill="1" applyAlignment="1">
      <alignment vertical="center"/>
    </xf>
    <xf numFmtId="173" fontId="48" fillId="107" borderId="19" xfId="0" applyNumberFormat="1" applyFont="1" applyFill="1" applyBorder="1" applyAlignment="1">
      <alignment horizontal="center" vertical="center"/>
    </xf>
    <xf numFmtId="173" fontId="48" fillId="107" borderId="20" xfId="0" applyNumberFormat="1" applyFont="1" applyFill="1" applyBorder="1" applyAlignment="1">
      <alignment horizontal="center" vertical="center"/>
    </xf>
    <xf numFmtId="173" fontId="48" fillId="107" borderId="21" xfId="0" applyNumberFormat="1" applyFont="1" applyFill="1" applyBorder="1" applyAlignment="1">
      <alignment horizontal="center" vertical="center"/>
    </xf>
    <xf numFmtId="173" fontId="58" fillId="0" borderId="0" xfId="0" applyNumberFormat="1" applyFont="1" applyAlignment="1">
      <alignment horizontal="right" vertical="center"/>
    </xf>
    <xf numFmtId="173" fontId="22" fillId="0" borderId="32" xfId="0" applyNumberFormat="1" applyFont="1" applyBorder="1" applyAlignment="1">
      <alignment vertical="center"/>
    </xf>
    <xf numFmtId="173" fontId="48" fillId="107" borderId="25" xfId="0" applyNumberFormat="1" applyFont="1" applyFill="1" applyBorder="1" applyAlignment="1">
      <alignment horizontal="center" vertical="center"/>
    </xf>
    <xf numFmtId="173" fontId="48" fillId="107" borderId="0" xfId="0" applyNumberFormat="1" applyFont="1" applyFill="1" applyAlignment="1">
      <alignment horizontal="center" vertical="center"/>
    </xf>
    <xf numFmtId="173" fontId="48" fillId="107" borderId="26" xfId="0" applyNumberFormat="1" applyFont="1" applyFill="1" applyBorder="1" applyAlignment="1">
      <alignment horizontal="center" vertical="center"/>
    </xf>
    <xf numFmtId="173" fontId="55" fillId="113" borderId="0" xfId="0" applyNumberFormat="1" applyFont="1" applyFill="1" applyAlignment="1">
      <alignment horizontal="center" vertical="center"/>
    </xf>
    <xf numFmtId="173" fontId="54" fillId="0" borderId="33" xfId="250" applyNumberFormat="1" applyFont="1" applyBorder="1" applyAlignment="1" applyProtection="1">
      <alignment horizontal="center" vertical="center"/>
    </xf>
    <xf numFmtId="173" fontId="48" fillId="107" borderId="29" xfId="0" applyNumberFormat="1" applyFont="1" applyFill="1" applyBorder="1" applyAlignment="1">
      <alignment horizontal="center" vertical="center" wrapText="1"/>
    </xf>
    <xf numFmtId="173" fontId="48" fillId="107" borderId="31" xfId="0" applyNumberFormat="1" applyFont="1" applyFill="1" applyBorder="1" applyAlignment="1">
      <alignment horizontal="center" vertical="center" wrapText="1"/>
    </xf>
    <xf numFmtId="173" fontId="66" fillId="35" borderId="0" xfId="0" applyNumberFormat="1" applyFont="1" applyFill="1" applyAlignment="1">
      <alignment horizontal="center" vertical="center"/>
    </xf>
    <xf numFmtId="173" fontId="2" fillId="113" borderId="0" xfId="0" applyNumberFormat="1" applyFont="1" applyFill="1" applyAlignment="1">
      <alignment horizontal="center" vertical="center"/>
    </xf>
    <xf numFmtId="173" fontId="22" fillId="0" borderId="0" xfId="0" applyNumberFormat="1" applyFont="1" applyAlignment="1">
      <alignment horizontal="right" vertical="center"/>
    </xf>
    <xf numFmtId="173" fontId="50" fillId="107" borderId="0" xfId="0" applyNumberFormat="1" applyFont="1" applyFill="1" applyAlignment="1">
      <alignment horizontal="center" vertical="center"/>
    </xf>
    <xf numFmtId="173" fontId="67" fillId="107" borderId="0" xfId="0" applyNumberFormat="1" applyFont="1" applyFill="1" applyAlignment="1">
      <alignment vertical="center" wrapText="1"/>
    </xf>
    <xf numFmtId="173" fontId="6" fillId="107" borderId="0" xfId="0" applyNumberFormat="1" applyFont="1" applyFill="1" applyAlignment="1">
      <alignment vertical="center"/>
    </xf>
    <xf numFmtId="173" fontId="2" fillId="0" borderId="0" xfId="0" applyNumberFormat="1" applyFont="1" applyAlignment="1">
      <alignment horizontal="right" vertical="center"/>
    </xf>
    <xf numFmtId="173" fontId="68" fillId="0" borderId="55" xfId="0" applyNumberFormat="1" applyFont="1" applyBorder="1" applyAlignment="1">
      <alignment horizontal="center" vertical="center" wrapText="1"/>
    </xf>
    <xf numFmtId="173" fontId="40" fillId="0" borderId="0" xfId="0" applyNumberFormat="1" applyFont="1" applyAlignment="1">
      <alignment horizontal="right" vertical="center"/>
    </xf>
    <xf numFmtId="173" fontId="31" fillId="0" borderId="0" xfId="0" applyNumberFormat="1" applyFont="1" applyAlignment="1">
      <alignment horizontal="right" vertical="center"/>
    </xf>
    <xf numFmtId="173" fontId="35" fillId="0" borderId="22" xfId="150" applyNumberFormat="1" applyFont="1" applyBorder="1" applyAlignment="1">
      <alignment horizontal="center" vertical="center" shrinkToFit="1"/>
    </xf>
    <xf numFmtId="173" fontId="31" fillId="0" borderId="0" xfId="0" applyNumberFormat="1" applyFont="1" applyAlignment="1">
      <alignment horizontal="left" vertical="center"/>
    </xf>
    <xf numFmtId="173" fontId="40" fillId="0" borderId="0" xfId="0" applyNumberFormat="1" applyFont="1" applyAlignment="1">
      <alignment horizontal="left" vertical="center"/>
    </xf>
    <xf numFmtId="173" fontId="43" fillId="35" borderId="0" xfId="0" applyNumberFormat="1" applyFont="1" applyFill="1" applyAlignment="1">
      <alignment horizontal="center" vertical="center"/>
    </xf>
    <xf numFmtId="173" fontId="117" fillId="42" borderId="33" xfId="138" applyNumberFormat="1" applyFont="1" applyFill="1" applyBorder="1" applyAlignment="1">
      <alignment horizontal="center" vertical="center" shrinkToFit="1"/>
    </xf>
    <xf numFmtId="173" fontId="57" fillId="0" borderId="33" xfId="0" applyNumberFormat="1" applyFont="1" applyBorder="1" applyAlignment="1">
      <alignment horizontal="center" vertical="center"/>
    </xf>
    <xf numFmtId="173" fontId="68" fillId="0" borderId="41" xfId="0" applyNumberFormat="1" applyFont="1" applyBorder="1" applyAlignment="1">
      <alignment horizontal="center" vertical="center" wrapText="1"/>
    </xf>
    <xf numFmtId="173" fontId="58" fillId="0" borderId="33" xfId="138" applyNumberFormat="1" applyFont="1" applyBorder="1" applyAlignment="1">
      <alignment horizontal="center" vertical="center" shrinkToFit="1"/>
    </xf>
    <xf numFmtId="173" fontId="71" fillId="105" borderId="0" xfId="118" applyNumberFormat="1" applyFont="1" applyFill="1" applyAlignment="1">
      <alignment horizontal="center" vertical="center"/>
    </xf>
    <xf numFmtId="173" fontId="34" fillId="0" borderId="19" xfId="0" applyNumberFormat="1" applyFont="1" applyBorder="1" applyAlignment="1">
      <alignment horizontal="center" vertical="center"/>
    </xf>
    <xf numFmtId="173" fontId="34" fillId="0" borderId="20" xfId="0" applyNumberFormat="1" applyFont="1" applyBorder="1" applyAlignment="1">
      <alignment horizontal="center" vertical="center"/>
    </xf>
    <xf numFmtId="173" fontId="34" fillId="0" borderId="21" xfId="0" applyNumberFormat="1" applyFont="1" applyBorder="1" applyAlignment="1">
      <alignment horizontal="center" vertical="center"/>
    </xf>
    <xf numFmtId="173" fontId="117" fillId="42" borderId="71" xfId="138" applyNumberFormat="1" applyFont="1" applyFill="1" applyBorder="1" applyAlignment="1">
      <alignment horizontal="center" vertical="center" shrinkToFit="1"/>
    </xf>
    <xf numFmtId="173" fontId="57" fillId="0" borderId="71" xfId="0" applyNumberFormat="1" applyFont="1" applyBorder="1" applyAlignment="1">
      <alignment horizontal="center" vertical="center"/>
    </xf>
    <xf numFmtId="173" fontId="82" fillId="0" borderId="33" xfId="131" applyNumberFormat="1" applyFont="1" applyBorder="1" applyAlignment="1">
      <alignment horizontal="center" vertical="center"/>
    </xf>
    <xf numFmtId="173" fontId="15" fillId="105" borderId="0" xfId="118" applyNumberFormat="1" applyFont="1" applyFill="1" applyAlignment="1">
      <alignment horizontal="center" vertical="center"/>
    </xf>
    <xf numFmtId="173" fontId="123" fillId="34" borderId="36" xfId="138" applyNumberFormat="1" applyFont="1" applyFill="1" applyBorder="1" applyAlignment="1">
      <alignment horizontal="center" vertical="center" shrinkToFit="1"/>
    </xf>
    <xf numFmtId="173" fontId="34" fillId="0" borderId="25" xfId="0" applyNumberFormat="1" applyFont="1" applyBorder="1" applyAlignment="1">
      <alignment horizontal="center" vertical="center"/>
    </xf>
    <xf numFmtId="173" fontId="34" fillId="0" borderId="0" xfId="0" applyNumberFormat="1" applyFont="1" applyAlignment="1">
      <alignment horizontal="center" vertical="center"/>
    </xf>
    <xf numFmtId="173" fontId="34" fillId="0" borderId="26" xfId="0" applyNumberFormat="1" applyFont="1" applyBorder="1" applyAlignment="1">
      <alignment horizontal="center" vertical="center"/>
    </xf>
    <xf numFmtId="173" fontId="68" fillId="0" borderId="42" xfId="0" applyNumberFormat="1" applyFont="1" applyBorder="1" applyAlignment="1">
      <alignment horizontal="center" vertical="center" wrapText="1"/>
    </xf>
    <xf numFmtId="173" fontId="65" fillId="0" borderId="30" xfId="0" applyNumberFormat="1" applyFont="1" applyBorder="1" applyAlignment="1">
      <alignment vertical="center"/>
    </xf>
    <xf numFmtId="173" fontId="6" fillId="0" borderId="0" xfId="0" applyNumberFormat="1" applyFont="1" applyAlignment="1">
      <alignment horizontal="right" vertical="center"/>
    </xf>
    <xf numFmtId="173" fontId="30" fillId="0" borderId="0" xfId="141" applyNumberFormat="1" applyFont="1" applyAlignment="1">
      <alignment horizontal="right" vertical="center" shrinkToFit="1"/>
    </xf>
    <xf numFmtId="173" fontId="41" fillId="0" borderId="0" xfId="115" applyNumberFormat="1" applyFont="1" applyAlignment="1">
      <alignment horizontal="center" vertical="center"/>
    </xf>
    <xf numFmtId="173" fontId="55" fillId="0" borderId="30" xfId="0" applyNumberFormat="1" applyFont="1" applyBorder="1" applyAlignment="1">
      <alignment horizontal="center" vertical="center"/>
    </xf>
    <xf numFmtId="173" fontId="55" fillId="107" borderId="30" xfId="0" applyNumberFormat="1" applyFont="1" applyFill="1" applyBorder="1" applyAlignment="1">
      <alignment horizontal="center" vertical="center"/>
    </xf>
    <xf numFmtId="173" fontId="82" fillId="0" borderId="71" xfId="131" applyNumberFormat="1" applyFont="1" applyBorder="1" applyAlignment="1">
      <alignment horizontal="center" vertical="center"/>
    </xf>
    <xf numFmtId="173" fontId="72" fillId="0" borderId="76" xfId="0" applyNumberFormat="1" applyFont="1" applyBorder="1" applyAlignment="1">
      <alignment horizontal="center" vertical="center" wrapText="1"/>
    </xf>
    <xf numFmtId="173" fontId="72" fillId="0" borderId="20" xfId="0" applyNumberFormat="1" applyFont="1" applyBorder="1" applyAlignment="1">
      <alignment horizontal="center" vertical="center" wrapText="1"/>
    </xf>
    <xf numFmtId="173" fontId="72" fillId="0" borderId="21" xfId="0" applyNumberFormat="1" applyFont="1" applyBorder="1" applyAlignment="1">
      <alignment horizontal="center" vertical="center" wrapText="1"/>
    </xf>
    <xf numFmtId="173" fontId="22" fillId="0" borderId="29" xfId="0" applyNumberFormat="1" applyFont="1" applyBorder="1" applyAlignment="1">
      <alignment vertical="center"/>
    </xf>
    <xf numFmtId="173" fontId="22" fillId="0" borderId="30" xfId="0" applyNumberFormat="1" applyFont="1" applyBorder="1" applyAlignment="1">
      <alignment vertical="center"/>
    </xf>
    <xf numFmtId="173" fontId="74" fillId="0" borderId="0" xfId="0" applyNumberFormat="1" applyFont="1" applyAlignment="1">
      <alignment horizontal="center" vertical="center"/>
    </xf>
    <xf numFmtId="173" fontId="118" fillId="105" borderId="71" xfId="138" applyNumberFormat="1" applyFont="1" applyFill="1" applyBorder="1" applyAlignment="1">
      <alignment horizontal="center" vertical="center" shrinkToFit="1"/>
    </xf>
    <xf numFmtId="173" fontId="54" fillId="0" borderId="71" xfId="250" applyNumberFormat="1" applyFont="1" applyBorder="1" applyAlignment="1" applyProtection="1">
      <alignment horizontal="center" vertical="center"/>
    </xf>
    <xf numFmtId="173" fontId="103" fillId="0" borderId="0" xfId="0" applyNumberFormat="1" applyFont="1" applyAlignment="1">
      <alignment horizontal="center" vertical="center" shrinkToFit="1"/>
    </xf>
    <xf numFmtId="173" fontId="66" fillId="0" borderId="0" xfId="0" applyNumberFormat="1" applyFont="1" applyAlignment="1">
      <alignment horizontal="center" vertical="center"/>
    </xf>
    <xf numFmtId="173" fontId="72" fillId="0" borderId="32" xfId="0" applyNumberFormat="1" applyFont="1" applyBorder="1" applyAlignment="1">
      <alignment horizontal="center" vertical="center" wrapText="1"/>
    </xf>
    <xf numFmtId="173" fontId="72" fillId="0" borderId="0" xfId="0" applyNumberFormat="1" applyFont="1" applyAlignment="1">
      <alignment horizontal="center" vertical="center" wrapText="1"/>
    </xf>
    <xf numFmtId="173" fontId="72" fillId="0" borderId="26" xfId="0" applyNumberFormat="1" applyFont="1" applyBorder="1" applyAlignment="1">
      <alignment horizontal="center" vertical="center" wrapText="1"/>
    </xf>
    <xf numFmtId="173" fontId="9" fillId="0" borderId="25" xfId="0" applyNumberFormat="1" applyFont="1" applyBorder="1" applyAlignment="1">
      <alignment vertical="center"/>
    </xf>
    <xf numFmtId="173" fontId="9" fillId="0" borderId="26" xfId="0" applyNumberFormat="1" applyFont="1" applyBorder="1" applyAlignment="1">
      <alignment vertical="center"/>
    </xf>
    <xf numFmtId="173" fontId="72" fillId="0" borderId="0" xfId="0" applyNumberFormat="1" applyFont="1" applyAlignment="1">
      <alignment vertical="center"/>
    </xf>
    <xf numFmtId="173" fontId="76" fillId="0" borderId="0" xfId="0" applyNumberFormat="1" applyFont="1" applyAlignment="1">
      <alignment vertical="center"/>
    </xf>
    <xf numFmtId="173" fontId="67" fillId="0" borderId="0" xfId="0" applyNumberFormat="1" applyFont="1" applyAlignment="1">
      <alignment horizontal="center" vertical="center"/>
    </xf>
    <xf numFmtId="173" fontId="36" fillId="0" borderId="0" xfId="0" applyNumberFormat="1" applyFont="1" applyAlignment="1">
      <alignment horizontal="center" vertical="center"/>
    </xf>
    <xf numFmtId="173" fontId="69" fillId="0" borderId="0" xfId="0" applyNumberFormat="1" applyFont="1" applyAlignment="1">
      <alignment horizontal="right" vertical="center"/>
    </xf>
    <xf numFmtId="173" fontId="77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vertical="center"/>
    </xf>
    <xf numFmtId="173" fontId="22" fillId="0" borderId="0" xfId="0" applyNumberFormat="1" applyFont="1" applyAlignment="1" applyProtection="1">
      <alignment vertical="center"/>
      <protection locked="0"/>
    </xf>
    <xf numFmtId="173" fontId="54" fillId="0" borderId="71" xfId="250" applyNumberFormat="1" applyFont="1" applyBorder="1" applyAlignment="1">
      <alignment horizontal="center" vertical="center"/>
      <protection locked="0"/>
    </xf>
    <xf numFmtId="173" fontId="48" fillId="107" borderId="29" xfId="0" applyNumberFormat="1" applyFont="1" applyFill="1" applyBorder="1" applyAlignment="1">
      <alignment horizontal="center" vertical="center"/>
    </xf>
    <xf numFmtId="173" fontId="48" fillId="107" borderId="30" xfId="0" applyNumberFormat="1" applyFont="1" applyFill="1" applyBorder="1" applyAlignment="1">
      <alignment horizontal="center" vertical="center"/>
    </xf>
    <xf numFmtId="173" fontId="48" fillId="107" borderId="31" xfId="0" applyNumberFormat="1" applyFont="1" applyFill="1" applyBorder="1" applyAlignment="1">
      <alignment horizontal="center" vertical="center"/>
    </xf>
    <xf numFmtId="173" fontId="34" fillId="0" borderId="29" xfId="0" applyNumberFormat="1" applyFont="1" applyBorder="1" applyAlignment="1">
      <alignment horizontal="center" vertical="center"/>
    </xf>
    <xf numFmtId="173" fontId="34" fillId="0" borderId="30" xfId="0" applyNumberFormat="1" applyFont="1" applyBorder="1" applyAlignment="1">
      <alignment horizontal="center" vertical="center"/>
    </xf>
    <xf numFmtId="173" fontId="34" fillId="0" borderId="31" xfId="0" applyNumberFormat="1" applyFont="1" applyBorder="1" applyAlignment="1">
      <alignment horizontal="center" vertical="center"/>
    </xf>
    <xf numFmtId="173" fontId="55" fillId="0" borderId="0" xfId="0" applyNumberFormat="1" applyFont="1" applyAlignment="1">
      <alignment vertical="center"/>
    </xf>
    <xf numFmtId="173" fontId="9" fillId="0" borderId="41" xfId="0" applyNumberFormat="1" applyFont="1" applyBorder="1" applyAlignment="1">
      <alignment vertical="center"/>
    </xf>
    <xf numFmtId="173" fontId="86" fillId="0" borderId="71" xfId="131" applyNumberFormat="1" applyFont="1" applyBorder="1" applyAlignment="1">
      <alignment horizontal="center" vertical="center"/>
    </xf>
    <xf numFmtId="173" fontId="53" fillId="118" borderId="38" xfId="0" applyNumberFormat="1" applyFont="1" applyFill="1" applyBorder="1" applyAlignment="1">
      <alignment vertical="center"/>
    </xf>
    <xf numFmtId="173" fontId="53" fillId="118" borderId="40" xfId="0" applyNumberFormat="1" applyFont="1" applyFill="1" applyBorder="1" applyAlignment="1">
      <alignment vertical="center"/>
    </xf>
    <xf numFmtId="173" fontId="6" fillId="0" borderId="0" xfId="0" applyNumberFormat="1" applyFont="1" applyAlignment="1">
      <alignment vertical="center"/>
    </xf>
    <xf numFmtId="173" fontId="52" fillId="0" borderId="71" xfId="0" applyNumberFormat="1" applyFont="1" applyBorder="1" applyAlignment="1">
      <alignment horizontal="center" vertical="center"/>
    </xf>
    <xf numFmtId="173" fontId="9" fillId="0" borderId="42" xfId="0" applyNumberFormat="1" applyFont="1" applyBorder="1" applyAlignment="1">
      <alignment vertical="center"/>
    </xf>
    <xf numFmtId="173" fontId="50" fillId="107" borderId="0" xfId="0" applyNumberFormat="1" applyFont="1" applyFill="1" applyAlignment="1">
      <alignment vertical="center"/>
    </xf>
    <xf numFmtId="173" fontId="58" fillId="0" borderId="71" xfId="142" applyNumberFormat="1" applyFont="1" applyBorder="1" applyAlignment="1" applyProtection="1">
      <alignment horizontal="center" vertical="center" shrinkToFit="1"/>
    </xf>
    <xf numFmtId="173" fontId="50" fillId="0" borderId="0" xfId="0" applyNumberFormat="1" applyFont="1" applyAlignment="1">
      <alignment vertical="center"/>
    </xf>
    <xf numFmtId="173" fontId="9" fillId="0" borderId="19" xfId="0" applyNumberFormat="1" applyFont="1" applyBorder="1" applyAlignment="1">
      <alignment vertical="center"/>
    </xf>
    <xf numFmtId="173" fontId="9" fillId="0" borderId="21" xfId="0" applyNumberFormat="1" applyFont="1" applyBorder="1" applyAlignment="1">
      <alignment vertical="center"/>
    </xf>
    <xf numFmtId="173" fontId="78" fillId="35" borderId="19" xfId="0" applyNumberFormat="1" applyFont="1" applyFill="1" applyBorder="1" applyAlignment="1">
      <alignment horizontal="center" vertical="center" wrapText="1"/>
    </xf>
    <xf numFmtId="173" fontId="78" fillId="35" borderId="21" xfId="0" applyNumberFormat="1" applyFont="1" applyFill="1" applyBorder="1" applyAlignment="1">
      <alignment horizontal="center" vertical="center" wrapText="1"/>
    </xf>
    <xf numFmtId="173" fontId="48" fillId="107" borderId="19" xfId="0" applyNumberFormat="1" applyFont="1" applyFill="1" applyBorder="1" applyAlignment="1">
      <alignment horizontal="center" vertical="center"/>
    </xf>
    <xf numFmtId="173" fontId="48" fillId="107" borderId="20" xfId="0" applyNumberFormat="1" applyFont="1" applyFill="1" applyBorder="1" applyAlignment="1">
      <alignment horizontal="center" vertical="center"/>
    </xf>
    <xf numFmtId="173" fontId="48" fillId="107" borderId="21" xfId="0" applyNumberFormat="1" applyFont="1" applyFill="1" applyBorder="1" applyAlignment="1">
      <alignment horizontal="center" vertical="center"/>
    </xf>
    <xf numFmtId="173" fontId="78" fillId="35" borderId="25" xfId="0" applyNumberFormat="1" applyFont="1" applyFill="1" applyBorder="1" applyAlignment="1">
      <alignment horizontal="center" vertical="center" wrapText="1"/>
    </xf>
    <xf numFmtId="173" fontId="78" fillId="35" borderId="26" xfId="0" applyNumberFormat="1" applyFont="1" applyFill="1" applyBorder="1" applyAlignment="1">
      <alignment horizontal="center" vertical="center" wrapText="1"/>
    </xf>
    <xf numFmtId="173" fontId="58" fillId="0" borderId="0" xfId="115" applyNumberFormat="1" applyFont="1" applyAlignment="1">
      <alignment horizontal="center" vertical="center"/>
    </xf>
    <xf numFmtId="173" fontId="48" fillId="107" borderId="25" xfId="0" applyNumberFormat="1" applyFont="1" applyFill="1" applyBorder="1" applyAlignment="1">
      <alignment horizontal="center" vertical="center"/>
    </xf>
    <xf numFmtId="173" fontId="48" fillId="107" borderId="26" xfId="0" applyNumberFormat="1" applyFont="1" applyFill="1" applyBorder="1" applyAlignment="1">
      <alignment horizontal="center" vertical="center"/>
    </xf>
    <xf numFmtId="173" fontId="58" fillId="0" borderId="33" xfId="142" applyNumberFormat="1" applyFont="1" applyBorder="1" applyAlignment="1" applyProtection="1">
      <alignment horizontal="center" vertical="center" shrinkToFit="1"/>
    </xf>
    <xf numFmtId="173" fontId="81" fillId="0" borderId="33" xfId="0" applyNumberFormat="1" applyFont="1" applyBorder="1" applyAlignment="1">
      <alignment horizontal="center" vertical="center"/>
    </xf>
    <xf numFmtId="173" fontId="80" fillId="0" borderId="0" xfId="0" applyNumberFormat="1" applyFont="1" applyAlignment="1">
      <alignment horizontal="center" vertical="center"/>
    </xf>
    <xf numFmtId="173" fontId="48" fillId="107" borderId="34" xfId="0" applyNumberFormat="1" applyFont="1" applyFill="1" applyBorder="1" applyAlignment="1">
      <alignment horizontal="center" vertical="center"/>
    </xf>
    <xf numFmtId="173" fontId="48" fillId="107" borderId="35" xfId="0" applyNumberFormat="1" applyFont="1" applyFill="1" applyBorder="1" applyAlignment="1">
      <alignment horizontal="center" vertical="center"/>
    </xf>
    <xf numFmtId="173" fontId="48" fillId="107" borderId="24" xfId="0" applyNumberFormat="1" applyFont="1" applyFill="1" applyBorder="1" applyAlignment="1">
      <alignment horizontal="center" vertical="center"/>
    </xf>
    <xf numFmtId="173" fontId="25" fillId="0" borderId="73" xfId="0" applyNumberFormat="1" applyFont="1" applyBorder="1" applyAlignment="1">
      <alignment horizontal="center" vertical="center"/>
    </xf>
    <xf numFmtId="173" fontId="81" fillId="0" borderId="71" xfId="0" applyNumberFormat="1" applyFont="1" applyBorder="1" applyAlignment="1">
      <alignment horizontal="center" vertical="center"/>
    </xf>
    <xf numFmtId="173" fontId="49" fillId="113" borderId="32" xfId="0" applyNumberFormat="1" applyFont="1" applyFill="1" applyBorder="1" applyAlignment="1">
      <alignment vertical="center"/>
    </xf>
    <xf numFmtId="173" fontId="65" fillId="0" borderId="20" xfId="0" applyNumberFormat="1" applyFont="1" applyBorder="1" applyAlignment="1">
      <alignment vertical="center"/>
    </xf>
    <xf numFmtId="173" fontId="83" fillId="35" borderId="0" xfId="0" applyNumberFormat="1" applyFont="1" applyFill="1" applyAlignment="1">
      <alignment horizontal="center" vertical="center"/>
    </xf>
    <xf numFmtId="173" fontId="84" fillId="0" borderId="0" xfId="0" applyNumberFormat="1" applyFont="1" applyAlignment="1">
      <alignment vertical="center"/>
    </xf>
    <xf numFmtId="173" fontId="78" fillId="35" borderId="29" xfId="0" applyNumberFormat="1" applyFont="1" applyFill="1" applyBorder="1" applyAlignment="1">
      <alignment horizontal="center" vertical="center" wrapText="1"/>
    </xf>
    <xf numFmtId="173" fontId="78" fillId="35" borderId="31" xfId="0" applyNumberFormat="1" applyFont="1" applyFill="1" applyBorder="1" applyAlignment="1">
      <alignment horizontal="center" vertical="center" wrapText="1"/>
    </xf>
    <xf numFmtId="173" fontId="85" fillId="107" borderId="0" xfId="0" applyNumberFormat="1" applyFont="1" applyFill="1" applyAlignment="1">
      <alignment vertical="center"/>
    </xf>
    <xf numFmtId="173" fontId="70" fillId="0" borderId="33" xfId="250" applyNumberFormat="1" applyFont="1" applyBorder="1" applyAlignment="1" applyProtection="1">
      <alignment horizontal="center" vertical="center"/>
    </xf>
    <xf numFmtId="173" fontId="48" fillId="107" borderId="27" xfId="0" applyNumberFormat="1" applyFont="1" applyFill="1" applyBorder="1" applyAlignment="1">
      <alignment horizontal="center" vertical="center"/>
    </xf>
    <xf numFmtId="173" fontId="48" fillId="107" borderId="28" xfId="0" applyNumberFormat="1" applyFont="1" applyFill="1" applyBorder="1" applyAlignment="1">
      <alignment horizontal="center" vertical="center"/>
    </xf>
    <xf numFmtId="173" fontId="65" fillId="114" borderId="0" xfId="0" applyNumberFormat="1" applyFont="1" applyFill="1" applyAlignment="1">
      <alignment vertical="center"/>
    </xf>
    <xf numFmtId="173" fontId="32" fillId="35" borderId="0" xfId="0" applyNumberFormat="1" applyFont="1" applyFill="1" applyAlignment="1">
      <alignment horizontal="center" vertical="center"/>
    </xf>
    <xf numFmtId="173" fontId="22" fillId="0" borderId="0" xfId="0" applyNumberFormat="1" applyFont="1" applyAlignment="1">
      <alignment horizontal="left" vertical="center" textRotation="180"/>
    </xf>
    <xf numFmtId="173" fontId="48" fillId="107" borderId="29" xfId="0" applyNumberFormat="1" applyFont="1" applyFill="1" applyBorder="1" applyAlignment="1">
      <alignment horizontal="center" vertical="center"/>
    </xf>
    <xf numFmtId="173" fontId="48" fillId="107" borderId="30" xfId="0" applyNumberFormat="1" applyFont="1" applyFill="1" applyBorder="1" applyAlignment="1">
      <alignment horizontal="center" vertical="center"/>
    </xf>
    <xf numFmtId="173" fontId="48" fillId="107" borderId="31" xfId="0" applyNumberFormat="1" applyFont="1" applyFill="1" applyBorder="1" applyAlignment="1">
      <alignment horizontal="center" vertical="center"/>
    </xf>
    <xf numFmtId="173" fontId="120" fillId="0" borderId="0" xfId="0" applyNumberFormat="1" applyFont="1" applyAlignment="1">
      <alignment vertical="center"/>
    </xf>
    <xf numFmtId="173" fontId="121" fillId="119" borderId="71" xfId="142" applyNumberFormat="1" applyFont="1" applyFill="1" applyBorder="1" applyAlignment="1" applyProtection="1">
      <alignment horizontal="center" vertical="center" shrinkToFit="1"/>
    </xf>
    <xf numFmtId="173" fontId="120" fillId="0" borderId="0" xfId="0" applyNumberFormat="1" applyFont="1" applyAlignment="1">
      <alignment horizontal="left" vertical="center"/>
    </xf>
    <xf numFmtId="173" fontId="94" fillId="0" borderId="0" xfId="0" applyNumberFormat="1" applyFont="1" applyAlignment="1">
      <alignment horizontal="center" vertical="center"/>
    </xf>
    <xf numFmtId="173" fontId="22" fillId="0" borderId="39" xfId="0" applyNumberFormat="1" applyFont="1" applyBorder="1" applyAlignment="1">
      <alignment horizontal="left" vertical="center" textRotation="180"/>
    </xf>
    <xf numFmtId="173" fontId="58" fillId="0" borderId="71" xfId="138" applyNumberFormat="1" applyFont="1" applyBorder="1" applyAlignment="1">
      <alignment horizontal="center" vertical="center" shrinkToFit="1"/>
    </xf>
    <xf numFmtId="173" fontId="70" fillId="0" borderId="71" xfId="250" applyNumberFormat="1" applyFont="1" applyBorder="1" applyAlignment="1" applyProtection="1">
      <alignment horizontal="center" vertical="center"/>
    </xf>
    <xf numFmtId="173" fontId="66" fillId="35" borderId="72" xfId="0" applyNumberFormat="1" applyFont="1" applyFill="1" applyBorder="1" applyAlignment="1" applyProtection="1">
      <alignment horizontal="center" vertical="center"/>
      <protection locked="0"/>
    </xf>
    <xf numFmtId="173" fontId="114" fillId="115" borderId="36" xfId="142" applyNumberFormat="1" applyFont="1" applyFill="1" applyBorder="1" applyAlignment="1" applyProtection="1">
      <alignment horizontal="center" vertical="center" shrinkToFit="1"/>
    </xf>
    <xf numFmtId="173" fontId="122" fillId="0" borderId="0" xfId="0" applyNumberFormat="1" applyFont="1" applyAlignment="1">
      <alignment vertical="center"/>
    </xf>
    <xf numFmtId="173" fontId="52" fillId="0" borderId="33" xfId="250" applyNumberFormat="1" applyFont="1" applyBorder="1" applyAlignment="1" applyProtection="1">
      <alignment horizontal="center" vertical="center"/>
    </xf>
    <xf numFmtId="173" fontId="86" fillId="0" borderId="36" xfId="131" applyNumberFormat="1" applyFont="1" applyBorder="1" applyAlignment="1">
      <alignment horizontal="center" vertical="center"/>
    </xf>
    <xf numFmtId="173" fontId="53" fillId="118" borderId="34" xfId="0" applyNumberFormat="1" applyFont="1" applyFill="1" applyBorder="1" applyAlignment="1">
      <alignment vertical="center"/>
    </xf>
    <xf numFmtId="173" fontId="91" fillId="0" borderId="0" xfId="0" applyNumberFormat="1" applyFont="1" applyAlignment="1">
      <alignment horizontal="left" vertical="center"/>
    </xf>
    <xf numFmtId="173" fontId="92" fillId="120" borderId="0" xfId="141" applyNumberFormat="1" applyFont="1" applyFill="1" applyAlignment="1">
      <alignment horizontal="center" vertical="center" shrinkToFit="1"/>
    </xf>
    <xf numFmtId="173" fontId="83" fillId="35" borderId="0" xfId="0" applyNumberFormat="1" applyFont="1" applyFill="1" applyAlignment="1">
      <alignment horizontal="center" vertical="center"/>
    </xf>
    <xf numFmtId="173" fontId="52" fillId="0" borderId="71" xfId="250" applyNumberFormat="1" applyFont="1" applyBorder="1" applyAlignment="1" applyProtection="1">
      <alignment horizontal="center" vertical="center"/>
    </xf>
    <xf numFmtId="173" fontId="48" fillId="107" borderId="38" xfId="0" applyNumberFormat="1" applyFont="1" applyFill="1" applyBorder="1" applyAlignment="1">
      <alignment horizontal="center" vertical="center"/>
    </xf>
    <xf numFmtId="173" fontId="48" fillId="107" borderId="39" xfId="0" applyNumberFormat="1" applyFont="1" applyFill="1" applyBorder="1" applyAlignment="1">
      <alignment horizontal="center" vertical="center"/>
    </xf>
    <xf numFmtId="173" fontId="48" fillId="107" borderId="40" xfId="0" applyNumberFormat="1" applyFont="1" applyFill="1" applyBorder="1" applyAlignment="1">
      <alignment horizontal="center" vertical="center"/>
    </xf>
    <xf numFmtId="173" fontId="120" fillId="120" borderId="0" xfId="141" applyNumberFormat="1" applyFont="1" applyFill="1" applyAlignment="1">
      <alignment horizontal="center" vertical="center" shrinkToFit="1"/>
    </xf>
    <xf numFmtId="173" fontId="41" fillId="0" borderId="0" xfId="0" applyNumberFormat="1" applyFont="1" applyAlignment="1">
      <alignment horizontal="left" vertical="center"/>
    </xf>
    <xf numFmtId="173" fontId="0" fillId="0" borderId="0" xfId="0" applyNumberFormat="1"/>
    <xf numFmtId="173" fontId="93" fillId="0" borderId="71" xfId="131" applyNumberFormat="1" applyFont="1" applyBorder="1" applyAlignment="1">
      <alignment horizontal="center" vertical="center"/>
    </xf>
    <xf numFmtId="173" fontId="165" fillId="107" borderId="19" xfId="0" applyNumberFormat="1" applyFont="1" applyFill="1" applyBorder="1" applyAlignment="1">
      <alignment horizontal="center" vertical="center"/>
    </xf>
    <xf numFmtId="173" fontId="165" fillId="107" borderId="20" xfId="0" applyNumberFormat="1" applyFont="1" applyFill="1" applyBorder="1" applyAlignment="1">
      <alignment horizontal="center" vertical="center"/>
    </xf>
    <xf numFmtId="173" fontId="32" fillId="0" borderId="56" xfId="0" applyNumberFormat="1" applyFont="1" applyBorder="1" applyAlignment="1">
      <alignment horizontal="center" vertical="center"/>
    </xf>
    <xf numFmtId="173" fontId="95" fillId="0" borderId="0" xfId="0" applyNumberFormat="1" applyFont="1" applyAlignment="1">
      <alignment horizontal="center" vertical="center"/>
    </xf>
    <xf numFmtId="173" fontId="66" fillId="35" borderId="0" xfId="0" applyNumberFormat="1" applyFont="1" applyFill="1" applyAlignment="1" applyProtection="1">
      <alignment horizontal="center" vertical="center"/>
      <protection locked="0"/>
    </xf>
    <xf numFmtId="173" fontId="121" fillId="119" borderId="33" xfId="142" applyNumberFormat="1" applyFont="1" applyFill="1" applyBorder="1" applyAlignment="1" applyProtection="1">
      <alignment horizontal="center" vertical="center" shrinkToFit="1"/>
    </xf>
    <xf numFmtId="173" fontId="165" fillId="107" borderId="25" xfId="0" applyNumberFormat="1" applyFont="1" applyFill="1" applyBorder="1" applyAlignment="1">
      <alignment horizontal="center" vertical="center"/>
    </xf>
    <xf numFmtId="173" fontId="165" fillId="107" borderId="0" xfId="0" applyNumberFormat="1" applyFont="1" applyFill="1" applyAlignment="1">
      <alignment horizontal="center" vertical="center"/>
    </xf>
    <xf numFmtId="173" fontId="166" fillId="0" borderId="0" xfId="0" applyNumberFormat="1" applyFont="1" applyAlignment="1">
      <alignment horizontal="center" vertical="center"/>
    </xf>
    <xf numFmtId="173" fontId="167" fillId="0" borderId="0" xfId="0" applyNumberFormat="1" applyFont="1" applyAlignment="1">
      <alignment horizontal="center" vertical="center"/>
    </xf>
    <xf numFmtId="173" fontId="63" fillId="0" borderId="0" xfId="0" applyNumberFormat="1" applyFont="1" applyAlignment="1">
      <alignment horizontal="center" vertical="center"/>
    </xf>
    <xf numFmtId="173" fontId="87" fillId="121" borderId="0" xfId="141" applyNumberFormat="1" applyFont="1" applyFill="1" applyAlignment="1">
      <alignment horizontal="center" vertical="center" shrinkToFit="1"/>
    </xf>
    <xf numFmtId="173" fontId="115" fillId="117" borderId="71" xfId="142" applyNumberFormat="1" applyFont="1" applyFill="1" applyBorder="1" applyAlignment="1" applyProtection="1">
      <alignment horizontal="center" vertical="center" shrinkToFit="1"/>
    </xf>
    <xf numFmtId="173" fontId="119" fillId="122" borderId="71" xfId="142" applyNumberFormat="1" applyFont="1" applyFill="1" applyBorder="1" applyAlignment="1" applyProtection="1">
      <alignment horizontal="center" vertical="center" shrinkToFit="1"/>
    </xf>
    <xf numFmtId="173" fontId="120" fillId="121" borderId="0" xfId="141" applyNumberFormat="1" applyFont="1" applyFill="1" applyAlignment="1">
      <alignment horizontal="center" vertical="center" shrinkToFit="1"/>
    </xf>
    <xf numFmtId="173" fontId="123" fillId="74" borderId="71" xfId="138" applyNumberFormat="1" applyFont="1" applyFill="1" applyBorder="1" applyAlignment="1">
      <alignment horizontal="center" vertical="center" shrinkToFit="1"/>
    </xf>
    <xf numFmtId="173" fontId="86" fillId="0" borderId="71" xfId="131" applyNumberFormat="1" applyFont="1" applyBorder="1" applyAlignment="1" applyProtection="1">
      <alignment horizontal="center" vertical="center"/>
      <protection locked="0"/>
    </xf>
    <xf numFmtId="173" fontId="40" fillId="0" borderId="0" xfId="0" applyNumberFormat="1" applyFont="1" applyAlignment="1">
      <alignment horizontal="center" vertical="center"/>
    </xf>
    <xf numFmtId="173" fontId="96" fillId="0" borderId="0" xfId="0" applyNumberFormat="1" applyFont="1" applyAlignment="1">
      <alignment horizontal="center" vertical="center"/>
    </xf>
    <xf numFmtId="173" fontId="97" fillId="123" borderId="0" xfId="0" applyNumberFormat="1" applyFont="1" applyFill="1" applyAlignment="1">
      <alignment horizontal="center" vertical="center"/>
    </xf>
    <xf numFmtId="173" fontId="66" fillId="0" borderId="72" xfId="0" applyNumberFormat="1" applyFont="1" applyBorder="1" applyAlignment="1" applyProtection="1">
      <alignment horizontal="center" vertical="center"/>
      <protection locked="0"/>
    </xf>
    <xf numFmtId="173" fontId="120" fillId="123" borderId="0" xfId="0" applyNumberFormat="1" applyFont="1" applyFill="1" applyAlignment="1">
      <alignment horizontal="center" vertical="center"/>
    </xf>
    <xf numFmtId="173" fontId="123" fillId="70" borderId="36" xfId="138" applyNumberFormat="1" applyFont="1" applyFill="1" applyBorder="1" applyAlignment="1">
      <alignment horizontal="center" vertical="center" shrinkToFit="1"/>
    </xf>
    <xf numFmtId="173" fontId="84" fillId="35" borderId="37" xfId="0" applyNumberFormat="1" applyFont="1" applyFill="1" applyBorder="1" applyAlignment="1">
      <alignment horizontal="center" vertical="center"/>
    </xf>
    <xf numFmtId="173" fontId="98" fillId="107" borderId="0" xfId="0" applyNumberFormat="1" applyFont="1" applyFill="1" applyAlignment="1">
      <alignment horizontal="center" vertical="center" shrinkToFit="1"/>
    </xf>
    <xf numFmtId="173" fontId="73" fillId="0" borderId="0" xfId="141" applyNumberFormat="1" applyFont="1" applyAlignment="1">
      <alignment horizontal="left" vertical="center" shrinkToFit="1"/>
    </xf>
    <xf numFmtId="173" fontId="92" fillId="121" borderId="0" xfId="141" applyNumberFormat="1" applyFont="1" applyFill="1" applyAlignment="1">
      <alignment horizontal="center" vertical="center" shrinkToFit="1"/>
    </xf>
    <xf numFmtId="173" fontId="49" fillId="0" borderId="0" xfId="0" applyNumberFormat="1" applyFont="1" applyAlignment="1">
      <alignment horizontal="center" vertical="center"/>
    </xf>
    <xf numFmtId="173" fontId="121" fillId="124" borderId="71" xfId="141" applyNumberFormat="1" applyFont="1" applyFill="1" applyBorder="1" applyAlignment="1">
      <alignment horizontal="center" vertical="center" shrinkToFit="1"/>
    </xf>
    <xf numFmtId="173" fontId="35" fillId="0" borderId="45" xfId="152" applyNumberFormat="1" applyFont="1" applyBorder="1" applyAlignment="1" applyProtection="1">
      <alignment horizontal="center" vertical="center" shrinkToFit="1"/>
    </xf>
    <xf numFmtId="173" fontId="99" fillId="105" borderId="0" xfId="118" applyNumberFormat="1" applyFont="1" applyFill="1" applyAlignment="1">
      <alignment horizontal="center" vertical="center"/>
    </xf>
    <xf numFmtId="173" fontId="125" fillId="68" borderId="71" xfId="138" applyNumberFormat="1" applyFont="1" applyFill="1" applyBorder="1" applyAlignment="1">
      <alignment horizontal="center" vertical="center" shrinkToFit="1"/>
    </xf>
    <xf numFmtId="173" fontId="88" fillId="0" borderId="0" xfId="0" applyNumberFormat="1" applyFont="1" applyAlignment="1">
      <alignment horizontal="left" vertical="center"/>
    </xf>
    <xf numFmtId="173" fontId="39" fillId="0" borderId="0" xfId="0" applyNumberFormat="1" applyFont="1" applyAlignment="1">
      <alignment horizontal="center" vertical="center"/>
    </xf>
    <xf numFmtId="173" fontId="91" fillId="0" borderId="0" xfId="0" applyNumberFormat="1" applyFont="1" applyAlignment="1">
      <alignment horizontal="center" vertical="center"/>
    </xf>
    <xf numFmtId="173" fontId="126" fillId="0" borderId="0" xfId="0" applyNumberFormat="1" applyFont="1" applyAlignment="1">
      <alignment vertical="center"/>
    </xf>
    <xf numFmtId="173" fontId="101" fillId="0" borderId="70" xfId="0" applyNumberFormat="1" applyFont="1" applyBorder="1" applyAlignment="1">
      <alignment horizontal="center" vertical="center"/>
    </xf>
    <xf numFmtId="173" fontId="80" fillId="0" borderId="0" xfId="0" applyNumberFormat="1" applyFont="1" applyAlignment="1">
      <alignment horizontal="right" vertical="center"/>
    </xf>
    <xf numFmtId="173" fontId="89" fillId="0" borderId="0" xfId="0" applyNumberFormat="1" applyFont="1" applyAlignment="1">
      <alignment vertical="center"/>
    </xf>
    <xf numFmtId="173" fontId="25" fillId="0" borderId="56" xfId="0" applyNumberFormat="1" applyFont="1" applyBorder="1" applyAlignment="1">
      <alignment horizontal="center" vertical="center"/>
    </xf>
    <xf numFmtId="173" fontId="127" fillId="0" borderId="0" xfId="251" applyNumberFormat="1" applyFont="1" applyAlignment="1" applyProtection="1">
      <alignment vertical="center"/>
    </xf>
    <xf numFmtId="173" fontId="166" fillId="0" borderId="0" xfId="0" applyNumberFormat="1" applyFont="1" applyAlignment="1">
      <alignment horizontal="center" vertical="center"/>
    </xf>
    <xf numFmtId="173" fontId="30" fillId="0" borderId="0" xfId="0" applyNumberFormat="1" applyFont="1" applyAlignment="1">
      <alignment horizontal="center" vertical="center"/>
    </xf>
    <xf numFmtId="173" fontId="103" fillId="35" borderId="0" xfId="142" applyNumberFormat="1" applyFont="1" applyFill="1" applyAlignment="1" applyProtection="1">
      <alignment horizontal="center" vertical="center"/>
    </xf>
    <xf numFmtId="173" fontId="106" fillId="0" borderId="56" xfId="0" applyNumberFormat="1" applyFont="1" applyBorder="1" applyAlignment="1">
      <alignment horizontal="center" vertical="center"/>
    </xf>
    <xf numFmtId="173" fontId="109" fillId="0" borderId="0" xfId="0" applyNumberFormat="1" applyFont="1" applyAlignment="1">
      <alignment vertical="center"/>
    </xf>
    <xf numFmtId="173" fontId="60" fillId="116" borderId="0" xfId="0" applyNumberFormat="1" applyFont="1" applyFill="1" applyAlignment="1">
      <alignment horizontal="center" vertical="center"/>
    </xf>
    <xf numFmtId="173" fontId="105" fillId="0" borderId="0" xfId="0" applyNumberFormat="1" applyFont="1" applyAlignment="1">
      <alignment vertical="center"/>
    </xf>
    <xf numFmtId="173" fontId="106" fillId="0" borderId="73" xfId="0" applyNumberFormat="1" applyFont="1" applyBorder="1" applyAlignment="1" applyProtection="1">
      <alignment horizontal="center" vertical="center"/>
      <protection locked="0"/>
    </xf>
    <xf numFmtId="173" fontId="54" fillId="0" borderId="74" xfId="250" applyNumberFormat="1" applyFont="1" applyBorder="1" applyAlignment="1" applyProtection="1">
      <alignment horizontal="center" vertical="center"/>
    </xf>
    <xf numFmtId="173" fontId="35" fillId="0" borderId="57" xfId="150" applyNumberFormat="1" applyFont="1" applyBorder="1" applyAlignment="1">
      <alignment horizontal="center" vertical="center" shrinkToFit="1"/>
    </xf>
    <xf numFmtId="173" fontId="35" fillId="0" borderId="58" xfId="150" applyNumberFormat="1" applyFont="1" applyBorder="1" applyAlignment="1">
      <alignment horizontal="center" vertical="center" shrinkToFit="1"/>
    </xf>
    <xf numFmtId="173" fontId="119" fillId="122" borderId="74" xfId="142" applyNumberFormat="1" applyFont="1" applyFill="1" applyBorder="1" applyAlignment="1" applyProtection="1">
      <alignment horizontal="center" vertical="center" shrinkToFit="1"/>
    </xf>
    <xf numFmtId="173" fontId="91" fillId="0" borderId="0" xfId="0" applyNumberFormat="1" applyFont="1" applyAlignment="1">
      <alignment vertical="center"/>
    </xf>
    <xf numFmtId="173" fontId="124" fillId="41" borderId="71" xfId="138" applyNumberFormat="1" applyFont="1" applyFill="1" applyBorder="1" applyAlignment="1">
      <alignment horizontal="center" vertical="center" shrinkToFit="1"/>
    </xf>
    <xf numFmtId="173" fontId="61" fillId="0" borderId="0" xfId="0" applyNumberFormat="1" applyFont="1" applyAlignment="1">
      <alignment horizontal="right" vertical="center"/>
    </xf>
    <xf numFmtId="173" fontId="90" fillId="0" borderId="0" xfId="0" applyNumberFormat="1" applyFont="1" applyAlignment="1">
      <alignment vertical="center"/>
    </xf>
    <xf numFmtId="173" fontId="66" fillId="0" borderId="0" xfId="160" applyNumberFormat="1" applyFont="1" applyAlignment="1">
      <alignment horizontal="center" vertical="center"/>
    </xf>
    <xf numFmtId="173" fontId="94" fillId="0" borderId="0" xfId="0" applyNumberFormat="1" applyFont="1" applyAlignment="1" applyProtection="1">
      <alignment horizontal="center" vertical="center"/>
      <protection locked="0"/>
    </xf>
    <xf numFmtId="173" fontId="35" fillId="35" borderId="75" xfId="0" applyNumberFormat="1" applyFont="1" applyFill="1" applyBorder="1" applyAlignment="1">
      <alignment horizontal="center" vertical="center" textRotation="90" wrapText="1"/>
    </xf>
    <xf numFmtId="173" fontId="104" fillId="0" borderId="71" xfId="250" applyNumberFormat="1" applyFont="1" applyBorder="1" applyAlignment="1" applyProtection="1">
      <alignment horizontal="center" vertical="center"/>
    </xf>
    <xf numFmtId="173" fontId="106" fillId="0" borderId="73" xfId="0" applyNumberFormat="1" applyFont="1" applyBorder="1" applyAlignment="1">
      <alignment horizontal="center" vertical="center"/>
    </xf>
    <xf numFmtId="173" fontId="116" fillId="0" borderId="0" xfId="0" applyNumberFormat="1" applyFont="1" applyAlignment="1">
      <alignment horizontal="center" vertical="center"/>
    </xf>
    <xf numFmtId="173" fontId="107" fillId="0" borderId="0" xfId="0" applyNumberFormat="1" applyFont="1" applyAlignment="1">
      <alignment horizontal="center" vertical="center"/>
    </xf>
    <xf numFmtId="173" fontId="105" fillId="0" borderId="77" xfId="0" applyNumberFormat="1" applyFont="1" applyBorder="1" applyAlignment="1">
      <alignment horizontal="center" vertical="center"/>
    </xf>
    <xf numFmtId="173" fontId="35" fillId="35" borderId="15" xfId="0" applyNumberFormat="1" applyFont="1" applyFill="1" applyBorder="1" applyAlignment="1">
      <alignment horizontal="center" vertical="center" textRotation="90" wrapText="1"/>
    </xf>
    <xf numFmtId="173" fontId="54" fillId="0" borderId="33" xfId="250" applyNumberFormat="1" applyFont="1" applyBorder="1" applyAlignment="1">
      <alignment horizontal="center" vertical="center"/>
      <protection locked="0"/>
    </xf>
    <xf numFmtId="173" fontId="124" fillId="41" borderId="33" xfId="138" applyNumberFormat="1" applyFont="1" applyFill="1" applyBorder="1" applyAlignment="1">
      <alignment horizontal="center" vertical="center" shrinkToFit="1"/>
    </xf>
    <xf numFmtId="173" fontId="104" fillId="0" borderId="33" xfId="250" applyNumberFormat="1" applyFont="1" applyBorder="1" applyAlignment="1" applyProtection="1">
      <alignment horizontal="center" vertical="center"/>
    </xf>
    <xf numFmtId="173" fontId="9" fillId="0" borderId="61" xfId="0" applyNumberFormat="1" applyFont="1" applyBorder="1" applyAlignment="1">
      <alignment horizontal="center" vertical="center"/>
    </xf>
    <xf numFmtId="173" fontId="56" fillId="0" borderId="78" xfId="0" applyNumberFormat="1" applyFont="1" applyBorder="1" applyAlignment="1">
      <alignment horizontal="center" vertical="center"/>
    </xf>
    <xf numFmtId="173" fontId="70" fillId="0" borderId="79" xfId="250" applyNumberFormat="1" applyFont="1" applyBorder="1" applyAlignment="1" applyProtection="1">
      <alignment horizontal="center" vertical="center"/>
    </xf>
    <xf numFmtId="173" fontId="108" fillId="0" borderId="0" xfId="0" applyNumberFormat="1" applyFont="1" applyAlignment="1">
      <alignment vertical="center"/>
    </xf>
    <xf numFmtId="173" fontId="82" fillId="0" borderId="79" xfId="131" applyNumberFormat="1" applyFont="1" applyBorder="1" applyAlignment="1">
      <alignment horizontal="center" vertical="center"/>
    </xf>
    <xf numFmtId="173" fontId="104" fillId="0" borderId="79" xfId="250" applyNumberFormat="1" applyFont="1" applyBorder="1" applyAlignment="1" applyProtection="1">
      <alignment horizontal="center" vertical="center"/>
    </xf>
    <xf numFmtId="173" fontId="52" fillId="0" borderId="79" xfId="0" applyNumberFormat="1" applyFont="1" applyBorder="1" applyAlignment="1">
      <alignment horizontal="center" vertical="center"/>
    </xf>
    <xf numFmtId="173" fontId="56" fillId="0" borderId="79" xfId="0" applyNumberFormat="1" applyFont="1" applyBorder="1" applyAlignment="1">
      <alignment horizontal="center" vertical="center"/>
    </xf>
    <xf numFmtId="173" fontId="54" fillId="0" borderId="79" xfId="250" applyNumberFormat="1" applyFont="1" applyBorder="1" applyAlignment="1">
      <alignment horizontal="center" vertical="center"/>
      <protection locked="0"/>
    </xf>
    <xf numFmtId="173" fontId="54" fillId="0" borderId="79" xfId="250" applyNumberFormat="1" applyFont="1" applyBorder="1" applyAlignment="1" applyProtection="1">
      <alignment horizontal="center" vertical="center"/>
    </xf>
    <xf numFmtId="173" fontId="106" fillId="0" borderId="0" xfId="0" applyNumberFormat="1" applyFont="1" applyAlignment="1">
      <alignment vertical="center"/>
    </xf>
    <xf numFmtId="173" fontId="52" fillId="0" borderId="33" xfId="0" applyNumberFormat="1" applyFont="1" applyBorder="1" applyAlignment="1">
      <alignment horizontal="center" vertical="center"/>
    </xf>
    <xf numFmtId="173" fontId="56" fillId="0" borderId="33" xfId="0" applyNumberFormat="1" applyFont="1" applyBorder="1" applyAlignment="1">
      <alignment horizontal="center" vertical="center"/>
    </xf>
    <xf numFmtId="173" fontId="95" fillId="0" borderId="80" xfId="0" applyNumberFormat="1" applyFont="1" applyBorder="1" applyAlignment="1">
      <alignment horizontal="center" vertical="center"/>
    </xf>
    <xf numFmtId="173" fontId="95" fillId="0" borderId="74" xfId="0" applyNumberFormat="1" applyFont="1" applyBorder="1" applyAlignment="1">
      <alignment horizontal="center" vertical="center"/>
    </xf>
    <xf numFmtId="173" fontId="56" fillId="0" borderId="71" xfId="0" applyNumberFormat="1" applyFont="1" applyBorder="1" applyAlignment="1">
      <alignment horizontal="center" vertical="center"/>
    </xf>
    <xf numFmtId="173" fontId="6" fillId="107" borderId="0" xfId="0" applyNumberFormat="1" applyFont="1" applyFill="1" applyAlignment="1">
      <alignment horizontal="center" vertical="center"/>
    </xf>
    <xf numFmtId="173" fontId="91" fillId="0" borderId="46" xfId="0" applyNumberFormat="1" applyFont="1" applyBorder="1" applyAlignment="1">
      <alignment horizontal="center" vertical="center"/>
    </xf>
    <xf numFmtId="173" fontId="35" fillId="35" borderId="1" xfId="0" applyNumberFormat="1" applyFont="1" applyFill="1" applyBorder="1" applyAlignment="1">
      <alignment horizontal="center" vertical="center" textRotation="90" wrapText="1"/>
    </xf>
    <xf numFmtId="173" fontId="106" fillId="35" borderId="73" xfId="0" applyNumberFormat="1" applyFont="1" applyFill="1" applyBorder="1" applyAlignment="1">
      <alignment horizontal="center" vertical="center"/>
    </xf>
    <xf numFmtId="173" fontId="48" fillId="0" borderId="47" xfId="0" applyNumberFormat="1" applyFont="1" applyBorder="1" applyAlignment="1">
      <alignment horizontal="center" vertical="center"/>
    </xf>
    <xf numFmtId="173" fontId="48" fillId="0" borderId="48" xfId="0" applyNumberFormat="1" applyFont="1" applyBorder="1" applyAlignment="1">
      <alignment horizontal="center" vertical="center"/>
    </xf>
    <xf numFmtId="173" fontId="66" fillId="35" borderId="0" xfId="0" applyNumberFormat="1" applyFont="1" applyFill="1" applyAlignment="1" applyProtection="1">
      <alignment horizontal="center" vertical="center"/>
      <protection locked="0"/>
    </xf>
    <xf numFmtId="173" fontId="15" fillId="125" borderId="0" xfId="0" applyNumberFormat="1" applyFont="1" applyFill="1" applyAlignment="1">
      <alignment horizontal="center" vertical="center"/>
    </xf>
    <xf numFmtId="173" fontId="37" fillId="126" borderId="0" xfId="0" applyNumberFormat="1" applyFont="1" applyFill="1" applyAlignment="1">
      <alignment horizontal="center" vertical="center"/>
    </xf>
    <xf numFmtId="173" fontId="2" fillId="107" borderId="34" xfId="0" applyNumberFormat="1" applyFont="1" applyFill="1" applyBorder="1" applyAlignment="1">
      <alignment vertical="center"/>
    </xf>
    <xf numFmtId="173" fontId="2" fillId="107" borderId="35" xfId="0" applyNumberFormat="1" applyFont="1" applyFill="1" applyBorder="1" applyAlignment="1">
      <alignment vertical="center"/>
    </xf>
    <xf numFmtId="173" fontId="6" fillId="107" borderId="35" xfId="0" applyNumberFormat="1" applyFont="1" applyFill="1" applyBorder="1" applyAlignment="1">
      <alignment vertical="center"/>
    </xf>
    <xf numFmtId="173" fontId="6" fillId="107" borderId="24" xfId="0" applyNumberFormat="1" applyFont="1" applyFill="1" applyBorder="1" applyAlignment="1">
      <alignment vertical="center"/>
    </xf>
    <xf numFmtId="173" fontId="66" fillId="35" borderId="0" xfId="141" applyNumberFormat="1" applyFont="1" applyFill="1" applyAlignment="1">
      <alignment horizontal="center" vertical="center" shrinkToFit="1"/>
    </xf>
    <xf numFmtId="173" fontId="103" fillId="35" borderId="0" xfId="0" applyNumberFormat="1" applyFont="1" applyFill="1" applyAlignment="1">
      <alignment horizontal="center" vertical="center" shrinkToFit="1"/>
    </xf>
    <xf numFmtId="173" fontId="110" fillId="0" borderId="2" xfId="250" applyNumberFormat="1" applyFont="1" applyBorder="1" applyAlignment="1" applyProtection="1">
      <alignment horizontal="center" vertical="center"/>
    </xf>
    <xf numFmtId="173" fontId="15" fillId="126" borderId="0" xfId="0" applyNumberFormat="1" applyFont="1" applyFill="1" applyAlignment="1">
      <alignment horizontal="center" vertical="center"/>
    </xf>
    <xf numFmtId="173" fontId="124" fillId="44" borderId="71" xfId="138" applyNumberFormat="1" applyFont="1" applyFill="1" applyBorder="1" applyAlignment="1">
      <alignment horizontal="center" vertical="center" shrinkToFit="1"/>
    </xf>
    <xf numFmtId="173" fontId="2" fillId="107" borderId="27" xfId="0" applyNumberFormat="1" applyFont="1" applyFill="1" applyBorder="1" applyAlignment="1">
      <alignment vertical="center"/>
    </xf>
    <xf numFmtId="173" fontId="6" fillId="107" borderId="28" xfId="0" applyNumberFormat="1" applyFont="1" applyFill="1" applyBorder="1" applyAlignment="1">
      <alignment vertical="center"/>
    </xf>
    <xf numFmtId="173" fontId="114" fillId="127" borderId="71" xfId="142" applyNumberFormat="1" applyFont="1" applyFill="1" applyBorder="1" applyAlignment="1" applyProtection="1">
      <alignment horizontal="center" vertical="center" shrinkToFit="1"/>
    </xf>
    <xf numFmtId="173" fontId="6" fillId="0" borderId="0" xfId="0" applyNumberFormat="1" applyFont="1" applyAlignment="1">
      <alignment horizontal="left" vertical="center"/>
    </xf>
    <xf numFmtId="173" fontId="30" fillId="0" borderId="0" xfId="0" applyNumberFormat="1" applyFont="1" applyAlignment="1">
      <alignment horizontal="right" vertical="center"/>
    </xf>
    <xf numFmtId="173" fontId="30" fillId="0" borderId="0" xfId="0" applyNumberFormat="1" applyFont="1" applyAlignment="1">
      <alignment horizontal="left" vertical="center"/>
    </xf>
    <xf numFmtId="173" fontId="106" fillId="0" borderId="37" xfId="0" applyNumberFormat="1" applyFont="1" applyBorder="1" applyAlignment="1">
      <alignment horizontal="center" vertical="center"/>
    </xf>
    <xf numFmtId="173" fontId="36" fillId="0" borderId="3" xfId="0" applyNumberFormat="1" applyFont="1" applyBorder="1" applyAlignment="1">
      <alignment horizontal="center" vertical="center"/>
    </xf>
    <xf numFmtId="173" fontId="36" fillId="0" borderId="4" xfId="0" applyNumberFormat="1" applyFont="1" applyBorder="1" applyAlignment="1">
      <alignment horizontal="center" vertical="center"/>
    </xf>
    <xf numFmtId="173" fontId="105" fillId="0" borderId="0" xfId="0" applyNumberFormat="1" applyFont="1" applyAlignment="1">
      <alignment horizontal="center" vertical="center"/>
    </xf>
    <xf numFmtId="173" fontId="53" fillId="0" borderId="46" xfId="0" applyNumberFormat="1" applyFont="1" applyBorder="1" applyAlignment="1">
      <alignment vertical="center"/>
    </xf>
    <xf numFmtId="173" fontId="48" fillId="107" borderId="0" xfId="0" applyNumberFormat="1" applyFont="1" applyFill="1" applyAlignment="1">
      <alignment vertical="center"/>
    </xf>
    <xf numFmtId="173" fontId="104" fillId="0" borderId="71" xfId="250" applyNumberFormat="1" applyFont="1" applyBorder="1" applyAlignment="1" applyProtection="1">
      <alignment horizontal="center"/>
    </xf>
    <xf numFmtId="173" fontId="2" fillId="107" borderId="46" xfId="0" applyNumberFormat="1" applyFont="1" applyFill="1" applyBorder="1" applyAlignment="1">
      <alignment vertical="center"/>
    </xf>
    <xf numFmtId="173" fontId="94" fillId="0" borderId="73" xfId="0" applyNumberFormat="1" applyFont="1" applyBorder="1" applyAlignment="1" applyProtection="1">
      <alignment horizontal="center" vertical="center"/>
      <protection locked="0"/>
    </xf>
    <xf numFmtId="173" fontId="53" fillId="0" borderId="0" xfId="0" applyNumberFormat="1" applyFont="1"/>
    <xf numFmtId="173" fontId="91" fillId="0" borderId="0" xfId="0" applyNumberFormat="1" applyFont="1"/>
    <xf numFmtId="173" fontId="33" fillId="0" borderId="0" xfId="0" applyNumberFormat="1" applyFont="1"/>
    <xf numFmtId="173" fontId="95" fillId="0" borderId="37" xfId="0" applyNumberFormat="1" applyFont="1" applyBorder="1" applyAlignment="1">
      <alignment horizontal="center" vertical="center"/>
    </xf>
    <xf numFmtId="173" fontId="101" fillId="0" borderId="71" xfId="0" applyNumberFormat="1" applyFont="1" applyBorder="1" applyAlignment="1">
      <alignment horizontal="center" vertical="center"/>
    </xf>
    <xf numFmtId="173" fontId="9" fillId="0" borderId="37" xfId="0" applyNumberFormat="1" applyFont="1" applyBorder="1" applyAlignment="1">
      <alignment horizontal="center" vertical="center"/>
    </xf>
    <xf numFmtId="173" fontId="111" fillId="0" borderId="0" xfId="0" applyNumberFormat="1" applyFont="1" applyAlignment="1">
      <alignment horizontal="center" vertical="center"/>
    </xf>
    <xf numFmtId="173" fontId="0" fillId="0" borderId="19" xfId="0" applyNumberFormat="1" applyBorder="1" applyAlignment="1">
      <alignment vertical="center"/>
    </xf>
    <xf numFmtId="173" fontId="0" fillId="0" borderId="20" xfId="0" applyNumberFormat="1" applyBorder="1" applyAlignment="1">
      <alignment vertical="center"/>
    </xf>
    <xf numFmtId="173" fontId="6" fillId="0" borderId="21" xfId="0" applyNumberFormat="1" applyFont="1" applyBorder="1" applyAlignment="1">
      <alignment vertical="center"/>
    </xf>
    <xf numFmtId="173" fontId="58" fillId="107" borderId="0" xfId="0" applyNumberFormat="1" applyFont="1" applyFill="1" applyAlignment="1">
      <alignment vertical="center"/>
    </xf>
    <xf numFmtId="173" fontId="58" fillId="107" borderId="0" xfId="0" applyNumberFormat="1" applyFont="1" applyFill="1" applyAlignment="1">
      <alignment horizontal="center" vertical="center"/>
    </xf>
    <xf numFmtId="173" fontId="137" fillId="0" borderId="81" xfId="138" applyNumberFormat="1" applyFont="1" applyBorder="1" applyAlignment="1">
      <alignment horizontal="center" vertical="center" shrinkToFit="1"/>
    </xf>
    <xf numFmtId="173" fontId="48" fillId="0" borderId="25" xfId="0" applyNumberFormat="1" applyFont="1" applyBorder="1" applyAlignment="1">
      <alignment horizontal="center" vertical="center"/>
    </xf>
    <xf numFmtId="173" fontId="48" fillId="0" borderId="26" xfId="0" applyNumberFormat="1" applyFont="1" applyBorder="1" applyAlignment="1">
      <alignment horizontal="center" vertical="center"/>
    </xf>
    <xf numFmtId="173" fontId="55" fillId="107" borderId="38" xfId="0" applyNumberFormat="1" applyFont="1" applyFill="1" applyBorder="1" applyAlignment="1">
      <alignment horizontal="center" vertical="center"/>
    </xf>
    <xf numFmtId="173" fontId="55" fillId="107" borderId="39" xfId="0" applyNumberFormat="1" applyFont="1" applyFill="1" applyBorder="1" applyAlignment="1">
      <alignment horizontal="center" vertical="center"/>
    </xf>
    <xf numFmtId="173" fontId="58" fillId="107" borderId="39" xfId="0" applyNumberFormat="1" applyFont="1" applyFill="1" applyBorder="1" applyAlignment="1">
      <alignment horizontal="center" vertical="center"/>
    </xf>
    <xf numFmtId="173" fontId="2" fillId="0" borderId="39" xfId="0" applyNumberFormat="1" applyFont="1" applyBorder="1" applyAlignment="1">
      <alignment vertical="center"/>
    </xf>
    <xf numFmtId="173" fontId="6" fillId="107" borderId="40" xfId="0" applyNumberFormat="1" applyFont="1" applyFill="1" applyBorder="1" applyAlignment="1">
      <alignment vertical="center"/>
    </xf>
    <xf numFmtId="173" fontId="91" fillId="0" borderId="46" xfId="0" applyNumberFormat="1" applyFont="1" applyBorder="1" applyAlignment="1">
      <alignment vertical="center"/>
    </xf>
    <xf numFmtId="173" fontId="71" fillId="0" borderId="0" xfId="118" applyNumberFormat="1" applyFont="1" applyAlignment="1">
      <alignment horizontal="center" vertical="center"/>
    </xf>
    <xf numFmtId="173" fontId="31" fillId="0" borderId="59" xfId="0" applyNumberFormat="1" applyFont="1" applyBorder="1" applyAlignment="1">
      <alignment horizontal="center" vertical="center"/>
    </xf>
    <xf numFmtId="173" fontId="112" fillId="0" borderId="0" xfId="0" applyNumberFormat="1" applyFont="1" applyAlignment="1">
      <alignment vertical="center"/>
    </xf>
    <xf numFmtId="173" fontId="67" fillId="0" borderId="72" xfId="0" applyNumberFormat="1" applyFont="1" applyBorder="1" applyAlignment="1">
      <alignment horizontal="center" vertical="center"/>
    </xf>
    <xf numFmtId="173" fontId="15" fillId="0" borderId="0" xfId="118" applyNumberFormat="1" applyFont="1" applyAlignment="1">
      <alignment horizontal="center" vertical="center"/>
    </xf>
    <xf numFmtId="173" fontId="75" fillId="0" borderId="33" xfId="131" applyNumberFormat="1" applyFont="1" applyBorder="1" applyAlignment="1">
      <alignment horizontal="center" vertical="center"/>
    </xf>
    <xf numFmtId="173" fontId="2" fillId="107" borderId="16" xfId="0" applyNumberFormat="1" applyFont="1" applyFill="1" applyBorder="1" applyAlignment="1">
      <alignment vertical="center"/>
    </xf>
    <xf numFmtId="173" fontId="2" fillId="107" borderId="37" xfId="0" applyNumberFormat="1" applyFont="1" applyFill="1" applyBorder="1" applyAlignment="1">
      <alignment vertical="center"/>
    </xf>
    <xf numFmtId="173" fontId="6" fillId="113" borderId="0" xfId="0" applyNumberFormat="1" applyFont="1" applyFill="1" applyAlignment="1">
      <alignment horizontal="center" vertical="center"/>
    </xf>
    <xf numFmtId="173" fontId="48" fillId="0" borderId="29" xfId="0" applyNumberFormat="1" applyFont="1" applyBorder="1" applyAlignment="1">
      <alignment horizontal="center" vertical="center"/>
    </xf>
    <xf numFmtId="173" fontId="48" fillId="0" borderId="30" xfId="0" applyNumberFormat="1" applyFont="1" applyBorder="1" applyAlignment="1">
      <alignment horizontal="center" vertical="center"/>
    </xf>
    <xf numFmtId="173" fontId="48" fillId="0" borderId="31" xfId="0" applyNumberFormat="1" applyFont="1" applyBorder="1" applyAlignment="1">
      <alignment horizontal="center" vertical="center"/>
    </xf>
    <xf numFmtId="173" fontId="66" fillId="0" borderId="0" xfId="0" applyNumberFormat="1" applyFont="1" applyAlignment="1">
      <alignment horizontal="center" vertical="center"/>
    </xf>
    <xf numFmtId="173" fontId="48" fillId="0" borderId="0" xfId="0" applyNumberFormat="1" applyFont="1" applyAlignment="1">
      <alignment vertical="center"/>
    </xf>
    <xf numFmtId="173" fontId="83" fillId="0" borderId="0" xfId="0" applyNumberFormat="1" applyFont="1" applyAlignment="1">
      <alignment horizontal="center" vertical="center"/>
    </xf>
    <xf numFmtId="173" fontId="58" fillId="0" borderId="0" xfId="0" applyNumberFormat="1" applyFont="1" applyAlignment="1">
      <alignment vertical="center"/>
    </xf>
    <xf numFmtId="173" fontId="2" fillId="107" borderId="0" xfId="0" applyNumberFormat="1" applyFont="1" applyFill="1" applyAlignment="1">
      <alignment horizontal="left" vertical="center"/>
    </xf>
    <xf numFmtId="173" fontId="15" fillId="40" borderId="0" xfId="118" applyNumberFormat="1" applyFont="1" applyFill="1" applyAlignment="1">
      <alignment horizontal="center" vertical="center"/>
    </xf>
    <xf numFmtId="173" fontId="32" fillId="0" borderId="37" xfId="0" applyNumberFormat="1" applyFont="1" applyBorder="1" applyAlignment="1">
      <alignment horizontal="center" vertical="center"/>
    </xf>
    <xf numFmtId="173" fontId="115" fillId="117" borderId="81" xfId="142" applyNumberFormat="1" applyFont="1" applyFill="1" applyBorder="1" applyAlignment="1" applyProtection="1">
      <alignment horizontal="center" vertical="center" shrinkToFit="1"/>
    </xf>
    <xf numFmtId="173" fontId="119" fillId="122" borderId="81" xfId="142" applyNumberFormat="1" applyFont="1" applyFill="1" applyBorder="1" applyAlignment="1" applyProtection="1">
      <alignment horizontal="center" vertical="center" shrinkToFit="1"/>
    </xf>
    <xf numFmtId="173" fontId="99" fillId="40" borderId="0" xfId="118" applyNumberFormat="1" applyFont="1" applyFill="1" applyAlignment="1">
      <alignment horizontal="center" vertical="center"/>
    </xf>
    <xf numFmtId="173" fontId="125" fillId="68" borderId="81" xfId="138" applyNumberFormat="1" applyFont="1" applyFill="1" applyBorder="1" applyAlignment="1">
      <alignment horizontal="center" vertical="center" shrinkToFit="1"/>
    </xf>
    <xf numFmtId="173" fontId="123" fillId="34" borderId="81" xfId="138" applyNumberFormat="1" applyFont="1" applyFill="1" applyBorder="1" applyAlignment="1">
      <alignment horizontal="center" vertical="center" shrinkToFit="1"/>
    </xf>
    <xf numFmtId="173" fontId="6" fillId="0" borderId="19" xfId="0" applyNumberFormat="1" applyFont="1" applyBorder="1" applyAlignment="1">
      <alignment horizontal="center" vertical="center"/>
    </xf>
    <xf numFmtId="173" fontId="6" fillId="0" borderId="20" xfId="0" applyNumberFormat="1" applyFont="1" applyBorder="1" applyAlignment="1">
      <alignment horizontal="center" vertical="center"/>
    </xf>
    <xf numFmtId="173" fontId="6" fillId="0" borderId="21" xfId="0" applyNumberFormat="1" applyFont="1" applyBorder="1" applyAlignment="1">
      <alignment horizontal="center" vertical="center"/>
    </xf>
    <xf numFmtId="173" fontId="2" fillId="107" borderId="19" xfId="0" applyNumberFormat="1" applyFont="1" applyFill="1" applyBorder="1" applyAlignment="1">
      <alignment vertical="center"/>
    </xf>
    <xf numFmtId="173" fontId="2" fillId="107" borderId="20" xfId="0" applyNumberFormat="1" applyFont="1" applyFill="1" applyBorder="1" applyAlignment="1">
      <alignment vertical="center"/>
    </xf>
    <xf numFmtId="173" fontId="2" fillId="107" borderId="21" xfId="0" applyNumberFormat="1" applyFont="1" applyFill="1" applyBorder="1" applyAlignment="1">
      <alignment vertical="center"/>
    </xf>
    <xf numFmtId="173" fontId="61" fillId="0" borderId="19" xfId="0" applyNumberFormat="1" applyFont="1" applyBorder="1" applyAlignment="1">
      <alignment horizontal="center" vertical="center" wrapText="1"/>
    </xf>
    <xf numFmtId="173" fontId="61" fillId="0" borderId="20" xfId="0" applyNumberFormat="1" applyFont="1" applyBorder="1" applyAlignment="1">
      <alignment horizontal="center" vertical="center" wrapText="1"/>
    </xf>
    <xf numFmtId="173" fontId="61" fillId="0" borderId="21" xfId="0" applyNumberFormat="1" applyFont="1" applyBorder="1" applyAlignment="1">
      <alignment horizontal="center" vertical="center" wrapText="1"/>
    </xf>
    <xf numFmtId="173" fontId="22" fillId="0" borderId="25" xfId="0" applyNumberFormat="1" applyFont="1" applyBorder="1" applyAlignment="1">
      <alignment vertical="center"/>
    </xf>
    <xf numFmtId="173" fontId="6" fillId="0" borderId="25" xfId="0" applyNumberFormat="1" applyFont="1" applyBorder="1" applyAlignment="1">
      <alignment horizontal="center" vertical="center"/>
    </xf>
    <xf numFmtId="173" fontId="6" fillId="0" borderId="26" xfId="0" applyNumberFormat="1" applyFont="1" applyBorder="1" applyAlignment="1">
      <alignment horizontal="center" vertical="center"/>
    </xf>
    <xf numFmtId="173" fontId="2" fillId="107" borderId="25" xfId="0" applyNumberFormat="1" applyFont="1" applyFill="1" applyBorder="1" applyAlignment="1">
      <alignment vertical="center"/>
    </xf>
    <xf numFmtId="173" fontId="2" fillId="107" borderId="26" xfId="0" applyNumberFormat="1" applyFont="1" applyFill="1" applyBorder="1" applyAlignment="1">
      <alignment vertical="center"/>
    </xf>
    <xf numFmtId="173" fontId="86" fillId="0" borderId="33" xfId="0" applyNumberFormat="1" applyFont="1" applyBorder="1" applyAlignment="1">
      <alignment horizontal="center" vertical="center"/>
    </xf>
    <xf numFmtId="173" fontId="61" fillId="0" borderId="25" xfId="0" applyNumberFormat="1" applyFont="1" applyBorder="1" applyAlignment="1">
      <alignment horizontal="center" vertical="center" wrapText="1"/>
    </xf>
    <xf numFmtId="173" fontId="61" fillId="0" borderId="0" xfId="0" applyNumberFormat="1" applyFont="1" applyAlignment="1">
      <alignment horizontal="center" vertical="center" wrapText="1"/>
    </xf>
    <xf numFmtId="173" fontId="61" fillId="0" borderId="26" xfId="0" applyNumberFormat="1" applyFont="1" applyBorder="1" applyAlignment="1">
      <alignment horizontal="center" vertical="center" wrapText="1"/>
    </xf>
    <xf numFmtId="173" fontId="48" fillId="0" borderId="19" xfId="0" applyNumberFormat="1" applyFont="1" applyBorder="1" applyAlignment="1">
      <alignment horizontal="center" vertical="center"/>
    </xf>
    <xf numFmtId="173" fontId="48" fillId="0" borderId="20" xfId="0" applyNumberFormat="1" applyFont="1" applyBorder="1" applyAlignment="1">
      <alignment horizontal="center" vertical="center"/>
    </xf>
    <xf numFmtId="173" fontId="2" fillId="0" borderId="72" xfId="0" applyNumberFormat="1" applyFont="1" applyBorder="1" applyAlignment="1">
      <alignment horizontal="center" vertical="center"/>
    </xf>
    <xf numFmtId="173" fontId="48" fillId="0" borderId="23" xfId="0" applyNumberFormat="1" applyFont="1" applyBorder="1" applyAlignment="1">
      <alignment horizontal="center" vertical="center"/>
    </xf>
    <xf numFmtId="173" fontId="48" fillId="0" borderId="24" xfId="0" applyNumberFormat="1" applyFont="1" applyBorder="1" applyAlignment="1">
      <alignment horizontal="center" vertical="center"/>
    </xf>
    <xf numFmtId="173" fontId="48" fillId="0" borderId="28" xfId="0" applyNumberFormat="1" applyFont="1" applyBorder="1" applyAlignment="1">
      <alignment horizontal="center" vertical="center"/>
    </xf>
    <xf numFmtId="173" fontId="113" fillId="107" borderId="49" xfId="0" applyNumberFormat="1" applyFont="1" applyFill="1" applyBorder="1" applyAlignment="1">
      <alignment horizontal="center" vertical="center"/>
    </xf>
    <xf numFmtId="173" fontId="113" fillId="107" borderId="17" xfId="0" applyNumberFormat="1" applyFont="1" applyFill="1" applyBorder="1" applyAlignment="1">
      <alignment horizontal="center" vertical="center"/>
    </xf>
    <xf numFmtId="173" fontId="113" fillId="107" borderId="50" xfId="0" applyNumberFormat="1" applyFont="1" applyFill="1" applyBorder="1" applyAlignment="1">
      <alignment horizontal="center" vertical="center"/>
    </xf>
    <xf numFmtId="173" fontId="61" fillId="0" borderId="29" xfId="0" applyNumberFormat="1" applyFont="1" applyBorder="1" applyAlignment="1">
      <alignment horizontal="center" vertical="center" wrapText="1"/>
    </xf>
    <xf numFmtId="173" fontId="61" fillId="0" borderId="30" xfId="0" applyNumberFormat="1" applyFont="1" applyBorder="1" applyAlignment="1">
      <alignment horizontal="center" vertical="center" wrapText="1"/>
    </xf>
    <xf numFmtId="173" fontId="61" fillId="0" borderId="31" xfId="0" applyNumberFormat="1" applyFont="1" applyBorder="1" applyAlignment="1">
      <alignment horizontal="center" vertical="center" wrapText="1"/>
    </xf>
    <xf numFmtId="173" fontId="2" fillId="0" borderId="25" xfId="0" applyNumberFormat="1" applyFont="1" applyBorder="1" applyAlignment="1">
      <alignment vertical="center"/>
    </xf>
    <xf numFmtId="173" fontId="6" fillId="0" borderId="29" xfId="0" applyNumberFormat="1" applyFont="1" applyBorder="1" applyAlignment="1">
      <alignment horizontal="center" vertical="center"/>
    </xf>
    <xf numFmtId="173" fontId="6" fillId="0" borderId="30" xfId="0" applyNumberFormat="1" applyFont="1" applyBorder="1" applyAlignment="1">
      <alignment horizontal="center" vertical="center"/>
    </xf>
    <xf numFmtId="173" fontId="6" fillId="0" borderId="31" xfId="0" applyNumberFormat="1" applyFont="1" applyBorder="1" applyAlignment="1">
      <alignment horizontal="center" vertical="center"/>
    </xf>
    <xf numFmtId="173" fontId="48" fillId="0" borderId="47" xfId="0" applyNumberFormat="1" applyFont="1" applyBorder="1" applyAlignment="1">
      <alignment horizontal="center" vertical="center"/>
    </xf>
    <xf numFmtId="173" fontId="48" fillId="0" borderId="40" xfId="0" applyNumberFormat="1" applyFont="1" applyBorder="1" applyAlignment="1">
      <alignment horizontal="center" vertical="center"/>
    </xf>
    <xf numFmtId="173" fontId="2" fillId="0" borderId="26" xfId="0" applyNumberFormat="1" applyFont="1" applyBorder="1" applyAlignment="1">
      <alignment vertical="center"/>
    </xf>
    <xf numFmtId="173" fontId="113" fillId="107" borderId="52" xfId="0" applyNumberFormat="1" applyFont="1" applyFill="1" applyBorder="1" applyAlignment="1">
      <alignment horizontal="center" vertical="center"/>
    </xf>
    <xf numFmtId="173" fontId="113" fillId="107" borderId="53" xfId="0" applyNumberFormat="1" applyFont="1" applyFill="1" applyBorder="1" applyAlignment="1">
      <alignment horizontal="center" vertical="center"/>
    </xf>
    <xf numFmtId="173" fontId="113" fillId="107" borderId="54" xfId="0" applyNumberFormat="1" applyFont="1" applyFill="1" applyBorder="1" applyAlignment="1">
      <alignment horizontal="center" vertical="center"/>
    </xf>
  </cellXfs>
  <cellStyles count="25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8" xfId="251" xr:uid="{99BE4983-E2BA-4CA4-8C39-5E8B77DAC6A2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4 5" xfId="250" xr:uid="{CCB13FD7-24DC-4F38-B464-0F00FC98657C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2" xr:uid="{CBC7DBA8-2755-4B1A-8BCC-F7D7852C573E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2" name="Imagen 2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24</xdr:col>
      <xdr:colOff>340302</xdr:colOff>
      <xdr:row>41</xdr:row>
      <xdr:rowOff>89647</xdr:rowOff>
    </xdr:from>
    <xdr:to>
      <xdr:col>25</xdr:col>
      <xdr:colOff>414618</xdr:colOff>
      <xdr:row>45</xdr:row>
      <xdr:rowOff>7005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1AE5B81B-C3A4-A548-8737-09C1D934D9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7086502" y="10243297"/>
          <a:ext cx="1188741" cy="90795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5" name="Imagen 2" descr=" 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44</xdr:row>
      <xdr:rowOff>38100</xdr:rowOff>
    </xdr:from>
    <xdr:to>
      <xdr:col>27</xdr:col>
      <xdr:colOff>457200</xdr:colOff>
      <xdr:row>49</xdr:row>
      <xdr:rowOff>49837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200-000006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093470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4800" b="1">
            <a:solidFill>
              <a:srgbClr val="333333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200-000007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200-000008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200-000009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10" name="Imagen 2" descr=" 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11" name="9 Imagen" descr=" ">
          <a:extLst>
            <a:ext uri="{FF2B5EF4-FFF2-40B4-BE49-F238E27FC236}">
              <a16:creationId xmlns:a16="http://schemas.microsoft.com/office/drawing/2014/main" id="{00000000-0008-0000-0200-00000B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12" name="Imagen 2" descr=" ">
          <a:extLst>
            <a:ext uri="{FF2B5EF4-FFF2-40B4-BE49-F238E27FC236}">
              <a16:creationId xmlns:a16="http://schemas.microsoft.com/office/drawing/2014/main" id="{00000000-0008-0000-0200-00000C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45</xdr:row>
      <xdr:rowOff>100852</xdr:rowOff>
    </xdr:from>
    <xdr:to>
      <xdr:col>26</xdr:col>
      <xdr:colOff>515471</xdr:colOff>
      <xdr:row>49</xdr:row>
      <xdr:rowOff>49837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00000000-0008-0000-0200-00000D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1245102"/>
          <a:ext cx="3706346" cy="9395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00000000-0008-0000-0200-00000E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200-00000F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200-000010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10</xdr:col>
      <xdr:colOff>749300</xdr:colOff>
      <xdr:row>8</xdr:row>
      <xdr:rowOff>239486</xdr:rowOff>
    </xdr:from>
    <xdr:to>
      <xdr:col>12</xdr:col>
      <xdr:colOff>196850</xdr:colOff>
      <xdr:row>12</xdr:row>
      <xdr:rowOff>201386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893550" y="2220686"/>
          <a:ext cx="1676400" cy="9525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 Mix posición 1 y 2.</a:t>
          </a:r>
        </a:p>
      </xdr:txBody>
    </xdr:sp>
    <xdr:clientData/>
  </xdr:twoCellAnchor>
  <xdr:twoCellAnchor>
    <xdr:from>
      <xdr:col>68</xdr:col>
      <xdr:colOff>476250</xdr:colOff>
      <xdr:row>34</xdr:row>
      <xdr:rowOff>204108</xdr:rowOff>
    </xdr:from>
    <xdr:to>
      <xdr:col>70</xdr:col>
      <xdr:colOff>367393</xdr:colOff>
      <xdr:row>38</xdr:row>
      <xdr:rowOff>136071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76257150" y="8624208"/>
          <a:ext cx="2119993" cy="922563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Ingreso 6 Allure</a:t>
          </a:r>
          <a:r>
            <a:rPr lang="es-MX" sz="1400" b="1" baseline="0">
              <a:solidFill>
                <a:schemeClr val="bg1"/>
              </a:solidFill>
            </a:rPr>
            <a:t> Max</a:t>
          </a:r>
          <a:r>
            <a:rPr lang="es-MX" sz="1400" b="1">
              <a:solidFill>
                <a:schemeClr val="bg1"/>
              </a:solidFill>
            </a:rPr>
            <a:t> con FUPTS</a:t>
          </a:r>
          <a:r>
            <a:rPr lang="es-MX" sz="1100"/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19" name="Imagen 2" descr=" ">
          <a:extLst>
            <a:ext uri="{FF2B5EF4-FFF2-40B4-BE49-F238E27FC236}">
              <a16:creationId xmlns:a16="http://schemas.microsoft.com/office/drawing/2014/main" id="{072753D8-55B7-495B-B835-0691E5DD1C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24</xdr:col>
      <xdr:colOff>1102302</xdr:colOff>
      <xdr:row>48</xdr:row>
      <xdr:rowOff>104774</xdr:rowOff>
    </xdr:from>
    <xdr:to>
      <xdr:col>25</xdr:col>
      <xdr:colOff>881062</xdr:colOff>
      <xdr:row>51</xdr:row>
      <xdr:rowOff>190499</xdr:rowOff>
    </xdr:to>
    <xdr:pic>
      <xdr:nvPicPr>
        <xdr:cNvPr id="20" name="9 Imagen" descr=" ">
          <a:extLst>
            <a:ext uri="{FF2B5EF4-FFF2-40B4-BE49-F238E27FC236}">
              <a16:creationId xmlns:a16="http://schemas.microsoft.com/office/drawing/2014/main" id="{1BFDA5B8-E6DC-47B7-B9D9-B52BF0CBEFA7}"/>
            </a:ext>
            <a:ext uri="{147F2762-F138-4A5C-976F-8EAC2B608ADB}">
              <a16:predDERef xmlns:a16="http://schemas.microsoft.com/office/drawing/2014/main" pred="{1AE5B81B-C3A4-A548-8737-09C1D934D9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7848502" y="11991974"/>
          <a:ext cx="893185" cy="8286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788410</xdr:colOff>
      <xdr:row>26</xdr:row>
      <xdr:rowOff>205218</xdr:rowOff>
    </xdr:from>
    <xdr:to>
      <xdr:col>11</xdr:col>
      <xdr:colOff>547687</xdr:colOff>
      <xdr:row>30</xdr:row>
      <xdr:rowOff>51954</xdr:rowOff>
    </xdr:to>
    <xdr:pic>
      <xdr:nvPicPr>
        <xdr:cNvPr id="21" name="9 Imagen" descr=" ">
          <a:extLst>
            <a:ext uri="{FF2B5EF4-FFF2-40B4-BE49-F238E27FC236}">
              <a16:creationId xmlns:a16="http://schemas.microsoft.com/office/drawing/2014/main" id="{507F16A9-B9CF-4C1B-92B2-959E4205D4D3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932660" y="6644118"/>
          <a:ext cx="873702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22" name="Imagen 2" descr=" ">
          <a:extLst>
            <a:ext uri="{FF2B5EF4-FFF2-40B4-BE49-F238E27FC236}">
              <a16:creationId xmlns:a16="http://schemas.microsoft.com/office/drawing/2014/main" id="{4542B96A-6586-4BE0-BD64-B008F1F6B403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44</xdr:row>
      <xdr:rowOff>38100</xdr:rowOff>
    </xdr:from>
    <xdr:to>
      <xdr:col>27</xdr:col>
      <xdr:colOff>457200</xdr:colOff>
      <xdr:row>49</xdr:row>
      <xdr:rowOff>49837</xdr:rowOff>
    </xdr:to>
    <xdr:sp macro="" textlink="">
      <xdr:nvSpPr>
        <xdr:cNvPr id="23" name="rect">
          <a:extLst>
            <a:ext uri="{FF2B5EF4-FFF2-40B4-BE49-F238E27FC236}">
              <a16:creationId xmlns:a16="http://schemas.microsoft.com/office/drawing/2014/main" id="{CB7BC76B-8A5A-42A9-BE2B-6B9624DF94B7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093470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24" name="rect">
          <a:extLst>
            <a:ext uri="{FF2B5EF4-FFF2-40B4-BE49-F238E27FC236}">
              <a16:creationId xmlns:a16="http://schemas.microsoft.com/office/drawing/2014/main" id="{EE5FC397-FCD0-4EB0-8F89-C98EAE3500A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A1C7C889-56CD-43AC-98D3-A63CB0A9781C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41</xdr:col>
      <xdr:colOff>761999</xdr:colOff>
      <xdr:row>50</xdr:row>
      <xdr:rowOff>142875</xdr:rowOff>
    </xdr:from>
    <xdr:to>
      <xdr:col>44</xdr:col>
      <xdr:colOff>47625</xdr:colOff>
      <xdr:row>56</xdr:row>
      <xdr:rowOff>47624</xdr:rowOff>
    </xdr:to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D5DF315-0F55-4EA3-B7C6-D25DA708FC50}"/>
            </a:ext>
            <a:ext uri="{147F2762-F138-4A5C-976F-8EAC2B608ADB}">
              <a16:predDERef xmlns:a16="http://schemas.microsoft.com/office/drawing/2014/main" pred="{AEFCF37B-4302-364E-8CA1-60FE892CFB21}"/>
            </a:ext>
          </a:extLst>
        </xdr:cNvPr>
        <xdr:cNvSpPr/>
      </xdr:nvSpPr>
      <xdr:spPr>
        <a:xfrm>
          <a:off x="46453424" y="12525375"/>
          <a:ext cx="2628901" cy="139064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27" name="rect">
          <a:extLst>
            <a:ext uri="{FF2B5EF4-FFF2-40B4-BE49-F238E27FC236}">
              <a16:creationId xmlns:a16="http://schemas.microsoft.com/office/drawing/2014/main" id="{9E56B481-5FCD-4977-8236-F894A3D3751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42</xdr:col>
      <xdr:colOff>723900</xdr:colOff>
      <xdr:row>55</xdr:row>
      <xdr:rowOff>71438</xdr:rowOff>
    </xdr:from>
    <xdr:to>
      <xdr:col>43</xdr:col>
      <xdr:colOff>261937</xdr:colOff>
      <xdr:row>58</xdr:row>
      <xdr:rowOff>95249</xdr:rowOff>
    </xdr:to>
    <xdr:pic>
      <xdr:nvPicPr>
        <xdr:cNvPr id="28" name="9 Imagen" descr=" ">
          <a:extLst>
            <a:ext uri="{FF2B5EF4-FFF2-40B4-BE49-F238E27FC236}">
              <a16:creationId xmlns:a16="http://schemas.microsoft.com/office/drawing/2014/main" id="{280D3D4A-8E3E-48B6-9953-ABEA5E070009}"/>
            </a:ext>
            <a:ext uri="{147F2762-F138-4A5C-976F-8EAC2B608ADB}">
              <a16:predDERef xmlns:a16="http://schemas.microsoft.com/office/drawing/2014/main" pred="{1AE5B81B-C3A4-A548-8737-09C1D934D9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7529750" y="13692188"/>
          <a:ext cx="652462" cy="7667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638175</xdr:colOff>
      <xdr:row>6</xdr:row>
      <xdr:rowOff>171450</xdr:rowOff>
    </xdr:from>
    <xdr:to>
      <xdr:col>14</xdr:col>
      <xdr:colOff>85725</xdr:colOff>
      <xdr:row>10</xdr:row>
      <xdr:rowOff>133350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B3B217F5-797A-4696-9E3E-F6A29D371D17}"/>
            </a:ext>
          </a:extLst>
        </xdr:cNvPr>
        <xdr:cNvSpPr txBox="1"/>
      </xdr:nvSpPr>
      <xdr:spPr>
        <a:xfrm>
          <a:off x="14011275" y="1657350"/>
          <a:ext cx="1676400" cy="9525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 Mix posición 1 y 2.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2" name="Imagen 2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24</xdr:col>
      <xdr:colOff>340302</xdr:colOff>
      <xdr:row>41</xdr:row>
      <xdr:rowOff>89647</xdr:rowOff>
    </xdr:from>
    <xdr:to>
      <xdr:col>25</xdr:col>
      <xdr:colOff>414618</xdr:colOff>
      <xdr:row>45</xdr:row>
      <xdr:rowOff>7005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700-000003000000}"/>
            </a:ext>
            <a:ext uri="{147F2762-F138-4A5C-976F-8EAC2B608ADB}">
              <a16:predDERef xmlns:a16="http://schemas.microsoft.com/office/drawing/2014/main" pred="{1AE5B81B-C3A4-A548-8737-09C1D934D9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7086502" y="10243297"/>
          <a:ext cx="1188741" cy="90795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700-000004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5" name="Imagen 2" descr=" ">
          <a:extLst>
            <a:ext uri="{FF2B5EF4-FFF2-40B4-BE49-F238E27FC236}">
              <a16:creationId xmlns:a16="http://schemas.microsoft.com/office/drawing/2014/main" id="{00000000-0008-0000-0700-000005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44</xdr:row>
      <xdr:rowOff>38100</xdr:rowOff>
    </xdr:from>
    <xdr:to>
      <xdr:col>27</xdr:col>
      <xdr:colOff>457200</xdr:colOff>
      <xdr:row>49</xdr:row>
      <xdr:rowOff>49837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700-000006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093470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4800" b="1">
            <a:solidFill>
              <a:srgbClr val="333333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700-000007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700-000008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10" name="Imagen 2" descr=" 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11" name="9 Imagen" descr=" ">
          <a:extLst>
            <a:ext uri="{FF2B5EF4-FFF2-40B4-BE49-F238E27FC236}">
              <a16:creationId xmlns:a16="http://schemas.microsoft.com/office/drawing/2014/main" id="{00000000-0008-0000-0700-00000B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12" name="Imagen 2" descr=" ">
          <a:extLst>
            <a:ext uri="{FF2B5EF4-FFF2-40B4-BE49-F238E27FC236}">
              <a16:creationId xmlns:a16="http://schemas.microsoft.com/office/drawing/2014/main" id="{00000000-0008-0000-0700-00000C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45</xdr:row>
      <xdr:rowOff>100852</xdr:rowOff>
    </xdr:from>
    <xdr:to>
      <xdr:col>26</xdr:col>
      <xdr:colOff>515471</xdr:colOff>
      <xdr:row>49</xdr:row>
      <xdr:rowOff>49837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00000000-0008-0000-0700-00000D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1245102"/>
          <a:ext cx="3706346" cy="9395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00000000-0008-0000-0700-00000E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700-00000F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700-000010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10</xdr:col>
      <xdr:colOff>749300</xdr:colOff>
      <xdr:row>8</xdr:row>
      <xdr:rowOff>239486</xdr:rowOff>
    </xdr:from>
    <xdr:to>
      <xdr:col>12</xdr:col>
      <xdr:colOff>196850</xdr:colOff>
      <xdr:row>12</xdr:row>
      <xdr:rowOff>201386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11861800" y="2235200"/>
          <a:ext cx="1670050" cy="959757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 Mix posición 1 y 2.</a:t>
          </a:r>
        </a:p>
      </xdr:txBody>
    </xdr:sp>
    <xdr:clientData/>
  </xdr:twoCellAnchor>
  <xdr:twoCellAnchor>
    <xdr:from>
      <xdr:col>68</xdr:col>
      <xdr:colOff>476250</xdr:colOff>
      <xdr:row>34</xdr:row>
      <xdr:rowOff>204108</xdr:rowOff>
    </xdr:from>
    <xdr:to>
      <xdr:col>70</xdr:col>
      <xdr:colOff>367393</xdr:colOff>
      <xdr:row>38</xdr:row>
      <xdr:rowOff>136071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76257150" y="8624208"/>
          <a:ext cx="2119993" cy="922563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Ingreso 6 Allure</a:t>
          </a:r>
          <a:r>
            <a:rPr lang="es-MX" sz="1400" b="1" baseline="0">
              <a:solidFill>
                <a:schemeClr val="bg1"/>
              </a:solidFill>
            </a:rPr>
            <a:t> Max</a:t>
          </a:r>
          <a:r>
            <a:rPr lang="es-MX" sz="1400" b="1">
              <a:solidFill>
                <a:schemeClr val="bg1"/>
              </a:solidFill>
            </a:rPr>
            <a:t> con FUPTS</a:t>
          </a:r>
          <a:r>
            <a:rPr lang="es-MX" sz="1100"/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2" name="Imagen 2" descr=" 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24</xdr:col>
      <xdr:colOff>340302</xdr:colOff>
      <xdr:row>41</xdr:row>
      <xdr:rowOff>89647</xdr:rowOff>
    </xdr:from>
    <xdr:to>
      <xdr:col>25</xdr:col>
      <xdr:colOff>414618</xdr:colOff>
      <xdr:row>45</xdr:row>
      <xdr:rowOff>7005</xdr:rowOff>
    </xdr:to>
    <xdr:pic>
      <xdr:nvPicPr>
        <xdr:cNvPr id="3" name="9 Imagen" descr=" ">
          <a:extLst>
            <a:ext uri="{FF2B5EF4-FFF2-40B4-BE49-F238E27FC236}">
              <a16:creationId xmlns:a16="http://schemas.microsoft.com/office/drawing/2014/main" id="{00000000-0008-0000-0900-000003000000}"/>
            </a:ext>
            <a:ext uri="{147F2762-F138-4A5C-976F-8EAC2B608ADB}">
              <a16:predDERef xmlns:a16="http://schemas.microsoft.com/office/drawing/2014/main" pred="{1AE5B81B-C3A4-A548-8737-09C1D934D9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7086502" y="10243297"/>
          <a:ext cx="1188741" cy="90795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0000000-0008-0000-0900-000004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5" name="Imagen 2" descr=" ">
          <a:extLst>
            <a:ext uri="{FF2B5EF4-FFF2-40B4-BE49-F238E27FC236}">
              <a16:creationId xmlns:a16="http://schemas.microsoft.com/office/drawing/2014/main" id="{00000000-0008-0000-0900-000005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44</xdr:row>
      <xdr:rowOff>38100</xdr:rowOff>
    </xdr:from>
    <xdr:to>
      <xdr:col>27</xdr:col>
      <xdr:colOff>457200</xdr:colOff>
      <xdr:row>49</xdr:row>
      <xdr:rowOff>49837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900-000006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093470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endParaRPr lang="en-US" altLang="zh-CN" sz="4800" b="1">
            <a:solidFill>
              <a:srgbClr val="333333"/>
            </a:solidFill>
            <a:latin typeface="Calibri" panose="00000000000000000000" charset="0"/>
            <a:ea typeface="Calibri" panose="00000000000000000000" charset="0"/>
          </a:endParaRP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00000000-0008-0000-0900-000007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8" name="rect">
          <a:extLst>
            <a:ext uri="{FF2B5EF4-FFF2-40B4-BE49-F238E27FC236}">
              <a16:creationId xmlns:a16="http://schemas.microsoft.com/office/drawing/2014/main" id="{00000000-0008-0000-0900-000008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9" name="rect">
          <a:extLst>
            <a:ext uri="{FF2B5EF4-FFF2-40B4-BE49-F238E27FC236}">
              <a16:creationId xmlns:a16="http://schemas.microsoft.com/office/drawing/2014/main" id="{00000000-0008-0000-0900-000009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62</xdr:col>
      <xdr:colOff>433977</xdr:colOff>
      <xdr:row>32</xdr:row>
      <xdr:rowOff>175478</xdr:rowOff>
    </xdr:from>
    <xdr:to>
      <xdr:col>63</xdr:col>
      <xdr:colOff>666750</xdr:colOff>
      <xdr:row>38</xdr:row>
      <xdr:rowOff>-1</xdr:rowOff>
    </xdr:to>
    <xdr:pic>
      <xdr:nvPicPr>
        <xdr:cNvPr id="10" name="Imagen 2" descr=" 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69528327" y="8100278"/>
          <a:ext cx="1347198" cy="131042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10</xdr:col>
      <xdr:colOff>716972</xdr:colOff>
      <xdr:row>26</xdr:row>
      <xdr:rowOff>205218</xdr:rowOff>
    </xdr:from>
    <xdr:to>
      <xdr:col>11</xdr:col>
      <xdr:colOff>329045</xdr:colOff>
      <xdr:row>30</xdr:row>
      <xdr:rowOff>51954</xdr:rowOff>
    </xdr:to>
    <xdr:pic>
      <xdr:nvPicPr>
        <xdr:cNvPr id="11" name="9 Imagen" descr=" ">
          <a:extLst>
            <a:ext uri="{FF2B5EF4-FFF2-40B4-BE49-F238E27FC236}">
              <a16:creationId xmlns:a16="http://schemas.microsoft.com/office/drawing/2014/main" id="{00000000-0008-0000-0900-00000B000000}"/>
            </a:ext>
            <a:ext uri="{147F2762-F138-4A5C-976F-8EAC2B608ADB}">
              <a16:predDERef xmlns:a16="http://schemas.microsoft.com/office/drawing/2014/main" pred="{032E513B-B113-0E4F-AAA2-D4211A929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861222" y="6644118"/>
          <a:ext cx="726498" cy="8373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95</xdr:col>
      <xdr:colOff>25251</xdr:colOff>
      <xdr:row>29</xdr:row>
      <xdr:rowOff>209107</xdr:rowOff>
    </xdr:from>
    <xdr:to>
      <xdr:col>95</xdr:col>
      <xdr:colOff>753139</xdr:colOff>
      <xdr:row>33</xdr:row>
      <xdr:rowOff>44303</xdr:rowOff>
    </xdr:to>
    <xdr:pic>
      <xdr:nvPicPr>
        <xdr:cNvPr id="12" name="Imagen 2" descr=" ">
          <a:extLst>
            <a:ext uri="{FF2B5EF4-FFF2-40B4-BE49-F238E27FC236}">
              <a16:creationId xmlns:a16="http://schemas.microsoft.com/office/drawing/2014/main" id="{00000000-0008-0000-0900-00000C000000}"/>
            </a:ext>
            <a:ext uri="{147F2762-F138-4A5C-976F-8EAC2B608ADB}">
              <a16:predDERef xmlns:a16="http://schemas.microsoft.com/office/drawing/2014/main" pred="{DE4066C1-5012-0547-9669-9F915D034C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05895626" y="7390957"/>
          <a:ext cx="727888" cy="8257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23</xdr:col>
      <xdr:colOff>152400</xdr:colOff>
      <xdr:row>45</xdr:row>
      <xdr:rowOff>100852</xdr:rowOff>
    </xdr:from>
    <xdr:to>
      <xdr:col>26</xdr:col>
      <xdr:colOff>515471</xdr:colOff>
      <xdr:row>49</xdr:row>
      <xdr:rowOff>49837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00000000-0008-0000-0900-00000D000000}"/>
            </a:ext>
            <a:ext uri="{147F2762-F138-4A5C-976F-8EAC2B608ADB}">
              <a16:predDERef xmlns:a16="http://schemas.microsoft.com/office/drawing/2014/main" pred="{8DD7C7B7-396F-E944-846C-F6FB1D1100B0}"/>
            </a:ext>
          </a:extLst>
        </xdr:cNvPr>
        <xdr:cNvSpPr/>
      </xdr:nvSpPr>
      <xdr:spPr>
        <a:xfrm>
          <a:off x="25784175" y="11245102"/>
          <a:ext cx="3706346" cy="9395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60</xdr:col>
      <xdr:colOff>876300</xdr:colOff>
      <xdr:row>28</xdr:row>
      <xdr:rowOff>190500</xdr:rowOff>
    </xdr:from>
    <xdr:to>
      <xdr:col>65</xdr:col>
      <xdr:colOff>76200</xdr:colOff>
      <xdr:row>33</xdr:row>
      <xdr:rowOff>202237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00000000-0008-0000-0900-00000E000000}"/>
            </a:ext>
            <a:ext uri="{147F2762-F138-4A5C-976F-8EAC2B608ADB}">
              <a16:predDERef xmlns:a16="http://schemas.microsoft.com/office/drawing/2014/main" pred="{6949086F-AC33-EA4D-B272-D01A288F384D}"/>
            </a:ext>
          </a:extLst>
        </xdr:cNvPr>
        <xdr:cNvSpPr/>
      </xdr:nvSpPr>
      <xdr:spPr>
        <a:xfrm>
          <a:off x="67741800" y="71247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8</xdr:col>
      <xdr:colOff>990600</xdr:colOff>
      <xdr:row>22</xdr:row>
      <xdr:rowOff>190500</xdr:rowOff>
    </xdr:from>
    <xdr:to>
      <xdr:col>13</xdr:col>
      <xdr:colOff>190500</xdr:colOff>
      <xdr:row>27</xdr:row>
      <xdr:rowOff>202237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900-00000F000000}"/>
            </a:ext>
            <a:ext uri="{147F2762-F138-4A5C-976F-8EAC2B608ADB}">
              <a16:predDERef xmlns:a16="http://schemas.microsoft.com/office/drawing/2014/main" pred="{5AC844A8-7E0C-094D-81FA-E93504DD64DA}"/>
            </a:ext>
          </a:extLst>
        </xdr:cNvPr>
        <xdr:cNvSpPr/>
      </xdr:nvSpPr>
      <xdr:spPr>
        <a:xfrm>
          <a:off x="9906000" y="5638800"/>
          <a:ext cx="4772025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93</xdr:col>
      <xdr:colOff>228600</xdr:colOff>
      <xdr:row>25</xdr:row>
      <xdr:rowOff>228600</xdr:rowOff>
    </xdr:from>
    <xdr:to>
      <xdr:col>97</xdr:col>
      <xdr:colOff>533400</xdr:colOff>
      <xdr:row>30</xdr:row>
      <xdr:rowOff>240337</xdr:rowOff>
    </xdr:to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900-000010000000}"/>
            </a:ext>
            <a:ext uri="{147F2762-F138-4A5C-976F-8EAC2B608ADB}">
              <a16:predDERef xmlns:a16="http://schemas.microsoft.com/office/drawing/2014/main" pred="{BDEAC855-61B4-4B40-9C22-75B9888EE1AE}"/>
            </a:ext>
          </a:extLst>
        </xdr:cNvPr>
        <xdr:cNvSpPr/>
      </xdr:nvSpPr>
      <xdr:spPr>
        <a:xfrm>
          <a:off x="103870125" y="6419850"/>
          <a:ext cx="4762500" cy="12499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10</xdr:col>
      <xdr:colOff>749300</xdr:colOff>
      <xdr:row>8</xdr:row>
      <xdr:rowOff>239486</xdr:rowOff>
    </xdr:from>
    <xdr:to>
      <xdr:col>12</xdr:col>
      <xdr:colOff>196850</xdr:colOff>
      <xdr:row>12</xdr:row>
      <xdr:rowOff>201386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11893550" y="2220686"/>
          <a:ext cx="1676400" cy="95250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Cambio Mix posición 1 y 2.</a:t>
          </a:r>
        </a:p>
      </xdr:txBody>
    </xdr:sp>
    <xdr:clientData/>
  </xdr:twoCellAnchor>
  <xdr:twoCellAnchor>
    <xdr:from>
      <xdr:col>68</xdr:col>
      <xdr:colOff>476250</xdr:colOff>
      <xdr:row>34</xdr:row>
      <xdr:rowOff>204108</xdr:rowOff>
    </xdr:from>
    <xdr:to>
      <xdr:col>70</xdr:col>
      <xdr:colOff>367393</xdr:colOff>
      <xdr:row>38</xdr:row>
      <xdr:rowOff>136071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76257150" y="8624208"/>
          <a:ext cx="2119993" cy="922563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>
              <a:solidFill>
                <a:schemeClr val="bg1"/>
              </a:solidFill>
            </a:rPr>
            <a:t>Ingreso 6 Allure</a:t>
          </a:r>
          <a:r>
            <a:rPr lang="es-MX" sz="1400" b="1" baseline="0">
              <a:solidFill>
                <a:schemeClr val="bg1"/>
              </a:solidFill>
            </a:rPr>
            <a:t> Max</a:t>
          </a:r>
          <a:r>
            <a:rPr lang="es-MX" sz="1400" b="1">
              <a:solidFill>
                <a:schemeClr val="bg1"/>
              </a:solidFill>
            </a:rPr>
            <a:t> con FUPTS</a:t>
          </a:r>
          <a:r>
            <a:rPr lang="es-MX" sz="110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GO81"/>
  <sheetViews>
    <sheetView tabSelected="1" topLeftCell="BU1" zoomScale="55" zoomScaleNormal="55" workbookViewId="0">
      <selection activeCell="BU1" sqref="A1:XFD1048576"/>
    </sheetView>
  </sheetViews>
  <sheetFormatPr baseColWidth="10" defaultColWidth="16.7109375" defaultRowHeight="19.5" customHeight="1" x14ac:dyDescent="0.25"/>
  <cols>
    <col min="1" max="16384" width="16.7109375" style="1154"/>
  </cols>
  <sheetData>
    <row r="1" spans="1:107" s="938" customFormat="1" ht="19.5" customHeight="1" thickBot="1" x14ac:dyDescent="0.3">
      <c r="A1" s="935" t="s">
        <v>163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936"/>
      <c r="M1" s="936"/>
      <c r="N1" s="936"/>
      <c r="O1" s="936"/>
      <c r="P1" s="936"/>
      <c r="Q1" s="936"/>
      <c r="R1" s="936"/>
      <c r="S1" s="936"/>
      <c r="T1" s="936"/>
      <c r="U1" s="936"/>
      <c r="V1" s="936"/>
      <c r="W1" s="936"/>
      <c r="X1" s="936"/>
      <c r="Y1" s="936"/>
      <c r="Z1" s="936"/>
      <c r="AA1" s="936"/>
      <c r="AB1" s="936"/>
      <c r="AC1" s="936"/>
      <c r="AD1" s="936"/>
      <c r="AE1" s="936"/>
      <c r="AF1" s="936"/>
      <c r="AG1" s="936"/>
      <c r="AH1" s="936"/>
      <c r="AI1" s="936"/>
      <c r="AJ1" s="936"/>
      <c r="AK1" s="936"/>
      <c r="AL1" s="936"/>
      <c r="AM1" s="936"/>
      <c r="AN1" s="936"/>
      <c r="AO1" s="936"/>
      <c r="AP1" s="936"/>
      <c r="AQ1" s="936"/>
      <c r="AR1" s="936"/>
      <c r="AS1" s="936"/>
      <c r="AT1" s="936"/>
      <c r="AU1" s="936"/>
      <c r="AV1" s="936"/>
      <c r="AW1" s="936"/>
      <c r="AX1" s="936"/>
      <c r="AY1" s="936"/>
      <c r="AZ1" s="936"/>
      <c r="BA1" s="936"/>
      <c r="BB1" s="936"/>
      <c r="BC1" s="936"/>
      <c r="BD1" s="936"/>
      <c r="BE1" s="936"/>
      <c r="BF1" s="936"/>
      <c r="BG1" s="936"/>
      <c r="BH1" s="936"/>
      <c r="BI1" s="936"/>
      <c r="BJ1" s="936"/>
      <c r="BK1" s="936"/>
      <c r="BL1" s="936"/>
      <c r="BM1" s="936"/>
      <c r="BN1" s="936"/>
      <c r="BO1" s="936"/>
      <c r="BP1" s="936"/>
      <c r="BQ1" s="936"/>
      <c r="BR1" s="936"/>
      <c r="BS1" s="936"/>
      <c r="BT1" s="936"/>
      <c r="BU1" s="936"/>
      <c r="BV1" s="936"/>
      <c r="BW1" s="936"/>
      <c r="BX1" s="936"/>
      <c r="BY1" s="936"/>
      <c r="BZ1" s="936"/>
      <c r="CA1" s="936"/>
      <c r="CB1" s="936"/>
      <c r="CC1" s="936"/>
      <c r="CD1" s="936"/>
      <c r="CE1" s="936"/>
      <c r="CF1" s="936"/>
      <c r="CG1" s="936"/>
      <c r="CH1" s="936"/>
      <c r="CI1" s="936"/>
      <c r="CJ1" s="936"/>
      <c r="CK1" s="936"/>
      <c r="CL1" s="936"/>
      <c r="CM1" s="936"/>
      <c r="CN1" s="936"/>
      <c r="CO1" s="936"/>
      <c r="CP1" s="936"/>
      <c r="CQ1" s="936"/>
      <c r="CR1" s="936"/>
      <c r="CS1" s="936"/>
      <c r="CT1" s="936"/>
      <c r="CU1" s="936"/>
      <c r="CV1" s="936"/>
      <c r="CW1" s="936"/>
      <c r="CX1" s="936"/>
      <c r="CY1" s="936"/>
      <c r="CZ1" s="936"/>
      <c r="DA1" s="936"/>
      <c r="DB1" s="936"/>
      <c r="DC1" s="937"/>
    </row>
    <row r="2" spans="1:107" s="942" customFormat="1" ht="19.5" customHeight="1" x14ac:dyDescent="0.25">
      <c r="A2" s="939"/>
      <c r="B2" s="939"/>
      <c r="C2" s="939"/>
      <c r="D2" s="939"/>
      <c r="E2" s="939"/>
      <c r="F2" s="939"/>
      <c r="G2" s="939"/>
      <c r="H2" s="939"/>
      <c r="I2" s="939"/>
      <c r="J2" s="939"/>
      <c r="K2" s="939"/>
      <c r="L2" s="940" t="s">
        <v>164</v>
      </c>
      <c r="M2" s="940"/>
      <c r="N2" s="940"/>
      <c r="O2" s="940"/>
      <c r="P2" s="940"/>
      <c r="Q2" s="940"/>
      <c r="R2" s="940"/>
      <c r="S2" s="940"/>
      <c r="T2" s="940"/>
      <c r="U2" s="940"/>
      <c r="V2" s="940"/>
      <c r="W2" s="940"/>
      <c r="X2" s="940"/>
      <c r="Y2" s="939"/>
      <c r="Z2" s="939"/>
      <c r="AA2" s="939"/>
      <c r="AB2" s="939"/>
      <c r="AC2" s="939"/>
      <c r="AD2" s="939"/>
      <c r="AE2" s="939"/>
      <c r="AF2" s="939"/>
      <c r="AG2" s="939"/>
      <c r="AH2" s="939"/>
      <c r="AI2" s="939"/>
      <c r="AJ2" s="939"/>
      <c r="AK2" s="939"/>
      <c r="AL2" s="939"/>
      <c r="AM2" s="939"/>
      <c r="AN2" s="939"/>
      <c r="AO2" s="939"/>
      <c r="AP2" s="939"/>
      <c r="AQ2" s="939"/>
      <c r="AR2" s="939"/>
      <c r="AS2" s="939"/>
      <c r="AT2" s="939"/>
      <c r="AU2" s="939"/>
      <c r="AV2" s="939"/>
      <c r="AW2" s="939"/>
      <c r="AX2" s="939"/>
      <c r="AY2" s="939"/>
      <c r="AZ2" s="941" t="s">
        <v>165</v>
      </c>
      <c r="BA2" s="940"/>
      <c r="BB2" s="940"/>
      <c r="BC2" s="940"/>
      <c r="BD2" s="940"/>
      <c r="BE2" s="940"/>
      <c r="BF2" s="940"/>
      <c r="BG2" s="940"/>
      <c r="BH2" s="940"/>
      <c r="BI2" s="940"/>
      <c r="BJ2" s="940"/>
      <c r="BK2" s="940"/>
      <c r="BL2" s="940"/>
      <c r="BM2" s="939"/>
      <c r="BN2" s="939"/>
      <c r="BO2" s="939"/>
      <c r="BP2" s="939"/>
      <c r="BQ2" s="939"/>
      <c r="BR2" s="939"/>
      <c r="BS2" s="939"/>
      <c r="BT2" s="939"/>
      <c r="BU2" s="939"/>
      <c r="BV2" s="939"/>
      <c r="BW2" s="939"/>
      <c r="BX2" s="939"/>
      <c r="BY2" s="939"/>
      <c r="BZ2" s="939"/>
      <c r="CA2" s="939"/>
      <c r="CB2" s="939"/>
      <c r="CC2" s="939"/>
      <c r="CD2" s="939"/>
      <c r="CE2" s="939"/>
      <c r="CF2" s="939"/>
      <c r="CG2" s="939"/>
      <c r="CH2" s="939"/>
      <c r="CI2" s="939"/>
      <c r="CJ2" s="940" t="s">
        <v>166</v>
      </c>
      <c r="CK2" s="940"/>
      <c r="CL2" s="940"/>
      <c r="CM2" s="940"/>
      <c r="CN2" s="940"/>
      <c r="CO2" s="940"/>
      <c r="CP2" s="940"/>
      <c r="CQ2" s="940"/>
      <c r="CR2" s="940"/>
      <c r="CS2" s="940"/>
      <c r="CT2" s="940"/>
      <c r="CU2" s="940"/>
      <c r="CV2" s="940"/>
      <c r="CW2" s="939"/>
      <c r="CX2" s="939"/>
      <c r="CY2" s="939"/>
      <c r="CZ2" s="939"/>
      <c r="DA2" s="939"/>
      <c r="DB2" s="939"/>
      <c r="DC2" s="939"/>
    </row>
    <row r="3" spans="1:107" s="942" customFormat="1" ht="19.5" customHeight="1" x14ac:dyDescent="0.25">
      <c r="A3" s="939"/>
      <c r="B3" s="939"/>
      <c r="C3" s="939"/>
      <c r="D3" s="939"/>
      <c r="E3" s="939"/>
      <c r="F3" s="939"/>
      <c r="G3" s="939"/>
      <c r="H3" s="939"/>
      <c r="I3" s="939"/>
      <c r="J3" s="939"/>
      <c r="K3" s="939"/>
      <c r="L3" s="940"/>
      <c r="M3" s="940"/>
      <c r="N3" s="940"/>
      <c r="O3" s="940"/>
      <c r="P3" s="940"/>
      <c r="Q3" s="940"/>
      <c r="R3" s="940"/>
      <c r="S3" s="940"/>
      <c r="T3" s="940"/>
      <c r="U3" s="940"/>
      <c r="V3" s="940"/>
      <c r="W3" s="940"/>
      <c r="X3" s="940"/>
      <c r="Y3" s="939"/>
      <c r="Z3" s="939"/>
      <c r="AA3" s="939"/>
      <c r="AB3" s="939"/>
      <c r="AC3" s="939"/>
      <c r="AD3" s="939"/>
      <c r="AE3" s="939"/>
      <c r="AF3" s="939"/>
      <c r="AG3" s="939"/>
      <c r="AH3" s="939"/>
      <c r="AI3" s="939"/>
      <c r="AJ3" s="939"/>
      <c r="AK3" s="939"/>
      <c r="AL3" s="939"/>
      <c r="AM3" s="939"/>
      <c r="AN3" s="939"/>
      <c r="AO3" s="939"/>
      <c r="AP3" s="939"/>
      <c r="AQ3" s="939"/>
      <c r="AR3" s="939"/>
      <c r="AS3" s="939"/>
      <c r="AT3" s="939"/>
      <c r="AU3" s="939"/>
      <c r="AV3" s="939"/>
      <c r="AW3" s="939"/>
      <c r="AX3" s="939"/>
      <c r="AY3" s="939"/>
      <c r="AZ3" s="940"/>
      <c r="BA3" s="940"/>
      <c r="BB3" s="940"/>
      <c r="BC3" s="940"/>
      <c r="BD3" s="940"/>
      <c r="BE3" s="940"/>
      <c r="BF3" s="940"/>
      <c r="BG3" s="940"/>
      <c r="BH3" s="940"/>
      <c r="BI3" s="940"/>
      <c r="BJ3" s="940"/>
      <c r="BK3" s="940"/>
      <c r="BL3" s="940"/>
      <c r="BM3" s="939"/>
      <c r="BN3" s="939"/>
      <c r="BO3" s="939"/>
      <c r="BP3" s="939"/>
      <c r="BQ3" s="939"/>
      <c r="BR3" s="939"/>
      <c r="BS3" s="939"/>
      <c r="BT3" s="939"/>
      <c r="BU3" s="939"/>
      <c r="BV3" s="939"/>
      <c r="BW3" s="939"/>
      <c r="BX3" s="939"/>
      <c r="BY3" s="939"/>
      <c r="BZ3" s="939"/>
      <c r="CA3" s="939"/>
      <c r="CB3" s="939"/>
      <c r="CC3" s="939"/>
      <c r="CD3" s="939"/>
      <c r="CE3" s="939"/>
      <c r="CF3" s="939"/>
      <c r="CG3" s="939"/>
      <c r="CH3" s="939"/>
      <c r="CI3" s="939"/>
      <c r="CJ3" s="940"/>
      <c r="CK3" s="940"/>
      <c r="CL3" s="940"/>
      <c r="CM3" s="940"/>
      <c r="CN3" s="940"/>
      <c r="CO3" s="940"/>
      <c r="CP3" s="940"/>
      <c r="CQ3" s="940"/>
      <c r="CR3" s="940"/>
      <c r="CS3" s="940"/>
      <c r="CT3" s="940"/>
      <c r="CU3" s="940"/>
      <c r="CV3" s="940"/>
      <c r="CW3" s="939"/>
      <c r="CX3" s="939"/>
      <c r="CY3" s="939"/>
      <c r="CZ3" s="939"/>
      <c r="DA3" s="939"/>
      <c r="DB3" s="939"/>
      <c r="DC3" s="939"/>
    </row>
    <row r="4" spans="1:107" s="942" customFormat="1" ht="19.5" customHeight="1" thickBot="1" x14ac:dyDescent="0.3">
      <c r="A4" s="939"/>
      <c r="B4" s="939"/>
      <c r="C4" s="939"/>
      <c r="D4" s="939"/>
      <c r="E4" s="939"/>
      <c r="F4" s="939"/>
      <c r="G4" s="939"/>
      <c r="H4" s="939"/>
      <c r="I4" s="939"/>
      <c r="J4" s="939"/>
      <c r="K4" s="939"/>
      <c r="L4" s="940"/>
      <c r="M4" s="940"/>
      <c r="N4" s="940"/>
      <c r="O4" s="940"/>
      <c r="P4" s="940"/>
      <c r="Q4" s="940"/>
      <c r="R4" s="940"/>
      <c r="S4" s="940"/>
      <c r="T4" s="940"/>
      <c r="U4" s="940"/>
      <c r="V4" s="940"/>
      <c r="W4" s="940"/>
      <c r="X4" s="940"/>
      <c r="Y4" s="939"/>
      <c r="Z4" s="939"/>
      <c r="AA4" s="939"/>
      <c r="AB4" s="939"/>
      <c r="AC4" s="939"/>
      <c r="AD4" s="939"/>
      <c r="AE4" s="939"/>
      <c r="AF4" s="939"/>
      <c r="AG4" s="939"/>
      <c r="AH4" s="939"/>
      <c r="AI4" s="939"/>
      <c r="AJ4" s="939"/>
      <c r="AK4" s="939"/>
      <c r="AL4" s="939"/>
      <c r="AM4" s="939"/>
      <c r="AN4" s="939"/>
      <c r="AO4" s="939"/>
      <c r="AP4" s="939"/>
      <c r="AQ4" s="939"/>
      <c r="AR4" s="939"/>
      <c r="AS4" s="939"/>
      <c r="AT4" s="939"/>
      <c r="AU4" s="939"/>
      <c r="AV4" s="939"/>
      <c r="AW4" s="939"/>
      <c r="AX4" s="939"/>
      <c r="AY4" s="939"/>
      <c r="AZ4" s="940"/>
      <c r="BA4" s="940"/>
      <c r="BB4" s="940"/>
      <c r="BC4" s="940"/>
      <c r="BD4" s="940"/>
      <c r="BE4" s="940"/>
      <c r="BF4" s="940"/>
      <c r="BG4" s="940"/>
      <c r="BH4" s="940"/>
      <c r="BI4" s="940"/>
      <c r="BJ4" s="940"/>
      <c r="BK4" s="940"/>
      <c r="BL4" s="940"/>
      <c r="BM4" s="939"/>
      <c r="BN4" s="939"/>
      <c r="BO4" s="939"/>
      <c r="BP4" s="939"/>
      <c r="BQ4" s="939"/>
      <c r="BR4" s="939"/>
      <c r="BS4" s="939"/>
      <c r="BT4" s="939"/>
      <c r="BU4" s="939"/>
      <c r="BV4" s="939"/>
      <c r="BW4" s="939"/>
      <c r="BX4" s="939"/>
      <c r="BY4" s="939"/>
      <c r="BZ4" s="939"/>
      <c r="CA4" s="939"/>
      <c r="CB4" s="939"/>
      <c r="CC4" s="939"/>
      <c r="CD4" s="939"/>
      <c r="CE4" s="939"/>
      <c r="CF4" s="939"/>
      <c r="CG4" s="939"/>
      <c r="CH4" s="939"/>
      <c r="CI4" s="939"/>
      <c r="CJ4" s="940"/>
      <c r="CK4" s="940"/>
      <c r="CL4" s="940"/>
      <c r="CM4" s="940"/>
      <c r="CN4" s="940"/>
      <c r="CO4" s="940"/>
      <c r="CP4" s="940"/>
      <c r="CQ4" s="940"/>
      <c r="CR4" s="940"/>
      <c r="CS4" s="940"/>
      <c r="CT4" s="940"/>
      <c r="CU4" s="940"/>
      <c r="CV4" s="940"/>
      <c r="CW4" s="939"/>
      <c r="CX4" s="939"/>
      <c r="CY4" s="939"/>
      <c r="CZ4" s="939"/>
      <c r="DA4" s="939"/>
      <c r="DB4" s="939"/>
      <c r="DC4" s="939"/>
    </row>
    <row r="5" spans="1:107" s="942" customFormat="1" ht="19.5" customHeight="1" thickBot="1" x14ac:dyDescent="0.3">
      <c r="A5" s="943"/>
      <c r="B5" s="943"/>
      <c r="C5" s="943"/>
      <c r="D5" s="943"/>
      <c r="E5" s="943"/>
      <c r="F5" s="943"/>
      <c r="G5" s="943"/>
      <c r="H5" s="943"/>
      <c r="I5" s="943"/>
      <c r="J5" s="943"/>
      <c r="K5" s="943"/>
      <c r="L5" s="943"/>
      <c r="M5" s="943"/>
      <c r="N5" s="943"/>
      <c r="O5" s="943"/>
      <c r="P5" s="944"/>
      <c r="Q5" s="944"/>
      <c r="R5" s="944"/>
      <c r="S5" s="944"/>
      <c r="T5" s="944"/>
      <c r="U5" s="944"/>
      <c r="V5" s="944"/>
      <c r="W5" s="944"/>
      <c r="X5" s="944"/>
      <c r="Y5" s="944"/>
      <c r="Z5" s="944"/>
      <c r="AA5" s="944"/>
      <c r="AB5" s="944"/>
      <c r="AC5" s="944"/>
      <c r="AD5" s="944"/>
      <c r="AE5" s="945"/>
      <c r="AF5" s="946"/>
      <c r="AG5" s="946"/>
      <c r="AH5" s="947"/>
      <c r="AI5" s="948"/>
      <c r="AJ5" s="948"/>
      <c r="AK5" s="948"/>
      <c r="AL5" s="939"/>
      <c r="AM5" s="943"/>
      <c r="AN5" s="943"/>
      <c r="AO5" s="943"/>
      <c r="AP5" s="943"/>
      <c r="AQ5" s="943"/>
      <c r="AR5" s="943"/>
      <c r="AS5" s="943"/>
      <c r="AT5" s="943"/>
      <c r="AU5" s="943"/>
      <c r="AV5" s="943"/>
      <c r="AW5" s="943"/>
      <c r="AX5" s="943"/>
      <c r="AY5" s="943"/>
      <c r="AZ5" s="943"/>
      <c r="BA5" s="943"/>
      <c r="BB5" s="943"/>
      <c r="BC5" s="943"/>
      <c r="BD5" s="943"/>
      <c r="BE5" s="943"/>
      <c r="BF5" s="943"/>
      <c r="BG5" s="944"/>
      <c r="BH5" s="944"/>
      <c r="BI5" s="944"/>
      <c r="BJ5" s="944"/>
      <c r="BK5" s="944"/>
      <c r="BL5" s="944"/>
      <c r="BM5" s="944"/>
      <c r="BN5" s="944"/>
      <c r="BO5" s="944"/>
      <c r="BP5" s="944"/>
      <c r="BQ5" s="949" t="s">
        <v>167</v>
      </c>
      <c r="BR5" s="950"/>
      <c r="BS5" s="951"/>
      <c r="BT5" s="946"/>
      <c r="BU5" s="946"/>
      <c r="BV5" s="946"/>
      <c r="BW5" s="946"/>
      <c r="BX5" s="947"/>
      <c r="BY5" s="947"/>
      <c r="BZ5" s="948"/>
      <c r="CA5" s="948"/>
      <c r="CB5" s="948"/>
      <c r="CC5" s="939"/>
      <c r="CD5" s="943"/>
      <c r="CE5" s="943"/>
      <c r="CF5" s="943"/>
      <c r="CG5" s="943"/>
      <c r="CH5" s="944"/>
      <c r="CI5" s="944"/>
      <c r="CJ5" s="944"/>
      <c r="CK5" s="944"/>
      <c r="CL5" s="944"/>
      <c r="CM5" s="944"/>
      <c r="CN5" s="944"/>
      <c r="CO5" s="944"/>
      <c r="CP5" s="944"/>
      <c r="CQ5" s="944"/>
      <c r="CR5" s="944"/>
      <c r="CS5" s="944"/>
      <c r="CT5" s="944"/>
      <c r="CU5" s="944"/>
      <c r="CV5" s="944"/>
      <c r="CW5" s="945"/>
      <c r="CX5" s="946"/>
      <c r="CY5" s="947"/>
      <c r="CZ5" s="947"/>
      <c r="DA5" s="948"/>
      <c r="DB5" s="948"/>
      <c r="DC5" s="948"/>
    </row>
    <row r="6" spans="1:107" s="942" customFormat="1" ht="19.5" customHeight="1" x14ac:dyDescent="0.25">
      <c r="A6" s="952" t="s">
        <v>168</v>
      </c>
      <c r="B6" s="953"/>
      <c r="C6" s="954"/>
      <c r="D6" s="955"/>
      <c r="E6" s="956"/>
      <c r="F6" s="957"/>
      <c r="G6" s="958">
        <v>3128046</v>
      </c>
      <c r="H6" s="957"/>
      <c r="I6" s="959"/>
      <c r="J6" s="955"/>
      <c r="K6" s="960"/>
      <c r="L6" s="961">
        <v>3930641</v>
      </c>
      <c r="M6" s="956"/>
      <c r="N6" s="955"/>
      <c r="O6" s="943"/>
      <c r="P6" s="962"/>
      <c r="Q6" s="962"/>
      <c r="R6" s="962"/>
      <c r="S6" s="962"/>
      <c r="T6" s="962"/>
      <c r="U6" s="962"/>
      <c r="V6" s="962"/>
      <c r="W6" s="962"/>
      <c r="X6" s="962"/>
      <c r="Y6" s="962"/>
      <c r="Z6" s="962"/>
      <c r="AA6" s="963" t="s">
        <v>175</v>
      </c>
      <c r="AB6" s="964"/>
      <c r="AC6" s="964"/>
      <c r="AD6" s="964"/>
      <c r="AE6" s="964"/>
      <c r="AF6" s="964"/>
      <c r="AG6" s="964"/>
      <c r="AH6" s="964"/>
      <c r="AI6" s="964"/>
      <c r="AJ6" s="964"/>
      <c r="AK6" s="948"/>
      <c r="AL6" s="939"/>
      <c r="AM6" s="943"/>
      <c r="AZ6" s="965"/>
      <c r="BA6" s="966"/>
      <c r="BB6" s="967"/>
      <c r="BC6" s="968"/>
      <c r="BE6" s="968"/>
      <c r="BF6" s="968"/>
      <c r="BG6" s="968"/>
      <c r="BH6" s="968"/>
      <c r="BI6" s="968"/>
      <c r="BJ6" s="968"/>
      <c r="BK6" s="968"/>
      <c r="BL6" s="968"/>
      <c r="BM6" s="968"/>
      <c r="BN6" s="968"/>
      <c r="BO6" s="968"/>
      <c r="BP6" s="968"/>
      <c r="BQ6" s="969"/>
      <c r="BR6" s="969"/>
      <c r="BS6" s="969"/>
      <c r="BT6" s="970"/>
      <c r="BU6" s="970"/>
      <c r="BV6" s="970"/>
      <c r="BW6" s="970"/>
      <c r="BX6" s="970"/>
      <c r="BY6" s="970"/>
      <c r="BZ6" s="971" t="s">
        <v>170</v>
      </c>
      <c r="CA6" s="972"/>
      <c r="CB6" s="948"/>
      <c r="CC6" s="939"/>
      <c r="CD6" s="943"/>
      <c r="CE6" s="939"/>
      <c r="CF6" s="973"/>
      <c r="CH6" s="974"/>
      <c r="CI6" s="975"/>
      <c r="CJ6" s="975"/>
      <c r="CK6" s="975"/>
      <c r="CL6" s="975"/>
      <c r="CM6" s="975"/>
      <c r="CN6" s="976"/>
      <c r="CO6" s="976"/>
      <c r="CP6" s="976"/>
      <c r="CS6" s="977"/>
      <c r="CT6" s="978"/>
      <c r="CU6" s="978"/>
      <c r="CV6" s="978"/>
      <c r="CW6" s="978"/>
      <c r="CX6" s="978"/>
      <c r="CY6" s="978"/>
      <c r="CZ6" s="978"/>
      <c r="DA6" s="979"/>
      <c r="DB6" s="979"/>
      <c r="DC6" s="948"/>
    </row>
    <row r="7" spans="1:107" s="942" customFormat="1" ht="19.5" customHeight="1" x14ac:dyDescent="0.25">
      <c r="A7" s="980"/>
      <c r="B7" s="981"/>
      <c r="C7" s="982"/>
      <c r="G7" s="983" t="s">
        <v>171</v>
      </c>
      <c r="H7" s="984" t="s">
        <v>172</v>
      </c>
      <c r="I7" s="985"/>
      <c r="J7" s="986"/>
      <c r="K7" s="984" t="s">
        <v>173</v>
      </c>
      <c r="L7" s="987" t="s">
        <v>174</v>
      </c>
      <c r="M7" s="976"/>
      <c r="N7" s="986"/>
      <c r="O7" s="943"/>
      <c r="P7" s="962"/>
      <c r="Q7" s="962"/>
      <c r="R7" s="962"/>
      <c r="S7" s="962"/>
      <c r="T7" s="962"/>
      <c r="U7" s="969"/>
      <c r="V7" s="969"/>
      <c r="W7" s="962"/>
      <c r="X7" s="962"/>
      <c r="Y7" s="988"/>
      <c r="Z7" s="988"/>
      <c r="AA7" s="963"/>
      <c r="AB7" s="964"/>
      <c r="AC7" s="964"/>
      <c r="AD7" s="964"/>
      <c r="AE7" s="964"/>
      <c r="AF7" s="964"/>
      <c r="AG7" s="964"/>
      <c r="AH7" s="964"/>
      <c r="AI7" s="964"/>
      <c r="AJ7" s="964"/>
      <c r="AK7" s="948"/>
      <c r="AL7" s="939"/>
      <c r="AM7" s="943"/>
      <c r="AZ7" s="989"/>
      <c r="BA7" s="990"/>
      <c r="BB7" s="967"/>
      <c r="BC7" s="968"/>
      <c r="BF7" s="968"/>
      <c r="BG7" s="968"/>
      <c r="BH7" s="968"/>
      <c r="BI7" s="968"/>
      <c r="BJ7" s="968"/>
      <c r="BK7" s="968"/>
      <c r="BL7" s="968"/>
      <c r="BM7" s="968"/>
      <c r="BN7" s="968"/>
      <c r="BO7" s="968"/>
      <c r="BP7" s="968"/>
      <c r="BQ7" s="969"/>
      <c r="BR7" s="969"/>
      <c r="BS7" s="969"/>
      <c r="BT7" s="970"/>
      <c r="BU7" s="970"/>
      <c r="BV7" s="970"/>
      <c r="BW7" s="970"/>
      <c r="BX7" s="970"/>
      <c r="BY7" s="970"/>
      <c r="BZ7" s="991"/>
      <c r="CA7" s="992"/>
      <c r="CB7" s="948"/>
      <c r="CC7" s="939"/>
      <c r="CD7" s="943"/>
      <c r="CE7" s="978"/>
      <c r="CF7" s="993"/>
      <c r="CG7" s="994"/>
      <c r="CH7" s="994"/>
      <c r="CI7" s="995"/>
      <c r="CJ7" s="995"/>
      <c r="CK7" s="995"/>
      <c r="CL7" s="995"/>
      <c r="CM7" s="995"/>
      <c r="CN7" s="995"/>
      <c r="CO7" s="995"/>
      <c r="CP7" s="976"/>
      <c r="CQ7" s="976"/>
      <c r="CR7" s="976"/>
      <c r="DA7" s="979"/>
      <c r="DB7" s="979"/>
      <c r="DC7" s="948"/>
    </row>
    <row r="8" spans="1:107" s="942" customFormat="1" ht="19.5" customHeight="1" thickBot="1" x14ac:dyDescent="0.3">
      <c r="A8" s="996"/>
      <c r="B8" s="997"/>
      <c r="C8" s="998"/>
      <c r="G8" s="999"/>
      <c r="H8" s="985"/>
      <c r="I8" s="985"/>
      <c r="J8" s="985"/>
      <c r="K8" s="976"/>
      <c r="L8" s="999"/>
      <c r="M8" s="976"/>
      <c r="N8" s="976"/>
      <c r="O8" s="943"/>
      <c r="P8" s="962"/>
      <c r="Q8" s="962"/>
      <c r="R8" s="962"/>
      <c r="S8" s="962"/>
      <c r="T8" s="962"/>
      <c r="U8" s="969"/>
      <c r="V8" s="969"/>
      <c r="W8" s="962"/>
      <c r="X8" s="962"/>
      <c r="Y8" s="988"/>
      <c r="Z8" s="988"/>
      <c r="AA8" s="963"/>
      <c r="AB8" s="964"/>
      <c r="AC8" s="964"/>
      <c r="AD8" s="964"/>
      <c r="AE8" s="964"/>
      <c r="AF8" s="964"/>
      <c r="AG8" s="964"/>
      <c r="AH8" s="964"/>
      <c r="AI8" s="964"/>
      <c r="AJ8" s="964"/>
      <c r="AK8" s="948"/>
      <c r="AL8" s="939"/>
      <c r="AM8" s="943"/>
      <c r="AZ8" s="989"/>
      <c r="BA8" s="990"/>
      <c r="BC8" s="968"/>
      <c r="BF8" s="968"/>
      <c r="BG8" s="968"/>
      <c r="BH8" s="968"/>
      <c r="BI8" s="968"/>
      <c r="BJ8" s="968"/>
      <c r="BK8" s="968"/>
      <c r="BL8" s="968"/>
      <c r="BM8" s="968"/>
      <c r="BN8" s="968"/>
      <c r="BO8" s="968"/>
      <c r="BP8" s="968"/>
      <c r="BQ8" s="994"/>
      <c r="BR8" s="994"/>
      <c r="BS8" s="994"/>
      <c r="BT8" s="1000"/>
      <c r="BU8" s="1000"/>
      <c r="BV8" s="994"/>
      <c r="BW8" s="994"/>
      <c r="BX8" s="973"/>
      <c r="BY8" s="973"/>
      <c r="BZ8" s="991"/>
      <c r="CA8" s="992"/>
      <c r="CB8" s="948"/>
      <c r="CC8" s="939"/>
      <c r="CD8" s="943"/>
      <c r="CE8" s="939"/>
      <c r="CF8" s="993"/>
      <c r="CG8" s="976"/>
      <c r="CH8" s="976"/>
      <c r="CI8" s="976"/>
      <c r="CJ8" s="976"/>
      <c r="CK8" s="976"/>
      <c r="CL8" s="976"/>
      <c r="CM8" s="976"/>
      <c r="CN8" s="976"/>
      <c r="CO8" s="976"/>
      <c r="CP8" s="976"/>
      <c r="CQ8" s="976"/>
      <c r="CR8" s="976"/>
      <c r="CS8" s="976"/>
      <c r="CT8" s="976"/>
      <c r="CU8" s="976"/>
      <c r="CV8" s="976"/>
      <c r="CW8" s="976"/>
      <c r="CX8" s="976"/>
      <c r="CY8" s="976"/>
      <c r="CZ8" s="976"/>
      <c r="DA8" s="979"/>
      <c r="DB8" s="979"/>
      <c r="DC8" s="948"/>
    </row>
    <row r="9" spans="1:107" s="942" customFormat="1" ht="19.5" customHeight="1" x14ac:dyDescent="0.25">
      <c r="A9" s="1001"/>
      <c r="B9" s="1002"/>
      <c r="C9" s="1002"/>
      <c r="G9" s="1003" t="s">
        <v>176</v>
      </c>
      <c r="H9" s="1003"/>
      <c r="L9" s="1004" t="s">
        <v>177</v>
      </c>
      <c r="N9" s="976"/>
      <c r="O9" s="943"/>
      <c r="P9" s="962"/>
      <c r="Q9" s="1005" t="s">
        <v>169</v>
      </c>
      <c r="R9" s="1006"/>
      <c r="S9" s="1006"/>
      <c r="T9" s="1006"/>
      <c r="U9" s="1006"/>
      <c r="V9" s="1006"/>
      <c r="W9" s="1006"/>
      <c r="X9" s="1007"/>
      <c r="Y9" s="988"/>
      <c r="Z9" s="988"/>
      <c r="AA9" s="963"/>
      <c r="AB9" s="964"/>
      <c r="AC9" s="964"/>
      <c r="AD9" s="964"/>
      <c r="AE9" s="964"/>
      <c r="AF9" s="964"/>
      <c r="AG9" s="964"/>
      <c r="AH9" s="964"/>
      <c r="AI9" s="964"/>
      <c r="AJ9" s="964"/>
      <c r="AK9" s="948"/>
      <c r="AL9" s="939"/>
      <c r="AM9" s="943"/>
      <c r="AZ9" s="989"/>
      <c r="BA9" s="990"/>
      <c r="BB9" s="967"/>
      <c r="BC9" s="968"/>
      <c r="BI9" s="968"/>
      <c r="BJ9" s="968"/>
      <c r="BK9" s="968"/>
      <c r="BL9" s="968"/>
      <c r="BM9" s="968"/>
      <c r="BN9" s="968"/>
      <c r="BO9" s="968"/>
      <c r="BP9" s="968"/>
      <c r="BQ9" s="994"/>
      <c r="BR9" s="994"/>
      <c r="BS9" s="994"/>
      <c r="BT9" s="973"/>
      <c r="BU9" s="994"/>
      <c r="BV9" s="994"/>
      <c r="BW9" s="994"/>
      <c r="BX9" s="973"/>
      <c r="BY9" s="973"/>
      <c r="BZ9" s="991"/>
      <c r="CA9" s="992"/>
      <c r="CB9" s="948"/>
      <c r="CC9" s="939"/>
      <c r="CD9" s="943"/>
      <c r="CE9" s="978"/>
      <c r="CF9" s="993"/>
      <c r="CQ9" s="976"/>
      <c r="CR9" s="976"/>
      <c r="CS9" s="976"/>
      <c r="CT9" s="976"/>
      <c r="CX9" s="976"/>
      <c r="CY9" s="976"/>
      <c r="CZ9" s="976"/>
      <c r="DA9" s="1008"/>
      <c r="DB9" s="1008"/>
      <c r="DC9" s="948"/>
    </row>
    <row r="10" spans="1:107" s="942" customFormat="1" ht="19.5" customHeight="1" thickBot="1" x14ac:dyDescent="0.3">
      <c r="A10" s="1009"/>
      <c r="B10" s="976"/>
      <c r="C10" s="976"/>
      <c r="D10" s="976"/>
      <c r="J10" s="976"/>
      <c r="K10" s="1002"/>
      <c r="L10" s="976"/>
      <c r="M10" s="976"/>
      <c r="N10" s="976"/>
      <c r="O10" s="943"/>
      <c r="P10" s="962"/>
      <c r="Q10" s="1010"/>
      <c r="R10" s="1011"/>
      <c r="S10" s="1011"/>
      <c r="T10" s="1011"/>
      <c r="U10" s="1011"/>
      <c r="V10" s="1011"/>
      <c r="W10" s="1011"/>
      <c r="X10" s="1012"/>
      <c r="Y10" s="988"/>
      <c r="Z10" s="988"/>
      <c r="AA10" s="944"/>
      <c r="AB10" s="944"/>
      <c r="AC10" s="944"/>
      <c r="AD10" s="944"/>
      <c r="AE10" s="944"/>
      <c r="AF10" s="944"/>
      <c r="AG10" s="944"/>
      <c r="AH10" s="944"/>
      <c r="AI10" s="944"/>
      <c r="AJ10" s="944"/>
      <c r="AK10" s="1013"/>
      <c r="AL10" s="939"/>
      <c r="AM10" s="943"/>
      <c r="AZ10" s="989"/>
      <c r="BA10" s="990"/>
      <c r="BB10" s="968"/>
      <c r="BC10" s="968"/>
      <c r="BG10" s="1014"/>
      <c r="BH10" s="1014"/>
      <c r="BI10" s="968"/>
      <c r="BJ10" s="968"/>
      <c r="BK10" s="968"/>
      <c r="BL10" s="968"/>
      <c r="BM10" s="968"/>
      <c r="BN10" s="968"/>
      <c r="BO10" s="968"/>
      <c r="BP10" s="968"/>
      <c r="BQ10" s="994"/>
      <c r="BR10" s="994"/>
      <c r="BS10" s="994"/>
      <c r="BT10" s="994"/>
      <c r="BU10" s="994"/>
      <c r="BV10" s="973"/>
      <c r="BW10" s="973"/>
      <c r="BX10" s="973"/>
      <c r="BY10" s="973"/>
      <c r="BZ10" s="1015"/>
      <c r="CA10" s="1016"/>
      <c r="CB10" s="1013"/>
      <c r="CC10" s="939"/>
      <c r="CD10" s="944"/>
      <c r="CE10" s="976"/>
      <c r="CF10" s="993"/>
      <c r="CH10" s="1017" t="s">
        <v>178</v>
      </c>
      <c r="CI10" s="1017"/>
      <c r="CQ10" s="976"/>
      <c r="CR10" s="976"/>
      <c r="CS10" s="976"/>
      <c r="CT10" s="976"/>
      <c r="CV10" s="976"/>
      <c r="CX10" s="976"/>
      <c r="CY10" s="976"/>
      <c r="CZ10" s="976"/>
      <c r="DA10" s="979"/>
      <c r="DB10" s="1008"/>
      <c r="DC10" s="1018"/>
    </row>
    <row r="11" spans="1:107" s="942" customFormat="1" ht="19.5" customHeight="1" thickBot="1" x14ac:dyDescent="0.3">
      <c r="A11" s="1001"/>
      <c r="B11" s="976"/>
      <c r="C11" s="976"/>
      <c r="D11" s="1019"/>
      <c r="E11" s="986"/>
      <c r="F11" s="973"/>
      <c r="G11" s="973"/>
      <c r="H11" s="986"/>
      <c r="I11" s="976"/>
      <c r="J11" s="976"/>
      <c r="K11" s="976"/>
      <c r="L11" s="976"/>
      <c r="M11" s="976"/>
      <c r="N11" s="976"/>
      <c r="O11" s="943"/>
      <c r="P11" s="962"/>
      <c r="Q11" s="1010"/>
      <c r="R11" s="1011"/>
      <c r="S11" s="1011"/>
      <c r="T11" s="1011"/>
      <c r="U11" s="1011"/>
      <c r="V11" s="1011"/>
      <c r="W11" s="1011"/>
      <c r="X11" s="1012"/>
      <c r="Y11" s="962"/>
      <c r="Z11" s="962"/>
      <c r="AA11" s="962"/>
      <c r="AB11" s="1020"/>
      <c r="AC11" s="1021"/>
      <c r="AD11" s="1021"/>
      <c r="AE11" s="988"/>
      <c r="AF11" s="988"/>
      <c r="AG11" s="988"/>
      <c r="AH11" s="988"/>
      <c r="AI11" s="969"/>
      <c r="AJ11" s="1022"/>
      <c r="AK11" s="1013"/>
      <c r="AL11" s="939"/>
      <c r="AM11" s="943"/>
      <c r="AZ11" s="989"/>
      <c r="BA11" s="990"/>
      <c r="BB11" s="967"/>
      <c r="BC11" s="968"/>
      <c r="BG11" s="1014"/>
      <c r="BH11" s="1014"/>
      <c r="BI11" s="1023"/>
      <c r="BJ11" s="968"/>
      <c r="BK11" s="968"/>
      <c r="BL11" s="968"/>
      <c r="BM11" s="968"/>
      <c r="BN11" s="968"/>
      <c r="BO11" s="968"/>
      <c r="BP11" s="968"/>
      <c r="BQ11" s="994"/>
      <c r="BR11" s="994"/>
      <c r="BS11" s="994"/>
      <c r="BT11" s="994"/>
      <c r="BU11" s="994"/>
      <c r="BV11" s="973"/>
      <c r="BW11" s="973"/>
      <c r="BX11" s="973"/>
      <c r="BY11" s="973"/>
      <c r="BZ11" s="969"/>
      <c r="CA11" s="1022"/>
      <c r="CB11" s="1013"/>
      <c r="CC11" s="939"/>
      <c r="CD11" s="944"/>
      <c r="CE11" s="978"/>
      <c r="CF11" s="973"/>
      <c r="CG11" s="984" t="s">
        <v>179</v>
      </c>
      <c r="CH11" s="960"/>
      <c r="CI11" s="960"/>
      <c r="CQ11" s="976"/>
      <c r="CR11" s="976"/>
      <c r="CS11" s="976"/>
      <c r="CX11" s="976"/>
      <c r="CY11" s="976"/>
      <c r="CZ11" s="976"/>
      <c r="DA11" s="979"/>
      <c r="DB11" s="1008"/>
      <c r="DC11" s="1018"/>
    </row>
    <row r="12" spans="1:107" s="942" customFormat="1" ht="19.5" customHeight="1" thickBot="1" x14ac:dyDescent="0.3">
      <c r="A12" s="1024" t="s">
        <v>180</v>
      </c>
      <c r="B12" s="976"/>
      <c r="C12" s="1025"/>
      <c r="D12" s="1026"/>
      <c r="E12" s="959"/>
      <c r="F12" s="1027"/>
      <c r="G12" s="1027"/>
      <c r="H12" s="959"/>
      <c r="I12" s="1028"/>
      <c r="J12" s="1029"/>
      <c r="K12" s="976"/>
      <c r="L12" s="976"/>
      <c r="M12" s="1030" t="s">
        <v>200</v>
      </c>
      <c r="N12" s="1030"/>
      <c r="O12" s="943"/>
      <c r="P12" s="962"/>
      <c r="Q12" s="1010"/>
      <c r="R12" s="1011"/>
      <c r="S12" s="1011"/>
      <c r="T12" s="1011"/>
      <c r="U12" s="1011"/>
      <c r="V12" s="1011"/>
      <c r="W12" s="1011"/>
      <c r="X12" s="1012"/>
      <c r="AK12" s="1013"/>
      <c r="AL12" s="939"/>
      <c r="AM12" s="943"/>
      <c r="AZ12" s="989"/>
      <c r="BA12" s="990"/>
      <c r="BC12" s="968"/>
      <c r="BG12" s="1014"/>
      <c r="BH12" s="1014"/>
      <c r="BI12" s="1023"/>
      <c r="BJ12" s="968"/>
      <c r="BK12" s="968"/>
      <c r="BL12" s="968"/>
      <c r="BM12" s="968"/>
      <c r="BN12" s="968"/>
      <c r="BO12" s="968"/>
      <c r="BP12" s="968"/>
      <c r="BQ12" s="994"/>
      <c r="BR12" s="994"/>
      <c r="BS12" s="994"/>
      <c r="BT12" s="973"/>
      <c r="BU12" s="973"/>
      <c r="BV12" s="973"/>
      <c r="BW12" s="939"/>
      <c r="BX12" s="939"/>
      <c r="BY12" s="939"/>
      <c r="BZ12" s="969"/>
      <c r="CA12" s="970"/>
      <c r="CB12" s="1013"/>
      <c r="CC12" s="939"/>
      <c r="CD12" s="944"/>
      <c r="CE12" s="995"/>
      <c r="CF12" s="1026"/>
      <c r="CG12" s="987" t="s">
        <v>174</v>
      </c>
      <c r="CH12" s="1031">
        <v>6055673</v>
      </c>
      <c r="CI12" s="1031">
        <v>6055616</v>
      </c>
      <c r="CJ12" s="987" t="s">
        <v>174</v>
      </c>
      <c r="CK12" s="1028"/>
      <c r="CM12" s="1032"/>
      <c r="CN12" s="978"/>
      <c r="CQ12" s="976"/>
      <c r="CR12" s="976"/>
      <c r="CS12" s="976"/>
      <c r="CT12" s="976"/>
      <c r="CU12" s="1032"/>
      <c r="CV12" s="978"/>
      <c r="CW12" s="976"/>
      <c r="CX12" s="976"/>
      <c r="CZ12" s="976"/>
      <c r="DA12" s="979"/>
      <c r="DB12" s="1008"/>
      <c r="DC12" s="1018"/>
    </row>
    <row r="13" spans="1:107" s="942" customFormat="1" ht="19.5" customHeight="1" x14ac:dyDescent="0.25">
      <c r="A13" s="1033"/>
      <c r="B13" s="976"/>
      <c r="C13" s="1025"/>
      <c r="D13" s="1026"/>
      <c r="E13" s="959"/>
      <c r="F13" s="1027"/>
      <c r="G13" s="1027"/>
      <c r="H13" s="959"/>
      <c r="I13" s="1028"/>
      <c r="J13" s="1029"/>
      <c r="K13" s="1034"/>
      <c r="L13" s="1034"/>
      <c r="M13" s="984" t="s">
        <v>182</v>
      </c>
      <c r="N13" s="1035"/>
      <c r="O13" s="943"/>
      <c r="P13" s="962"/>
      <c r="Q13" s="1010"/>
      <c r="R13" s="1011"/>
      <c r="S13" s="1011"/>
      <c r="T13" s="1011"/>
      <c r="U13" s="1011"/>
      <c r="V13" s="1011"/>
      <c r="W13" s="1011"/>
      <c r="X13" s="1012"/>
      <c r="Z13" s="1036" t="s">
        <v>183</v>
      </c>
      <c r="AA13" s="1037"/>
      <c r="AB13" s="1037"/>
      <c r="AC13" s="1037"/>
      <c r="AD13" s="1037"/>
      <c r="AE13" s="1037"/>
      <c r="AF13" s="1037"/>
      <c r="AG13" s="1037"/>
      <c r="AH13" s="1038"/>
      <c r="AK13" s="1013"/>
      <c r="AL13" s="939"/>
      <c r="AM13" s="943"/>
      <c r="AZ13" s="989"/>
      <c r="BA13" s="990"/>
      <c r="BB13" s="967"/>
      <c r="BC13" s="968"/>
      <c r="BG13" s="1014"/>
      <c r="BH13" s="1014"/>
      <c r="BI13" s="968"/>
      <c r="BJ13" s="968"/>
      <c r="BK13" s="968"/>
      <c r="BL13" s="968"/>
      <c r="BM13" s="968"/>
      <c r="BN13" s="968"/>
      <c r="BO13" s="968"/>
      <c r="BP13" s="968"/>
      <c r="BQ13" s="994"/>
      <c r="BR13" s="994"/>
      <c r="BS13" s="994"/>
      <c r="CB13" s="1013"/>
      <c r="CC13" s="939"/>
      <c r="CD13" s="944"/>
      <c r="CE13" s="978"/>
      <c r="CF13" s="1026"/>
      <c r="CG13" s="987" t="s">
        <v>174</v>
      </c>
      <c r="CH13" s="1039">
        <v>6055686</v>
      </c>
      <c r="CI13" s="1039">
        <v>6055606</v>
      </c>
      <c r="CJ13" s="987" t="s">
        <v>174</v>
      </c>
      <c r="CK13" s="1028"/>
      <c r="CM13" s="1040"/>
      <c r="CN13" s="978"/>
      <c r="CR13" s="976"/>
      <c r="CS13" s="976"/>
      <c r="CT13" s="976"/>
      <c r="CU13" s="1032"/>
      <c r="CV13" s="978"/>
      <c r="CW13" s="976"/>
      <c r="CX13" s="976"/>
      <c r="CZ13" s="976"/>
      <c r="DA13" s="979"/>
      <c r="DB13" s="1041"/>
      <c r="DC13" s="1018"/>
    </row>
    <row r="14" spans="1:107" s="942" customFormat="1" ht="19.5" customHeight="1" x14ac:dyDescent="0.25">
      <c r="A14" s="1033"/>
      <c r="C14" s="1025"/>
      <c r="D14" s="1026"/>
      <c r="E14" s="959"/>
      <c r="F14" s="1027"/>
      <c r="G14" s="1027"/>
      <c r="H14" s="959"/>
      <c r="I14" s="1028"/>
      <c r="J14" s="1029"/>
      <c r="K14" s="1032"/>
      <c r="L14" s="1032"/>
      <c r="M14" s="1042" t="s">
        <v>174</v>
      </c>
      <c r="N14" s="1043">
        <v>7057456</v>
      </c>
      <c r="O14" s="943"/>
      <c r="P14" s="962"/>
      <c r="Q14" s="1010"/>
      <c r="R14" s="1011"/>
      <c r="S14" s="1011"/>
      <c r="T14" s="1011"/>
      <c r="U14" s="1011"/>
      <c r="V14" s="1011"/>
      <c r="W14" s="1011"/>
      <c r="X14" s="1012"/>
      <c r="Z14" s="1044"/>
      <c r="AA14" s="1045"/>
      <c r="AB14" s="1045"/>
      <c r="AC14" s="1045"/>
      <c r="AD14" s="1045"/>
      <c r="AE14" s="1045"/>
      <c r="AF14" s="1045"/>
      <c r="AG14" s="1045"/>
      <c r="AH14" s="1046"/>
      <c r="AK14" s="1013"/>
      <c r="AL14" s="939"/>
      <c r="AM14" s="943"/>
      <c r="AZ14" s="989"/>
      <c r="BA14" s="990"/>
      <c r="BB14" s="968"/>
      <c r="BC14" s="968"/>
      <c r="BG14" s="1014"/>
      <c r="BH14" s="1014"/>
      <c r="BI14" s="968"/>
      <c r="BJ14" s="968"/>
      <c r="BK14" s="968"/>
      <c r="BL14" s="968"/>
      <c r="BM14" s="968"/>
      <c r="BN14" s="968"/>
      <c r="BO14" s="968"/>
      <c r="BP14" s="968"/>
      <c r="BQ14" s="994"/>
      <c r="BR14" s="994"/>
      <c r="BS14" s="994"/>
      <c r="CB14" s="1013"/>
      <c r="CC14" s="939"/>
      <c r="CD14" s="944"/>
      <c r="CE14" s="995"/>
      <c r="CF14" s="993"/>
      <c r="CG14" s="976"/>
      <c r="CH14" s="960"/>
      <c r="CI14" s="960"/>
      <c r="CL14" s="976"/>
      <c r="CM14" s="1032"/>
      <c r="CN14" s="978"/>
      <c r="CP14" s="976"/>
      <c r="CQ14" s="976"/>
      <c r="CR14" s="976"/>
      <c r="CS14" s="976"/>
      <c r="CT14" s="976"/>
      <c r="CW14" s="976"/>
      <c r="CX14" s="976"/>
      <c r="CZ14" s="976"/>
      <c r="DA14" s="979"/>
      <c r="DB14" s="1041"/>
      <c r="DC14" s="1018"/>
    </row>
    <row r="15" spans="1:107" s="942" customFormat="1" ht="19.5" customHeight="1" thickBot="1" x14ac:dyDescent="0.3">
      <c r="A15" s="1047"/>
      <c r="B15" s="1048"/>
      <c r="C15" s="1048"/>
      <c r="D15" s="1048"/>
      <c r="E15" s="1049"/>
      <c r="F15" s="1002"/>
      <c r="G15" s="1002"/>
      <c r="H15" s="1029"/>
      <c r="I15" s="1002"/>
      <c r="J15" s="1002"/>
      <c r="K15" s="1002"/>
      <c r="L15" s="1050"/>
      <c r="M15" s="1042" t="s">
        <v>174</v>
      </c>
      <c r="N15" s="1043">
        <v>7057477</v>
      </c>
      <c r="O15" s="943"/>
      <c r="P15" s="962"/>
      <c r="Q15" s="1010"/>
      <c r="R15" s="1011"/>
      <c r="S15" s="1011"/>
      <c r="T15" s="1011"/>
      <c r="U15" s="1011"/>
      <c r="V15" s="1011"/>
      <c r="W15" s="1011"/>
      <c r="X15" s="1012"/>
      <c r="Z15" s="1044"/>
      <c r="AA15" s="1045"/>
      <c r="AB15" s="1045"/>
      <c r="AC15" s="1045"/>
      <c r="AD15" s="1045"/>
      <c r="AE15" s="1045"/>
      <c r="AF15" s="1045"/>
      <c r="AG15" s="1045"/>
      <c r="AH15" s="1046"/>
      <c r="AK15" s="1013"/>
      <c r="AL15" s="939"/>
      <c r="AM15" s="943"/>
      <c r="AZ15" s="989"/>
      <c r="BA15" s="990"/>
      <c r="BB15" s="968"/>
      <c r="BC15" s="968"/>
      <c r="BF15" s="1051"/>
      <c r="BG15" s="1014"/>
      <c r="BH15" s="1014"/>
      <c r="BJ15" s="968"/>
      <c r="BK15" s="968"/>
      <c r="BL15" s="968"/>
      <c r="BM15" s="968"/>
      <c r="BN15" s="968"/>
      <c r="BO15" s="968"/>
      <c r="BP15" s="968"/>
      <c r="BQ15" s="994"/>
      <c r="BR15" s="994"/>
      <c r="BS15" s="994"/>
      <c r="BT15" s="939"/>
      <c r="BU15" s="939"/>
      <c r="BV15" s="939"/>
      <c r="BW15" s="939"/>
      <c r="BX15" s="1052"/>
      <c r="BY15" s="1052"/>
      <c r="BZ15" s="1053"/>
      <c r="CA15" s="1052"/>
      <c r="CB15" s="1013"/>
      <c r="CC15" s="939"/>
      <c r="CD15" s="944"/>
      <c r="CE15" s="978"/>
      <c r="CF15" s="993"/>
      <c r="CG15" s="973"/>
      <c r="CL15" s="976"/>
      <c r="CP15" s="976"/>
      <c r="CQ15" s="976"/>
      <c r="CR15" s="976"/>
      <c r="CS15" s="976"/>
      <c r="CT15" s="976"/>
      <c r="CU15" s="976"/>
      <c r="CV15" s="976"/>
      <c r="CW15" s="976"/>
      <c r="CX15" s="976"/>
      <c r="CZ15" s="976"/>
      <c r="DA15" s="979"/>
      <c r="DB15" s="1054"/>
      <c r="DC15" s="1018"/>
    </row>
    <row r="16" spans="1:107" s="942" customFormat="1" ht="19.5" customHeight="1" thickBot="1" x14ac:dyDescent="0.3">
      <c r="A16" s="1055" t="s">
        <v>185</v>
      </c>
      <c r="B16" s="1056"/>
      <c r="C16" s="1056"/>
      <c r="D16" s="1056"/>
      <c r="E16" s="1056"/>
      <c r="F16" s="1057"/>
      <c r="G16" s="1058"/>
      <c r="H16" s="1059"/>
      <c r="I16" s="976"/>
      <c r="J16" s="976"/>
      <c r="K16" s="1060"/>
      <c r="L16" s="1050"/>
      <c r="M16" s="1042" t="s">
        <v>174</v>
      </c>
      <c r="N16" s="1061">
        <v>7057448</v>
      </c>
      <c r="O16" s="943"/>
      <c r="P16" s="962"/>
      <c r="Q16" s="1010"/>
      <c r="R16" s="1011"/>
      <c r="S16" s="1011"/>
      <c r="T16" s="1011"/>
      <c r="U16" s="1011"/>
      <c r="V16" s="1011"/>
      <c r="W16" s="1011"/>
      <c r="X16" s="1012"/>
      <c r="Z16" s="1044"/>
      <c r="AA16" s="1045"/>
      <c r="AB16" s="1045"/>
      <c r="AC16" s="1045"/>
      <c r="AD16" s="1045"/>
      <c r="AE16" s="1045"/>
      <c r="AF16" s="1045"/>
      <c r="AG16" s="1045"/>
      <c r="AH16" s="1046"/>
      <c r="AK16" s="1013"/>
      <c r="AL16" s="939"/>
      <c r="AM16" s="943"/>
      <c r="AZ16" s="989"/>
      <c r="BA16" s="990"/>
      <c r="BB16" s="967"/>
      <c r="BC16" s="968"/>
      <c r="BF16" s="1051"/>
      <c r="BG16" s="1062"/>
      <c r="BH16" s="1062"/>
      <c r="BI16" s="968"/>
      <c r="BJ16" s="968"/>
      <c r="BK16" s="968"/>
      <c r="BL16" s="968"/>
      <c r="BM16" s="1060"/>
      <c r="BN16" s="1063"/>
      <c r="BO16" s="1008"/>
      <c r="BP16" s="1008"/>
      <c r="BQ16" s="994"/>
      <c r="BR16" s="994"/>
      <c r="BS16" s="994"/>
      <c r="BT16" s="994"/>
      <c r="BU16" s="994"/>
      <c r="BV16" s="994"/>
      <c r="BW16" s="939"/>
      <c r="CB16" s="1013"/>
      <c r="CC16" s="939"/>
      <c r="CD16" s="944"/>
      <c r="CE16" s="995"/>
      <c r="CF16" s="995"/>
      <c r="CG16" s="1023"/>
      <c r="CH16" s="994"/>
      <c r="CI16" s="973"/>
      <c r="CJ16" s="976"/>
      <c r="CM16" s="1064"/>
      <c r="CN16" s="1064"/>
      <c r="CO16" s="976"/>
      <c r="CP16" s="976"/>
      <c r="CQ16" s="976"/>
      <c r="CR16" s="976"/>
      <c r="CS16" s="976"/>
      <c r="CT16" s="976"/>
      <c r="CW16" s="976"/>
      <c r="CX16" s="976"/>
      <c r="CZ16" s="976"/>
      <c r="DA16" s="979"/>
      <c r="DB16" s="1054"/>
      <c r="DC16" s="1018"/>
    </row>
    <row r="17" spans="1:107" s="942" customFormat="1" ht="19.5" customHeight="1" x14ac:dyDescent="0.25">
      <c r="A17" s="1065"/>
      <c r="B17" s="1066"/>
      <c r="C17" s="1066"/>
      <c r="D17" s="1066"/>
      <c r="E17" s="1066"/>
      <c r="F17" s="1067"/>
      <c r="G17" s="1068"/>
      <c r="H17" s="1069"/>
      <c r="I17" s="976"/>
      <c r="J17" s="976"/>
      <c r="K17" s="976"/>
      <c r="L17" s="1050"/>
      <c r="M17" s="1042" t="s">
        <v>174</v>
      </c>
      <c r="N17" s="1061">
        <v>7057451</v>
      </c>
      <c r="O17" s="943"/>
      <c r="P17" s="962"/>
      <c r="Q17" s="1010"/>
      <c r="R17" s="1011"/>
      <c r="S17" s="1011"/>
      <c r="T17" s="1011"/>
      <c r="U17" s="1011"/>
      <c r="V17" s="1011"/>
      <c r="W17" s="1011"/>
      <c r="X17" s="1012"/>
      <c r="Z17" s="1044"/>
      <c r="AA17" s="1045"/>
      <c r="AB17" s="1045"/>
      <c r="AC17" s="1045"/>
      <c r="AD17" s="1045"/>
      <c r="AE17" s="1045"/>
      <c r="AF17" s="1045"/>
      <c r="AG17" s="1045"/>
      <c r="AH17" s="1046"/>
      <c r="AK17" s="1013"/>
      <c r="AL17" s="939"/>
      <c r="AM17" s="943"/>
      <c r="AQ17" s="1070" t="s">
        <v>184</v>
      </c>
      <c r="AR17" s="1071"/>
      <c r="AS17" s="1071"/>
      <c r="AZ17" s="989"/>
      <c r="BA17" s="990"/>
      <c r="BB17" s="968"/>
      <c r="BC17" s="968"/>
      <c r="BD17" s="968"/>
      <c r="BF17" s="1051"/>
      <c r="BG17" s="1062"/>
      <c r="BH17" s="1062"/>
      <c r="BI17" s="973"/>
      <c r="BJ17" s="968"/>
      <c r="BK17" s="968"/>
      <c r="BL17" s="968"/>
      <c r="BM17" s="968"/>
      <c r="BN17" s="1072"/>
      <c r="BO17" s="1073"/>
      <c r="BP17" s="1073"/>
      <c r="BQ17" s="1074"/>
      <c r="BR17" s="1075"/>
      <c r="BS17" s="994"/>
      <c r="BT17" s="1076"/>
      <c r="BU17" s="994"/>
      <c r="BV17" s="994"/>
      <c r="BW17" s="994"/>
      <c r="BX17" s="994"/>
      <c r="BY17" s="939"/>
      <c r="BZ17" s="939"/>
      <c r="CA17" s="939"/>
      <c r="CB17" s="1013"/>
      <c r="CC17" s="939"/>
      <c r="CD17" s="944"/>
      <c r="CE17" s="978"/>
      <c r="CF17" s="1077"/>
      <c r="CG17" s="1023"/>
      <c r="CH17" s="1040"/>
      <c r="CI17" s="1040"/>
      <c r="CJ17" s="976"/>
      <c r="CP17" s="976"/>
      <c r="CQ17" s="976"/>
      <c r="CR17" s="976"/>
      <c r="CS17" s="976"/>
      <c r="CT17" s="976"/>
      <c r="CU17" s="976"/>
      <c r="CV17" s="976"/>
      <c r="CW17" s="976"/>
      <c r="CX17" s="976"/>
      <c r="CZ17" s="976"/>
      <c r="DA17" s="979"/>
      <c r="DB17" s="1078"/>
      <c r="DC17" s="1018"/>
    </row>
    <row r="18" spans="1:107" s="942" customFormat="1" ht="19.5" customHeight="1" thickBot="1" x14ac:dyDescent="0.3">
      <c r="A18" s="1065"/>
      <c r="B18" s="1066"/>
      <c r="C18" s="1066"/>
      <c r="D18" s="1066"/>
      <c r="E18" s="1066"/>
      <c r="F18" s="1067"/>
      <c r="G18" s="1068"/>
      <c r="H18" s="1069"/>
      <c r="I18" s="976"/>
      <c r="J18" s="976"/>
      <c r="K18" s="968"/>
      <c r="M18" s="1030" t="s">
        <v>181</v>
      </c>
      <c r="N18" s="1030"/>
      <c r="O18" s="943"/>
      <c r="P18" s="962"/>
      <c r="Q18" s="1079"/>
      <c r="R18" s="1080"/>
      <c r="S18" s="1080"/>
      <c r="T18" s="1080"/>
      <c r="U18" s="1080"/>
      <c r="V18" s="1080"/>
      <c r="W18" s="1080"/>
      <c r="X18" s="1081"/>
      <c r="Z18" s="1082"/>
      <c r="AA18" s="1083"/>
      <c r="AB18" s="1083"/>
      <c r="AC18" s="1083"/>
      <c r="AD18" s="1083"/>
      <c r="AE18" s="1083"/>
      <c r="AF18" s="1083"/>
      <c r="AG18" s="1083"/>
      <c r="AH18" s="1084"/>
      <c r="AK18" s="1013"/>
      <c r="AL18" s="939"/>
      <c r="AM18" s="943"/>
      <c r="AZ18" s="989"/>
      <c r="BA18" s="990"/>
      <c r="BB18" s="967"/>
      <c r="BC18" s="968"/>
      <c r="BD18" s="968"/>
      <c r="BG18" s="968"/>
      <c r="BH18" s="968"/>
      <c r="BI18" s="968"/>
      <c r="BM18" s="1026"/>
      <c r="BN18" s="999"/>
      <c r="BO18" s="1027"/>
      <c r="BP18" s="1027"/>
      <c r="BQ18" s="999"/>
      <c r="BR18" s="1028"/>
      <c r="BT18" s="1076"/>
      <c r="BU18" s="994"/>
      <c r="BV18" s="994"/>
      <c r="BW18" s="994"/>
      <c r="BX18" s="994"/>
      <c r="BY18" s="1076"/>
      <c r="BZ18" s="1085"/>
      <c r="CA18" s="994"/>
      <c r="CB18" s="1013"/>
      <c r="CC18" s="939"/>
      <c r="CD18" s="944"/>
      <c r="CE18" s="993"/>
      <c r="CF18" s="1077"/>
      <c r="CG18" s="1023"/>
      <c r="CH18" s="1040"/>
      <c r="CI18" s="1040"/>
      <c r="CJ18" s="976"/>
      <c r="CK18" s="1026"/>
      <c r="CP18" s="1028"/>
      <c r="CQ18" s="973"/>
      <c r="CR18" s="976"/>
      <c r="CS18" s="976"/>
      <c r="CT18" s="976"/>
      <c r="CU18" s="976"/>
      <c r="CV18" s="976"/>
      <c r="CW18" s="976"/>
      <c r="CX18" s="976"/>
      <c r="CZ18" s="976"/>
      <c r="DA18" s="976"/>
      <c r="DB18" s="1078"/>
      <c r="DC18" s="1018"/>
    </row>
    <row r="19" spans="1:107" s="942" customFormat="1" ht="19.5" customHeight="1" thickBot="1" x14ac:dyDescent="0.3">
      <c r="A19" s="1065"/>
      <c r="B19" s="1066"/>
      <c r="C19" s="1066"/>
      <c r="D19" s="1066"/>
      <c r="E19" s="1066"/>
      <c r="F19" s="1067"/>
      <c r="G19" s="1086"/>
      <c r="H19" s="1069"/>
      <c r="I19" s="976"/>
      <c r="J19" s="976"/>
      <c r="K19" s="976"/>
      <c r="N19" s="1087"/>
      <c r="O19" s="943"/>
      <c r="P19" s="962"/>
      <c r="S19" s="962"/>
      <c r="T19" s="962"/>
      <c r="U19" s="962"/>
      <c r="V19" s="962"/>
      <c r="W19" s="962"/>
      <c r="X19" s="962"/>
      <c r="AA19" s="975"/>
      <c r="AB19" s="975"/>
      <c r="AD19" s="976"/>
      <c r="AE19" s="975"/>
      <c r="AF19" s="975"/>
      <c r="AG19" s="976"/>
      <c r="AH19" s="976"/>
      <c r="AK19" s="1013"/>
      <c r="AL19" s="939"/>
      <c r="AM19" s="943"/>
      <c r="AZ19" s="1088"/>
      <c r="BA19" s="1089"/>
      <c r="BB19" s="968" t="s">
        <v>186</v>
      </c>
      <c r="BC19" s="968"/>
      <c r="BD19" s="968"/>
      <c r="BG19" s="968"/>
      <c r="BH19" s="968"/>
      <c r="BI19" s="968"/>
      <c r="BJ19" s="968"/>
      <c r="BM19" s="1026"/>
      <c r="BN19" s="999"/>
      <c r="BO19" s="1027"/>
      <c r="BP19" s="1027"/>
      <c r="BQ19" s="999"/>
      <c r="BR19" s="1028"/>
      <c r="BS19" s="1023"/>
      <c r="BT19" s="1076"/>
      <c r="BU19" s="994"/>
      <c r="BV19" s="1062"/>
      <c r="BW19" s="1062"/>
      <c r="BX19" s="939"/>
      <c r="BY19" s="1090"/>
      <c r="BZ19" s="979"/>
      <c r="CA19" s="994"/>
      <c r="CB19" s="1013"/>
      <c r="CC19" s="939"/>
      <c r="CD19" s="944"/>
      <c r="CE19" s="1077"/>
      <c r="CF19" s="1077"/>
      <c r="CG19" s="1023"/>
      <c r="CH19" s="1091"/>
      <c r="CI19" s="1091"/>
      <c r="CJ19" s="976"/>
      <c r="CK19" s="1026"/>
      <c r="CP19" s="1028"/>
      <c r="CQ19" s="973"/>
      <c r="CR19" s="976"/>
      <c r="CS19" s="976"/>
      <c r="CT19" s="976"/>
      <c r="CU19" s="976"/>
      <c r="CV19" s="976"/>
      <c r="CW19" s="976"/>
      <c r="CX19" s="976"/>
      <c r="CZ19" s="976"/>
      <c r="DA19" s="976"/>
      <c r="DB19" s="1078"/>
      <c r="DC19" s="1018"/>
    </row>
    <row r="20" spans="1:107" s="942" customFormat="1" ht="19.5" customHeight="1" thickBot="1" x14ac:dyDescent="0.3">
      <c r="A20" s="1065"/>
      <c r="B20" s="1066"/>
      <c r="C20" s="1066"/>
      <c r="D20" s="1066"/>
      <c r="E20" s="1066"/>
      <c r="F20" s="1067"/>
      <c r="G20" s="1092"/>
      <c r="H20" s="1069"/>
      <c r="I20" s="976"/>
      <c r="K20" s="973"/>
      <c r="N20" s="1087"/>
      <c r="O20" s="943"/>
      <c r="P20" s="962"/>
      <c r="T20" s="988"/>
      <c r="U20" s="988"/>
      <c r="V20" s="988"/>
      <c r="W20" s="1093"/>
      <c r="X20" s="1020"/>
      <c r="AA20" s="975"/>
      <c r="AB20" s="975"/>
      <c r="AE20" s="975"/>
      <c r="AF20" s="975"/>
      <c r="AH20" s="976"/>
      <c r="AK20" s="1013"/>
      <c r="AL20" s="939"/>
      <c r="AM20" s="943"/>
      <c r="AZ20" s="968"/>
      <c r="BA20" s="968"/>
      <c r="BB20" s="968"/>
      <c r="BC20" s="968"/>
      <c r="BD20" s="968"/>
      <c r="BG20" s="968"/>
      <c r="BH20" s="968"/>
      <c r="BI20" s="968"/>
      <c r="BJ20" s="968"/>
      <c r="BK20" s="973"/>
      <c r="BM20" s="1026"/>
      <c r="BN20" s="999"/>
      <c r="BO20" s="1027"/>
      <c r="BP20" s="1027"/>
      <c r="BQ20" s="999"/>
      <c r="BR20" s="1028"/>
      <c r="BS20" s="1023"/>
      <c r="BU20" s="994"/>
      <c r="BV20" s="1062"/>
      <c r="BW20" s="1062"/>
      <c r="BX20" s="939"/>
      <c r="BY20" s="1090"/>
      <c r="BZ20" s="979"/>
      <c r="CA20" s="994"/>
      <c r="CB20" s="1013"/>
      <c r="CC20" s="939"/>
      <c r="CD20" s="944"/>
      <c r="CE20" s="1077"/>
      <c r="CF20" s="1077"/>
      <c r="CG20" s="1023"/>
      <c r="CH20" s="1091"/>
      <c r="CI20" s="1091"/>
      <c r="CJ20" s="976"/>
      <c r="CM20" s="1094"/>
      <c r="CN20" s="1094"/>
      <c r="CQ20" s="1095"/>
      <c r="CR20" s="976"/>
      <c r="CS20" s="976"/>
      <c r="CT20" s="976"/>
      <c r="CU20" s="976"/>
      <c r="CV20" s="976"/>
      <c r="CW20" s="976"/>
      <c r="CX20" s="976"/>
      <c r="CZ20" s="976"/>
      <c r="DA20" s="976"/>
      <c r="DB20" s="1078"/>
      <c r="DC20" s="1018"/>
    </row>
    <row r="21" spans="1:107" s="942" customFormat="1" ht="19.5" customHeight="1" x14ac:dyDescent="0.25">
      <c r="A21" s="1065"/>
      <c r="B21" s="1066"/>
      <c r="C21" s="1066"/>
      <c r="D21" s="1066"/>
      <c r="E21" s="1066"/>
      <c r="F21" s="1067"/>
      <c r="G21" s="1096"/>
      <c r="H21" s="1097"/>
      <c r="I21" s="976"/>
      <c r="J21" s="1077"/>
      <c r="K21" s="973"/>
      <c r="N21" s="1098" t="s">
        <v>187</v>
      </c>
      <c r="O21" s="1099"/>
      <c r="P21" s="962"/>
      <c r="T21" s="1093"/>
      <c r="U21" s="1093"/>
      <c r="V21" s="1093"/>
      <c r="W21" s="1093"/>
      <c r="X21" s="1093"/>
      <c r="AA21" s="975"/>
      <c r="AB21" s="975"/>
      <c r="AE21" s="975"/>
      <c r="AF21" s="975"/>
      <c r="AH21" s="976"/>
      <c r="AK21" s="1013"/>
      <c r="AL21" s="939"/>
      <c r="AM21" s="943"/>
      <c r="AZ21" s="968"/>
      <c r="BA21" s="968"/>
      <c r="BB21" s="968"/>
      <c r="BC21" s="968"/>
      <c r="BD21" s="968"/>
      <c r="BE21" s="1100" t="s">
        <v>188</v>
      </c>
      <c r="BF21" s="1101"/>
      <c r="BG21" s="1101"/>
      <c r="BH21" s="1101"/>
      <c r="BI21" s="1102"/>
      <c r="BM21" s="1026"/>
      <c r="BN21" s="999"/>
      <c r="BO21" s="1027"/>
      <c r="BP21" s="1027"/>
      <c r="BQ21" s="999"/>
      <c r="BR21" s="1028"/>
      <c r="BV21" s="1062"/>
      <c r="BW21" s="1062"/>
      <c r="BX21" s="939"/>
      <c r="BY21" s="939"/>
      <c r="BZ21" s="939"/>
      <c r="CA21" s="939"/>
      <c r="CB21" s="1013"/>
      <c r="CC21" s="939"/>
      <c r="CD21" s="944"/>
      <c r="CE21" s="1077"/>
      <c r="CF21" s="1077"/>
      <c r="CG21" s="1023"/>
      <c r="CH21" s="1091"/>
      <c r="CI21" s="1091"/>
      <c r="CJ21" s="976"/>
      <c r="CM21" s="1094"/>
      <c r="CN21" s="1094"/>
      <c r="CR21" s="976"/>
      <c r="CS21" s="976"/>
      <c r="CT21" s="976"/>
      <c r="CU21" s="976"/>
      <c r="CV21" s="976"/>
      <c r="CW21" s="976"/>
      <c r="CX21" s="976"/>
      <c r="CZ21" s="976"/>
      <c r="DA21" s="976"/>
      <c r="DC21" s="1018"/>
    </row>
    <row r="22" spans="1:107" s="942" customFormat="1" ht="19.5" customHeight="1" thickBot="1" x14ac:dyDescent="0.3">
      <c r="A22" s="1065"/>
      <c r="B22" s="1066"/>
      <c r="C22" s="1066"/>
      <c r="D22" s="1066"/>
      <c r="E22" s="1066"/>
      <c r="F22" s="1067"/>
      <c r="G22" s="1068"/>
      <c r="H22" s="1069"/>
      <c r="I22" s="976"/>
      <c r="J22" s="1077"/>
      <c r="K22" s="973"/>
      <c r="N22" s="1103"/>
      <c r="O22" s="1104"/>
      <c r="P22" s="962"/>
      <c r="T22" s="1093"/>
      <c r="U22" s="1093"/>
      <c r="V22" s="1105"/>
      <c r="W22" s="1105"/>
      <c r="X22" s="1105"/>
      <c r="Z22" s="976"/>
      <c r="AA22" s="975"/>
      <c r="AB22" s="975"/>
      <c r="AC22" s="976"/>
      <c r="AE22" s="975"/>
      <c r="AF22" s="975"/>
      <c r="AK22" s="1013"/>
      <c r="AL22" s="939"/>
      <c r="AM22" s="943"/>
      <c r="AZ22" s="1105"/>
      <c r="BA22" s="968"/>
      <c r="BB22" s="968"/>
      <c r="BC22" s="968"/>
      <c r="BD22" s="968"/>
      <c r="BE22" s="1106"/>
      <c r="BF22" s="964"/>
      <c r="BG22" s="964"/>
      <c r="BH22" s="964"/>
      <c r="BI22" s="1107"/>
      <c r="BN22" s="1008"/>
      <c r="BO22" s="1073"/>
      <c r="BP22" s="1073"/>
      <c r="BQ22" s="1008"/>
      <c r="BV22" s="1014"/>
      <c r="BW22" s="1014"/>
      <c r="BY22" s="939"/>
      <c r="BZ22" s="939"/>
      <c r="CA22" s="939"/>
      <c r="CB22" s="1013"/>
      <c r="CC22" s="939"/>
      <c r="CD22" s="944"/>
      <c r="CE22" s="993"/>
      <c r="CF22" s="993"/>
      <c r="CG22" s="1023"/>
      <c r="CH22" s="994"/>
      <c r="CI22" s="994"/>
      <c r="CJ22" s="976"/>
      <c r="CM22" s="1108"/>
      <c r="CN22" s="1108"/>
      <c r="CP22" s="976"/>
      <c r="CR22" s="976"/>
      <c r="CS22" s="976"/>
      <c r="CT22" s="976"/>
      <c r="CU22" s="1109"/>
      <c r="CV22" s="1109"/>
      <c r="CW22" s="976"/>
      <c r="CX22" s="976"/>
      <c r="CZ22" s="976"/>
      <c r="DA22" s="976"/>
      <c r="DC22" s="1018"/>
    </row>
    <row r="23" spans="1:107" s="942" customFormat="1" ht="19.5" customHeight="1" thickBot="1" x14ac:dyDescent="0.3">
      <c r="A23" s="1065"/>
      <c r="B23" s="1066"/>
      <c r="C23" s="1066"/>
      <c r="D23" s="1066"/>
      <c r="E23" s="1066"/>
      <c r="F23" s="1067"/>
      <c r="G23" s="1068"/>
      <c r="H23" s="1069"/>
      <c r="I23" s="976"/>
      <c r="J23" s="1110"/>
      <c r="K23" s="976"/>
      <c r="N23" s="1103"/>
      <c r="O23" s="1104"/>
      <c r="P23" s="962"/>
      <c r="V23" s="988"/>
      <c r="W23" s="988"/>
      <c r="X23" s="988"/>
      <c r="Z23" s="976"/>
      <c r="AA23" s="975"/>
      <c r="AB23" s="975"/>
      <c r="AE23" s="975"/>
      <c r="AF23" s="975"/>
      <c r="AK23" s="1013"/>
      <c r="AL23" s="939"/>
      <c r="AM23" s="943"/>
      <c r="AZ23" s="968"/>
      <c r="BA23" s="968"/>
      <c r="BB23" s="968"/>
      <c r="BC23" s="968"/>
      <c r="BD23" s="968"/>
      <c r="BE23" s="1106"/>
      <c r="BF23" s="964"/>
      <c r="BG23" s="964"/>
      <c r="BH23" s="964"/>
      <c r="BI23" s="1107"/>
      <c r="BO23" s="1008"/>
      <c r="BP23" s="1008"/>
      <c r="BV23" s="994"/>
      <c r="BW23" s="994"/>
      <c r="BY23" s="939"/>
      <c r="BZ23" s="939"/>
      <c r="CA23" s="939"/>
      <c r="CB23" s="1013"/>
      <c r="CC23" s="939"/>
      <c r="CD23" s="947"/>
      <c r="CE23" s="1111" t="s">
        <v>180</v>
      </c>
      <c r="CF23" s="1112"/>
      <c r="CG23" s="1112"/>
      <c r="CH23" s="1112"/>
      <c r="CI23" s="1113"/>
      <c r="CJ23" s="978"/>
      <c r="CM23" s="1114"/>
      <c r="CN23" s="1114"/>
      <c r="CR23" s="976"/>
      <c r="CS23" s="976"/>
      <c r="CT23" s="976"/>
      <c r="CU23" s="1115"/>
      <c r="CV23" s="1115"/>
      <c r="CW23" s="976"/>
      <c r="CX23" s="976"/>
      <c r="CZ23" s="976"/>
      <c r="DA23" s="976"/>
      <c r="DC23" s="1018"/>
    </row>
    <row r="24" spans="1:107" s="942" customFormat="1" ht="19.5" customHeight="1" thickBot="1" x14ac:dyDescent="0.3">
      <c r="A24" s="1116"/>
      <c r="B24" s="943"/>
      <c r="C24" s="1117"/>
      <c r="D24" s="1117"/>
      <c r="E24" s="1117"/>
      <c r="F24" s="1117"/>
      <c r="G24" s="1118" t="s">
        <v>176</v>
      </c>
      <c r="H24" s="1118"/>
      <c r="I24" s="1119"/>
      <c r="J24" s="976"/>
      <c r="K24" s="976"/>
      <c r="N24" s="1120"/>
      <c r="O24" s="1121"/>
      <c r="P24" s="962"/>
      <c r="R24" s="962"/>
      <c r="S24" s="1122"/>
      <c r="U24" s="988"/>
      <c r="V24" s="988"/>
      <c r="W24" s="988"/>
      <c r="X24" s="988"/>
      <c r="Z24" s="976"/>
      <c r="AA24" s="975"/>
      <c r="AB24" s="975"/>
      <c r="AE24" s="1123"/>
      <c r="AF24" s="1123"/>
      <c r="AK24" s="1013"/>
      <c r="AL24" s="939"/>
      <c r="AM24" s="943"/>
      <c r="AZ24" s="968"/>
      <c r="BA24" s="968"/>
      <c r="BB24" s="968"/>
      <c r="BC24" s="968"/>
      <c r="BD24" s="968"/>
      <c r="BE24" s="1106"/>
      <c r="BF24" s="964"/>
      <c r="BG24" s="964"/>
      <c r="BH24" s="964"/>
      <c r="BI24" s="1107"/>
      <c r="BO24" s="1064"/>
      <c r="BP24" s="1064"/>
      <c r="BT24" s="939"/>
      <c r="BX24" s="939"/>
      <c r="BY24" s="939"/>
      <c r="BZ24" s="939"/>
      <c r="CA24" s="939"/>
      <c r="CB24" s="1013"/>
      <c r="CC24" s="939"/>
      <c r="CD24" s="947"/>
      <c r="CE24" s="1124"/>
      <c r="CF24" s="1011"/>
      <c r="CG24" s="1011"/>
      <c r="CH24" s="1011"/>
      <c r="CI24" s="1125"/>
      <c r="CJ24" s="978"/>
      <c r="CM24" s="976"/>
      <c r="CN24" s="976"/>
      <c r="CQ24" s="1095"/>
      <c r="CR24" s="976"/>
      <c r="CS24" s="976"/>
      <c r="CT24" s="976"/>
      <c r="CU24" s="1109"/>
      <c r="CV24" s="1109"/>
      <c r="CW24" s="976"/>
      <c r="CX24" s="976"/>
      <c r="CZ24" s="976"/>
      <c r="DA24" s="976"/>
      <c r="DC24" s="1018"/>
    </row>
    <row r="25" spans="1:107" s="942" customFormat="1" ht="19.5" customHeight="1" thickBot="1" x14ac:dyDescent="0.3">
      <c r="A25" s="943"/>
      <c r="E25" s="976"/>
      <c r="F25" s="984" t="s">
        <v>189</v>
      </c>
      <c r="G25" s="1126"/>
      <c r="H25" s="1126"/>
      <c r="I25" s="1127" t="s">
        <v>775</v>
      </c>
      <c r="J25" s="976"/>
      <c r="K25" s="976"/>
      <c r="N25" s="943"/>
      <c r="O25" s="943"/>
      <c r="P25" s="962"/>
      <c r="R25" s="962"/>
      <c r="S25" s="988"/>
      <c r="T25" s="988"/>
      <c r="U25" s="988"/>
      <c r="V25" s="988"/>
      <c r="W25" s="988"/>
      <c r="X25" s="988"/>
      <c r="Z25" s="976"/>
      <c r="AA25" s="975"/>
      <c r="AB25" s="975"/>
      <c r="AE25" s="1123"/>
      <c r="AF25" s="1123"/>
      <c r="AK25" s="1013"/>
      <c r="AL25" s="939"/>
      <c r="AM25" s="943"/>
      <c r="AZ25" s="1128"/>
      <c r="BA25" s="968"/>
      <c r="BB25" s="968"/>
      <c r="BC25" s="968"/>
      <c r="BD25" s="968"/>
      <c r="BE25" s="1129"/>
      <c r="BF25" s="1130"/>
      <c r="BG25" s="1130"/>
      <c r="BH25" s="1130"/>
      <c r="BI25" s="1131"/>
      <c r="BT25" s="979"/>
      <c r="BU25" s="970"/>
      <c r="BV25" s="1109"/>
      <c r="BW25" s="1109"/>
      <c r="BX25" s="939"/>
      <c r="BY25" s="939"/>
      <c r="BZ25" s="939"/>
      <c r="CA25" s="1123"/>
      <c r="CB25" s="1013"/>
      <c r="CC25" s="939"/>
      <c r="CD25" s="947"/>
      <c r="CE25" s="1124"/>
      <c r="CF25" s="1011"/>
      <c r="CG25" s="1011"/>
      <c r="CH25" s="1011"/>
      <c r="CI25" s="1125"/>
      <c r="CJ25" s="978"/>
      <c r="CM25" s="976"/>
      <c r="CN25" s="976"/>
      <c r="CQ25" s="1095"/>
      <c r="CR25" s="976"/>
      <c r="CS25" s="976"/>
      <c r="CT25" s="976"/>
      <c r="CU25" s="1115"/>
      <c r="CV25" s="1115"/>
      <c r="CW25" s="976"/>
      <c r="CX25" s="976"/>
      <c r="DA25" s="976"/>
      <c r="DC25" s="1018"/>
    </row>
    <row r="26" spans="1:107" s="942" customFormat="1" ht="19.5" customHeight="1" thickBot="1" x14ac:dyDescent="0.3">
      <c r="A26" s="943"/>
      <c r="B26" s="1118" t="s">
        <v>176</v>
      </c>
      <c r="C26" s="1118"/>
      <c r="E26" s="1132"/>
      <c r="F26" s="983" t="s">
        <v>171</v>
      </c>
      <c r="G26" s="958">
        <v>3128057</v>
      </c>
      <c r="H26" s="1133">
        <v>3128044</v>
      </c>
      <c r="I26" s="983" t="s">
        <v>171</v>
      </c>
      <c r="J26" s="1134"/>
      <c r="K26" s="976"/>
      <c r="N26" s="976"/>
      <c r="O26" s="943"/>
      <c r="P26" s="962"/>
      <c r="R26" s="988"/>
      <c r="S26" s="988"/>
      <c r="T26" s="988"/>
      <c r="U26" s="988"/>
      <c r="V26" s="988"/>
      <c r="W26" s="988"/>
      <c r="X26" s="988"/>
      <c r="Z26" s="976"/>
      <c r="AA26" s="976"/>
      <c r="AB26" s="1135"/>
      <c r="AH26" s="976"/>
      <c r="AK26" s="1013"/>
      <c r="AL26" s="939"/>
      <c r="AM26" s="943"/>
      <c r="AZ26" s="1136"/>
      <c r="BA26" s="968"/>
      <c r="BB26" s="968"/>
      <c r="BC26" s="968"/>
      <c r="BD26" s="968"/>
      <c r="BE26" s="939"/>
      <c r="BF26" s="939"/>
      <c r="BG26" s="939"/>
      <c r="BH26" s="939"/>
      <c r="BL26" s="973"/>
      <c r="BO26" s="1137"/>
      <c r="BP26" s="1137"/>
      <c r="BQ26" s="976"/>
      <c r="BT26" s="939"/>
      <c r="BU26" s="979"/>
      <c r="BV26" s="1115"/>
      <c r="BW26" s="1115"/>
      <c r="BX26" s="939"/>
      <c r="BY26" s="939"/>
      <c r="BZ26" s="939"/>
      <c r="CA26" s="1138"/>
      <c r="CB26" s="1013"/>
      <c r="CC26" s="939"/>
      <c r="CD26" s="947"/>
      <c r="CE26" s="1124"/>
      <c r="CF26" s="1011"/>
      <c r="CG26" s="1011"/>
      <c r="CH26" s="1011"/>
      <c r="CI26" s="1125"/>
      <c r="CJ26" s="978"/>
      <c r="CM26" s="1139" t="s">
        <v>191</v>
      </c>
      <c r="CN26" s="1139"/>
      <c r="CR26" s="976"/>
      <c r="CS26" s="976"/>
      <c r="CX26" s="976"/>
      <c r="CZ26" s="976"/>
      <c r="DA26" s="976"/>
      <c r="DB26" s="1078"/>
      <c r="DC26" s="1018"/>
    </row>
    <row r="27" spans="1:107" s="942" customFormat="1" ht="19.5" customHeight="1" x14ac:dyDescent="0.25">
      <c r="A27" s="943"/>
      <c r="B27" s="1140">
        <v>3128074</v>
      </c>
      <c r="C27" s="983" t="s">
        <v>171</v>
      </c>
      <c r="D27" s="1134"/>
      <c r="E27" s="1141"/>
      <c r="F27" s="1141"/>
      <c r="G27" s="1126"/>
      <c r="H27" s="1126"/>
      <c r="I27" s="1141"/>
      <c r="J27" s="1141"/>
      <c r="K27" s="976"/>
      <c r="N27" s="976"/>
      <c r="O27" s="943"/>
      <c r="P27" s="962"/>
      <c r="Q27" s="962"/>
      <c r="R27" s="988"/>
      <c r="S27" s="988"/>
      <c r="T27" s="988"/>
      <c r="U27" s="988"/>
      <c r="V27" s="988"/>
      <c r="W27" s="988"/>
      <c r="X27" s="988"/>
      <c r="Z27" s="976"/>
      <c r="AA27" s="1142"/>
      <c r="AB27" s="1143"/>
      <c r="AE27" s="1123"/>
      <c r="AF27" s="1123"/>
      <c r="AK27" s="1013"/>
      <c r="AL27" s="939"/>
      <c r="AM27" s="943"/>
      <c r="AZ27" s="1144"/>
      <c r="BA27" s="966"/>
      <c r="BB27" s="968"/>
      <c r="BC27" s="968"/>
      <c r="BD27" s="968"/>
      <c r="BE27" s="939"/>
      <c r="BF27" s="939"/>
      <c r="BG27" s="939"/>
      <c r="BH27" s="939"/>
      <c r="BI27" s="939"/>
      <c r="BJ27" s="939"/>
      <c r="BL27" s="939"/>
      <c r="BM27" s="1145"/>
      <c r="BO27" s="1034"/>
      <c r="BP27" s="1034"/>
      <c r="BQ27" s="976"/>
      <c r="BT27" s="939"/>
      <c r="BU27" s="973"/>
      <c r="BV27" s="1142"/>
      <c r="BW27" s="1142"/>
      <c r="BX27" s="939"/>
      <c r="BY27" s="939"/>
      <c r="BZ27" s="939"/>
      <c r="CA27" s="1123"/>
      <c r="CB27" s="1013"/>
      <c r="CC27" s="939"/>
      <c r="CD27" s="947"/>
      <c r="CE27" s="1124"/>
      <c r="CF27" s="1011"/>
      <c r="CG27" s="1011"/>
      <c r="CH27" s="1011"/>
      <c r="CI27" s="1125"/>
      <c r="CJ27" s="978"/>
      <c r="CL27" s="984" t="s">
        <v>192</v>
      </c>
      <c r="CM27" s="1146"/>
      <c r="CN27" s="1146"/>
      <c r="CO27" s="1147" t="s">
        <v>775</v>
      </c>
      <c r="CR27" s="976"/>
      <c r="CS27" s="976"/>
      <c r="CX27" s="976"/>
      <c r="CZ27" s="976"/>
      <c r="DA27" s="976"/>
      <c r="DB27" s="1078"/>
      <c r="DC27" s="1018"/>
    </row>
    <row r="28" spans="1:107" s="942" customFormat="1" ht="19.5" customHeight="1" thickBot="1" x14ac:dyDescent="0.3">
      <c r="A28" s="943"/>
      <c r="B28" s="956"/>
      <c r="C28" s="984"/>
      <c r="E28" s="1132"/>
      <c r="F28" s="983" t="s">
        <v>171</v>
      </c>
      <c r="G28" s="1133">
        <v>3128080</v>
      </c>
      <c r="H28" s="1133">
        <v>3128040</v>
      </c>
      <c r="I28" s="983" t="s">
        <v>171</v>
      </c>
      <c r="J28" s="1134"/>
      <c r="K28" s="976"/>
      <c r="N28" s="976"/>
      <c r="O28" s="943"/>
      <c r="P28" s="962"/>
      <c r="Q28" s="962"/>
      <c r="R28" s="962"/>
      <c r="S28" s="988"/>
      <c r="T28" s="988"/>
      <c r="U28" s="988"/>
      <c r="V28" s="988"/>
      <c r="W28" s="988"/>
      <c r="X28" s="973"/>
      <c r="Z28" s="976"/>
      <c r="AA28" s="1148"/>
      <c r="AB28" s="1143"/>
      <c r="AE28" s="1138"/>
      <c r="AF28" s="1138"/>
      <c r="AH28" s="976"/>
      <c r="AK28" s="1013"/>
      <c r="AL28" s="939"/>
      <c r="AM28" s="943"/>
      <c r="AZ28" s="989"/>
      <c r="BA28" s="990"/>
      <c r="BB28" s="968"/>
      <c r="BC28" s="968"/>
      <c r="BD28" s="968"/>
      <c r="BE28" s="939"/>
      <c r="BF28" s="939"/>
      <c r="BG28" s="939"/>
      <c r="BH28" s="939"/>
      <c r="BI28" s="939"/>
      <c r="BJ28" s="939"/>
      <c r="BM28" s="1145"/>
      <c r="BQ28" s="976"/>
      <c r="BV28" s="1148"/>
      <c r="BW28" s="1148"/>
      <c r="BX28" s="939"/>
      <c r="BY28" s="939"/>
      <c r="BZ28" s="939"/>
      <c r="CA28" s="939"/>
      <c r="CB28" s="1013"/>
      <c r="CC28" s="939"/>
      <c r="CD28" s="947"/>
      <c r="CE28" s="1149"/>
      <c r="CF28" s="1150"/>
      <c r="CG28" s="1150"/>
      <c r="CH28" s="1150"/>
      <c r="CI28" s="1151"/>
      <c r="CJ28" s="978"/>
      <c r="CL28" s="1152" t="s">
        <v>194</v>
      </c>
      <c r="CM28" s="1133">
        <v>3125760</v>
      </c>
      <c r="CN28" s="1133">
        <v>3125768</v>
      </c>
      <c r="CO28" s="1152" t="s">
        <v>194</v>
      </c>
      <c r="CQ28" s="976"/>
      <c r="CR28" s="976"/>
      <c r="CS28" s="976"/>
      <c r="CX28" s="976"/>
      <c r="CZ28" s="976"/>
      <c r="DA28" s="976"/>
      <c r="DB28" s="1078"/>
      <c r="DC28" s="1018"/>
    </row>
    <row r="29" spans="1:107" s="942" customFormat="1" ht="19.5" customHeight="1" thickBot="1" x14ac:dyDescent="0.3">
      <c r="A29" s="943"/>
      <c r="B29" s="956"/>
      <c r="E29" s="1141"/>
      <c r="F29" s="1141"/>
      <c r="G29" s="1126"/>
      <c r="H29" s="1126"/>
      <c r="I29" s="1141"/>
      <c r="J29" s="1141"/>
      <c r="K29" s="1153"/>
      <c r="N29" s="1062"/>
      <c r="O29" s="943"/>
      <c r="P29" s="962"/>
      <c r="Q29" s="962"/>
      <c r="R29" s="962"/>
      <c r="S29" s="988"/>
      <c r="T29" s="988"/>
      <c r="U29" s="988"/>
      <c r="V29" s="988"/>
      <c r="W29" s="988"/>
      <c r="X29" s="973"/>
      <c r="Z29" s="976"/>
      <c r="AA29" s="1148"/>
      <c r="AB29" s="1143"/>
      <c r="AE29" s="1138"/>
      <c r="AF29" s="1138"/>
      <c r="AH29" s="976"/>
      <c r="AK29" s="1013"/>
      <c r="AL29" s="939"/>
      <c r="AM29" s="943"/>
      <c r="AZ29" s="989"/>
      <c r="BA29" s="990"/>
      <c r="BB29" s="968"/>
      <c r="BC29" s="968"/>
      <c r="BE29" s="939"/>
      <c r="BF29" s="939"/>
      <c r="BG29" s="939"/>
      <c r="BH29" s="939"/>
      <c r="BI29" s="939"/>
      <c r="BJ29" s="939"/>
      <c r="BL29" s="979"/>
      <c r="BM29" s="939"/>
      <c r="BV29" s="1154"/>
      <c r="BW29" s="1154"/>
      <c r="BX29" s="939"/>
      <c r="BY29" s="939"/>
      <c r="BZ29" s="939"/>
      <c r="CA29" s="939"/>
      <c r="CB29" s="1013"/>
      <c r="CC29" s="939"/>
      <c r="CD29" s="947"/>
      <c r="CE29" s="1137"/>
      <c r="CF29" s="976"/>
      <c r="CG29" s="976"/>
      <c r="CJ29" s="976"/>
      <c r="CL29" s="1152" t="s">
        <v>194</v>
      </c>
      <c r="CM29" s="958">
        <v>3124880</v>
      </c>
      <c r="CN29" s="958">
        <v>3125761</v>
      </c>
      <c r="CO29" s="1152" t="s">
        <v>194</v>
      </c>
      <c r="CS29" s="976"/>
      <c r="CT29" s="976"/>
      <c r="CU29" s="1155"/>
      <c r="CV29" s="1155"/>
      <c r="CW29" s="976"/>
      <c r="CX29" s="976"/>
      <c r="CZ29" s="976"/>
      <c r="DA29" s="976"/>
      <c r="DB29" s="1078"/>
      <c r="DC29" s="1018"/>
    </row>
    <row r="30" spans="1:107" s="942" customFormat="1" ht="19.5" customHeight="1" thickBot="1" x14ac:dyDescent="0.3">
      <c r="A30" s="943"/>
      <c r="B30" s="956"/>
      <c r="E30" s="1132"/>
      <c r="F30" s="983" t="s">
        <v>171</v>
      </c>
      <c r="G30" s="958">
        <v>3128073</v>
      </c>
      <c r="H30" s="1133">
        <v>3128048</v>
      </c>
      <c r="I30" s="983" t="s">
        <v>171</v>
      </c>
      <c r="J30" s="1134"/>
      <c r="K30" s="976"/>
      <c r="N30" s="1062"/>
      <c r="O30" s="943"/>
      <c r="P30" s="1156" t="s">
        <v>169</v>
      </c>
      <c r="Q30" s="1157"/>
      <c r="R30" s="1157"/>
      <c r="S30" s="1101"/>
      <c r="T30" s="1101"/>
      <c r="U30" s="1101"/>
      <c r="V30" s="1101"/>
      <c r="W30" s="1102"/>
      <c r="X30" s="976"/>
      <c r="Y30" s="976"/>
      <c r="AA30" s="1148"/>
      <c r="AB30" s="1143"/>
      <c r="AE30" s="1158"/>
      <c r="AF30" s="1158"/>
      <c r="AH30" s="976"/>
      <c r="AJ30" s="970"/>
      <c r="AK30" s="1013"/>
      <c r="AL30" s="939"/>
      <c r="AM30" s="943"/>
      <c r="AZ30" s="1088"/>
      <c r="BA30" s="1089"/>
      <c r="BB30" s="939"/>
      <c r="BC30" s="968"/>
      <c r="BE30" s="939"/>
      <c r="BF30" s="939"/>
      <c r="BG30" s="939"/>
      <c r="BH30" s="939"/>
      <c r="BI30" s="939"/>
      <c r="BJ30" s="939"/>
      <c r="BL30" s="1073"/>
      <c r="BM30" s="1159"/>
      <c r="BT30" s="939"/>
      <c r="BU30" s="939"/>
      <c r="BV30" s="1154"/>
      <c r="BW30" s="1154"/>
      <c r="BX30" s="939"/>
      <c r="BY30" s="939"/>
      <c r="BZ30" s="939"/>
      <c r="CA30" s="939"/>
      <c r="CB30" s="948"/>
      <c r="CC30" s="939"/>
      <c r="CD30" s="947"/>
      <c r="CE30" s="1137"/>
      <c r="CF30" s="976"/>
      <c r="CH30" s="1160" t="s">
        <v>195</v>
      </c>
      <c r="CI30" s="1160"/>
      <c r="CJ30" s="976"/>
      <c r="CL30" s="1152" t="s">
        <v>194</v>
      </c>
      <c r="CM30" s="1161">
        <v>3125755</v>
      </c>
      <c r="CN30" s="1161">
        <v>3125757</v>
      </c>
      <c r="CO30" s="1152" t="s">
        <v>194</v>
      </c>
      <c r="CS30" s="976"/>
      <c r="CT30" s="976"/>
      <c r="CU30" s="1155"/>
      <c r="CV30" s="1155"/>
      <c r="CZ30" s="976"/>
      <c r="DA30" s="976"/>
      <c r="DB30" s="976"/>
      <c r="DC30" s="948"/>
    </row>
    <row r="31" spans="1:107" s="942" customFormat="1" ht="19.5" customHeight="1" thickBot="1" x14ac:dyDescent="0.3">
      <c r="A31" s="943"/>
      <c r="B31" s="956"/>
      <c r="C31" s="986"/>
      <c r="E31" s="976"/>
      <c r="F31" s="976"/>
      <c r="G31" s="1126"/>
      <c r="H31" s="1126"/>
      <c r="I31" s="1141"/>
      <c r="J31" s="1141"/>
      <c r="K31" s="1153"/>
      <c r="N31" s="1062"/>
      <c r="O31" s="943"/>
      <c r="P31" s="1162"/>
      <c r="Q31" s="1163"/>
      <c r="R31" s="1163"/>
      <c r="S31" s="964"/>
      <c r="T31" s="964"/>
      <c r="U31" s="964"/>
      <c r="V31" s="964"/>
      <c r="W31" s="1107"/>
      <c r="X31" s="973"/>
      <c r="Z31" s="984" t="s">
        <v>196</v>
      </c>
      <c r="AA31" s="960"/>
      <c r="AB31" s="960"/>
      <c r="AC31" s="976"/>
      <c r="AE31" s="1062"/>
      <c r="AF31" s="1062"/>
      <c r="AH31" s="976"/>
      <c r="AI31" s="970"/>
      <c r="AK31" s="948"/>
      <c r="AL31" s="939"/>
      <c r="AM31" s="943"/>
      <c r="AZ31" s="968"/>
      <c r="BA31" s="968"/>
      <c r="BB31" s="1077"/>
      <c r="BC31" s="968"/>
      <c r="BE31" s="939"/>
      <c r="BF31" s="939"/>
      <c r="BG31" s="939"/>
      <c r="BH31" s="939"/>
      <c r="BI31" s="939"/>
      <c r="BJ31" s="939"/>
      <c r="BL31" s="939"/>
      <c r="BM31" s="1145"/>
      <c r="BO31" s="1094"/>
      <c r="BP31" s="1094"/>
      <c r="BV31" s="976"/>
      <c r="BW31" s="976"/>
      <c r="BX31" s="939"/>
      <c r="BY31" s="939"/>
      <c r="CA31" s="1164"/>
      <c r="CB31" s="1013"/>
      <c r="CC31" s="939"/>
      <c r="CD31" s="947"/>
      <c r="CE31" s="1165"/>
      <c r="CF31" s="1166"/>
      <c r="CG31" s="984" t="s">
        <v>197</v>
      </c>
      <c r="CH31" s="1167"/>
      <c r="CI31" s="1167"/>
      <c r="CL31" s="1152" t="s">
        <v>194</v>
      </c>
      <c r="CM31" s="958">
        <v>3125766</v>
      </c>
      <c r="CN31" s="958">
        <v>3125737</v>
      </c>
      <c r="CO31" s="1152" t="s">
        <v>194</v>
      </c>
      <c r="CS31" s="976"/>
      <c r="CT31" s="976"/>
      <c r="CU31" s="1155"/>
      <c r="CV31" s="1155"/>
      <c r="CW31" s="976"/>
      <c r="CZ31" s="976"/>
      <c r="DA31" s="976"/>
      <c r="DB31" s="986"/>
      <c r="DC31" s="1018"/>
    </row>
    <row r="32" spans="1:107" s="942" customFormat="1" ht="19.5" customHeight="1" x14ac:dyDescent="0.25">
      <c r="A32" s="943"/>
      <c r="B32" s="955"/>
      <c r="C32" s="959"/>
      <c r="D32" s="1028"/>
      <c r="E32" s="976"/>
      <c r="F32" s="976"/>
      <c r="G32" s="1118" t="s">
        <v>191</v>
      </c>
      <c r="H32" s="1118"/>
      <c r="I32" s="1141"/>
      <c r="J32" s="1141"/>
      <c r="K32" s="976"/>
      <c r="L32" s="976"/>
      <c r="N32" s="1062"/>
      <c r="O32" s="943"/>
      <c r="P32" s="1162"/>
      <c r="Q32" s="1163"/>
      <c r="R32" s="1163"/>
      <c r="S32" s="964"/>
      <c r="T32" s="964"/>
      <c r="U32" s="964"/>
      <c r="V32" s="964"/>
      <c r="W32" s="1107"/>
      <c r="X32" s="973"/>
      <c r="Y32" s="1026"/>
      <c r="Z32" s="987" t="s">
        <v>174</v>
      </c>
      <c r="AA32" s="1168">
        <v>3930625</v>
      </c>
      <c r="AB32" s="1169">
        <v>3930642</v>
      </c>
      <c r="AC32" s="987" t="s">
        <v>174</v>
      </c>
      <c r="AD32" s="1028"/>
      <c r="AE32" s="1062"/>
      <c r="AF32" s="1062"/>
      <c r="AI32" s="952" t="s">
        <v>168</v>
      </c>
      <c r="AJ32" s="954"/>
      <c r="AK32" s="1013"/>
      <c r="AL32" s="939"/>
      <c r="AM32" s="943"/>
      <c r="AZ32" s="1076"/>
      <c r="BA32" s="968"/>
      <c r="BC32" s="968"/>
      <c r="BE32" s="939"/>
      <c r="BF32" s="939"/>
      <c r="BG32" s="1062"/>
      <c r="BH32" s="1062"/>
      <c r="BI32" s="976"/>
      <c r="BK32" s="976"/>
      <c r="BM32" s="1145"/>
      <c r="BO32" s="1094"/>
      <c r="BP32" s="1094"/>
      <c r="BQ32" s="976"/>
      <c r="BY32" s="939"/>
      <c r="BZ32" s="939"/>
      <c r="CA32" s="1148"/>
      <c r="CB32" s="1013"/>
      <c r="CC32" s="939"/>
      <c r="CD32" s="947"/>
      <c r="CE32" s="976"/>
      <c r="CF32" s="1026"/>
      <c r="CG32" s="1170" t="s">
        <v>174</v>
      </c>
      <c r="CH32" s="1171">
        <v>6757152</v>
      </c>
      <c r="CI32" s="1171">
        <v>6757242</v>
      </c>
      <c r="CJ32" s="1170" t="s">
        <v>174</v>
      </c>
      <c r="CK32" s="1028"/>
      <c r="CL32" s="976"/>
      <c r="CM32" s="1146"/>
      <c r="CN32" s="1146"/>
      <c r="CO32" s="976"/>
      <c r="CQ32" s="976"/>
      <c r="CS32" s="976"/>
      <c r="CW32" s="976"/>
      <c r="CX32" s="976"/>
      <c r="CZ32" s="1008"/>
      <c r="DA32" s="986"/>
      <c r="DB32" s="979"/>
      <c r="DC32" s="1018"/>
    </row>
    <row r="33" spans="1:120" s="942" customFormat="1" ht="19.5" customHeight="1" x14ac:dyDescent="0.25">
      <c r="A33" s="943"/>
      <c r="B33" s="1172"/>
      <c r="C33" s="1173"/>
      <c r="E33" s="1174"/>
      <c r="F33" s="984" t="s">
        <v>198</v>
      </c>
      <c r="G33" s="1175"/>
      <c r="H33" s="1175"/>
      <c r="I33" s="1141"/>
      <c r="J33" s="1141"/>
      <c r="K33" s="1153"/>
      <c r="L33" s="976"/>
      <c r="O33" s="943"/>
      <c r="P33" s="1106"/>
      <c r="Q33" s="964"/>
      <c r="R33" s="964"/>
      <c r="S33" s="964"/>
      <c r="T33" s="964"/>
      <c r="U33" s="964"/>
      <c r="V33" s="964"/>
      <c r="W33" s="1107"/>
      <c r="X33" s="976"/>
      <c r="AA33" s="960"/>
      <c r="AB33" s="960"/>
      <c r="AE33" s="1062"/>
      <c r="AF33" s="1062"/>
      <c r="AI33" s="980"/>
      <c r="AJ33" s="982"/>
      <c r="AK33" s="1013"/>
      <c r="AL33" s="939"/>
      <c r="AM33" s="943"/>
      <c r="AZ33" s="970"/>
      <c r="BA33" s="970"/>
      <c r="BB33" s="1145"/>
      <c r="BC33" s="968"/>
      <c r="BE33" s="939"/>
      <c r="BF33" s="939"/>
      <c r="BG33" s="1062"/>
      <c r="BH33" s="1062"/>
      <c r="BI33" s="976"/>
      <c r="BK33" s="976"/>
      <c r="BM33" s="973"/>
      <c r="BO33" s="1094"/>
      <c r="BP33" s="1094"/>
      <c r="BQ33" s="976"/>
      <c r="BY33" s="939"/>
      <c r="BZ33" s="939"/>
      <c r="CA33" s="1148"/>
      <c r="CB33" s="1013"/>
      <c r="CC33" s="939"/>
      <c r="CD33" s="947"/>
      <c r="CE33" s="1115"/>
      <c r="CF33" s="1026"/>
      <c r="CG33" s="1170" t="s">
        <v>174</v>
      </c>
      <c r="CH33" s="1171">
        <v>6757230</v>
      </c>
      <c r="CI33" s="1171">
        <v>6757244</v>
      </c>
      <c r="CJ33" s="1170" t="s">
        <v>174</v>
      </c>
      <c r="CK33" s="1028"/>
      <c r="CM33" s="1176"/>
      <c r="CN33" s="1176"/>
      <c r="CQ33" s="976"/>
      <c r="CS33" s="976"/>
      <c r="CW33" s="976"/>
      <c r="CX33" s="976"/>
      <c r="CZ33" s="1026"/>
      <c r="DA33" s="999"/>
      <c r="DB33" s="1027"/>
      <c r="DC33" s="1018"/>
    </row>
    <row r="34" spans="1:120" s="942" customFormat="1" ht="19.5" customHeight="1" x14ac:dyDescent="0.25">
      <c r="A34" s="943"/>
      <c r="B34" s="956"/>
      <c r="C34" s="959"/>
      <c r="E34" s="1132"/>
      <c r="F34" s="1177" t="s">
        <v>194</v>
      </c>
      <c r="G34" s="1178">
        <v>3640649</v>
      </c>
      <c r="H34" s="1178">
        <v>3640694</v>
      </c>
      <c r="I34" s="1177" t="s">
        <v>194</v>
      </c>
      <c r="J34" s="1134"/>
      <c r="K34" s="976"/>
      <c r="L34" s="976"/>
      <c r="N34" s="1054"/>
      <c r="O34" s="943"/>
      <c r="P34" s="1106"/>
      <c r="Q34" s="964"/>
      <c r="R34" s="964"/>
      <c r="S34" s="964"/>
      <c r="T34" s="964"/>
      <c r="U34" s="964"/>
      <c r="V34" s="964"/>
      <c r="W34" s="1107"/>
      <c r="X34" s="973"/>
      <c r="Y34" s="1110"/>
      <c r="AA34" s="1179" t="s">
        <v>181</v>
      </c>
      <c r="AB34" s="1179"/>
      <c r="AC34" s="1026"/>
      <c r="AD34" s="976"/>
      <c r="AE34" s="1008"/>
      <c r="AF34" s="1008"/>
      <c r="AG34" s="976"/>
      <c r="AI34" s="980"/>
      <c r="AJ34" s="982"/>
      <c r="AK34" s="1013"/>
      <c r="AL34" s="939"/>
      <c r="AM34" s="943"/>
      <c r="AZ34" s="1180"/>
      <c r="BA34" s="1180"/>
      <c r="BB34" s="1145"/>
      <c r="BC34" s="1145"/>
      <c r="BE34" s="939"/>
      <c r="BF34" s="939"/>
      <c r="BG34" s="1062"/>
      <c r="BH34" s="1062"/>
      <c r="BI34" s="976"/>
      <c r="BK34" s="976"/>
      <c r="BL34" s="979"/>
      <c r="BM34" s="939"/>
      <c r="BQ34" s="976"/>
      <c r="BY34" s="939"/>
      <c r="BZ34" s="939"/>
      <c r="CB34" s="1013"/>
      <c r="CC34" s="939"/>
      <c r="CD34" s="947"/>
      <c r="CE34" s="1115"/>
      <c r="CF34" s="1026"/>
      <c r="CG34" s="1170" t="s">
        <v>174</v>
      </c>
      <c r="CH34" s="1171">
        <v>6756041</v>
      </c>
      <c r="CI34" s="1171">
        <v>6756093</v>
      </c>
      <c r="CJ34" s="1170" t="s">
        <v>174</v>
      </c>
      <c r="CK34" s="1028"/>
      <c r="CS34" s="976"/>
      <c r="CT34" s="976"/>
      <c r="CW34" s="976"/>
      <c r="CX34" s="976"/>
      <c r="CZ34" s="1026"/>
      <c r="DA34" s="999"/>
      <c r="DB34" s="1027"/>
      <c r="DC34" s="1018"/>
    </row>
    <row r="35" spans="1:120" s="942" customFormat="1" ht="19.5" customHeight="1" x14ac:dyDescent="0.25">
      <c r="A35" s="943"/>
      <c r="D35" s="1181"/>
      <c r="E35" s="1141"/>
      <c r="F35" s="1141"/>
      <c r="G35" s="1175"/>
      <c r="H35" s="1175"/>
      <c r="I35" s="1141"/>
      <c r="J35" s="1134"/>
      <c r="K35" s="976"/>
      <c r="L35" s="976"/>
      <c r="N35" s="1054"/>
      <c r="O35" s="943"/>
      <c r="P35" s="1106"/>
      <c r="Q35" s="964"/>
      <c r="R35" s="964"/>
      <c r="S35" s="964"/>
      <c r="T35" s="964"/>
      <c r="U35" s="964"/>
      <c r="V35" s="964"/>
      <c r="W35" s="1107"/>
      <c r="X35" s="973"/>
      <c r="Y35" s="973"/>
      <c r="AD35" s="1008"/>
      <c r="AE35" s="1073"/>
      <c r="AF35" s="1073"/>
      <c r="AG35" s="1008"/>
      <c r="AI35" s="980"/>
      <c r="AJ35" s="982"/>
      <c r="AK35" s="1013"/>
      <c r="AL35" s="939"/>
      <c r="AM35" s="943"/>
      <c r="AN35" s="943"/>
      <c r="AO35" s="943"/>
      <c r="AP35" s="943"/>
      <c r="AQ35" s="943"/>
      <c r="AR35" s="943"/>
      <c r="AS35" s="943"/>
      <c r="AT35" s="943"/>
      <c r="AU35" s="943"/>
      <c r="AV35" s="943"/>
      <c r="AW35" s="943"/>
      <c r="AX35" s="943"/>
      <c r="AY35" s="943"/>
      <c r="AZ35" s="943"/>
      <c r="BA35" s="943"/>
      <c r="BB35" s="939"/>
      <c r="BC35" s="973"/>
      <c r="BD35" s="973"/>
      <c r="BE35" s="939"/>
      <c r="BF35" s="939"/>
      <c r="BG35" s="939"/>
      <c r="BH35" s="939"/>
      <c r="BI35" s="976"/>
      <c r="BK35" s="976"/>
      <c r="BL35" s="939"/>
      <c r="BM35" s="939"/>
      <c r="BO35" s="1087"/>
      <c r="BP35" s="1087"/>
      <c r="BQ35" s="976"/>
      <c r="BT35" s="973"/>
      <c r="BY35" s="939"/>
      <c r="CA35" s="1115"/>
      <c r="CB35" s="948"/>
      <c r="CC35" s="939"/>
      <c r="CD35" s="947"/>
      <c r="CE35" s="1115"/>
      <c r="CF35" s="976"/>
      <c r="CG35" s="976"/>
      <c r="CH35" s="1182"/>
      <c r="CI35" s="1182"/>
      <c r="CJ35" s="976"/>
      <c r="CK35" s="1026"/>
      <c r="CP35" s="1028"/>
      <c r="CS35" s="976"/>
      <c r="CU35" s="1183"/>
      <c r="CV35" s="973"/>
      <c r="CW35" s="976"/>
      <c r="CX35" s="976"/>
      <c r="CZ35" s="1026"/>
      <c r="DA35" s="999"/>
      <c r="DB35" s="1027"/>
      <c r="DC35" s="948"/>
    </row>
    <row r="36" spans="1:120" s="942" customFormat="1" ht="19.5" customHeight="1" x14ac:dyDescent="0.25">
      <c r="A36" s="943"/>
      <c r="E36" s="1132"/>
      <c r="F36" s="1177" t="s">
        <v>194</v>
      </c>
      <c r="G36" s="1184">
        <v>3640653</v>
      </c>
      <c r="H36" s="1184">
        <v>3640693</v>
      </c>
      <c r="I36" s="1177" t="s">
        <v>194</v>
      </c>
      <c r="J36" s="1134"/>
      <c r="K36" s="976"/>
      <c r="L36" s="976"/>
      <c r="O36" s="943"/>
      <c r="P36" s="1106"/>
      <c r="Q36" s="964"/>
      <c r="R36" s="964"/>
      <c r="S36" s="964"/>
      <c r="T36" s="964"/>
      <c r="U36" s="964"/>
      <c r="V36" s="964"/>
      <c r="W36" s="1107"/>
      <c r="X36" s="973"/>
      <c r="AD36" s="999"/>
      <c r="AE36" s="1185"/>
      <c r="AF36" s="1185"/>
      <c r="AG36" s="999"/>
      <c r="AH36" s="1028"/>
      <c r="AI36" s="980"/>
      <c r="AJ36" s="982"/>
      <c r="AK36" s="948"/>
      <c r="AL36" s="939"/>
      <c r="AM36" s="943"/>
      <c r="AN36" s="1091"/>
      <c r="AO36" s="1077"/>
      <c r="AP36" s="1087"/>
      <c r="AQ36" s="1077"/>
      <c r="AR36" s="1186"/>
      <c r="AS36" s="1187">
        <v>7047815</v>
      </c>
      <c r="AT36" s="1186"/>
      <c r="AU36" s="1187">
        <v>7047795</v>
      </c>
      <c r="AV36" s="1186"/>
      <c r="AW36" s="1187">
        <v>7047810</v>
      </c>
      <c r="AX36" s="1186"/>
      <c r="AY36" s="1187">
        <v>7047811</v>
      </c>
      <c r="AZ36" s="1186"/>
      <c r="BA36" s="943"/>
      <c r="BB36" s="939"/>
      <c r="BC36" s="939"/>
      <c r="BD36" s="939"/>
      <c r="BE36" s="939"/>
      <c r="BF36" s="939"/>
      <c r="BG36" s="1137"/>
      <c r="BH36" s="1137"/>
      <c r="BK36" s="976"/>
      <c r="BL36" s="939"/>
      <c r="BM36" s="939"/>
      <c r="BO36" s="1087"/>
      <c r="BP36" s="1087"/>
      <c r="BQ36" s="976"/>
      <c r="BT36" s="973"/>
      <c r="BV36" s="1138"/>
      <c r="BW36" s="1138"/>
      <c r="BX36" s="939"/>
      <c r="BY36" s="939"/>
      <c r="BZ36" s="939"/>
      <c r="CA36" s="1115"/>
      <c r="CB36" s="1013"/>
      <c r="CC36" s="939"/>
      <c r="CD36" s="947"/>
      <c r="CE36" s="1115"/>
      <c r="CF36" s="976"/>
      <c r="CG36" s="976"/>
      <c r="CH36" s="1062"/>
      <c r="CI36" s="1062"/>
      <c r="CJ36" s="976"/>
      <c r="CK36" s="1026"/>
      <c r="CP36" s="1028"/>
      <c r="CS36" s="976"/>
      <c r="CU36" s="959"/>
      <c r="CV36" s="959"/>
      <c r="CW36" s="976"/>
      <c r="CX36" s="976"/>
      <c r="CZ36" s="1026"/>
      <c r="DA36" s="999"/>
      <c r="DB36" s="1027"/>
      <c r="DC36" s="1018"/>
    </row>
    <row r="37" spans="1:120" s="942" customFormat="1" ht="19.5" customHeight="1" x14ac:dyDescent="0.25">
      <c r="A37" s="943"/>
      <c r="E37" s="976"/>
      <c r="F37" s="976"/>
      <c r="G37" s="1175"/>
      <c r="H37" s="1175"/>
      <c r="J37" s="1188"/>
      <c r="K37" s="1153"/>
      <c r="L37" s="976"/>
      <c r="N37" s="1062"/>
      <c r="O37" s="943"/>
      <c r="P37" s="1106"/>
      <c r="Q37" s="964"/>
      <c r="R37" s="964"/>
      <c r="S37" s="964"/>
      <c r="T37" s="964"/>
      <c r="U37" s="964"/>
      <c r="V37" s="964"/>
      <c r="W37" s="1107"/>
      <c r="X37" s="973"/>
      <c r="Y37" s="1110"/>
      <c r="Z37" s="976"/>
      <c r="AA37" s="1091"/>
      <c r="AB37" s="1091"/>
      <c r="AC37" s="1026"/>
      <c r="AD37" s="999"/>
      <c r="AE37" s="1185"/>
      <c r="AF37" s="1185"/>
      <c r="AG37" s="999"/>
      <c r="AH37" s="1028"/>
      <c r="AI37" s="980"/>
      <c r="AJ37" s="982"/>
      <c r="AK37" s="1013"/>
      <c r="AL37" s="939"/>
      <c r="AM37" s="943"/>
      <c r="AN37" s="968"/>
      <c r="AO37" s="1077"/>
      <c r="AP37" s="1189"/>
      <c r="AQ37" s="1190"/>
      <c r="AR37" s="984" t="s">
        <v>199</v>
      </c>
      <c r="AS37" s="1042" t="s">
        <v>174</v>
      </c>
      <c r="AU37" s="1042" t="s">
        <v>174</v>
      </c>
      <c r="AV37" s="1191"/>
      <c r="AW37" s="1042" t="s">
        <v>174</v>
      </c>
      <c r="AX37" s="1141"/>
      <c r="AY37" s="1042" t="s">
        <v>174</v>
      </c>
      <c r="AZ37" s="968"/>
      <c r="BA37" s="943"/>
      <c r="BB37" s="968"/>
      <c r="BE37" s="939"/>
      <c r="BF37" s="939"/>
      <c r="BG37" s="1137"/>
      <c r="BH37" s="1137"/>
      <c r="BI37" s="1077"/>
      <c r="BK37" s="976"/>
      <c r="BL37" s="939"/>
      <c r="BO37" s="1087"/>
      <c r="BP37" s="1087"/>
      <c r="BQ37" s="976"/>
      <c r="BT37" s="973"/>
      <c r="BU37" s="973"/>
      <c r="BV37" s="1138"/>
      <c r="BW37" s="1138"/>
      <c r="BX37" s="939"/>
      <c r="BY37" s="939"/>
      <c r="BZ37" s="939"/>
      <c r="CA37" s="1115"/>
      <c r="CB37" s="1013"/>
      <c r="CC37" s="939"/>
      <c r="CD37" s="947"/>
      <c r="CE37" s="1192"/>
      <c r="CF37" s="976"/>
      <c r="CG37" s="976"/>
      <c r="CH37" s="1062"/>
      <c r="CI37" s="1062"/>
      <c r="CJ37" s="976"/>
      <c r="CK37" s="1026"/>
      <c r="CP37" s="1028"/>
      <c r="CT37" s="986"/>
      <c r="CU37" s="1027"/>
      <c r="CV37" s="1027"/>
      <c r="CW37" s="1193"/>
      <c r="CZ37" s="1026"/>
      <c r="DA37" s="999"/>
      <c r="DB37" s="1027"/>
      <c r="DC37" s="1018"/>
    </row>
    <row r="38" spans="1:120" s="942" customFormat="1" ht="19.5" customHeight="1" x14ac:dyDescent="0.25">
      <c r="A38" s="943"/>
      <c r="F38" s="1194"/>
      <c r="G38" s="976"/>
      <c r="H38" s="1017" t="s">
        <v>177</v>
      </c>
      <c r="I38" s="1017"/>
      <c r="J38" s="976"/>
      <c r="K38" s="976"/>
      <c r="L38" s="976"/>
      <c r="N38" s="1062"/>
      <c r="O38" s="943"/>
      <c r="P38" s="1106"/>
      <c r="Q38" s="964"/>
      <c r="R38" s="964"/>
      <c r="S38" s="964"/>
      <c r="T38" s="964"/>
      <c r="U38" s="964"/>
      <c r="V38" s="964"/>
      <c r="W38" s="1107"/>
      <c r="X38" s="976"/>
      <c r="Y38" s="973"/>
      <c r="AA38" s="1195"/>
      <c r="AB38" s="1195"/>
      <c r="AD38" s="1008"/>
      <c r="AE38" s="1073"/>
      <c r="AF38" s="1073"/>
      <c r="AG38" s="1008"/>
      <c r="AI38" s="980"/>
      <c r="AJ38" s="982"/>
      <c r="AK38" s="1013"/>
      <c r="AL38" s="939"/>
      <c r="AM38" s="943"/>
      <c r="AN38" s="976"/>
      <c r="AO38" s="1077"/>
      <c r="AP38" s="976"/>
      <c r="AQ38" s="976"/>
      <c r="AR38" s="976"/>
      <c r="AS38" s="999"/>
      <c r="AT38" s="1191"/>
      <c r="AU38" s="999"/>
      <c r="AV38" s="1191"/>
      <c r="AW38" s="999"/>
      <c r="AX38" s="1196"/>
      <c r="AY38" s="999"/>
      <c r="AZ38" s="968"/>
      <c r="BA38" s="943"/>
      <c r="BB38" s="968"/>
      <c r="BE38" s="939"/>
      <c r="BF38" s="939"/>
      <c r="BG38" s="1137"/>
      <c r="BH38" s="1137"/>
      <c r="BI38" s="1077"/>
      <c r="BK38" s="976"/>
      <c r="BL38" s="939"/>
      <c r="BO38" s="1195"/>
      <c r="BP38" s="1195"/>
      <c r="BQ38" s="976"/>
      <c r="BT38" s="973"/>
      <c r="BU38" s="973"/>
      <c r="BV38" s="975"/>
      <c r="BW38" s="975"/>
      <c r="BX38" s="939"/>
      <c r="BY38" s="939"/>
      <c r="BZ38" s="1197"/>
      <c r="CA38" s="1197"/>
      <c r="CB38" s="1013"/>
      <c r="CC38" s="939"/>
      <c r="CD38" s="947"/>
      <c r="CE38" s="1192"/>
      <c r="CF38" s="976"/>
      <c r="CG38" s="976"/>
      <c r="CH38" s="1014"/>
      <c r="CI38" s="1014"/>
      <c r="CJ38" s="976"/>
      <c r="CK38" s="1026"/>
      <c r="CP38" s="1028"/>
      <c r="CQ38" s="976"/>
      <c r="CS38" s="1026"/>
      <c r="CT38" s="999"/>
      <c r="CU38" s="1027"/>
      <c r="CV38" s="1027"/>
      <c r="CW38" s="999"/>
      <c r="CX38" s="1028"/>
      <c r="CZ38" s="1026"/>
      <c r="DA38" s="999"/>
      <c r="DB38" s="1027"/>
      <c r="DC38" s="1018"/>
    </row>
    <row r="39" spans="1:120" s="942" customFormat="1" ht="19.5" customHeight="1" thickBot="1" x14ac:dyDescent="0.3">
      <c r="A39" s="943"/>
      <c r="F39" s="999"/>
      <c r="G39" s="999"/>
      <c r="H39" s="1198"/>
      <c r="I39" s="968"/>
      <c r="J39" s="968"/>
      <c r="K39" s="968"/>
      <c r="L39" s="968"/>
      <c r="O39" s="943"/>
      <c r="P39" s="1106"/>
      <c r="Q39" s="964"/>
      <c r="R39" s="964"/>
      <c r="S39" s="964"/>
      <c r="T39" s="964"/>
      <c r="U39" s="964"/>
      <c r="V39" s="964"/>
      <c r="W39" s="1107"/>
      <c r="X39" s="973"/>
      <c r="Y39" s="976"/>
      <c r="AA39" s="1014"/>
      <c r="AB39" s="1014"/>
      <c r="AC39" s="976"/>
      <c r="AD39" s="976"/>
      <c r="AE39" s="1008"/>
      <c r="AF39" s="1008"/>
      <c r="AG39" s="976"/>
      <c r="AI39" s="996"/>
      <c r="AJ39" s="998"/>
      <c r="AK39" s="1013"/>
      <c r="AL39" s="939"/>
      <c r="AM39" s="943"/>
      <c r="AN39" s="1108"/>
      <c r="AO39" s="1077"/>
      <c r="AP39" s="976"/>
      <c r="AQ39" s="976"/>
      <c r="AR39" s="976"/>
      <c r="AS39" s="1199" t="s">
        <v>200</v>
      </c>
      <c r="AT39" s="1199"/>
      <c r="AU39" s="1199"/>
      <c r="AV39" s="1199"/>
      <c r="AW39" s="1199"/>
      <c r="AX39" s="1199"/>
      <c r="AY39" s="1199"/>
      <c r="AZ39" s="968"/>
      <c r="BA39" s="943"/>
      <c r="BB39" s="968"/>
      <c r="BE39" s="939"/>
      <c r="BF39" s="939"/>
      <c r="BG39" s="1034"/>
      <c r="BH39" s="1034"/>
      <c r="BI39" s="1077"/>
      <c r="BK39" s="976"/>
      <c r="BL39" s="973"/>
      <c r="BM39" s="1028"/>
      <c r="BO39" s="1139" t="s">
        <v>181</v>
      </c>
      <c r="BP39" s="1139"/>
      <c r="BT39" s="973"/>
      <c r="BU39" s="973"/>
      <c r="BV39" s="975"/>
      <c r="BW39" s="975"/>
      <c r="BX39" s="939"/>
      <c r="BY39" s="939"/>
      <c r="BZ39" s="939"/>
      <c r="CA39" s="939"/>
      <c r="CB39" s="1013"/>
      <c r="CC39" s="939"/>
      <c r="CD39" s="947"/>
      <c r="CE39" s="1192"/>
      <c r="CF39" s="976"/>
      <c r="CG39" s="976"/>
      <c r="CH39" s="1200"/>
      <c r="CI39" s="1200"/>
      <c r="CJ39" s="976"/>
      <c r="CK39" s="1026"/>
      <c r="CP39" s="1028"/>
      <c r="CS39" s="1026"/>
      <c r="CT39" s="999"/>
      <c r="CU39" s="1027"/>
      <c r="CV39" s="1027"/>
      <c r="CW39" s="999"/>
      <c r="CX39" s="1028"/>
      <c r="CZ39" s="1201"/>
      <c r="DA39" s="1074"/>
      <c r="DB39" s="979"/>
      <c r="DC39" s="1018"/>
    </row>
    <row r="40" spans="1:120" s="942" customFormat="1" ht="19.5" customHeight="1" x14ac:dyDescent="0.25">
      <c r="A40" s="943"/>
      <c r="F40" s="999"/>
      <c r="G40" s="999"/>
      <c r="H40" s="1202" t="s">
        <v>174</v>
      </c>
      <c r="I40" s="1202" t="s">
        <v>174</v>
      </c>
      <c r="J40" s="984" t="s">
        <v>201</v>
      </c>
      <c r="K40" s="1060"/>
      <c r="L40" s="1060"/>
      <c r="O40" s="943"/>
      <c r="P40" s="1106"/>
      <c r="Q40" s="964"/>
      <c r="R40" s="964"/>
      <c r="S40" s="964"/>
      <c r="T40" s="964"/>
      <c r="U40" s="964"/>
      <c r="V40" s="964"/>
      <c r="W40" s="1107"/>
      <c r="X40" s="973"/>
      <c r="Y40" s="976"/>
      <c r="AA40" s="1062"/>
      <c r="AB40" s="1062"/>
      <c r="AI40" s="952" t="s">
        <v>202</v>
      </c>
      <c r="AJ40" s="954"/>
      <c r="AK40" s="1013"/>
      <c r="AL40" s="939"/>
      <c r="AM40" s="943"/>
      <c r="AN40" s="1094"/>
      <c r="AO40" s="976"/>
      <c r="AP40" s="976"/>
      <c r="AQ40" s="976"/>
      <c r="AR40" s="968"/>
      <c r="AS40" s="968"/>
      <c r="AW40" s="968"/>
      <c r="AX40" s="968"/>
      <c r="AY40" s="1203"/>
      <c r="AZ40" s="968"/>
      <c r="BA40" s="943"/>
      <c r="BB40" s="968"/>
      <c r="BE40" s="939"/>
      <c r="BF40" s="939"/>
      <c r="BG40" s="1204"/>
      <c r="BH40" s="1204"/>
      <c r="BK40" s="976"/>
      <c r="BM40" s="1028"/>
      <c r="BN40" s="984" t="s">
        <v>772</v>
      </c>
      <c r="BO40" s="987"/>
      <c r="BP40" s="987"/>
      <c r="BQ40" s="1147" t="s">
        <v>552</v>
      </c>
      <c r="BT40" s="973"/>
      <c r="BU40" s="973"/>
      <c r="BV40" s="973"/>
      <c r="BW40" s="973"/>
      <c r="BX40" s="973"/>
      <c r="BY40" s="973"/>
      <c r="BZ40" s="939"/>
      <c r="CA40" s="939"/>
      <c r="CB40" s="948"/>
      <c r="CC40" s="939"/>
      <c r="CD40" s="947"/>
      <c r="CE40" s="1192"/>
      <c r="CF40" s="976"/>
      <c r="CG40" s="976"/>
      <c r="CH40" s="1091"/>
      <c r="CI40" s="1091"/>
      <c r="CJ40" s="976"/>
      <c r="CR40" s="976"/>
      <c r="CS40" s="1026"/>
      <c r="CT40" s="999"/>
      <c r="CU40" s="1027"/>
      <c r="CV40" s="1027"/>
      <c r="CW40" s="999"/>
      <c r="CX40" s="1028"/>
      <c r="DB40" s="1074"/>
      <c r="DC40" s="948"/>
      <c r="DJ40" s="988"/>
      <c r="DK40" s="988"/>
      <c r="DL40" s="973"/>
      <c r="DM40" s="973"/>
      <c r="DN40" s="973"/>
      <c r="DO40" s="976"/>
      <c r="DP40" s="976"/>
    </row>
    <row r="41" spans="1:120" s="942" customFormat="1" ht="19.5" customHeight="1" x14ac:dyDescent="0.25">
      <c r="A41" s="943"/>
      <c r="D41" s="1062"/>
      <c r="E41" s="1205"/>
      <c r="F41" s="1206"/>
      <c r="G41" s="1207"/>
      <c r="H41" s="1208">
        <v>3930629</v>
      </c>
      <c r="I41" s="1208">
        <v>3930654</v>
      </c>
      <c r="J41" s="1172"/>
      <c r="O41" s="943"/>
      <c r="P41" s="1106"/>
      <c r="Q41" s="964"/>
      <c r="R41" s="964"/>
      <c r="S41" s="964"/>
      <c r="T41" s="964"/>
      <c r="U41" s="964"/>
      <c r="V41" s="964"/>
      <c r="W41" s="1107"/>
      <c r="X41" s="973"/>
      <c r="Y41" s="973"/>
      <c r="AA41" s="1062"/>
      <c r="AB41" s="1062"/>
      <c r="AI41" s="980"/>
      <c r="AJ41" s="982"/>
      <c r="AK41" s="948"/>
      <c r="AL41" s="939"/>
      <c r="AM41" s="943"/>
      <c r="AN41" s="1094"/>
      <c r="AP41" s="976"/>
      <c r="AQ41" s="976"/>
      <c r="AR41" s="968"/>
      <c r="AS41" s="1209"/>
      <c r="AW41" s="968"/>
      <c r="AX41" s="968"/>
      <c r="AY41" s="968"/>
      <c r="AZ41" s="968"/>
      <c r="BA41" s="943"/>
      <c r="BB41" s="968"/>
      <c r="BE41" s="939"/>
      <c r="BF41" s="939"/>
      <c r="BK41" s="976"/>
      <c r="BM41" s="1026"/>
      <c r="BN41" s="987" t="s">
        <v>174</v>
      </c>
      <c r="BO41" s="1210">
        <v>9370363</v>
      </c>
      <c r="BP41" s="1210">
        <v>9370378</v>
      </c>
      <c r="BQ41" s="987" t="s">
        <v>174</v>
      </c>
      <c r="BR41" s="1028"/>
      <c r="BT41" s="939"/>
      <c r="BU41" s="939"/>
      <c r="BV41" s="939"/>
      <c r="BW41" s="939"/>
      <c r="BX41" s="939"/>
      <c r="BY41" s="939"/>
      <c r="BZ41" s="939"/>
      <c r="CA41" s="1138"/>
      <c r="CB41" s="1013"/>
      <c r="CC41" s="939"/>
      <c r="CD41" s="947"/>
      <c r="CE41" s="1192"/>
      <c r="CF41" s="976"/>
      <c r="CG41" s="976"/>
      <c r="CH41" s="1091"/>
      <c r="CI41" s="1091"/>
      <c r="CJ41" s="976"/>
      <c r="CR41" s="976"/>
      <c r="CS41" s="976"/>
      <c r="CT41" s="1193"/>
      <c r="CU41" s="1183"/>
      <c r="CV41" s="973"/>
      <c r="CW41" s="1211"/>
      <c r="CX41" s="1212"/>
      <c r="CZ41" s="976"/>
      <c r="DA41" s="1213"/>
      <c r="DB41" s="1213"/>
      <c r="DC41" s="1018"/>
      <c r="DJ41" s="988"/>
      <c r="DK41" s="988"/>
      <c r="DL41" s="973"/>
      <c r="DM41" s="1110"/>
      <c r="DN41" s="1110"/>
      <c r="DO41" s="976"/>
      <c r="DP41" s="976"/>
    </row>
    <row r="42" spans="1:120" s="942" customFormat="1" ht="19.5" customHeight="1" x14ac:dyDescent="0.25">
      <c r="A42" s="943"/>
      <c r="B42" s="943"/>
      <c r="C42" s="943"/>
      <c r="D42" s="943"/>
      <c r="E42" s="943"/>
      <c r="F42" s="943"/>
      <c r="G42" s="943"/>
      <c r="H42" s="943"/>
      <c r="I42" s="943"/>
      <c r="J42" s="943"/>
      <c r="K42" s="943"/>
      <c r="L42" s="943"/>
      <c r="M42" s="943"/>
      <c r="N42" s="943"/>
      <c r="O42" s="943"/>
      <c r="P42" s="1106"/>
      <c r="Q42" s="964"/>
      <c r="R42" s="964"/>
      <c r="S42" s="964"/>
      <c r="T42" s="964"/>
      <c r="U42" s="964"/>
      <c r="V42" s="964"/>
      <c r="W42" s="1107"/>
      <c r="X42" s="973"/>
      <c r="Y42" s="973"/>
      <c r="AA42" s="976"/>
      <c r="AB42" s="976"/>
      <c r="AI42" s="980"/>
      <c r="AJ42" s="982"/>
      <c r="AK42" s="1013"/>
      <c r="AL42" s="939"/>
      <c r="AM42" s="943"/>
      <c r="AN42" s="1214"/>
      <c r="AP42" s="976"/>
      <c r="AQ42" s="976"/>
      <c r="AR42" s="976"/>
      <c r="AS42" s="976"/>
      <c r="AV42" s="1209"/>
      <c r="AW42" s="968"/>
      <c r="AX42" s="968"/>
      <c r="AY42" s="968"/>
      <c r="AZ42" s="968"/>
      <c r="BA42" s="1215"/>
      <c r="BB42" s="968"/>
      <c r="BE42" s="939"/>
      <c r="BF42" s="939"/>
      <c r="BG42" s="1078"/>
      <c r="BH42" s="1078"/>
      <c r="BI42" s="976"/>
      <c r="BK42" s="976"/>
      <c r="BM42" s="1026"/>
      <c r="BN42" s="987" t="s">
        <v>174</v>
      </c>
      <c r="BO42" s="1210">
        <v>9370385</v>
      </c>
      <c r="BP42" s="1210">
        <v>9370361</v>
      </c>
      <c r="BQ42" s="987" t="s">
        <v>174</v>
      </c>
      <c r="BR42" s="1028"/>
      <c r="BT42" s="939"/>
      <c r="BU42" s="939"/>
      <c r="BV42" s="939"/>
      <c r="BW42" s="939"/>
      <c r="BX42" s="939"/>
      <c r="BY42" s="939"/>
      <c r="BZ42" s="939"/>
      <c r="CA42" s="1138"/>
      <c r="CB42" s="1013"/>
      <c r="CC42" s="939"/>
      <c r="CD42" s="947"/>
      <c r="CE42" s="1216"/>
      <c r="CF42" s="976"/>
      <c r="CG42" s="976"/>
      <c r="CH42" s="1217"/>
      <c r="CI42" s="1217"/>
      <c r="CJ42" s="976"/>
      <c r="CM42" s="1218"/>
      <c r="CN42" s="1218"/>
      <c r="CR42" s="976"/>
      <c r="CS42" s="976"/>
      <c r="CU42" s="1219"/>
      <c r="CV42" s="1219"/>
      <c r="DC42" s="1018"/>
      <c r="DJ42" s="988"/>
      <c r="DK42" s="988"/>
      <c r="DL42" s="976"/>
      <c r="DM42" s="973"/>
      <c r="DN42" s="973"/>
      <c r="DO42" s="976"/>
      <c r="DP42" s="976"/>
    </row>
    <row r="43" spans="1:120" s="942" customFormat="1" ht="19.5" customHeight="1" x14ac:dyDescent="0.25">
      <c r="A43" s="943"/>
      <c r="O43" s="943"/>
      <c r="P43" s="1106"/>
      <c r="Q43" s="964"/>
      <c r="R43" s="964"/>
      <c r="S43" s="964"/>
      <c r="T43" s="964"/>
      <c r="U43" s="964"/>
      <c r="V43" s="964"/>
      <c r="W43" s="1107"/>
      <c r="X43" s="973"/>
      <c r="Y43" s="1110"/>
      <c r="AA43" s="1220"/>
      <c r="AB43" s="1220"/>
      <c r="AI43" s="980"/>
      <c r="AJ43" s="982"/>
      <c r="AK43" s="1013"/>
      <c r="AL43" s="939"/>
      <c r="AM43" s="943"/>
      <c r="AN43" s="968"/>
      <c r="AO43" s="976"/>
      <c r="AP43" s="976"/>
      <c r="AQ43" s="976"/>
      <c r="AR43" s="976"/>
      <c r="AS43" s="976"/>
      <c r="AW43" s="939"/>
      <c r="AX43" s="939"/>
      <c r="AY43" s="968"/>
      <c r="AZ43" s="968"/>
      <c r="BA43" s="1221"/>
      <c r="BB43" s="968"/>
      <c r="BE43" s="939"/>
      <c r="BF43" s="939"/>
      <c r="BG43" s="1222"/>
      <c r="BH43" s="1222"/>
      <c r="BI43" s="976"/>
      <c r="BK43" s="976"/>
      <c r="BM43" s="1026"/>
      <c r="BN43" s="987" t="s">
        <v>174</v>
      </c>
      <c r="BO43" s="1223">
        <v>9370358</v>
      </c>
      <c r="BP43" s="1223">
        <v>9370390</v>
      </c>
      <c r="BQ43" s="987" t="s">
        <v>174</v>
      </c>
      <c r="BR43" s="1028"/>
      <c r="BT43" s="939"/>
      <c r="BU43" s="939"/>
      <c r="BV43" s="939"/>
      <c r="BW43" s="939"/>
      <c r="BX43" s="939"/>
      <c r="BY43" s="939"/>
      <c r="BZ43" s="939"/>
      <c r="CA43" s="1123"/>
      <c r="CB43" s="1013"/>
      <c r="CC43" s="939"/>
      <c r="CD43" s="947"/>
      <c r="CE43" s="1224"/>
      <c r="CF43" s="976"/>
      <c r="CG43" s="976"/>
      <c r="CI43" s="1225"/>
      <c r="CJ43" s="976"/>
      <c r="CQ43" s="976"/>
      <c r="CR43" s="976"/>
      <c r="CS43" s="976"/>
      <c r="DC43" s="1018"/>
      <c r="DJ43" s="988"/>
      <c r="DK43" s="988"/>
      <c r="DL43" s="973"/>
      <c r="DM43" s="976"/>
      <c r="DN43" s="976"/>
      <c r="DO43" s="976"/>
      <c r="DP43" s="976"/>
    </row>
    <row r="44" spans="1:120" s="942" customFormat="1" ht="19.5" customHeight="1" x14ac:dyDescent="0.25">
      <c r="A44" s="943"/>
      <c r="C44" s="968"/>
      <c r="D44" s="968"/>
      <c r="E44" s="968"/>
      <c r="G44" s="968"/>
      <c r="H44" s="968"/>
      <c r="I44" s="968"/>
      <c r="J44" s="968"/>
      <c r="K44" s="968"/>
      <c r="O44" s="943"/>
      <c r="P44" s="1106"/>
      <c r="Q44" s="964"/>
      <c r="R44" s="964"/>
      <c r="S44" s="964"/>
      <c r="T44" s="964"/>
      <c r="U44" s="964"/>
      <c r="V44" s="964"/>
      <c r="W44" s="1107"/>
      <c r="X44" s="976"/>
      <c r="Y44" s="973"/>
      <c r="AA44" s="1226"/>
      <c r="AB44" s="1226"/>
      <c r="AI44" s="980"/>
      <c r="AJ44" s="982"/>
      <c r="AK44" s="1013"/>
      <c r="AL44" s="939"/>
      <c r="AM44" s="943"/>
      <c r="AN44" s="1227"/>
      <c r="AO44" s="1228"/>
      <c r="AP44" s="976"/>
      <c r="AQ44" s="976"/>
      <c r="AR44" s="976"/>
      <c r="AT44" s="1227"/>
      <c r="AU44" s="1227"/>
      <c r="AV44" s="968"/>
      <c r="AW44" s="939"/>
      <c r="AX44" s="939"/>
      <c r="AY44" s="968"/>
      <c r="AZ44" s="968"/>
      <c r="BA44" s="1221"/>
      <c r="BB44" s="968"/>
      <c r="BD44" s="968"/>
      <c r="BE44" s="939"/>
      <c r="BF44" s="939"/>
      <c r="BG44" s="1229"/>
      <c r="BH44" s="1229"/>
      <c r="BI44" s="939"/>
      <c r="BK44" s="976"/>
      <c r="BO44" s="987"/>
      <c r="BP44" s="987"/>
      <c r="BT44" s="939"/>
      <c r="BU44" s="939"/>
      <c r="BV44" s="939"/>
      <c r="BW44" s="939"/>
      <c r="BX44" s="939"/>
      <c r="BY44" s="939"/>
      <c r="CA44" s="1227"/>
      <c r="CB44" s="1013"/>
      <c r="CC44" s="939"/>
      <c r="CD44" s="947"/>
      <c r="CE44" s="1230"/>
      <c r="CF44" s="976"/>
      <c r="CG44" s="976"/>
      <c r="CH44" s="1231"/>
      <c r="CI44" s="1231"/>
      <c r="CJ44" s="976"/>
      <c r="CM44" s="1232"/>
      <c r="CN44" s="1232"/>
      <c r="CO44" s="976"/>
      <c r="CQ44" s="976"/>
      <c r="CR44" s="976"/>
      <c r="CS44" s="976"/>
      <c r="CU44" s="1233"/>
      <c r="CV44" s="1233"/>
      <c r="CX44" s="976"/>
      <c r="DB44" s="1234"/>
      <c r="DC44" s="1018"/>
      <c r="DJ44" s="988"/>
      <c r="DK44" s="988"/>
      <c r="DL44" s="973"/>
      <c r="DM44" s="976"/>
      <c r="DN44" s="976"/>
      <c r="DO44" s="976"/>
      <c r="DP44" s="973"/>
    </row>
    <row r="45" spans="1:120" s="942" customFormat="1" ht="19.5" customHeight="1" x14ac:dyDescent="0.25">
      <c r="A45" s="943"/>
      <c r="C45" s="968"/>
      <c r="D45" s="968"/>
      <c r="E45" s="968"/>
      <c r="G45" s="968"/>
      <c r="H45" s="968"/>
      <c r="I45" s="968"/>
      <c r="J45" s="968"/>
      <c r="K45" s="968"/>
      <c r="O45" s="943"/>
      <c r="P45" s="1106"/>
      <c r="Q45" s="964"/>
      <c r="R45" s="964"/>
      <c r="S45" s="964"/>
      <c r="T45" s="964"/>
      <c r="U45" s="964"/>
      <c r="V45" s="964"/>
      <c r="W45" s="1107"/>
      <c r="X45" s="973"/>
      <c r="Y45" s="976"/>
      <c r="AA45" s="1226"/>
      <c r="AB45" s="1226"/>
      <c r="AI45" s="980"/>
      <c r="AJ45" s="982"/>
      <c r="AK45" s="1013"/>
      <c r="AL45" s="939"/>
      <c r="AM45" s="943"/>
      <c r="AN45" s="1123"/>
      <c r="AO45" s="1235"/>
      <c r="AP45" s="976"/>
      <c r="AQ45" s="976"/>
      <c r="AR45" s="1209"/>
      <c r="AT45" s="1123"/>
      <c r="AU45" s="1123"/>
      <c r="AV45" s="939"/>
      <c r="AW45" s="939"/>
      <c r="AX45" s="939"/>
      <c r="AY45" s="968"/>
      <c r="AZ45" s="968"/>
      <c r="BA45" s="1221"/>
      <c r="BB45" s="968"/>
      <c r="BD45" s="968"/>
      <c r="BE45" s="939"/>
      <c r="BF45" s="939"/>
      <c r="BG45" s="1041"/>
      <c r="BH45" s="1041"/>
      <c r="BI45" s="939"/>
      <c r="BK45" s="976"/>
      <c r="BN45" s="939"/>
      <c r="BO45" s="939"/>
      <c r="BP45" s="939"/>
      <c r="BQ45" s="976"/>
      <c r="BT45" s="939"/>
      <c r="BU45" s="939"/>
      <c r="BV45" s="939"/>
      <c r="BW45" s="939"/>
      <c r="BX45" s="939"/>
      <c r="BY45" s="939"/>
      <c r="CA45" s="1123"/>
      <c r="CB45" s="1013"/>
      <c r="CC45" s="939"/>
      <c r="CD45" s="947"/>
      <c r="CE45" s="1224"/>
      <c r="CH45" s="1236"/>
      <c r="CI45" s="1236"/>
      <c r="CM45" s="1237"/>
      <c r="CN45" s="1237"/>
      <c r="CO45" s="976"/>
      <c r="CQ45" s="976"/>
      <c r="CR45" s="976"/>
      <c r="CS45" s="976"/>
      <c r="CU45" s="1222"/>
      <c r="CV45" s="1222"/>
      <c r="DB45" s="1014"/>
      <c r="DC45" s="1018"/>
      <c r="DJ45" s="988"/>
      <c r="DK45" s="988"/>
      <c r="DL45" s="973"/>
      <c r="DM45" s="973"/>
      <c r="DN45" s="976"/>
      <c r="DO45" s="976"/>
      <c r="DP45" s="976"/>
    </row>
    <row r="46" spans="1:120" s="942" customFormat="1" ht="19.5" customHeight="1" thickBot="1" x14ac:dyDescent="0.3">
      <c r="A46" s="943"/>
      <c r="C46" s="968"/>
      <c r="D46" s="968"/>
      <c r="E46" s="968"/>
      <c r="G46" s="968"/>
      <c r="H46" s="968"/>
      <c r="I46" s="968"/>
      <c r="J46" s="968"/>
      <c r="K46" s="968"/>
      <c r="O46" s="943"/>
      <c r="P46" s="1129"/>
      <c r="Q46" s="1130"/>
      <c r="R46" s="1130"/>
      <c r="S46" s="1130"/>
      <c r="T46" s="1130"/>
      <c r="U46" s="1130"/>
      <c r="V46" s="1130"/>
      <c r="W46" s="1131"/>
      <c r="X46" s="973"/>
      <c r="Y46" s="976"/>
      <c r="Z46" s="976"/>
      <c r="AA46" s="975"/>
      <c r="AB46" s="975"/>
      <c r="AI46" s="980"/>
      <c r="AJ46" s="982"/>
      <c r="AK46" s="1013"/>
      <c r="AL46" s="939"/>
      <c r="AM46" s="943"/>
      <c r="AN46" s="1138"/>
      <c r="AO46" s="1077"/>
      <c r="AP46" s="1077"/>
      <c r="AQ46" s="1077"/>
      <c r="AR46" s="1209"/>
      <c r="AT46" s="1238"/>
      <c r="AU46" s="1239"/>
      <c r="AW46" s="939"/>
      <c r="AX46" s="939"/>
      <c r="AY46" s="968"/>
      <c r="AZ46" s="968"/>
      <c r="BA46" s="1221"/>
      <c r="BB46" s="968"/>
      <c r="BE46" s="939"/>
      <c r="BF46" s="939"/>
      <c r="BK46" s="976"/>
      <c r="BN46" s="939"/>
      <c r="BO46" s="1216"/>
      <c r="BP46" s="1216"/>
      <c r="BQ46" s="976"/>
      <c r="BT46" s="939"/>
      <c r="BU46" s="939"/>
      <c r="BV46" s="939"/>
      <c r="BW46" s="939"/>
      <c r="BX46" s="939"/>
      <c r="BY46" s="939"/>
      <c r="CA46" s="1138"/>
      <c r="CB46" s="947"/>
      <c r="CC46" s="939"/>
      <c r="CD46" s="947"/>
      <c r="CE46" s="1216"/>
      <c r="CH46" s="1091"/>
      <c r="CI46" s="1091"/>
      <c r="CM46" s="1240"/>
      <c r="CN46" s="1240"/>
      <c r="CO46" s="976"/>
      <c r="CQ46" s="976"/>
      <c r="CR46" s="976"/>
      <c r="CS46" s="976"/>
      <c r="CU46" s="1078"/>
      <c r="CV46" s="1078"/>
      <c r="CW46" s="976"/>
      <c r="CX46" s="976"/>
      <c r="DB46" s="1062"/>
      <c r="DC46" s="947"/>
    </row>
    <row r="47" spans="1:120" s="942" customFormat="1" ht="19.5" customHeight="1" x14ac:dyDescent="0.25">
      <c r="A47" s="943"/>
      <c r="C47" s="968"/>
      <c r="D47" s="968"/>
      <c r="E47" s="968"/>
      <c r="G47" s="968"/>
      <c r="H47" s="968"/>
      <c r="I47" s="968"/>
      <c r="J47" s="968"/>
      <c r="K47" s="968"/>
      <c r="O47" s="943"/>
      <c r="P47" s="1241"/>
      <c r="Q47" s="988"/>
      <c r="R47" s="988"/>
      <c r="S47" s="988"/>
      <c r="T47" s="988"/>
      <c r="U47" s="988"/>
      <c r="V47" s="988"/>
      <c r="W47" s="988"/>
      <c r="X47" s="973"/>
      <c r="Y47" s="973"/>
      <c r="Z47" s="976"/>
      <c r="AA47" s="976"/>
      <c r="AB47" s="976"/>
      <c r="AC47" s="976"/>
      <c r="AI47" s="980"/>
      <c r="AJ47" s="982"/>
      <c r="AK47" s="947"/>
      <c r="AL47" s="939"/>
      <c r="AM47" s="943"/>
      <c r="AN47" s="1138"/>
      <c r="AO47" s="1077"/>
      <c r="AP47" s="1077"/>
      <c r="AQ47" s="1077"/>
      <c r="AR47" s="1190"/>
      <c r="AS47" s="1242"/>
      <c r="AT47" s="1094"/>
      <c r="AU47" s="1094"/>
      <c r="AW47" s="939"/>
      <c r="AX47" s="939"/>
      <c r="AY47" s="968"/>
      <c r="AZ47" s="968"/>
      <c r="BA47" s="1243"/>
      <c r="BB47" s="968"/>
      <c r="BC47" s="968"/>
      <c r="BD47" s="968"/>
      <c r="BE47" s="939"/>
      <c r="BF47" s="939"/>
      <c r="BK47" s="976"/>
      <c r="BN47" s="976"/>
      <c r="BQ47" s="976"/>
      <c r="BV47" s="1198"/>
      <c r="CA47" s="939"/>
      <c r="CB47" s="1013"/>
      <c r="CC47" s="939"/>
      <c r="CD47" s="947"/>
      <c r="CE47" s="1216"/>
      <c r="CH47" s="1244" t="s">
        <v>255</v>
      </c>
      <c r="CI47" s="1244"/>
      <c r="CM47" s="1240"/>
      <c r="CN47" s="1240"/>
      <c r="CQ47" s="976"/>
      <c r="CR47" s="976"/>
      <c r="CS47" s="976"/>
      <c r="CU47" s="1078"/>
      <c r="CV47" s="1078"/>
      <c r="CW47" s="976"/>
      <c r="CX47" s="976"/>
      <c r="DB47" s="1062"/>
      <c r="DC47" s="1018"/>
    </row>
    <row r="48" spans="1:120" s="942" customFormat="1" ht="19.5" customHeight="1" thickBot="1" x14ac:dyDescent="0.3">
      <c r="A48" s="943"/>
      <c r="C48" s="968"/>
      <c r="D48" s="968"/>
      <c r="E48" s="968"/>
      <c r="F48" s="968"/>
      <c r="G48" s="968"/>
      <c r="H48" s="968"/>
      <c r="I48" s="968"/>
      <c r="J48" s="968"/>
      <c r="K48" s="968"/>
      <c r="O48" s="943"/>
      <c r="P48" s="1241"/>
      <c r="Q48" s="988"/>
      <c r="R48" s="988"/>
      <c r="S48" s="988"/>
      <c r="T48" s="988"/>
      <c r="U48" s="988"/>
      <c r="AC48" s="976"/>
      <c r="AI48" s="1245"/>
      <c r="AJ48" s="1246"/>
      <c r="AK48" s="1013"/>
      <c r="AL48" s="939"/>
      <c r="AM48" s="943"/>
      <c r="AN48" s="1138"/>
      <c r="AO48" s="976"/>
      <c r="AP48" s="976"/>
      <c r="AQ48" s="976"/>
      <c r="AR48" s="976"/>
      <c r="AS48" s="976"/>
      <c r="AT48" s="1094"/>
      <c r="AU48" s="1094"/>
      <c r="AW48" s="939"/>
      <c r="AX48" s="976"/>
      <c r="AY48" s="976"/>
      <c r="AZ48" s="976"/>
      <c r="BA48" s="943"/>
      <c r="BB48" s="968"/>
      <c r="BC48" s="968"/>
      <c r="BD48" s="968"/>
      <c r="BE48" s="939"/>
      <c r="BG48" s="1247" t="s">
        <v>195</v>
      </c>
      <c r="BH48" s="1247"/>
      <c r="BJ48" s="976"/>
      <c r="BK48" s="976"/>
      <c r="BL48" s="973"/>
      <c r="BN48" s="976"/>
      <c r="BO48" s="1216"/>
      <c r="BP48" s="1216"/>
      <c r="BQ48" s="976"/>
      <c r="BV48" s="1248" t="s">
        <v>174</v>
      </c>
      <c r="BZ48" s="939"/>
      <c r="CA48" s="939"/>
      <c r="CB48" s="1013"/>
      <c r="CC48" s="939"/>
      <c r="CD48" s="947"/>
      <c r="CF48" s="976"/>
      <c r="CG48" s="984" t="s">
        <v>199</v>
      </c>
      <c r="CH48" s="1249"/>
      <c r="CI48" s="1249"/>
      <c r="CJ48" s="976"/>
      <c r="CM48" s="1240"/>
      <c r="CN48" s="1240"/>
      <c r="CO48" s="976"/>
      <c r="CQ48" s="976"/>
      <c r="CR48" s="976"/>
      <c r="CS48" s="976"/>
      <c r="CT48" s="976"/>
      <c r="CU48" s="1078"/>
      <c r="CV48" s="1078"/>
      <c r="CW48" s="976"/>
      <c r="CX48" s="976"/>
      <c r="CZ48" s="976"/>
      <c r="DA48" s="976"/>
      <c r="DB48" s="1062"/>
      <c r="DC48" s="1018"/>
    </row>
    <row r="49" spans="1:120" s="942" customFormat="1" ht="19.5" customHeight="1" thickBot="1" x14ac:dyDescent="0.3">
      <c r="A49" s="943"/>
      <c r="C49" s="968"/>
      <c r="D49" s="968"/>
      <c r="E49" s="968"/>
      <c r="F49" s="968"/>
      <c r="G49" s="968"/>
      <c r="H49" s="968"/>
      <c r="I49" s="968"/>
      <c r="J49" s="968"/>
      <c r="K49" s="968"/>
      <c r="O49" s="943"/>
      <c r="P49" s="1241"/>
      <c r="Q49" s="988"/>
      <c r="R49" s="988"/>
      <c r="S49" s="988"/>
      <c r="T49" s="988"/>
      <c r="U49" s="988"/>
      <c r="AC49" s="976"/>
      <c r="AD49" s="976"/>
      <c r="AE49" s="1250"/>
      <c r="AF49" s="1251"/>
      <c r="AG49" s="1251"/>
      <c r="AH49" s="1251"/>
      <c r="AI49" s="1252"/>
      <c r="AJ49" s="1253"/>
      <c r="AK49" s="1013"/>
      <c r="AL49" s="939"/>
      <c r="AM49" s="943"/>
      <c r="AN49" s="1138"/>
      <c r="AO49" s="1077"/>
      <c r="AP49" s="1077"/>
      <c r="AQ49" s="1077"/>
      <c r="AR49" s="1077"/>
      <c r="AS49" s="976"/>
      <c r="AT49" s="1094"/>
      <c r="AU49" s="1094"/>
      <c r="AV49" s="976"/>
      <c r="AW49" s="939"/>
      <c r="AX49" s="939"/>
      <c r="AY49" s="968"/>
      <c r="AZ49" s="968"/>
      <c r="BA49" s="943"/>
      <c r="BB49" s="968"/>
      <c r="BC49" s="968"/>
      <c r="BD49" s="968"/>
      <c r="BE49" s="995"/>
      <c r="BF49" s="984" t="s">
        <v>203</v>
      </c>
      <c r="BG49" s="1146"/>
      <c r="BH49" s="1146"/>
      <c r="BI49" s="1254" t="s">
        <v>204</v>
      </c>
      <c r="BJ49" s="976"/>
      <c r="BK49" s="976"/>
      <c r="BN49" s="976"/>
      <c r="BO49" s="1216"/>
      <c r="BP49" s="1216"/>
      <c r="BQ49" s="976"/>
      <c r="BT49" s="984" t="s">
        <v>205</v>
      </c>
      <c r="BU49" s="1255" t="s">
        <v>256</v>
      </c>
      <c r="BV49" s="1039">
        <v>9365601</v>
      </c>
      <c r="BW49" s="1255" t="s">
        <v>256</v>
      </c>
      <c r="BZ49" s="939"/>
      <c r="CA49" s="939"/>
      <c r="CB49" s="1013"/>
      <c r="CC49" s="939"/>
      <c r="CD49" s="947"/>
      <c r="CE49" s="1256" t="s">
        <v>206</v>
      </c>
      <c r="CF49" s="1026"/>
      <c r="CG49" s="1257" t="s">
        <v>174</v>
      </c>
      <c r="CH49" s="1258">
        <v>6456347</v>
      </c>
      <c r="CI49" s="1258">
        <v>6456378</v>
      </c>
      <c r="CJ49" s="1257" t="s">
        <v>174</v>
      </c>
      <c r="CK49" s="1028"/>
      <c r="CQ49" s="976"/>
      <c r="CR49" s="976"/>
      <c r="CS49" s="976"/>
      <c r="CT49" s="976"/>
      <c r="CU49" s="976"/>
      <c r="CV49" s="976"/>
      <c r="CW49" s="976"/>
      <c r="CX49" s="976"/>
      <c r="DA49" s="976"/>
      <c r="DB49" s="1062"/>
      <c r="DC49" s="1018"/>
    </row>
    <row r="50" spans="1:120" s="942" customFormat="1" ht="19.5" customHeight="1" thickBot="1" x14ac:dyDescent="0.3">
      <c r="A50" s="943"/>
      <c r="C50" s="968"/>
      <c r="D50" s="968"/>
      <c r="E50" s="968"/>
      <c r="F50" s="968"/>
      <c r="G50" s="968"/>
      <c r="H50" s="968"/>
      <c r="I50" s="968"/>
      <c r="J50" s="968"/>
      <c r="K50" s="968"/>
      <c r="O50" s="943"/>
      <c r="P50" s="988"/>
      <c r="Q50" s="988"/>
      <c r="R50" s="988"/>
      <c r="S50" s="988"/>
      <c r="T50" s="988"/>
      <c r="U50" s="988"/>
      <c r="AC50" s="976"/>
      <c r="AD50" s="976"/>
      <c r="AE50" s="1259"/>
      <c r="AF50" s="988"/>
      <c r="AG50" s="988"/>
      <c r="AH50" s="988"/>
      <c r="AI50" s="1022"/>
      <c r="AJ50" s="1260"/>
      <c r="AK50" s="1013"/>
      <c r="AL50" s="939"/>
      <c r="AM50" s="943"/>
      <c r="AN50" s="1138"/>
      <c r="AO50" s="976"/>
      <c r="AP50" s="976"/>
      <c r="AQ50" s="976"/>
      <c r="AR50" s="976"/>
      <c r="AS50" s="976"/>
      <c r="AT50" s="1094"/>
      <c r="AU50" s="1094"/>
      <c r="AV50" s="976"/>
      <c r="AW50" s="939"/>
      <c r="AX50" s="968"/>
      <c r="AY50" s="968"/>
      <c r="AZ50" s="1094"/>
      <c r="BA50" s="943"/>
      <c r="BB50" s="968"/>
      <c r="BC50" s="968"/>
      <c r="BD50" s="968"/>
      <c r="BE50" s="1026"/>
      <c r="BF50" s="1152" t="s">
        <v>174</v>
      </c>
      <c r="BG50" s="1261">
        <v>3136265</v>
      </c>
      <c r="BH50" s="1261">
        <v>3136206</v>
      </c>
      <c r="BI50" s="1152" t="s">
        <v>174</v>
      </c>
      <c r="BJ50" s="1028"/>
      <c r="BK50" s="1262"/>
      <c r="BL50" s="973"/>
      <c r="BM50" s="979"/>
      <c r="BN50" s="976"/>
      <c r="BO50" s="1216"/>
      <c r="BP50" s="1216"/>
      <c r="BQ50" s="976"/>
      <c r="BS50" s="1263"/>
      <c r="BT50" s="1248" t="s">
        <v>174</v>
      </c>
      <c r="BU50" s="1039">
        <v>9365606</v>
      </c>
      <c r="BV50" s="1255" t="s">
        <v>257</v>
      </c>
      <c r="BW50" s="1039">
        <v>9365594</v>
      </c>
      <c r="BX50" s="1248" t="s">
        <v>174</v>
      </c>
      <c r="BY50" s="1264"/>
      <c r="BZ50" s="939"/>
      <c r="CA50" s="939"/>
      <c r="CB50" s="1013"/>
      <c r="CC50" s="939"/>
      <c r="CD50" s="947"/>
      <c r="CE50" s="1256" t="s">
        <v>207</v>
      </c>
      <c r="CF50" s="1026"/>
      <c r="CG50" s="1257" t="s">
        <v>174</v>
      </c>
      <c r="CH50" s="1258">
        <v>6456314</v>
      </c>
      <c r="CI50" s="1258">
        <v>6456315</v>
      </c>
      <c r="CJ50" s="1257" t="s">
        <v>174</v>
      </c>
      <c r="CK50" s="1028"/>
      <c r="CM50" s="1265"/>
      <c r="CN50" s="1265"/>
      <c r="CO50" s="976"/>
      <c r="CQ50" s="976"/>
      <c r="CR50" s="976"/>
      <c r="DA50" s="976"/>
      <c r="DC50" s="1018"/>
    </row>
    <row r="51" spans="1:120" s="942" customFormat="1" ht="19.5" customHeight="1" thickBot="1" x14ac:dyDescent="0.3">
      <c r="A51" s="943"/>
      <c r="C51" s="968"/>
      <c r="D51" s="968"/>
      <c r="E51" s="968"/>
      <c r="F51" s="968"/>
      <c r="G51" s="968"/>
      <c r="H51" s="968"/>
      <c r="I51" s="968"/>
      <c r="J51" s="968"/>
      <c r="K51" s="968"/>
      <c r="O51" s="943"/>
      <c r="P51" s="988"/>
      <c r="Q51" s="988"/>
      <c r="R51" s="988"/>
      <c r="S51" s="988"/>
      <c r="T51" s="988"/>
      <c r="U51" s="988"/>
      <c r="AA51" s="973"/>
      <c r="AD51" s="976"/>
      <c r="AE51" s="1259"/>
      <c r="AF51" s="988"/>
      <c r="AG51" s="988"/>
      <c r="AH51" s="988"/>
      <c r="AI51" s="1022"/>
      <c r="AJ51" s="1260"/>
      <c r="AK51" s="1013"/>
      <c r="AL51" s="939"/>
      <c r="AM51" s="943"/>
      <c r="AN51" s="1138"/>
      <c r="AO51" s="976"/>
      <c r="AP51" s="976"/>
      <c r="AQ51" s="976"/>
      <c r="AR51" s="976"/>
      <c r="AS51" s="976"/>
      <c r="AT51" s="976"/>
      <c r="AU51" s="976"/>
      <c r="AV51" s="939"/>
      <c r="AW51" s="968"/>
      <c r="AX51" s="968"/>
      <c r="AZ51" s="1094"/>
      <c r="BA51" s="943"/>
      <c r="BB51" s="968"/>
      <c r="BC51" s="1266" t="s">
        <v>206</v>
      </c>
      <c r="BD51" s="1267"/>
      <c r="BE51" s="1026"/>
      <c r="BF51" s="1152" t="s">
        <v>174</v>
      </c>
      <c r="BG51" s="1261">
        <v>3136267</v>
      </c>
      <c r="BH51" s="1261">
        <v>3136228</v>
      </c>
      <c r="BI51" s="1152" t="s">
        <v>174</v>
      </c>
      <c r="BJ51" s="1028"/>
      <c r="BK51" s="1262"/>
      <c r="BL51" s="973"/>
      <c r="BM51" s="973"/>
      <c r="BN51" s="973"/>
      <c r="BO51" s="973"/>
      <c r="BP51" s="973"/>
      <c r="BQ51" s="973"/>
      <c r="BU51" s="1255" t="s">
        <v>256</v>
      </c>
      <c r="BV51" s="1039">
        <v>9365608</v>
      </c>
      <c r="BW51" s="1255" t="s">
        <v>256</v>
      </c>
      <c r="BZ51" s="939"/>
      <c r="CA51" s="939"/>
      <c r="CB51" s="948"/>
      <c r="CC51" s="939"/>
      <c r="CD51" s="947"/>
      <c r="CE51" s="976"/>
      <c r="CF51" s="976"/>
      <c r="CG51" s="976"/>
      <c r="CH51" s="1249"/>
      <c r="CI51" s="1249"/>
      <c r="CJ51" s="976"/>
      <c r="CM51" s="1094"/>
      <c r="CN51" s="1094"/>
      <c r="CO51" s="976"/>
      <c r="CQ51" s="976"/>
      <c r="CR51" s="976"/>
      <c r="CU51" s="1062"/>
      <c r="CV51" s="1062"/>
      <c r="DA51" s="976"/>
      <c r="DB51" s="1062"/>
      <c r="DC51" s="948"/>
    </row>
    <row r="52" spans="1:120" s="942" customFormat="1" ht="19.5" customHeight="1" x14ac:dyDescent="0.25">
      <c r="A52" s="943"/>
      <c r="C52" s="968"/>
      <c r="D52" s="968"/>
      <c r="E52" s="968"/>
      <c r="F52" s="968"/>
      <c r="G52" s="968"/>
      <c r="H52" s="968"/>
      <c r="I52" s="968"/>
      <c r="J52" s="968"/>
      <c r="K52" s="968"/>
      <c r="O52" s="943"/>
      <c r="P52" s="988"/>
      <c r="Q52" s="988"/>
      <c r="R52" s="988"/>
      <c r="S52" s="988"/>
      <c r="T52" s="988"/>
      <c r="U52" s="988"/>
      <c r="AB52" s="1094"/>
      <c r="AC52" s="1110"/>
      <c r="AD52" s="973"/>
      <c r="AE52" s="1259"/>
      <c r="AF52" s="988"/>
      <c r="AG52" s="988"/>
      <c r="AH52" s="988"/>
      <c r="AI52" s="1022"/>
      <c r="AJ52" s="1260"/>
      <c r="AK52" s="948"/>
      <c r="AL52" s="939"/>
      <c r="AM52" s="943"/>
      <c r="AN52" s="976"/>
      <c r="AO52" s="976"/>
      <c r="AP52" s="976"/>
      <c r="AQ52" s="976"/>
      <c r="AR52" s="976"/>
      <c r="AS52" s="1209"/>
      <c r="AT52" s="1216"/>
      <c r="AU52" s="1216"/>
      <c r="AV52" s="976"/>
      <c r="AW52" s="968"/>
      <c r="AX52" s="1077"/>
      <c r="AZ52" s="1268"/>
      <c r="BA52" s="943"/>
      <c r="BB52" s="943"/>
      <c r="BC52" s="943"/>
      <c r="BD52" s="943"/>
      <c r="BE52" s="1026"/>
      <c r="BF52" s="1152" t="s">
        <v>174</v>
      </c>
      <c r="BG52" s="1261">
        <v>3136268</v>
      </c>
      <c r="BH52" s="1261">
        <v>3136205</v>
      </c>
      <c r="BI52" s="1152" t="s">
        <v>174</v>
      </c>
      <c r="BJ52" s="1028"/>
      <c r="BK52" s="1262"/>
      <c r="BL52" s="973"/>
      <c r="BM52" s="973"/>
      <c r="BN52" s="976"/>
      <c r="BQ52" s="976"/>
      <c r="BV52" s="1248" t="s">
        <v>174</v>
      </c>
      <c r="BZ52" s="1090"/>
      <c r="CA52" s="973"/>
      <c r="CB52" s="948"/>
      <c r="CC52" s="939"/>
      <c r="CD52" s="947"/>
      <c r="CE52" s="1216"/>
      <c r="CF52" s="976"/>
      <c r="CH52" s="1017" t="s">
        <v>181</v>
      </c>
      <c r="CI52" s="1017"/>
      <c r="CJ52" s="976"/>
      <c r="CM52" s="1094"/>
      <c r="CN52" s="1094"/>
      <c r="CQ52" s="976"/>
      <c r="CR52" s="976"/>
      <c r="CU52" s="1062"/>
      <c r="CV52" s="1062"/>
      <c r="DA52" s="976"/>
      <c r="DB52" s="1062"/>
      <c r="DC52" s="948"/>
    </row>
    <row r="53" spans="1:120" s="942" customFormat="1" ht="19.5" customHeight="1" x14ac:dyDescent="0.25">
      <c r="A53" s="943"/>
      <c r="C53" s="968"/>
      <c r="D53" s="968"/>
      <c r="E53" s="968"/>
      <c r="F53" s="968"/>
      <c r="G53" s="968"/>
      <c r="H53" s="968"/>
      <c r="I53" s="968"/>
      <c r="J53" s="968"/>
      <c r="K53" s="968"/>
      <c r="O53" s="943"/>
      <c r="Q53" s="988"/>
      <c r="R53" s="988"/>
      <c r="S53" s="988"/>
      <c r="T53" s="988"/>
      <c r="U53" s="988"/>
      <c r="AA53" s="1094"/>
      <c r="AB53" s="973"/>
      <c r="AC53" s="1094"/>
      <c r="AD53" s="976"/>
      <c r="AE53" s="1259"/>
      <c r="AF53" s="939"/>
      <c r="AG53" s="988"/>
      <c r="AH53" s="988"/>
      <c r="AI53" s="1022"/>
      <c r="AJ53" s="1260"/>
      <c r="AK53" s="948"/>
      <c r="AL53" s="939"/>
      <c r="AM53" s="943"/>
      <c r="AN53" s="976"/>
      <c r="AO53" s="976"/>
      <c r="AP53" s="976"/>
      <c r="AQ53" s="976"/>
      <c r="AS53" s="976"/>
      <c r="AT53" s="1216"/>
      <c r="AU53" s="1216"/>
      <c r="AW53" s="976"/>
      <c r="AX53" s="1077"/>
      <c r="AY53" s="976"/>
      <c r="AZ53" s="976"/>
      <c r="BA53" s="943"/>
      <c r="BB53" s="968"/>
      <c r="BC53" s="968"/>
      <c r="BD53" s="1269"/>
      <c r="BE53" s="1026"/>
      <c r="BF53" s="1152" t="s">
        <v>174</v>
      </c>
      <c r="BG53" s="1261">
        <v>3136236</v>
      </c>
      <c r="BH53" s="1261">
        <v>3136204</v>
      </c>
      <c r="BI53" s="1152" t="s">
        <v>174</v>
      </c>
      <c r="BJ53" s="1028"/>
      <c r="BK53" s="1262"/>
      <c r="BL53" s="973"/>
      <c r="BM53" s="973"/>
      <c r="BN53" s="973"/>
      <c r="BQ53" s="976"/>
      <c r="BV53" s="1198"/>
      <c r="BZ53" s="1090"/>
      <c r="CA53" s="973"/>
      <c r="CB53" s="948"/>
      <c r="CC53" s="939"/>
      <c r="CD53" s="947"/>
      <c r="CE53" s="1216"/>
      <c r="CF53" s="976"/>
      <c r="CJ53" s="976"/>
      <c r="CM53" s="1094"/>
      <c r="CN53" s="1094"/>
      <c r="CO53" s="976"/>
      <c r="CQ53" s="976"/>
      <c r="CR53" s="976"/>
      <c r="CU53" s="1062"/>
      <c r="CV53" s="1062"/>
      <c r="DA53" s="976"/>
      <c r="DB53" s="1062"/>
      <c r="DC53" s="948"/>
      <c r="DJ53" s="988"/>
      <c r="DK53" s="988"/>
      <c r="DL53" s="973"/>
      <c r="DM53" s="1110"/>
      <c r="DN53" s="1110"/>
      <c r="DO53" s="976"/>
      <c r="DP53" s="976"/>
    </row>
    <row r="54" spans="1:120" s="942" customFormat="1" ht="19.5" customHeight="1" x14ac:dyDescent="0.25">
      <c r="A54" s="943"/>
      <c r="C54" s="968"/>
      <c r="J54" s="968"/>
      <c r="K54" s="968"/>
      <c r="N54" s="988"/>
      <c r="O54" s="943"/>
      <c r="P54" s="988"/>
      <c r="Q54" s="988"/>
      <c r="R54" s="988"/>
      <c r="S54" s="988"/>
      <c r="T54" s="988"/>
      <c r="U54" s="988"/>
      <c r="AA54" s="1094"/>
      <c r="AB54" s="973"/>
      <c r="AC54" s="1094"/>
      <c r="AD54" s="976"/>
      <c r="AE54" s="1259"/>
      <c r="AF54" s="988"/>
      <c r="AG54" s="1270" t="s">
        <v>180</v>
      </c>
      <c r="AH54" s="988"/>
      <c r="AI54" s="1022"/>
      <c r="AJ54" s="1260"/>
      <c r="AK54" s="948"/>
      <c r="AL54" s="939"/>
      <c r="AM54" s="943"/>
      <c r="AN54" s="976"/>
      <c r="AO54" s="976"/>
      <c r="AP54" s="976"/>
      <c r="AQ54" s="976"/>
      <c r="AR54" s="976"/>
      <c r="AS54" s="976"/>
      <c r="AT54" s="1271"/>
      <c r="AU54" s="1271"/>
      <c r="AV54" s="976"/>
      <c r="AW54" s="976"/>
      <c r="AX54" s="968"/>
      <c r="AY54" s="976"/>
      <c r="AZ54" s="976"/>
      <c r="BA54" s="943"/>
      <c r="BB54" s="968"/>
      <c r="BC54" s="968"/>
      <c r="BD54" s="1272"/>
      <c r="BE54" s="973"/>
      <c r="BF54" s="973"/>
      <c r="BG54" s="1146"/>
      <c r="BH54" s="1146"/>
      <c r="BI54" s="988"/>
      <c r="BJ54" s="973"/>
      <c r="BK54" s="976"/>
      <c r="BL54" s="973"/>
      <c r="BM54" s="973"/>
      <c r="BN54" s="973"/>
      <c r="BQ54" s="976"/>
      <c r="BT54" s="973"/>
      <c r="BU54" s="1017" t="s">
        <v>181</v>
      </c>
      <c r="BV54" s="1017"/>
      <c r="BW54" s="1017"/>
      <c r="BX54" s="973"/>
      <c r="BY54" s="973"/>
      <c r="BZ54" s="1090"/>
      <c r="CA54" s="973"/>
      <c r="CB54" s="948"/>
      <c r="CC54" s="939"/>
      <c r="CD54" s="947"/>
      <c r="CE54" s="976"/>
      <c r="CF54" s="976"/>
      <c r="CG54" s="976"/>
      <c r="CH54" s="1040"/>
      <c r="CI54" s="1040"/>
      <c r="CJ54" s="976"/>
      <c r="CO54" s="976"/>
      <c r="CQ54" s="976"/>
      <c r="CR54" s="976"/>
      <c r="CV54" s="976"/>
      <c r="CW54" s="976"/>
      <c r="DA54" s="976"/>
      <c r="DB54" s="1062"/>
      <c r="DC54" s="948"/>
      <c r="DJ54" s="988"/>
      <c r="DK54" s="988"/>
      <c r="DL54" s="976"/>
      <c r="DM54" s="973"/>
      <c r="DN54" s="973"/>
      <c r="DO54" s="976"/>
      <c r="DP54" s="976"/>
    </row>
    <row r="55" spans="1:120" s="942" customFormat="1" ht="19.5" customHeight="1" x14ac:dyDescent="0.2">
      <c r="A55" s="943"/>
      <c r="B55" s="968"/>
      <c r="C55" s="968"/>
      <c r="D55" s="968"/>
      <c r="E55" s="968"/>
      <c r="F55" s="968"/>
      <c r="G55" s="968"/>
      <c r="H55" s="968"/>
      <c r="I55" s="968"/>
      <c r="J55" s="968"/>
      <c r="K55" s="968"/>
      <c r="N55" s="988"/>
      <c r="O55" s="988"/>
      <c r="P55" s="943"/>
      <c r="Q55" s="988"/>
      <c r="R55" s="988"/>
      <c r="S55" s="988"/>
      <c r="T55" s="988"/>
      <c r="U55" s="988"/>
      <c r="AA55" s="1110"/>
      <c r="AB55" s="1094"/>
      <c r="AC55" s="1110"/>
      <c r="AD55" s="976"/>
      <c r="AE55" s="1259"/>
      <c r="AF55" s="988"/>
      <c r="AG55" s="988"/>
      <c r="AH55" s="988"/>
      <c r="AI55" s="1022"/>
      <c r="AJ55" s="1260"/>
      <c r="AK55" s="948"/>
      <c r="AL55" s="939"/>
      <c r="AM55" s="943"/>
      <c r="AN55" s="976"/>
      <c r="AO55" s="976"/>
      <c r="AP55" s="976"/>
      <c r="AQ55" s="976"/>
      <c r="AR55" s="976"/>
      <c r="AS55" s="976"/>
      <c r="AT55" s="1273"/>
      <c r="AU55" s="1273"/>
      <c r="AV55" s="976"/>
      <c r="AW55" s="976"/>
      <c r="AX55" s="968"/>
      <c r="AY55" s="1274"/>
      <c r="AZ55" s="1275"/>
      <c r="BA55" s="943"/>
      <c r="BB55" s="1209"/>
      <c r="BC55" s="1209"/>
      <c r="BD55" s="1272"/>
      <c r="BE55" s="939"/>
      <c r="BF55" s="939"/>
      <c r="BG55" s="973"/>
      <c r="BH55" s="973"/>
      <c r="BI55" s="973"/>
      <c r="BJ55" s="976"/>
      <c r="BK55" s="976"/>
      <c r="BL55" s="939"/>
      <c r="BN55" s="973"/>
      <c r="BT55" s="973"/>
      <c r="BU55" s="973"/>
      <c r="BV55" s="973"/>
      <c r="BW55" s="973"/>
      <c r="BX55" s="973"/>
      <c r="BY55" s="973"/>
      <c r="BZ55" s="1090"/>
      <c r="CA55" s="1090"/>
      <c r="CB55" s="948"/>
      <c r="CC55" s="939"/>
      <c r="CD55" s="947"/>
      <c r="CE55" s="1040"/>
      <c r="CF55" s="976"/>
      <c r="CG55" s="976"/>
      <c r="CH55" s="1040"/>
      <c r="CI55" s="1040"/>
      <c r="CJ55" s="976"/>
      <c r="CO55" s="976"/>
      <c r="CQ55" s="976"/>
      <c r="CR55" s="976"/>
      <c r="DA55" s="976"/>
      <c r="DB55" s="1062"/>
      <c r="DC55" s="948"/>
      <c r="DJ55" s="988"/>
      <c r="DK55" s="988"/>
      <c r="DL55" s="973"/>
      <c r="DM55" s="976"/>
      <c r="DN55" s="976"/>
      <c r="DO55" s="976"/>
      <c r="DP55" s="976"/>
    </row>
    <row r="56" spans="1:120" s="942" customFormat="1" ht="19.5" customHeight="1" x14ac:dyDescent="0.25">
      <c r="A56" s="943"/>
      <c r="B56" s="968"/>
      <c r="C56" s="968"/>
      <c r="D56" s="968"/>
      <c r="E56" s="968"/>
      <c r="F56" s="968"/>
      <c r="G56" s="968"/>
      <c r="H56" s="968"/>
      <c r="I56" s="968"/>
      <c r="J56" s="968"/>
      <c r="K56" s="968"/>
      <c r="N56" s="988"/>
      <c r="O56" s="988"/>
      <c r="P56" s="943"/>
      <c r="Q56" s="988"/>
      <c r="R56" s="988"/>
      <c r="S56" s="988"/>
      <c r="T56" s="988"/>
      <c r="U56" s="988"/>
      <c r="AC56" s="976"/>
      <c r="AD56" s="976"/>
      <c r="AE56" s="1259"/>
      <c r="AF56" s="988"/>
      <c r="AG56" s="988"/>
      <c r="AH56" s="988"/>
      <c r="AI56" s="1022"/>
      <c r="AJ56" s="1260"/>
      <c r="AK56" s="948"/>
      <c r="AL56" s="939"/>
      <c r="AM56" s="943"/>
      <c r="AO56" s="976"/>
      <c r="AP56" s="976"/>
      <c r="AQ56" s="976"/>
      <c r="AR56" s="976"/>
      <c r="AS56" s="968"/>
      <c r="AT56" s="1276"/>
      <c r="AU56" s="1276"/>
      <c r="AV56" s="976"/>
      <c r="AW56" s="976"/>
      <c r="AX56" s="968"/>
      <c r="AY56" s="968"/>
      <c r="AZ56" s="1190"/>
      <c r="BA56" s="943"/>
      <c r="BB56" s="1209"/>
      <c r="BC56" s="1209"/>
      <c r="BD56" s="1272"/>
      <c r="BE56" s="939"/>
      <c r="BF56" s="939"/>
      <c r="BG56" s="939"/>
      <c r="BH56" s="939"/>
      <c r="BK56" s="976"/>
      <c r="BL56" s="939"/>
      <c r="BN56" s="973"/>
      <c r="BT56" s="973"/>
      <c r="BU56" s="973"/>
      <c r="BV56" s="973"/>
      <c r="BW56" s="973"/>
      <c r="BX56" s="973"/>
      <c r="BY56" s="973"/>
      <c r="BZ56" s="1090"/>
      <c r="CA56" s="1090"/>
      <c r="CB56" s="948"/>
      <c r="CC56" s="939"/>
      <c r="CD56" s="947"/>
      <c r="CE56" s="1040"/>
      <c r="CF56" s="976"/>
      <c r="CG56" s="976"/>
      <c r="CH56" s="976"/>
      <c r="CI56" s="976"/>
      <c r="CJ56" s="976"/>
      <c r="CO56" s="976"/>
      <c r="CQ56" s="976"/>
      <c r="CR56" s="976"/>
      <c r="DA56" s="976"/>
      <c r="DB56" s="976"/>
      <c r="DC56" s="948"/>
    </row>
    <row r="57" spans="1:120" s="942" customFormat="1" ht="19.5" customHeight="1" thickBot="1" x14ac:dyDescent="0.3">
      <c r="A57" s="943"/>
      <c r="B57" s="968"/>
      <c r="C57" s="968"/>
      <c r="D57" s="968"/>
      <c r="E57" s="968"/>
      <c r="F57" s="968"/>
      <c r="G57" s="968"/>
      <c r="H57" s="968"/>
      <c r="I57" s="968"/>
      <c r="J57" s="968"/>
      <c r="K57" s="968"/>
      <c r="N57" s="988"/>
      <c r="O57" s="988"/>
      <c r="P57" s="943"/>
      <c r="Q57" s="988"/>
      <c r="R57" s="988"/>
      <c r="S57" s="988"/>
      <c r="T57" s="988"/>
      <c r="U57" s="988"/>
      <c r="AC57" s="976"/>
      <c r="AD57" s="976"/>
      <c r="AE57" s="1259"/>
      <c r="AF57" s="988"/>
      <c r="AG57" s="988"/>
      <c r="AH57" s="988"/>
      <c r="AI57" s="1022"/>
      <c r="AJ57" s="1260"/>
      <c r="AK57" s="948"/>
      <c r="AL57" s="939"/>
      <c r="AM57" s="943"/>
      <c r="AN57" s="1118"/>
      <c r="AO57" s="1118"/>
      <c r="AP57" s="1153"/>
      <c r="AQ57" s="1153"/>
      <c r="AR57" s="976"/>
      <c r="AS57" s="968"/>
      <c r="AT57" s="1277"/>
      <c r="AU57" s="1277"/>
      <c r="AV57" s="968"/>
      <c r="AW57" s="939"/>
      <c r="AX57" s="968"/>
      <c r="AY57" s="968"/>
      <c r="AZ57" s="1190"/>
      <c r="BA57" s="943"/>
      <c r="BB57" s="968"/>
      <c r="BC57" s="968"/>
      <c r="BD57" s="1272"/>
      <c r="BE57" s="939"/>
      <c r="BF57" s="939"/>
      <c r="BG57" s="939"/>
      <c r="BH57" s="939"/>
      <c r="BK57" s="976"/>
      <c r="BL57" s="939"/>
      <c r="BN57" s="973"/>
      <c r="BT57" s="973"/>
      <c r="BU57" s="973"/>
      <c r="BV57" s="973"/>
      <c r="BW57" s="973"/>
      <c r="BX57" s="973"/>
      <c r="BY57" s="973"/>
      <c r="BZ57" s="1090"/>
      <c r="CA57" s="970"/>
      <c r="CB57" s="948"/>
      <c r="CC57" s="939"/>
      <c r="CD57" s="947"/>
      <c r="CE57" s="1040"/>
      <c r="CF57" s="976"/>
      <c r="CG57" s="976"/>
      <c r="CH57" s="1278"/>
      <c r="CI57" s="1278"/>
      <c r="CJ57" s="976"/>
      <c r="CM57" s="1279"/>
      <c r="CN57" s="1279"/>
      <c r="CO57" s="976"/>
      <c r="CQ57" s="976"/>
      <c r="CR57" s="976"/>
      <c r="CT57" s="976"/>
      <c r="CU57" s="976"/>
      <c r="CV57" s="976"/>
      <c r="CW57" s="976"/>
      <c r="CX57" s="976"/>
      <c r="CY57" s="976"/>
      <c r="CZ57" s="976"/>
      <c r="DA57" s="976"/>
      <c r="DB57" s="976"/>
      <c r="DC57" s="948"/>
    </row>
    <row r="58" spans="1:120" s="942" customFormat="1" ht="19.5" customHeight="1" x14ac:dyDescent="0.25">
      <c r="A58" s="943"/>
      <c r="B58" s="968"/>
      <c r="C58" s="968"/>
      <c r="D58" s="968"/>
      <c r="E58" s="968"/>
      <c r="F58" s="1073" t="s">
        <v>209</v>
      </c>
      <c r="G58" s="1280"/>
      <c r="H58" s="1280"/>
      <c r="I58" s="1280"/>
      <c r="J58" s="1280"/>
      <c r="K58" s="1280"/>
      <c r="N58" s="988"/>
      <c r="O58" s="988"/>
      <c r="P58" s="943"/>
      <c r="Q58" s="988"/>
      <c r="R58" s="988"/>
      <c r="S58" s="988"/>
      <c r="T58" s="988"/>
      <c r="U58" s="988"/>
      <c r="AC58" s="973"/>
      <c r="AD58" s="973"/>
      <c r="AE58" s="1259"/>
      <c r="AF58" s="988"/>
      <c r="AG58" s="988"/>
      <c r="AH58" s="988"/>
      <c r="AI58" s="1022"/>
      <c r="AJ58" s="1260"/>
      <c r="AK58" s="948"/>
      <c r="AL58" s="939"/>
      <c r="AM58" s="943"/>
      <c r="AN58" s="1175"/>
      <c r="AO58" s="984" t="s">
        <v>210</v>
      </c>
      <c r="AP58" s="1153"/>
      <c r="AQ58" s="1153"/>
      <c r="AR58" s="1209"/>
      <c r="AS58" s="976"/>
      <c r="AT58" s="1087"/>
      <c r="AU58" s="1087"/>
      <c r="AV58" s="976"/>
      <c r="AW58" s="976"/>
      <c r="AX58" s="1077"/>
      <c r="AY58" s="985"/>
      <c r="AZ58" s="1190"/>
      <c r="BA58" s="943"/>
      <c r="BB58" s="985"/>
      <c r="BC58" s="985"/>
      <c r="BD58" s="1272"/>
      <c r="BE58" s="939"/>
      <c r="BK58" s="976"/>
      <c r="BL58" s="939"/>
      <c r="BN58" s="973"/>
      <c r="BO58" s="939"/>
      <c r="BT58" s="973"/>
      <c r="BU58" s="1005" t="s">
        <v>180</v>
      </c>
      <c r="BV58" s="1006"/>
      <c r="BW58" s="1006"/>
      <c r="BX58" s="1006"/>
      <c r="BY58" s="1006"/>
      <c r="BZ58" s="1006"/>
      <c r="CA58" s="1007"/>
      <c r="CB58" s="948"/>
      <c r="CC58" s="939"/>
      <c r="CD58" s="947"/>
      <c r="CE58" s="1040"/>
      <c r="CF58" s="976"/>
      <c r="CG58" s="976"/>
      <c r="CH58" s="1278"/>
      <c r="CI58" s="1278"/>
      <c r="CJ58" s="976"/>
      <c r="CM58" s="1155"/>
      <c r="CN58" s="1155"/>
      <c r="CQ58" s="976"/>
      <c r="CR58" s="976"/>
      <c r="CW58" s="1281"/>
      <c r="CX58" s="1282"/>
      <c r="CY58" s="1282"/>
      <c r="CZ58" s="1282"/>
      <c r="DA58" s="1282"/>
      <c r="DB58" s="1283"/>
      <c r="DC58" s="948"/>
    </row>
    <row r="59" spans="1:120" s="942" customFormat="1" ht="19.5" customHeight="1" x14ac:dyDescent="0.25">
      <c r="A59" s="943"/>
      <c r="B59" s="968"/>
      <c r="C59" s="968"/>
      <c r="D59" s="968"/>
      <c r="E59" s="968"/>
      <c r="F59" s="1280"/>
      <c r="G59" s="1280"/>
      <c r="H59" s="1280"/>
      <c r="I59" s="1280"/>
      <c r="J59" s="1280"/>
      <c r="K59" s="1280"/>
      <c r="L59" s="1280"/>
      <c r="M59" s="968"/>
      <c r="N59" s="988"/>
      <c r="O59" s="1284"/>
      <c r="P59" s="943"/>
      <c r="Q59" s="988"/>
      <c r="R59" s="988"/>
      <c r="S59" s="988"/>
      <c r="T59" s="988"/>
      <c r="U59" s="988"/>
      <c r="AC59" s="976"/>
      <c r="AD59" s="976"/>
      <c r="AE59" s="1259"/>
      <c r="AF59" s="988"/>
      <c r="AG59" s="988"/>
      <c r="AH59" s="1285"/>
      <c r="AI59" s="1022"/>
      <c r="AJ59" s="1260"/>
      <c r="AK59" s="948"/>
      <c r="AL59" s="939"/>
      <c r="AM59" s="943"/>
      <c r="AN59" s="1286" t="s">
        <v>773</v>
      </c>
      <c r="AO59" s="1177"/>
      <c r="AP59" s="1134"/>
      <c r="AQ59" s="1153"/>
      <c r="AR59" s="976"/>
      <c r="AS59" s="976"/>
      <c r="AT59" s="1087"/>
      <c r="AU59" s="1087"/>
      <c r="AV59" s="976"/>
      <c r="AW59" s="939"/>
      <c r="AX59" s="1077"/>
      <c r="AY59" s="985"/>
      <c r="AZ59" s="1190"/>
      <c r="BA59" s="943"/>
      <c r="BB59" s="985"/>
      <c r="BC59" s="985"/>
      <c r="BD59" s="1272"/>
      <c r="BE59" s="973"/>
      <c r="BI59" s="973"/>
      <c r="BJ59" s="973"/>
      <c r="BK59" s="973"/>
      <c r="BL59" s="973"/>
      <c r="BM59" s="939"/>
      <c r="BN59" s="939"/>
      <c r="BO59" s="939"/>
      <c r="BT59" s="973"/>
      <c r="BU59" s="1010"/>
      <c r="BV59" s="1011"/>
      <c r="BW59" s="1011"/>
      <c r="BX59" s="1011"/>
      <c r="BY59" s="1011"/>
      <c r="BZ59" s="1011"/>
      <c r="CA59" s="1012"/>
      <c r="CB59" s="948"/>
      <c r="CC59" s="939"/>
      <c r="CD59" s="947"/>
      <c r="CE59" s="976"/>
      <c r="CF59" s="976"/>
      <c r="CG59" s="976"/>
      <c r="CH59" s="1278"/>
      <c r="CI59" s="1278"/>
      <c r="CJ59" s="976"/>
      <c r="CL59" s="976"/>
      <c r="CM59" s="1155"/>
      <c r="CN59" s="1155"/>
      <c r="CQ59" s="976"/>
      <c r="CR59" s="976"/>
      <c r="CW59" s="1287" t="s">
        <v>180</v>
      </c>
      <c r="CX59" s="941"/>
      <c r="CY59" s="941"/>
      <c r="CZ59" s="941"/>
      <c r="DA59" s="941"/>
      <c r="DB59" s="1288"/>
      <c r="DC59" s="948"/>
    </row>
    <row r="60" spans="1:120" s="942" customFormat="1" ht="19.5" customHeight="1" x14ac:dyDescent="0.25">
      <c r="A60" s="943"/>
      <c r="B60" s="968"/>
      <c r="C60" s="968"/>
      <c r="D60" s="968"/>
      <c r="E60" s="968"/>
      <c r="F60" s="1280"/>
      <c r="G60" s="1280"/>
      <c r="H60" s="1280"/>
      <c r="I60" s="1280"/>
      <c r="J60" s="1280"/>
      <c r="K60" s="1280"/>
      <c r="L60" s="1280"/>
      <c r="M60" s="968"/>
      <c r="N60" s="988"/>
      <c r="O60" s="988"/>
      <c r="P60" s="943"/>
      <c r="Q60" s="988"/>
      <c r="R60" s="988"/>
      <c r="S60" s="988"/>
      <c r="T60" s="988"/>
      <c r="U60" s="988"/>
      <c r="AC60" s="976"/>
      <c r="AD60" s="976"/>
      <c r="AE60" s="1259"/>
      <c r="AF60" s="988"/>
      <c r="AG60" s="988"/>
      <c r="AH60" s="1285"/>
      <c r="AI60" s="1022"/>
      <c r="AJ60" s="1260"/>
      <c r="AK60" s="948"/>
      <c r="AL60" s="939"/>
      <c r="AM60" s="943"/>
      <c r="AN60" s="1175"/>
      <c r="AP60" s="1134"/>
      <c r="AQ60" s="1153"/>
      <c r="AR60" s="976"/>
      <c r="AS60" s="1209"/>
      <c r="AT60" s="1087"/>
      <c r="AU60" s="1087"/>
      <c r="AV60" s="1209"/>
      <c r="AW60" s="1209"/>
      <c r="AX60" s="1209"/>
      <c r="AY60" s="985"/>
      <c r="AZ60" s="1190"/>
      <c r="BA60" s="943"/>
      <c r="BB60" s="985"/>
      <c r="BC60" s="985"/>
      <c r="BD60" s="1272"/>
      <c r="BE60" s="973"/>
      <c r="BI60" s="973"/>
      <c r="BJ60" s="973"/>
      <c r="BK60" s="973"/>
      <c r="BL60" s="973"/>
      <c r="BM60" s="973"/>
      <c r="BN60" s="973"/>
      <c r="BO60" s="973"/>
      <c r="BT60" s="973"/>
      <c r="BU60" s="1010"/>
      <c r="BV60" s="1011"/>
      <c r="BW60" s="1011"/>
      <c r="BX60" s="1011"/>
      <c r="BY60" s="1011"/>
      <c r="BZ60" s="1011"/>
      <c r="CA60" s="1012"/>
      <c r="CB60" s="948"/>
      <c r="CC60" s="939"/>
      <c r="CD60" s="947"/>
      <c r="CE60" s="976"/>
      <c r="CF60" s="976"/>
      <c r="CG60" s="976"/>
      <c r="CH60" s="976"/>
      <c r="CI60" s="976"/>
      <c r="CJ60" s="976"/>
      <c r="CL60" s="976"/>
      <c r="CQ60" s="976"/>
      <c r="CR60" s="976"/>
      <c r="CW60" s="1287"/>
      <c r="CX60" s="941"/>
      <c r="CY60" s="941"/>
      <c r="CZ60" s="941"/>
      <c r="DA60" s="941"/>
      <c r="DB60" s="1288"/>
      <c r="DC60" s="948"/>
    </row>
    <row r="61" spans="1:120" s="942" customFormat="1" ht="19.5" customHeight="1" thickBot="1" x14ac:dyDescent="0.3">
      <c r="A61" s="943"/>
      <c r="B61" s="968"/>
      <c r="C61" s="968"/>
      <c r="D61" s="968"/>
      <c r="E61" s="968"/>
      <c r="F61" s="1280"/>
      <c r="G61" s="1280"/>
      <c r="H61" s="1280"/>
      <c r="I61" s="1280"/>
      <c r="J61" s="1280"/>
      <c r="K61" s="1280"/>
      <c r="L61" s="1280"/>
      <c r="M61" s="968"/>
      <c r="N61" s="988"/>
      <c r="O61" s="988"/>
      <c r="P61" s="943"/>
      <c r="Q61" s="988"/>
      <c r="R61" s="988"/>
      <c r="S61" s="988"/>
      <c r="T61" s="988"/>
      <c r="U61" s="988"/>
      <c r="AC61" s="976"/>
      <c r="AD61" s="976"/>
      <c r="AE61" s="1289"/>
      <c r="AF61" s="1290"/>
      <c r="AG61" s="1290"/>
      <c r="AH61" s="1291"/>
      <c r="AI61" s="1292"/>
      <c r="AJ61" s="1293"/>
      <c r="AK61" s="948"/>
      <c r="AL61" s="939"/>
      <c r="AM61" s="943"/>
      <c r="AN61" s="1286" t="s">
        <v>773</v>
      </c>
      <c r="AO61" s="1177"/>
      <c r="AP61" s="1134"/>
      <c r="AQ61" s="1153"/>
      <c r="AR61" s="939"/>
      <c r="AX61" s="1209"/>
      <c r="AY61" s="1209"/>
      <c r="AZ61" s="1137"/>
      <c r="BA61" s="943"/>
      <c r="BB61" s="968"/>
      <c r="BC61" s="1209"/>
      <c r="BD61" s="1294"/>
      <c r="BE61" s="1209"/>
      <c r="BG61" s="973"/>
      <c r="BH61" s="973"/>
      <c r="BI61" s="973"/>
      <c r="BJ61" s="973"/>
      <c r="BK61" s="973"/>
      <c r="BL61" s="973"/>
      <c r="BM61" s="973"/>
      <c r="BN61" s="973"/>
      <c r="BO61" s="973"/>
      <c r="BT61" s="973"/>
      <c r="BU61" s="1010"/>
      <c r="BV61" s="1011"/>
      <c r="BW61" s="1011"/>
      <c r="BX61" s="1011"/>
      <c r="BY61" s="1011"/>
      <c r="BZ61" s="1011"/>
      <c r="CA61" s="1012"/>
      <c r="CB61" s="948"/>
      <c r="CC61" s="939"/>
      <c r="CD61" s="947"/>
      <c r="CE61" s="976"/>
      <c r="CF61" s="976"/>
      <c r="CG61" s="976"/>
      <c r="CH61" s="976"/>
      <c r="CI61" s="976"/>
      <c r="CJ61" s="976"/>
      <c r="CL61" s="976"/>
      <c r="CM61" s="976"/>
      <c r="CQ61" s="976"/>
      <c r="CR61" s="976"/>
      <c r="CV61" s="993"/>
      <c r="CW61" s="1287"/>
      <c r="CX61" s="941"/>
      <c r="CY61" s="941"/>
      <c r="CZ61" s="941"/>
      <c r="DA61" s="941"/>
      <c r="DB61" s="1288"/>
      <c r="DC61" s="948"/>
    </row>
    <row r="62" spans="1:120" s="942" customFormat="1" ht="19.5" customHeight="1" x14ac:dyDescent="0.25">
      <c r="A62" s="943"/>
      <c r="B62" s="968"/>
      <c r="C62" s="968"/>
      <c r="D62" s="968"/>
      <c r="E62" s="968"/>
      <c r="F62" s="1280"/>
      <c r="G62" s="1280"/>
      <c r="H62" s="1280"/>
      <c r="I62" s="1280"/>
      <c r="J62" s="1280"/>
      <c r="K62" s="1280"/>
      <c r="L62" s="1280"/>
      <c r="M62" s="968"/>
      <c r="N62" s="988"/>
      <c r="O62" s="988"/>
      <c r="P62" s="943"/>
      <c r="Q62" s="988"/>
      <c r="R62" s="988"/>
      <c r="S62" s="988"/>
      <c r="T62" s="988"/>
      <c r="U62" s="988"/>
      <c r="AC62" s="976"/>
      <c r="AD62" s="976"/>
      <c r="AE62" s="975"/>
      <c r="AF62" s="975"/>
      <c r="AG62" s="1034"/>
      <c r="AH62" s="1295"/>
      <c r="AI62" s="1296"/>
      <c r="AJ62" s="1295"/>
      <c r="AK62" s="948"/>
      <c r="AL62" s="939"/>
      <c r="AM62" s="943"/>
      <c r="AN62" s="1175"/>
      <c r="AO62" s="1191"/>
      <c r="AP62" s="1134"/>
      <c r="AQ62" s="1153"/>
      <c r="AR62" s="976"/>
      <c r="AX62" s="968"/>
      <c r="AY62" s="939"/>
      <c r="AZ62" s="1034"/>
      <c r="BA62" s="943"/>
      <c r="BB62" s="1297"/>
      <c r="BC62" s="1297"/>
      <c r="BD62" s="1294"/>
      <c r="BE62" s="1209"/>
      <c r="BG62" s="973"/>
      <c r="BH62" s="973"/>
      <c r="BI62" s="973"/>
      <c r="BJ62" s="973"/>
      <c r="BK62" s="973"/>
      <c r="BL62" s="973"/>
      <c r="BM62" s="973"/>
      <c r="BN62" s="973"/>
      <c r="BO62" s="973"/>
      <c r="BT62" s="973"/>
      <c r="BU62" s="1010"/>
      <c r="BV62" s="1011"/>
      <c r="BW62" s="1011"/>
      <c r="BX62" s="1011"/>
      <c r="BY62" s="1011"/>
      <c r="BZ62" s="1011"/>
      <c r="CA62" s="1012"/>
      <c r="CB62" s="947"/>
      <c r="CC62" s="939"/>
      <c r="CD62" s="947"/>
      <c r="CE62" s="976"/>
      <c r="CF62" s="976"/>
      <c r="CG62" s="976"/>
      <c r="CH62" s="976"/>
      <c r="CI62" s="976"/>
      <c r="CJ62" s="976"/>
      <c r="CQ62" s="976"/>
      <c r="CR62" s="976"/>
      <c r="CV62" s="973"/>
      <c r="CW62" s="1287"/>
      <c r="CX62" s="941"/>
      <c r="CY62" s="941"/>
      <c r="CZ62" s="941"/>
      <c r="DA62" s="941"/>
      <c r="DB62" s="1288"/>
      <c r="DC62" s="948"/>
    </row>
    <row r="63" spans="1:120" s="942" customFormat="1" ht="19.5" customHeight="1" x14ac:dyDescent="0.25">
      <c r="A63" s="943"/>
      <c r="B63" s="968"/>
      <c r="C63" s="968"/>
      <c r="D63" s="968"/>
      <c r="E63" s="968"/>
      <c r="F63" s="1280"/>
      <c r="G63" s="1280"/>
      <c r="H63" s="1280"/>
      <c r="I63" s="1280"/>
      <c r="J63" s="1280"/>
      <c r="K63" s="1280"/>
      <c r="L63" s="1280"/>
      <c r="M63" s="968"/>
      <c r="N63" s="988"/>
      <c r="O63" s="988"/>
      <c r="P63" s="943"/>
      <c r="Q63" s="988"/>
      <c r="R63" s="988"/>
      <c r="S63" s="988"/>
      <c r="T63" s="988"/>
      <c r="U63" s="988"/>
      <c r="AC63" s="976"/>
      <c r="AD63" s="976"/>
      <c r="AE63" s="1298"/>
      <c r="AF63" s="1298"/>
      <c r="AG63" s="979"/>
      <c r="AH63" s="984"/>
      <c r="AI63" s="1299"/>
      <c r="AJ63" s="1076"/>
      <c r="AK63" s="947"/>
      <c r="AL63" s="939"/>
      <c r="AM63" s="943"/>
      <c r="AN63" s="1286" t="s">
        <v>773</v>
      </c>
      <c r="AO63" s="1177"/>
      <c r="AP63" s="1134"/>
      <c r="AQ63" s="1153"/>
      <c r="AR63" s="976"/>
      <c r="AT63" s="1300"/>
      <c r="AU63" s="1300"/>
      <c r="AX63" s="939"/>
      <c r="AY63" s="939"/>
      <c r="AZ63" s="1297"/>
      <c r="BA63" s="943"/>
      <c r="BB63" s="1297"/>
      <c r="BC63" s="1297"/>
      <c r="BD63" s="988"/>
      <c r="BE63" s="1301"/>
      <c r="BF63" s="1302"/>
      <c r="BG63" s="1302"/>
      <c r="BH63" s="947"/>
      <c r="BI63" s="947"/>
      <c r="BJ63" s="947"/>
      <c r="BK63" s="947"/>
      <c r="BL63" s="947"/>
      <c r="BM63" s="947"/>
      <c r="BN63" s="947"/>
      <c r="BO63" s="947"/>
      <c r="BT63" s="988"/>
      <c r="BU63" s="1010"/>
      <c r="BV63" s="1011"/>
      <c r="BW63" s="1011"/>
      <c r="BX63" s="1011"/>
      <c r="BY63" s="1011"/>
      <c r="BZ63" s="1011"/>
      <c r="CA63" s="1012"/>
      <c r="CB63" s="947"/>
      <c r="CC63" s="939"/>
      <c r="CD63" s="947"/>
      <c r="CE63" s="976"/>
      <c r="CG63" s="976"/>
      <c r="CH63" s="976"/>
      <c r="CI63" s="976"/>
      <c r="CJ63" s="976"/>
      <c r="CQ63" s="976"/>
      <c r="CR63" s="976"/>
      <c r="CV63" s="973"/>
      <c r="CW63" s="1287"/>
      <c r="CX63" s="941"/>
      <c r="CY63" s="941"/>
      <c r="CZ63" s="941"/>
      <c r="DA63" s="941"/>
      <c r="DB63" s="1288"/>
      <c r="DC63" s="948"/>
    </row>
    <row r="64" spans="1:120" s="942" customFormat="1" ht="19.5" customHeight="1" thickBot="1" x14ac:dyDescent="0.3">
      <c r="A64" s="943"/>
      <c r="B64" s="968"/>
      <c r="C64" s="968"/>
      <c r="D64" s="968"/>
      <c r="E64" s="968"/>
      <c r="F64" s="1280"/>
      <c r="G64" s="1280"/>
      <c r="H64" s="1280"/>
      <c r="I64" s="1280"/>
      <c r="J64" s="1280"/>
      <c r="K64" s="1280"/>
      <c r="L64" s="1280"/>
      <c r="M64" s="968"/>
      <c r="N64" s="988"/>
      <c r="O64" s="988"/>
      <c r="P64" s="943"/>
      <c r="Q64" s="988"/>
      <c r="R64" s="988"/>
      <c r="S64" s="988"/>
      <c r="T64" s="988"/>
      <c r="U64" s="988"/>
      <c r="V64" s="988"/>
      <c r="W64" s="988"/>
      <c r="X64" s="973"/>
      <c r="Y64" s="976"/>
      <c r="Z64" s="976"/>
      <c r="AA64" s="976"/>
      <c r="AB64" s="976"/>
      <c r="AC64" s="976"/>
      <c r="AD64" s="976"/>
      <c r="AE64" s="979"/>
      <c r="AF64" s="979"/>
      <c r="AG64" s="979"/>
      <c r="AH64" s="979"/>
      <c r="AI64" s="999"/>
      <c r="AJ64" s="1076"/>
      <c r="AK64" s="947"/>
      <c r="AL64" s="939"/>
      <c r="AM64" s="943"/>
      <c r="AN64" s="1175"/>
      <c r="AO64" s="1141"/>
      <c r="AP64" s="1134"/>
      <c r="AT64" s="1300"/>
      <c r="AU64" s="1300"/>
      <c r="AW64" s="939"/>
      <c r="AX64" s="939"/>
      <c r="AY64" s="1209"/>
      <c r="AZ64" s="1209"/>
      <c r="BA64" s="943"/>
      <c r="BB64" s="1209"/>
      <c r="BC64" s="1209"/>
      <c r="BD64" s="988"/>
      <c r="BE64" s="988"/>
      <c r="BF64" s="988"/>
      <c r="BG64" s="988"/>
      <c r="BH64" s="988"/>
      <c r="BI64" s="988"/>
      <c r="BJ64" s="988"/>
      <c r="BK64" s="988"/>
      <c r="BL64" s="988"/>
      <c r="BM64" s="988"/>
      <c r="BN64" s="988"/>
      <c r="BO64" s="947"/>
      <c r="BP64" s="988"/>
      <c r="BQ64" s="988"/>
      <c r="BR64" s="988"/>
      <c r="BS64" s="988"/>
      <c r="BT64" s="988"/>
      <c r="BU64" s="1010"/>
      <c r="BV64" s="1011"/>
      <c r="BW64" s="1011"/>
      <c r="BX64" s="1011"/>
      <c r="BY64" s="1011"/>
      <c r="BZ64" s="1011"/>
      <c r="CA64" s="1012"/>
      <c r="CB64" s="1303"/>
      <c r="CC64" s="939"/>
      <c r="CD64" s="947"/>
      <c r="CH64" s="939"/>
      <c r="CI64" s="939"/>
      <c r="CJ64" s="939"/>
      <c r="CQ64" s="976"/>
      <c r="CR64" s="976"/>
      <c r="CV64" s="973"/>
      <c r="CW64" s="1304"/>
      <c r="CX64" s="1305"/>
      <c r="CY64" s="1305"/>
      <c r="CZ64" s="1305"/>
      <c r="DA64" s="1305"/>
      <c r="DB64" s="1306"/>
      <c r="DC64" s="948"/>
    </row>
    <row r="65" spans="1:197" s="942" customFormat="1" ht="19.5" customHeight="1" x14ac:dyDescent="0.25">
      <c r="A65" s="943"/>
      <c r="B65" s="968"/>
      <c r="C65" s="968"/>
      <c r="D65" s="968"/>
      <c r="E65" s="968"/>
      <c r="F65" s="968"/>
      <c r="G65" s="968"/>
      <c r="H65" s="968"/>
      <c r="I65" s="968"/>
      <c r="J65" s="968"/>
      <c r="K65" s="968"/>
      <c r="L65" s="968"/>
      <c r="M65" s="968"/>
      <c r="N65" s="988"/>
      <c r="O65" s="988"/>
      <c r="P65" s="943"/>
      <c r="Q65" s="988"/>
      <c r="R65" s="988"/>
      <c r="S65" s="988"/>
      <c r="T65" s="988"/>
      <c r="U65" s="988"/>
      <c r="V65" s="988"/>
      <c r="W65" s="988"/>
      <c r="X65" s="973"/>
      <c r="Y65" s="973"/>
      <c r="Z65" s="976"/>
      <c r="AA65" s="976"/>
      <c r="AB65" s="976"/>
      <c r="AC65" s="976"/>
      <c r="AD65" s="976"/>
      <c r="AH65" s="1307"/>
      <c r="AI65" s="1307"/>
      <c r="AJ65" s="1307"/>
      <c r="AK65" s="1303"/>
      <c r="AL65" s="939"/>
      <c r="AM65" s="943"/>
      <c r="AN65" s="1286" t="s">
        <v>773</v>
      </c>
      <c r="AO65" s="1177"/>
      <c r="AP65" s="1134"/>
      <c r="AT65" s="1300"/>
      <c r="AU65" s="1300"/>
      <c r="AW65" s="939"/>
      <c r="AX65" s="939"/>
      <c r="AY65" s="1209"/>
      <c r="AZ65" s="968"/>
      <c r="BA65" s="943"/>
      <c r="BB65" s="968"/>
      <c r="BC65" s="968"/>
      <c r="BD65" s="968"/>
      <c r="BE65" s="988"/>
      <c r="BF65" s="988"/>
      <c r="BG65" s="988"/>
      <c r="BH65" s="988"/>
      <c r="BI65" s="1308" t="s">
        <v>213</v>
      </c>
      <c r="BJ65" s="1308"/>
      <c r="BK65" s="988"/>
      <c r="BL65" s="988"/>
      <c r="BM65" s="988"/>
      <c r="BN65" s="988"/>
      <c r="BO65" s="947"/>
      <c r="BP65" s="988"/>
      <c r="BQ65" s="988"/>
      <c r="BR65" s="988"/>
      <c r="BS65" s="988"/>
      <c r="BT65" s="988"/>
      <c r="BU65" s="1010"/>
      <c r="BV65" s="1011"/>
      <c r="BW65" s="1011"/>
      <c r="BX65" s="1011"/>
      <c r="BY65" s="1011"/>
      <c r="BZ65" s="1011"/>
      <c r="CA65" s="1012"/>
      <c r="CB65" s="1303"/>
      <c r="CC65" s="939"/>
      <c r="CD65" s="947"/>
      <c r="CH65" s="939"/>
      <c r="CI65" s="939"/>
      <c r="CJ65" s="939"/>
      <c r="CQ65" s="976"/>
      <c r="CR65" s="976"/>
      <c r="CV65" s="973"/>
      <c r="CW65" s="973"/>
      <c r="CX65" s="1017" t="s">
        <v>181</v>
      </c>
      <c r="CY65" s="1017"/>
      <c r="CZ65" s="1017"/>
      <c r="DA65" s="1090"/>
      <c r="DB65" s="1090"/>
      <c r="DC65" s="948"/>
    </row>
    <row r="66" spans="1:197" s="942" customFormat="1" ht="19.5" customHeight="1" x14ac:dyDescent="0.25">
      <c r="A66" s="943"/>
      <c r="B66" s="968"/>
      <c r="C66" s="968"/>
      <c r="D66" s="968"/>
      <c r="E66" s="968"/>
      <c r="F66" s="968"/>
      <c r="G66" s="968"/>
      <c r="H66" s="968"/>
      <c r="I66" s="968"/>
      <c r="J66" s="968"/>
      <c r="K66" s="968"/>
      <c r="L66" s="968"/>
      <c r="M66" s="968"/>
      <c r="N66" s="988"/>
      <c r="O66" s="988"/>
      <c r="P66" s="943"/>
      <c r="Q66" s="988"/>
      <c r="R66" s="988"/>
      <c r="S66" s="988"/>
      <c r="T66" s="988"/>
      <c r="U66" s="988"/>
      <c r="V66" s="988"/>
      <c r="W66" s="988"/>
      <c r="X66" s="973"/>
      <c r="Y66" s="973"/>
      <c r="Z66" s="973"/>
      <c r="AA66" s="976"/>
      <c r="AB66" s="976"/>
      <c r="AC66" s="1017" t="s">
        <v>200</v>
      </c>
      <c r="AD66" s="1017"/>
      <c r="AE66" s="1017"/>
      <c r="AF66" s="1017"/>
      <c r="AG66" s="1285"/>
      <c r="AH66" s="1285"/>
      <c r="AI66" s="1022"/>
      <c r="AJ66" s="1022"/>
      <c r="AK66" s="1303"/>
      <c r="AL66" s="939"/>
      <c r="AM66" s="943"/>
      <c r="AN66" s="1175"/>
      <c r="AP66" s="976"/>
      <c r="AQ66" s="976"/>
      <c r="AR66" s="976"/>
      <c r="AW66" s="939"/>
      <c r="AX66" s="939"/>
      <c r="AY66" s="1209"/>
      <c r="AZ66" s="968"/>
      <c r="BA66" s="943"/>
      <c r="BB66" s="968"/>
      <c r="BC66" s="1209"/>
      <c r="BD66" s="1209"/>
      <c r="BE66" s="1209"/>
      <c r="BF66" s="1209"/>
      <c r="BG66" s="988"/>
      <c r="BH66" s="988"/>
      <c r="BI66" s="988"/>
      <c r="BJ66" s="988"/>
      <c r="BK66" s="988"/>
      <c r="BL66" s="988"/>
      <c r="BM66" s="988"/>
      <c r="BN66" s="988"/>
      <c r="BO66" s="947"/>
      <c r="BP66" s="988"/>
      <c r="BQ66" s="988"/>
      <c r="BR66" s="988"/>
      <c r="BS66" s="988"/>
      <c r="BT66" s="988"/>
      <c r="BU66" s="1010"/>
      <c r="BV66" s="1011"/>
      <c r="BW66" s="1011"/>
      <c r="BX66" s="1011"/>
      <c r="BY66" s="1011"/>
      <c r="BZ66" s="1011"/>
      <c r="CA66" s="1012"/>
      <c r="CB66" s="1303"/>
      <c r="CC66" s="939"/>
      <c r="CD66" s="947"/>
      <c r="CE66" s="973"/>
      <c r="CF66" s="973"/>
      <c r="CG66" s="988"/>
      <c r="CH66" s="939"/>
      <c r="CI66" s="939"/>
      <c r="CJ66" s="939"/>
      <c r="CQ66" s="988"/>
      <c r="CV66" s="973"/>
      <c r="CW66" s="973"/>
      <c r="CX66" s="1198"/>
      <c r="CY66" s="1198"/>
      <c r="CZ66" s="1198"/>
      <c r="DA66" s="1090"/>
      <c r="DB66" s="1090"/>
      <c r="DC66" s="948"/>
    </row>
    <row r="67" spans="1:197" s="942" customFormat="1" ht="19.5" customHeight="1" x14ac:dyDescent="0.25">
      <c r="A67" s="943"/>
      <c r="B67" s="968"/>
      <c r="C67" s="968"/>
      <c r="D67" s="968"/>
      <c r="E67" s="968"/>
      <c r="F67" s="968"/>
      <c r="G67" s="968"/>
      <c r="H67" s="968"/>
      <c r="I67" s="968"/>
      <c r="J67" s="968"/>
      <c r="K67" s="968"/>
      <c r="L67" s="968"/>
      <c r="M67" s="968"/>
      <c r="N67" s="988"/>
      <c r="O67" s="988"/>
      <c r="P67" s="943"/>
      <c r="Q67" s="988"/>
      <c r="R67" s="988"/>
      <c r="S67" s="988"/>
      <c r="T67" s="988"/>
      <c r="U67" s="988"/>
      <c r="V67" s="988"/>
      <c r="W67" s="988"/>
      <c r="X67" s="973"/>
      <c r="Y67" s="1110"/>
      <c r="Z67" s="1110"/>
      <c r="AA67" s="976"/>
      <c r="AB67" s="976"/>
      <c r="AC67" s="999"/>
      <c r="AD67" s="999"/>
      <c r="AE67" s="999"/>
      <c r="AF67" s="999"/>
      <c r="AG67" s="1285"/>
      <c r="AH67" s="1309"/>
      <c r="AI67" s="1309"/>
      <c r="AJ67" s="1022"/>
      <c r="AK67" s="1303"/>
      <c r="AL67" s="939"/>
      <c r="AM67" s="943"/>
      <c r="AO67" s="939"/>
      <c r="AP67" s="939"/>
      <c r="AQ67" s="976"/>
      <c r="AR67" s="939"/>
      <c r="AW67" s="939"/>
      <c r="AX67" s="939"/>
      <c r="AY67" s="1209"/>
      <c r="AZ67" s="968"/>
      <c r="BA67" s="943"/>
      <c r="BB67" s="1190"/>
      <c r="BC67" s="1209"/>
      <c r="BD67" s="1209"/>
      <c r="BE67" s="1209"/>
      <c r="BF67" s="1209"/>
      <c r="BG67" s="988"/>
      <c r="BH67" s="988"/>
      <c r="BI67" s="988"/>
      <c r="BJ67" s="988"/>
      <c r="BK67" s="988"/>
      <c r="BL67" s="988"/>
      <c r="BM67" s="988"/>
      <c r="BN67" s="988"/>
      <c r="BO67" s="947"/>
      <c r="BP67" s="988"/>
      <c r="BQ67" s="988"/>
      <c r="BR67" s="988"/>
      <c r="BS67" s="988"/>
      <c r="BT67" s="988"/>
      <c r="BU67" s="1010"/>
      <c r="BV67" s="1011"/>
      <c r="BW67" s="1011"/>
      <c r="BX67" s="1011"/>
      <c r="BY67" s="1011"/>
      <c r="BZ67" s="1011"/>
      <c r="CA67" s="1012"/>
      <c r="CB67" s="947"/>
      <c r="CC67" s="939"/>
      <c r="CD67" s="947"/>
      <c r="CE67" s="1310"/>
      <c r="CF67" s="973"/>
      <c r="CG67" s="939"/>
      <c r="CH67" s="973"/>
      <c r="CO67" s="988"/>
      <c r="CP67" s="1311"/>
      <c r="CQ67" s="988"/>
      <c r="CV67" s="973"/>
      <c r="CW67" s="984" t="s">
        <v>214</v>
      </c>
      <c r="CX67" s="987" t="s">
        <v>174</v>
      </c>
      <c r="CY67" s="987" t="s">
        <v>174</v>
      </c>
      <c r="CZ67" s="987" t="s">
        <v>174</v>
      </c>
      <c r="DA67" s="1090"/>
      <c r="DB67" s="1090"/>
      <c r="DC67" s="948"/>
    </row>
    <row r="68" spans="1:197" s="942" customFormat="1" ht="19.5" customHeight="1" thickBot="1" x14ac:dyDescent="0.3">
      <c r="A68" s="943"/>
      <c r="B68" s="968"/>
      <c r="C68" s="968"/>
      <c r="D68" s="968"/>
      <c r="E68" s="968"/>
      <c r="F68" s="968"/>
      <c r="G68" s="968"/>
      <c r="H68" s="968"/>
      <c r="I68" s="968"/>
      <c r="J68" s="968"/>
      <c r="K68" s="968"/>
      <c r="L68" s="968"/>
      <c r="M68" s="968"/>
      <c r="N68" s="988"/>
      <c r="O68" s="988"/>
      <c r="P68" s="943"/>
      <c r="Q68" s="988"/>
      <c r="R68" s="988"/>
      <c r="S68" s="988"/>
      <c r="T68" s="988"/>
      <c r="U68" s="988"/>
      <c r="V68" s="988"/>
      <c r="W68" s="988"/>
      <c r="X68" s="976"/>
      <c r="Y68" s="973"/>
      <c r="Z68" s="973"/>
      <c r="AA68" s="976"/>
      <c r="AB68" s="984" t="s">
        <v>215</v>
      </c>
      <c r="AC68" s="1312" t="s">
        <v>174</v>
      </c>
      <c r="AD68" s="1312" t="s">
        <v>174</v>
      </c>
      <c r="AE68" s="1312" t="s">
        <v>174</v>
      </c>
      <c r="AF68" s="1312" t="s">
        <v>174</v>
      </c>
      <c r="AG68" s="1285"/>
      <c r="AH68" s="988"/>
      <c r="AI68" s="988"/>
      <c r="AJ68" s="988"/>
      <c r="AK68" s="947"/>
      <c r="AL68" s="939"/>
      <c r="AM68" s="943"/>
      <c r="AN68" s="1123"/>
      <c r="AO68" s="939"/>
      <c r="AP68" s="939"/>
      <c r="AQ68" s="976"/>
      <c r="AR68" s="939"/>
      <c r="AS68" s="1209"/>
      <c r="AT68" s="1313"/>
      <c r="AU68" s="1313"/>
      <c r="AV68" s="1209"/>
      <c r="AW68" s="939"/>
      <c r="AX68" s="939"/>
      <c r="AY68" s="1209"/>
      <c r="AZ68" s="968"/>
      <c r="BA68" s="943"/>
      <c r="BB68" s="1209"/>
      <c r="BC68" s="1209"/>
      <c r="BD68" s="1209"/>
      <c r="BE68" s="1209"/>
      <c r="BF68" s="1209"/>
      <c r="BG68" s="988"/>
      <c r="BH68" s="988"/>
      <c r="BI68" s="988"/>
      <c r="BJ68" s="988"/>
      <c r="BK68" s="988"/>
      <c r="BL68" s="988"/>
      <c r="BM68" s="988"/>
      <c r="BN68" s="988"/>
      <c r="BO68" s="947"/>
      <c r="BP68" s="988"/>
      <c r="BQ68" s="988"/>
      <c r="BR68" s="988"/>
      <c r="BS68" s="988"/>
      <c r="BT68" s="988"/>
      <c r="BU68" s="1079"/>
      <c r="BV68" s="1080"/>
      <c r="BW68" s="1080"/>
      <c r="BX68" s="1080"/>
      <c r="BY68" s="1080"/>
      <c r="BZ68" s="1080"/>
      <c r="CA68" s="1081"/>
      <c r="CB68" s="947"/>
      <c r="CC68" s="939"/>
      <c r="CD68" s="947"/>
      <c r="CE68" s="973"/>
      <c r="CF68" s="973"/>
      <c r="CG68" s="939"/>
      <c r="CH68" s="973"/>
      <c r="CK68" s="973"/>
      <c r="CL68" s="973"/>
      <c r="CM68" s="973"/>
      <c r="CN68" s="973"/>
      <c r="CO68" s="995"/>
      <c r="CP68" s="1311"/>
      <c r="CQ68" s="988"/>
      <c r="CV68" s="973"/>
      <c r="CW68" s="987"/>
      <c r="CX68" s="1314">
        <v>3930623</v>
      </c>
      <c r="CY68" s="1315">
        <v>3930618</v>
      </c>
      <c r="CZ68" s="1314">
        <v>3930624</v>
      </c>
      <c r="DA68" s="973"/>
      <c r="DB68" s="973"/>
      <c r="DC68" s="947"/>
    </row>
    <row r="69" spans="1:197" s="942" customFormat="1" ht="19.5" customHeight="1" thickBot="1" x14ac:dyDescent="0.3">
      <c r="A69" s="943"/>
      <c r="B69" s="968"/>
      <c r="C69" s="968"/>
      <c r="D69" s="968"/>
      <c r="E69" s="968"/>
      <c r="F69" s="968"/>
      <c r="G69" s="968"/>
      <c r="H69" s="968"/>
      <c r="I69" s="968"/>
      <c r="J69" s="968"/>
      <c r="K69" s="968"/>
      <c r="L69" s="968"/>
      <c r="M69" s="968"/>
      <c r="N69" s="988"/>
      <c r="O69" s="988"/>
      <c r="P69" s="943"/>
      <c r="Q69" s="988"/>
      <c r="R69" s="988"/>
      <c r="S69" s="988"/>
      <c r="T69" s="988"/>
      <c r="U69" s="988"/>
      <c r="V69" s="988"/>
      <c r="W69" s="988"/>
      <c r="X69" s="973"/>
      <c r="Y69" s="976"/>
      <c r="Z69" s="976"/>
      <c r="AA69" s="976"/>
      <c r="AB69" s="1316"/>
      <c r="AC69" s="1317">
        <v>7057514</v>
      </c>
      <c r="AD69" s="1317">
        <v>7056914</v>
      </c>
      <c r="AE69" s="1318">
        <v>7057515</v>
      </c>
      <c r="AF69" s="1318">
        <v>7056888</v>
      </c>
      <c r="AG69" s="1316"/>
      <c r="AI69" s="988"/>
      <c r="AJ69" s="988"/>
      <c r="AK69" s="947"/>
      <c r="AL69" s="939"/>
      <c r="AM69" s="943"/>
      <c r="AN69" s="1123"/>
      <c r="AO69" s="939"/>
      <c r="AP69" s="939"/>
      <c r="AQ69" s="939"/>
      <c r="AR69" s="939"/>
      <c r="AS69" s="939"/>
      <c r="AT69" s="1142"/>
      <c r="AU69" s="1142"/>
      <c r="AV69" s="939"/>
      <c r="AW69" s="939"/>
      <c r="AX69" s="939"/>
      <c r="AY69" s="1209"/>
      <c r="AZ69" s="968"/>
      <c r="BA69" s="943"/>
      <c r="BB69" s="1209"/>
      <c r="BC69" s="1209"/>
      <c r="BD69" s="1209"/>
      <c r="BE69" s="1209"/>
      <c r="BF69" s="1209"/>
      <c r="BG69" s="988"/>
      <c r="BH69" s="988"/>
      <c r="BI69" s="988"/>
      <c r="BJ69" s="988"/>
      <c r="BK69" s="988"/>
      <c r="BL69" s="988"/>
      <c r="BM69" s="988"/>
      <c r="BN69" s="988"/>
      <c r="BO69" s="947"/>
      <c r="BP69" s="988"/>
      <c r="BQ69" s="988"/>
      <c r="BR69" s="988"/>
      <c r="BS69" s="988"/>
      <c r="BT69" s="988"/>
      <c r="BU69" s="988"/>
      <c r="BV69" s="1284"/>
      <c r="BW69" s="1284"/>
      <c r="BX69" s="988"/>
      <c r="BY69" s="979"/>
      <c r="BZ69" s="973"/>
      <c r="CA69" s="973"/>
      <c r="CB69" s="947"/>
      <c r="CC69" s="939"/>
      <c r="CD69" s="947"/>
      <c r="CE69" s="973"/>
      <c r="CF69" s="973"/>
      <c r="CG69" s="939"/>
      <c r="CH69" s="973"/>
      <c r="CJ69" s="973"/>
      <c r="CL69" s="995"/>
      <c r="CM69" s="973"/>
      <c r="CU69" s="939"/>
      <c r="CV69" s="1034"/>
      <c r="CW69" s="1319"/>
      <c r="CX69" s="1320"/>
      <c r="CY69" s="1320"/>
      <c r="CZ69" s="1321"/>
      <c r="DA69" s="973"/>
      <c r="DB69" s="973"/>
      <c r="DC69" s="947"/>
    </row>
    <row r="70" spans="1:197" s="942" customFormat="1" ht="19.5" customHeight="1" x14ac:dyDescent="0.25">
      <c r="A70" s="943"/>
      <c r="B70" s="968"/>
      <c r="C70" s="968"/>
      <c r="D70" s="968"/>
      <c r="E70" s="968"/>
      <c r="F70" s="968"/>
      <c r="G70" s="968"/>
      <c r="H70" s="968"/>
      <c r="I70" s="968"/>
      <c r="J70" s="968"/>
      <c r="K70" s="968"/>
      <c r="L70" s="968"/>
      <c r="M70" s="968"/>
      <c r="N70" s="988"/>
      <c r="O70" s="988"/>
      <c r="P70" s="943"/>
      <c r="Q70" s="988"/>
      <c r="R70" s="988"/>
      <c r="S70" s="988"/>
      <c r="T70" s="988"/>
      <c r="U70" s="988"/>
      <c r="V70" s="988"/>
      <c r="W70" s="988"/>
      <c r="X70" s="988"/>
      <c r="Y70" s="988"/>
      <c r="Z70" s="973"/>
      <c r="AA70" s="973"/>
      <c r="AC70" s="1322"/>
      <c r="AD70" s="1323"/>
      <c r="AE70" s="1323"/>
      <c r="AF70" s="1323"/>
      <c r="AG70" s="1324"/>
      <c r="AH70" s="1285"/>
      <c r="AI70" s="988"/>
      <c r="AJ70" s="988"/>
      <c r="AK70" s="947"/>
      <c r="AL70" s="939"/>
      <c r="AM70" s="943"/>
      <c r="AN70" s="1123"/>
      <c r="AO70" s="939"/>
      <c r="AR70" s="976"/>
      <c r="AS70" s="939"/>
      <c r="AT70" s="1142"/>
      <c r="AU70" s="1142"/>
      <c r="AV70" s="939"/>
      <c r="AW70" s="939"/>
      <c r="AX70" s="939"/>
      <c r="AY70" s="939"/>
      <c r="AZ70" s="939"/>
      <c r="BA70" s="943"/>
      <c r="BB70" s="968"/>
      <c r="BC70" s="968"/>
      <c r="BD70" s="968"/>
      <c r="BE70" s="988"/>
      <c r="BF70" s="969"/>
      <c r="BG70" s="988"/>
      <c r="BH70" s="939"/>
      <c r="BI70" s="939"/>
      <c r="BJ70" s="939"/>
      <c r="BK70" s="939"/>
      <c r="BL70" s="939"/>
      <c r="BM70" s="939"/>
      <c r="BN70" s="939"/>
      <c r="BO70" s="947"/>
      <c r="BP70" s="988"/>
      <c r="BQ70" s="988"/>
      <c r="BR70" s="988"/>
      <c r="BS70" s="988"/>
      <c r="BT70" s="973"/>
      <c r="BU70" s="973"/>
      <c r="BV70" s="973"/>
      <c r="BW70" s="973"/>
      <c r="BX70" s="973"/>
      <c r="BY70" s="979"/>
      <c r="BZ70" s="973"/>
      <c r="CA70" s="973"/>
      <c r="CB70" s="947"/>
      <c r="CC70" s="939"/>
      <c r="CD70" s="947"/>
      <c r="CE70" s="1325" t="s">
        <v>213</v>
      </c>
      <c r="CF70" s="1326"/>
      <c r="CG70" s="1326"/>
      <c r="CH70" s="1326"/>
      <c r="CI70" s="1326"/>
      <c r="CJ70" s="1326"/>
      <c r="CK70" s="1326"/>
      <c r="CL70" s="1326"/>
      <c r="CM70" s="1326"/>
      <c r="CN70" s="1326"/>
      <c r="CO70" s="1327"/>
      <c r="CP70" s="1328"/>
      <c r="CQ70" s="976"/>
      <c r="CR70" s="976"/>
      <c r="CS70" s="976"/>
      <c r="CU70" s="939"/>
      <c r="CV70" s="1034"/>
      <c r="CW70" s="1329"/>
      <c r="CX70" s="1076"/>
      <c r="CY70" s="1076"/>
      <c r="CZ70" s="1330"/>
      <c r="DA70" s="939"/>
      <c r="DB70" s="939"/>
      <c r="DC70" s="1303"/>
    </row>
    <row r="71" spans="1:197" s="942" customFormat="1" ht="19.5" customHeight="1" thickBot="1" x14ac:dyDescent="0.3">
      <c r="A71" s="943"/>
      <c r="B71" s="968"/>
      <c r="C71" s="968"/>
      <c r="D71" s="968"/>
      <c r="E71" s="968"/>
      <c r="F71" s="968"/>
      <c r="G71" s="968"/>
      <c r="H71" s="968"/>
      <c r="I71" s="968"/>
      <c r="J71" s="968"/>
      <c r="K71" s="968"/>
      <c r="L71" s="968"/>
      <c r="M71" s="968"/>
      <c r="N71" s="988"/>
      <c r="O71" s="969"/>
      <c r="P71" s="988"/>
      <c r="Q71" s="947"/>
      <c r="R71" s="947"/>
      <c r="S71" s="947"/>
      <c r="T71" s="947"/>
      <c r="U71" s="947"/>
      <c r="V71" s="947"/>
      <c r="W71" s="947"/>
      <c r="X71" s="947"/>
      <c r="Y71" s="988"/>
      <c r="Z71" s="988"/>
      <c r="AA71" s="973"/>
      <c r="AC71" s="1331"/>
      <c r="AD71" s="988"/>
      <c r="AE71" s="988"/>
      <c r="AF71" s="988"/>
      <c r="AG71" s="1332"/>
      <c r="AH71" s="1285"/>
      <c r="AI71" s="939"/>
      <c r="AJ71" s="939"/>
      <c r="AK71" s="947"/>
      <c r="AL71" s="939"/>
      <c r="AM71" s="943"/>
      <c r="AO71" s="939"/>
      <c r="AP71" s="976"/>
      <c r="AQ71" s="976"/>
      <c r="AR71" s="939"/>
      <c r="AS71" s="939"/>
      <c r="AV71" s="968"/>
      <c r="AW71" s="968"/>
      <c r="AX71" s="968"/>
      <c r="AY71" s="968"/>
      <c r="AZ71" s="968"/>
      <c r="BA71" s="943"/>
      <c r="BB71" s="968"/>
      <c r="BC71" s="968"/>
      <c r="BD71" s="968"/>
      <c r="BE71" s="988"/>
      <c r="BF71" s="988"/>
      <c r="BG71" s="988"/>
      <c r="BH71" s="988"/>
      <c r="BI71" s="988"/>
      <c r="BJ71" s="988"/>
      <c r="BK71" s="988"/>
      <c r="BL71" s="988"/>
      <c r="BM71" s="988"/>
      <c r="BN71" s="988"/>
      <c r="BO71" s="947"/>
      <c r="BP71" s="988"/>
      <c r="BQ71" s="988"/>
      <c r="BR71" s="988"/>
      <c r="BS71" s="988"/>
      <c r="BT71" s="973"/>
      <c r="BU71" s="1333"/>
      <c r="BV71" s="1333"/>
      <c r="BW71" s="1333"/>
      <c r="BX71" s="1333"/>
      <c r="BY71" s="979"/>
      <c r="BZ71" s="973"/>
      <c r="CA71" s="973"/>
      <c r="CB71" s="947"/>
      <c r="CC71" s="939"/>
      <c r="CD71" s="947"/>
      <c r="CE71" s="1334"/>
      <c r="CF71" s="1335"/>
      <c r="CG71" s="1335"/>
      <c r="CH71" s="1335"/>
      <c r="CI71" s="1335"/>
      <c r="CJ71" s="1335"/>
      <c r="CK71" s="1335"/>
      <c r="CL71" s="1335"/>
      <c r="CM71" s="1335"/>
      <c r="CN71" s="1335"/>
      <c r="CO71" s="1336"/>
      <c r="CP71" s="1328"/>
      <c r="CQ71" s="976"/>
      <c r="CR71" s="976"/>
      <c r="CS71" s="976"/>
      <c r="CU71" s="939"/>
      <c r="CV71" s="1034"/>
      <c r="CW71" s="1329"/>
      <c r="CX71" s="1076"/>
      <c r="CY71" s="1076"/>
      <c r="CZ71" s="1330"/>
      <c r="DA71" s="939"/>
      <c r="DB71" s="939"/>
      <c r="DC71" s="1303"/>
    </row>
    <row r="72" spans="1:197" s="942" customFormat="1" ht="19.5" customHeight="1" thickBot="1" x14ac:dyDescent="0.3">
      <c r="A72" s="943"/>
      <c r="B72" s="968"/>
      <c r="C72" s="968"/>
      <c r="D72" s="968"/>
      <c r="E72" s="968"/>
      <c r="F72" s="968"/>
      <c r="G72" s="968"/>
      <c r="H72" s="968"/>
      <c r="I72" s="968"/>
      <c r="J72" s="968"/>
      <c r="K72" s="968"/>
      <c r="L72" s="968"/>
      <c r="M72" s="968"/>
      <c r="N72" s="988"/>
      <c r="O72" s="988"/>
      <c r="P72" s="988"/>
      <c r="Q72" s="988"/>
      <c r="R72" s="988"/>
      <c r="S72" s="988"/>
      <c r="T72" s="988"/>
      <c r="U72" s="988"/>
      <c r="V72" s="988"/>
      <c r="W72" s="988"/>
      <c r="X72" s="947"/>
      <c r="Y72" s="988"/>
      <c r="Z72" s="988"/>
      <c r="AA72" s="973"/>
      <c r="AC72" s="1331"/>
      <c r="AD72" s="988"/>
      <c r="AE72" s="988"/>
      <c r="AF72" s="988"/>
      <c r="AG72" s="1332"/>
      <c r="AH72" s="1337" t="s">
        <v>216</v>
      </c>
      <c r="AI72" s="1338"/>
      <c r="AJ72" s="1338"/>
      <c r="AK72" s="947"/>
      <c r="AL72" s="939"/>
      <c r="AM72" s="943"/>
      <c r="AO72" s="939"/>
      <c r="AP72" s="939"/>
      <c r="AQ72" s="939"/>
      <c r="AR72" s="939"/>
      <c r="AS72" s="939"/>
      <c r="AT72" s="1123"/>
      <c r="AU72" s="1123"/>
      <c r="AV72" s="968"/>
      <c r="AW72" s="968"/>
      <c r="AX72" s="968"/>
      <c r="AY72" s="968"/>
      <c r="AZ72" s="968"/>
      <c r="BA72" s="943"/>
      <c r="BB72" s="968"/>
      <c r="BC72" s="968"/>
      <c r="BD72" s="968"/>
      <c r="BE72" s="988"/>
      <c r="BF72" s="988"/>
      <c r="BG72" s="988"/>
      <c r="BH72" s="988"/>
      <c r="BI72" s="988"/>
      <c r="BJ72" s="988"/>
      <c r="BK72" s="988"/>
      <c r="BL72" s="988"/>
      <c r="BM72" s="988"/>
      <c r="BN72" s="988"/>
      <c r="BO72" s="947"/>
      <c r="BP72" s="988"/>
      <c r="BQ72" s="988"/>
      <c r="BR72" s="988"/>
      <c r="BS72" s="988"/>
      <c r="BT72" s="973"/>
      <c r="BU72" s="1339"/>
      <c r="BV72" s="1339"/>
      <c r="BW72" s="1339"/>
      <c r="BX72" s="1339"/>
      <c r="BY72" s="973"/>
      <c r="BZ72" s="973"/>
      <c r="CA72" s="973"/>
      <c r="CB72" s="947"/>
      <c r="CC72" s="939"/>
      <c r="CD72" s="947"/>
      <c r="CE72" s="1334"/>
      <c r="CF72" s="1335"/>
      <c r="CG72" s="1335"/>
      <c r="CH72" s="1335"/>
      <c r="CI72" s="1335"/>
      <c r="CJ72" s="1335"/>
      <c r="CK72" s="1335"/>
      <c r="CL72" s="1335"/>
      <c r="CM72" s="1335"/>
      <c r="CN72" s="1335"/>
      <c r="CO72" s="1336"/>
      <c r="CP72" s="1328"/>
      <c r="CQ72" s="976"/>
      <c r="CR72" s="976"/>
      <c r="CS72" s="976"/>
      <c r="CU72" s="939"/>
      <c r="CV72" s="1077"/>
      <c r="CW72" s="1329"/>
      <c r="CX72" s="1076"/>
      <c r="CY72" s="1076"/>
      <c r="CZ72" s="1330"/>
      <c r="DA72" s="939"/>
      <c r="DB72" s="939"/>
      <c r="DC72" s="1303"/>
    </row>
    <row r="73" spans="1:197" s="942" customFormat="1" ht="19.5" customHeight="1" x14ac:dyDescent="0.25">
      <c r="A73" s="943"/>
      <c r="B73" s="968"/>
      <c r="C73" s="968"/>
      <c r="D73" s="968"/>
      <c r="E73" s="968"/>
      <c r="F73" s="968"/>
      <c r="G73" s="968"/>
      <c r="H73" s="968"/>
      <c r="I73" s="968"/>
      <c r="J73" s="968"/>
      <c r="K73" s="968"/>
      <c r="L73" s="968"/>
      <c r="M73" s="968"/>
      <c r="N73" s="988"/>
      <c r="O73" s="988"/>
      <c r="P73" s="988"/>
      <c r="Q73" s="988"/>
      <c r="R73" s="988"/>
      <c r="S73" s="988"/>
      <c r="T73" s="988"/>
      <c r="U73" s="988"/>
      <c r="V73" s="988"/>
      <c r="W73" s="988"/>
      <c r="X73" s="947"/>
      <c r="Y73" s="988"/>
      <c r="Z73" s="988"/>
      <c r="AA73" s="973"/>
      <c r="AC73" s="1331"/>
      <c r="AD73" s="988"/>
      <c r="AE73" s="988"/>
      <c r="AF73" s="988"/>
      <c r="AG73" s="1332"/>
      <c r="AH73" s="1287"/>
      <c r="AI73" s="941"/>
      <c r="AJ73" s="941"/>
      <c r="AK73" s="947"/>
      <c r="AL73" s="939"/>
      <c r="AM73" s="943"/>
      <c r="AO73" s="939"/>
      <c r="AP73" s="939"/>
      <c r="AQ73" s="939"/>
      <c r="AR73" s="976"/>
      <c r="AS73" s="968"/>
      <c r="AT73" s="1123"/>
      <c r="AU73" s="1123"/>
      <c r="AV73" s="968"/>
      <c r="AW73" s="968"/>
      <c r="AX73" s="968"/>
      <c r="AY73" s="968"/>
      <c r="AZ73" s="968"/>
      <c r="BA73" s="943"/>
      <c r="BB73" s="968"/>
      <c r="BC73" s="968"/>
      <c r="BD73" s="968"/>
      <c r="BE73" s="988"/>
      <c r="BF73" s="988"/>
      <c r="BG73" s="988"/>
      <c r="BH73" s="988"/>
      <c r="BI73" s="988"/>
      <c r="BJ73" s="988"/>
      <c r="BK73" s="988"/>
      <c r="BL73" s="988"/>
      <c r="BM73" s="988"/>
      <c r="BN73" s="988"/>
      <c r="BO73" s="947"/>
      <c r="BP73" s="988"/>
      <c r="BQ73" s="988"/>
      <c r="BR73" s="988"/>
      <c r="BS73" s="988"/>
      <c r="BT73" s="973"/>
      <c r="BU73" s="973"/>
      <c r="BV73" s="973"/>
      <c r="BW73" s="973"/>
      <c r="BX73" s="973"/>
      <c r="BY73" s="973"/>
      <c r="BZ73" s="973"/>
      <c r="CA73" s="973"/>
      <c r="CB73" s="947"/>
      <c r="CC73" s="939"/>
      <c r="CD73" s="947"/>
      <c r="CE73" s="1334"/>
      <c r="CF73" s="1335"/>
      <c r="CG73" s="1335"/>
      <c r="CH73" s="1335"/>
      <c r="CI73" s="1335"/>
      <c r="CJ73" s="1335"/>
      <c r="CK73" s="1335"/>
      <c r="CL73" s="1335"/>
      <c r="CM73" s="1335"/>
      <c r="CN73" s="1335"/>
      <c r="CO73" s="1336"/>
      <c r="CP73" s="1328"/>
      <c r="CQ73" s="976"/>
      <c r="CR73" s="976"/>
      <c r="CS73" s="976"/>
      <c r="CU73" s="1077"/>
      <c r="CV73" s="1077"/>
      <c r="CW73" s="1329"/>
      <c r="CX73" s="1076"/>
      <c r="CY73" s="1076"/>
      <c r="CZ73" s="1330"/>
      <c r="DA73" s="1340" t="s">
        <v>217</v>
      </c>
      <c r="DB73" s="1341"/>
      <c r="DC73" s="947"/>
    </row>
    <row r="74" spans="1:197" s="942" customFormat="1" ht="19.5" customHeight="1" thickBot="1" x14ac:dyDescent="0.3">
      <c r="A74" s="943"/>
      <c r="B74" s="968"/>
      <c r="C74" s="968"/>
      <c r="D74" s="968"/>
      <c r="E74" s="968"/>
      <c r="F74" s="968"/>
      <c r="G74" s="968"/>
      <c r="H74" s="968"/>
      <c r="I74" s="968"/>
      <c r="J74" s="968"/>
      <c r="K74" s="968"/>
      <c r="L74" s="968"/>
      <c r="M74" s="968"/>
      <c r="N74" s="988"/>
      <c r="O74" s="988"/>
      <c r="P74" s="988"/>
      <c r="Q74" s="988"/>
      <c r="R74" s="988"/>
      <c r="S74" s="988"/>
      <c r="T74" s="988"/>
      <c r="U74" s="988"/>
      <c r="V74" s="988"/>
      <c r="W74" s="988"/>
      <c r="X74" s="947"/>
      <c r="Y74" s="988"/>
      <c r="Z74" s="988"/>
      <c r="AA74" s="973"/>
      <c r="AC74" s="1331"/>
      <c r="AD74" s="988"/>
      <c r="AE74" s="988"/>
      <c r="AF74" s="988"/>
      <c r="AG74" s="1332"/>
      <c r="AH74" s="1287"/>
      <c r="AI74" s="941"/>
      <c r="AJ74" s="941"/>
      <c r="AK74" s="947"/>
      <c r="AL74" s="939"/>
      <c r="AM74" s="943"/>
      <c r="AN74" s="939"/>
      <c r="AO74" s="939"/>
      <c r="AP74" s="939"/>
      <c r="AQ74" s="939"/>
      <c r="AR74" s="968"/>
      <c r="AS74" s="968"/>
      <c r="AT74" s="968"/>
      <c r="AU74" s="968"/>
      <c r="AV74" s="968"/>
      <c r="AW74" s="968"/>
      <c r="AX74" s="968"/>
      <c r="AY74" s="968"/>
      <c r="AZ74" s="968"/>
      <c r="BA74" s="943"/>
      <c r="BB74" s="968"/>
      <c r="BC74" s="968"/>
      <c r="BD74" s="968"/>
      <c r="BE74" s="988"/>
      <c r="BF74" s="988"/>
      <c r="BG74" s="988"/>
      <c r="BH74" s="988"/>
      <c r="BI74" s="988"/>
      <c r="BJ74" s="988"/>
      <c r="BK74" s="988"/>
      <c r="BL74" s="988"/>
      <c r="BM74" s="988"/>
      <c r="BN74" s="988"/>
      <c r="BO74" s="947"/>
      <c r="BP74" s="988"/>
      <c r="BQ74" s="988"/>
      <c r="BR74" s="988"/>
      <c r="BS74" s="988"/>
      <c r="BT74" s="973"/>
      <c r="BU74" s="973"/>
      <c r="BV74" s="973"/>
      <c r="BW74" s="973"/>
      <c r="BX74" s="973"/>
      <c r="BY74" s="973"/>
      <c r="BZ74" s="988"/>
      <c r="CA74" s="988"/>
      <c r="CB74" s="947"/>
      <c r="CC74" s="939"/>
      <c r="CD74" s="947"/>
      <c r="CE74" s="1334"/>
      <c r="CF74" s="1335"/>
      <c r="CG74" s="1335"/>
      <c r="CH74" s="1335"/>
      <c r="CI74" s="1335"/>
      <c r="CJ74" s="1335"/>
      <c r="CK74" s="1335"/>
      <c r="CL74" s="1335"/>
      <c r="CM74" s="1335"/>
      <c r="CN74" s="1335"/>
      <c r="CO74" s="1336"/>
      <c r="CP74" s="1328"/>
      <c r="CQ74" s="1077"/>
      <c r="CR74" s="976"/>
      <c r="CS74" s="976"/>
      <c r="CU74" s="1077"/>
      <c r="CV74" s="1077"/>
      <c r="CW74" s="1329"/>
      <c r="CX74" s="1076"/>
      <c r="CY74" s="1076"/>
      <c r="CZ74" s="1330"/>
      <c r="DA74" s="1287"/>
      <c r="DB74" s="1342"/>
      <c r="DC74" s="947"/>
    </row>
    <row r="75" spans="1:197" s="942" customFormat="1" ht="19.5" customHeight="1" thickBot="1" x14ac:dyDescent="0.3">
      <c r="A75" s="943"/>
      <c r="B75" s="968"/>
      <c r="C75" s="968"/>
      <c r="D75" s="968"/>
      <c r="E75" s="968"/>
      <c r="F75" s="968"/>
      <c r="G75" s="968"/>
      <c r="H75" s="968"/>
      <c r="I75" s="968"/>
      <c r="J75" s="968"/>
      <c r="K75" s="968"/>
      <c r="L75" s="968"/>
      <c r="M75" s="968"/>
      <c r="N75" s="988"/>
      <c r="O75" s="988"/>
      <c r="P75" s="988"/>
      <c r="Q75" s="988"/>
      <c r="R75" s="988"/>
      <c r="S75" s="988"/>
      <c r="T75" s="988"/>
      <c r="U75" s="988"/>
      <c r="V75" s="988"/>
      <c r="W75" s="988"/>
      <c r="X75" s="947"/>
      <c r="Y75" s="988"/>
      <c r="Z75" s="988"/>
      <c r="AA75" s="988"/>
      <c r="AC75" s="1331"/>
      <c r="AD75" s="988"/>
      <c r="AE75" s="988"/>
      <c r="AF75" s="988"/>
      <c r="AG75" s="1332"/>
      <c r="AH75" s="1287"/>
      <c r="AI75" s="941"/>
      <c r="AJ75" s="941"/>
      <c r="AK75" s="947"/>
      <c r="AL75" s="939"/>
      <c r="AM75" s="943"/>
      <c r="AN75" s="939"/>
      <c r="AO75" s="939"/>
      <c r="AP75" s="939"/>
      <c r="AQ75" s="939"/>
      <c r="AR75" s="939"/>
      <c r="AS75" s="939"/>
      <c r="AT75" s="939"/>
      <c r="AU75" s="939"/>
      <c r="AV75" s="939"/>
      <c r="AW75" s="968"/>
      <c r="AX75" s="968"/>
      <c r="AY75" s="968"/>
      <c r="AZ75" s="968"/>
      <c r="BA75" s="943"/>
      <c r="BB75" s="968"/>
      <c r="BC75" s="968"/>
      <c r="BD75" s="968"/>
      <c r="BE75" s="988"/>
      <c r="BF75" s="988"/>
      <c r="BG75" s="988"/>
      <c r="BH75" s="988"/>
      <c r="BI75" s="988"/>
      <c r="BJ75" s="988"/>
      <c r="BK75" s="988"/>
      <c r="BL75" s="988"/>
      <c r="BM75" s="988"/>
      <c r="BN75" s="988"/>
      <c r="BO75" s="947"/>
      <c r="BP75" s="1343" t="s">
        <v>218</v>
      </c>
      <c r="BQ75" s="1344"/>
      <c r="BR75" s="1345"/>
      <c r="BS75" s="988"/>
      <c r="BT75" s="973"/>
      <c r="BU75" s="973"/>
      <c r="BV75" s="973"/>
      <c r="BW75" s="973"/>
      <c r="BZ75" s="1319" t="s">
        <v>216</v>
      </c>
      <c r="CA75" s="1321"/>
      <c r="CB75" s="947"/>
      <c r="CC75" s="939"/>
      <c r="CD75" s="947"/>
      <c r="CE75" s="1346"/>
      <c r="CF75" s="1347"/>
      <c r="CG75" s="1347"/>
      <c r="CH75" s="1347"/>
      <c r="CI75" s="1347"/>
      <c r="CJ75" s="1347"/>
      <c r="CK75" s="1347"/>
      <c r="CL75" s="1347"/>
      <c r="CM75" s="1347"/>
      <c r="CN75" s="1347"/>
      <c r="CO75" s="1348"/>
      <c r="CP75" s="1349"/>
      <c r="CQ75" s="973"/>
      <c r="CR75" s="973"/>
      <c r="CS75" s="973"/>
      <c r="CT75" s="973"/>
      <c r="CU75" s="1077"/>
      <c r="CV75" s="1077"/>
      <c r="CW75" s="1350"/>
      <c r="CX75" s="1351"/>
      <c r="CY75" s="1351"/>
      <c r="CZ75" s="1352"/>
      <c r="DA75" s="1353"/>
      <c r="DB75" s="1354"/>
      <c r="DC75" s="947"/>
    </row>
    <row r="76" spans="1:197" s="942" customFormat="1" ht="19.5" customHeight="1" thickBot="1" x14ac:dyDescent="0.3">
      <c r="A76" s="943"/>
      <c r="B76" s="968"/>
      <c r="C76" s="968"/>
      <c r="D76" s="968"/>
      <c r="E76" s="968"/>
      <c r="F76" s="968"/>
      <c r="G76" s="968"/>
      <c r="H76" s="968"/>
      <c r="I76" s="968"/>
      <c r="J76" s="968"/>
      <c r="K76" s="968"/>
      <c r="L76" s="968"/>
      <c r="M76" s="968"/>
      <c r="N76" s="988"/>
      <c r="O76" s="988"/>
      <c r="P76" s="988"/>
      <c r="Q76" s="988"/>
      <c r="R76" s="988"/>
      <c r="S76" s="988"/>
      <c r="T76" s="988"/>
      <c r="U76" s="988"/>
      <c r="V76" s="988"/>
      <c r="W76" s="988"/>
      <c r="X76" s="947"/>
      <c r="Y76" s="988"/>
      <c r="Z76" s="988"/>
      <c r="AA76" s="988"/>
      <c r="AC76" s="1331"/>
      <c r="AD76" s="988"/>
      <c r="AE76" s="988"/>
      <c r="AF76" s="988"/>
      <c r="AG76" s="1355"/>
      <c r="AH76" s="1287"/>
      <c r="AI76" s="941"/>
      <c r="AJ76" s="941"/>
      <c r="AK76" s="947"/>
      <c r="AL76" s="939"/>
      <c r="AM76" s="943"/>
      <c r="AN76" s="939"/>
      <c r="AO76" s="939"/>
      <c r="AP76" s="939"/>
      <c r="AQ76" s="1034"/>
      <c r="AR76" s="1034"/>
      <c r="AU76" s="976"/>
      <c r="AV76" s="968"/>
      <c r="AW76" s="968"/>
      <c r="AX76" s="968"/>
      <c r="AY76" s="968"/>
      <c r="AZ76" s="968"/>
      <c r="BA76" s="943"/>
      <c r="BB76" s="968"/>
      <c r="BC76" s="968"/>
      <c r="BD76" s="968"/>
      <c r="BE76" s="988"/>
      <c r="BF76" s="988"/>
      <c r="BG76" s="988"/>
      <c r="BH76" s="988"/>
      <c r="BI76" s="988"/>
      <c r="BJ76" s="988"/>
      <c r="BK76" s="988"/>
      <c r="BL76" s="988"/>
      <c r="BM76" s="988"/>
      <c r="BN76" s="988"/>
      <c r="BO76" s="947"/>
      <c r="BP76" s="1356"/>
      <c r="BQ76" s="1357"/>
      <c r="BR76" s="1358"/>
      <c r="BS76" s="988"/>
      <c r="BT76" s="988"/>
      <c r="BU76" s="988"/>
      <c r="BV76" s="988"/>
      <c r="BW76" s="988"/>
      <c r="BZ76" s="1350"/>
      <c r="CA76" s="1352"/>
      <c r="CB76" s="947"/>
      <c r="CC76" s="939"/>
      <c r="CD76" s="947"/>
      <c r="CE76" s="947"/>
      <c r="CF76" s="947"/>
      <c r="CG76" s="947"/>
      <c r="CH76" s="947"/>
      <c r="CI76" s="947"/>
      <c r="CJ76" s="947"/>
      <c r="CK76" s="947"/>
      <c r="CL76" s="947"/>
      <c r="CM76" s="947"/>
      <c r="CN76" s="947"/>
      <c r="CO76" s="947"/>
      <c r="CP76" s="947"/>
      <c r="CQ76" s="947"/>
      <c r="CR76" s="947"/>
      <c r="CS76" s="947"/>
      <c r="CT76" s="947"/>
      <c r="CU76" s="947"/>
      <c r="CV76" s="947"/>
      <c r="CW76" s="947"/>
      <c r="CX76" s="947"/>
      <c r="CY76" s="947"/>
      <c r="CZ76" s="947"/>
      <c r="DA76" s="947"/>
      <c r="DB76" s="947"/>
      <c r="DC76" s="947"/>
    </row>
    <row r="77" spans="1:197" s="942" customFormat="1" ht="19.5" customHeight="1" x14ac:dyDescent="0.25">
      <c r="A77" s="943"/>
      <c r="B77" s="947"/>
      <c r="C77" s="947"/>
      <c r="D77" s="947"/>
      <c r="E77" s="947"/>
      <c r="F77" s="947"/>
      <c r="G77" s="947"/>
      <c r="H77" s="947"/>
      <c r="I77" s="947"/>
      <c r="J77" s="947"/>
      <c r="K77" s="947"/>
      <c r="L77" s="947"/>
      <c r="M77" s="947"/>
      <c r="N77" s="947"/>
      <c r="O77" s="947"/>
      <c r="P77" s="947"/>
      <c r="Q77" s="947"/>
      <c r="R77" s="947"/>
      <c r="S77" s="947"/>
      <c r="T77" s="947"/>
      <c r="U77" s="947"/>
      <c r="V77" s="947"/>
      <c r="W77" s="947"/>
      <c r="X77" s="947"/>
      <c r="Y77" s="947"/>
      <c r="Z77" s="947"/>
      <c r="AA77" s="947"/>
      <c r="AB77" s="947"/>
      <c r="AC77" s="947"/>
      <c r="AD77" s="947"/>
      <c r="AE77" s="947"/>
      <c r="AF77" s="947"/>
      <c r="AG77" s="947"/>
      <c r="AH77" s="947"/>
      <c r="AI77" s="947"/>
      <c r="AJ77" s="947"/>
      <c r="AK77" s="947"/>
      <c r="AL77" s="939"/>
      <c r="AM77" s="943"/>
      <c r="AN77" s="947"/>
      <c r="AO77" s="947"/>
      <c r="AP77" s="947"/>
      <c r="AQ77" s="947"/>
      <c r="AR77" s="947"/>
      <c r="AS77" s="947"/>
      <c r="AT77" s="947"/>
      <c r="AU77" s="947"/>
      <c r="AV77" s="947"/>
      <c r="AW77" s="947"/>
      <c r="AX77" s="947"/>
      <c r="AY77" s="947"/>
      <c r="AZ77" s="947"/>
      <c r="BA77" s="947"/>
      <c r="BB77" s="947"/>
      <c r="BC77" s="947"/>
      <c r="BD77" s="947"/>
      <c r="BE77" s="947"/>
      <c r="BF77" s="947"/>
      <c r="BG77" s="947"/>
      <c r="BH77" s="947"/>
      <c r="BI77" s="947"/>
      <c r="BJ77" s="947"/>
      <c r="BK77" s="947"/>
      <c r="BL77" s="947"/>
      <c r="BM77" s="947"/>
      <c r="BN77" s="947"/>
      <c r="BO77" s="947"/>
      <c r="BP77" s="947"/>
      <c r="BQ77" s="947"/>
      <c r="BR77" s="947"/>
      <c r="BS77" s="947"/>
      <c r="BT77" s="947"/>
      <c r="BU77" s="947"/>
      <c r="BV77" s="947"/>
      <c r="BW77" s="947"/>
      <c r="BX77" s="947"/>
      <c r="BY77" s="947"/>
      <c r="BZ77" s="947"/>
      <c r="CA77" s="947"/>
      <c r="CB77" s="947"/>
      <c r="CC77" s="939"/>
      <c r="CD77" s="939"/>
      <c r="CE77" s="939"/>
      <c r="CF77" s="939"/>
      <c r="CG77" s="939"/>
      <c r="CH77" s="939"/>
      <c r="CI77" s="939"/>
      <c r="CJ77" s="939"/>
      <c r="CK77" s="939"/>
      <c r="CL77" s="939"/>
      <c r="CM77" s="939"/>
      <c r="CN77" s="939"/>
      <c r="CO77" s="939"/>
      <c r="CP77" s="939"/>
      <c r="CQ77" s="939"/>
      <c r="CR77" s="939"/>
      <c r="CS77" s="939"/>
      <c r="CT77" s="939"/>
      <c r="CU77" s="939"/>
      <c r="CV77" s="939"/>
      <c r="CW77" s="939"/>
      <c r="CX77" s="939"/>
      <c r="CY77" s="939"/>
      <c r="CZ77" s="939"/>
      <c r="DA77" s="939"/>
      <c r="DB77" s="939"/>
      <c r="DC77" s="939"/>
    </row>
    <row r="78" spans="1:197" s="942" customFormat="1" ht="19.5" customHeight="1" x14ac:dyDescent="0.25"/>
    <row r="79" spans="1:197" s="942" customFormat="1" ht="19.5" customHeight="1" x14ac:dyDescent="0.25"/>
    <row r="80" spans="1:197" ht="19.5" customHeight="1" x14ac:dyDescent="0.25">
      <c r="A80" s="942"/>
      <c r="B80" s="942"/>
      <c r="C80" s="942"/>
      <c r="D80" s="942"/>
      <c r="E80" s="942"/>
      <c r="F80" s="942"/>
      <c r="G80" s="942"/>
      <c r="H80" s="942"/>
      <c r="I80" s="942"/>
      <c r="J80" s="942"/>
      <c r="K80" s="942"/>
      <c r="L80" s="942"/>
      <c r="M80" s="942"/>
      <c r="N80" s="942"/>
      <c r="O80" s="942"/>
      <c r="P80" s="942"/>
      <c r="Q80" s="942"/>
      <c r="R80" s="942"/>
      <c r="S80" s="942"/>
      <c r="T80" s="942"/>
      <c r="U80" s="942"/>
      <c r="V80" s="942"/>
      <c r="W80" s="942"/>
      <c r="X80" s="942"/>
      <c r="Y80" s="942"/>
      <c r="Z80" s="942"/>
      <c r="AA80" s="942"/>
      <c r="AB80" s="942"/>
      <c r="AC80" s="942"/>
      <c r="AD80" s="942"/>
      <c r="AE80" s="942"/>
      <c r="AF80" s="942"/>
      <c r="AG80" s="942"/>
      <c r="AH80" s="942"/>
      <c r="AI80" s="942"/>
      <c r="AJ80" s="942"/>
      <c r="AK80" s="942"/>
      <c r="AL80" s="942"/>
      <c r="AM80" s="942"/>
      <c r="AN80" s="942"/>
      <c r="AO80" s="942"/>
      <c r="AP80" s="942"/>
      <c r="AQ80" s="942"/>
      <c r="AR80" s="942"/>
      <c r="AS80" s="942"/>
      <c r="AT80" s="942"/>
      <c r="AU80" s="942"/>
      <c r="AV80" s="942"/>
      <c r="AW80" s="942"/>
      <c r="AX80" s="942"/>
      <c r="AY80" s="942"/>
      <c r="AZ80" s="942"/>
      <c r="BA80" s="942"/>
      <c r="BB80" s="942"/>
      <c r="BC80" s="942"/>
      <c r="BD80" s="942"/>
      <c r="BE80" s="942"/>
      <c r="BF80" s="942"/>
      <c r="BG80" s="942"/>
      <c r="BH80" s="942"/>
      <c r="BI80" s="942"/>
      <c r="BJ80" s="942"/>
      <c r="BK80" s="942"/>
      <c r="BL80" s="942"/>
      <c r="BM80" s="942"/>
      <c r="BN80" s="942"/>
      <c r="BO80" s="942"/>
      <c r="BP80" s="942"/>
      <c r="BQ80" s="942"/>
      <c r="BR80" s="942"/>
      <c r="BS80" s="942"/>
      <c r="BT80" s="942"/>
      <c r="BU80" s="942"/>
      <c r="BV80" s="942"/>
      <c r="BW80" s="942"/>
      <c r="BX80" s="942"/>
      <c r="BY80" s="942"/>
      <c r="BZ80" s="942"/>
      <c r="CA80" s="942"/>
      <c r="CB80" s="942"/>
      <c r="CC80" s="942"/>
      <c r="CD80" s="942"/>
      <c r="CE80" s="942"/>
      <c r="CF80" s="942"/>
      <c r="CG80" s="942"/>
      <c r="CH80" s="942"/>
      <c r="CI80" s="942"/>
      <c r="CJ80" s="942"/>
      <c r="CK80" s="942"/>
      <c r="CL80" s="942"/>
      <c r="CM80" s="942"/>
      <c r="CN80" s="942"/>
      <c r="CO80" s="942"/>
      <c r="CP80" s="942"/>
      <c r="CQ80" s="942"/>
      <c r="CR80" s="942"/>
      <c r="CS80" s="942"/>
      <c r="CT80" s="942"/>
      <c r="CU80" s="942"/>
      <c r="CV80" s="942"/>
      <c r="CW80" s="942"/>
      <c r="CX80" s="942"/>
      <c r="CY80" s="942"/>
      <c r="CZ80" s="942"/>
      <c r="DA80" s="942"/>
      <c r="DB80" s="942"/>
      <c r="DC80" s="942"/>
      <c r="DD80" s="942"/>
      <c r="DE80" s="942"/>
      <c r="DF80" s="942"/>
      <c r="DG80" s="942"/>
      <c r="DH80" s="942"/>
      <c r="DI80" s="942"/>
      <c r="DJ80" s="942"/>
      <c r="DK80" s="942"/>
      <c r="DL80" s="942"/>
      <c r="DM80" s="942"/>
      <c r="DN80" s="942"/>
      <c r="DO80" s="942"/>
      <c r="DP80" s="942"/>
      <c r="DQ80" s="942"/>
      <c r="DR80" s="942"/>
      <c r="DS80" s="942"/>
      <c r="DT80" s="942"/>
      <c r="DU80" s="942"/>
      <c r="DV80" s="942"/>
      <c r="DW80" s="942"/>
      <c r="DX80" s="942"/>
      <c r="DY80" s="942"/>
      <c r="DZ80" s="942"/>
      <c r="EA80" s="942"/>
      <c r="EB80" s="942"/>
      <c r="EC80" s="942"/>
      <c r="ED80" s="942"/>
      <c r="EE80" s="942"/>
      <c r="EF80" s="942"/>
      <c r="EG80" s="942"/>
      <c r="EH80" s="942"/>
      <c r="EI80" s="942"/>
      <c r="EJ80" s="942"/>
      <c r="EK80" s="942"/>
      <c r="EL80" s="942"/>
      <c r="EM80" s="942"/>
      <c r="EN80" s="942"/>
      <c r="EO80" s="942"/>
      <c r="EP80" s="942"/>
      <c r="EQ80" s="942"/>
      <c r="ER80" s="942"/>
      <c r="ES80" s="942"/>
      <c r="ET80" s="942"/>
      <c r="EU80" s="942"/>
      <c r="EV80" s="942"/>
      <c r="EW80" s="942"/>
      <c r="EX80" s="942"/>
      <c r="EY80" s="942"/>
      <c r="EZ80" s="942"/>
      <c r="FA80" s="942"/>
      <c r="FB80" s="942"/>
      <c r="FC80" s="942"/>
      <c r="FD80" s="942"/>
      <c r="FE80" s="942"/>
      <c r="FF80" s="942"/>
      <c r="FG80" s="942"/>
      <c r="FH80" s="942"/>
      <c r="FI80" s="942"/>
      <c r="FJ80" s="942"/>
      <c r="FK80" s="942"/>
      <c r="FL80" s="942"/>
      <c r="FM80" s="942"/>
      <c r="FN80" s="942"/>
      <c r="FO80" s="942"/>
      <c r="FP80" s="942"/>
      <c r="FQ80" s="942"/>
      <c r="FR80" s="942"/>
      <c r="FS80" s="942"/>
      <c r="FT80" s="942"/>
      <c r="FU80" s="942"/>
      <c r="FV80" s="942"/>
      <c r="FW80" s="942"/>
      <c r="FX80" s="942"/>
      <c r="FY80" s="942"/>
      <c r="FZ80" s="942"/>
      <c r="GA80" s="942"/>
      <c r="GB80" s="942"/>
      <c r="GC80" s="942"/>
      <c r="GD80" s="942"/>
      <c r="GE80" s="942"/>
      <c r="GF80" s="942"/>
      <c r="GG80" s="942"/>
      <c r="GH80" s="942"/>
      <c r="GI80" s="942"/>
      <c r="GJ80" s="942"/>
      <c r="GK80" s="942"/>
      <c r="GL80" s="942"/>
      <c r="GM80" s="942"/>
      <c r="GN80" s="942"/>
      <c r="GO80" s="942"/>
    </row>
    <row r="81" spans="1:197" ht="19.5" customHeight="1" x14ac:dyDescent="0.25">
      <c r="A81" s="942"/>
      <c r="B81" s="942"/>
      <c r="C81" s="942"/>
      <c r="D81" s="942"/>
      <c r="E81" s="942"/>
      <c r="F81" s="942"/>
      <c r="G81" s="942"/>
      <c r="H81" s="942"/>
      <c r="I81" s="942"/>
      <c r="J81" s="942"/>
      <c r="K81" s="942"/>
      <c r="L81" s="942"/>
      <c r="M81" s="942"/>
      <c r="N81" s="942"/>
      <c r="O81" s="942"/>
      <c r="P81" s="942"/>
      <c r="Q81" s="942"/>
      <c r="R81" s="942"/>
      <c r="S81" s="942"/>
      <c r="T81" s="942"/>
      <c r="U81" s="942"/>
      <c r="V81" s="942"/>
      <c r="W81" s="942"/>
      <c r="X81" s="942"/>
      <c r="Y81" s="942"/>
      <c r="Z81" s="942"/>
      <c r="AA81" s="942"/>
      <c r="AB81" s="942"/>
      <c r="AC81" s="942"/>
      <c r="AD81" s="942"/>
      <c r="AE81" s="942"/>
      <c r="AF81" s="942"/>
      <c r="AG81" s="942"/>
      <c r="AH81" s="942"/>
      <c r="AI81" s="942"/>
      <c r="AJ81" s="942"/>
      <c r="AK81" s="942"/>
      <c r="AL81" s="942"/>
      <c r="AM81" s="942"/>
      <c r="AN81" s="942"/>
      <c r="AO81" s="942"/>
      <c r="AP81" s="942"/>
      <c r="AQ81" s="942"/>
      <c r="AR81" s="942"/>
      <c r="AS81" s="942"/>
      <c r="AT81" s="942"/>
      <c r="AU81" s="942"/>
      <c r="AV81" s="942"/>
      <c r="AW81" s="942"/>
      <c r="AX81" s="942"/>
      <c r="AY81" s="942"/>
      <c r="AZ81" s="942"/>
      <c r="BA81" s="942"/>
      <c r="BB81" s="942"/>
      <c r="BC81" s="942"/>
      <c r="BD81" s="942"/>
      <c r="BE81" s="942"/>
      <c r="BF81" s="942"/>
      <c r="BG81" s="942"/>
      <c r="BH81" s="942"/>
      <c r="BI81" s="942"/>
      <c r="BJ81" s="942"/>
      <c r="BK81" s="942"/>
      <c r="BL81" s="942"/>
      <c r="BM81" s="942"/>
      <c r="BN81" s="942"/>
      <c r="BO81" s="942"/>
      <c r="BP81" s="942"/>
      <c r="BQ81" s="942"/>
      <c r="BR81" s="942"/>
      <c r="BS81" s="942"/>
      <c r="BT81" s="942"/>
      <c r="BU81" s="942"/>
      <c r="BV81" s="942"/>
      <c r="BW81" s="942"/>
      <c r="BX81" s="942"/>
      <c r="BY81" s="942"/>
      <c r="BZ81" s="942"/>
      <c r="CA81" s="942"/>
      <c r="CB81" s="942"/>
      <c r="CC81" s="942"/>
      <c r="CD81" s="942"/>
      <c r="CE81" s="942"/>
      <c r="CF81" s="942"/>
      <c r="CG81" s="942"/>
      <c r="CH81" s="942"/>
      <c r="CI81" s="942"/>
      <c r="CJ81" s="942"/>
      <c r="CK81" s="942"/>
      <c r="CL81" s="942"/>
      <c r="CM81" s="942"/>
      <c r="CN81" s="942"/>
      <c r="CO81" s="942"/>
      <c r="CP81" s="942"/>
      <c r="CQ81" s="942"/>
      <c r="CR81" s="942"/>
      <c r="CS81" s="942"/>
      <c r="CT81" s="942"/>
      <c r="CU81" s="942"/>
      <c r="CV81" s="942"/>
      <c r="CW81" s="942"/>
      <c r="CX81" s="942"/>
      <c r="CY81" s="942"/>
      <c r="CZ81" s="942"/>
      <c r="DA81" s="942"/>
      <c r="DB81" s="942"/>
      <c r="DC81" s="942"/>
      <c r="DD81" s="942"/>
      <c r="DE81" s="942"/>
      <c r="DF81" s="942"/>
      <c r="DG81" s="942"/>
      <c r="DH81" s="942"/>
      <c r="DI81" s="942"/>
      <c r="DJ81" s="942"/>
      <c r="DK81" s="942"/>
      <c r="DL81" s="942"/>
      <c r="DM81" s="942"/>
      <c r="DN81" s="942"/>
      <c r="DO81" s="942"/>
      <c r="DP81" s="942"/>
      <c r="DQ81" s="942"/>
      <c r="DR81" s="942"/>
      <c r="DS81" s="942"/>
      <c r="DT81" s="942"/>
      <c r="DU81" s="942"/>
      <c r="DV81" s="942"/>
      <c r="DW81" s="942"/>
      <c r="DX81" s="942"/>
      <c r="DY81" s="942"/>
      <c r="DZ81" s="942"/>
      <c r="EA81" s="942"/>
      <c r="EB81" s="942"/>
      <c r="EC81" s="942"/>
      <c r="ED81" s="942"/>
      <c r="EE81" s="942"/>
      <c r="EF81" s="942"/>
      <c r="EG81" s="942"/>
      <c r="EH81" s="942"/>
      <c r="EI81" s="942"/>
      <c r="EJ81" s="942"/>
      <c r="EK81" s="942"/>
      <c r="EL81" s="942"/>
      <c r="EM81" s="942"/>
      <c r="EN81" s="942"/>
      <c r="EO81" s="942"/>
      <c r="EP81" s="942"/>
      <c r="EQ81" s="942"/>
      <c r="ER81" s="942"/>
      <c r="ES81" s="942"/>
      <c r="ET81" s="942"/>
      <c r="EU81" s="942"/>
      <c r="EV81" s="942"/>
      <c r="EW81" s="942"/>
      <c r="EX81" s="942"/>
      <c r="EY81" s="942"/>
      <c r="EZ81" s="942"/>
      <c r="FA81" s="942"/>
      <c r="FB81" s="942"/>
      <c r="FC81" s="942"/>
      <c r="FD81" s="942"/>
      <c r="FE81" s="942"/>
      <c r="FF81" s="942"/>
      <c r="FG81" s="942"/>
      <c r="FH81" s="942"/>
      <c r="FI81" s="942"/>
      <c r="FJ81" s="942"/>
      <c r="FK81" s="942"/>
      <c r="FL81" s="942"/>
      <c r="FM81" s="942"/>
      <c r="FN81" s="942"/>
      <c r="FO81" s="942"/>
      <c r="FP81" s="942"/>
      <c r="FQ81" s="942"/>
      <c r="FR81" s="942"/>
      <c r="FS81" s="942"/>
      <c r="FT81" s="942"/>
      <c r="FU81" s="942"/>
      <c r="FV81" s="942"/>
      <c r="FW81" s="942"/>
      <c r="FX81" s="942"/>
      <c r="FY81" s="942"/>
      <c r="FZ81" s="942"/>
      <c r="GA81" s="942"/>
      <c r="GB81" s="942"/>
      <c r="GC81" s="942"/>
      <c r="GD81" s="942"/>
      <c r="GE81" s="942"/>
      <c r="GF81" s="942"/>
      <c r="GG81" s="942"/>
      <c r="GH81" s="942"/>
      <c r="GI81" s="942"/>
      <c r="GJ81" s="942"/>
      <c r="GK81" s="942"/>
      <c r="GL81" s="942"/>
      <c r="GM81" s="942"/>
      <c r="GN81" s="942"/>
      <c r="GO81" s="942"/>
    </row>
  </sheetData>
  <mergeCells count="47">
    <mergeCell ref="A1:DC1"/>
    <mergeCell ref="A6:C8"/>
    <mergeCell ref="AA6:AA9"/>
    <mergeCell ref="BZ6:CA10"/>
    <mergeCell ref="Q9:X18"/>
    <mergeCell ref="CH10:CI10"/>
    <mergeCell ref="M12:N12"/>
    <mergeCell ref="Z13:AH18"/>
    <mergeCell ref="A16:F23"/>
    <mergeCell ref="M18:N18"/>
    <mergeCell ref="N21:O24"/>
    <mergeCell ref="CE23:CI28"/>
    <mergeCell ref="CM23:CN23"/>
    <mergeCell ref="G24:H24"/>
    <mergeCell ref="B26:C26"/>
    <mergeCell ref="AI32:AJ39"/>
    <mergeCell ref="CM26:CN26"/>
    <mergeCell ref="AA34:AB34"/>
    <mergeCell ref="H38:I38"/>
    <mergeCell ref="AA38:AB38"/>
    <mergeCell ref="BO38:BP38"/>
    <mergeCell ref="BZ38:CA38"/>
    <mergeCell ref="AS39:AY39"/>
    <mergeCell ref="BO39:BP39"/>
    <mergeCell ref="CH39:CI39"/>
    <mergeCell ref="P30:R32"/>
    <mergeCell ref="AE30:AF30"/>
    <mergeCell ref="CH30:CI30"/>
    <mergeCell ref="G32:H32"/>
    <mergeCell ref="AI40:AJ48"/>
    <mergeCell ref="BG40:BH40"/>
    <mergeCell ref="CH42:CI42"/>
    <mergeCell ref="AA43:AB43"/>
    <mergeCell ref="AT46:AU46"/>
    <mergeCell ref="CH47:CI47"/>
    <mergeCell ref="AT68:AU68"/>
    <mergeCell ref="BU58:CA68"/>
    <mergeCell ref="CM50:CN50"/>
    <mergeCell ref="CH52:CI52"/>
    <mergeCell ref="BU54:BW54"/>
    <mergeCell ref="AT55:AU55"/>
    <mergeCell ref="AT57:AU57"/>
    <mergeCell ref="AN57:AO57"/>
    <mergeCell ref="AE63:AF63"/>
    <mergeCell ref="AH65:AJ65"/>
    <mergeCell ref="CX65:CZ65"/>
    <mergeCell ref="AC66:AF66"/>
  </mergeCells>
  <phoneticPr fontId="0" type="noConversion"/>
  <conditionalFormatting sqref="K13">
    <cfRule type="duplicateValues" dxfId="247" priority="43"/>
  </conditionalFormatting>
  <conditionalFormatting sqref="L13">
    <cfRule type="duplicateValues" dxfId="246" priority="44"/>
  </conditionalFormatting>
  <conditionalFormatting sqref="N19">
    <cfRule type="duplicateValues" dxfId="245" priority="41"/>
  </conditionalFormatting>
  <conditionalFormatting sqref="N20">
    <cfRule type="duplicateValues" dxfId="244" priority="42"/>
  </conditionalFormatting>
  <conditionalFormatting sqref="AG62">
    <cfRule type="duplicateValues" dxfId="243" priority="9"/>
  </conditionalFormatting>
  <conditionalFormatting sqref="AQ76">
    <cfRule type="duplicateValues" dxfId="242" priority="32"/>
  </conditionalFormatting>
  <conditionalFormatting sqref="AR76">
    <cfRule type="duplicateValues" dxfId="241" priority="31"/>
  </conditionalFormatting>
  <conditionalFormatting sqref="AT58">
    <cfRule type="duplicateValues" dxfId="240" priority="39"/>
  </conditionalFormatting>
  <conditionalFormatting sqref="AT59">
    <cfRule type="duplicateValues" dxfId="239" priority="37"/>
  </conditionalFormatting>
  <conditionalFormatting sqref="AT60">
    <cfRule type="duplicateValues" dxfId="238" priority="36"/>
  </conditionalFormatting>
  <conditionalFormatting sqref="AT61">
    <cfRule type="duplicateValues" dxfId="237" priority="35"/>
  </conditionalFormatting>
  <conditionalFormatting sqref="AU58">
    <cfRule type="duplicateValues" dxfId="236" priority="33"/>
  </conditionalFormatting>
  <conditionalFormatting sqref="AU59">
    <cfRule type="duplicateValues" dxfId="235" priority="38"/>
  </conditionalFormatting>
  <conditionalFormatting sqref="AU60">
    <cfRule type="duplicateValues" dxfId="234" priority="40"/>
  </conditionalFormatting>
  <conditionalFormatting sqref="AU61">
    <cfRule type="duplicateValues" dxfId="233" priority="34"/>
  </conditionalFormatting>
  <conditionalFormatting sqref="AZ59">
    <cfRule type="duplicateValues" dxfId="232" priority="30"/>
  </conditionalFormatting>
  <conditionalFormatting sqref="AZ60">
    <cfRule type="duplicateValues" dxfId="231" priority="11"/>
  </conditionalFormatting>
  <conditionalFormatting sqref="AZ61">
    <cfRule type="duplicateValues" dxfId="230" priority="10"/>
  </conditionalFormatting>
  <conditionalFormatting sqref="AZ62">
    <cfRule type="duplicateValues" dxfId="229" priority="12"/>
  </conditionalFormatting>
  <conditionalFormatting sqref="BG36">
    <cfRule type="duplicateValues" dxfId="228" priority="8"/>
  </conditionalFormatting>
  <conditionalFormatting sqref="BG37">
    <cfRule type="duplicateValues" dxfId="227" priority="7"/>
  </conditionalFormatting>
  <conditionalFormatting sqref="BG38">
    <cfRule type="duplicateValues" dxfId="226" priority="6"/>
  </conditionalFormatting>
  <conditionalFormatting sqref="BG39">
    <cfRule type="duplicateValues" dxfId="225" priority="5"/>
  </conditionalFormatting>
  <conditionalFormatting sqref="BH36">
    <cfRule type="duplicateValues" dxfId="224" priority="1"/>
  </conditionalFormatting>
  <conditionalFormatting sqref="BH37">
    <cfRule type="duplicateValues" dxfId="223" priority="2"/>
  </conditionalFormatting>
  <conditionalFormatting sqref="BH38">
    <cfRule type="duplicateValues" dxfId="222" priority="3"/>
  </conditionalFormatting>
  <conditionalFormatting sqref="BH39">
    <cfRule type="duplicateValues" dxfId="221" priority="4"/>
  </conditionalFormatting>
  <conditionalFormatting sqref="BO26">
    <cfRule type="duplicateValues" dxfId="220" priority="16"/>
  </conditionalFormatting>
  <conditionalFormatting sqref="BO27">
    <cfRule type="duplicateValues" dxfId="219" priority="15"/>
  </conditionalFormatting>
  <conditionalFormatting sqref="BO35">
    <cfRule type="duplicateValues" dxfId="218" priority="22"/>
  </conditionalFormatting>
  <conditionalFormatting sqref="BO36">
    <cfRule type="duplicateValues" dxfId="217" priority="17"/>
  </conditionalFormatting>
  <conditionalFormatting sqref="BO37">
    <cfRule type="duplicateValues" dxfId="216" priority="20"/>
  </conditionalFormatting>
  <conditionalFormatting sqref="BP26">
    <cfRule type="duplicateValues" dxfId="215" priority="13"/>
  </conditionalFormatting>
  <conditionalFormatting sqref="BP27">
    <cfRule type="duplicateValues" dxfId="214" priority="14"/>
  </conditionalFormatting>
  <conditionalFormatting sqref="BP35">
    <cfRule type="duplicateValues" dxfId="213" priority="18"/>
  </conditionalFormatting>
  <conditionalFormatting sqref="BP36">
    <cfRule type="duplicateValues" dxfId="212" priority="21"/>
  </conditionalFormatting>
  <conditionalFormatting sqref="BP37">
    <cfRule type="duplicateValues" dxfId="211" priority="19"/>
  </conditionalFormatting>
  <conditionalFormatting sqref="BU71">
    <cfRule type="duplicateValues" dxfId="210" priority="48"/>
  </conditionalFormatting>
  <conditionalFormatting sqref="BV23">
    <cfRule type="duplicateValues" dxfId="209" priority="23"/>
  </conditionalFormatting>
  <conditionalFormatting sqref="BV71">
    <cfRule type="duplicateValues" dxfId="208" priority="47"/>
  </conditionalFormatting>
  <conditionalFormatting sqref="BW23">
    <cfRule type="duplicateValues" dxfId="207" priority="24"/>
  </conditionalFormatting>
  <conditionalFormatting sqref="BW71">
    <cfRule type="duplicateValues" dxfId="206" priority="46"/>
  </conditionalFormatting>
  <conditionalFormatting sqref="BX71">
    <cfRule type="duplicateValues" dxfId="205" priority="45"/>
  </conditionalFormatting>
  <conditionalFormatting sqref="CE29">
    <cfRule type="duplicateValues" dxfId="204" priority="29"/>
  </conditionalFormatting>
  <conditionalFormatting sqref="CE30">
    <cfRule type="duplicateValues" dxfId="203" priority="28"/>
  </conditionalFormatting>
  <conditionalFormatting sqref="CV69">
    <cfRule type="duplicateValues" dxfId="202" priority="27"/>
  </conditionalFormatting>
  <conditionalFormatting sqref="CV70">
    <cfRule type="duplicateValues" dxfId="201" priority="26"/>
  </conditionalFormatting>
  <conditionalFormatting sqref="CV71">
    <cfRule type="duplicateValues" dxfId="200" priority="25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GO496"/>
  <sheetViews>
    <sheetView topLeftCell="BW4" zoomScale="60" zoomScaleNormal="60" workbookViewId="0">
      <selection activeCell="CG44" sqref="CG44"/>
    </sheetView>
  </sheetViews>
  <sheetFormatPr baseColWidth="10" defaultColWidth="16.7109375" defaultRowHeight="19.5" customHeight="1" x14ac:dyDescent="0.25"/>
  <sheetData>
    <row r="1" spans="1:107" s="1" customFormat="1" ht="19.5" customHeight="1" thickBot="1" x14ac:dyDescent="0.3">
      <c r="A1" s="728" t="s">
        <v>163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  <c r="AK1" s="729"/>
      <c r="AL1" s="729"/>
      <c r="AM1" s="729"/>
      <c r="AN1" s="729"/>
      <c r="AO1" s="729"/>
      <c r="AP1" s="729"/>
      <c r="AQ1" s="729"/>
      <c r="AR1" s="729"/>
      <c r="AS1" s="729"/>
      <c r="AT1" s="729"/>
      <c r="AU1" s="729"/>
      <c r="AV1" s="729"/>
      <c r="AW1" s="729"/>
      <c r="AX1" s="729"/>
      <c r="AY1" s="729"/>
      <c r="AZ1" s="729"/>
      <c r="BA1" s="729"/>
      <c r="BB1" s="729"/>
      <c r="BC1" s="729"/>
      <c r="BD1" s="729"/>
      <c r="BE1" s="729"/>
      <c r="BF1" s="729"/>
      <c r="BG1" s="729"/>
      <c r="BH1" s="729"/>
      <c r="BI1" s="729"/>
      <c r="BJ1" s="729"/>
      <c r="BK1" s="729"/>
      <c r="BL1" s="729"/>
      <c r="BM1" s="729"/>
      <c r="BN1" s="729"/>
      <c r="BO1" s="729"/>
      <c r="BP1" s="729"/>
      <c r="BQ1" s="729"/>
      <c r="BR1" s="729"/>
      <c r="BS1" s="729"/>
      <c r="BT1" s="729"/>
      <c r="BU1" s="729"/>
      <c r="BV1" s="729"/>
      <c r="BW1" s="729"/>
      <c r="BX1" s="729"/>
      <c r="BY1" s="729"/>
      <c r="BZ1" s="729"/>
      <c r="CA1" s="729"/>
      <c r="CB1" s="729"/>
      <c r="CC1" s="729"/>
      <c r="CD1" s="729"/>
      <c r="CE1" s="729"/>
      <c r="CF1" s="729"/>
      <c r="CG1" s="729"/>
      <c r="CH1" s="729"/>
      <c r="CI1" s="729"/>
      <c r="CJ1" s="729"/>
      <c r="CK1" s="729"/>
      <c r="CL1" s="729"/>
      <c r="CM1" s="729"/>
      <c r="CN1" s="729"/>
      <c r="CO1" s="729"/>
      <c r="CP1" s="729"/>
      <c r="CQ1" s="729"/>
      <c r="CR1" s="729"/>
      <c r="CS1" s="729"/>
      <c r="CT1" s="729"/>
      <c r="CU1" s="729"/>
      <c r="CV1" s="729"/>
      <c r="CW1" s="729"/>
      <c r="CX1" s="729"/>
      <c r="CY1" s="729"/>
      <c r="CZ1" s="729"/>
      <c r="DA1" s="729"/>
      <c r="DB1" s="729"/>
      <c r="DC1" s="730"/>
    </row>
    <row r="2" spans="1:107" s="5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" t="s">
        <v>165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3" t="s">
        <v>166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2"/>
      <c r="CX2" s="2"/>
      <c r="CY2" s="2"/>
      <c r="CZ2" s="2"/>
      <c r="DA2" s="2"/>
      <c r="DB2" s="2"/>
      <c r="DC2" s="2"/>
    </row>
    <row r="3" spans="1:107" s="5" customFormat="1" ht="19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2"/>
      <c r="CX3" s="2"/>
      <c r="CY3" s="2"/>
      <c r="CZ3" s="2"/>
      <c r="DA3" s="2"/>
      <c r="DB3" s="2"/>
      <c r="DC3" s="2"/>
    </row>
    <row r="4" spans="1:107" s="5" customFormat="1" ht="19.5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2"/>
      <c r="CX4" s="2"/>
      <c r="CY4" s="2"/>
      <c r="CZ4" s="2"/>
      <c r="DA4" s="2"/>
      <c r="DB4" s="2"/>
      <c r="DC4" s="2"/>
    </row>
    <row r="5" spans="1:107" s="5" customFormat="1" ht="19.5" customHeight="1" thickBot="1" x14ac:dyDescent="0.3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7"/>
      <c r="AF5" s="158"/>
      <c r="AG5" s="158"/>
      <c r="AH5" s="159"/>
      <c r="AI5" s="160"/>
      <c r="AJ5" s="160"/>
      <c r="AK5" s="160"/>
      <c r="AL5" s="2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928" t="s">
        <v>167</v>
      </c>
      <c r="BR5" s="929"/>
      <c r="BS5" s="930"/>
      <c r="BT5" s="158"/>
      <c r="BU5" s="158"/>
      <c r="BV5" s="158"/>
      <c r="BW5" s="158"/>
      <c r="BX5" s="159"/>
      <c r="BY5" s="159"/>
      <c r="BZ5" s="160"/>
      <c r="CA5" s="160"/>
      <c r="CB5" s="160"/>
      <c r="CC5" s="2"/>
      <c r="CD5" s="155"/>
      <c r="CE5" s="155"/>
      <c r="CF5" s="155"/>
      <c r="CG5" s="155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7"/>
      <c r="CX5" s="158"/>
      <c r="CY5" s="159"/>
      <c r="CZ5" s="159"/>
      <c r="DA5" s="160"/>
      <c r="DB5" s="160"/>
      <c r="DC5" s="160"/>
    </row>
    <row r="6" spans="1:107" s="5" customFormat="1" ht="19.5" customHeight="1" x14ac:dyDescent="0.25">
      <c r="A6" s="702" t="s">
        <v>168</v>
      </c>
      <c r="B6" s="731"/>
      <c r="C6" s="703"/>
      <c r="E6" s="395" t="s">
        <v>219</v>
      </c>
      <c r="F6" s="164"/>
      <c r="G6" s="421" t="s">
        <v>55</v>
      </c>
      <c r="H6" s="164"/>
      <c r="I6" s="287"/>
      <c r="J6" s="288" t="s">
        <v>220</v>
      </c>
      <c r="K6" s="165"/>
      <c r="L6" s="422" t="s">
        <v>9</v>
      </c>
      <c r="M6" s="395" t="s">
        <v>219</v>
      </c>
      <c r="N6" s="16"/>
      <c r="O6" s="155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56"/>
      <c r="AB6" s="694" t="s">
        <v>169</v>
      </c>
      <c r="AC6" s="694"/>
      <c r="AD6" s="694"/>
      <c r="AE6" s="694"/>
      <c r="AF6" s="694"/>
      <c r="AG6" s="694"/>
      <c r="AH6" s="694"/>
      <c r="AI6" s="694"/>
      <c r="AJ6" s="694"/>
      <c r="AK6" s="160"/>
      <c r="AL6" s="2"/>
      <c r="AM6" s="155"/>
      <c r="AZ6" s="168"/>
      <c r="BA6" s="169"/>
      <c r="BB6" s="423" t="s">
        <v>219</v>
      </c>
      <c r="BC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0"/>
      <c r="BR6" s="170"/>
      <c r="BS6" s="170"/>
      <c r="BT6" s="18"/>
      <c r="BU6" s="18"/>
      <c r="BV6" s="18"/>
      <c r="BW6" s="18"/>
      <c r="BX6" s="18"/>
      <c r="BY6" s="18"/>
      <c r="BZ6" s="735" t="s">
        <v>170</v>
      </c>
      <c r="CA6" s="736"/>
      <c r="CB6" s="160"/>
      <c r="CC6" s="2"/>
      <c r="CD6" s="155"/>
      <c r="CE6" s="2"/>
      <c r="CF6" s="9"/>
      <c r="CH6" s="424" t="s">
        <v>221</v>
      </c>
      <c r="CI6" s="425" t="s">
        <v>221</v>
      </c>
      <c r="CJ6" s="425" t="s">
        <v>221</v>
      </c>
      <c r="CK6" s="425" t="s">
        <v>221</v>
      </c>
      <c r="CL6" s="425" t="s">
        <v>221</v>
      </c>
      <c r="CM6" s="425" t="s">
        <v>221</v>
      </c>
      <c r="CN6" s="425" t="s">
        <v>221</v>
      </c>
      <c r="CO6" s="425" t="s">
        <v>221</v>
      </c>
      <c r="CP6" s="16"/>
      <c r="CS6" s="426" t="s">
        <v>222</v>
      </c>
      <c r="CT6" s="427" t="s">
        <v>222</v>
      </c>
      <c r="CU6" s="427" t="s">
        <v>222</v>
      </c>
      <c r="CV6" s="427" t="s">
        <v>222</v>
      </c>
      <c r="CW6" s="427" t="s">
        <v>222</v>
      </c>
      <c r="CX6" s="427" t="s">
        <v>222</v>
      </c>
      <c r="CY6" s="427" t="s">
        <v>222</v>
      </c>
      <c r="CZ6" s="427" t="s">
        <v>222</v>
      </c>
      <c r="DA6" s="19"/>
      <c r="DB6" s="19"/>
      <c r="DC6" s="160"/>
    </row>
    <row r="7" spans="1:107" s="5" customFormat="1" ht="19.5" customHeight="1" x14ac:dyDescent="0.25">
      <c r="A7" s="704"/>
      <c r="B7" s="732"/>
      <c r="C7" s="705"/>
      <c r="G7" s="171" t="s">
        <v>171</v>
      </c>
      <c r="H7" s="22" t="s">
        <v>172</v>
      </c>
      <c r="I7" s="287"/>
      <c r="J7" s="288" t="s">
        <v>220</v>
      </c>
      <c r="K7" s="22" t="s">
        <v>173</v>
      </c>
      <c r="L7" s="172" t="s">
        <v>174</v>
      </c>
      <c r="M7" s="16"/>
      <c r="N7" s="16"/>
      <c r="O7" s="155"/>
      <c r="P7" s="166"/>
      <c r="Q7" s="166"/>
      <c r="R7" s="166"/>
      <c r="S7" s="166"/>
      <c r="T7" s="166"/>
      <c r="U7" s="170"/>
      <c r="V7" s="170"/>
      <c r="W7" s="166"/>
      <c r="X7" s="166"/>
      <c r="Y7" s="173"/>
      <c r="Z7" s="173"/>
      <c r="AA7" s="174" t="s">
        <v>175</v>
      </c>
      <c r="AB7" s="694"/>
      <c r="AC7" s="694"/>
      <c r="AD7" s="694"/>
      <c r="AE7" s="694"/>
      <c r="AF7" s="694"/>
      <c r="AG7" s="694"/>
      <c r="AH7" s="694"/>
      <c r="AI7" s="694"/>
      <c r="AJ7" s="694"/>
      <c r="AK7" s="160"/>
      <c r="AL7" s="2"/>
      <c r="AM7" s="155"/>
      <c r="AZ7" s="175"/>
      <c r="BA7" s="176"/>
      <c r="BB7" s="423" t="s">
        <v>219</v>
      </c>
      <c r="BC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0"/>
      <c r="BR7" s="170"/>
      <c r="BS7" s="170"/>
      <c r="BT7" s="18"/>
      <c r="BU7" s="18"/>
      <c r="BV7" s="18"/>
      <c r="BW7" s="18"/>
      <c r="BX7" s="18"/>
      <c r="BY7" s="18"/>
      <c r="BZ7" s="737"/>
      <c r="CA7" s="738"/>
      <c r="CB7" s="160"/>
      <c r="CC7" s="2"/>
      <c r="CD7" s="155"/>
      <c r="CE7" s="427" t="s">
        <v>222</v>
      </c>
      <c r="CF7" s="23"/>
      <c r="CG7" s="6"/>
      <c r="CH7" s="6"/>
      <c r="CI7" s="24"/>
      <c r="CJ7" s="24"/>
      <c r="CK7" s="24"/>
      <c r="CL7" s="24"/>
      <c r="CM7" s="24"/>
      <c r="CN7" s="24"/>
      <c r="CO7" s="24"/>
      <c r="CP7" s="16"/>
      <c r="CQ7" s="16"/>
      <c r="CR7" s="16"/>
      <c r="DA7" s="19"/>
      <c r="DB7" s="19"/>
      <c r="DC7" s="160"/>
    </row>
    <row r="8" spans="1:107" s="5" customFormat="1" ht="19.5" customHeight="1" thickBot="1" x14ac:dyDescent="0.3">
      <c r="A8" s="714"/>
      <c r="B8" s="733"/>
      <c r="C8" s="715"/>
      <c r="G8" s="177">
        <v>1</v>
      </c>
      <c r="H8" s="28"/>
      <c r="I8" s="289" t="s">
        <v>173</v>
      </c>
      <c r="J8" s="290"/>
      <c r="K8" s="16"/>
      <c r="L8" s="177">
        <v>1</v>
      </c>
      <c r="M8" s="16"/>
      <c r="N8" s="16"/>
      <c r="O8" s="155"/>
      <c r="P8" s="166"/>
      <c r="Q8" s="166"/>
      <c r="R8" s="166"/>
      <c r="S8" s="166"/>
      <c r="T8" s="166"/>
      <c r="U8" s="170"/>
      <c r="V8" s="170"/>
      <c r="W8" s="166"/>
      <c r="X8" s="166"/>
      <c r="Y8" s="173"/>
      <c r="Z8" s="173"/>
      <c r="AA8" s="174"/>
      <c r="AB8" s="694"/>
      <c r="AC8" s="694"/>
      <c r="AD8" s="694"/>
      <c r="AE8" s="694"/>
      <c r="AF8" s="694"/>
      <c r="AG8" s="694"/>
      <c r="AH8" s="694"/>
      <c r="AI8" s="694"/>
      <c r="AJ8" s="694"/>
      <c r="AK8" s="160"/>
      <c r="AL8" s="2"/>
      <c r="AM8" s="155"/>
      <c r="AZ8" s="175"/>
      <c r="BA8" s="176"/>
      <c r="BC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6"/>
      <c r="BR8" s="6"/>
      <c r="BS8" s="6"/>
      <c r="BT8" s="30"/>
      <c r="BU8" s="30"/>
      <c r="BV8" s="6"/>
      <c r="BW8" s="6"/>
      <c r="BX8" s="9"/>
      <c r="BY8" s="9"/>
      <c r="BZ8" s="737"/>
      <c r="CA8" s="738"/>
      <c r="CB8" s="160"/>
      <c r="CC8" s="2"/>
      <c r="CD8" s="155"/>
      <c r="CE8" s="2"/>
      <c r="CF8" s="23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9"/>
      <c r="DB8" s="19"/>
      <c r="DC8" s="160"/>
    </row>
    <row r="9" spans="1:107" s="5" customFormat="1" ht="19.5" customHeight="1" x14ac:dyDescent="0.25">
      <c r="A9" s="31"/>
      <c r="B9" s="32"/>
      <c r="C9" s="32"/>
      <c r="G9" s="688" t="s">
        <v>176</v>
      </c>
      <c r="H9" s="688"/>
      <c r="I9" s="931" t="s">
        <v>223</v>
      </c>
      <c r="J9" s="931"/>
      <c r="L9" s="179" t="s">
        <v>177</v>
      </c>
      <c r="N9" s="16"/>
      <c r="O9" s="155"/>
      <c r="P9" s="166"/>
      <c r="Q9" s="763" t="s">
        <v>169</v>
      </c>
      <c r="R9" s="764"/>
      <c r="S9" s="764"/>
      <c r="T9" s="764"/>
      <c r="U9" s="764"/>
      <c r="V9" s="764"/>
      <c r="W9" s="764"/>
      <c r="X9" s="765"/>
      <c r="Y9" s="173"/>
      <c r="Z9" s="173"/>
      <c r="AA9" s="174"/>
      <c r="AB9" s="694"/>
      <c r="AC9" s="694"/>
      <c r="AD9" s="694"/>
      <c r="AE9" s="694"/>
      <c r="AF9" s="694"/>
      <c r="AG9" s="694"/>
      <c r="AH9" s="694"/>
      <c r="AI9" s="694"/>
      <c r="AJ9" s="694"/>
      <c r="AK9" s="160"/>
      <c r="AL9" s="2"/>
      <c r="AM9" s="155"/>
      <c r="AZ9" s="175"/>
      <c r="BA9" s="176"/>
      <c r="BB9" s="423" t="s">
        <v>219</v>
      </c>
      <c r="BC9" s="17"/>
      <c r="BI9" s="17"/>
      <c r="BJ9" s="17"/>
      <c r="BK9" s="17"/>
      <c r="BL9" s="17"/>
      <c r="BM9" s="17"/>
      <c r="BN9" s="17"/>
      <c r="BO9" s="17"/>
      <c r="BP9" s="17"/>
      <c r="BQ9" s="6"/>
      <c r="BR9" s="6"/>
      <c r="BS9" s="6"/>
      <c r="BT9" s="9"/>
      <c r="BU9" s="6"/>
      <c r="BV9" s="6"/>
      <c r="BW9" s="6"/>
      <c r="BX9" s="9"/>
      <c r="BY9" s="9"/>
      <c r="BZ9" s="737"/>
      <c r="CA9" s="738"/>
      <c r="CB9" s="160"/>
      <c r="CC9" s="2"/>
      <c r="CD9" s="155"/>
      <c r="CE9" s="427" t="s">
        <v>222</v>
      </c>
      <c r="CF9" s="23"/>
      <c r="CQ9" s="16"/>
      <c r="CR9" s="16"/>
      <c r="CS9" s="16"/>
      <c r="CT9" s="16"/>
      <c r="CU9" s="16"/>
      <c r="CX9" s="16"/>
      <c r="CY9" s="16"/>
      <c r="CZ9" s="16"/>
      <c r="DA9" s="37"/>
      <c r="DB9" s="37"/>
      <c r="DC9" s="160"/>
    </row>
    <row r="10" spans="1:107" s="5" customFormat="1" ht="19.5" customHeight="1" thickBot="1" x14ac:dyDescent="0.3">
      <c r="A10" s="38"/>
      <c r="B10" s="16"/>
      <c r="C10" s="16"/>
      <c r="D10" s="16"/>
      <c r="F10" s="688" t="s">
        <v>223</v>
      </c>
      <c r="G10" s="688"/>
      <c r="H10" s="178"/>
      <c r="J10" s="16"/>
      <c r="K10" s="32"/>
      <c r="L10" s="16"/>
      <c r="M10" s="16"/>
      <c r="N10" s="16"/>
      <c r="O10" s="155"/>
      <c r="P10" s="166"/>
      <c r="Q10" s="766"/>
      <c r="R10" s="694"/>
      <c r="S10" s="694"/>
      <c r="T10" s="694"/>
      <c r="U10" s="694"/>
      <c r="V10" s="694"/>
      <c r="W10" s="694"/>
      <c r="X10" s="767"/>
      <c r="Y10" s="173"/>
      <c r="Z10" s="173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80"/>
      <c r="AL10" s="2"/>
      <c r="AM10" s="155"/>
      <c r="AZ10" s="175"/>
      <c r="BA10" s="176"/>
      <c r="BB10" s="17"/>
      <c r="BC10" s="17"/>
      <c r="BG10" s="395" t="s">
        <v>219</v>
      </c>
      <c r="BH10" s="395" t="s">
        <v>219</v>
      </c>
      <c r="BI10" s="17"/>
      <c r="BJ10" s="17"/>
      <c r="BK10" s="17"/>
      <c r="BL10" s="17"/>
      <c r="BM10" s="17"/>
      <c r="BN10" s="17"/>
      <c r="BO10" s="17"/>
      <c r="BP10" s="17"/>
      <c r="BQ10" s="6"/>
      <c r="BR10" s="6"/>
      <c r="BS10" s="6"/>
      <c r="BT10" s="6"/>
      <c r="BU10" s="6"/>
      <c r="BV10" s="9"/>
      <c r="BW10" s="9"/>
      <c r="BX10" s="9"/>
      <c r="BY10" s="9"/>
      <c r="BZ10" s="739"/>
      <c r="CA10" s="740"/>
      <c r="CB10" s="180"/>
      <c r="CC10" s="2"/>
      <c r="CD10" s="156"/>
      <c r="CE10" s="16"/>
      <c r="CF10" s="23"/>
      <c r="CH10" s="688" t="s">
        <v>178</v>
      </c>
      <c r="CI10" s="688"/>
      <c r="CM10" s="428" t="s">
        <v>222</v>
      </c>
      <c r="CN10" s="427" t="s">
        <v>222</v>
      </c>
      <c r="CQ10" s="16"/>
      <c r="CR10" s="16"/>
      <c r="CS10" s="16"/>
      <c r="CT10" s="16"/>
      <c r="CU10" s="776" t="s">
        <v>224</v>
      </c>
      <c r="CV10" s="776"/>
      <c r="CX10" s="16"/>
      <c r="CY10" s="16"/>
      <c r="CZ10" s="16"/>
      <c r="DA10" s="19"/>
      <c r="DB10" s="37"/>
      <c r="DC10" s="181"/>
    </row>
    <row r="11" spans="1:107" s="5" customFormat="1" ht="19.5" customHeight="1" thickBot="1" x14ac:dyDescent="0.3">
      <c r="A11" s="31"/>
      <c r="B11" s="16"/>
      <c r="C11" s="16"/>
      <c r="D11" s="42"/>
      <c r="E11" s="289" t="s">
        <v>182</v>
      </c>
      <c r="F11" s="291"/>
      <c r="G11" s="291"/>
      <c r="H11" s="289"/>
      <c r="I11" s="16"/>
      <c r="J11" s="16"/>
      <c r="K11" s="16"/>
      <c r="L11" s="16"/>
      <c r="M11" s="16"/>
      <c r="N11" s="16"/>
      <c r="O11" s="155"/>
      <c r="P11" s="166"/>
      <c r="Q11" s="766"/>
      <c r="R11" s="694"/>
      <c r="S11" s="694"/>
      <c r="T11" s="694"/>
      <c r="U11" s="694"/>
      <c r="V11" s="694"/>
      <c r="W11" s="694"/>
      <c r="X11" s="767"/>
      <c r="Y11" s="166"/>
      <c r="Z11" s="166"/>
      <c r="AA11" s="166"/>
      <c r="AB11" s="182"/>
      <c r="AC11" s="183"/>
      <c r="AD11" s="183"/>
      <c r="AE11" s="173"/>
      <c r="AF11" s="173"/>
      <c r="AG11" s="173"/>
      <c r="AH11" s="173"/>
      <c r="AI11" s="170"/>
      <c r="AJ11" s="184"/>
      <c r="AK11" s="180"/>
      <c r="AL11" s="2"/>
      <c r="AM11" s="155"/>
      <c r="AZ11" s="175"/>
      <c r="BA11" s="176"/>
      <c r="BB11" s="423" t="s">
        <v>219</v>
      </c>
      <c r="BC11" s="17"/>
      <c r="BG11" s="395" t="s">
        <v>219</v>
      </c>
      <c r="BH11" s="395" t="s">
        <v>219</v>
      </c>
      <c r="BI11" s="43"/>
      <c r="BJ11" s="17"/>
      <c r="BK11" s="17"/>
      <c r="BL11" s="17"/>
      <c r="BM11" s="17"/>
      <c r="BN11" s="17"/>
      <c r="BO11" s="17"/>
      <c r="BP11" s="17"/>
      <c r="BQ11" s="6"/>
      <c r="BR11" s="6"/>
      <c r="BS11" s="6"/>
      <c r="BT11" s="6"/>
      <c r="BU11" s="6"/>
      <c r="BV11" s="9"/>
      <c r="BW11" s="9"/>
      <c r="BX11" s="9"/>
      <c r="BY11" s="9"/>
      <c r="BZ11" s="170"/>
      <c r="CA11" s="184"/>
      <c r="CB11" s="180"/>
      <c r="CC11" s="2"/>
      <c r="CD11" s="156"/>
      <c r="CE11" s="427" t="s">
        <v>222</v>
      </c>
      <c r="CF11" s="9"/>
      <c r="CG11" s="22" t="s">
        <v>179</v>
      </c>
      <c r="CH11" s="165"/>
      <c r="CI11" s="165"/>
      <c r="CQ11" s="16"/>
      <c r="CR11" s="16"/>
      <c r="CS11" s="16"/>
      <c r="CT11" s="16"/>
      <c r="CU11" s="429" t="s">
        <v>225</v>
      </c>
      <c r="CV11" s="429" t="s">
        <v>225</v>
      </c>
      <c r="CX11" s="16"/>
      <c r="CY11" s="16"/>
      <c r="CZ11" s="16"/>
      <c r="DA11" s="19"/>
      <c r="DB11" s="37"/>
      <c r="DC11" s="181"/>
    </row>
    <row r="12" spans="1:107" s="5" customFormat="1" ht="19.5" customHeight="1" thickBot="1" x14ac:dyDescent="0.3">
      <c r="A12" s="932" t="s">
        <v>180</v>
      </c>
      <c r="B12" s="16"/>
      <c r="C12" s="45"/>
      <c r="D12" s="292">
        <v>1</v>
      </c>
      <c r="E12" s="287"/>
      <c r="F12" s="288" t="s">
        <v>220</v>
      </c>
      <c r="G12" s="288" t="s">
        <v>220</v>
      </c>
      <c r="H12" s="287"/>
      <c r="I12" s="293">
        <v>6</v>
      </c>
      <c r="J12" s="47"/>
      <c r="K12" s="16"/>
      <c r="L12" s="16"/>
      <c r="M12" s="741" t="s">
        <v>181</v>
      </c>
      <c r="N12" s="741"/>
      <c r="O12" s="155"/>
      <c r="P12" s="166"/>
      <c r="Q12" s="766"/>
      <c r="R12" s="694"/>
      <c r="S12" s="694"/>
      <c r="T12" s="694"/>
      <c r="U12" s="694"/>
      <c r="V12" s="694"/>
      <c r="W12" s="694"/>
      <c r="X12" s="767"/>
      <c r="AK12" s="180"/>
      <c r="AL12" s="2"/>
      <c r="AM12" s="155"/>
      <c r="AZ12" s="175"/>
      <c r="BA12" s="176"/>
      <c r="BC12" s="17"/>
      <c r="BG12" s="395" t="s">
        <v>219</v>
      </c>
      <c r="BH12" s="395" t="s">
        <v>219</v>
      </c>
      <c r="BI12" s="43"/>
      <c r="BJ12" s="17"/>
      <c r="BK12" s="17"/>
      <c r="BL12" s="17"/>
      <c r="BM12" s="17"/>
      <c r="BN12" s="17"/>
      <c r="BO12" s="17"/>
      <c r="BP12" s="17"/>
      <c r="BQ12" s="6"/>
      <c r="BR12" s="6"/>
      <c r="BS12" s="6"/>
      <c r="BT12" s="9"/>
      <c r="BU12" s="9"/>
      <c r="BV12" s="9"/>
      <c r="BW12" s="2"/>
      <c r="BX12" s="2"/>
      <c r="BY12" s="2"/>
      <c r="BZ12" s="170"/>
      <c r="CA12" s="48"/>
      <c r="CB12" s="180"/>
      <c r="CC12" s="2"/>
      <c r="CD12" s="156"/>
      <c r="CE12" s="24"/>
      <c r="CF12" s="188">
        <v>1</v>
      </c>
      <c r="CG12" s="172" t="s">
        <v>174</v>
      </c>
      <c r="CH12" s="430" t="s">
        <v>112</v>
      </c>
      <c r="CI12" s="430" t="s">
        <v>112</v>
      </c>
      <c r="CJ12" s="172" t="s">
        <v>174</v>
      </c>
      <c r="CK12" s="189">
        <v>4</v>
      </c>
      <c r="CM12" s="428" t="s">
        <v>222</v>
      </c>
      <c r="CN12" s="427" t="s">
        <v>222</v>
      </c>
      <c r="CQ12" s="16"/>
      <c r="CR12" s="16"/>
      <c r="CS12" s="16"/>
      <c r="CT12" s="16"/>
      <c r="CU12" s="429" t="s">
        <v>225</v>
      </c>
      <c r="CV12" s="429" t="s">
        <v>225</v>
      </c>
      <c r="CW12" s="16"/>
      <c r="CX12" s="16"/>
      <c r="CZ12" s="16"/>
      <c r="DA12" s="19"/>
      <c r="DB12" s="426" t="s">
        <v>222</v>
      </c>
      <c r="DC12" s="181"/>
    </row>
    <row r="13" spans="1:107" s="5" customFormat="1" ht="19.5" customHeight="1" x14ac:dyDescent="0.25">
      <c r="A13" s="933"/>
      <c r="B13" s="16"/>
      <c r="C13" s="45"/>
      <c r="D13" s="292">
        <v>2</v>
      </c>
      <c r="E13" s="287"/>
      <c r="F13" s="288" t="s">
        <v>220</v>
      </c>
      <c r="G13" s="288" t="s">
        <v>220</v>
      </c>
      <c r="H13" s="287"/>
      <c r="I13" s="293">
        <v>5</v>
      </c>
      <c r="J13" s="47"/>
      <c r="K13" s="431" t="s">
        <v>225</v>
      </c>
      <c r="L13" s="431" t="s">
        <v>225</v>
      </c>
      <c r="M13" s="22" t="s">
        <v>182</v>
      </c>
      <c r="N13" s="191"/>
      <c r="O13" s="155"/>
      <c r="P13" s="166"/>
      <c r="Q13" s="766"/>
      <c r="R13" s="694"/>
      <c r="S13" s="694"/>
      <c r="T13" s="694"/>
      <c r="U13" s="694"/>
      <c r="V13" s="694"/>
      <c r="W13" s="694"/>
      <c r="X13" s="767"/>
      <c r="Z13" s="919" t="s">
        <v>183</v>
      </c>
      <c r="AA13" s="920"/>
      <c r="AB13" s="920"/>
      <c r="AC13" s="920"/>
      <c r="AD13" s="920"/>
      <c r="AE13" s="920"/>
      <c r="AF13" s="920"/>
      <c r="AG13" s="920"/>
      <c r="AH13" s="921"/>
      <c r="AK13" s="180"/>
      <c r="AL13" s="2"/>
      <c r="AM13" s="155"/>
      <c r="AZ13" s="175"/>
      <c r="BA13" s="176"/>
      <c r="BB13" s="423" t="s">
        <v>219</v>
      </c>
      <c r="BC13" s="17"/>
      <c r="BG13" s="395" t="s">
        <v>219</v>
      </c>
      <c r="BH13" s="395" t="s">
        <v>219</v>
      </c>
      <c r="BI13" s="17"/>
      <c r="BJ13" s="17"/>
      <c r="BK13" s="17"/>
      <c r="BL13" s="17"/>
      <c r="BM13" s="17"/>
      <c r="BN13" s="17"/>
      <c r="BO13" s="17"/>
      <c r="BP13" s="17"/>
      <c r="BQ13" s="6"/>
      <c r="BR13" s="6"/>
      <c r="BS13" s="6"/>
      <c r="CB13" s="180"/>
      <c r="CC13" s="2"/>
      <c r="CD13" s="156"/>
      <c r="CE13" s="427" t="s">
        <v>222</v>
      </c>
      <c r="CF13" s="188">
        <v>2</v>
      </c>
      <c r="CG13" s="172" t="s">
        <v>174</v>
      </c>
      <c r="CH13" s="432" t="s">
        <v>112</v>
      </c>
      <c r="CI13" s="432" t="s">
        <v>112</v>
      </c>
      <c r="CJ13" s="172" t="s">
        <v>174</v>
      </c>
      <c r="CK13" s="189">
        <v>3</v>
      </c>
      <c r="CR13" s="16"/>
      <c r="CS13" s="16"/>
      <c r="CT13" s="16"/>
      <c r="CU13" s="433" t="s">
        <v>225</v>
      </c>
      <c r="CV13" s="433" t="s">
        <v>225</v>
      </c>
      <c r="CW13" s="16"/>
      <c r="CX13" s="16"/>
      <c r="CZ13" s="16"/>
      <c r="DA13" s="19"/>
      <c r="DB13" s="426" t="s">
        <v>222</v>
      </c>
      <c r="DC13" s="181"/>
    </row>
    <row r="14" spans="1:107" s="5" customFormat="1" ht="19.5" customHeight="1" x14ac:dyDescent="0.25">
      <c r="A14" s="933"/>
      <c r="C14" s="45"/>
      <c r="D14" s="292">
        <v>3</v>
      </c>
      <c r="E14" s="287"/>
      <c r="F14" s="288" t="s">
        <v>220</v>
      </c>
      <c r="G14" s="288" t="s">
        <v>220</v>
      </c>
      <c r="H14" s="287"/>
      <c r="I14" s="293">
        <v>4</v>
      </c>
      <c r="J14" s="47"/>
      <c r="K14" s="434" t="s">
        <v>222</v>
      </c>
      <c r="L14" s="434" t="s">
        <v>222</v>
      </c>
      <c r="M14" s="192" t="s">
        <v>174</v>
      </c>
      <c r="N14" s="402" t="s">
        <v>122</v>
      </c>
      <c r="O14" s="155"/>
      <c r="P14" s="166"/>
      <c r="Q14" s="766"/>
      <c r="R14" s="694"/>
      <c r="S14" s="694"/>
      <c r="T14" s="694"/>
      <c r="U14" s="694"/>
      <c r="V14" s="694"/>
      <c r="W14" s="694"/>
      <c r="X14" s="767"/>
      <c r="Z14" s="922"/>
      <c r="AA14" s="923"/>
      <c r="AB14" s="923"/>
      <c r="AC14" s="923"/>
      <c r="AD14" s="923"/>
      <c r="AE14" s="923"/>
      <c r="AF14" s="923"/>
      <c r="AG14" s="923"/>
      <c r="AH14" s="924"/>
      <c r="AK14" s="180"/>
      <c r="AL14" s="2"/>
      <c r="AM14" s="155"/>
      <c r="AZ14" s="175"/>
      <c r="BA14" s="176"/>
      <c r="BB14" s="17"/>
      <c r="BC14" s="17"/>
      <c r="BG14" s="435" t="s">
        <v>219</v>
      </c>
      <c r="BH14" s="435" t="s">
        <v>219</v>
      </c>
      <c r="BI14" s="17"/>
      <c r="BJ14" s="17"/>
      <c r="BK14" s="17"/>
      <c r="BL14" s="17"/>
      <c r="BM14" s="17"/>
      <c r="BN14" s="17"/>
      <c r="BO14" s="17"/>
      <c r="BP14" s="17"/>
      <c r="BQ14" s="6"/>
      <c r="BR14" s="6"/>
      <c r="BS14" s="6"/>
      <c r="CB14" s="180"/>
      <c r="CC14" s="2"/>
      <c r="CD14" s="156"/>
      <c r="CE14" s="24"/>
      <c r="CF14" s="23"/>
      <c r="CG14" s="16"/>
      <c r="CH14" s="165"/>
      <c r="CI14" s="165"/>
      <c r="CL14" s="16"/>
      <c r="CM14" s="434" t="s">
        <v>222</v>
      </c>
      <c r="CN14" s="427" t="s">
        <v>222</v>
      </c>
      <c r="CP14" s="16"/>
      <c r="CQ14" s="16"/>
      <c r="CR14" s="16"/>
      <c r="CS14" s="16"/>
      <c r="CT14" s="16"/>
      <c r="CW14" s="16"/>
      <c r="CX14" s="16"/>
      <c r="CZ14" s="16"/>
      <c r="DA14" s="19"/>
      <c r="DB14" s="19"/>
      <c r="DC14" s="181"/>
    </row>
    <row r="15" spans="1:107" s="5" customFormat="1" ht="19.5" customHeight="1" thickBot="1" x14ac:dyDescent="0.3">
      <c r="A15" s="934"/>
      <c r="B15" s="50"/>
      <c r="C15" s="50"/>
      <c r="D15" s="50"/>
      <c r="E15" s="295"/>
      <c r="F15" s="296"/>
      <c r="G15" s="296"/>
      <c r="H15" s="297"/>
      <c r="I15" s="32"/>
      <c r="J15" s="32"/>
      <c r="K15" s="32"/>
      <c r="L15" s="194">
        <v>2</v>
      </c>
      <c r="M15" s="192" t="s">
        <v>174</v>
      </c>
      <c r="N15" s="402" t="s">
        <v>122</v>
      </c>
      <c r="O15" s="155"/>
      <c r="P15" s="166"/>
      <c r="Q15" s="766"/>
      <c r="R15" s="694"/>
      <c r="S15" s="694"/>
      <c r="T15" s="694"/>
      <c r="U15" s="694"/>
      <c r="V15" s="694"/>
      <c r="W15" s="694"/>
      <c r="X15" s="767"/>
      <c r="Z15" s="922"/>
      <c r="AA15" s="923"/>
      <c r="AB15" s="923"/>
      <c r="AC15" s="923"/>
      <c r="AD15" s="923"/>
      <c r="AE15" s="923"/>
      <c r="AF15" s="923"/>
      <c r="AG15" s="923"/>
      <c r="AH15" s="924"/>
      <c r="AK15" s="180"/>
      <c r="AL15" s="2"/>
      <c r="AM15" s="155"/>
      <c r="AZ15" s="175"/>
      <c r="BA15" s="176"/>
      <c r="BB15" s="17"/>
      <c r="BC15" s="17"/>
      <c r="BF15" s="51"/>
      <c r="BG15" s="395" t="s">
        <v>219</v>
      </c>
      <c r="BH15" s="395" t="s">
        <v>219</v>
      </c>
      <c r="BJ15" s="17"/>
      <c r="BK15" s="17"/>
      <c r="BL15" s="17"/>
      <c r="BM15" s="17"/>
      <c r="BN15" s="17"/>
      <c r="BO15" s="17"/>
      <c r="BP15" s="17"/>
      <c r="BQ15" s="6"/>
      <c r="BR15" s="6"/>
      <c r="BS15" s="6"/>
      <c r="BT15" s="2"/>
      <c r="BU15" s="2"/>
      <c r="BV15" s="2"/>
      <c r="BW15" s="2"/>
      <c r="BX15" s="195"/>
      <c r="BY15" s="53"/>
      <c r="BZ15" s="195"/>
      <c r="CA15" s="53"/>
      <c r="CB15" s="180"/>
      <c r="CC15" s="2"/>
      <c r="CD15" s="156"/>
      <c r="CE15" s="427" t="s">
        <v>222</v>
      </c>
      <c r="CF15" s="23"/>
      <c r="CG15" s="9"/>
      <c r="CL15" s="16"/>
      <c r="CP15" s="16"/>
      <c r="CQ15" s="16"/>
      <c r="CR15" s="16"/>
      <c r="CS15" s="16"/>
      <c r="CT15" s="16"/>
      <c r="CU15" s="16"/>
      <c r="CV15" s="16"/>
      <c r="CW15" s="16"/>
      <c r="CX15" s="16"/>
      <c r="CZ15" s="16"/>
      <c r="DA15" s="19"/>
      <c r="DB15" s="19"/>
      <c r="DC15" s="181"/>
    </row>
    <row r="16" spans="1:107" s="5" customFormat="1" ht="19.5" customHeight="1" thickBot="1" x14ac:dyDescent="0.3">
      <c r="A16" s="54"/>
      <c r="B16" s="32"/>
      <c r="C16" s="32"/>
      <c r="D16" s="32"/>
      <c r="E16" s="55"/>
      <c r="F16" s="56"/>
      <c r="G16" s="57"/>
      <c r="H16" s="58"/>
      <c r="I16" s="16"/>
      <c r="J16" s="16"/>
      <c r="K16" s="59"/>
      <c r="L16" s="194">
        <v>3</v>
      </c>
      <c r="M16" s="192" t="s">
        <v>174</v>
      </c>
      <c r="N16" s="436" t="s">
        <v>142</v>
      </c>
      <c r="O16" s="155"/>
      <c r="P16" s="166"/>
      <c r="Q16" s="766"/>
      <c r="R16" s="694"/>
      <c r="S16" s="694"/>
      <c r="T16" s="694"/>
      <c r="U16" s="694"/>
      <c r="V16" s="694"/>
      <c r="W16" s="694"/>
      <c r="X16" s="767"/>
      <c r="Z16" s="922"/>
      <c r="AA16" s="923"/>
      <c r="AB16" s="923"/>
      <c r="AC16" s="923"/>
      <c r="AD16" s="923"/>
      <c r="AE16" s="923"/>
      <c r="AF16" s="923"/>
      <c r="AG16" s="923"/>
      <c r="AH16" s="924"/>
      <c r="AK16" s="180"/>
      <c r="AL16" s="2"/>
      <c r="AM16" s="155"/>
      <c r="AZ16" s="175"/>
      <c r="BA16" s="176"/>
      <c r="BB16" s="423" t="s">
        <v>219</v>
      </c>
      <c r="BC16" s="17"/>
      <c r="BF16" s="51"/>
      <c r="BG16" s="395" t="s">
        <v>219</v>
      </c>
      <c r="BH16" s="395" t="s">
        <v>219</v>
      </c>
      <c r="BI16" s="17"/>
      <c r="BJ16" s="17"/>
      <c r="BK16" s="17"/>
      <c r="BL16" s="17"/>
      <c r="BM16" s="59"/>
      <c r="BN16" s="248" t="s">
        <v>226</v>
      </c>
      <c r="BO16" s="298"/>
      <c r="BP16" s="298"/>
      <c r="BQ16" s="6"/>
      <c r="BR16" s="6"/>
      <c r="BS16" s="6"/>
      <c r="BT16" s="6"/>
      <c r="BU16" s="6"/>
      <c r="BV16" s="6"/>
      <c r="BW16" s="2"/>
      <c r="CB16" s="180"/>
      <c r="CC16" s="2"/>
      <c r="CD16" s="156"/>
      <c r="CE16" s="24"/>
      <c r="CF16" s="24"/>
      <c r="CG16" s="43"/>
      <c r="CH16" s="6"/>
      <c r="CI16" s="9"/>
      <c r="CJ16" s="16"/>
      <c r="CM16" s="687"/>
      <c r="CN16" s="687"/>
      <c r="CO16" s="16"/>
      <c r="CP16" s="16"/>
      <c r="CQ16" s="16"/>
      <c r="CR16" s="16"/>
      <c r="CS16" s="16"/>
      <c r="CT16" s="16"/>
      <c r="CU16" s="428" t="s">
        <v>222</v>
      </c>
      <c r="CV16" s="427" t="s">
        <v>222</v>
      </c>
      <c r="CW16" s="16"/>
      <c r="CX16" s="16"/>
      <c r="CZ16" s="16"/>
      <c r="DA16" s="19"/>
      <c r="DB16" s="16"/>
      <c r="DC16" s="181"/>
    </row>
    <row r="17" spans="1:107" s="5" customFormat="1" ht="19.5" customHeight="1" x14ac:dyDescent="0.25">
      <c r="A17" s="54"/>
      <c r="B17" s="32"/>
      <c r="E17" s="16"/>
      <c r="F17" s="61"/>
      <c r="G17" s="62"/>
      <c r="H17" s="63"/>
      <c r="I17" s="16"/>
      <c r="J17" s="16"/>
      <c r="K17" s="16"/>
      <c r="L17" s="194">
        <v>4</v>
      </c>
      <c r="M17" s="192" t="s">
        <v>174</v>
      </c>
      <c r="N17" s="196" t="s">
        <v>142</v>
      </c>
      <c r="O17" s="155"/>
      <c r="P17" s="166"/>
      <c r="Q17" s="766"/>
      <c r="R17" s="694"/>
      <c r="S17" s="694"/>
      <c r="T17" s="694"/>
      <c r="U17" s="694"/>
      <c r="V17" s="694"/>
      <c r="W17" s="694"/>
      <c r="X17" s="767"/>
      <c r="Z17" s="922"/>
      <c r="AA17" s="923"/>
      <c r="AB17" s="923"/>
      <c r="AC17" s="923"/>
      <c r="AD17" s="923"/>
      <c r="AE17" s="923"/>
      <c r="AF17" s="923"/>
      <c r="AG17" s="923"/>
      <c r="AH17" s="924"/>
      <c r="AK17" s="180"/>
      <c r="AL17" s="2"/>
      <c r="AM17" s="155"/>
      <c r="AQ17" s="64" t="s">
        <v>184</v>
      </c>
      <c r="AR17" s="65"/>
      <c r="AS17" s="65"/>
      <c r="AZ17" s="175"/>
      <c r="BA17" s="176"/>
      <c r="BB17" s="17"/>
      <c r="BC17" s="17"/>
      <c r="BD17" s="17"/>
      <c r="BF17" s="51"/>
      <c r="BG17" s="395" t="s">
        <v>219</v>
      </c>
      <c r="BH17" s="395" t="s">
        <v>219</v>
      </c>
      <c r="BI17" s="9"/>
      <c r="BJ17" s="17"/>
      <c r="BK17" s="17"/>
      <c r="BL17" s="17"/>
      <c r="BM17" s="17"/>
      <c r="BN17" s="299" t="s">
        <v>212</v>
      </c>
      <c r="BO17" s="300"/>
      <c r="BP17" s="300"/>
      <c r="BQ17" s="301"/>
      <c r="BR17" s="69"/>
      <c r="BS17" s="6"/>
      <c r="BT17" s="70"/>
      <c r="BU17" s="6"/>
      <c r="BV17" s="6"/>
      <c r="BW17" s="6"/>
      <c r="BX17" s="6"/>
      <c r="BY17" s="2"/>
      <c r="BZ17" s="2"/>
      <c r="CA17" s="2"/>
      <c r="CB17" s="180"/>
      <c r="CC17" s="2"/>
      <c r="CD17" s="156"/>
      <c r="CE17" s="427" t="s">
        <v>222</v>
      </c>
      <c r="CF17" s="71"/>
      <c r="CG17" s="43"/>
      <c r="CH17" s="434" t="s">
        <v>222</v>
      </c>
      <c r="CI17" s="434" t="s">
        <v>222</v>
      </c>
      <c r="CJ17" s="16"/>
      <c r="CM17" s="15"/>
      <c r="CN17" s="15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Z17" s="16"/>
      <c r="DA17" s="19"/>
      <c r="DB17" s="16"/>
      <c r="DC17" s="181"/>
    </row>
    <row r="18" spans="1:107" s="5" customFormat="1" ht="19.5" customHeight="1" thickBot="1" x14ac:dyDescent="0.3">
      <c r="A18" s="54"/>
      <c r="B18" s="32"/>
      <c r="G18" s="62"/>
      <c r="H18" s="63"/>
      <c r="I18" s="16"/>
      <c r="J18" s="16"/>
      <c r="K18" s="17"/>
      <c r="N18" s="437" t="s">
        <v>227</v>
      </c>
      <c r="O18" s="155"/>
      <c r="P18" s="166"/>
      <c r="Q18" s="768"/>
      <c r="R18" s="769"/>
      <c r="S18" s="769"/>
      <c r="T18" s="769"/>
      <c r="U18" s="769"/>
      <c r="V18" s="769"/>
      <c r="W18" s="769"/>
      <c r="X18" s="770"/>
      <c r="Z18" s="925"/>
      <c r="AA18" s="926"/>
      <c r="AB18" s="926"/>
      <c r="AC18" s="926"/>
      <c r="AD18" s="926"/>
      <c r="AE18" s="926"/>
      <c r="AF18" s="926"/>
      <c r="AG18" s="926"/>
      <c r="AH18" s="927"/>
      <c r="AK18" s="180"/>
      <c r="AL18" s="2"/>
      <c r="AM18" s="155"/>
      <c r="AZ18" s="175"/>
      <c r="BA18" s="176"/>
      <c r="BB18" s="423" t="s">
        <v>219</v>
      </c>
      <c r="BC18" s="17" t="s">
        <v>228</v>
      </c>
      <c r="BD18" s="17"/>
      <c r="BG18" s="17"/>
      <c r="BH18" s="17"/>
      <c r="BI18" s="17"/>
      <c r="BM18" s="292">
        <v>1</v>
      </c>
      <c r="BN18" s="302" t="s">
        <v>229</v>
      </c>
      <c r="BO18" s="288" t="s">
        <v>220</v>
      </c>
      <c r="BP18" s="288" t="s">
        <v>220</v>
      </c>
      <c r="BQ18" s="302" t="s">
        <v>229</v>
      </c>
      <c r="BR18" s="293">
        <v>8</v>
      </c>
      <c r="BT18" s="70"/>
      <c r="BU18" s="6"/>
      <c r="BV18" s="6"/>
      <c r="BW18" s="6"/>
      <c r="BX18" s="6"/>
      <c r="BY18" s="70"/>
      <c r="BZ18" s="73"/>
      <c r="CA18" s="6"/>
      <c r="CB18" s="180"/>
      <c r="CC18" s="2"/>
      <c r="CD18" s="156"/>
      <c r="CE18" s="23"/>
      <c r="CF18" s="71"/>
      <c r="CG18" s="43"/>
      <c r="CH18" s="434" t="s">
        <v>222</v>
      </c>
      <c r="CI18" s="434" t="s">
        <v>222</v>
      </c>
      <c r="CJ18" s="16"/>
      <c r="CK18" s="188"/>
      <c r="CL18" s="197"/>
      <c r="CM18" s="438"/>
      <c r="CN18" s="439"/>
      <c r="CO18" s="197"/>
      <c r="CP18" s="189"/>
      <c r="CQ18" s="9"/>
      <c r="CR18" s="16"/>
      <c r="CS18" s="16"/>
      <c r="CT18" s="16"/>
      <c r="CU18" s="16"/>
      <c r="CV18" s="16"/>
      <c r="CW18" s="16"/>
      <c r="CX18" s="16"/>
      <c r="CZ18" s="16"/>
      <c r="DA18" s="16"/>
      <c r="DC18" s="181"/>
    </row>
    <row r="19" spans="1:107" s="5" customFormat="1" ht="19.5" customHeight="1" thickBot="1" x14ac:dyDescent="0.3">
      <c r="A19" s="54"/>
      <c r="B19" s="32"/>
      <c r="C19" s="755" t="s">
        <v>185</v>
      </c>
      <c r="D19" s="755"/>
      <c r="G19" s="74"/>
      <c r="H19" s="63"/>
      <c r="I19" s="16"/>
      <c r="J19" s="16"/>
      <c r="K19" s="16"/>
      <c r="N19" s="437" t="s">
        <v>227</v>
      </c>
      <c r="O19" s="155"/>
      <c r="P19" s="166"/>
      <c r="S19" s="166"/>
      <c r="T19" s="166"/>
      <c r="U19" s="166"/>
      <c r="V19" s="166"/>
      <c r="W19" s="166"/>
      <c r="X19" s="166"/>
      <c r="AA19" s="425" t="s">
        <v>221</v>
      </c>
      <c r="AB19" s="425" t="s">
        <v>221</v>
      </c>
      <c r="AD19" s="16"/>
      <c r="AE19" s="16"/>
      <c r="AF19" s="16"/>
      <c r="AG19" s="16"/>
      <c r="AH19" s="16"/>
      <c r="AK19" s="180"/>
      <c r="AL19" s="2"/>
      <c r="AM19" s="155"/>
      <c r="AZ19" s="198"/>
      <c r="BA19" s="199"/>
      <c r="BB19" s="17" t="s">
        <v>186</v>
      </c>
      <c r="BC19" s="17"/>
      <c r="BD19" s="17"/>
      <c r="BG19" s="17"/>
      <c r="BH19" s="17"/>
      <c r="BI19" s="17"/>
      <c r="BJ19" s="17"/>
      <c r="BM19" s="292">
        <v>2</v>
      </c>
      <c r="BN19" s="302" t="s">
        <v>229</v>
      </c>
      <c r="BO19" s="288" t="s">
        <v>220</v>
      </c>
      <c r="BP19" s="288" t="s">
        <v>220</v>
      </c>
      <c r="BQ19" s="302" t="s">
        <v>229</v>
      </c>
      <c r="BR19" s="293">
        <v>7</v>
      </c>
      <c r="BS19" s="43"/>
      <c r="BT19" s="70"/>
      <c r="BU19" s="6"/>
      <c r="BV19" s="870" t="s">
        <v>230</v>
      </c>
      <c r="BW19" s="870"/>
      <c r="BX19" s="2"/>
      <c r="BY19" s="10"/>
      <c r="BZ19" s="19"/>
      <c r="CA19" s="6"/>
      <c r="CB19" s="180"/>
      <c r="CC19" s="2"/>
      <c r="CD19" s="156"/>
      <c r="CE19" s="433" t="s">
        <v>225</v>
      </c>
      <c r="CF19" s="71"/>
      <c r="CG19" s="43"/>
      <c r="CH19" s="440" t="s">
        <v>231</v>
      </c>
      <c r="CI19" s="440" t="s">
        <v>231</v>
      </c>
      <c r="CJ19" s="16"/>
      <c r="CK19" s="188"/>
      <c r="CL19" s="197"/>
      <c r="CM19" s="438"/>
      <c r="CN19" s="439"/>
      <c r="CO19" s="197"/>
      <c r="CP19" s="189"/>
      <c r="CQ19" s="9"/>
      <c r="CR19" s="16"/>
      <c r="CS19" s="16"/>
      <c r="CT19" s="16"/>
      <c r="CU19" s="16"/>
      <c r="CV19" s="16"/>
      <c r="CW19" s="16"/>
      <c r="CX19" s="16"/>
      <c r="CZ19" s="16"/>
      <c r="DA19" s="16"/>
      <c r="DC19" s="181"/>
    </row>
    <row r="20" spans="1:107" s="5" customFormat="1" ht="19.5" customHeight="1" thickBot="1" x14ac:dyDescent="0.3">
      <c r="A20" s="54"/>
      <c r="B20" s="32"/>
      <c r="C20" s="32"/>
      <c r="D20" s="75"/>
      <c r="G20" s="76"/>
      <c r="H20" s="63"/>
      <c r="I20" s="16"/>
      <c r="K20" s="9"/>
      <c r="O20" s="155"/>
      <c r="P20" s="166"/>
      <c r="T20" s="173"/>
      <c r="U20" s="173"/>
      <c r="V20" s="173"/>
      <c r="W20" s="200"/>
      <c r="X20" s="182"/>
      <c r="AA20" s="425" t="s">
        <v>221</v>
      </c>
      <c r="AB20" s="425" t="s">
        <v>221</v>
      </c>
      <c r="AE20" s="425" t="s">
        <v>221</v>
      </c>
      <c r="AF20" s="425" t="s">
        <v>221</v>
      </c>
      <c r="AH20" s="16"/>
      <c r="AK20" s="180"/>
      <c r="AL20" s="2"/>
      <c r="AM20" s="155"/>
      <c r="AZ20" s="17"/>
      <c r="BA20" s="17"/>
      <c r="BB20" s="17"/>
      <c r="BC20" s="17"/>
      <c r="BD20" s="17"/>
      <c r="BG20" s="17"/>
      <c r="BH20" s="17"/>
      <c r="BI20" s="17"/>
      <c r="BJ20" s="17"/>
      <c r="BK20" s="9"/>
      <c r="BM20" s="292">
        <v>3</v>
      </c>
      <c r="BN20" s="302" t="s">
        <v>229</v>
      </c>
      <c r="BO20" s="288" t="s">
        <v>220</v>
      </c>
      <c r="BP20" s="288" t="s">
        <v>220</v>
      </c>
      <c r="BQ20" s="302" t="s">
        <v>229</v>
      </c>
      <c r="BR20" s="293">
        <v>6</v>
      </c>
      <c r="BS20" s="43"/>
      <c r="BU20" s="6"/>
      <c r="BV20" s="441" t="s">
        <v>232</v>
      </c>
      <c r="BW20" s="441" t="s">
        <v>232</v>
      </c>
      <c r="BX20" s="2"/>
      <c r="BY20" s="10"/>
      <c r="BZ20" s="19"/>
      <c r="CA20" s="6"/>
      <c r="CB20" s="180"/>
      <c r="CC20" s="2"/>
      <c r="CD20" s="156"/>
      <c r="CE20" s="433" t="s">
        <v>225</v>
      </c>
      <c r="CF20" s="71"/>
      <c r="CG20" s="43"/>
      <c r="CH20" s="440" t="s">
        <v>231</v>
      </c>
      <c r="CI20" s="440" t="s">
        <v>231</v>
      </c>
      <c r="CJ20" s="16"/>
      <c r="CM20" s="15"/>
      <c r="CN20" s="15"/>
      <c r="CQ20" s="8"/>
      <c r="CR20" s="16"/>
      <c r="CS20" s="16"/>
      <c r="CT20" s="16"/>
      <c r="CU20" s="16"/>
      <c r="CV20" s="16"/>
      <c r="CW20" s="16"/>
      <c r="CX20" s="16"/>
      <c r="CZ20" s="16"/>
      <c r="DA20" s="16"/>
      <c r="DC20" s="181"/>
    </row>
    <row r="21" spans="1:107" s="5" customFormat="1" ht="19.5" customHeight="1" x14ac:dyDescent="0.25">
      <c r="A21" s="54"/>
      <c r="B21" s="32"/>
      <c r="C21" s="32"/>
      <c r="D21" s="77"/>
      <c r="G21" s="78"/>
      <c r="H21" s="79"/>
      <c r="I21" s="16"/>
      <c r="J21" s="71"/>
      <c r="K21" s="9"/>
      <c r="N21" s="757" t="s">
        <v>187</v>
      </c>
      <c r="O21" s="758"/>
      <c r="P21" s="166"/>
      <c r="T21" s="200"/>
      <c r="U21" s="200"/>
      <c r="V21" s="200"/>
      <c r="W21" s="200"/>
      <c r="X21" s="200"/>
      <c r="AA21" s="425" t="s">
        <v>221</v>
      </c>
      <c r="AB21" s="425" t="s">
        <v>221</v>
      </c>
      <c r="AE21" s="425" t="s">
        <v>221</v>
      </c>
      <c r="AF21" s="425" t="s">
        <v>221</v>
      </c>
      <c r="AH21" s="16"/>
      <c r="AK21" s="180"/>
      <c r="AL21" s="2"/>
      <c r="AM21" s="155"/>
      <c r="AZ21" s="17"/>
      <c r="BA21" s="17"/>
      <c r="BB21" s="17"/>
      <c r="BC21" s="17"/>
      <c r="BD21" s="17"/>
      <c r="BE21" s="690" t="s">
        <v>188</v>
      </c>
      <c r="BF21" s="691"/>
      <c r="BG21" s="691"/>
      <c r="BH21" s="691"/>
      <c r="BI21" s="692"/>
      <c r="BM21" s="292">
        <v>4</v>
      </c>
      <c r="BN21" s="302" t="s">
        <v>229</v>
      </c>
      <c r="BO21" s="288" t="s">
        <v>220</v>
      </c>
      <c r="BP21" s="288" t="s">
        <v>220</v>
      </c>
      <c r="BQ21" s="302" t="s">
        <v>229</v>
      </c>
      <c r="BR21" s="293">
        <v>5</v>
      </c>
      <c r="BV21" s="442" t="s">
        <v>232</v>
      </c>
      <c r="BW21" s="442" t="s">
        <v>232</v>
      </c>
      <c r="BX21" s="2"/>
      <c r="BY21" s="2"/>
      <c r="BZ21" s="2"/>
      <c r="CA21" s="2"/>
      <c r="CB21" s="180"/>
      <c r="CC21" s="2"/>
      <c r="CD21" s="156"/>
      <c r="CE21" s="23"/>
      <c r="CF21" s="71"/>
      <c r="CG21" s="43"/>
      <c r="CH21" s="443" t="s">
        <v>231</v>
      </c>
      <c r="CI21" s="443" t="s">
        <v>231</v>
      </c>
      <c r="CJ21" s="16"/>
      <c r="CR21" s="16"/>
      <c r="CS21" s="16"/>
      <c r="CT21" s="16"/>
      <c r="CU21" s="16"/>
      <c r="CV21" s="16"/>
      <c r="CW21" s="16"/>
      <c r="CX21" s="16"/>
      <c r="CZ21" s="16"/>
      <c r="DA21" s="16"/>
      <c r="DC21" s="181"/>
    </row>
    <row r="22" spans="1:107" s="5" customFormat="1" ht="19.5" customHeight="1" thickBot="1" x14ac:dyDescent="0.3">
      <c r="A22" s="204"/>
      <c r="B22" s="155"/>
      <c r="C22" s="32"/>
      <c r="D22" s="32"/>
      <c r="E22" s="16"/>
      <c r="F22" s="61"/>
      <c r="G22" s="62"/>
      <c r="H22" s="63"/>
      <c r="I22" s="16"/>
      <c r="J22" s="71"/>
      <c r="K22" s="9"/>
      <c r="N22" s="759"/>
      <c r="O22" s="760"/>
      <c r="P22" s="166"/>
      <c r="T22" s="200"/>
      <c r="U22" s="200"/>
      <c r="V22" s="80"/>
      <c r="W22" s="80"/>
      <c r="X22" s="80"/>
      <c r="Z22" s="16"/>
      <c r="AA22" s="425" t="s">
        <v>221</v>
      </c>
      <c r="AB22" s="425" t="s">
        <v>221</v>
      </c>
      <c r="AC22" s="16"/>
      <c r="AE22" s="425" t="s">
        <v>221</v>
      </c>
      <c r="AF22" s="425" t="s">
        <v>221</v>
      </c>
      <c r="AK22" s="180"/>
      <c r="AL22" s="2"/>
      <c r="AM22" s="155"/>
      <c r="AZ22" s="80"/>
      <c r="BA22" s="17"/>
      <c r="BB22" s="17"/>
      <c r="BC22" s="17"/>
      <c r="BD22" s="17"/>
      <c r="BE22" s="693"/>
      <c r="BF22" s="694"/>
      <c r="BG22" s="694"/>
      <c r="BH22" s="694"/>
      <c r="BI22" s="695"/>
      <c r="BN22" s="298"/>
      <c r="BO22" s="300"/>
      <c r="BP22" s="300"/>
      <c r="BQ22" s="298"/>
      <c r="BV22" s="442" t="s">
        <v>232</v>
      </c>
      <c r="BW22" s="442" t="s">
        <v>232</v>
      </c>
      <c r="BY22" s="2"/>
      <c r="BZ22" s="2"/>
      <c r="CA22" s="2"/>
      <c r="CB22" s="180"/>
      <c r="CC22" s="2"/>
      <c r="CD22" s="156"/>
      <c r="CE22" s="23"/>
      <c r="CF22" s="23"/>
      <c r="CG22" s="43"/>
      <c r="CH22" s="6"/>
      <c r="CI22" s="6"/>
      <c r="CJ22" s="16"/>
      <c r="CL22" s="16"/>
      <c r="CM22" s="16"/>
      <c r="CN22" s="16"/>
      <c r="CO22" s="16"/>
      <c r="CP22" s="16"/>
      <c r="CR22" s="16"/>
      <c r="CS22" s="16"/>
      <c r="CT22" s="16"/>
      <c r="CU22" s="444" t="s">
        <v>233</v>
      </c>
      <c r="CV22" s="444" t="s">
        <v>233</v>
      </c>
      <c r="CW22" s="16"/>
      <c r="CX22" s="16"/>
      <c r="CZ22" s="16"/>
      <c r="DA22" s="16"/>
      <c r="DC22" s="181"/>
    </row>
    <row r="23" spans="1:107" s="5" customFormat="1" ht="19.5" customHeight="1" thickBot="1" x14ac:dyDescent="0.3">
      <c r="A23" s="204"/>
      <c r="B23" s="155"/>
      <c r="C23" s="16"/>
      <c r="E23" s="16"/>
      <c r="F23" s="61"/>
      <c r="G23" s="62"/>
      <c r="H23" s="63"/>
      <c r="I23" s="16"/>
      <c r="J23" s="81"/>
      <c r="K23" s="16"/>
      <c r="N23" s="759"/>
      <c r="O23" s="760"/>
      <c r="P23" s="166"/>
      <c r="V23" s="173"/>
      <c r="W23" s="173"/>
      <c r="X23" s="173"/>
      <c r="Z23" s="16"/>
      <c r="AA23" s="425" t="s">
        <v>221</v>
      </c>
      <c r="AB23" s="425" t="s">
        <v>221</v>
      </c>
      <c r="AK23" s="180"/>
      <c r="AL23" s="2"/>
      <c r="AM23" s="155"/>
      <c r="AZ23" s="17"/>
      <c r="BA23" s="17"/>
      <c r="BB23" s="17"/>
      <c r="BC23" s="17"/>
      <c r="BD23" s="17"/>
      <c r="BE23" s="693"/>
      <c r="BF23" s="694"/>
      <c r="BG23" s="694"/>
      <c r="BH23" s="694"/>
      <c r="BI23" s="695"/>
      <c r="BO23" s="298"/>
      <c r="BP23" s="298"/>
      <c r="BV23" s="442" t="s">
        <v>232</v>
      </c>
      <c r="BW23" s="442" t="s">
        <v>232</v>
      </c>
      <c r="BY23" s="2"/>
      <c r="BZ23" s="2"/>
      <c r="CA23" s="2"/>
      <c r="CB23" s="180"/>
      <c r="CC23" s="2"/>
      <c r="CD23" s="159"/>
      <c r="CE23" s="763" t="s">
        <v>180</v>
      </c>
      <c r="CF23" s="764"/>
      <c r="CG23" s="764"/>
      <c r="CH23" s="764"/>
      <c r="CI23" s="765"/>
      <c r="CJ23" s="427" t="s">
        <v>222</v>
      </c>
      <c r="CM23" s="394" t="s">
        <v>221</v>
      </c>
      <c r="CN23" s="394" t="s">
        <v>221</v>
      </c>
      <c r="CP23" s="16"/>
      <c r="CR23" s="16"/>
      <c r="CS23" s="16"/>
      <c r="CT23" s="16"/>
      <c r="CU23" s="444" t="s">
        <v>233</v>
      </c>
      <c r="CV23" s="444" t="s">
        <v>233</v>
      </c>
      <c r="CW23" s="16"/>
      <c r="CX23" s="16"/>
      <c r="CZ23" s="16"/>
      <c r="DA23" s="16"/>
      <c r="DB23" s="393" t="s">
        <v>234</v>
      </c>
      <c r="DC23" s="181"/>
    </row>
    <row r="24" spans="1:107" s="5" customFormat="1" ht="19.5" customHeight="1" thickBot="1" x14ac:dyDescent="0.3">
      <c r="A24" s="204"/>
      <c r="B24" s="155"/>
      <c r="C24" s="55"/>
      <c r="D24" s="55"/>
      <c r="E24" s="55"/>
      <c r="F24" s="55"/>
      <c r="G24" s="685" t="s">
        <v>176</v>
      </c>
      <c r="H24" s="685"/>
      <c r="I24" s="86"/>
      <c r="J24" s="16"/>
      <c r="K24" s="16"/>
      <c r="N24" s="761"/>
      <c r="O24" s="762"/>
      <c r="P24" s="166"/>
      <c r="R24" s="166"/>
      <c r="S24" s="208"/>
      <c r="U24" s="173"/>
      <c r="V24" s="173"/>
      <c r="W24" s="173"/>
      <c r="X24" s="173"/>
      <c r="Z24" s="16"/>
      <c r="AA24" s="16"/>
      <c r="AB24" s="87" t="s">
        <v>235</v>
      </c>
      <c r="AE24" s="392" t="s">
        <v>222</v>
      </c>
      <c r="AF24" s="392" t="s">
        <v>222</v>
      </c>
      <c r="AK24" s="180"/>
      <c r="AL24" s="2"/>
      <c r="AM24" s="155"/>
      <c r="AZ24" s="17"/>
      <c r="BA24" s="17"/>
      <c r="BB24" s="17"/>
      <c r="BC24" s="17"/>
      <c r="BD24" s="17"/>
      <c r="BE24" s="693"/>
      <c r="BF24" s="694"/>
      <c r="BG24" s="694"/>
      <c r="BH24" s="694"/>
      <c r="BI24" s="695"/>
      <c r="BO24" s="688" t="s">
        <v>236</v>
      </c>
      <c r="BP24" s="688"/>
      <c r="BT24" s="2"/>
      <c r="BX24" s="2"/>
      <c r="BY24" s="2"/>
      <c r="BZ24" s="2"/>
      <c r="CA24" s="2"/>
      <c r="CB24" s="180"/>
      <c r="CC24" s="2"/>
      <c r="CD24" s="159"/>
      <c r="CE24" s="766"/>
      <c r="CF24" s="694"/>
      <c r="CG24" s="694"/>
      <c r="CH24" s="694"/>
      <c r="CI24" s="767"/>
      <c r="CJ24" s="427" t="s">
        <v>222</v>
      </c>
      <c r="CL24" s="16"/>
      <c r="CM24" s="394" t="s">
        <v>221</v>
      </c>
      <c r="CN24" s="394" t="s">
        <v>221</v>
      </c>
      <c r="CO24" s="16"/>
      <c r="CP24" s="16"/>
      <c r="CQ24" s="8"/>
      <c r="CR24" s="16"/>
      <c r="CS24" s="16"/>
      <c r="CT24" s="16"/>
      <c r="CU24" s="444" t="s">
        <v>233</v>
      </c>
      <c r="CV24" s="444" t="s">
        <v>233</v>
      </c>
      <c r="CW24" s="16"/>
      <c r="CX24" s="16"/>
      <c r="CZ24" s="16"/>
      <c r="DA24" s="16"/>
      <c r="DB24" s="393" t="s">
        <v>234</v>
      </c>
      <c r="DC24" s="181"/>
    </row>
    <row r="25" spans="1:107" s="5" customFormat="1" ht="19.5" customHeight="1" thickBot="1" x14ac:dyDescent="0.3">
      <c r="A25" s="155"/>
      <c r="E25" s="16"/>
      <c r="F25" s="22" t="s">
        <v>189</v>
      </c>
      <c r="G25" s="209"/>
      <c r="H25" s="209"/>
      <c r="I25" s="210" t="s">
        <v>190</v>
      </c>
      <c r="J25" s="16"/>
      <c r="K25" s="16"/>
      <c r="N25" s="155"/>
      <c r="O25" s="155"/>
      <c r="P25" s="166"/>
      <c r="R25" s="166"/>
      <c r="S25" s="173"/>
      <c r="T25" s="173"/>
      <c r="U25" s="173"/>
      <c r="V25" s="173"/>
      <c r="W25" s="173"/>
      <c r="X25" s="173"/>
      <c r="Z25" s="16"/>
      <c r="AA25" s="445" t="s">
        <v>231</v>
      </c>
      <c r="AB25" s="446" t="s">
        <v>237</v>
      </c>
      <c r="AE25" s="392" t="s">
        <v>222</v>
      </c>
      <c r="AF25" s="392" t="s">
        <v>222</v>
      </c>
      <c r="AK25" s="180"/>
      <c r="AL25" s="2"/>
      <c r="AM25" s="155"/>
      <c r="AZ25" s="91"/>
      <c r="BA25" s="17"/>
      <c r="BB25" s="17"/>
      <c r="BC25" s="17"/>
      <c r="BD25" s="17"/>
      <c r="BE25" s="696"/>
      <c r="BF25" s="697"/>
      <c r="BG25" s="697"/>
      <c r="BH25" s="697"/>
      <c r="BI25" s="698"/>
      <c r="BT25" s="19"/>
      <c r="BU25" s="18"/>
      <c r="BV25" s="444" t="s">
        <v>233</v>
      </c>
      <c r="BW25" s="444" t="s">
        <v>233</v>
      </c>
      <c r="BX25" s="2"/>
      <c r="BY25" s="2"/>
      <c r="BZ25" s="2"/>
      <c r="CA25" s="392" t="s">
        <v>222</v>
      </c>
      <c r="CB25" s="180"/>
      <c r="CC25" s="2"/>
      <c r="CD25" s="159"/>
      <c r="CE25" s="766"/>
      <c r="CF25" s="694"/>
      <c r="CG25" s="694"/>
      <c r="CH25" s="694"/>
      <c r="CI25" s="767"/>
      <c r="CJ25" s="427" t="s">
        <v>222</v>
      </c>
      <c r="CL25" s="16"/>
      <c r="CM25" s="303" t="s">
        <v>221</v>
      </c>
      <c r="CN25" s="303" t="s">
        <v>221</v>
      </c>
      <c r="CP25" s="16"/>
      <c r="CQ25" s="8"/>
      <c r="CR25" s="16"/>
      <c r="CS25" s="16"/>
      <c r="CT25" s="16"/>
      <c r="CU25" s="447" t="s">
        <v>233</v>
      </c>
      <c r="CV25" s="447" t="s">
        <v>233</v>
      </c>
      <c r="CW25" s="16"/>
      <c r="CX25" s="16"/>
      <c r="CZ25" s="16"/>
      <c r="DA25" s="16"/>
      <c r="DB25" s="448" t="s">
        <v>234</v>
      </c>
      <c r="DC25" s="181"/>
    </row>
    <row r="26" spans="1:107" s="5" customFormat="1" ht="19.5" customHeight="1" thickBot="1" x14ac:dyDescent="0.3">
      <c r="A26" s="155"/>
      <c r="B26" s="685" t="s">
        <v>176</v>
      </c>
      <c r="C26" s="685"/>
      <c r="E26" s="214">
        <v>1</v>
      </c>
      <c r="F26" s="171" t="s">
        <v>171</v>
      </c>
      <c r="G26" s="449" t="s">
        <v>55</v>
      </c>
      <c r="H26" s="450" t="s">
        <v>51</v>
      </c>
      <c r="I26" s="171" t="s">
        <v>171</v>
      </c>
      <c r="J26" s="215">
        <v>6</v>
      </c>
      <c r="K26" s="16"/>
      <c r="N26" s="16"/>
      <c r="O26" s="155"/>
      <c r="P26" s="166"/>
      <c r="R26" s="173"/>
      <c r="S26" s="173"/>
      <c r="T26" s="173"/>
      <c r="U26" s="173"/>
      <c r="V26" s="173"/>
      <c r="W26" s="173"/>
      <c r="X26" s="173"/>
      <c r="Z26" s="16"/>
      <c r="AA26" s="451" t="s">
        <v>231</v>
      </c>
      <c r="AB26" s="446" t="s">
        <v>237</v>
      </c>
      <c r="AE26" s="425" t="s">
        <v>221</v>
      </c>
      <c r="AF26" s="425" t="s">
        <v>221</v>
      </c>
      <c r="AG26" s="16"/>
      <c r="AH26" s="16"/>
      <c r="AK26" s="180"/>
      <c r="AL26" s="2"/>
      <c r="AM26" s="155"/>
      <c r="AZ26" s="93"/>
      <c r="BA26" s="17"/>
      <c r="BB26" s="17"/>
      <c r="BC26" s="17"/>
      <c r="BD26" s="17"/>
      <c r="BE26" s="2"/>
      <c r="BF26" s="2"/>
      <c r="BG26" s="2"/>
      <c r="BH26" s="2"/>
      <c r="BL26" s="9"/>
      <c r="BO26" s="452" t="s">
        <v>225</v>
      </c>
      <c r="BP26" s="452" t="s">
        <v>225</v>
      </c>
      <c r="BQ26" s="16"/>
      <c r="BT26" s="2"/>
      <c r="BU26" s="19"/>
      <c r="BV26" s="447" t="s">
        <v>233</v>
      </c>
      <c r="BW26" s="447" t="s">
        <v>233</v>
      </c>
      <c r="BX26" s="2"/>
      <c r="BY26" s="2"/>
      <c r="BZ26" s="2"/>
      <c r="CA26" s="453" t="s">
        <v>222</v>
      </c>
      <c r="CB26" s="180"/>
      <c r="CC26" s="2"/>
      <c r="CD26" s="159"/>
      <c r="CE26" s="766"/>
      <c r="CF26" s="694"/>
      <c r="CG26" s="694"/>
      <c r="CH26" s="694"/>
      <c r="CI26" s="767"/>
      <c r="CJ26" s="427" t="s">
        <v>222</v>
      </c>
      <c r="CM26" s="782" t="s">
        <v>191</v>
      </c>
      <c r="CN26" s="782"/>
      <c r="CR26" s="16"/>
      <c r="CS26" s="16"/>
      <c r="CX26" s="16"/>
      <c r="CZ26" s="16"/>
      <c r="DA26" s="16"/>
      <c r="DB26" s="393" t="s">
        <v>234</v>
      </c>
      <c r="DC26" s="181"/>
    </row>
    <row r="27" spans="1:107" s="5" customFormat="1" ht="19.5" customHeight="1" x14ac:dyDescent="0.25">
      <c r="A27" s="155"/>
      <c r="B27" s="454" t="s">
        <v>55</v>
      </c>
      <c r="C27" s="171" t="s">
        <v>171</v>
      </c>
      <c r="D27" s="215">
        <v>1</v>
      </c>
      <c r="E27" s="216"/>
      <c r="F27" s="216"/>
      <c r="G27" s="209"/>
      <c r="H27" s="209"/>
      <c r="I27" s="216"/>
      <c r="J27" s="216"/>
      <c r="K27" s="16"/>
      <c r="N27" s="16"/>
      <c r="O27" s="155"/>
      <c r="P27" s="166"/>
      <c r="Q27" s="166"/>
      <c r="R27" s="173"/>
      <c r="S27" s="173"/>
      <c r="T27" s="173"/>
      <c r="U27" s="173"/>
      <c r="V27" s="173"/>
      <c r="W27" s="173"/>
      <c r="X27" s="173"/>
      <c r="Z27" s="16"/>
      <c r="AA27" s="445" t="s">
        <v>231</v>
      </c>
      <c r="AB27" s="446" t="s">
        <v>237</v>
      </c>
      <c r="AE27" s="392" t="s">
        <v>222</v>
      </c>
      <c r="AF27" s="392" t="s">
        <v>222</v>
      </c>
      <c r="AK27" s="180"/>
      <c r="AL27" s="2"/>
      <c r="AM27" s="155"/>
      <c r="AZ27" s="217"/>
      <c r="BA27" s="169"/>
      <c r="BB27" s="17"/>
      <c r="BC27" s="17"/>
      <c r="BD27" s="17"/>
      <c r="BE27" s="2"/>
      <c r="BF27" s="2"/>
      <c r="BG27" s="2"/>
      <c r="BH27" s="2"/>
      <c r="BI27" s="2"/>
      <c r="BJ27" s="2"/>
      <c r="BL27" s="2"/>
      <c r="BM27" s="96"/>
      <c r="BO27" s="452" t="s">
        <v>225</v>
      </c>
      <c r="BP27" s="452" t="s">
        <v>225</v>
      </c>
      <c r="BQ27" s="16"/>
      <c r="BT27" s="2"/>
      <c r="BU27" s="9"/>
      <c r="BV27" s="451" t="s">
        <v>231</v>
      </c>
      <c r="BW27" s="451" t="s">
        <v>231</v>
      </c>
      <c r="BX27" s="2"/>
      <c r="BY27" s="2"/>
      <c r="BZ27" s="2"/>
      <c r="CA27" s="453" t="s">
        <v>222</v>
      </c>
      <c r="CB27" s="180"/>
      <c r="CC27" s="2"/>
      <c r="CD27" s="159"/>
      <c r="CE27" s="766"/>
      <c r="CF27" s="694"/>
      <c r="CG27" s="694"/>
      <c r="CH27" s="694"/>
      <c r="CI27" s="767"/>
      <c r="CJ27" s="427" t="s">
        <v>222</v>
      </c>
      <c r="CL27" s="22" t="s">
        <v>192</v>
      </c>
      <c r="CM27" s="218"/>
      <c r="CN27" s="218"/>
      <c r="CO27" s="207" t="s">
        <v>190</v>
      </c>
      <c r="CR27" s="16"/>
      <c r="CS27" s="16"/>
      <c r="CX27" s="16"/>
      <c r="CZ27" s="16"/>
      <c r="DA27" s="16"/>
      <c r="DB27" s="16"/>
      <c r="DC27" s="181"/>
    </row>
    <row r="28" spans="1:107" s="5" customFormat="1" ht="19.5" customHeight="1" thickBot="1" x14ac:dyDescent="0.3">
      <c r="A28" s="155"/>
      <c r="B28" s="305" t="s">
        <v>219</v>
      </c>
      <c r="C28" s="22" t="s">
        <v>193</v>
      </c>
      <c r="E28" s="214">
        <v>2</v>
      </c>
      <c r="F28" s="171" t="s">
        <v>171</v>
      </c>
      <c r="G28" s="450" t="s">
        <v>51</v>
      </c>
      <c r="H28" s="450" t="s">
        <v>51</v>
      </c>
      <c r="I28" s="171" t="s">
        <v>171</v>
      </c>
      <c r="J28" s="215">
        <v>5</v>
      </c>
      <c r="K28" s="16"/>
      <c r="N28" s="16"/>
      <c r="O28" s="155"/>
      <c r="P28" s="166"/>
      <c r="Q28" s="166"/>
      <c r="R28" s="166"/>
      <c r="S28" s="173"/>
      <c r="T28" s="173"/>
      <c r="U28" s="173"/>
      <c r="V28" s="173"/>
      <c r="W28" s="173"/>
      <c r="X28" s="9"/>
      <c r="Z28" s="16"/>
      <c r="AA28" s="451" t="s">
        <v>231</v>
      </c>
      <c r="AB28" s="446" t="s">
        <v>237</v>
      </c>
      <c r="AE28" s="453" t="s">
        <v>222</v>
      </c>
      <c r="AF28" s="453" t="s">
        <v>222</v>
      </c>
      <c r="AH28" s="16"/>
      <c r="AK28" s="180"/>
      <c r="AL28" s="2"/>
      <c r="AM28" s="155"/>
      <c r="AZ28" s="175"/>
      <c r="BA28" s="176"/>
      <c r="BB28" s="17"/>
      <c r="BC28" s="17"/>
      <c r="BD28" s="17"/>
      <c r="BE28" s="2"/>
      <c r="BF28" s="2"/>
      <c r="BG28" s="2"/>
      <c r="BH28" s="2"/>
      <c r="BI28" s="2"/>
      <c r="BJ28" s="2"/>
      <c r="BM28" s="96"/>
      <c r="BQ28" s="16"/>
      <c r="BV28" s="451" t="s">
        <v>231</v>
      </c>
      <c r="BW28" s="451" t="s">
        <v>231</v>
      </c>
      <c r="BX28" s="2"/>
      <c r="BY28" s="2"/>
      <c r="BZ28" s="2"/>
      <c r="CA28" s="2"/>
      <c r="CB28" s="180"/>
      <c r="CC28" s="2"/>
      <c r="CD28" s="159"/>
      <c r="CE28" s="768"/>
      <c r="CF28" s="769"/>
      <c r="CG28" s="769"/>
      <c r="CH28" s="769"/>
      <c r="CI28" s="770"/>
      <c r="CJ28" s="427" t="s">
        <v>222</v>
      </c>
      <c r="CK28" s="219">
        <v>1</v>
      </c>
      <c r="CL28" s="220" t="s">
        <v>194</v>
      </c>
      <c r="CM28" s="450" t="s">
        <v>51</v>
      </c>
      <c r="CN28" s="450" t="s">
        <v>51</v>
      </c>
      <c r="CO28" s="220" t="s">
        <v>194</v>
      </c>
      <c r="CP28" s="187">
        <v>8</v>
      </c>
      <c r="CQ28" s="16"/>
      <c r="CR28" s="16"/>
      <c r="CS28" s="16"/>
      <c r="CX28" s="16"/>
      <c r="CZ28" s="16"/>
      <c r="DA28" s="16"/>
      <c r="DB28" s="455" t="s">
        <v>238</v>
      </c>
      <c r="DC28" s="181"/>
    </row>
    <row r="29" spans="1:107" s="5" customFormat="1" ht="19.5" customHeight="1" thickBot="1" x14ac:dyDescent="0.3">
      <c r="A29" s="155"/>
      <c r="B29" s="305" t="s">
        <v>219</v>
      </c>
      <c r="E29" s="216"/>
      <c r="F29" s="216"/>
      <c r="G29" s="209"/>
      <c r="H29" s="209"/>
      <c r="I29" s="216"/>
      <c r="J29" s="216"/>
      <c r="K29" s="98"/>
      <c r="N29" s="435" t="s">
        <v>219</v>
      </c>
      <c r="O29" s="155"/>
      <c r="P29" s="166"/>
      <c r="Q29" s="166"/>
      <c r="R29" s="166"/>
      <c r="S29" s="173"/>
      <c r="T29" s="173"/>
      <c r="U29" s="173"/>
      <c r="V29" s="173"/>
      <c r="W29" s="173"/>
      <c r="X29" s="9"/>
      <c r="Z29" s="16"/>
      <c r="AA29" s="783" t="s">
        <v>239</v>
      </c>
      <c r="AB29" s="783"/>
      <c r="AE29" s="453" t="s">
        <v>222</v>
      </c>
      <c r="AF29" s="453" t="s">
        <v>222</v>
      </c>
      <c r="AH29" s="16"/>
      <c r="AK29" s="180"/>
      <c r="AL29" s="2"/>
      <c r="AM29" s="155"/>
      <c r="AZ29" s="175"/>
      <c r="BA29" s="176"/>
      <c r="BB29" s="17"/>
      <c r="BC29" s="17"/>
      <c r="BE29" s="2"/>
      <c r="BF29" s="2"/>
      <c r="BG29" s="2"/>
      <c r="BH29" s="2"/>
      <c r="BI29" s="2"/>
      <c r="BJ29" s="2"/>
      <c r="BL29" s="19"/>
      <c r="BM29" s="2"/>
      <c r="BV29"/>
      <c r="BW29"/>
      <c r="BX29" s="2"/>
      <c r="BY29" s="2"/>
      <c r="BZ29" s="2"/>
      <c r="CA29" s="2"/>
      <c r="CB29" s="180"/>
      <c r="CC29" s="2"/>
      <c r="CD29" s="159"/>
      <c r="CE29" s="456" t="s">
        <v>240</v>
      </c>
      <c r="CF29" s="16"/>
      <c r="CG29" s="16"/>
      <c r="CJ29" s="16"/>
      <c r="CK29" s="188">
        <v>2</v>
      </c>
      <c r="CL29" s="220" t="s">
        <v>194</v>
      </c>
      <c r="CM29" s="449" t="s">
        <v>55</v>
      </c>
      <c r="CN29" s="449" t="s">
        <v>55</v>
      </c>
      <c r="CO29" s="220" t="s">
        <v>194</v>
      </c>
      <c r="CP29" s="189">
        <v>7</v>
      </c>
      <c r="CS29" s="16"/>
      <c r="CT29" s="16"/>
      <c r="CU29" s="457" t="s">
        <v>241</v>
      </c>
      <c r="CV29" s="457" t="s">
        <v>241</v>
      </c>
      <c r="CW29" s="16"/>
      <c r="CX29" s="16"/>
      <c r="CZ29" s="16"/>
      <c r="DA29" s="16"/>
      <c r="DB29" s="455" t="s">
        <v>238</v>
      </c>
      <c r="DC29" s="181"/>
    </row>
    <row r="30" spans="1:107" s="5" customFormat="1" ht="19.5" customHeight="1" thickBot="1" x14ac:dyDescent="0.3">
      <c r="A30" s="155"/>
      <c r="B30" s="305" t="s">
        <v>219</v>
      </c>
      <c r="E30" s="214">
        <v>3</v>
      </c>
      <c r="F30" s="171" t="s">
        <v>171</v>
      </c>
      <c r="G30" s="449" t="s">
        <v>55</v>
      </c>
      <c r="H30" s="450" t="s">
        <v>51</v>
      </c>
      <c r="I30" s="171" t="s">
        <v>171</v>
      </c>
      <c r="J30" s="215">
        <v>4</v>
      </c>
      <c r="K30" s="16"/>
      <c r="N30" s="435" t="s">
        <v>219</v>
      </c>
      <c r="O30" s="155"/>
      <c r="P30" s="690" t="s">
        <v>169</v>
      </c>
      <c r="Q30" s="691"/>
      <c r="R30" s="691"/>
      <c r="S30" s="691"/>
      <c r="T30" s="691"/>
      <c r="U30" s="691"/>
      <c r="V30" s="691"/>
      <c r="W30" s="692"/>
      <c r="X30" s="16"/>
      <c r="Y30" s="16"/>
      <c r="AA30" s="458" t="s">
        <v>231</v>
      </c>
      <c r="AB30" s="458" t="s">
        <v>231</v>
      </c>
      <c r="AH30" s="16"/>
      <c r="AJ30" s="48"/>
      <c r="AK30" s="180"/>
      <c r="AL30" s="2"/>
      <c r="AM30" s="155"/>
      <c r="AZ30" s="198"/>
      <c r="BA30" s="199"/>
      <c r="BB30" s="2"/>
      <c r="BC30" s="17"/>
      <c r="BE30" s="2"/>
      <c r="BF30" s="2"/>
      <c r="BG30" s="2"/>
      <c r="BH30" s="2"/>
      <c r="BI30" s="2"/>
      <c r="BJ30" s="2"/>
      <c r="BL30" s="67"/>
      <c r="BM30" s="99"/>
      <c r="BT30" s="2"/>
      <c r="BU30" s="2"/>
      <c r="BV30"/>
      <c r="BW30"/>
      <c r="BX30" s="2"/>
      <c r="BY30" s="2"/>
      <c r="BZ30" s="2"/>
      <c r="CA30" s="2"/>
      <c r="CB30" s="160"/>
      <c r="CC30" s="2"/>
      <c r="CD30" s="159"/>
      <c r="CE30" s="456" t="s">
        <v>240</v>
      </c>
      <c r="CF30" s="16"/>
      <c r="CH30" s="727" t="s">
        <v>195</v>
      </c>
      <c r="CI30" s="727"/>
      <c r="CJ30" s="16"/>
      <c r="CK30" s="188">
        <v>3</v>
      </c>
      <c r="CL30" s="220" t="s">
        <v>194</v>
      </c>
      <c r="CM30" s="450" t="s">
        <v>51</v>
      </c>
      <c r="CN30" s="450" t="s">
        <v>51</v>
      </c>
      <c r="CO30" s="220" t="s">
        <v>194</v>
      </c>
      <c r="CP30" s="189">
        <v>6</v>
      </c>
      <c r="CS30" s="16"/>
      <c r="CT30" s="16"/>
      <c r="CU30" s="457" t="s">
        <v>241</v>
      </c>
      <c r="CV30" s="457" t="s">
        <v>241</v>
      </c>
      <c r="CZ30" s="16"/>
      <c r="DA30" s="16"/>
      <c r="DB30" s="455" t="s">
        <v>238</v>
      </c>
      <c r="DC30" s="160"/>
    </row>
    <row r="31" spans="1:107" s="5" customFormat="1" ht="19.5" customHeight="1" thickBot="1" x14ac:dyDescent="0.3">
      <c r="A31" s="155"/>
      <c r="B31" s="305" t="s">
        <v>219</v>
      </c>
      <c r="C31" s="289" t="s">
        <v>189</v>
      </c>
      <c r="D31" s="306" t="s">
        <v>223</v>
      </c>
      <c r="E31" s="16"/>
      <c r="F31" s="16"/>
      <c r="G31" s="209"/>
      <c r="H31" s="209"/>
      <c r="I31" s="216"/>
      <c r="J31" s="216"/>
      <c r="K31" s="98"/>
      <c r="N31" s="435" t="s">
        <v>219</v>
      </c>
      <c r="O31" s="155"/>
      <c r="P31" s="693"/>
      <c r="Q31" s="694"/>
      <c r="R31" s="694"/>
      <c r="S31" s="694"/>
      <c r="T31" s="694"/>
      <c r="U31" s="694"/>
      <c r="V31" s="694"/>
      <c r="W31" s="695"/>
      <c r="X31" s="9"/>
      <c r="Z31" s="22" t="s">
        <v>196</v>
      </c>
      <c r="AA31" s="165"/>
      <c r="AB31" s="165"/>
      <c r="AE31" s="435" t="s">
        <v>219</v>
      </c>
      <c r="AF31" s="435" t="s">
        <v>219</v>
      </c>
      <c r="AH31" s="16"/>
      <c r="AI31" s="18"/>
      <c r="AK31" s="160"/>
      <c r="AL31" s="2"/>
      <c r="AM31" s="155"/>
      <c r="AZ31" s="17"/>
      <c r="BA31" s="17"/>
      <c r="BB31" s="71"/>
      <c r="BC31" s="17"/>
      <c r="BE31" s="2"/>
      <c r="BF31" s="2"/>
      <c r="BG31" s="2"/>
      <c r="BH31" s="2"/>
      <c r="BI31" s="2"/>
      <c r="BJ31" s="2"/>
      <c r="BL31" s="2"/>
      <c r="BM31" s="96"/>
      <c r="BO31" s="459" t="s">
        <v>242</v>
      </c>
      <c r="BP31" s="459" t="s">
        <v>242</v>
      </c>
      <c r="BV31" s="16"/>
      <c r="BW31" s="16"/>
      <c r="BX31" s="2"/>
      <c r="BY31" s="2"/>
      <c r="BZ31" s="778" t="s">
        <v>243</v>
      </c>
      <c r="CA31" s="778"/>
      <c r="CB31" s="180"/>
      <c r="CC31" s="2"/>
      <c r="CD31" s="159"/>
      <c r="CE31" s="784" t="s">
        <v>244</v>
      </c>
      <c r="CF31" s="784"/>
      <c r="CG31" s="22" t="s">
        <v>197</v>
      </c>
      <c r="CH31" s="222"/>
      <c r="CI31" s="222"/>
      <c r="CK31" s="186">
        <v>4</v>
      </c>
      <c r="CL31" s="220" t="s">
        <v>194</v>
      </c>
      <c r="CM31" s="449" t="s">
        <v>55</v>
      </c>
      <c r="CN31" s="449" t="s">
        <v>55</v>
      </c>
      <c r="CO31" s="220" t="s">
        <v>194</v>
      </c>
      <c r="CP31" s="187">
        <v>5</v>
      </c>
      <c r="CS31" s="16"/>
      <c r="CT31" s="16"/>
      <c r="CU31" s="457" t="s">
        <v>241</v>
      </c>
      <c r="CV31" s="457" t="s">
        <v>241</v>
      </c>
      <c r="CW31" s="16"/>
      <c r="DA31" s="16"/>
      <c r="DB31" s="455" t="s">
        <v>238</v>
      </c>
      <c r="DC31" s="181"/>
    </row>
    <row r="32" spans="1:107" s="5" customFormat="1" ht="19.5" customHeight="1" x14ac:dyDescent="0.25">
      <c r="A32" s="155"/>
      <c r="B32" s="307" t="s">
        <v>220</v>
      </c>
      <c r="C32" s="287"/>
      <c r="D32" s="293">
        <v>1</v>
      </c>
      <c r="E32" s="16"/>
      <c r="F32" s="16"/>
      <c r="G32" s="685" t="s">
        <v>191</v>
      </c>
      <c r="H32" s="685"/>
      <c r="I32" s="216"/>
      <c r="J32" s="216"/>
      <c r="K32" s="16"/>
      <c r="L32" s="16"/>
      <c r="N32" s="435" t="s">
        <v>219</v>
      </c>
      <c r="O32" s="155"/>
      <c r="P32" s="693"/>
      <c r="Q32" s="694"/>
      <c r="R32" s="694"/>
      <c r="S32" s="694"/>
      <c r="T32" s="694"/>
      <c r="U32" s="694"/>
      <c r="V32" s="694"/>
      <c r="W32" s="695"/>
      <c r="X32" s="9"/>
      <c r="Y32" s="186">
        <v>1</v>
      </c>
      <c r="Z32" s="172" t="s">
        <v>174</v>
      </c>
      <c r="AA32" s="460" t="s">
        <v>9</v>
      </c>
      <c r="AB32" s="461" t="s">
        <v>5</v>
      </c>
      <c r="AC32" s="172" t="s">
        <v>174</v>
      </c>
      <c r="AD32" s="187">
        <v>2</v>
      </c>
      <c r="AE32" s="435" t="s">
        <v>219</v>
      </c>
      <c r="AF32" s="435" t="s">
        <v>219</v>
      </c>
      <c r="AI32" s="702" t="s">
        <v>168</v>
      </c>
      <c r="AJ32" s="703"/>
      <c r="AK32" s="180"/>
      <c r="AL32" s="2"/>
      <c r="AM32" s="155"/>
      <c r="AZ32" s="70"/>
      <c r="BA32" s="17"/>
      <c r="BC32" s="17"/>
      <c r="BE32" s="2"/>
      <c r="BF32" s="2"/>
      <c r="BG32" s="435" t="s">
        <v>219</v>
      </c>
      <c r="BH32" s="435" t="s">
        <v>219</v>
      </c>
      <c r="BI32" s="16"/>
      <c r="BK32" s="16"/>
      <c r="BM32" s="96"/>
      <c r="BO32" s="459" t="s">
        <v>242</v>
      </c>
      <c r="BP32" s="459" t="s">
        <v>242</v>
      </c>
      <c r="BQ32" s="16"/>
      <c r="BY32" s="2"/>
      <c r="BZ32" s="2"/>
      <c r="CA32" s="451" t="s">
        <v>231</v>
      </c>
      <c r="CB32" s="180"/>
      <c r="CC32" s="2"/>
      <c r="CD32" s="159"/>
      <c r="CE32" s="16"/>
      <c r="CF32" s="219">
        <v>1</v>
      </c>
      <c r="CG32" s="223" t="s">
        <v>174</v>
      </c>
      <c r="CH32" s="462" t="s">
        <v>104</v>
      </c>
      <c r="CI32" s="462" t="s">
        <v>104</v>
      </c>
      <c r="CJ32" s="223" t="s">
        <v>174</v>
      </c>
      <c r="CK32" s="224">
        <v>6</v>
      </c>
      <c r="CL32" s="16"/>
      <c r="CM32" s="218"/>
      <c r="CN32" s="218"/>
      <c r="CO32" s="16"/>
      <c r="CQ32" s="16"/>
      <c r="CS32" s="16"/>
      <c r="CW32" s="16"/>
      <c r="CX32" s="16"/>
      <c r="CZ32" s="16"/>
      <c r="DA32" s="16"/>
      <c r="DB32" s="455" t="s">
        <v>238</v>
      </c>
      <c r="DC32" s="181"/>
    </row>
    <row r="33" spans="1:120" s="5" customFormat="1" ht="19.5" customHeight="1" x14ac:dyDescent="0.25">
      <c r="A33" s="155"/>
      <c r="B33" s="463" t="s">
        <v>219</v>
      </c>
      <c r="C33" s="308"/>
      <c r="E33" s="104"/>
      <c r="F33" s="22" t="s">
        <v>198</v>
      </c>
      <c r="G33" s="225"/>
      <c r="H33" s="225"/>
      <c r="I33" s="216"/>
      <c r="J33" s="216"/>
      <c r="K33" s="98"/>
      <c r="L33" s="16"/>
      <c r="O33" s="155"/>
      <c r="P33" s="693"/>
      <c r="Q33" s="694"/>
      <c r="R33" s="694"/>
      <c r="S33" s="694"/>
      <c r="T33" s="694"/>
      <c r="U33" s="694"/>
      <c r="V33" s="694"/>
      <c r="W33" s="695"/>
      <c r="X33" s="16"/>
      <c r="AA33" s="165"/>
      <c r="AB33" s="165"/>
      <c r="AC33" s="16"/>
      <c r="AE33" s="435" t="s">
        <v>219</v>
      </c>
      <c r="AF33" s="435" t="s">
        <v>219</v>
      </c>
      <c r="AI33" s="704"/>
      <c r="AJ33" s="705"/>
      <c r="AK33" s="180"/>
      <c r="AL33" s="2"/>
      <c r="AM33" s="155"/>
      <c r="AZ33" s="48"/>
      <c r="BA33" s="48"/>
      <c r="BB33" s="96"/>
      <c r="BC33" s="17"/>
      <c r="BE33" s="2"/>
      <c r="BF33" s="2"/>
      <c r="BG33" s="435" t="s">
        <v>219</v>
      </c>
      <c r="BH33" s="435" t="s">
        <v>219</v>
      </c>
      <c r="BI33" s="16"/>
      <c r="BK33" s="16"/>
      <c r="BM33" s="9"/>
      <c r="BO33" s="459" t="s">
        <v>242</v>
      </c>
      <c r="BP33" s="459" t="s">
        <v>242</v>
      </c>
      <c r="BQ33" s="16"/>
      <c r="BY33" s="2"/>
      <c r="BZ33" s="2"/>
      <c r="CA33" s="451" t="s">
        <v>231</v>
      </c>
      <c r="CB33" s="180"/>
      <c r="CC33" s="2"/>
      <c r="CD33" s="159"/>
      <c r="CE33" s="447" t="s">
        <v>233</v>
      </c>
      <c r="CF33" s="188">
        <v>2</v>
      </c>
      <c r="CG33" s="223" t="s">
        <v>174</v>
      </c>
      <c r="CH33" s="462" t="s">
        <v>104</v>
      </c>
      <c r="CI33" s="462" t="s">
        <v>104</v>
      </c>
      <c r="CJ33" s="223" t="s">
        <v>174</v>
      </c>
      <c r="CK33" s="187"/>
      <c r="CM33" s="785"/>
      <c r="CN33" s="785"/>
      <c r="CQ33" s="16"/>
      <c r="CS33" s="16"/>
      <c r="CW33" s="16"/>
      <c r="CX33" s="16"/>
      <c r="CZ33" s="16"/>
      <c r="DA33" s="16"/>
      <c r="DB33" s="455" t="s">
        <v>238</v>
      </c>
      <c r="DC33" s="181"/>
    </row>
    <row r="34" spans="1:120" s="5" customFormat="1" ht="19.5" customHeight="1" x14ac:dyDescent="0.25">
      <c r="A34" s="155"/>
      <c r="B34" s="305" t="s">
        <v>219</v>
      </c>
      <c r="C34" s="13"/>
      <c r="E34" s="214">
        <v>1</v>
      </c>
      <c r="F34" s="226" t="s">
        <v>194</v>
      </c>
      <c r="G34" s="464" t="s">
        <v>86</v>
      </c>
      <c r="H34" s="464" t="s">
        <v>86</v>
      </c>
      <c r="I34" s="226" t="s">
        <v>194</v>
      </c>
      <c r="J34" s="215">
        <v>4</v>
      </c>
      <c r="K34" s="16"/>
      <c r="L34" s="16"/>
      <c r="N34" s="448" t="s">
        <v>234</v>
      </c>
      <c r="O34" s="155"/>
      <c r="P34" s="693"/>
      <c r="Q34" s="694"/>
      <c r="R34" s="694"/>
      <c r="S34" s="694"/>
      <c r="T34" s="694"/>
      <c r="U34" s="694"/>
      <c r="V34" s="694"/>
      <c r="W34" s="695"/>
      <c r="X34" s="9"/>
      <c r="Y34" s="81"/>
      <c r="AA34" s="685" t="s">
        <v>181</v>
      </c>
      <c r="AB34" s="685"/>
      <c r="AC34" s="16"/>
      <c r="AD34" s="16"/>
      <c r="AE34" s="298"/>
      <c r="AF34" s="298"/>
      <c r="AG34" s="16"/>
      <c r="AI34" s="704"/>
      <c r="AJ34" s="705"/>
      <c r="AK34" s="180"/>
      <c r="AL34" s="2"/>
      <c r="AM34" s="155"/>
      <c r="AZ34" s="227"/>
      <c r="BA34" s="227"/>
      <c r="BB34" s="96"/>
      <c r="BC34" s="96"/>
      <c r="BE34" s="2"/>
      <c r="BF34" s="2"/>
      <c r="BG34" s="435" t="s">
        <v>219</v>
      </c>
      <c r="BH34" s="435" t="s">
        <v>219</v>
      </c>
      <c r="BI34" s="16"/>
      <c r="BK34" s="16"/>
      <c r="BL34" s="19"/>
      <c r="BM34" s="2"/>
      <c r="BQ34" s="16"/>
      <c r="BY34" s="2"/>
      <c r="BZ34" s="2"/>
      <c r="CB34" s="180"/>
      <c r="CC34" s="2"/>
      <c r="CD34" s="159"/>
      <c r="CE34" s="447" t="s">
        <v>233</v>
      </c>
      <c r="CF34" s="188">
        <v>3</v>
      </c>
      <c r="CG34" s="223" t="s">
        <v>174</v>
      </c>
      <c r="CH34" s="462" t="s">
        <v>104</v>
      </c>
      <c r="CI34" s="462" t="s">
        <v>104</v>
      </c>
      <c r="CJ34" s="223" t="s">
        <v>174</v>
      </c>
      <c r="CK34" s="187"/>
      <c r="CL34" s="22"/>
      <c r="CM34" s="197"/>
      <c r="CN34" s="197"/>
      <c r="CO34" s="85"/>
      <c r="CS34" s="16"/>
      <c r="CT34" s="16"/>
      <c r="CW34" s="16"/>
      <c r="CX34" s="16"/>
      <c r="CZ34" s="16"/>
      <c r="DA34" s="16"/>
      <c r="DB34" s="455" t="s">
        <v>238</v>
      </c>
      <c r="DC34" s="181"/>
    </row>
    <row r="35" spans="1:120" s="5" customFormat="1" ht="19.5" customHeight="1" x14ac:dyDescent="0.25">
      <c r="A35" s="155"/>
      <c r="D35" s="105"/>
      <c r="E35" s="216"/>
      <c r="F35" s="216"/>
      <c r="G35" s="225"/>
      <c r="H35" s="225"/>
      <c r="I35" s="216"/>
      <c r="J35" s="215"/>
      <c r="K35" s="16"/>
      <c r="L35" s="16"/>
      <c r="N35" s="448" t="s">
        <v>234</v>
      </c>
      <c r="O35" s="155"/>
      <c r="P35" s="693"/>
      <c r="Q35" s="694"/>
      <c r="R35" s="694"/>
      <c r="S35" s="694"/>
      <c r="T35" s="694"/>
      <c r="U35" s="694"/>
      <c r="V35" s="694"/>
      <c r="W35" s="695"/>
      <c r="X35" s="9"/>
      <c r="Y35" s="9"/>
      <c r="Z35" s="16"/>
      <c r="AD35" s="298"/>
      <c r="AE35" s="300"/>
      <c r="AF35" s="300"/>
      <c r="AG35" s="298"/>
      <c r="AI35" s="704"/>
      <c r="AJ35" s="705"/>
      <c r="AK35" s="180"/>
      <c r="AL35" s="2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2"/>
      <c r="BC35" s="9"/>
      <c r="BD35" s="9"/>
      <c r="BE35" s="2"/>
      <c r="BF35" s="2"/>
      <c r="BG35" s="2"/>
      <c r="BH35" s="2"/>
      <c r="BI35" s="16"/>
      <c r="BK35" s="16"/>
      <c r="BL35" s="2"/>
      <c r="BM35" s="2"/>
      <c r="BO35" s="437" t="s">
        <v>227</v>
      </c>
      <c r="BP35" s="437" t="s">
        <v>227</v>
      </c>
      <c r="BQ35" s="16"/>
      <c r="BT35" s="9"/>
      <c r="BY35" s="2"/>
      <c r="CA35" s="447" t="s">
        <v>233</v>
      </c>
      <c r="CB35" s="160"/>
      <c r="CC35" s="2"/>
      <c r="CD35" s="159"/>
      <c r="CE35" s="447" t="s">
        <v>233</v>
      </c>
      <c r="CF35" s="16"/>
      <c r="CG35" s="16"/>
      <c r="CH35" s="228"/>
      <c r="CI35" s="228"/>
      <c r="CJ35" s="16"/>
      <c r="CK35" s="186"/>
      <c r="CL35" s="197"/>
      <c r="CM35" s="465"/>
      <c r="CN35" s="465"/>
      <c r="CO35" s="197"/>
      <c r="CP35" s="187"/>
      <c r="CS35" s="16"/>
      <c r="CU35" s="310"/>
      <c r="CV35" s="311"/>
      <c r="CW35" s="16"/>
      <c r="CX35" s="16"/>
      <c r="CZ35" s="16"/>
      <c r="DA35" s="16"/>
      <c r="DB35" s="455" t="s">
        <v>238</v>
      </c>
      <c r="DC35" s="160"/>
    </row>
    <row r="36" spans="1:120" s="5" customFormat="1" ht="19.5" customHeight="1" x14ac:dyDescent="0.25">
      <c r="A36" s="155"/>
      <c r="E36" s="214">
        <v>2</v>
      </c>
      <c r="F36" s="226" t="s">
        <v>194</v>
      </c>
      <c r="G36" s="466" t="s">
        <v>35</v>
      </c>
      <c r="H36" s="466" t="s">
        <v>35</v>
      </c>
      <c r="I36" s="226" t="s">
        <v>194</v>
      </c>
      <c r="J36" s="215">
        <v>3</v>
      </c>
      <c r="K36" s="229"/>
      <c r="L36" s="16"/>
      <c r="O36" s="155"/>
      <c r="P36" s="693"/>
      <c r="Q36" s="694"/>
      <c r="R36" s="694"/>
      <c r="S36" s="694"/>
      <c r="T36" s="694"/>
      <c r="U36" s="694"/>
      <c r="V36" s="694"/>
      <c r="W36" s="695"/>
      <c r="X36" s="9"/>
      <c r="Z36" s="16"/>
      <c r="AA36" s="435" t="s">
        <v>219</v>
      </c>
      <c r="AB36" s="435" t="s">
        <v>219</v>
      </c>
      <c r="AC36" s="292">
        <v>1</v>
      </c>
      <c r="AD36" s="302"/>
      <c r="AE36" s="312" t="s">
        <v>220</v>
      </c>
      <c r="AF36" s="312" t="s">
        <v>220</v>
      </c>
      <c r="AG36" s="302" t="s">
        <v>229</v>
      </c>
      <c r="AH36" s="293">
        <v>4</v>
      </c>
      <c r="AI36" s="704"/>
      <c r="AJ36" s="705"/>
      <c r="AK36" s="160"/>
      <c r="AL36" s="2"/>
      <c r="AM36" s="155"/>
      <c r="AN36" s="467" t="s">
        <v>245</v>
      </c>
      <c r="AO36" s="71"/>
      <c r="AP36" s="437" t="s">
        <v>227</v>
      </c>
      <c r="AQ36" s="71"/>
      <c r="AR36" s="230"/>
      <c r="AS36" s="468" t="s">
        <v>84</v>
      </c>
      <c r="AT36" s="230"/>
      <c r="AU36" s="468" t="s">
        <v>84</v>
      </c>
      <c r="AV36" s="230"/>
      <c r="AW36" s="468" t="s">
        <v>84</v>
      </c>
      <c r="AX36" s="230"/>
      <c r="AY36" s="468" t="s">
        <v>84</v>
      </c>
      <c r="AZ36" s="230"/>
      <c r="BA36" s="155"/>
      <c r="BB36" s="2"/>
      <c r="BC36" s="2"/>
      <c r="BD36" s="2"/>
      <c r="BE36" s="2"/>
      <c r="BF36" s="2"/>
      <c r="BG36" s="469" t="s">
        <v>246</v>
      </c>
      <c r="BH36" s="469" t="s">
        <v>246</v>
      </c>
      <c r="BK36" s="16"/>
      <c r="BL36" s="2"/>
      <c r="BM36" s="2"/>
      <c r="BO36" s="437" t="s">
        <v>227</v>
      </c>
      <c r="BP36" s="437" t="s">
        <v>227</v>
      </c>
      <c r="BQ36" s="16"/>
      <c r="BT36" s="9"/>
      <c r="BV36" s="453" t="s">
        <v>222</v>
      </c>
      <c r="BW36" s="453" t="s">
        <v>222</v>
      </c>
      <c r="BX36" s="2"/>
      <c r="BY36" s="2"/>
      <c r="BZ36" s="2"/>
      <c r="CA36" s="447" t="s">
        <v>233</v>
      </c>
      <c r="CB36" s="180"/>
      <c r="CC36" s="2"/>
      <c r="CD36" s="159"/>
      <c r="CE36" s="447" t="s">
        <v>233</v>
      </c>
      <c r="CF36" s="16"/>
      <c r="CG36" s="16"/>
      <c r="CH36" s="469" t="s">
        <v>246</v>
      </c>
      <c r="CI36" s="469" t="s">
        <v>246</v>
      </c>
      <c r="CJ36" s="16"/>
      <c r="CK36" s="188"/>
      <c r="CL36" s="197"/>
      <c r="CM36" s="465"/>
      <c r="CN36" s="465"/>
      <c r="CO36" s="197"/>
      <c r="CP36" s="187"/>
      <c r="CS36" s="16"/>
      <c r="CU36" s="313"/>
      <c r="CV36" s="313"/>
      <c r="CW36" s="16"/>
      <c r="CX36" s="16"/>
      <c r="CZ36" s="16"/>
      <c r="DA36" s="16"/>
      <c r="DB36" s="16"/>
      <c r="DC36" s="181"/>
    </row>
    <row r="37" spans="1:120" s="5" customFormat="1" ht="19.5" customHeight="1" x14ac:dyDescent="0.25">
      <c r="A37" s="155"/>
      <c r="E37" s="16"/>
      <c r="F37" s="16"/>
      <c r="G37" s="225"/>
      <c r="H37" s="225"/>
      <c r="J37" s="92"/>
      <c r="K37" s="98"/>
      <c r="L37" s="16"/>
      <c r="N37" s="435" t="s">
        <v>219</v>
      </c>
      <c r="O37" s="155"/>
      <c r="P37" s="693"/>
      <c r="Q37" s="694"/>
      <c r="R37" s="694"/>
      <c r="S37" s="694"/>
      <c r="T37" s="694"/>
      <c r="U37" s="694"/>
      <c r="V37" s="694"/>
      <c r="W37" s="695"/>
      <c r="X37" s="9"/>
      <c r="Y37" s="81"/>
      <c r="Z37" s="81"/>
      <c r="AA37" s="435" t="s">
        <v>219</v>
      </c>
      <c r="AB37" s="435" t="s">
        <v>219</v>
      </c>
      <c r="AC37" s="292">
        <v>2</v>
      </c>
      <c r="AD37" s="302" t="s">
        <v>229</v>
      </c>
      <c r="AE37" s="312" t="s">
        <v>220</v>
      </c>
      <c r="AF37" s="312" t="s">
        <v>220</v>
      </c>
      <c r="AG37" s="302" t="s">
        <v>229</v>
      </c>
      <c r="AH37" s="293">
        <v>3</v>
      </c>
      <c r="AI37" s="704"/>
      <c r="AJ37" s="705"/>
      <c r="AK37" s="180"/>
      <c r="AL37" s="2"/>
      <c r="AM37" s="155"/>
      <c r="AN37" s="17"/>
      <c r="AO37" s="71"/>
      <c r="AP37" s="778"/>
      <c r="AQ37" s="778"/>
      <c r="AR37" s="22" t="s">
        <v>199</v>
      </c>
      <c r="AS37" s="192" t="s">
        <v>174</v>
      </c>
      <c r="AU37" s="192" t="s">
        <v>174</v>
      </c>
      <c r="AV37" s="231"/>
      <c r="AW37" s="192" t="s">
        <v>174</v>
      </c>
      <c r="AX37" s="216"/>
      <c r="AY37" s="192" t="s">
        <v>174</v>
      </c>
      <c r="AZ37" s="17"/>
      <c r="BA37" s="155"/>
      <c r="BB37" s="17"/>
      <c r="BE37" s="2"/>
      <c r="BF37" s="2"/>
      <c r="BG37" s="469" t="s">
        <v>246</v>
      </c>
      <c r="BH37" s="469" t="s">
        <v>246</v>
      </c>
      <c r="BI37" s="71"/>
      <c r="BK37" s="16"/>
      <c r="BL37" s="2"/>
      <c r="BO37" s="437" t="s">
        <v>227</v>
      </c>
      <c r="BP37" s="437" t="s">
        <v>227</v>
      </c>
      <c r="BQ37" s="16"/>
      <c r="BT37" s="9"/>
      <c r="BU37" s="9"/>
      <c r="BV37" s="453" t="s">
        <v>222</v>
      </c>
      <c r="BW37" s="453" t="s">
        <v>222</v>
      </c>
      <c r="BX37" s="2"/>
      <c r="BY37" s="2"/>
      <c r="BZ37" s="2"/>
      <c r="CA37" s="447" t="s">
        <v>233</v>
      </c>
      <c r="CB37" s="180"/>
      <c r="CC37" s="2"/>
      <c r="CD37" s="159"/>
      <c r="CE37" s="470" t="s">
        <v>227</v>
      </c>
      <c r="CF37" s="16"/>
      <c r="CG37" s="16"/>
      <c r="CH37" s="469" t="s">
        <v>246</v>
      </c>
      <c r="CI37" s="469" t="s">
        <v>246</v>
      </c>
      <c r="CJ37" s="16"/>
      <c r="CK37" s="188"/>
      <c r="CL37" s="197"/>
      <c r="CM37" s="465"/>
      <c r="CN37" s="465"/>
      <c r="CO37" s="197" t="s">
        <v>774</v>
      </c>
      <c r="CP37" s="187"/>
      <c r="CT37" s="289" t="s">
        <v>201</v>
      </c>
      <c r="CU37" s="288" t="s">
        <v>220</v>
      </c>
      <c r="CV37" s="288" t="s">
        <v>220</v>
      </c>
      <c r="CW37" s="314"/>
      <c r="CZ37" s="16"/>
      <c r="DA37" s="16"/>
      <c r="DB37" s="289" t="s">
        <v>196</v>
      </c>
      <c r="DC37" s="181"/>
    </row>
    <row r="38" spans="1:120" s="5" customFormat="1" ht="19.5" customHeight="1" x14ac:dyDescent="0.25">
      <c r="A38" s="155"/>
      <c r="F38" s="94"/>
      <c r="G38" s="16"/>
      <c r="H38" s="688" t="s">
        <v>177</v>
      </c>
      <c r="I38" s="688"/>
      <c r="J38" s="16"/>
      <c r="K38" s="16"/>
      <c r="L38" s="16"/>
      <c r="N38" s="435" t="s">
        <v>219</v>
      </c>
      <c r="O38" s="155"/>
      <c r="P38" s="693"/>
      <c r="Q38" s="694"/>
      <c r="R38" s="694"/>
      <c r="S38" s="694"/>
      <c r="T38" s="694"/>
      <c r="U38" s="694"/>
      <c r="V38" s="694"/>
      <c r="W38" s="695"/>
      <c r="X38" s="16"/>
      <c r="Y38" s="9"/>
      <c r="Z38" s="9"/>
      <c r="AA38" s="435" t="s">
        <v>219</v>
      </c>
      <c r="AB38" s="435" t="s">
        <v>219</v>
      </c>
      <c r="AD38" s="298"/>
      <c r="AE38" s="300"/>
      <c r="AF38" s="300"/>
      <c r="AG38" s="298"/>
      <c r="AI38" s="704"/>
      <c r="AJ38" s="705"/>
      <c r="AK38" s="180"/>
      <c r="AL38" s="2"/>
      <c r="AM38" s="155"/>
      <c r="AN38" s="16"/>
      <c r="AO38" s="71"/>
      <c r="AP38" s="16"/>
      <c r="AQ38" s="16"/>
      <c r="AR38" s="16"/>
      <c r="AS38" s="177">
        <v>1</v>
      </c>
      <c r="AT38" s="231"/>
      <c r="AU38" s="177">
        <v>2</v>
      </c>
      <c r="AV38" s="231"/>
      <c r="AW38" s="177">
        <v>3</v>
      </c>
      <c r="AX38" s="232"/>
      <c r="AY38" s="177">
        <v>4</v>
      </c>
      <c r="AZ38" s="17"/>
      <c r="BA38" s="155"/>
      <c r="BB38" s="17"/>
      <c r="BE38" s="2"/>
      <c r="BF38" s="2"/>
      <c r="BG38" s="469" t="s">
        <v>246</v>
      </c>
      <c r="BH38" s="469" t="s">
        <v>246</v>
      </c>
      <c r="BI38" s="71"/>
      <c r="BK38" s="16"/>
      <c r="BL38" s="2"/>
      <c r="BO38" s="777" t="s">
        <v>247</v>
      </c>
      <c r="BP38" s="777"/>
      <c r="BQ38" s="16"/>
      <c r="BT38" s="9"/>
      <c r="BU38" s="9"/>
      <c r="BV38" s="471" t="s">
        <v>221</v>
      </c>
      <c r="BW38" s="471" t="s">
        <v>221</v>
      </c>
      <c r="BX38" s="2"/>
      <c r="BY38" s="2"/>
      <c r="BZ38" s="778" t="s">
        <v>248</v>
      </c>
      <c r="CA38" s="778"/>
      <c r="CB38" s="180"/>
      <c r="CC38" s="2"/>
      <c r="CD38" s="159"/>
      <c r="CE38" s="472" t="s">
        <v>227</v>
      </c>
      <c r="CF38" s="16"/>
      <c r="CG38" s="16"/>
      <c r="CH38" s="473" t="s">
        <v>246</v>
      </c>
      <c r="CI38" s="473" t="s">
        <v>246</v>
      </c>
      <c r="CJ38" s="16"/>
      <c r="CM38" s="197"/>
      <c r="CN38" s="197"/>
      <c r="CQ38" s="16"/>
      <c r="CS38" s="292">
        <v>1</v>
      </c>
      <c r="CT38" s="302" t="s">
        <v>229</v>
      </c>
      <c r="CU38" s="288" t="s">
        <v>220</v>
      </c>
      <c r="CV38" s="288" t="s">
        <v>220</v>
      </c>
      <c r="CW38" s="302" t="s">
        <v>229</v>
      </c>
      <c r="CX38" s="293">
        <v>6</v>
      </c>
      <c r="CZ38" s="37"/>
      <c r="DA38" s="289" t="s">
        <v>196</v>
      </c>
      <c r="DB38" s="315"/>
      <c r="DC38" s="181"/>
    </row>
    <row r="39" spans="1:120" s="5" customFormat="1" ht="19.5" customHeight="1" thickBot="1" x14ac:dyDescent="0.3">
      <c r="A39" s="155"/>
      <c r="F39" s="316">
        <v>1</v>
      </c>
      <c r="G39" s="316">
        <v>2</v>
      </c>
      <c r="H39" s="233">
        <v>1</v>
      </c>
      <c r="I39" s="17"/>
      <c r="J39" s="17"/>
      <c r="K39" s="17"/>
      <c r="L39" s="17"/>
      <c r="O39" s="155"/>
      <c r="P39" s="693"/>
      <c r="Q39" s="694"/>
      <c r="R39" s="694"/>
      <c r="S39" s="694"/>
      <c r="T39" s="694"/>
      <c r="U39" s="694"/>
      <c r="V39" s="694"/>
      <c r="W39" s="695"/>
      <c r="X39" s="9"/>
      <c r="Y39" s="16"/>
      <c r="Z39" s="16"/>
      <c r="AA39" s="16"/>
      <c r="AB39" s="16"/>
      <c r="AC39" s="16"/>
      <c r="AD39" s="16"/>
      <c r="AE39" s="298"/>
      <c r="AF39" s="298"/>
      <c r="AG39" s="16"/>
      <c r="AI39" s="714"/>
      <c r="AJ39" s="715"/>
      <c r="AK39" s="180"/>
      <c r="AL39" s="2"/>
      <c r="AM39" s="155"/>
      <c r="AN39" s="473" t="s">
        <v>246</v>
      </c>
      <c r="AO39" s="71"/>
      <c r="AP39" s="16"/>
      <c r="AQ39" s="16"/>
      <c r="AR39" s="16"/>
      <c r="AS39" s="720" t="s">
        <v>200</v>
      </c>
      <c r="AT39" s="720"/>
      <c r="AU39" s="720"/>
      <c r="AV39" s="720"/>
      <c r="AW39" s="720"/>
      <c r="AX39" s="720"/>
      <c r="AY39" s="720"/>
      <c r="AZ39" s="17"/>
      <c r="BA39" s="155"/>
      <c r="BB39" s="17"/>
      <c r="BE39" s="2"/>
      <c r="BF39" s="2"/>
      <c r="BG39" s="473" t="s">
        <v>246</v>
      </c>
      <c r="BH39" s="473" t="s">
        <v>246</v>
      </c>
      <c r="BI39" s="71"/>
      <c r="BK39" s="16"/>
      <c r="BL39" s="9"/>
      <c r="BM39" s="224">
        <v>5</v>
      </c>
      <c r="BO39" s="727" t="s">
        <v>181</v>
      </c>
      <c r="BP39" s="727"/>
      <c r="BT39" s="9"/>
      <c r="BU39" s="9"/>
      <c r="BV39" s="471" t="s">
        <v>221</v>
      </c>
      <c r="BW39" s="471" t="s">
        <v>221</v>
      </c>
      <c r="BX39" s="2"/>
      <c r="BY39" s="2"/>
      <c r="BZ39" s="2"/>
      <c r="CA39" s="2"/>
      <c r="CB39" s="180"/>
      <c r="CC39" s="2"/>
      <c r="CD39" s="159"/>
      <c r="CE39" s="472" t="s">
        <v>227</v>
      </c>
      <c r="CF39" s="16"/>
      <c r="CG39" s="16"/>
      <c r="CH39" s="918" t="s">
        <v>250</v>
      </c>
      <c r="CI39" s="918"/>
      <c r="CJ39" s="16"/>
      <c r="CS39" s="292">
        <v>2</v>
      </c>
      <c r="CT39" s="302" t="s">
        <v>229</v>
      </c>
      <c r="CU39" s="288" t="s">
        <v>220</v>
      </c>
      <c r="CV39" s="288" t="s">
        <v>220</v>
      </c>
      <c r="CW39" s="302" t="s">
        <v>229</v>
      </c>
      <c r="CX39" s="293">
        <v>5</v>
      </c>
      <c r="CZ39" s="292">
        <v>1</v>
      </c>
      <c r="DA39" s="302" t="s">
        <v>229</v>
      </c>
      <c r="DB39" s="288" t="s">
        <v>220</v>
      </c>
      <c r="DC39" s="181"/>
    </row>
    <row r="40" spans="1:120" s="5" customFormat="1" ht="19.5" customHeight="1" x14ac:dyDescent="0.25">
      <c r="A40" s="155"/>
      <c r="F40" s="302" t="s">
        <v>229</v>
      </c>
      <c r="G40" s="302" t="s">
        <v>229</v>
      </c>
      <c r="H40" s="234" t="s">
        <v>174</v>
      </c>
      <c r="I40" s="234" t="s">
        <v>174</v>
      </c>
      <c r="J40" s="22" t="s">
        <v>201</v>
      </c>
      <c r="K40" s="59"/>
      <c r="L40" s="59"/>
      <c r="O40" s="155"/>
      <c r="P40" s="693"/>
      <c r="Q40" s="694"/>
      <c r="R40" s="694"/>
      <c r="S40" s="694"/>
      <c r="T40" s="694"/>
      <c r="U40" s="694"/>
      <c r="V40" s="694"/>
      <c r="W40" s="695"/>
      <c r="X40" s="9"/>
      <c r="Y40" s="16"/>
      <c r="Z40" s="16"/>
      <c r="AA40" s="16"/>
      <c r="AB40" s="9"/>
      <c r="AI40" s="702" t="s">
        <v>202</v>
      </c>
      <c r="AJ40" s="703"/>
      <c r="AK40" s="180"/>
      <c r="AL40" s="2"/>
      <c r="AM40" s="155"/>
      <c r="AN40" s="469" t="s">
        <v>246</v>
      </c>
      <c r="AO40" s="16"/>
      <c r="AP40" s="16"/>
      <c r="AQ40" s="16"/>
      <c r="AR40" s="17"/>
      <c r="AS40" s="17"/>
      <c r="AW40" s="17"/>
      <c r="AX40" s="17"/>
      <c r="AY40" s="109"/>
      <c r="AZ40" s="17"/>
      <c r="BA40" s="155"/>
      <c r="BB40" s="17"/>
      <c r="BE40" s="2"/>
      <c r="BF40" s="2"/>
      <c r="BG40" s="786" t="s">
        <v>251</v>
      </c>
      <c r="BH40" s="786"/>
      <c r="BK40" s="16"/>
      <c r="BM40" s="224">
        <v>4</v>
      </c>
      <c r="BN40" s="22" t="s">
        <v>772</v>
      </c>
      <c r="BO40" s="172"/>
      <c r="BP40" s="172"/>
      <c r="BQ40" s="207" t="s">
        <v>552</v>
      </c>
      <c r="BT40" s="9"/>
      <c r="BU40" s="9"/>
      <c r="BV40" s="9"/>
      <c r="BW40" s="9"/>
      <c r="BX40" s="9"/>
      <c r="BY40" s="9"/>
      <c r="BZ40" s="2"/>
      <c r="CA40" s="2"/>
      <c r="CB40" s="160"/>
      <c r="CC40" s="2"/>
      <c r="CD40" s="159"/>
      <c r="CE40" s="472" t="s">
        <v>227</v>
      </c>
      <c r="CF40" s="16"/>
      <c r="CG40" s="16"/>
      <c r="CH40" s="467" t="s">
        <v>245</v>
      </c>
      <c r="CI40" s="467" t="s">
        <v>245</v>
      </c>
      <c r="CJ40" s="16"/>
      <c r="CM40" s="474" t="s">
        <v>221</v>
      </c>
      <c r="CN40" s="474" t="s">
        <v>221</v>
      </c>
      <c r="CO40" s="16"/>
      <c r="CR40" s="16"/>
      <c r="CS40" s="292">
        <v>3</v>
      </c>
      <c r="CT40" s="302" t="s">
        <v>229</v>
      </c>
      <c r="CU40" s="288" t="s">
        <v>220</v>
      </c>
      <c r="CV40" s="288" t="s">
        <v>220</v>
      </c>
      <c r="CW40" s="302" t="s">
        <v>229</v>
      </c>
      <c r="CX40" s="293">
        <v>4</v>
      </c>
      <c r="CZ40" s="292">
        <v>2</v>
      </c>
      <c r="DA40" s="302" t="s">
        <v>229</v>
      </c>
      <c r="DB40" s="288" t="s">
        <v>220</v>
      </c>
      <c r="DC40" s="160"/>
      <c r="DJ40" s="173"/>
      <c r="DK40" s="173"/>
      <c r="DL40" s="9"/>
      <c r="DM40" s="9"/>
      <c r="DN40" s="9"/>
      <c r="DO40" s="16"/>
      <c r="DP40" s="16"/>
    </row>
    <row r="41" spans="1:120" s="5" customFormat="1" ht="19.5" customHeight="1" x14ac:dyDescent="0.25">
      <c r="A41" s="155"/>
      <c r="D41" s="435" t="s">
        <v>219</v>
      </c>
      <c r="E41" s="475" t="s">
        <v>219</v>
      </c>
      <c r="F41" s="317" t="s">
        <v>220</v>
      </c>
      <c r="G41" s="318" t="s">
        <v>220</v>
      </c>
      <c r="H41" s="476" t="s">
        <v>5</v>
      </c>
      <c r="I41" s="476" t="s">
        <v>5</v>
      </c>
      <c r="J41" s="463" t="s">
        <v>219</v>
      </c>
      <c r="O41" s="155"/>
      <c r="P41" s="693"/>
      <c r="Q41" s="694"/>
      <c r="R41" s="694"/>
      <c r="S41" s="694"/>
      <c r="T41" s="694"/>
      <c r="U41" s="694"/>
      <c r="V41" s="694"/>
      <c r="W41" s="695"/>
      <c r="X41" s="9"/>
      <c r="Y41" s="9"/>
      <c r="Z41" s="16"/>
      <c r="AA41" s="16"/>
      <c r="AC41" s="459" t="s">
        <v>242</v>
      </c>
      <c r="AD41" s="81"/>
      <c r="AI41" s="704"/>
      <c r="AJ41" s="705"/>
      <c r="AK41" s="160"/>
      <c r="AL41" s="2"/>
      <c r="AM41" s="155"/>
      <c r="AN41" s="469" t="s">
        <v>246</v>
      </c>
      <c r="AP41" s="16"/>
      <c r="AQ41" s="16"/>
      <c r="AR41" s="17"/>
      <c r="AS41" s="110"/>
      <c r="AW41" s="17"/>
      <c r="AX41" s="17"/>
      <c r="AY41" s="17"/>
      <c r="AZ41" s="17"/>
      <c r="BA41" s="155"/>
      <c r="BB41" s="17"/>
      <c r="BE41" s="2"/>
      <c r="BF41" s="2"/>
      <c r="BK41" s="16"/>
      <c r="BM41" s="219">
        <v>1</v>
      </c>
      <c r="BN41" s="172" t="s">
        <v>174</v>
      </c>
      <c r="BO41" s="477" t="s">
        <v>148</v>
      </c>
      <c r="BP41" s="477" t="s">
        <v>148</v>
      </c>
      <c r="BQ41" s="172" t="s">
        <v>174</v>
      </c>
      <c r="BR41" s="224">
        <v>6</v>
      </c>
      <c r="BT41" s="2"/>
      <c r="BU41" s="2"/>
      <c r="BV41" s="2"/>
      <c r="BW41" s="2"/>
      <c r="BX41" s="2"/>
      <c r="BY41" s="2"/>
      <c r="BZ41" s="2"/>
      <c r="CA41" s="453" t="s">
        <v>222</v>
      </c>
      <c r="CB41" s="180"/>
      <c r="CC41" s="2"/>
      <c r="CD41" s="159"/>
      <c r="CE41" s="472" t="s">
        <v>227</v>
      </c>
      <c r="CF41" s="16"/>
      <c r="CG41" s="16"/>
      <c r="CH41" s="467" t="s">
        <v>245</v>
      </c>
      <c r="CI41" s="467" t="s">
        <v>245</v>
      </c>
      <c r="CJ41" s="16"/>
      <c r="CM41" s="474" t="s">
        <v>221</v>
      </c>
      <c r="CN41" s="474" t="s">
        <v>221</v>
      </c>
      <c r="CO41" s="16"/>
      <c r="CR41" s="16"/>
      <c r="CS41" s="16"/>
      <c r="CT41" s="314"/>
      <c r="CU41" s="310"/>
      <c r="CV41" s="311"/>
      <c r="CW41" s="319"/>
      <c r="CX41" s="95"/>
      <c r="CZ41" s="292">
        <v>3</v>
      </c>
      <c r="DA41" s="302" t="s">
        <v>229</v>
      </c>
      <c r="DB41" s="288" t="s">
        <v>220</v>
      </c>
      <c r="DC41" s="181"/>
      <c r="DJ41" s="173"/>
      <c r="DK41" s="173"/>
      <c r="DL41" s="9"/>
      <c r="DM41" s="81"/>
      <c r="DN41" s="81"/>
      <c r="DO41" s="16"/>
      <c r="DP41" s="16"/>
    </row>
    <row r="42" spans="1:120" s="5" customFormat="1" ht="19.5" customHeight="1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693"/>
      <c r="Q42" s="694"/>
      <c r="R42" s="694"/>
      <c r="S42" s="694"/>
      <c r="T42" s="694"/>
      <c r="U42" s="694"/>
      <c r="V42" s="694"/>
      <c r="W42" s="695"/>
      <c r="X42" s="9"/>
      <c r="Y42" s="9"/>
      <c r="Z42" s="9"/>
      <c r="AA42" s="16"/>
      <c r="AB42" s="459" t="s">
        <v>242</v>
      </c>
      <c r="AC42" s="173"/>
      <c r="AD42" s="459" t="s">
        <v>242</v>
      </c>
      <c r="AI42" s="704"/>
      <c r="AJ42" s="705"/>
      <c r="AK42" s="180"/>
      <c r="AL42" s="2"/>
      <c r="AM42" s="155"/>
      <c r="AN42" s="237" t="s">
        <v>251</v>
      </c>
      <c r="AP42" s="16"/>
      <c r="AQ42" s="16"/>
      <c r="AR42" s="16"/>
      <c r="AS42" s="16"/>
      <c r="AV42" s="110"/>
      <c r="AW42" s="17"/>
      <c r="AX42" s="17"/>
      <c r="AY42" s="17"/>
      <c r="AZ42" s="17"/>
      <c r="BA42" s="478"/>
      <c r="BB42" s="17"/>
      <c r="BE42" s="2"/>
      <c r="BF42" s="2"/>
      <c r="BG42" s="455" t="s">
        <v>238</v>
      </c>
      <c r="BH42" s="455" t="s">
        <v>238</v>
      </c>
      <c r="BI42" s="16"/>
      <c r="BK42" s="16"/>
      <c r="BM42" s="188">
        <v>2</v>
      </c>
      <c r="BN42" s="172" t="s">
        <v>174</v>
      </c>
      <c r="BO42" s="477" t="s">
        <v>148</v>
      </c>
      <c r="BP42" s="477" t="s">
        <v>148</v>
      </c>
      <c r="BQ42" s="172" t="s">
        <v>174</v>
      </c>
      <c r="BR42" s="224">
        <v>5</v>
      </c>
      <c r="BT42" s="2"/>
      <c r="BU42" s="2"/>
      <c r="BV42" s="2"/>
      <c r="BW42" s="2"/>
      <c r="BX42" s="2"/>
      <c r="BY42" s="2"/>
      <c r="BZ42" s="2"/>
      <c r="CA42" s="453" t="s">
        <v>222</v>
      </c>
      <c r="CB42" s="180"/>
      <c r="CC42" s="2"/>
      <c r="CD42" s="159"/>
      <c r="CE42" s="479" t="s">
        <v>249</v>
      </c>
      <c r="CF42" s="16"/>
      <c r="CG42" s="16"/>
      <c r="CH42" s="467" t="s">
        <v>245</v>
      </c>
      <c r="CI42" s="467" t="s">
        <v>245</v>
      </c>
      <c r="CJ42" s="16"/>
      <c r="CM42" s="474" t="s">
        <v>221</v>
      </c>
      <c r="CN42" s="474" t="s">
        <v>221</v>
      </c>
      <c r="CO42" s="16"/>
      <c r="CR42" s="16"/>
      <c r="CS42" s="16"/>
      <c r="CU42" s="779" t="s">
        <v>236</v>
      </c>
      <c r="CV42" s="779"/>
      <c r="CZ42" s="292">
        <v>4</v>
      </c>
      <c r="DA42" s="302" t="s">
        <v>229</v>
      </c>
      <c r="DB42" s="288" t="s">
        <v>220</v>
      </c>
      <c r="DC42" s="181"/>
      <c r="DJ42" s="173"/>
      <c r="DK42" s="173"/>
      <c r="DL42" s="16"/>
      <c r="DM42" s="9"/>
      <c r="DN42" s="9"/>
      <c r="DO42" s="16"/>
      <c r="DP42" s="16"/>
    </row>
    <row r="43" spans="1:120" s="5" customFormat="1" ht="19.5" customHeight="1" x14ac:dyDescent="0.25">
      <c r="A43" s="155"/>
      <c r="O43" s="155"/>
      <c r="P43" s="693"/>
      <c r="Q43" s="694"/>
      <c r="R43" s="694"/>
      <c r="S43" s="694"/>
      <c r="T43" s="694"/>
      <c r="U43" s="694"/>
      <c r="V43" s="694"/>
      <c r="W43" s="695"/>
      <c r="X43" s="9"/>
      <c r="Y43" s="81"/>
      <c r="Z43" s="81"/>
      <c r="AA43" s="16"/>
      <c r="AB43" s="459" t="s">
        <v>242</v>
      </c>
      <c r="AC43" s="9"/>
      <c r="AD43" s="459" t="s">
        <v>242</v>
      </c>
      <c r="AI43" s="704"/>
      <c r="AJ43" s="705"/>
      <c r="AK43" s="180"/>
      <c r="AL43" s="2"/>
      <c r="AM43" s="155"/>
      <c r="AN43" s="17"/>
      <c r="AO43" s="16"/>
      <c r="AP43" s="16"/>
      <c r="AQ43" s="16"/>
      <c r="AR43" s="16"/>
      <c r="AS43" s="16"/>
      <c r="AW43" s="2"/>
      <c r="AX43" s="2"/>
      <c r="AY43" s="17"/>
      <c r="AZ43" s="17"/>
      <c r="BA43" s="238"/>
      <c r="BB43" s="17"/>
      <c r="BE43" s="2"/>
      <c r="BF43" s="2"/>
      <c r="BG43" s="455" t="s">
        <v>238</v>
      </c>
      <c r="BH43" s="455" t="s">
        <v>238</v>
      </c>
      <c r="BI43" s="16"/>
      <c r="BK43" s="16"/>
      <c r="BM43" s="188">
        <v>3</v>
      </c>
      <c r="BN43" s="172" t="s">
        <v>174</v>
      </c>
      <c r="BO43" s="477" t="s">
        <v>148</v>
      </c>
      <c r="BP43" s="477" t="s">
        <v>148</v>
      </c>
      <c r="BQ43" s="172" t="s">
        <v>174</v>
      </c>
      <c r="BR43" s="224">
        <v>4</v>
      </c>
      <c r="BT43" s="2"/>
      <c r="BU43" s="2"/>
      <c r="BV43" s="2"/>
      <c r="BW43" s="2"/>
      <c r="BX43" s="2"/>
      <c r="BY43" s="2"/>
      <c r="BZ43" s="2"/>
      <c r="CA43" s="453" t="s">
        <v>222</v>
      </c>
      <c r="CB43" s="180"/>
      <c r="CC43" s="2"/>
      <c r="CD43" s="159"/>
      <c r="CE43" s="479" t="s">
        <v>249</v>
      </c>
      <c r="CF43" s="16"/>
      <c r="CG43" s="16"/>
      <c r="CH43" s="780" t="s">
        <v>252</v>
      </c>
      <c r="CI43" s="780"/>
      <c r="CJ43" s="16"/>
      <c r="CQ43" s="16"/>
      <c r="CR43" s="16"/>
      <c r="CS43" s="16"/>
      <c r="CZ43" s="292">
        <v>5</v>
      </c>
      <c r="DA43" s="302" t="s">
        <v>229</v>
      </c>
      <c r="DB43" s="288" t="s">
        <v>220</v>
      </c>
      <c r="DC43" s="181"/>
      <c r="DJ43" s="173"/>
      <c r="DK43" s="173"/>
      <c r="DL43" s="9"/>
      <c r="DM43" s="16"/>
      <c r="DN43" s="16"/>
      <c r="DO43" s="16"/>
      <c r="DP43" s="16"/>
    </row>
    <row r="44" spans="1:120" s="5" customFormat="1" ht="19.5" customHeight="1" x14ac:dyDescent="0.25">
      <c r="A44" s="155"/>
      <c r="C44" s="17"/>
      <c r="D44" s="17"/>
      <c r="E44" s="17"/>
      <c r="G44" s="17"/>
      <c r="H44" s="17"/>
      <c r="I44" s="17"/>
      <c r="J44" s="17"/>
      <c r="K44" s="17"/>
      <c r="O44" s="155"/>
      <c r="P44" s="693"/>
      <c r="Q44" s="694"/>
      <c r="R44" s="694"/>
      <c r="S44" s="694"/>
      <c r="T44" s="694"/>
      <c r="U44" s="694"/>
      <c r="V44" s="694"/>
      <c r="W44" s="695"/>
      <c r="X44" s="16"/>
      <c r="Y44" s="9"/>
      <c r="Z44" s="9"/>
      <c r="AA44" s="16"/>
      <c r="AB44" s="81"/>
      <c r="AC44" s="459" t="s">
        <v>242</v>
      </c>
      <c r="AD44" s="81"/>
      <c r="AI44" s="704"/>
      <c r="AJ44" s="705"/>
      <c r="AK44" s="180"/>
      <c r="AL44" s="2"/>
      <c r="AM44" s="155"/>
      <c r="AN44" s="453" t="s">
        <v>222</v>
      </c>
      <c r="AO44" s="113"/>
      <c r="AP44" s="16"/>
      <c r="AQ44" s="16"/>
      <c r="AR44" s="16"/>
      <c r="AT44" s="453" t="s">
        <v>222</v>
      </c>
      <c r="AU44" s="453" t="s">
        <v>222</v>
      </c>
      <c r="AV44" s="17"/>
      <c r="AW44" s="2"/>
      <c r="AX44" s="2"/>
      <c r="AY44" s="17"/>
      <c r="AZ44" s="17"/>
      <c r="BA44" s="238"/>
      <c r="BB44" s="17"/>
      <c r="BD44" s="17"/>
      <c r="BE44" s="2"/>
      <c r="BF44" s="2"/>
      <c r="BG44" s="448" t="s">
        <v>234</v>
      </c>
      <c r="BH44" s="448" t="s">
        <v>234</v>
      </c>
      <c r="BI44" s="2"/>
      <c r="BK44" s="16"/>
      <c r="BO44" s="172"/>
      <c r="BP44" s="172"/>
      <c r="BT44" s="2"/>
      <c r="BU44" s="2"/>
      <c r="BV44" s="2"/>
      <c r="BW44" s="2"/>
      <c r="BX44" s="2"/>
      <c r="BY44" s="2"/>
      <c r="CA44" s="453" t="s">
        <v>222</v>
      </c>
      <c r="CB44" s="180"/>
      <c r="CC44" s="2"/>
      <c r="CD44" s="159"/>
      <c r="CE44" s="479" t="s">
        <v>249</v>
      </c>
      <c r="CF44" s="16"/>
      <c r="CG44" s="16"/>
      <c r="CH44" s="467" t="s">
        <v>245</v>
      </c>
      <c r="CI44" s="467" t="s">
        <v>245</v>
      </c>
      <c r="CJ44" s="16"/>
      <c r="CM44" s="433" t="s">
        <v>225</v>
      </c>
      <c r="CN44" s="433" t="s">
        <v>225</v>
      </c>
      <c r="CO44" s="16"/>
      <c r="CQ44" s="16"/>
      <c r="CR44" s="16"/>
      <c r="CS44" s="16"/>
      <c r="CU44" s="455" t="s">
        <v>238</v>
      </c>
      <c r="CV44" s="455" t="s">
        <v>238</v>
      </c>
      <c r="CX44" s="16"/>
      <c r="CZ44" s="292">
        <v>6</v>
      </c>
      <c r="DA44" s="302" t="s">
        <v>229</v>
      </c>
      <c r="DB44" s="288" t="s">
        <v>220</v>
      </c>
      <c r="DC44" s="181"/>
      <c r="DJ44" s="173"/>
      <c r="DK44" s="173"/>
      <c r="DL44" s="9"/>
      <c r="DM44" s="16"/>
      <c r="DN44" s="16"/>
      <c r="DO44" s="16"/>
      <c r="DP44" s="9"/>
    </row>
    <row r="45" spans="1:120" s="5" customFormat="1" ht="19.5" customHeight="1" x14ac:dyDescent="0.25">
      <c r="A45" s="155"/>
      <c r="C45" s="17"/>
      <c r="D45" s="17"/>
      <c r="E45" s="17"/>
      <c r="G45" s="17"/>
      <c r="H45" s="17"/>
      <c r="I45" s="17"/>
      <c r="J45" s="17"/>
      <c r="K45" s="17"/>
      <c r="O45" s="155"/>
      <c r="P45" s="693"/>
      <c r="Q45" s="694"/>
      <c r="R45" s="694"/>
      <c r="S45" s="694"/>
      <c r="T45" s="694"/>
      <c r="U45" s="694"/>
      <c r="V45" s="694"/>
      <c r="W45" s="695"/>
      <c r="X45" s="9"/>
      <c r="Y45" s="16"/>
      <c r="Z45" s="16"/>
      <c r="AA45" s="16"/>
      <c r="AB45" s="16"/>
      <c r="AI45" s="704"/>
      <c r="AJ45" s="705"/>
      <c r="AK45" s="180"/>
      <c r="AL45" s="2"/>
      <c r="AM45" s="155"/>
      <c r="AN45" s="453" t="s">
        <v>222</v>
      </c>
      <c r="AO45" s="114"/>
      <c r="AP45" s="16"/>
      <c r="AQ45" s="16"/>
      <c r="AR45" s="110"/>
      <c r="AT45" s="453" t="s">
        <v>222</v>
      </c>
      <c r="AU45" s="453" t="s">
        <v>222</v>
      </c>
      <c r="AV45" s="2"/>
      <c r="AW45" s="2"/>
      <c r="AX45" s="2"/>
      <c r="AY45" s="17"/>
      <c r="AZ45" s="17"/>
      <c r="BA45" s="238"/>
      <c r="BB45" s="17"/>
      <c r="BD45" s="17"/>
      <c r="BE45" s="2"/>
      <c r="BF45" s="2"/>
      <c r="BG45" s="448" t="s">
        <v>234</v>
      </c>
      <c r="BH45" s="448" t="s">
        <v>234</v>
      </c>
      <c r="BI45" s="2"/>
      <c r="BK45" s="16"/>
      <c r="BN45" s="2"/>
      <c r="BO45" s="2"/>
      <c r="BP45" s="2"/>
      <c r="BQ45" s="16"/>
      <c r="BT45" s="2"/>
      <c r="BU45" s="2"/>
      <c r="BV45" s="2"/>
      <c r="BW45" s="2"/>
      <c r="BX45" s="2"/>
      <c r="BY45" s="2"/>
      <c r="CA45" s="453" t="s">
        <v>222</v>
      </c>
      <c r="CB45" s="180"/>
      <c r="CC45" s="2"/>
      <c r="CD45" s="159"/>
      <c r="CE45" s="479" t="s">
        <v>249</v>
      </c>
      <c r="CH45" s="467" t="s">
        <v>245</v>
      </c>
      <c r="CI45" s="467" t="s">
        <v>245</v>
      </c>
      <c r="CM45" s="433" t="s">
        <v>225</v>
      </c>
      <c r="CN45" s="433" t="s">
        <v>225</v>
      </c>
      <c r="CO45" s="16"/>
      <c r="CQ45" s="16"/>
      <c r="CR45" s="16"/>
      <c r="CS45" s="16"/>
      <c r="CU45" s="455" t="s">
        <v>238</v>
      </c>
      <c r="CV45" s="455" t="s">
        <v>238</v>
      </c>
      <c r="CZ45" s="115"/>
      <c r="DA45" s="301"/>
      <c r="DB45" s="315"/>
      <c r="DC45" s="181"/>
      <c r="DJ45" s="173"/>
      <c r="DK45" s="173"/>
      <c r="DL45" s="9"/>
      <c r="DM45" s="9"/>
      <c r="DN45" s="16"/>
      <c r="DO45" s="16"/>
      <c r="DP45" s="16"/>
    </row>
    <row r="46" spans="1:120" s="5" customFormat="1" ht="19.5" customHeight="1" thickBot="1" x14ac:dyDescent="0.3">
      <c r="A46" s="155"/>
      <c r="C46" s="17"/>
      <c r="D46" s="17"/>
      <c r="E46" s="17"/>
      <c r="G46" s="17"/>
      <c r="H46" s="17"/>
      <c r="I46" s="17"/>
      <c r="J46" s="17"/>
      <c r="K46" s="17"/>
      <c r="O46" s="155"/>
      <c r="P46" s="696"/>
      <c r="Q46" s="697"/>
      <c r="R46" s="697"/>
      <c r="S46" s="697"/>
      <c r="T46" s="697"/>
      <c r="U46" s="697"/>
      <c r="V46" s="697"/>
      <c r="W46" s="698"/>
      <c r="X46" s="9"/>
      <c r="Y46" s="16"/>
      <c r="Z46" s="16"/>
      <c r="AA46" s="16"/>
      <c r="AB46" s="9"/>
      <c r="AI46" s="704"/>
      <c r="AJ46" s="705"/>
      <c r="AK46" s="180"/>
      <c r="AL46" s="2"/>
      <c r="AM46" s="155"/>
      <c r="AN46" s="453" t="s">
        <v>222</v>
      </c>
      <c r="AO46" s="71"/>
      <c r="AP46" s="71"/>
      <c r="AQ46" s="71"/>
      <c r="AR46" s="110"/>
      <c r="AT46" s="778" t="s">
        <v>253</v>
      </c>
      <c r="AU46" s="781"/>
      <c r="AW46" s="2"/>
      <c r="AX46" s="2"/>
      <c r="AY46" s="17"/>
      <c r="AZ46" s="17"/>
      <c r="BA46" s="238"/>
      <c r="BB46" s="17"/>
      <c r="BE46" s="2"/>
      <c r="BF46" s="2"/>
      <c r="BK46" s="16"/>
      <c r="BN46" s="2"/>
      <c r="BO46" s="479" t="s">
        <v>249</v>
      </c>
      <c r="BP46" s="479" t="s">
        <v>249</v>
      </c>
      <c r="BQ46" s="16"/>
      <c r="BT46" s="2"/>
      <c r="BU46" s="2"/>
      <c r="BV46" s="2"/>
      <c r="BW46" s="2"/>
      <c r="BX46" s="2"/>
      <c r="BY46" s="2"/>
      <c r="CA46" s="453" t="s">
        <v>222</v>
      </c>
      <c r="CB46" s="159"/>
      <c r="CC46" s="2"/>
      <c r="CD46" s="159"/>
      <c r="CE46" s="479" t="s">
        <v>249</v>
      </c>
      <c r="CH46" s="467" t="s">
        <v>245</v>
      </c>
      <c r="CI46" s="467" t="s">
        <v>245</v>
      </c>
      <c r="CM46" s="780" t="s">
        <v>254</v>
      </c>
      <c r="CN46" s="780"/>
      <c r="CO46" s="16"/>
      <c r="CQ46" s="16"/>
      <c r="CR46" s="16"/>
      <c r="CS46" s="16"/>
      <c r="CU46" s="455" t="s">
        <v>238</v>
      </c>
      <c r="CV46" s="455" t="s">
        <v>238</v>
      </c>
      <c r="CW46" s="16"/>
      <c r="CX46" s="16"/>
      <c r="DB46" s="301"/>
      <c r="DC46" s="159"/>
    </row>
    <row r="47" spans="1:120" s="5" customFormat="1" ht="19.5" customHeight="1" x14ac:dyDescent="0.25">
      <c r="A47" s="155"/>
      <c r="C47" s="17"/>
      <c r="D47" s="17"/>
      <c r="E47" s="17"/>
      <c r="G47" s="17"/>
      <c r="H47" s="17"/>
      <c r="I47" s="17"/>
      <c r="J47" s="17"/>
      <c r="K47" s="17"/>
      <c r="O47" s="155"/>
      <c r="P47" s="239"/>
      <c r="Q47" s="173"/>
      <c r="R47" s="173"/>
      <c r="S47" s="173"/>
      <c r="T47" s="173"/>
      <c r="U47" s="173"/>
      <c r="V47" s="173"/>
      <c r="W47" s="173"/>
      <c r="X47" s="9"/>
      <c r="Y47" s="9"/>
      <c r="Z47" s="16"/>
      <c r="AA47" s="16"/>
      <c r="AB47" s="16"/>
      <c r="AC47" s="16"/>
      <c r="AI47" s="704"/>
      <c r="AJ47" s="705"/>
      <c r="AK47" s="159"/>
      <c r="AL47" s="2"/>
      <c r="AM47" s="155"/>
      <c r="AN47" s="453" t="s">
        <v>222</v>
      </c>
      <c r="AO47" s="71"/>
      <c r="AP47" s="71"/>
      <c r="AQ47" s="71"/>
      <c r="AR47" s="778"/>
      <c r="AS47" s="781"/>
      <c r="AT47" s="433" t="s">
        <v>225</v>
      </c>
      <c r="AU47" s="433" t="s">
        <v>225</v>
      </c>
      <c r="AW47" s="2"/>
      <c r="AX47" s="2"/>
      <c r="AY47" s="17"/>
      <c r="AZ47" s="17"/>
      <c r="BA47" s="240"/>
      <c r="BB47" s="17"/>
      <c r="BC47" s="17"/>
      <c r="BD47" s="17"/>
      <c r="BE47" s="2"/>
      <c r="BF47" s="2"/>
      <c r="BK47" s="16"/>
      <c r="BN47" s="16"/>
      <c r="BQ47" s="16"/>
      <c r="BV47" s="233">
        <v>1</v>
      </c>
      <c r="CA47" s="2"/>
      <c r="CB47" s="180"/>
      <c r="CC47" s="2"/>
      <c r="CD47" s="159"/>
      <c r="CE47" s="479" t="s">
        <v>249</v>
      </c>
      <c r="CH47" s="780" t="s">
        <v>255</v>
      </c>
      <c r="CI47" s="780"/>
      <c r="CQ47" s="16"/>
      <c r="CR47" s="16"/>
      <c r="CS47" s="16"/>
      <c r="CU47" s="455" t="s">
        <v>238</v>
      </c>
      <c r="CV47" s="455" t="s">
        <v>238</v>
      </c>
      <c r="CW47" s="16"/>
      <c r="CX47" s="16"/>
      <c r="CZ47" s="16"/>
      <c r="DA47" s="772" t="s">
        <v>236</v>
      </c>
      <c r="DB47" s="772"/>
      <c r="DC47" s="181"/>
    </row>
    <row r="48" spans="1:120" s="5" customFormat="1" ht="19.5" customHeight="1" thickBot="1" x14ac:dyDescent="0.3">
      <c r="A48" s="155"/>
      <c r="C48" s="17"/>
      <c r="D48" s="17"/>
      <c r="E48" s="17"/>
      <c r="F48" s="17"/>
      <c r="G48" s="17"/>
      <c r="H48" s="17"/>
      <c r="I48" s="17"/>
      <c r="J48" s="17"/>
      <c r="K48" s="17"/>
      <c r="O48" s="155"/>
      <c r="P48" s="239"/>
      <c r="Q48" s="173"/>
      <c r="R48" s="173"/>
      <c r="S48" s="173"/>
      <c r="T48" s="173"/>
      <c r="U48" s="173"/>
      <c r="AC48" s="16"/>
      <c r="AI48" s="706"/>
      <c r="AJ48" s="707"/>
      <c r="AK48" s="180"/>
      <c r="AL48" s="2"/>
      <c r="AM48" s="155"/>
      <c r="AN48" s="453" t="s">
        <v>222</v>
      </c>
      <c r="AO48" s="16"/>
      <c r="AP48" s="16"/>
      <c r="AQ48" s="16"/>
      <c r="AR48" s="16"/>
      <c r="AS48" s="16"/>
      <c r="AT48" s="433" t="s">
        <v>225</v>
      </c>
      <c r="AU48" s="433" t="s">
        <v>225</v>
      </c>
      <c r="AW48" s="2"/>
      <c r="AX48" s="16"/>
      <c r="AY48" s="16"/>
      <c r="AZ48" s="16"/>
      <c r="BA48" s="155"/>
      <c r="BB48" s="17"/>
      <c r="BC48" s="17"/>
      <c r="BD48" s="17"/>
      <c r="BE48" s="2"/>
      <c r="BG48" s="727" t="s">
        <v>195</v>
      </c>
      <c r="BH48" s="727"/>
      <c r="BJ48" s="16"/>
      <c r="BK48" s="16"/>
      <c r="BL48" s="9"/>
      <c r="BN48" s="16"/>
      <c r="BO48" s="479" t="s">
        <v>249</v>
      </c>
      <c r="BP48" s="479" t="s">
        <v>249</v>
      </c>
      <c r="BQ48" s="16"/>
      <c r="BV48" s="241" t="s">
        <v>174</v>
      </c>
      <c r="BZ48" s="2"/>
      <c r="CA48" s="2"/>
      <c r="CB48" s="180"/>
      <c r="CC48" s="2"/>
      <c r="CD48" s="159"/>
      <c r="CF48" s="16"/>
      <c r="CG48" s="22" t="s">
        <v>199</v>
      </c>
      <c r="CH48" s="242"/>
      <c r="CI48" s="242"/>
      <c r="CJ48" s="16"/>
      <c r="CQ48" s="16"/>
      <c r="CR48" s="16"/>
      <c r="CS48" s="16"/>
      <c r="CT48" s="16"/>
      <c r="CU48" s="455" t="s">
        <v>238</v>
      </c>
      <c r="CV48" s="455" t="s">
        <v>238</v>
      </c>
      <c r="CW48" s="16"/>
      <c r="CX48" s="16"/>
      <c r="CZ48" s="16"/>
      <c r="DA48" s="16"/>
      <c r="DB48" s="435" t="s">
        <v>219</v>
      </c>
      <c r="DC48" s="181"/>
    </row>
    <row r="49" spans="1:120" s="5" customFormat="1" ht="19.5" customHeight="1" thickBot="1" x14ac:dyDescent="0.3">
      <c r="A49" s="155"/>
      <c r="C49" s="17"/>
      <c r="D49" s="17"/>
      <c r="E49" s="17"/>
      <c r="F49" s="17"/>
      <c r="G49" s="17"/>
      <c r="H49" s="17"/>
      <c r="I49" s="17"/>
      <c r="J49" s="17"/>
      <c r="K49" s="17"/>
      <c r="O49" s="155"/>
      <c r="P49" s="239"/>
      <c r="Q49" s="173"/>
      <c r="R49" s="173"/>
      <c r="S49" s="173"/>
      <c r="T49" s="173"/>
      <c r="U49" s="173"/>
      <c r="AC49" s="16"/>
      <c r="AD49" s="16"/>
      <c r="AE49" s="243"/>
      <c r="AF49" s="244"/>
      <c r="AG49" s="244"/>
      <c r="AH49" s="244"/>
      <c r="AI49" s="245"/>
      <c r="AJ49" s="246"/>
      <c r="AK49" s="180"/>
      <c r="AL49" s="2"/>
      <c r="AM49" s="155"/>
      <c r="AN49" s="453" t="s">
        <v>222</v>
      </c>
      <c r="AO49" s="71"/>
      <c r="AP49" s="71"/>
      <c r="AQ49" s="71"/>
      <c r="AR49" s="71"/>
      <c r="AS49" s="16"/>
      <c r="AT49" s="433" t="s">
        <v>225</v>
      </c>
      <c r="AU49" s="433" t="s">
        <v>225</v>
      </c>
      <c r="AV49" s="16"/>
      <c r="AW49" s="2"/>
      <c r="AX49" s="2"/>
      <c r="AY49" s="17"/>
      <c r="AZ49" s="17"/>
      <c r="BA49" s="155"/>
      <c r="BB49" s="17"/>
      <c r="BC49" s="17"/>
      <c r="BD49" s="17"/>
      <c r="BE49" s="119"/>
      <c r="BF49" s="22" t="s">
        <v>203</v>
      </c>
      <c r="BG49" s="218"/>
      <c r="BH49" s="218"/>
      <c r="BI49" s="247" t="s">
        <v>204</v>
      </c>
      <c r="BJ49" s="16"/>
      <c r="BK49" s="16"/>
      <c r="BN49" s="16"/>
      <c r="BO49" s="479" t="s">
        <v>249</v>
      </c>
      <c r="BP49" s="479" t="s">
        <v>249</v>
      </c>
      <c r="BQ49" s="16"/>
      <c r="BT49" s="22" t="s">
        <v>205</v>
      </c>
      <c r="BU49" s="248" t="s">
        <v>256</v>
      </c>
      <c r="BV49" s="432" t="s">
        <v>112</v>
      </c>
      <c r="BW49" s="248" t="s">
        <v>256</v>
      </c>
      <c r="BZ49" s="2"/>
      <c r="CA49" s="2"/>
      <c r="CB49" s="180"/>
      <c r="CC49" s="2"/>
      <c r="CD49" s="159"/>
      <c r="CE49" s="121" t="s">
        <v>206</v>
      </c>
      <c r="CF49" s="219">
        <v>1</v>
      </c>
      <c r="CG49" s="249" t="s">
        <v>174</v>
      </c>
      <c r="CH49" s="480" t="s">
        <v>151</v>
      </c>
      <c r="CI49" s="480" t="s">
        <v>151</v>
      </c>
      <c r="CJ49" s="249" t="s">
        <v>174</v>
      </c>
      <c r="CK49" s="224">
        <v>4</v>
      </c>
      <c r="CQ49" s="16"/>
      <c r="CR49" s="16"/>
      <c r="CS49" s="16"/>
      <c r="CT49" s="16"/>
      <c r="CU49" s="16"/>
      <c r="CV49" s="16"/>
      <c r="CW49" s="16"/>
      <c r="CX49" s="16"/>
      <c r="DA49" s="16"/>
      <c r="DB49" s="435" t="s">
        <v>219</v>
      </c>
      <c r="DC49" s="181"/>
    </row>
    <row r="50" spans="1:120" s="5" customFormat="1" ht="19.5" customHeight="1" thickBot="1" x14ac:dyDescent="0.3">
      <c r="A50" s="155"/>
      <c r="C50" s="17"/>
      <c r="D50" s="17"/>
      <c r="E50" s="17"/>
      <c r="F50" s="17"/>
      <c r="G50" s="17"/>
      <c r="H50" s="17"/>
      <c r="I50" s="17"/>
      <c r="J50" s="17"/>
      <c r="K50" s="17"/>
      <c r="O50" s="155"/>
      <c r="P50" s="173"/>
      <c r="Q50" s="173"/>
      <c r="R50" s="173"/>
      <c r="S50" s="173"/>
      <c r="T50" s="173"/>
      <c r="U50" s="173"/>
      <c r="AC50" s="16"/>
      <c r="AD50" s="16"/>
      <c r="AE50" s="250"/>
      <c r="AF50" s="173"/>
      <c r="AG50" s="173"/>
      <c r="AH50" s="173"/>
      <c r="AI50" s="184"/>
      <c r="AJ50" s="251"/>
      <c r="AK50" s="180"/>
      <c r="AL50" s="2"/>
      <c r="AM50" s="155"/>
      <c r="AN50" s="453" t="s">
        <v>222</v>
      </c>
      <c r="AO50" s="16"/>
      <c r="AP50" s="16"/>
      <c r="AQ50" s="16"/>
      <c r="AR50" s="16"/>
      <c r="AS50" s="16"/>
      <c r="AT50" s="433" t="s">
        <v>225</v>
      </c>
      <c r="AU50" s="433" t="s">
        <v>225</v>
      </c>
      <c r="AV50" s="16"/>
      <c r="AW50" s="2"/>
      <c r="AX50" s="17"/>
      <c r="AY50" s="17"/>
      <c r="AZ50" s="17"/>
      <c r="BA50" s="155"/>
      <c r="BB50" s="17"/>
      <c r="BC50" s="17"/>
      <c r="BD50" s="17"/>
      <c r="BE50" s="219">
        <v>1</v>
      </c>
      <c r="BF50" s="220" t="s">
        <v>174</v>
      </c>
      <c r="BG50" s="481" t="s">
        <v>23</v>
      </c>
      <c r="BH50" s="481" t="s">
        <v>23</v>
      </c>
      <c r="BI50" s="220" t="s">
        <v>174</v>
      </c>
      <c r="BJ50" s="189">
        <v>8</v>
      </c>
      <c r="BK50" s="122"/>
      <c r="BL50" s="9"/>
      <c r="BM50" s="19"/>
      <c r="BN50" s="16"/>
      <c r="BO50" s="479" t="s">
        <v>249</v>
      </c>
      <c r="BP50" s="479" t="s">
        <v>249</v>
      </c>
      <c r="BQ50" s="16"/>
      <c r="BS50" s="252">
        <v>4</v>
      </c>
      <c r="BT50" s="241" t="s">
        <v>174</v>
      </c>
      <c r="BU50" s="432" t="s">
        <v>112</v>
      </c>
      <c r="BV50" s="248" t="s">
        <v>257</v>
      </c>
      <c r="BW50" s="432" t="s">
        <v>112</v>
      </c>
      <c r="BX50" s="241" t="s">
        <v>174</v>
      </c>
      <c r="BY50" s="253">
        <v>2</v>
      </c>
      <c r="BZ50" s="2"/>
      <c r="CA50" s="2"/>
      <c r="CB50" s="180"/>
      <c r="CC50" s="2"/>
      <c r="CD50" s="159"/>
      <c r="CE50" s="121" t="s">
        <v>207</v>
      </c>
      <c r="CF50" s="188">
        <v>2</v>
      </c>
      <c r="CG50" s="249" t="s">
        <v>174</v>
      </c>
      <c r="CH50" s="480" t="s">
        <v>151</v>
      </c>
      <c r="CI50" s="480" t="s">
        <v>151</v>
      </c>
      <c r="CJ50" s="249" t="s">
        <v>174</v>
      </c>
      <c r="CK50" s="224">
        <v>3</v>
      </c>
      <c r="CM50" s="776" t="s">
        <v>258</v>
      </c>
      <c r="CN50" s="776"/>
      <c r="CO50" s="16"/>
      <c r="CQ50" s="16"/>
      <c r="CR50" s="16"/>
      <c r="DA50" s="16"/>
      <c r="DB50" s="435" t="s">
        <v>219</v>
      </c>
      <c r="DC50" s="181"/>
    </row>
    <row r="51" spans="1:120" s="5" customFormat="1" ht="19.5" customHeight="1" thickBot="1" x14ac:dyDescent="0.3">
      <c r="A51" s="155"/>
      <c r="C51" s="17"/>
      <c r="D51" s="17"/>
      <c r="E51" s="17"/>
      <c r="F51" s="17"/>
      <c r="G51" s="17"/>
      <c r="H51" s="17"/>
      <c r="I51" s="17"/>
      <c r="J51" s="17"/>
      <c r="K51" s="17"/>
      <c r="O51" s="155"/>
      <c r="P51" s="173"/>
      <c r="Q51" s="173"/>
      <c r="R51" s="173"/>
      <c r="S51" s="173"/>
      <c r="T51" s="173"/>
      <c r="U51" s="173"/>
      <c r="AC51" s="16"/>
      <c r="AD51" s="16"/>
      <c r="AE51" s="250"/>
      <c r="AF51" s="173"/>
      <c r="AG51" s="173"/>
      <c r="AH51" s="173"/>
      <c r="AI51" s="184"/>
      <c r="AJ51" s="251"/>
      <c r="AK51" s="180"/>
      <c r="AL51" s="2"/>
      <c r="AM51" s="155"/>
      <c r="AN51" s="453" t="s">
        <v>222</v>
      </c>
      <c r="AO51" s="16"/>
      <c r="AP51" s="16"/>
      <c r="AQ51" s="16"/>
      <c r="AR51" s="16"/>
      <c r="AS51" s="16"/>
      <c r="AT51" s="433" t="s">
        <v>225</v>
      </c>
      <c r="AU51" s="433" t="s">
        <v>225</v>
      </c>
      <c r="AV51" s="2"/>
      <c r="AW51" s="17"/>
      <c r="AX51" s="17"/>
      <c r="AZ51" s="433" t="s">
        <v>225</v>
      </c>
      <c r="BA51" s="155"/>
      <c r="BB51" s="17"/>
      <c r="BC51" s="773" t="s">
        <v>206</v>
      </c>
      <c r="BD51" s="774"/>
      <c r="BE51" s="188">
        <v>2</v>
      </c>
      <c r="BF51" s="220" t="s">
        <v>174</v>
      </c>
      <c r="BG51" s="481" t="s">
        <v>23</v>
      </c>
      <c r="BH51" s="481" t="s">
        <v>23</v>
      </c>
      <c r="BI51" s="220" t="s">
        <v>174</v>
      </c>
      <c r="BJ51" s="189">
        <v>7</v>
      </c>
      <c r="BK51" s="122"/>
      <c r="BL51" s="9"/>
      <c r="BM51" s="9"/>
      <c r="BN51" s="9"/>
      <c r="BO51" s="9"/>
      <c r="BP51" s="9"/>
      <c r="BQ51" s="9"/>
      <c r="BU51" s="248" t="s">
        <v>256</v>
      </c>
      <c r="BV51" s="432" t="s">
        <v>112</v>
      </c>
      <c r="BW51" s="248" t="s">
        <v>256</v>
      </c>
      <c r="BZ51" s="2"/>
      <c r="CA51" s="2"/>
      <c r="CB51" s="160"/>
      <c r="CC51" s="2"/>
      <c r="CD51" s="159"/>
      <c r="CE51" s="482" t="s">
        <v>259</v>
      </c>
      <c r="CF51" s="16"/>
      <c r="CG51" s="16"/>
      <c r="CH51" s="242"/>
      <c r="CI51" s="242"/>
      <c r="CJ51" s="16"/>
      <c r="CM51" s="433" t="s">
        <v>225</v>
      </c>
      <c r="CN51" s="433" t="s">
        <v>225</v>
      </c>
      <c r="CO51" s="16"/>
      <c r="CQ51" s="16"/>
      <c r="CR51" s="16"/>
      <c r="CU51" s="435" t="s">
        <v>219</v>
      </c>
      <c r="CV51" s="435" t="s">
        <v>219</v>
      </c>
      <c r="DA51" s="16"/>
      <c r="DB51" s="435" t="s">
        <v>219</v>
      </c>
      <c r="DC51" s="160"/>
    </row>
    <row r="52" spans="1:120" s="5" customFormat="1" ht="19.5" customHeight="1" x14ac:dyDescent="0.25">
      <c r="A52" s="155"/>
      <c r="C52" s="17"/>
      <c r="D52" s="17"/>
      <c r="E52" s="17"/>
      <c r="F52" s="17"/>
      <c r="G52" s="17"/>
      <c r="H52" s="17"/>
      <c r="I52" s="17"/>
      <c r="J52" s="17"/>
      <c r="K52" s="17"/>
      <c r="O52" s="155"/>
      <c r="P52" s="173"/>
      <c r="Q52" s="173"/>
      <c r="R52" s="173"/>
      <c r="S52" s="173"/>
      <c r="T52" s="173"/>
      <c r="U52" s="173"/>
      <c r="AC52" s="9"/>
      <c r="AD52" s="9"/>
      <c r="AE52" s="250"/>
      <c r="AF52" s="173"/>
      <c r="AG52" s="173"/>
      <c r="AH52" s="173"/>
      <c r="AI52" s="184"/>
      <c r="AJ52" s="251"/>
      <c r="AK52" s="160"/>
      <c r="AL52" s="2"/>
      <c r="AM52" s="155"/>
      <c r="AN52" s="16"/>
      <c r="AO52" s="16"/>
      <c r="AP52" s="16"/>
      <c r="AQ52" s="16"/>
      <c r="AR52" s="16"/>
      <c r="AS52" s="110"/>
      <c r="AT52" s="479" t="s">
        <v>249</v>
      </c>
      <c r="AU52" s="479" t="s">
        <v>249</v>
      </c>
      <c r="AV52" s="16"/>
      <c r="AW52" s="17"/>
      <c r="AX52" s="71"/>
      <c r="AY52" s="775" t="s">
        <v>260</v>
      </c>
      <c r="AZ52" s="775"/>
      <c r="BA52" s="155"/>
      <c r="BB52" s="155"/>
      <c r="BC52" s="155"/>
      <c r="BD52" s="155"/>
      <c r="BE52" s="188">
        <v>3</v>
      </c>
      <c r="BF52" s="220" t="s">
        <v>174</v>
      </c>
      <c r="BG52" s="481" t="s">
        <v>23</v>
      </c>
      <c r="BH52" s="481" t="s">
        <v>23</v>
      </c>
      <c r="BI52" s="220" t="s">
        <v>174</v>
      </c>
      <c r="BJ52" s="189">
        <v>6</v>
      </c>
      <c r="BK52" s="122"/>
      <c r="BL52" s="9"/>
      <c r="BM52" s="9"/>
      <c r="BN52" s="16"/>
      <c r="BQ52" s="16"/>
      <c r="BV52" s="241" t="s">
        <v>174</v>
      </c>
      <c r="BZ52" s="10"/>
      <c r="CA52" s="9"/>
      <c r="CB52" s="160"/>
      <c r="CC52" s="2"/>
      <c r="CD52" s="159"/>
      <c r="CE52" s="482" t="s">
        <v>259</v>
      </c>
      <c r="CF52" s="16"/>
      <c r="CH52" s="688" t="s">
        <v>181</v>
      </c>
      <c r="CI52" s="688"/>
      <c r="CJ52" s="16"/>
      <c r="CM52" s="433" t="s">
        <v>225</v>
      </c>
      <c r="CN52" s="433" t="s">
        <v>225</v>
      </c>
      <c r="CQ52" s="16"/>
      <c r="CR52" s="16"/>
      <c r="CU52" s="435" t="s">
        <v>219</v>
      </c>
      <c r="CV52" s="435" t="s">
        <v>219</v>
      </c>
      <c r="DA52" s="16"/>
      <c r="DB52" s="435" t="s">
        <v>219</v>
      </c>
      <c r="DC52" s="160"/>
    </row>
    <row r="53" spans="1:120" s="5" customFormat="1" ht="19.5" customHeight="1" x14ac:dyDescent="0.25">
      <c r="A53" s="155"/>
      <c r="C53" s="17"/>
      <c r="D53" s="17"/>
      <c r="E53" s="17"/>
      <c r="F53" s="17"/>
      <c r="G53" s="17"/>
      <c r="H53" s="17"/>
      <c r="I53" s="17"/>
      <c r="J53" s="17"/>
      <c r="K53" s="17"/>
      <c r="O53" s="155"/>
      <c r="Q53" s="173"/>
      <c r="R53" s="173"/>
      <c r="S53" s="173"/>
      <c r="T53" s="173"/>
      <c r="U53" s="173"/>
      <c r="AC53" s="16"/>
      <c r="AD53" s="16"/>
      <c r="AE53" s="250"/>
      <c r="AF53" s="2"/>
      <c r="AG53" s="173"/>
      <c r="AH53" s="173"/>
      <c r="AI53" s="184"/>
      <c r="AJ53" s="251"/>
      <c r="AK53" s="160"/>
      <c r="AL53" s="2"/>
      <c r="AM53" s="155"/>
      <c r="AN53" s="16"/>
      <c r="AO53" s="16"/>
      <c r="AP53" s="16"/>
      <c r="AQ53" s="16"/>
      <c r="AS53" s="16"/>
      <c r="AT53" s="479" t="s">
        <v>249</v>
      </c>
      <c r="AU53" s="479" t="s">
        <v>249</v>
      </c>
      <c r="AW53" s="16"/>
      <c r="AX53" s="71"/>
      <c r="AY53" s="16"/>
      <c r="AZ53" s="16"/>
      <c r="BA53" s="155"/>
      <c r="BB53" s="17"/>
      <c r="BC53" s="17"/>
      <c r="BD53" s="125"/>
      <c r="BE53" s="186">
        <v>4</v>
      </c>
      <c r="BF53" s="220" t="s">
        <v>174</v>
      </c>
      <c r="BG53" s="481" t="s">
        <v>23</v>
      </c>
      <c r="BH53" s="481" t="s">
        <v>23</v>
      </c>
      <c r="BI53" s="220" t="s">
        <v>174</v>
      </c>
      <c r="BJ53" s="189">
        <v>5</v>
      </c>
      <c r="BK53" s="122"/>
      <c r="BL53" s="9"/>
      <c r="BM53" s="9"/>
      <c r="BN53" s="9"/>
      <c r="BQ53" s="16"/>
      <c r="BV53" s="233">
        <v>3</v>
      </c>
      <c r="BZ53" s="10"/>
      <c r="CA53" s="9"/>
      <c r="CB53" s="160"/>
      <c r="CC53" s="2"/>
      <c r="CD53" s="159"/>
      <c r="CE53" s="482" t="s">
        <v>259</v>
      </c>
      <c r="CF53" s="16"/>
      <c r="CJ53" s="16"/>
      <c r="CM53" s="433" t="s">
        <v>225</v>
      </c>
      <c r="CN53" s="433" t="s">
        <v>225</v>
      </c>
      <c r="CO53" s="16"/>
      <c r="CQ53" s="16"/>
      <c r="CR53" s="16"/>
      <c r="CU53" s="435" t="s">
        <v>219</v>
      </c>
      <c r="CV53" s="435" t="s">
        <v>219</v>
      </c>
      <c r="DB53" s="435" t="s">
        <v>219</v>
      </c>
      <c r="DC53" s="160"/>
      <c r="DJ53" s="173"/>
      <c r="DK53" s="173"/>
      <c r="DL53" s="9"/>
      <c r="DM53" s="81"/>
      <c r="DN53" s="81"/>
      <c r="DO53" s="16"/>
      <c r="DP53" s="16"/>
    </row>
    <row r="54" spans="1:120" s="5" customFormat="1" ht="19.5" customHeight="1" x14ac:dyDescent="0.25">
      <c r="A54" s="155"/>
      <c r="C54" s="17"/>
      <c r="J54" s="17"/>
      <c r="K54" s="17"/>
      <c r="N54" s="173"/>
      <c r="O54" s="155"/>
      <c r="P54" s="173"/>
      <c r="Q54" s="173"/>
      <c r="R54" s="173"/>
      <c r="S54" s="173"/>
      <c r="T54" s="173"/>
      <c r="U54" s="173"/>
      <c r="AC54" s="16"/>
      <c r="AD54" s="16"/>
      <c r="AE54" s="250"/>
      <c r="AF54" s="173"/>
      <c r="AG54" s="254" t="s">
        <v>180</v>
      </c>
      <c r="AH54" s="173"/>
      <c r="AI54" s="184"/>
      <c r="AJ54" s="251"/>
      <c r="AK54" s="160"/>
      <c r="AL54" s="2"/>
      <c r="AM54" s="155"/>
      <c r="AN54" s="16"/>
      <c r="AO54" s="16"/>
      <c r="AP54" s="16"/>
      <c r="AQ54" s="16"/>
      <c r="AR54" s="16"/>
      <c r="AS54" s="16"/>
      <c r="AT54" s="483" t="s">
        <v>249</v>
      </c>
      <c r="AU54" s="483" t="s">
        <v>249</v>
      </c>
      <c r="AV54" s="16"/>
      <c r="AW54" s="16"/>
      <c r="AX54" s="17"/>
      <c r="AY54" s="16"/>
      <c r="AZ54" s="16"/>
      <c r="BA54" s="155"/>
      <c r="BB54" s="17"/>
      <c r="BC54" s="17"/>
      <c r="BD54" s="255"/>
      <c r="BE54" s="9"/>
      <c r="BF54" s="9"/>
      <c r="BG54" s="218"/>
      <c r="BH54" s="218"/>
      <c r="BI54" s="173"/>
      <c r="BJ54" s="9"/>
      <c r="BK54" s="16"/>
      <c r="BL54" s="9"/>
      <c r="BM54" s="9"/>
      <c r="BN54" s="9"/>
      <c r="BQ54" s="16"/>
      <c r="BT54" s="9"/>
      <c r="BU54" s="688" t="s">
        <v>181</v>
      </c>
      <c r="BV54" s="688"/>
      <c r="BW54" s="688"/>
      <c r="BX54" s="9"/>
      <c r="BY54" s="9"/>
      <c r="BZ54" s="10"/>
      <c r="CA54" s="9"/>
      <c r="CB54" s="160"/>
      <c r="CC54" s="2"/>
      <c r="CD54" s="159"/>
      <c r="CE54" s="482" t="s">
        <v>259</v>
      </c>
      <c r="CF54" s="16"/>
      <c r="CG54" s="16"/>
      <c r="CH54" s="434" t="s">
        <v>222</v>
      </c>
      <c r="CI54" s="434" t="s">
        <v>222</v>
      </c>
      <c r="CJ54" s="16"/>
      <c r="CO54" s="16"/>
      <c r="CQ54" s="16"/>
      <c r="CR54" s="16"/>
      <c r="CV54" s="16"/>
      <c r="CW54" s="16"/>
      <c r="DA54" s="16"/>
      <c r="DB54" s="16"/>
      <c r="DC54" s="160"/>
      <c r="DJ54" s="173"/>
      <c r="DK54" s="173"/>
      <c r="DL54" s="16"/>
      <c r="DM54" s="9"/>
      <c r="DN54" s="9"/>
      <c r="DO54" s="16"/>
      <c r="DP54" s="16"/>
    </row>
    <row r="55" spans="1:120" s="5" customFormat="1" ht="19.5" customHeight="1" x14ac:dyDescent="0.2">
      <c r="A55" s="155"/>
      <c r="B55" s="17"/>
      <c r="C55" s="17"/>
      <c r="D55" s="17"/>
      <c r="E55" s="17"/>
      <c r="F55" s="17"/>
      <c r="G55" s="17"/>
      <c r="H55" s="17"/>
      <c r="I55" s="17"/>
      <c r="J55" s="17"/>
      <c r="K55" s="17"/>
      <c r="N55" s="173"/>
      <c r="O55" s="173"/>
      <c r="P55" s="155"/>
      <c r="Q55" s="173"/>
      <c r="R55" s="173"/>
      <c r="S55" s="173"/>
      <c r="T55" s="173"/>
      <c r="U55" s="173"/>
      <c r="AC55" s="16"/>
      <c r="AD55" s="16"/>
      <c r="AE55" s="250"/>
      <c r="AF55" s="173"/>
      <c r="AG55" s="173"/>
      <c r="AH55" s="173"/>
      <c r="AI55" s="184"/>
      <c r="AJ55" s="251"/>
      <c r="AK55" s="160"/>
      <c r="AL55" s="2"/>
      <c r="AM55" s="155"/>
      <c r="AN55" s="16"/>
      <c r="AO55" s="16"/>
      <c r="AP55" s="16"/>
      <c r="AQ55" s="16"/>
      <c r="AR55" s="16"/>
      <c r="AS55" s="16"/>
      <c r="AT55" s="878" t="s">
        <v>261</v>
      </c>
      <c r="AU55" s="878"/>
      <c r="AV55" s="16"/>
      <c r="AW55" s="16"/>
      <c r="AX55" s="17" t="s">
        <v>208</v>
      </c>
      <c r="AY55" s="256"/>
      <c r="AZ55" s="257"/>
      <c r="BA55" s="155"/>
      <c r="BB55" s="110"/>
      <c r="BC55" s="110"/>
      <c r="BD55" s="255"/>
      <c r="BE55" s="2"/>
      <c r="BF55" s="2"/>
      <c r="BG55" s="9"/>
      <c r="BH55" s="9"/>
      <c r="BI55" s="9"/>
      <c r="BJ55" s="16"/>
      <c r="BK55" s="16"/>
      <c r="BL55" s="2"/>
      <c r="BN55" s="9"/>
      <c r="BT55" s="9"/>
      <c r="BU55" s="9"/>
      <c r="BV55" s="9"/>
      <c r="BW55" s="9"/>
      <c r="BX55" s="9"/>
      <c r="BY55" s="9"/>
      <c r="BZ55" s="10"/>
      <c r="CA55" s="10"/>
      <c r="CB55" s="160"/>
      <c r="CC55" s="2"/>
      <c r="CD55" s="159"/>
      <c r="CE55" s="434" t="s">
        <v>222</v>
      </c>
      <c r="CF55" s="16"/>
      <c r="CG55" s="16"/>
      <c r="CH55" s="434" t="s">
        <v>222</v>
      </c>
      <c r="CI55" s="434" t="s">
        <v>222</v>
      </c>
      <c r="CJ55" s="16"/>
      <c r="CM55" s="435" t="s">
        <v>219</v>
      </c>
      <c r="CN55" s="435" t="s">
        <v>219</v>
      </c>
      <c r="CO55" s="16"/>
      <c r="CQ55" s="16"/>
      <c r="CR55" s="16"/>
      <c r="DA55" s="16"/>
      <c r="DB55" s="16"/>
      <c r="DC55" s="160"/>
      <c r="DJ55" s="173"/>
      <c r="DK55" s="173"/>
      <c r="DL55" s="9"/>
      <c r="DM55" s="16"/>
      <c r="DN55" s="16"/>
      <c r="DO55" s="16"/>
      <c r="DP55" s="16"/>
    </row>
    <row r="56" spans="1:120" s="5" customFormat="1" ht="19.5" customHeight="1" x14ac:dyDescent="0.25">
      <c r="A56" s="155"/>
      <c r="B56" s="17"/>
      <c r="C56" s="17"/>
      <c r="D56" s="17"/>
      <c r="E56" s="17"/>
      <c r="F56" s="17"/>
      <c r="G56" s="17"/>
      <c r="H56" s="17"/>
      <c r="I56" s="17"/>
      <c r="J56" s="17"/>
      <c r="K56" s="17"/>
      <c r="N56" s="173"/>
      <c r="O56" s="173"/>
      <c r="P56" s="155"/>
      <c r="Q56" s="173"/>
      <c r="R56" s="173"/>
      <c r="S56" s="173"/>
      <c r="T56" s="173"/>
      <c r="U56" s="173"/>
      <c r="AC56" s="16"/>
      <c r="AD56" s="16"/>
      <c r="AE56" s="250"/>
      <c r="AF56" s="173"/>
      <c r="AG56" s="173"/>
      <c r="AH56" s="173"/>
      <c r="AI56" s="184"/>
      <c r="AJ56" s="251"/>
      <c r="AK56" s="160"/>
      <c r="AL56" s="2"/>
      <c r="AM56" s="155"/>
      <c r="AO56" s="16"/>
      <c r="AP56" s="16"/>
      <c r="AQ56" s="16"/>
      <c r="AR56" s="16"/>
      <c r="AS56" s="17"/>
      <c r="AT56" s="258"/>
      <c r="AU56" s="258"/>
      <c r="AV56" s="16"/>
      <c r="AW56" s="16"/>
      <c r="AX56" s="17"/>
      <c r="AY56" s="17"/>
      <c r="AZ56" s="101"/>
      <c r="BA56" s="155"/>
      <c r="BB56" s="110"/>
      <c r="BC56" s="110"/>
      <c r="BD56" s="255"/>
      <c r="BE56" s="2"/>
      <c r="BF56" s="2"/>
      <c r="BG56" s="2"/>
      <c r="BH56" s="2"/>
      <c r="BK56" s="16"/>
      <c r="BL56" s="2"/>
      <c r="BN56" s="9"/>
      <c r="BT56" s="9"/>
      <c r="BU56" s="9"/>
      <c r="BV56" s="9"/>
      <c r="BW56" s="9"/>
      <c r="BX56" s="9"/>
      <c r="BY56" s="9"/>
      <c r="BZ56" s="10"/>
      <c r="CA56" s="10"/>
      <c r="CB56" s="160"/>
      <c r="CC56" s="2"/>
      <c r="CD56" s="159"/>
      <c r="CE56" s="434" t="s">
        <v>222</v>
      </c>
      <c r="CF56" s="16"/>
      <c r="CG56" s="16"/>
      <c r="CH56" s="16"/>
      <c r="CI56" s="16"/>
      <c r="CJ56" s="16"/>
      <c r="CM56" s="435" t="s">
        <v>219</v>
      </c>
      <c r="CN56" s="435" t="s">
        <v>219</v>
      </c>
      <c r="CO56" s="16"/>
      <c r="CQ56" s="16"/>
      <c r="CR56" s="16"/>
      <c r="DA56" s="16"/>
      <c r="DB56" s="16"/>
      <c r="DC56" s="160"/>
    </row>
    <row r="57" spans="1:120" s="5" customFormat="1" ht="19.5" customHeight="1" thickBot="1" x14ac:dyDescent="0.3">
      <c r="A57" s="155"/>
      <c r="B57" s="17"/>
      <c r="C57" s="17"/>
      <c r="D57" s="17"/>
      <c r="E57" s="17"/>
      <c r="F57" s="17"/>
      <c r="G57" s="17"/>
      <c r="H57" s="17"/>
      <c r="I57" s="17"/>
      <c r="J57" s="17"/>
      <c r="K57" s="17"/>
      <c r="N57" s="173"/>
      <c r="O57" s="173"/>
      <c r="P57" s="155"/>
      <c r="Q57" s="173"/>
      <c r="R57" s="173"/>
      <c r="S57" s="173"/>
      <c r="T57" s="173"/>
      <c r="U57" s="173"/>
      <c r="AC57" s="16"/>
      <c r="AD57" s="16"/>
      <c r="AE57" s="250"/>
      <c r="AF57" s="173"/>
      <c r="AG57" s="173"/>
      <c r="AH57" s="173"/>
      <c r="AI57" s="184"/>
      <c r="AJ57" s="251"/>
      <c r="AK57" s="160"/>
      <c r="AL57" s="2"/>
      <c r="AM57" s="155"/>
      <c r="AN57" s="685"/>
      <c r="AO57" s="685"/>
      <c r="AP57" s="98"/>
      <c r="AQ57" s="98"/>
      <c r="AR57" s="16"/>
      <c r="AS57" s="17"/>
      <c r="AT57" s="879" t="s">
        <v>262</v>
      </c>
      <c r="AU57" s="879"/>
      <c r="AV57" s="17"/>
      <c r="AW57" s="2"/>
      <c r="AX57" s="17"/>
      <c r="AY57" s="17"/>
      <c r="AZ57" s="17"/>
      <c r="BA57" s="155"/>
      <c r="BB57" s="17"/>
      <c r="BC57" s="17"/>
      <c r="BD57" s="255"/>
      <c r="BE57" s="2"/>
      <c r="BF57" s="2"/>
      <c r="BG57" s="2"/>
      <c r="BH57" s="2"/>
      <c r="BK57" s="16"/>
      <c r="BL57" s="2"/>
      <c r="BN57" s="9"/>
      <c r="BT57" s="9"/>
      <c r="BU57" s="9"/>
      <c r="BV57" s="9"/>
      <c r="BW57" s="9"/>
      <c r="BX57" s="9"/>
      <c r="BY57" s="9"/>
      <c r="BZ57" s="10"/>
      <c r="CA57" s="48"/>
      <c r="CB57" s="160"/>
      <c r="CC57" s="2"/>
      <c r="CD57" s="159"/>
      <c r="CE57" s="434" t="s">
        <v>222</v>
      </c>
      <c r="CF57" s="16"/>
      <c r="CG57" s="16"/>
      <c r="CH57" s="484" t="s">
        <v>227</v>
      </c>
      <c r="CI57" s="484" t="s">
        <v>227</v>
      </c>
      <c r="CJ57" s="16"/>
      <c r="CM57" s="776" t="s">
        <v>263</v>
      </c>
      <c r="CN57" s="776"/>
      <c r="CO57" s="16"/>
      <c r="CQ57" s="16"/>
      <c r="CR57" s="16"/>
      <c r="CT57" s="16"/>
      <c r="CU57" s="16"/>
      <c r="CV57" s="16"/>
      <c r="CW57" s="16"/>
      <c r="CX57" s="16"/>
      <c r="CY57" s="16"/>
      <c r="CZ57" s="16"/>
      <c r="DA57" s="16"/>
      <c r="DB57" s="16"/>
      <c r="DC57" s="160"/>
    </row>
    <row r="58" spans="1:120" s="5" customFormat="1" ht="19.5" customHeight="1" thickBot="1" x14ac:dyDescent="0.3">
      <c r="A58" s="155"/>
      <c r="B58" s="17"/>
      <c r="C58" s="17"/>
      <c r="D58" s="17"/>
      <c r="E58" s="17"/>
      <c r="F58" s="67" t="s">
        <v>209</v>
      </c>
      <c r="G58" s="127"/>
      <c r="H58" s="127"/>
      <c r="I58" s="127"/>
      <c r="J58" s="127"/>
      <c r="K58" s="127"/>
      <c r="N58" s="173"/>
      <c r="O58" s="173"/>
      <c r="P58" s="155"/>
      <c r="Q58" s="173"/>
      <c r="R58" s="173"/>
      <c r="S58" s="173"/>
      <c r="T58" s="173"/>
      <c r="U58" s="173"/>
      <c r="AC58" s="9"/>
      <c r="AD58" s="9"/>
      <c r="AE58" s="250"/>
      <c r="AF58" s="173"/>
      <c r="AG58" s="173"/>
      <c r="AH58" s="173"/>
      <c r="AI58" s="184"/>
      <c r="AJ58" s="251"/>
      <c r="AK58" s="160"/>
      <c r="AL58" s="2"/>
      <c r="AM58" s="155"/>
      <c r="AN58" s="225"/>
      <c r="AO58" s="22" t="s">
        <v>210</v>
      </c>
      <c r="AP58" s="98"/>
      <c r="AQ58" s="98"/>
      <c r="AR58" s="110"/>
      <c r="AS58" s="16"/>
      <c r="AT58" s="437" t="s">
        <v>227</v>
      </c>
      <c r="AU58" s="437" t="s">
        <v>227</v>
      </c>
      <c r="AV58" s="16"/>
      <c r="AW58" s="16"/>
      <c r="AX58" s="71"/>
      <c r="AY58" s="128"/>
      <c r="AZ58" s="128"/>
      <c r="BA58" s="155"/>
      <c r="BB58" s="128"/>
      <c r="BC58" s="128"/>
      <c r="BD58" s="255"/>
      <c r="BE58" s="2"/>
      <c r="BK58" s="16"/>
      <c r="BL58" s="2"/>
      <c r="BN58" s="9"/>
      <c r="BO58" s="2"/>
      <c r="BT58" s="9"/>
      <c r="BU58" s="690" t="s">
        <v>180</v>
      </c>
      <c r="BV58" s="691"/>
      <c r="BW58" s="691"/>
      <c r="BX58" s="691"/>
      <c r="BY58" s="691"/>
      <c r="BZ58" s="691"/>
      <c r="CA58" s="692"/>
      <c r="CB58" s="160"/>
      <c r="CC58" s="2"/>
      <c r="CD58" s="159"/>
      <c r="CE58" s="434" t="s">
        <v>222</v>
      </c>
      <c r="CF58" s="16"/>
      <c r="CG58" s="16"/>
      <c r="CH58" s="484" t="s">
        <v>227</v>
      </c>
      <c r="CI58" s="484" t="s">
        <v>227</v>
      </c>
      <c r="CJ58" s="16"/>
      <c r="CM58" s="457" t="s">
        <v>241</v>
      </c>
      <c r="CN58" s="457" t="s">
        <v>241</v>
      </c>
      <c r="CQ58" s="16"/>
      <c r="CR58" s="16"/>
      <c r="DB58" s="129"/>
      <c r="DC58" s="160"/>
    </row>
    <row r="59" spans="1:120" s="5" customFormat="1" ht="19.5" customHeight="1" x14ac:dyDescent="0.25">
      <c r="A59" s="155"/>
      <c r="B59" s="17"/>
      <c r="C59" s="17"/>
      <c r="D59" s="17"/>
      <c r="E59" s="17"/>
      <c r="F59" s="127"/>
      <c r="G59" s="127"/>
      <c r="H59" s="127"/>
      <c r="I59" s="127"/>
      <c r="J59" s="127"/>
      <c r="K59" s="127"/>
      <c r="L59" s="127"/>
      <c r="M59" s="17"/>
      <c r="N59" s="173"/>
      <c r="O59" s="259"/>
      <c r="P59" s="155"/>
      <c r="Q59" s="173"/>
      <c r="R59" s="173"/>
      <c r="S59" s="173"/>
      <c r="T59" s="173"/>
      <c r="U59" s="173"/>
      <c r="AC59" s="16"/>
      <c r="AD59" s="16"/>
      <c r="AE59" s="250"/>
      <c r="AF59" s="173"/>
      <c r="AG59" s="173"/>
      <c r="AH59" s="260"/>
      <c r="AI59" s="184"/>
      <c r="AJ59" s="251"/>
      <c r="AK59" s="160"/>
      <c r="AL59" s="2"/>
      <c r="AM59" s="155"/>
      <c r="AN59" s="485" t="s">
        <v>773</v>
      </c>
      <c r="AO59" s="226"/>
      <c r="AP59" s="215"/>
      <c r="AQ59" s="98"/>
      <c r="AR59" s="16"/>
      <c r="AS59" s="16"/>
      <c r="AT59" s="437" t="s">
        <v>227</v>
      </c>
      <c r="AU59" s="437" t="s">
        <v>227</v>
      </c>
      <c r="AV59" s="16"/>
      <c r="AW59" s="2"/>
      <c r="AX59" s="71"/>
      <c r="AY59" s="128"/>
      <c r="AZ59" s="452" t="s">
        <v>225</v>
      </c>
      <c r="BA59" s="155"/>
      <c r="BB59" s="128"/>
      <c r="BC59" s="128"/>
      <c r="BD59" s="255"/>
      <c r="BE59" s="9"/>
      <c r="BI59" s="9"/>
      <c r="BJ59" s="9"/>
      <c r="BK59" s="9"/>
      <c r="BL59" s="9"/>
      <c r="BM59" s="2"/>
      <c r="BN59" s="2"/>
      <c r="BO59" s="2"/>
      <c r="BT59" s="9"/>
      <c r="BU59" s="693"/>
      <c r="BV59" s="694"/>
      <c r="BW59" s="694"/>
      <c r="BX59" s="694"/>
      <c r="BY59" s="694"/>
      <c r="BZ59" s="694"/>
      <c r="CA59" s="695"/>
      <c r="CB59" s="160"/>
      <c r="CC59" s="2"/>
      <c r="CD59" s="159"/>
      <c r="CE59" s="16"/>
      <c r="CF59" s="16"/>
      <c r="CG59" s="16"/>
      <c r="CH59" s="484" t="s">
        <v>227</v>
      </c>
      <c r="CI59" s="484" t="s">
        <v>227</v>
      </c>
      <c r="CJ59" s="16"/>
      <c r="CL59" s="16"/>
      <c r="CM59" s="457" t="s">
        <v>241</v>
      </c>
      <c r="CN59" s="457" t="s">
        <v>241</v>
      </c>
      <c r="CQ59" s="16"/>
      <c r="CR59" s="16"/>
      <c r="CW59" s="880" t="s">
        <v>180</v>
      </c>
      <c r="CX59" s="881"/>
      <c r="CY59" s="881"/>
      <c r="CZ59" s="881"/>
      <c r="DA59" s="881"/>
      <c r="DB59" s="882"/>
      <c r="DC59" s="160"/>
    </row>
    <row r="60" spans="1:120" s="5" customFormat="1" ht="19.5" customHeight="1" x14ac:dyDescent="0.25">
      <c r="A60" s="155"/>
      <c r="B60" s="17"/>
      <c r="C60" s="17"/>
      <c r="D60" s="17"/>
      <c r="E60" s="17"/>
      <c r="F60" s="127"/>
      <c r="G60" s="127"/>
      <c r="H60" s="127"/>
      <c r="I60" s="127"/>
      <c r="J60" s="127"/>
      <c r="K60" s="127"/>
      <c r="L60" s="127"/>
      <c r="M60" s="17"/>
      <c r="N60" s="173"/>
      <c r="O60" s="173"/>
      <c r="P60" s="155"/>
      <c r="Q60" s="173"/>
      <c r="R60" s="173"/>
      <c r="S60" s="173"/>
      <c r="T60" s="173"/>
      <c r="U60" s="173"/>
      <c r="AC60" s="16"/>
      <c r="AD60" s="16"/>
      <c r="AE60" s="250"/>
      <c r="AF60" s="173"/>
      <c r="AG60" s="173"/>
      <c r="AH60" s="260"/>
      <c r="AI60" s="184"/>
      <c r="AJ60" s="251"/>
      <c r="AK60" s="160"/>
      <c r="AL60" s="2"/>
      <c r="AM60" s="155"/>
      <c r="AN60" s="225"/>
      <c r="AP60" s="215"/>
      <c r="AQ60" s="98"/>
      <c r="AR60" s="16"/>
      <c r="AS60" s="110"/>
      <c r="AT60" s="437" t="s">
        <v>227</v>
      </c>
      <c r="AU60" s="437" t="s">
        <v>227</v>
      </c>
      <c r="AV60" s="110"/>
      <c r="AW60" s="110"/>
      <c r="AX60" s="110"/>
      <c r="AY60" s="128"/>
      <c r="AZ60" s="452" t="s">
        <v>225</v>
      </c>
      <c r="BA60" s="155"/>
      <c r="BB60" s="128"/>
      <c r="BC60" s="128"/>
      <c r="BD60" s="255"/>
      <c r="BE60" s="9"/>
      <c r="BI60" s="9"/>
      <c r="BJ60" s="9"/>
      <c r="BK60" s="9"/>
      <c r="BL60" s="9"/>
      <c r="BM60" s="9"/>
      <c r="BN60" s="9"/>
      <c r="BO60" s="9"/>
      <c r="BT60" s="9"/>
      <c r="BU60" s="693"/>
      <c r="BV60" s="694"/>
      <c r="BW60" s="694"/>
      <c r="BX60" s="694"/>
      <c r="BY60" s="694"/>
      <c r="BZ60" s="694"/>
      <c r="CA60" s="695"/>
      <c r="CB60" s="160"/>
      <c r="CC60" s="2"/>
      <c r="CD60" s="159"/>
      <c r="CE60" s="16"/>
      <c r="CF60" s="16"/>
      <c r="CG60" s="16"/>
      <c r="CH60" s="479" t="s">
        <v>249</v>
      </c>
      <c r="CI60" s="479" t="s">
        <v>249</v>
      </c>
      <c r="CJ60" s="16"/>
      <c r="CL60" s="16"/>
      <c r="CQ60" s="16"/>
      <c r="CR60" s="16"/>
      <c r="CW60" s="883"/>
      <c r="CX60" s="884"/>
      <c r="CY60" s="884"/>
      <c r="CZ60" s="884"/>
      <c r="DA60" s="884"/>
      <c r="DB60" s="885"/>
      <c r="DC60" s="160"/>
    </row>
    <row r="61" spans="1:120" s="5" customFormat="1" ht="19.5" customHeight="1" thickBot="1" x14ac:dyDescent="0.3">
      <c r="A61" s="155"/>
      <c r="B61" s="17"/>
      <c r="C61" s="17"/>
      <c r="D61" s="17"/>
      <c r="E61" s="17"/>
      <c r="F61" s="127"/>
      <c r="G61" s="127"/>
      <c r="H61" s="127"/>
      <c r="I61" s="127"/>
      <c r="J61" s="127"/>
      <c r="K61" s="127"/>
      <c r="L61" s="127"/>
      <c r="M61" s="17"/>
      <c r="N61" s="173"/>
      <c r="O61" s="173"/>
      <c r="P61" s="155"/>
      <c r="Q61" s="173"/>
      <c r="R61" s="173"/>
      <c r="S61" s="173"/>
      <c r="T61" s="173"/>
      <c r="U61" s="173"/>
      <c r="AC61" s="16"/>
      <c r="AD61" s="16"/>
      <c r="AE61" s="261"/>
      <c r="AF61" s="262"/>
      <c r="AG61" s="262"/>
      <c r="AH61" s="263"/>
      <c r="AI61" s="131"/>
      <c r="AJ61" s="264"/>
      <c r="AK61" s="160"/>
      <c r="AL61" s="2"/>
      <c r="AM61" s="155"/>
      <c r="AN61" s="485" t="s">
        <v>773</v>
      </c>
      <c r="AO61" s="226"/>
      <c r="AP61" s="215"/>
      <c r="AQ61" s="98"/>
      <c r="AR61" s="2"/>
      <c r="AT61" s="437" t="s">
        <v>227</v>
      </c>
      <c r="AU61" s="437" t="s">
        <v>227</v>
      </c>
      <c r="AX61" s="110"/>
      <c r="AY61" s="110"/>
      <c r="AZ61" s="452" t="s">
        <v>225</v>
      </c>
      <c r="BA61" s="155"/>
      <c r="BB61" s="17"/>
      <c r="BC61" s="110"/>
      <c r="BD61" s="132"/>
      <c r="BE61" s="110"/>
      <c r="BG61" s="9"/>
      <c r="BH61" s="9"/>
      <c r="BI61" s="9"/>
      <c r="BJ61" s="9"/>
      <c r="BK61" s="9"/>
      <c r="BL61" s="9"/>
      <c r="BM61" s="9"/>
      <c r="BN61" s="9"/>
      <c r="BO61" s="9"/>
      <c r="BT61" s="9"/>
      <c r="BU61" s="693"/>
      <c r="BV61" s="694"/>
      <c r="BW61" s="694"/>
      <c r="BX61" s="694"/>
      <c r="BY61" s="694"/>
      <c r="BZ61" s="694"/>
      <c r="CA61" s="695"/>
      <c r="CB61" s="160"/>
      <c r="CC61" s="2"/>
      <c r="CD61" s="159"/>
      <c r="CE61" s="16"/>
      <c r="CF61" s="16"/>
      <c r="CG61" s="16"/>
      <c r="CH61" s="479" t="s">
        <v>249</v>
      </c>
      <c r="CI61" s="479" t="s">
        <v>249</v>
      </c>
      <c r="CJ61" s="2"/>
      <c r="CL61" s="16"/>
      <c r="CM61" s="16"/>
      <c r="CQ61" s="16"/>
      <c r="CR61" s="16"/>
      <c r="CV61" s="23"/>
      <c r="CW61" s="883"/>
      <c r="CX61" s="884"/>
      <c r="CY61" s="884"/>
      <c r="CZ61" s="884"/>
      <c r="DA61" s="884"/>
      <c r="DB61" s="885"/>
      <c r="DC61" s="160"/>
    </row>
    <row r="62" spans="1:120" s="5" customFormat="1" ht="19.5" customHeight="1" x14ac:dyDescent="0.25">
      <c r="A62" s="155"/>
      <c r="B62" s="17"/>
      <c r="C62" s="17"/>
      <c r="D62" s="17"/>
      <c r="E62" s="17"/>
      <c r="F62" s="127"/>
      <c r="G62" s="127"/>
      <c r="H62" s="127"/>
      <c r="I62" s="127"/>
      <c r="J62" s="127"/>
      <c r="K62" s="127"/>
      <c r="L62" s="127"/>
      <c r="M62" s="17"/>
      <c r="N62" s="173"/>
      <c r="O62" s="173"/>
      <c r="P62" s="155"/>
      <c r="Q62" s="173"/>
      <c r="R62" s="173"/>
      <c r="S62" s="173"/>
      <c r="T62" s="173"/>
      <c r="U62" s="173"/>
      <c r="AC62" s="16"/>
      <c r="AD62" s="16"/>
      <c r="AE62" s="453" t="s">
        <v>222</v>
      </c>
      <c r="AF62" s="467" t="s">
        <v>245</v>
      </c>
      <c r="AG62" s="260"/>
      <c r="AH62" s="191"/>
      <c r="AI62" s="265" t="s">
        <v>211</v>
      </c>
      <c r="AJ62" s="191"/>
      <c r="AK62" s="160"/>
      <c r="AL62" s="2"/>
      <c r="AM62" s="155"/>
      <c r="AN62" s="225"/>
      <c r="AO62" s="231"/>
      <c r="AP62" s="215"/>
      <c r="AQ62" s="98"/>
      <c r="AR62" s="16"/>
      <c r="AX62" s="17"/>
      <c r="AY62" s="2"/>
      <c r="AZ62" s="133"/>
      <c r="BA62" s="155"/>
      <c r="BB62" s="133"/>
      <c r="BC62" s="133"/>
      <c r="BD62" s="132"/>
      <c r="BE62" s="110"/>
      <c r="BG62" s="9"/>
      <c r="BH62" s="9"/>
      <c r="BI62" s="9"/>
      <c r="BJ62" s="9"/>
      <c r="BK62" s="9"/>
      <c r="BL62" s="9"/>
      <c r="BM62" s="9"/>
      <c r="BN62" s="9"/>
      <c r="BO62" s="9"/>
      <c r="BT62" s="9"/>
      <c r="BU62" s="693"/>
      <c r="BV62" s="694"/>
      <c r="BW62" s="694"/>
      <c r="BX62" s="694"/>
      <c r="BY62" s="694"/>
      <c r="BZ62" s="694"/>
      <c r="CA62" s="695"/>
      <c r="CB62" s="159"/>
      <c r="CC62" s="2"/>
      <c r="CD62" s="159"/>
      <c r="CE62" s="16"/>
      <c r="CF62" s="16"/>
      <c r="CH62" s="479" t="s">
        <v>249</v>
      </c>
      <c r="CI62" s="479" t="s">
        <v>249</v>
      </c>
      <c r="CQ62" s="16"/>
      <c r="CR62" s="16"/>
      <c r="CV62" s="9"/>
      <c r="CW62" s="883"/>
      <c r="CX62" s="884"/>
      <c r="CY62" s="884"/>
      <c r="CZ62" s="884"/>
      <c r="DA62" s="884"/>
      <c r="DB62" s="885"/>
      <c r="DC62" s="160"/>
    </row>
    <row r="63" spans="1:120" s="5" customFormat="1" ht="19.5" customHeight="1" x14ac:dyDescent="0.25">
      <c r="A63" s="155"/>
      <c r="B63" s="17"/>
      <c r="C63" s="17"/>
      <c r="D63" s="17"/>
      <c r="E63" s="17"/>
      <c r="F63" s="127"/>
      <c r="G63" s="127"/>
      <c r="H63" s="127"/>
      <c r="I63" s="127"/>
      <c r="J63" s="127"/>
      <c r="K63" s="127"/>
      <c r="L63" s="127"/>
      <c r="M63" s="17"/>
      <c r="N63" s="173"/>
      <c r="O63" s="173"/>
      <c r="P63" s="155"/>
      <c r="Q63" s="173"/>
      <c r="R63" s="173"/>
      <c r="S63" s="173"/>
      <c r="T63" s="173"/>
      <c r="U63" s="173"/>
      <c r="AC63" s="16"/>
      <c r="AD63" s="16"/>
      <c r="AE63" s="260"/>
      <c r="AF63" s="260"/>
      <c r="AG63" s="260"/>
      <c r="AH63" s="22" t="s">
        <v>212</v>
      </c>
      <c r="AI63" s="192" t="s">
        <v>174</v>
      </c>
      <c r="AJ63" s="239"/>
      <c r="AK63" s="159"/>
      <c r="AL63" s="2"/>
      <c r="AM63" s="155"/>
      <c r="AN63" s="485" t="s">
        <v>773</v>
      </c>
      <c r="AO63" s="226"/>
      <c r="AP63" s="215"/>
      <c r="AQ63" s="98"/>
      <c r="AR63" s="16"/>
      <c r="AT63" s="486" t="s">
        <v>264</v>
      </c>
      <c r="AU63" s="486" t="s">
        <v>264</v>
      </c>
      <c r="AX63" s="2"/>
      <c r="AY63" s="2"/>
      <c r="AZ63" s="133"/>
      <c r="BA63" s="155"/>
      <c r="BB63" s="133"/>
      <c r="BC63" s="133"/>
      <c r="BD63" s="173"/>
      <c r="BE63" s="266"/>
      <c r="BF63" s="267"/>
      <c r="BG63" s="267"/>
      <c r="BH63" s="159"/>
      <c r="BI63" s="159"/>
      <c r="BJ63" s="159"/>
      <c r="BK63" s="159"/>
      <c r="BL63" s="159"/>
      <c r="BM63" s="159"/>
      <c r="BN63" s="159"/>
      <c r="BO63" s="159"/>
      <c r="BT63" s="173"/>
      <c r="BU63" s="693"/>
      <c r="BV63" s="694"/>
      <c r="BW63" s="694"/>
      <c r="BX63" s="694"/>
      <c r="BY63" s="694"/>
      <c r="BZ63" s="694"/>
      <c r="CA63" s="695"/>
      <c r="CB63" s="159"/>
      <c r="CC63" s="2"/>
      <c r="CD63" s="159"/>
      <c r="CE63" s="16"/>
      <c r="CQ63" s="16"/>
      <c r="CR63" s="16"/>
      <c r="CV63" s="9"/>
      <c r="CW63" s="883"/>
      <c r="CX63" s="884"/>
      <c r="CY63" s="884"/>
      <c r="CZ63" s="884"/>
      <c r="DA63" s="884"/>
      <c r="DB63" s="885"/>
      <c r="DC63" s="160"/>
    </row>
    <row r="64" spans="1:120" s="5" customFormat="1" ht="19.5" customHeight="1" thickBot="1" x14ac:dyDescent="0.3">
      <c r="A64" s="155"/>
      <c r="B64" s="17"/>
      <c r="C64" s="17"/>
      <c r="D64" s="17"/>
      <c r="E64" s="17"/>
      <c r="F64" s="127"/>
      <c r="G64" s="127"/>
      <c r="H64" s="127"/>
      <c r="I64" s="127"/>
      <c r="J64" s="127"/>
      <c r="K64" s="127"/>
      <c r="L64" s="127"/>
      <c r="M64" s="17"/>
      <c r="N64" s="173"/>
      <c r="O64" s="173"/>
      <c r="P64" s="155"/>
      <c r="Q64" s="173"/>
      <c r="R64" s="173"/>
      <c r="S64" s="173"/>
      <c r="T64" s="173"/>
      <c r="U64" s="173"/>
      <c r="V64" s="173"/>
      <c r="W64" s="173"/>
      <c r="X64" s="9"/>
      <c r="Y64" s="16"/>
      <c r="Z64" s="16"/>
      <c r="AA64" s="16"/>
      <c r="AB64" s="16"/>
      <c r="AC64" s="16"/>
      <c r="AD64" s="16"/>
      <c r="AE64" s="260"/>
      <c r="AF64" s="260"/>
      <c r="AG64" s="260"/>
      <c r="AH64" s="260"/>
      <c r="AI64" s="177">
        <v>4</v>
      </c>
      <c r="AJ64" s="239"/>
      <c r="AK64" s="159"/>
      <c r="AL64" s="2"/>
      <c r="AM64" s="155"/>
      <c r="AN64" s="225"/>
      <c r="AO64" s="216"/>
      <c r="AP64" s="215"/>
      <c r="AT64" s="486" t="s">
        <v>264</v>
      </c>
      <c r="AU64" s="486" t="s">
        <v>264</v>
      </c>
      <c r="AW64" s="2"/>
      <c r="AX64" s="2"/>
      <c r="AY64" s="110"/>
      <c r="AZ64" s="110"/>
      <c r="BA64" s="155"/>
      <c r="BB64" s="110"/>
      <c r="BC64" s="110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59"/>
      <c r="BP64" s="173"/>
      <c r="BQ64" s="173"/>
      <c r="BR64" s="173"/>
      <c r="BS64" s="173"/>
      <c r="BT64" s="173"/>
      <c r="BU64" s="693"/>
      <c r="BV64" s="694"/>
      <c r="BW64" s="694"/>
      <c r="BX64" s="694"/>
      <c r="BY64" s="694"/>
      <c r="BZ64" s="694"/>
      <c r="CA64" s="695"/>
      <c r="CB64" s="268"/>
      <c r="CC64" s="2"/>
      <c r="CD64" s="159"/>
      <c r="CH64" s="2"/>
      <c r="CI64" s="2"/>
      <c r="CJ64" s="2"/>
      <c r="CQ64" s="16"/>
      <c r="CR64" s="16"/>
      <c r="CV64" s="9"/>
      <c r="CW64" s="886"/>
      <c r="CX64" s="887"/>
      <c r="CY64" s="887"/>
      <c r="CZ64" s="887"/>
      <c r="DA64" s="887"/>
      <c r="DB64" s="888"/>
      <c r="DC64" s="160"/>
    </row>
    <row r="65" spans="1:197" s="5" customFormat="1" ht="19.5" customHeight="1" x14ac:dyDescent="0.25">
      <c r="A65" s="15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3"/>
      <c r="O65" s="173"/>
      <c r="P65" s="155"/>
      <c r="Q65" s="173"/>
      <c r="R65" s="173"/>
      <c r="S65" s="173"/>
      <c r="T65" s="173"/>
      <c r="U65" s="173"/>
      <c r="V65" s="173"/>
      <c r="W65" s="173"/>
      <c r="X65" s="9"/>
      <c r="Y65" s="9"/>
      <c r="Z65" s="16"/>
      <c r="AA65" s="16"/>
      <c r="AB65" s="16"/>
      <c r="AC65" s="16"/>
      <c r="AD65" s="16"/>
      <c r="AH65" s="688" t="s">
        <v>181</v>
      </c>
      <c r="AI65" s="688"/>
      <c r="AJ65" s="688"/>
      <c r="AK65" s="268"/>
      <c r="AL65" s="2"/>
      <c r="AM65" s="155"/>
      <c r="AN65" s="485" t="s">
        <v>773</v>
      </c>
      <c r="AO65" s="226"/>
      <c r="AP65" s="215"/>
      <c r="AT65" s="486" t="s">
        <v>264</v>
      </c>
      <c r="AU65" s="486" t="s">
        <v>264</v>
      </c>
      <c r="AW65" s="2"/>
      <c r="AX65" s="2"/>
      <c r="AY65" s="110"/>
      <c r="AZ65" s="17"/>
      <c r="BA65" s="155"/>
      <c r="BB65" s="17"/>
      <c r="BC65" s="17"/>
      <c r="BD65" s="17"/>
      <c r="BE65" s="173"/>
      <c r="BF65" s="173"/>
      <c r="BG65" s="173"/>
      <c r="BH65" s="173"/>
      <c r="BI65" s="126" t="s">
        <v>213</v>
      </c>
      <c r="BJ65" s="126"/>
      <c r="BK65" s="173"/>
      <c r="BL65" s="173"/>
      <c r="BM65" s="173"/>
      <c r="BN65" s="173"/>
      <c r="BO65" s="159"/>
      <c r="BP65" s="173"/>
      <c r="BQ65" s="173"/>
      <c r="BR65" s="173"/>
      <c r="BS65" s="173"/>
      <c r="BT65" s="173"/>
      <c r="BU65" s="693"/>
      <c r="BV65" s="694"/>
      <c r="BW65" s="694"/>
      <c r="BX65" s="694"/>
      <c r="BY65" s="694"/>
      <c r="BZ65" s="694"/>
      <c r="CA65" s="695"/>
      <c r="CB65" s="268"/>
      <c r="CC65" s="2"/>
      <c r="CD65" s="159"/>
      <c r="CH65" s="2"/>
      <c r="CI65" s="2"/>
      <c r="CJ65" s="2"/>
      <c r="CQ65" s="16"/>
      <c r="CR65" s="16"/>
      <c r="CV65" s="9"/>
      <c r="CW65" s="9"/>
      <c r="CX65" s="869" t="s">
        <v>181</v>
      </c>
      <c r="CY65" s="869"/>
      <c r="CZ65" s="869"/>
      <c r="DA65" s="10"/>
      <c r="DB65" s="10"/>
      <c r="DC65" s="160"/>
    </row>
    <row r="66" spans="1:197" s="5" customFormat="1" ht="19.5" customHeight="1" x14ac:dyDescent="0.25">
      <c r="A66" s="15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3"/>
      <c r="O66" s="173"/>
      <c r="P66" s="155"/>
      <c r="Q66" s="173"/>
      <c r="R66" s="173"/>
      <c r="S66" s="173"/>
      <c r="T66" s="173"/>
      <c r="U66" s="173"/>
      <c r="V66" s="173"/>
      <c r="W66" s="173"/>
      <c r="X66" s="9"/>
      <c r="Y66" s="9"/>
      <c r="Z66" s="9"/>
      <c r="AA66" s="16"/>
      <c r="AB66" s="16"/>
      <c r="AC66" s="688" t="s">
        <v>200</v>
      </c>
      <c r="AD66" s="688"/>
      <c r="AE66" s="688"/>
      <c r="AF66" s="688"/>
      <c r="AG66" s="260"/>
      <c r="AH66" s="260"/>
      <c r="AI66" s="184"/>
      <c r="AJ66" s="184"/>
      <c r="AK66" s="268"/>
      <c r="AL66" s="2"/>
      <c r="AM66" s="155"/>
      <c r="AN66" s="225"/>
      <c r="AP66" s="16"/>
      <c r="AQ66" s="16"/>
      <c r="AR66" s="16"/>
      <c r="AW66" s="2"/>
      <c r="AX66" s="2"/>
      <c r="AY66" s="110"/>
      <c r="AZ66" s="17"/>
      <c r="BA66" s="155"/>
      <c r="BB66" s="17"/>
      <c r="BC66" s="110"/>
      <c r="BD66" s="110"/>
      <c r="BE66" s="110"/>
      <c r="BF66" s="110"/>
      <c r="BG66" s="173"/>
      <c r="BH66" s="173"/>
      <c r="BI66" s="173"/>
      <c r="BJ66" s="173"/>
      <c r="BK66" s="173"/>
      <c r="BL66" s="173"/>
      <c r="BM66" s="173"/>
      <c r="BN66" s="173"/>
      <c r="BO66" s="159"/>
      <c r="BP66" s="173"/>
      <c r="BQ66" s="173"/>
      <c r="BR66" s="173"/>
      <c r="BS66" s="173"/>
      <c r="BT66" s="173"/>
      <c r="BU66" s="693"/>
      <c r="BV66" s="694"/>
      <c r="BW66" s="694"/>
      <c r="BX66" s="694"/>
      <c r="BY66" s="694"/>
      <c r="BZ66" s="694"/>
      <c r="CA66" s="695"/>
      <c r="CB66" s="268"/>
      <c r="CC66" s="2"/>
      <c r="CD66" s="159"/>
      <c r="CE66" s="9"/>
      <c r="CF66" s="9"/>
      <c r="CG66" s="173"/>
      <c r="CH66" s="2"/>
      <c r="CI66" s="2"/>
      <c r="CJ66" s="2"/>
      <c r="CQ66" s="173"/>
      <c r="CV66" s="9"/>
      <c r="CW66" s="9"/>
      <c r="CX66" s="269">
        <v>1</v>
      </c>
      <c r="CY66" s="270">
        <v>2</v>
      </c>
      <c r="CZ66" s="270">
        <v>3</v>
      </c>
      <c r="DA66" s="10"/>
      <c r="DB66" s="10"/>
      <c r="DC66" s="160"/>
    </row>
    <row r="67" spans="1:197" s="5" customFormat="1" ht="19.5" customHeight="1" x14ac:dyDescent="0.25">
      <c r="A67" s="15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3"/>
      <c r="O67" s="173"/>
      <c r="P67" s="155"/>
      <c r="Q67" s="173"/>
      <c r="R67" s="173"/>
      <c r="S67" s="173"/>
      <c r="T67" s="173"/>
      <c r="U67" s="173"/>
      <c r="V67" s="173"/>
      <c r="W67" s="173"/>
      <c r="X67" s="9"/>
      <c r="Y67" s="81"/>
      <c r="Z67" s="81"/>
      <c r="AA67" s="16"/>
      <c r="AB67" s="16"/>
      <c r="AC67" s="177">
        <v>1</v>
      </c>
      <c r="AD67" s="177">
        <v>2</v>
      </c>
      <c r="AE67" s="177">
        <v>3</v>
      </c>
      <c r="AF67" s="177">
        <v>4</v>
      </c>
      <c r="AG67" s="260"/>
      <c r="AH67" s="85"/>
      <c r="AI67" s="85"/>
      <c r="AJ67" s="184"/>
      <c r="AK67" s="268"/>
      <c r="AL67" s="2"/>
      <c r="AM67" s="155"/>
      <c r="AN67" s="487" t="s">
        <v>221</v>
      </c>
      <c r="AO67" s="2"/>
      <c r="AP67" s="2"/>
      <c r="AQ67" s="16"/>
      <c r="AR67" s="2"/>
      <c r="AW67" s="2"/>
      <c r="AX67" s="2"/>
      <c r="AY67" s="110"/>
      <c r="AZ67" s="17"/>
      <c r="BA67" s="155"/>
      <c r="BB67" s="101"/>
      <c r="BC67" s="110"/>
      <c r="BD67" s="110"/>
      <c r="BE67" s="110"/>
      <c r="BF67" s="110"/>
      <c r="BG67" s="173"/>
      <c r="BH67" s="173"/>
      <c r="BI67" s="173"/>
      <c r="BJ67" s="173"/>
      <c r="BK67" s="173"/>
      <c r="BL67" s="173"/>
      <c r="BM67" s="173"/>
      <c r="BN67" s="173"/>
      <c r="BO67" s="159"/>
      <c r="BP67" s="173"/>
      <c r="BQ67" s="173"/>
      <c r="BR67" s="173"/>
      <c r="BS67" s="173"/>
      <c r="BT67" s="173"/>
      <c r="BU67" s="693"/>
      <c r="BV67" s="694"/>
      <c r="BW67" s="694"/>
      <c r="BX67" s="694"/>
      <c r="BY67" s="694"/>
      <c r="BZ67" s="694"/>
      <c r="CA67" s="695"/>
      <c r="CB67" s="159"/>
      <c r="CC67" s="2"/>
      <c r="CD67" s="159"/>
      <c r="CE67" s="130"/>
      <c r="CF67" s="9"/>
      <c r="CG67" s="2"/>
      <c r="CH67" s="9"/>
      <c r="CO67" s="173"/>
      <c r="CP67" s="271"/>
      <c r="CQ67" s="173"/>
      <c r="CV67" s="9"/>
      <c r="CW67" s="22" t="s">
        <v>214</v>
      </c>
      <c r="CX67" s="172" t="s">
        <v>174</v>
      </c>
      <c r="CY67" s="172" t="s">
        <v>174</v>
      </c>
      <c r="CZ67" s="172" t="s">
        <v>174</v>
      </c>
      <c r="DA67" s="10"/>
      <c r="DB67" s="10"/>
      <c r="DC67" s="160"/>
    </row>
    <row r="68" spans="1:197" s="5" customFormat="1" ht="19.5" customHeight="1" thickBot="1" x14ac:dyDescent="0.3">
      <c r="A68" s="15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3"/>
      <c r="O68" s="173"/>
      <c r="P68" s="155"/>
      <c r="Q68" s="173"/>
      <c r="R68" s="173"/>
      <c r="S68" s="173"/>
      <c r="T68" s="173"/>
      <c r="U68" s="173"/>
      <c r="V68" s="173"/>
      <c r="W68" s="173"/>
      <c r="X68" s="16"/>
      <c r="Y68" s="9"/>
      <c r="Z68" s="9"/>
      <c r="AA68" s="16"/>
      <c r="AB68" s="22" t="s">
        <v>215</v>
      </c>
      <c r="AC68" s="272" t="s">
        <v>174</v>
      </c>
      <c r="AD68" s="272" t="s">
        <v>174</v>
      </c>
      <c r="AE68" s="272" t="s">
        <v>174</v>
      </c>
      <c r="AF68" s="272" t="s">
        <v>174</v>
      </c>
      <c r="AG68" s="260"/>
      <c r="AH68" s="173"/>
      <c r="AI68" s="173"/>
      <c r="AJ68" s="173"/>
      <c r="AK68" s="159"/>
      <c r="AL68" s="2"/>
      <c r="AM68" s="155"/>
      <c r="AN68" s="487" t="s">
        <v>221</v>
      </c>
      <c r="AO68" s="2"/>
      <c r="AP68" s="2"/>
      <c r="AQ68" s="16"/>
      <c r="AR68" s="2"/>
      <c r="AS68" s="110"/>
      <c r="AT68" s="870" t="s">
        <v>265</v>
      </c>
      <c r="AU68" s="870"/>
      <c r="AV68" s="110"/>
      <c r="AW68" s="2"/>
      <c r="AX68" s="2"/>
      <c r="AY68" s="110"/>
      <c r="AZ68" s="17"/>
      <c r="BA68" s="155"/>
      <c r="BB68" s="110"/>
      <c r="BC68" s="110"/>
      <c r="BD68" s="110"/>
      <c r="BE68" s="110"/>
      <c r="BF68" s="110"/>
      <c r="BG68" s="173"/>
      <c r="BH68" s="173"/>
      <c r="BI68" s="173"/>
      <c r="BJ68" s="173"/>
      <c r="BK68" s="173"/>
      <c r="BL68" s="173"/>
      <c r="BM68" s="173"/>
      <c r="BN68" s="173"/>
      <c r="BO68" s="159"/>
      <c r="BP68" s="173"/>
      <c r="BQ68" s="173"/>
      <c r="BR68" s="173"/>
      <c r="BS68" s="173"/>
      <c r="BT68" s="173"/>
      <c r="BU68" s="696"/>
      <c r="BV68" s="697"/>
      <c r="BW68" s="697"/>
      <c r="BX68" s="697"/>
      <c r="BY68" s="697"/>
      <c r="BZ68" s="697"/>
      <c r="CA68" s="698"/>
      <c r="CB68" s="159"/>
      <c r="CC68" s="2"/>
      <c r="CD68" s="159"/>
      <c r="CE68" s="9"/>
      <c r="CF68" s="9"/>
      <c r="CG68" s="2"/>
      <c r="CH68" s="9"/>
      <c r="CK68" s="9"/>
      <c r="CL68" s="9"/>
      <c r="CM68" s="9"/>
      <c r="CN68" s="9"/>
      <c r="CO68" s="119"/>
      <c r="CP68" s="271"/>
      <c r="CQ68" s="173"/>
      <c r="CV68" s="9"/>
      <c r="CW68" s="172"/>
      <c r="CX68" s="488" t="s">
        <v>9</v>
      </c>
      <c r="CY68" s="489" t="s">
        <v>5</v>
      </c>
      <c r="CZ68" s="488" t="s">
        <v>9</v>
      </c>
      <c r="DA68" s="9"/>
      <c r="DB68" s="9"/>
      <c r="DC68" s="159"/>
    </row>
    <row r="69" spans="1:197" s="5" customFormat="1" ht="19.5" customHeight="1" thickBot="1" x14ac:dyDescent="0.3">
      <c r="A69" s="15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3"/>
      <c r="O69" s="173"/>
      <c r="P69" s="155"/>
      <c r="Q69" s="173"/>
      <c r="R69" s="173"/>
      <c r="S69" s="173"/>
      <c r="T69" s="173"/>
      <c r="U69" s="173"/>
      <c r="V69" s="173"/>
      <c r="W69" s="173"/>
      <c r="X69" s="9"/>
      <c r="Y69" s="16"/>
      <c r="Z69" s="16"/>
      <c r="AA69" s="16"/>
      <c r="AB69" s="273"/>
      <c r="AC69" s="490" t="s">
        <v>84</v>
      </c>
      <c r="AD69" s="490" t="s">
        <v>84</v>
      </c>
      <c r="AE69" s="491" t="s">
        <v>122</v>
      </c>
      <c r="AF69" s="491" t="s">
        <v>122</v>
      </c>
      <c r="AG69" s="273"/>
      <c r="AI69" s="173"/>
      <c r="AJ69" s="173"/>
      <c r="AK69" s="159"/>
      <c r="AL69" s="2"/>
      <c r="AM69" s="155"/>
      <c r="AN69" s="487" t="s">
        <v>221</v>
      </c>
      <c r="AO69" s="2"/>
      <c r="AP69" s="2"/>
      <c r="AQ69" s="2"/>
      <c r="AR69" s="2"/>
      <c r="AS69" s="2"/>
      <c r="AT69" s="492" t="s">
        <v>231</v>
      </c>
      <c r="AU69" s="492" t="s">
        <v>231</v>
      </c>
      <c r="AV69" s="2"/>
      <c r="AW69" s="2"/>
      <c r="AX69" s="2"/>
      <c r="AY69" s="110"/>
      <c r="AZ69" s="17"/>
      <c r="BA69" s="155"/>
      <c r="BB69" s="110"/>
      <c r="BC69" s="110"/>
      <c r="BD69" s="110"/>
      <c r="BE69" s="110"/>
      <c r="BF69" s="110"/>
      <c r="BG69" s="173"/>
      <c r="BH69" s="173"/>
      <c r="BI69" s="173"/>
      <c r="BJ69" s="173"/>
      <c r="BK69" s="173"/>
      <c r="BL69" s="173"/>
      <c r="BM69" s="173"/>
      <c r="BN69" s="173"/>
      <c r="BO69" s="159"/>
      <c r="BP69" s="173"/>
      <c r="BQ69" s="173"/>
      <c r="BR69" s="173"/>
      <c r="BS69" s="173"/>
      <c r="BT69" s="173"/>
      <c r="BU69" s="173"/>
      <c r="BV69" s="259"/>
      <c r="BW69" s="259"/>
      <c r="BX69" s="173"/>
      <c r="BY69" s="19"/>
      <c r="BZ69" s="9"/>
      <c r="CA69" s="9"/>
      <c r="CB69" s="159"/>
      <c r="CC69" s="2"/>
      <c r="CD69" s="159"/>
      <c r="CE69" s="9"/>
      <c r="CF69" s="9"/>
      <c r="CG69" s="2"/>
      <c r="CH69" s="9"/>
      <c r="CJ69" s="9"/>
      <c r="CL69" s="24"/>
      <c r="CM69" s="9"/>
      <c r="CU69" s="2"/>
      <c r="CV69" s="493" t="s">
        <v>240</v>
      </c>
      <c r="CW69" s="889"/>
      <c r="CX69" s="890"/>
      <c r="CY69" s="890"/>
      <c r="CZ69" s="891"/>
      <c r="DA69" s="9"/>
      <c r="DB69" s="9"/>
      <c r="DC69" s="159"/>
    </row>
    <row r="70" spans="1:197" s="5" customFormat="1" ht="19.5" customHeight="1" x14ac:dyDescent="0.25">
      <c r="A70" s="15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3"/>
      <c r="O70" s="173"/>
      <c r="P70" s="155"/>
      <c r="Q70" s="173"/>
      <c r="R70" s="173"/>
      <c r="S70" s="173"/>
      <c r="T70" s="173"/>
      <c r="U70" s="173"/>
      <c r="V70" s="173"/>
      <c r="W70" s="173"/>
      <c r="X70" s="173"/>
      <c r="Y70" s="173"/>
      <c r="Z70" s="9"/>
      <c r="AA70" s="9"/>
      <c r="AC70" s="276"/>
      <c r="AD70" s="277"/>
      <c r="AE70" s="277"/>
      <c r="AF70" s="277"/>
      <c r="AG70" s="278"/>
      <c r="AH70" s="260"/>
      <c r="AI70" s="173"/>
      <c r="AJ70" s="173"/>
      <c r="AK70" s="159"/>
      <c r="AL70" s="2"/>
      <c r="AM70" s="155"/>
      <c r="AN70" s="487" t="s">
        <v>221</v>
      </c>
      <c r="AO70" s="2"/>
      <c r="AR70" s="16"/>
      <c r="AS70" s="2"/>
      <c r="AT70" s="492" t="s">
        <v>231</v>
      </c>
      <c r="AU70" s="492" t="s">
        <v>231</v>
      </c>
      <c r="AV70" s="2"/>
      <c r="AW70" s="2"/>
      <c r="AX70" s="2"/>
      <c r="AY70" s="2"/>
      <c r="AZ70" s="2"/>
      <c r="BA70" s="155"/>
      <c r="BB70" s="17"/>
      <c r="BC70" s="17"/>
      <c r="BD70" s="17"/>
      <c r="BE70" s="173"/>
      <c r="BF70" s="170"/>
      <c r="BG70" s="173"/>
      <c r="BH70" s="2"/>
      <c r="BI70" s="2"/>
      <c r="BJ70" s="2"/>
      <c r="BK70" s="2"/>
      <c r="BL70" s="2"/>
      <c r="BM70" s="2"/>
      <c r="BN70" s="2"/>
      <c r="BO70" s="159"/>
      <c r="BP70" s="173"/>
      <c r="BQ70" s="173"/>
      <c r="BR70" s="173"/>
      <c r="BS70" s="173"/>
      <c r="BT70" s="173"/>
      <c r="BU70" s="173"/>
      <c r="BV70" s="173"/>
      <c r="BW70" s="173"/>
      <c r="BX70" s="173"/>
      <c r="BY70" s="19"/>
      <c r="BZ70" s="9"/>
      <c r="CA70" s="9"/>
      <c r="CB70" s="159"/>
      <c r="CC70" s="2"/>
      <c r="CD70" s="159"/>
      <c r="CE70" s="898" t="s">
        <v>213</v>
      </c>
      <c r="CF70" s="899"/>
      <c r="CG70" s="899"/>
      <c r="CH70" s="899"/>
      <c r="CI70" s="899"/>
      <c r="CJ70" s="899"/>
      <c r="CK70" s="899"/>
      <c r="CL70" s="899"/>
      <c r="CM70" s="899"/>
      <c r="CN70" s="899"/>
      <c r="CO70" s="900"/>
      <c r="CP70" s="140"/>
      <c r="CQ70" s="16"/>
      <c r="CR70" s="16"/>
      <c r="CS70" s="16"/>
      <c r="CU70" s="2"/>
      <c r="CV70" s="493" t="s">
        <v>240</v>
      </c>
      <c r="CW70" s="892"/>
      <c r="CX70" s="893"/>
      <c r="CY70" s="893"/>
      <c r="CZ70" s="894"/>
      <c r="DA70" s="2"/>
      <c r="DB70" s="2"/>
      <c r="DC70" s="268"/>
    </row>
    <row r="71" spans="1:197" s="5" customFormat="1" ht="19.5" customHeight="1" thickBot="1" x14ac:dyDescent="0.3">
      <c r="A71" s="15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3"/>
      <c r="O71" s="170"/>
      <c r="P71" s="173"/>
      <c r="Q71" s="159"/>
      <c r="R71" s="159"/>
      <c r="S71" s="159"/>
      <c r="T71" s="159"/>
      <c r="U71" s="159"/>
      <c r="V71" s="159"/>
      <c r="W71" s="159"/>
      <c r="X71" s="159"/>
      <c r="Y71" s="173"/>
      <c r="Z71" s="173"/>
      <c r="AA71" s="9"/>
      <c r="AC71" s="279"/>
      <c r="AD71" s="173"/>
      <c r="AE71" s="173"/>
      <c r="AF71" s="173"/>
      <c r="AG71" s="280"/>
      <c r="AH71" s="260"/>
      <c r="AI71" s="2"/>
      <c r="AJ71" s="2"/>
      <c r="AK71" s="159"/>
      <c r="AL71" s="2"/>
      <c r="AM71" s="155"/>
      <c r="AN71" s="487" t="s">
        <v>221</v>
      </c>
      <c r="AO71" s="2"/>
      <c r="AP71" s="16"/>
      <c r="AQ71" s="16"/>
      <c r="AR71" s="2"/>
      <c r="AS71" s="2"/>
      <c r="AV71" s="17"/>
      <c r="AW71" s="17"/>
      <c r="AX71" s="17"/>
      <c r="AY71" s="17"/>
      <c r="AZ71" s="17"/>
      <c r="BA71" s="155"/>
      <c r="BB71" s="17"/>
      <c r="BC71" s="17"/>
      <c r="BD71" s="17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59"/>
      <c r="BP71" s="173"/>
      <c r="BQ71" s="173"/>
      <c r="BR71" s="173"/>
      <c r="BS71" s="173"/>
      <c r="BT71" s="173"/>
      <c r="BU71" s="494" t="s">
        <v>266</v>
      </c>
      <c r="BV71" s="494" t="s">
        <v>266</v>
      </c>
      <c r="BW71" s="494" t="s">
        <v>266</v>
      </c>
      <c r="BX71" s="494" t="s">
        <v>266</v>
      </c>
      <c r="BY71" s="19"/>
      <c r="BZ71" s="9"/>
      <c r="CA71" s="9"/>
      <c r="CB71" s="159"/>
      <c r="CC71" s="2"/>
      <c r="CD71" s="159"/>
      <c r="CE71" s="901"/>
      <c r="CF71" s="902"/>
      <c r="CG71" s="902"/>
      <c r="CH71" s="902"/>
      <c r="CI71" s="902"/>
      <c r="CJ71" s="902"/>
      <c r="CK71" s="902"/>
      <c r="CL71" s="902"/>
      <c r="CM71" s="902"/>
      <c r="CN71" s="902"/>
      <c r="CO71" s="903"/>
      <c r="CP71" s="140"/>
      <c r="CQ71" s="16"/>
      <c r="CR71" s="16"/>
      <c r="CS71" s="16"/>
      <c r="CU71" s="2"/>
      <c r="CV71" s="493" t="s">
        <v>240</v>
      </c>
      <c r="CW71" s="892"/>
      <c r="CX71" s="893"/>
      <c r="CY71" s="893"/>
      <c r="CZ71" s="894"/>
      <c r="DA71" s="2"/>
      <c r="DB71" s="2"/>
      <c r="DC71" s="268"/>
    </row>
    <row r="72" spans="1:197" s="5" customFormat="1" ht="19.5" customHeight="1" thickBot="1" x14ac:dyDescent="0.3">
      <c r="A72" s="15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59"/>
      <c r="Y72" s="173"/>
      <c r="Z72" s="173"/>
      <c r="AA72" s="9"/>
      <c r="AC72" s="279"/>
      <c r="AD72" s="173"/>
      <c r="AE72" s="173"/>
      <c r="AF72" s="173"/>
      <c r="AG72" s="280"/>
      <c r="AH72" s="702" t="s">
        <v>216</v>
      </c>
      <c r="AI72" s="731"/>
      <c r="AJ72" s="731"/>
      <c r="AK72" s="159"/>
      <c r="AL72" s="2"/>
      <c r="AM72" s="155"/>
      <c r="AN72" s="487" t="s">
        <v>221</v>
      </c>
      <c r="AO72" s="2"/>
      <c r="AP72" s="2"/>
      <c r="AQ72" s="2"/>
      <c r="AR72" s="2"/>
      <c r="AS72" s="2"/>
      <c r="AT72" s="495" t="s">
        <v>222</v>
      </c>
      <c r="AU72" s="495" t="s">
        <v>222</v>
      </c>
      <c r="AV72" s="17"/>
      <c r="AW72" s="17"/>
      <c r="AX72" s="17"/>
      <c r="AY72" s="17"/>
      <c r="AZ72" s="17"/>
      <c r="BA72" s="155"/>
      <c r="BB72" s="17"/>
      <c r="BC72" s="17"/>
      <c r="BD72" s="17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59"/>
      <c r="BP72" s="173"/>
      <c r="BQ72" s="173"/>
      <c r="BR72" s="173"/>
      <c r="BS72" s="173"/>
      <c r="BT72" s="173"/>
      <c r="BU72" s="907" t="s">
        <v>267</v>
      </c>
      <c r="BV72" s="907"/>
      <c r="BW72" s="907"/>
      <c r="BX72" s="907"/>
      <c r="BY72" s="9"/>
      <c r="BZ72" s="9"/>
      <c r="CA72" s="9"/>
      <c r="CB72" s="159"/>
      <c r="CC72" s="2"/>
      <c r="CD72" s="159"/>
      <c r="CE72" s="901"/>
      <c r="CF72" s="902"/>
      <c r="CG72" s="902"/>
      <c r="CH72" s="902"/>
      <c r="CI72" s="902"/>
      <c r="CJ72" s="902"/>
      <c r="CK72" s="902"/>
      <c r="CL72" s="902"/>
      <c r="CM72" s="902"/>
      <c r="CN72" s="902"/>
      <c r="CO72" s="903"/>
      <c r="CP72" s="140"/>
      <c r="CQ72" s="16"/>
      <c r="CR72" s="16"/>
      <c r="CS72" s="16"/>
      <c r="CU72" s="2"/>
      <c r="CV72" s="71"/>
      <c r="CW72" s="892"/>
      <c r="CX72" s="893"/>
      <c r="CY72" s="893"/>
      <c r="CZ72" s="894"/>
      <c r="DA72" s="2"/>
      <c r="DB72" s="2"/>
      <c r="DC72" s="268"/>
    </row>
    <row r="73" spans="1:197" s="5" customFormat="1" ht="19.5" customHeight="1" x14ac:dyDescent="0.25">
      <c r="A73" s="15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59"/>
      <c r="Y73" s="173"/>
      <c r="Z73" s="173"/>
      <c r="AA73" s="9"/>
      <c r="AC73" s="279"/>
      <c r="AD73" s="173"/>
      <c r="AE73" s="173"/>
      <c r="AF73" s="173"/>
      <c r="AG73" s="280"/>
      <c r="AH73" s="704"/>
      <c r="AI73" s="732"/>
      <c r="AJ73" s="732"/>
      <c r="AK73" s="159"/>
      <c r="AL73" s="2"/>
      <c r="AM73" s="155"/>
      <c r="AN73" s="2"/>
      <c r="AO73" s="2"/>
      <c r="AP73" s="2"/>
      <c r="AQ73" s="2"/>
      <c r="AR73" s="16"/>
      <c r="AS73" s="17"/>
      <c r="AT73" s="495" t="s">
        <v>222</v>
      </c>
      <c r="AU73" s="495" t="s">
        <v>222</v>
      </c>
      <c r="AV73" s="17"/>
      <c r="AW73" s="17"/>
      <c r="AX73" s="17"/>
      <c r="AY73" s="17"/>
      <c r="AZ73" s="17"/>
      <c r="BA73" s="155"/>
      <c r="BB73" s="17"/>
      <c r="BC73" s="17"/>
      <c r="BD73" s="17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59"/>
      <c r="BP73" s="173"/>
      <c r="BQ73" s="173"/>
      <c r="BR73" s="173"/>
      <c r="BS73" s="173"/>
      <c r="BT73" s="173"/>
      <c r="BU73" s="173"/>
      <c r="BV73" s="173"/>
      <c r="BW73" s="173"/>
      <c r="BX73" s="173"/>
      <c r="BY73" s="9"/>
      <c r="BZ73" s="9"/>
      <c r="CA73" s="9"/>
      <c r="CB73" s="159"/>
      <c r="CC73" s="2"/>
      <c r="CD73" s="159"/>
      <c r="CE73" s="901"/>
      <c r="CF73" s="902"/>
      <c r="CG73" s="902"/>
      <c r="CH73" s="902"/>
      <c r="CI73" s="902"/>
      <c r="CJ73" s="902"/>
      <c r="CK73" s="902"/>
      <c r="CL73" s="902"/>
      <c r="CM73" s="902"/>
      <c r="CN73" s="902"/>
      <c r="CO73" s="903"/>
      <c r="CP73" s="140"/>
      <c r="CQ73" s="16"/>
      <c r="CR73" s="16"/>
      <c r="CS73" s="16"/>
      <c r="CU73" s="71"/>
      <c r="CV73" s="71"/>
      <c r="CW73" s="892"/>
      <c r="CX73" s="893"/>
      <c r="CY73" s="893"/>
      <c r="CZ73" s="894"/>
      <c r="DA73" s="908" t="s">
        <v>217</v>
      </c>
      <c r="DB73" s="909"/>
      <c r="DC73" s="159"/>
    </row>
    <row r="74" spans="1:197" s="5" customFormat="1" ht="19.5" customHeight="1" thickBot="1" x14ac:dyDescent="0.3">
      <c r="A74" s="15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59"/>
      <c r="Y74" s="173"/>
      <c r="Z74" s="173"/>
      <c r="AA74" s="9"/>
      <c r="AC74" s="279"/>
      <c r="AD74" s="173"/>
      <c r="AE74" s="173"/>
      <c r="AF74" s="173"/>
      <c r="AG74" s="280"/>
      <c r="AH74" s="704"/>
      <c r="AI74" s="732"/>
      <c r="AJ74" s="732"/>
      <c r="AK74" s="159"/>
      <c r="AL74" s="2"/>
      <c r="AM74" s="155"/>
      <c r="AN74" s="2"/>
      <c r="AO74" s="2"/>
      <c r="AP74" s="2"/>
      <c r="AQ74" s="2"/>
      <c r="AR74" s="17"/>
      <c r="AS74" s="17"/>
      <c r="AT74" s="17"/>
      <c r="AU74" s="17"/>
      <c r="AV74" s="17"/>
      <c r="AW74" s="17"/>
      <c r="AX74" s="17"/>
      <c r="AY74" s="17"/>
      <c r="AZ74" s="17"/>
      <c r="BA74" s="155"/>
      <c r="BB74" s="17"/>
      <c r="BC74" s="17"/>
      <c r="BD74" s="17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59"/>
      <c r="BP74" s="173"/>
      <c r="BQ74" s="173"/>
      <c r="BR74" s="173"/>
      <c r="BS74" s="173"/>
      <c r="BT74" s="173"/>
      <c r="BU74" s="173"/>
      <c r="BV74" s="173"/>
      <c r="BW74" s="173"/>
      <c r="BX74" s="173"/>
      <c r="BY74" s="9"/>
      <c r="BZ74" s="173"/>
      <c r="CA74" s="173"/>
      <c r="CB74" s="159"/>
      <c r="CC74" s="2"/>
      <c r="CD74" s="159"/>
      <c r="CE74" s="901"/>
      <c r="CF74" s="902"/>
      <c r="CG74" s="902"/>
      <c r="CH74" s="902"/>
      <c r="CI74" s="902"/>
      <c r="CJ74" s="902"/>
      <c r="CK74" s="902"/>
      <c r="CL74" s="902"/>
      <c r="CM74" s="902"/>
      <c r="CN74" s="902"/>
      <c r="CO74" s="903"/>
      <c r="CP74" s="140"/>
      <c r="CQ74" s="71"/>
      <c r="CR74" s="16"/>
      <c r="CS74" s="16"/>
      <c r="CU74" s="71"/>
      <c r="CV74" s="71"/>
      <c r="CW74" s="892"/>
      <c r="CX74" s="893"/>
      <c r="CY74" s="893"/>
      <c r="CZ74" s="894"/>
      <c r="DA74" s="704"/>
      <c r="DB74" s="910"/>
      <c r="DC74" s="159"/>
    </row>
    <row r="75" spans="1:197" s="5" customFormat="1" ht="19.5" customHeight="1" thickBot="1" x14ac:dyDescent="0.3">
      <c r="A75" s="15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59"/>
      <c r="Y75" s="173"/>
      <c r="Z75" s="173"/>
      <c r="AA75" s="173"/>
      <c r="AC75" s="279"/>
      <c r="AD75" s="173"/>
      <c r="AE75" s="173"/>
      <c r="AF75" s="173"/>
      <c r="AG75" s="280"/>
      <c r="AH75" s="704"/>
      <c r="AI75" s="732"/>
      <c r="AJ75" s="732"/>
      <c r="AK75" s="159"/>
      <c r="AL75" s="2"/>
      <c r="AM75" s="155"/>
      <c r="AN75" s="2"/>
      <c r="AO75" s="2"/>
      <c r="AP75" s="2"/>
      <c r="AQ75" s="2"/>
      <c r="AR75" s="2"/>
      <c r="AS75" s="2"/>
      <c r="AT75" s="2"/>
      <c r="AU75" s="2"/>
      <c r="AV75" s="2"/>
      <c r="AW75" s="17"/>
      <c r="AX75" s="17"/>
      <c r="AY75" s="17"/>
      <c r="AZ75" s="17"/>
      <c r="BA75" s="155"/>
      <c r="BB75" s="17"/>
      <c r="BC75" s="17"/>
      <c r="BD75" s="17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59"/>
      <c r="BP75" s="912" t="s">
        <v>218</v>
      </c>
      <c r="BQ75" s="913"/>
      <c r="BR75" s="914"/>
      <c r="BS75" s="173"/>
      <c r="BT75" s="9"/>
      <c r="BU75" s="9"/>
      <c r="BV75" s="9"/>
      <c r="BW75" s="9"/>
      <c r="BZ75" s="889" t="s">
        <v>216</v>
      </c>
      <c r="CA75" s="891"/>
      <c r="CB75" s="159"/>
      <c r="CC75" s="2"/>
      <c r="CD75" s="159"/>
      <c r="CE75" s="904"/>
      <c r="CF75" s="905"/>
      <c r="CG75" s="905"/>
      <c r="CH75" s="905"/>
      <c r="CI75" s="905"/>
      <c r="CJ75" s="905"/>
      <c r="CK75" s="905"/>
      <c r="CL75" s="905"/>
      <c r="CM75" s="905"/>
      <c r="CN75" s="905"/>
      <c r="CO75" s="906"/>
      <c r="CP75" s="143"/>
      <c r="CQ75" s="9"/>
      <c r="CR75" s="9"/>
      <c r="CS75" s="9"/>
      <c r="CT75" s="9"/>
      <c r="CU75" s="71"/>
      <c r="CV75" s="71"/>
      <c r="CW75" s="895"/>
      <c r="CX75" s="896"/>
      <c r="CY75" s="896"/>
      <c r="CZ75" s="897"/>
      <c r="DA75" s="706"/>
      <c r="DB75" s="911"/>
      <c r="DC75" s="159"/>
    </row>
    <row r="76" spans="1:197" s="5" customFormat="1" ht="19.5" customHeight="1" thickBot="1" x14ac:dyDescent="0.3">
      <c r="A76" s="15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59"/>
      <c r="Y76" s="173"/>
      <c r="Z76" s="173"/>
      <c r="AA76" s="173"/>
      <c r="AC76" s="279"/>
      <c r="AD76" s="173"/>
      <c r="AE76" s="173"/>
      <c r="AF76" s="173"/>
      <c r="AG76" s="144"/>
      <c r="AH76" s="704"/>
      <c r="AI76" s="732"/>
      <c r="AJ76" s="732"/>
      <c r="AK76" s="159"/>
      <c r="AL76" s="2"/>
      <c r="AM76" s="155"/>
      <c r="AN76" s="2"/>
      <c r="AO76" s="2"/>
      <c r="AP76" s="2"/>
      <c r="AQ76" s="493" t="s">
        <v>240</v>
      </c>
      <c r="AR76" s="493" t="s">
        <v>240</v>
      </c>
      <c r="AU76" s="16"/>
      <c r="AV76" s="17"/>
      <c r="AW76" s="17"/>
      <c r="AX76" s="17"/>
      <c r="AY76" s="17"/>
      <c r="AZ76" s="17"/>
      <c r="BA76" s="155"/>
      <c r="BB76" s="17"/>
      <c r="BC76" s="17"/>
      <c r="BD76" s="17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59"/>
      <c r="BP76" s="915"/>
      <c r="BQ76" s="916"/>
      <c r="BR76" s="917"/>
      <c r="BS76" s="173"/>
      <c r="BT76" s="173"/>
      <c r="BU76" s="173"/>
      <c r="BV76" s="173"/>
      <c r="BW76" s="173"/>
      <c r="BZ76" s="895"/>
      <c r="CA76" s="897"/>
      <c r="CB76" s="159"/>
      <c r="CC76" s="2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</row>
    <row r="77" spans="1:197" s="5" customFormat="1" ht="19.5" customHeight="1" x14ac:dyDescent="0.25">
      <c r="A77" s="155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2"/>
      <c r="AM77" s="155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</row>
    <row r="78" spans="1:197" s="5" customFormat="1" ht="19.5" customHeight="1" x14ac:dyDescent="0.25"/>
    <row r="79" spans="1:197" s="5" customFormat="1" ht="19.5" customHeight="1" x14ac:dyDescent="0.25"/>
    <row r="80" spans="1:197" ht="19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</row>
    <row r="81" spans="1:197" ht="19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</row>
    <row r="88" spans="1:197" ht="19.5" customHeight="1" thickBot="1" x14ac:dyDescent="0.3"/>
    <row r="89" spans="1:197" ht="19.5" customHeight="1" thickBot="1" x14ac:dyDescent="0.3">
      <c r="A89" s="871" t="s">
        <v>268</v>
      </c>
      <c r="B89" s="872"/>
      <c r="C89" s="872"/>
      <c r="D89" s="872"/>
      <c r="E89" s="872"/>
      <c r="F89" s="872"/>
      <c r="G89" s="872"/>
      <c r="H89" s="872"/>
      <c r="I89" s="873"/>
      <c r="J89" s="874">
        <f>SUM(F97,O97,F200,O200)</f>
        <v>545</v>
      </c>
      <c r="K89" s="875"/>
      <c r="L89" s="875"/>
      <c r="M89" s="876"/>
      <c r="N89" s="320"/>
      <c r="O89" s="320"/>
      <c r="P89" s="320"/>
      <c r="Q89" s="320"/>
      <c r="R89" s="320"/>
      <c r="S89" s="320"/>
      <c r="T89" s="877" t="s">
        <v>269</v>
      </c>
      <c r="U89" s="877"/>
      <c r="V89" s="877"/>
      <c r="W89" s="877"/>
      <c r="X89" s="320"/>
      <c r="Y89" s="320"/>
      <c r="Z89" s="877" t="s">
        <v>270</v>
      </c>
      <c r="AA89" s="877"/>
      <c r="AB89" s="877"/>
      <c r="AC89" s="877"/>
    </row>
    <row r="90" spans="1:197" ht="19.5" customHeight="1" x14ac:dyDescent="0.3">
      <c r="A90" s="321" t="s">
        <v>271</v>
      </c>
      <c r="B90" s="322"/>
      <c r="C90" s="322"/>
      <c r="D90" s="322"/>
      <c r="E90" s="322"/>
      <c r="F90" s="322"/>
      <c r="G90" s="322"/>
      <c r="H90" s="322"/>
      <c r="I90" s="322"/>
      <c r="J90" s="323"/>
      <c r="K90" s="323"/>
      <c r="L90" s="323"/>
      <c r="M90" s="323"/>
      <c r="N90" s="320"/>
      <c r="O90" s="320"/>
      <c r="P90" s="320"/>
      <c r="Q90" s="320"/>
      <c r="R90" s="320"/>
      <c r="S90" s="320"/>
      <c r="T90" s="860" t="s">
        <v>272</v>
      </c>
      <c r="U90" s="861"/>
      <c r="V90" s="860" t="s">
        <v>273</v>
      </c>
      <c r="W90" s="861"/>
      <c r="X90" s="320"/>
      <c r="Y90" s="320"/>
      <c r="Z90" s="862" t="s">
        <v>272</v>
      </c>
      <c r="AA90" s="862"/>
      <c r="AB90" s="862" t="s">
        <v>273</v>
      </c>
      <c r="AC90" s="862"/>
    </row>
    <row r="91" spans="1:197" ht="19.5" customHeight="1" x14ac:dyDescent="0.3">
      <c r="A91" s="320"/>
      <c r="B91" s="320"/>
      <c r="C91" s="320"/>
      <c r="D91" s="320"/>
      <c r="E91" s="320"/>
      <c r="F91" s="320"/>
      <c r="G91" s="320"/>
      <c r="H91" s="320"/>
      <c r="I91" s="320"/>
      <c r="K91" s="320"/>
      <c r="L91" s="320"/>
      <c r="M91" s="324"/>
      <c r="N91" s="320"/>
      <c r="O91" s="320"/>
      <c r="P91" s="320"/>
      <c r="Q91" s="320"/>
      <c r="R91" s="320"/>
      <c r="S91" s="320"/>
      <c r="T91" s="863"/>
      <c r="U91" s="864"/>
      <c r="V91" s="865"/>
      <c r="W91" s="866"/>
      <c r="X91" s="320"/>
      <c r="Y91" s="320"/>
      <c r="Z91" s="867">
        <v>45153</v>
      </c>
      <c r="AA91" s="867"/>
      <c r="AB91" s="868" t="s">
        <v>274</v>
      </c>
      <c r="AC91" s="868"/>
    </row>
    <row r="92" spans="1:197" ht="19.5" customHeight="1" x14ac:dyDescent="0.35">
      <c r="K92" s="320"/>
      <c r="L92" s="325"/>
      <c r="M92" s="326"/>
      <c r="N92" s="320"/>
      <c r="O92" s="320"/>
      <c r="P92" s="320"/>
      <c r="Q92" s="320"/>
      <c r="R92" s="320"/>
      <c r="S92" s="320"/>
      <c r="T92" s="496" t="str">
        <f>IF(B91="","",CONCATENATE(B91," MAQ."))</f>
        <v/>
      </c>
      <c r="U92" s="848" t="s">
        <v>275</v>
      </c>
      <c r="V92" s="849"/>
      <c r="W92" s="850"/>
      <c r="X92" s="851" t="s">
        <v>143</v>
      </c>
      <c r="Y92" s="852"/>
      <c r="Z92" s="496" t="s">
        <v>276</v>
      </c>
      <c r="AA92" s="497" t="s">
        <v>275</v>
      </c>
    </row>
    <row r="93" spans="1:197" ht="19.5" customHeight="1" x14ac:dyDescent="0.25">
      <c r="A93" s="853" t="s">
        <v>277</v>
      </c>
      <c r="B93" s="853"/>
      <c r="C93" s="853"/>
      <c r="D93" s="853"/>
      <c r="E93" s="853"/>
      <c r="F93" s="853"/>
      <c r="G93" s="853"/>
      <c r="H93" s="853"/>
      <c r="I93" s="853"/>
      <c r="J93" s="853"/>
      <c r="K93" s="853"/>
      <c r="L93" s="853"/>
      <c r="M93" s="853"/>
      <c r="N93" s="853"/>
      <c r="O93" s="853"/>
      <c r="P93" s="853"/>
      <c r="Q93" s="853"/>
      <c r="R93" s="320"/>
      <c r="S93" s="320"/>
      <c r="T93" s="498" t="s">
        <v>278</v>
      </c>
      <c r="U93" s="499"/>
      <c r="V93" s="320"/>
      <c r="W93" s="320"/>
      <c r="X93" s="320"/>
      <c r="Y93" s="320"/>
      <c r="Z93" s="500" t="s">
        <v>278</v>
      </c>
      <c r="AA93" s="499" t="str">
        <f>IF(ISBLANK(AA92)," ",IFERROR(VLOOKUP(AA92,#REF!,13,0),""))</f>
        <v/>
      </c>
      <c r="AB93" s="327"/>
      <c r="AC93" s="327"/>
    </row>
    <row r="94" spans="1:197" ht="19.5" customHeight="1" thickBot="1" x14ac:dyDescent="0.3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0"/>
      <c r="S94" s="320"/>
      <c r="T94" s="501" t="s">
        <v>279</v>
      </c>
      <c r="U94" s="502"/>
      <c r="V94" s="320"/>
      <c r="W94" s="320"/>
      <c r="X94" s="320"/>
      <c r="Y94" s="320"/>
      <c r="Z94" s="501" t="s">
        <v>279</v>
      </c>
      <c r="AA94" s="502" t="str">
        <f>IF(ISBLANK(AA92)," ",IFERROR(VLOOKUP(AA92,#REF!,4,0),""))</f>
        <v/>
      </c>
      <c r="AB94" s="327"/>
      <c r="AC94" s="327"/>
    </row>
    <row r="95" spans="1:197" ht="19.5" customHeight="1" thickBot="1" x14ac:dyDescent="0.3">
      <c r="A95" s="328"/>
      <c r="B95" s="328"/>
      <c r="C95" s="328"/>
      <c r="D95" s="328"/>
      <c r="E95" s="854" t="s">
        <v>280</v>
      </c>
      <c r="F95" s="855"/>
      <c r="G95" s="855"/>
      <c r="H95" s="855"/>
      <c r="I95" s="856"/>
      <c r="J95" s="800">
        <f>SUM(F97,O97)</f>
        <v>72</v>
      </c>
      <c r="K95" s="801"/>
      <c r="L95" s="328"/>
      <c r="M95" s="328"/>
      <c r="N95" s="328"/>
      <c r="O95" s="328"/>
      <c r="P95" s="328"/>
      <c r="Q95" s="328"/>
      <c r="R95" s="320"/>
      <c r="S95" s="320"/>
      <c r="T95" s="503" t="s">
        <v>281</v>
      </c>
      <c r="U95" s="504"/>
      <c r="X95" s="320"/>
      <c r="Y95" s="320"/>
      <c r="Z95" s="503" t="s">
        <v>281</v>
      </c>
      <c r="AA95" s="504" t="str">
        <f>IF(ISBLANK(AA92)," ",IFERROR(VLOOKUP(AA92,#REF!,14,0),""))</f>
        <v/>
      </c>
    </row>
    <row r="96" spans="1:197" ht="19.5" customHeight="1" thickBot="1" x14ac:dyDescent="0.3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  <c r="R96" s="320"/>
      <c r="S96" s="320"/>
      <c r="T96" s="505" t="s">
        <v>282</v>
      </c>
      <c r="U96" s="506"/>
      <c r="Z96" s="505" t="s">
        <v>282</v>
      </c>
      <c r="AA96" s="506" t="str">
        <f>IF(ISBLANK(AA92)," ",IFERROR(VLOOKUP(AA92,#REF!,11,0),""))</f>
        <v/>
      </c>
    </row>
    <row r="97" spans="1:29" ht="19.5" customHeight="1" thickBot="1" x14ac:dyDescent="0.4">
      <c r="A97" s="857" t="s">
        <v>283</v>
      </c>
      <c r="B97" s="858"/>
      <c r="C97" s="858"/>
      <c r="D97" s="858"/>
      <c r="E97" s="859"/>
      <c r="F97" s="800">
        <f>G189</f>
        <v>29</v>
      </c>
      <c r="G97" s="801"/>
      <c r="H97" s="320"/>
      <c r="I97" s="320"/>
      <c r="J97" s="857" t="s">
        <v>284</v>
      </c>
      <c r="K97" s="858"/>
      <c r="L97" s="858"/>
      <c r="M97" s="858"/>
      <c r="N97" s="859"/>
      <c r="O97" s="800">
        <f>P189</f>
        <v>43</v>
      </c>
      <c r="P97" s="801"/>
      <c r="Q97" s="320"/>
      <c r="R97" s="320"/>
      <c r="S97" s="320"/>
      <c r="T97" s="507" t="s">
        <v>285</v>
      </c>
      <c r="U97" s="330"/>
      <c r="Z97" s="507" t="s">
        <v>285</v>
      </c>
      <c r="AA97" s="330" t="str">
        <f>IF(ISBLANK(AA92)," ",IFERROR(VLOOKUP(AA92,#REF!,15,0),""))</f>
        <v/>
      </c>
    </row>
    <row r="98" spans="1:29" ht="19.5" customHeight="1" x14ac:dyDescent="0.3">
      <c r="R98" s="320"/>
      <c r="S98" s="320"/>
      <c r="T98" s="508" t="s">
        <v>286</v>
      </c>
      <c r="U98" s="509"/>
      <c r="V98" s="331"/>
      <c r="W98" s="320"/>
      <c r="X98" s="320"/>
      <c r="Y98" s="324"/>
      <c r="Z98" s="508" t="s">
        <v>286</v>
      </c>
      <c r="AA98" s="509" t="str">
        <f>IF(ISBLANK(AA92)," ",IFERROR(VLOOKUP(AA92,#REF!,16,0),""))</f>
        <v/>
      </c>
      <c r="AB98" s="327"/>
      <c r="AC98" s="327"/>
    </row>
    <row r="99" spans="1:29" ht="19.5" customHeight="1" x14ac:dyDescent="0.3">
      <c r="R99" s="320"/>
      <c r="S99" s="320"/>
      <c r="T99" s="510" t="s">
        <v>287</v>
      </c>
      <c r="U99" s="511"/>
      <c r="V99" s="331"/>
      <c r="W99" s="320"/>
      <c r="X99" s="320"/>
      <c r="Y99" s="324"/>
      <c r="Z99" s="510" t="s">
        <v>287</v>
      </c>
      <c r="AA99" s="511" t="str">
        <f>IF(ISBLANK(AA92)," ",IFERROR(VLOOKUP(AA92,#REF!,17,0),""))</f>
        <v/>
      </c>
      <c r="AB99" s="327"/>
      <c r="AC99" s="327"/>
    </row>
    <row r="100" spans="1:29" ht="19.5" customHeight="1" thickBot="1" x14ac:dyDescent="0.35">
      <c r="R100" s="320"/>
      <c r="S100" s="320"/>
      <c r="T100" s="332"/>
      <c r="U100" s="331"/>
      <c r="V100" s="331"/>
      <c r="W100" s="320"/>
      <c r="X100" s="320"/>
      <c r="Y100" s="324"/>
      <c r="Z100" s="325"/>
      <c r="AA100" s="326"/>
      <c r="AB100" s="327"/>
      <c r="AC100" s="327"/>
    </row>
    <row r="101" spans="1:29" ht="19.5" customHeight="1" thickBot="1" x14ac:dyDescent="0.3">
      <c r="A101" s="833" t="s">
        <v>2</v>
      </c>
      <c r="B101" s="834"/>
      <c r="C101" s="834"/>
      <c r="D101" s="834"/>
      <c r="E101" s="834"/>
      <c r="F101" s="835"/>
      <c r="G101" s="512" t="s">
        <v>275</v>
      </c>
      <c r="J101" s="833" t="s">
        <v>2</v>
      </c>
      <c r="K101" s="834"/>
      <c r="L101" s="834"/>
      <c r="M101" s="834"/>
      <c r="N101" s="834"/>
      <c r="O101" s="835"/>
      <c r="P101" s="512" t="s">
        <v>275</v>
      </c>
      <c r="Q101" s="333" t="s">
        <v>288</v>
      </c>
      <c r="R101" s="320"/>
      <c r="S101" s="320"/>
      <c r="T101" s="836" t="s">
        <v>289</v>
      </c>
      <c r="U101" s="837"/>
      <c r="V101" s="837"/>
      <c r="W101" s="837"/>
      <c r="X101" s="837"/>
      <c r="Y101" s="837"/>
      <c r="Z101" s="837"/>
      <c r="AA101" s="837"/>
      <c r="AB101" s="837"/>
      <c r="AC101" s="838"/>
    </row>
    <row r="102" spans="1:29" ht="19.5" customHeight="1" x14ac:dyDescent="0.25">
      <c r="A102" s="828" t="s">
        <v>4</v>
      </c>
      <c r="B102" s="829"/>
      <c r="C102" s="829"/>
      <c r="D102" s="515" t="s">
        <v>290</v>
      </c>
      <c r="E102" s="516"/>
      <c r="F102" s="517" t="s">
        <v>5</v>
      </c>
      <c r="G102" s="518">
        <f>COUNTIF($AM$35:$BA$76,F102)+COUNTIF($A$4:$AJ$76,F102)</f>
        <v>3</v>
      </c>
      <c r="J102" s="828" t="s">
        <v>4</v>
      </c>
      <c r="K102" s="829"/>
      <c r="L102" s="829"/>
      <c r="M102" s="515" t="s">
        <v>290</v>
      </c>
      <c r="N102" s="516"/>
      <c r="O102" s="517" t="s">
        <v>5</v>
      </c>
      <c r="P102" s="518">
        <f>COUNTIF($BB$6:$DC$77,O102)</f>
        <v>1</v>
      </c>
      <c r="Q102" s="334">
        <f t="shared" ref="Q102:Q188" si="0">G102+P102</f>
        <v>4</v>
      </c>
      <c r="R102" s="320"/>
      <c r="S102" s="320"/>
      <c r="T102" s="839"/>
      <c r="U102" s="840"/>
      <c r="V102" s="840"/>
      <c r="W102" s="840"/>
      <c r="X102" s="840"/>
      <c r="Y102" s="840"/>
      <c r="Z102" s="840"/>
      <c r="AA102" s="840"/>
      <c r="AB102" s="840"/>
      <c r="AC102" s="841"/>
    </row>
    <row r="103" spans="1:29" ht="19.5" customHeight="1" x14ac:dyDescent="0.25">
      <c r="A103" s="828" t="s">
        <v>6</v>
      </c>
      <c r="B103" s="829"/>
      <c r="C103" s="829"/>
      <c r="D103" s="515" t="s">
        <v>290</v>
      </c>
      <c r="E103" s="516"/>
      <c r="F103" s="519" t="s">
        <v>7</v>
      </c>
      <c r="G103" s="518">
        <f t="shared" ref="G103:G104" si="1">COUNTIF($AM$35:$BA$76,F103)+COUNTIF($A$4:$AJ$76,F103)</f>
        <v>0</v>
      </c>
      <c r="J103" s="828" t="s">
        <v>6</v>
      </c>
      <c r="K103" s="829"/>
      <c r="L103" s="829"/>
      <c r="M103" s="515" t="s">
        <v>290</v>
      </c>
      <c r="N103" s="516"/>
      <c r="O103" s="519" t="s">
        <v>7</v>
      </c>
      <c r="P103" s="518">
        <f t="shared" ref="P103:P104" si="2">COUNTIF($BB$6:$DC$77,O103)</f>
        <v>0</v>
      </c>
      <c r="Q103" s="520">
        <f t="shared" si="0"/>
        <v>0</v>
      </c>
      <c r="R103" s="320"/>
      <c r="S103" s="320"/>
      <c r="T103" s="842"/>
      <c r="U103" s="843"/>
      <c r="V103" s="843"/>
      <c r="W103" s="843"/>
      <c r="X103" s="843"/>
      <c r="Y103" s="843"/>
      <c r="Z103" s="843"/>
      <c r="AA103" s="843"/>
      <c r="AB103" s="843"/>
      <c r="AC103" s="844"/>
    </row>
    <row r="104" spans="1:29" ht="19.5" customHeight="1" x14ac:dyDescent="0.25">
      <c r="A104" s="828" t="s">
        <v>8</v>
      </c>
      <c r="B104" s="829"/>
      <c r="C104" s="829"/>
      <c r="D104" s="515" t="s">
        <v>290</v>
      </c>
      <c r="E104" s="516"/>
      <c r="F104" s="521" t="s">
        <v>9</v>
      </c>
      <c r="G104" s="518">
        <f t="shared" si="1"/>
        <v>2</v>
      </c>
      <c r="J104" s="828" t="s">
        <v>8</v>
      </c>
      <c r="K104" s="829"/>
      <c r="L104" s="829"/>
      <c r="M104" s="515" t="s">
        <v>290</v>
      </c>
      <c r="N104" s="516"/>
      <c r="O104" s="521" t="s">
        <v>9</v>
      </c>
      <c r="P104" s="518">
        <f t="shared" si="2"/>
        <v>2</v>
      </c>
      <c r="Q104" s="520">
        <f t="shared" si="0"/>
        <v>4</v>
      </c>
      <c r="R104" s="320"/>
      <c r="S104" s="320"/>
      <c r="T104" s="842"/>
      <c r="U104" s="843"/>
      <c r="V104" s="843"/>
      <c r="W104" s="843"/>
      <c r="X104" s="843"/>
      <c r="Y104" s="843"/>
      <c r="Z104" s="843"/>
      <c r="AA104" s="843"/>
      <c r="AB104" s="843"/>
      <c r="AC104" s="844"/>
    </row>
    <row r="105" spans="1:29" ht="19.5" customHeight="1" x14ac:dyDescent="0.25">
      <c r="A105" s="830"/>
      <c r="B105" s="831"/>
      <c r="C105" s="831"/>
      <c r="D105" s="522"/>
      <c r="E105" s="523"/>
      <c r="F105" s="335"/>
      <c r="G105" s="524"/>
      <c r="J105" s="830"/>
      <c r="K105" s="831"/>
      <c r="L105" s="831"/>
      <c r="M105" s="522"/>
      <c r="N105" s="523"/>
      <c r="O105" s="335"/>
      <c r="P105" s="524"/>
      <c r="Q105" s="525"/>
      <c r="R105" s="320"/>
      <c r="S105" s="320"/>
      <c r="T105" s="842"/>
      <c r="U105" s="843"/>
      <c r="V105" s="843"/>
      <c r="W105" s="843"/>
      <c r="X105" s="843"/>
      <c r="Y105" s="843"/>
      <c r="Z105" s="843"/>
      <c r="AA105" s="843"/>
      <c r="AB105" s="843"/>
      <c r="AC105" s="844"/>
    </row>
    <row r="106" spans="1:29" ht="19.5" customHeight="1" x14ac:dyDescent="0.25">
      <c r="A106" s="828" t="s">
        <v>10</v>
      </c>
      <c r="B106" s="829"/>
      <c r="C106" s="829"/>
      <c r="D106" s="515" t="s">
        <v>291</v>
      </c>
      <c r="E106" s="516"/>
      <c r="F106" s="526" t="s">
        <v>11</v>
      </c>
      <c r="G106" s="518">
        <f t="shared" ref="G106:G108" si="3">COUNTIF($AM$35:$BA$76,F106)+COUNTIF($A$4:$AJ$76,F106)</f>
        <v>0</v>
      </c>
      <c r="J106" s="828" t="s">
        <v>10</v>
      </c>
      <c r="K106" s="829"/>
      <c r="L106" s="829"/>
      <c r="M106" s="515" t="s">
        <v>291</v>
      </c>
      <c r="N106" s="516"/>
      <c r="O106" s="526" t="s">
        <v>11</v>
      </c>
      <c r="P106" s="518">
        <f t="shared" ref="P106:P108" si="4">COUNTIF($BB$6:$DC$77,O106)</f>
        <v>0</v>
      </c>
      <c r="Q106" s="520">
        <f t="shared" ref="Q106:Q108" si="5">G106+P106</f>
        <v>0</v>
      </c>
      <c r="R106" s="320"/>
      <c r="S106" s="320"/>
      <c r="T106" s="842"/>
      <c r="U106" s="843"/>
      <c r="V106" s="843"/>
      <c r="W106" s="843"/>
      <c r="X106" s="843"/>
      <c r="Y106" s="843"/>
      <c r="Z106" s="843"/>
      <c r="AA106" s="843"/>
      <c r="AB106" s="843"/>
      <c r="AC106" s="844"/>
    </row>
    <row r="107" spans="1:29" ht="19.5" customHeight="1" x14ac:dyDescent="0.25">
      <c r="A107" s="828" t="s">
        <v>12</v>
      </c>
      <c r="B107" s="829"/>
      <c r="C107" s="829"/>
      <c r="D107" s="515" t="s">
        <v>292</v>
      </c>
      <c r="E107" s="516"/>
      <c r="F107" s="527" t="s">
        <v>13</v>
      </c>
      <c r="G107" s="518">
        <f>COUNTIF($AM$35:$BA$76,F107)+COUNTIF($A$4:$AJ$76,F107)</f>
        <v>0</v>
      </c>
      <c r="J107" s="828" t="s">
        <v>12</v>
      </c>
      <c r="K107" s="829"/>
      <c r="L107" s="829"/>
      <c r="M107" s="515" t="s">
        <v>292</v>
      </c>
      <c r="N107" s="516"/>
      <c r="O107" s="527" t="s">
        <v>13</v>
      </c>
      <c r="P107" s="518">
        <f t="shared" si="4"/>
        <v>0</v>
      </c>
      <c r="Q107" s="520">
        <f t="shared" si="5"/>
        <v>0</v>
      </c>
      <c r="R107" s="320"/>
      <c r="S107" s="320"/>
      <c r="T107" s="842"/>
      <c r="U107" s="843"/>
      <c r="V107" s="843"/>
      <c r="W107" s="843"/>
      <c r="X107" s="843"/>
      <c r="Y107" s="843"/>
      <c r="Z107" s="843"/>
      <c r="AA107" s="843"/>
      <c r="AB107" s="843"/>
      <c r="AC107" s="844"/>
    </row>
    <row r="108" spans="1:29" ht="19.5" customHeight="1" x14ac:dyDescent="0.25">
      <c r="A108" s="828" t="s">
        <v>14</v>
      </c>
      <c r="B108" s="829"/>
      <c r="C108" s="829"/>
      <c r="D108" s="515" t="s">
        <v>290</v>
      </c>
      <c r="E108" s="516"/>
      <c r="F108" s="528" t="s">
        <v>15</v>
      </c>
      <c r="G108" s="518">
        <f t="shared" si="3"/>
        <v>0</v>
      </c>
      <c r="J108" s="828" t="s">
        <v>14</v>
      </c>
      <c r="K108" s="829"/>
      <c r="L108" s="829"/>
      <c r="M108" s="515" t="s">
        <v>290</v>
      </c>
      <c r="N108" s="516"/>
      <c r="O108" s="528" t="s">
        <v>15</v>
      </c>
      <c r="P108" s="518">
        <f t="shared" si="4"/>
        <v>0</v>
      </c>
      <c r="Q108" s="520">
        <f t="shared" si="5"/>
        <v>0</v>
      </c>
      <c r="R108" s="320"/>
      <c r="S108" s="320"/>
      <c r="T108" s="842"/>
      <c r="U108" s="843"/>
      <c r="V108" s="843"/>
      <c r="W108" s="843"/>
      <c r="X108" s="843"/>
      <c r="Y108" s="843"/>
      <c r="Z108" s="843"/>
      <c r="AA108" s="843"/>
      <c r="AB108" s="843"/>
      <c r="AC108" s="844"/>
    </row>
    <row r="109" spans="1:29" ht="19.5" customHeight="1" x14ac:dyDescent="0.25">
      <c r="A109" s="830"/>
      <c r="B109" s="831"/>
      <c r="C109" s="831"/>
      <c r="D109" s="522"/>
      <c r="E109" s="523"/>
      <c r="F109" s="335"/>
      <c r="G109" s="524"/>
      <c r="J109" s="830"/>
      <c r="K109" s="831"/>
      <c r="L109" s="831"/>
      <c r="M109" s="522"/>
      <c r="N109" s="523"/>
      <c r="O109" s="335"/>
      <c r="P109" s="524"/>
      <c r="Q109" s="525"/>
      <c r="R109" s="320"/>
      <c r="S109" s="320"/>
      <c r="T109" s="842"/>
      <c r="U109" s="843"/>
      <c r="V109" s="843"/>
      <c r="W109" s="843"/>
      <c r="X109" s="843"/>
      <c r="Y109" s="843"/>
      <c r="Z109" s="843"/>
      <c r="AA109" s="843"/>
      <c r="AB109" s="843"/>
      <c r="AC109" s="844"/>
    </row>
    <row r="110" spans="1:29" ht="19.5" customHeight="1" x14ac:dyDescent="0.25">
      <c r="A110" s="828" t="s">
        <v>134</v>
      </c>
      <c r="B110" s="829"/>
      <c r="C110" s="829"/>
      <c r="D110" s="515" t="s">
        <v>293</v>
      </c>
      <c r="E110" s="516"/>
      <c r="F110" s="529" t="s">
        <v>127</v>
      </c>
      <c r="G110" s="518">
        <f t="shared" ref="G110:G113" si="6">COUNTIF($AM$35:$BA$76,F110)+COUNTIF($A$4:$AJ$76,F110)</f>
        <v>0</v>
      </c>
      <c r="J110" s="828" t="s">
        <v>134</v>
      </c>
      <c r="K110" s="829"/>
      <c r="L110" s="829"/>
      <c r="M110" s="515" t="s">
        <v>293</v>
      </c>
      <c r="N110" s="516"/>
      <c r="O110" s="529" t="s">
        <v>127</v>
      </c>
      <c r="P110" s="518">
        <f t="shared" ref="P110:P113" si="7">COUNTIF($BB$6:$DC$77,O110)</f>
        <v>0</v>
      </c>
      <c r="Q110" s="520">
        <f t="shared" ref="Q110:Q113" si="8">G110+P110</f>
        <v>0</v>
      </c>
      <c r="R110" s="320"/>
      <c r="S110" s="320"/>
      <c r="T110" s="842"/>
      <c r="U110" s="843"/>
      <c r="V110" s="843"/>
      <c r="W110" s="843"/>
      <c r="X110" s="843"/>
      <c r="Y110" s="843"/>
      <c r="Z110" s="843"/>
      <c r="AA110" s="843"/>
      <c r="AB110" s="843"/>
      <c r="AC110" s="844"/>
    </row>
    <row r="111" spans="1:29" ht="19.5" customHeight="1" x14ac:dyDescent="0.25">
      <c r="A111" s="828" t="s">
        <v>133</v>
      </c>
      <c r="B111" s="829"/>
      <c r="C111" s="829"/>
      <c r="D111" s="515" t="s">
        <v>293</v>
      </c>
      <c r="E111" s="516"/>
      <c r="F111" s="530" t="s">
        <v>76</v>
      </c>
      <c r="G111" s="518">
        <f t="shared" si="6"/>
        <v>0</v>
      </c>
      <c r="J111" s="828" t="s">
        <v>133</v>
      </c>
      <c r="K111" s="829"/>
      <c r="L111" s="829"/>
      <c r="M111" s="515" t="s">
        <v>293</v>
      </c>
      <c r="N111" s="516"/>
      <c r="O111" s="530" t="s">
        <v>76</v>
      </c>
      <c r="P111" s="518">
        <f t="shared" si="7"/>
        <v>0</v>
      </c>
      <c r="Q111" s="520">
        <f t="shared" si="8"/>
        <v>0</v>
      </c>
      <c r="R111" s="320"/>
      <c r="S111" s="320"/>
      <c r="T111" s="842"/>
      <c r="U111" s="843"/>
      <c r="V111" s="843"/>
      <c r="W111" s="843"/>
      <c r="X111" s="843"/>
      <c r="Y111" s="843"/>
      <c r="Z111" s="843"/>
      <c r="AA111" s="843"/>
      <c r="AB111" s="843"/>
      <c r="AC111" s="844"/>
    </row>
    <row r="112" spans="1:29" ht="19.5" customHeight="1" x14ac:dyDescent="0.25">
      <c r="A112" s="828" t="s">
        <v>77</v>
      </c>
      <c r="B112" s="829"/>
      <c r="C112" s="829"/>
      <c r="D112" s="515" t="s">
        <v>293</v>
      </c>
      <c r="E112" s="516"/>
      <c r="F112" s="531" t="s">
        <v>78</v>
      </c>
      <c r="G112" s="518">
        <f t="shared" si="6"/>
        <v>0</v>
      </c>
      <c r="J112" s="828" t="s">
        <v>77</v>
      </c>
      <c r="K112" s="829"/>
      <c r="L112" s="829"/>
      <c r="M112" s="515" t="s">
        <v>293</v>
      </c>
      <c r="N112" s="516"/>
      <c r="O112" s="531" t="s">
        <v>78</v>
      </c>
      <c r="P112" s="518">
        <f t="shared" si="7"/>
        <v>0</v>
      </c>
      <c r="Q112" s="520">
        <f t="shared" si="8"/>
        <v>0</v>
      </c>
      <c r="R112" s="320"/>
      <c r="S112" s="320"/>
      <c r="T112" s="842"/>
      <c r="U112" s="843"/>
      <c r="V112" s="843"/>
      <c r="W112" s="843"/>
      <c r="X112" s="843"/>
      <c r="Y112" s="843"/>
      <c r="Z112" s="843"/>
      <c r="AA112" s="843"/>
      <c r="AB112" s="843"/>
      <c r="AC112" s="844"/>
    </row>
    <row r="113" spans="1:29" ht="19.5" customHeight="1" x14ac:dyDescent="0.25">
      <c r="A113" s="828" t="s">
        <v>144</v>
      </c>
      <c r="B113" s="829"/>
      <c r="C113" s="829"/>
      <c r="D113" s="515" t="s">
        <v>293</v>
      </c>
      <c r="E113" s="516"/>
      <c r="F113" s="532" t="s">
        <v>130</v>
      </c>
      <c r="G113" s="518">
        <f t="shared" si="6"/>
        <v>0</v>
      </c>
      <c r="J113" s="828" t="s">
        <v>144</v>
      </c>
      <c r="K113" s="829"/>
      <c r="L113" s="829"/>
      <c r="M113" s="515" t="s">
        <v>293</v>
      </c>
      <c r="N113" s="516"/>
      <c r="O113" s="532" t="s">
        <v>130</v>
      </c>
      <c r="P113" s="518">
        <f t="shared" si="7"/>
        <v>0</v>
      </c>
      <c r="Q113" s="520">
        <f t="shared" si="8"/>
        <v>0</v>
      </c>
      <c r="R113" s="320"/>
      <c r="S113" s="320"/>
      <c r="T113" s="842"/>
      <c r="U113" s="843"/>
      <c r="V113" s="843"/>
      <c r="W113" s="843"/>
      <c r="X113" s="843"/>
      <c r="Y113" s="843"/>
      <c r="Z113" s="843"/>
      <c r="AA113" s="843"/>
      <c r="AB113" s="843"/>
      <c r="AC113" s="844"/>
    </row>
    <row r="114" spans="1:29" ht="19.5" customHeight="1" x14ac:dyDescent="0.25">
      <c r="A114" s="830"/>
      <c r="B114" s="831"/>
      <c r="C114" s="831"/>
      <c r="D114" s="522"/>
      <c r="E114" s="523"/>
      <c r="F114" s="335"/>
      <c r="G114" s="524"/>
      <c r="J114" s="830"/>
      <c r="K114" s="831"/>
      <c r="L114" s="831"/>
      <c r="M114" s="522"/>
      <c r="N114" s="523"/>
      <c r="O114" s="335"/>
      <c r="P114" s="524"/>
      <c r="Q114" s="525"/>
      <c r="R114" s="320"/>
      <c r="S114" s="320"/>
      <c r="T114" s="842"/>
      <c r="U114" s="843"/>
      <c r="V114" s="843"/>
      <c r="W114" s="843"/>
      <c r="X114" s="843"/>
      <c r="Y114" s="843"/>
      <c r="Z114" s="843"/>
      <c r="AA114" s="843"/>
      <c r="AB114" s="843"/>
      <c r="AC114" s="844"/>
    </row>
    <row r="115" spans="1:29" ht="19.5" customHeight="1" thickBot="1" x14ac:dyDescent="0.3">
      <c r="A115" s="828" t="s">
        <v>135</v>
      </c>
      <c r="B115" s="829"/>
      <c r="C115" s="829"/>
      <c r="D115" s="515"/>
      <c r="E115" s="516"/>
      <c r="F115" s="533" t="s">
        <v>125</v>
      </c>
      <c r="G115" s="518">
        <f t="shared" ref="G115:G128" si="9">COUNTIF($AM$35:$BA$76,F115)+COUNTIF($A$4:$AJ$76,F115)</f>
        <v>0</v>
      </c>
      <c r="J115" s="828" t="s">
        <v>135</v>
      </c>
      <c r="K115" s="829"/>
      <c r="L115" s="829"/>
      <c r="M115" s="515"/>
      <c r="N115" s="516"/>
      <c r="O115" s="533" t="s">
        <v>125</v>
      </c>
      <c r="P115" s="518">
        <f t="shared" ref="P115:P128" si="10">COUNTIF($BB$6:$DC$77,O115)</f>
        <v>0</v>
      </c>
      <c r="Q115" s="520">
        <f t="shared" ref="Q115:Q128" si="11">G115+P115</f>
        <v>0</v>
      </c>
      <c r="R115" s="320"/>
      <c r="S115" s="320"/>
      <c r="T115" s="845"/>
      <c r="U115" s="846"/>
      <c r="V115" s="846"/>
      <c r="W115" s="846"/>
      <c r="X115" s="846"/>
      <c r="Y115" s="846"/>
      <c r="Z115" s="846"/>
      <c r="AA115" s="846"/>
      <c r="AB115" s="846"/>
      <c r="AC115" s="847"/>
    </row>
    <row r="116" spans="1:29" ht="19.5" customHeight="1" x14ac:dyDescent="0.25">
      <c r="A116" s="828" t="s">
        <v>79</v>
      </c>
      <c r="B116" s="832"/>
      <c r="C116" s="832"/>
      <c r="D116" s="515" t="s">
        <v>292</v>
      </c>
      <c r="E116" s="516"/>
      <c r="F116" s="534" t="s">
        <v>80</v>
      </c>
      <c r="G116" s="518">
        <f t="shared" si="9"/>
        <v>0</v>
      </c>
      <c r="J116" s="828" t="s">
        <v>79</v>
      </c>
      <c r="K116" s="832"/>
      <c r="L116" s="832"/>
      <c r="M116" s="515" t="s">
        <v>292</v>
      </c>
      <c r="N116" s="516"/>
      <c r="O116" s="534" t="s">
        <v>80</v>
      </c>
      <c r="P116" s="518">
        <f t="shared" si="10"/>
        <v>0</v>
      </c>
      <c r="Q116" s="520">
        <f t="shared" si="11"/>
        <v>0</v>
      </c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7"/>
      <c r="AC116" s="327"/>
    </row>
    <row r="117" spans="1:29" ht="19.5" customHeight="1" x14ac:dyDescent="0.25">
      <c r="A117" s="828" t="s">
        <v>121</v>
      </c>
      <c r="B117" s="832"/>
      <c r="C117" s="832"/>
      <c r="D117" s="515" t="s">
        <v>294</v>
      </c>
      <c r="E117" s="516"/>
      <c r="F117" s="491" t="s">
        <v>122</v>
      </c>
      <c r="G117" s="518">
        <f t="shared" si="9"/>
        <v>4</v>
      </c>
      <c r="J117" s="828" t="s">
        <v>121</v>
      </c>
      <c r="K117" s="832"/>
      <c r="L117" s="832"/>
      <c r="M117" s="515" t="s">
        <v>294</v>
      </c>
      <c r="N117" s="516"/>
      <c r="O117" s="491" t="s">
        <v>122</v>
      </c>
      <c r="P117" s="518">
        <f t="shared" si="10"/>
        <v>0</v>
      </c>
      <c r="Q117" s="520">
        <f t="shared" si="11"/>
        <v>4</v>
      </c>
      <c r="R117" s="320"/>
      <c r="S117" s="320"/>
      <c r="U117" s="320"/>
      <c r="V117" s="320"/>
      <c r="AC117" s="320"/>
    </row>
    <row r="118" spans="1:29" ht="19.5" customHeight="1" x14ac:dyDescent="0.25">
      <c r="A118" s="828" t="s">
        <v>162</v>
      </c>
      <c r="B118" s="832"/>
      <c r="C118" s="832"/>
      <c r="D118" s="515"/>
      <c r="E118" s="516"/>
      <c r="F118" s="535" t="s">
        <v>160</v>
      </c>
      <c r="G118" s="518">
        <f t="shared" si="9"/>
        <v>0</v>
      </c>
      <c r="J118" s="828" t="s">
        <v>162</v>
      </c>
      <c r="K118" s="832"/>
      <c r="L118" s="832"/>
      <c r="M118" s="515"/>
      <c r="N118" s="516"/>
      <c r="O118" s="535" t="s">
        <v>160</v>
      </c>
      <c r="P118" s="518">
        <f t="shared" si="10"/>
        <v>0</v>
      </c>
      <c r="Q118" s="520">
        <f t="shared" si="11"/>
        <v>0</v>
      </c>
      <c r="R118" s="320"/>
      <c r="S118" s="320"/>
      <c r="AC118" s="320"/>
    </row>
    <row r="119" spans="1:29" ht="19.5" customHeight="1" x14ac:dyDescent="0.3">
      <c r="A119" s="828" t="s">
        <v>161</v>
      </c>
      <c r="B119" s="832"/>
      <c r="C119" s="832"/>
      <c r="D119" s="515"/>
      <c r="E119" s="516"/>
      <c r="F119" s="536" t="s">
        <v>156</v>
      </c>
      <c r="G119" s="518">
        <f t="shared" si="9"/>
        <v>0</v>
      </c>
      <c r="J119" s="828" t="s">
        <v>161</v>
      </c>
      <c r="K119" s="832"/>
      <c r="L119" s="832"/>
      <c r="M119" s="515"/>
      <c r="N119" s="516"/>
      <c r="O119" s="536" t="s">
        <v>156</v>
      </c>
      <c r="P119" s="518">
        <f t="shared" si="10"/>
        <v>0</v>
      </c>
      <c r="Q119" s="520">
        <f t="shared" si="11"/>
        <v>0</v>
      </c>
      <c r="R119" s="320"/>
      <c r="S119" s="332"/>
      <c r="AC119" s="320"/>
    </row>
    <row r="120" spans="1:29" ht="19.5" customHeight="1" x14ac:dyDescent="0.3">
      <c r="A120" s="828" t="s">
        <v>150</v>
      </c>
      <c r="B120" s="832"/>
      <c r="C120" s="832"/>
      <c r="D120" s="515"/>
      <c r="E120" s="516"/>
      <c r="F120" s="537" t="s">
        <v>151</v>
      </c>
      <c r="G120" s="518">
        <f t="shared" si="9"/>
        <v>0</v>
      </c>
      <c r="J120" s="828" t="s">
        <v>150</v>
      </c>
      <c r="K120" s="832"/>
      <c r="L120" s="832"/>
      <c r="M120" s="515"/>
      <c r="N120" s="516"/>
      <c r="O120" s="537" t="s">
        <v>151</v>
      </c>
      <c r="P120" s="518">
        <f t="shared" si="10"/>
        <v>4</v>
      </c>
      <c r="Q120" s="520">
        <f t="shared" si="11"/>
        <v>4</v>
      </c>
      <c r="R120" s="320"/>
      <c r="S120" s="332"/>
      <c r="AC120" s="320"/>
    </row>
    <row r="121" spans="1:29" ht="19.5" customHeight="1" x14ac:dyDescent="0.3">
      <c r="A121" s="828" t="s">
        <v>155</v>
      </c>
      <c r="B121" s="832"/>
      <c r="C121" s="832"/>
      <c r="D121" s="515"/>
      <c r="E121" s="516"/>
      <c r="F121" s="538" t="s">
        <v>148</v>
      </c>
      <c r="G121" s="518">
        <f t="shared" si="9"/>
        <v>0</v>
      </c>
      <c r="J121" s="828" t="s">
        <v>155</v>
      </c>
      <c r="K121" s="832"/>
      <c r="L121" s="832"/>
      <c r="M121" s="515"/>
      <c r="N121" s="516"/>
      <c r="O121" s="538" t="s">
        <v>148</v>
      </c>
      <c r="P121" s="518">
        <f t="shared" si="10"/>
        <v>6</v>
      </c>
      <c r="Q121" s="520">
        <f t="shared" si="11"/>
        <v>6</v>
      </c>
      <c r="R121" s="320"/>
      <c r="S121" s="332"/>
      <c r="AC121" s="320"/>
    </row>
    <row r="122" spans="1:29" ht="19.5" customHeight="1" x14ac:dyDescent="0.3">
      <c r="A122" s="828" t="s">
        <v>154</v>
      </c>
      <c r="B122" s="832"/>
      <c r="C122" s="832"/>
      <c r="D122" s="515" t="s">
        <v>294</v>
      </c>
      <c r="E122" s="516"/>
      <c r="F122" s="539" t="s">
        <v>113</v>
      </c>
      <c r="G122" s="518">
        <f t="shared" si="9"/>
        <v>0</v>
      </c>
      <c r="J122" s="828" t="s">
        <v>154</v>
      </c>
      <c r="K122" s="832"/>
      <c r="L122" s="832"/>
      <c r="M122" s="515" t="s">
        <v>294</v>
      </c>
      <c r="N122" s="516"/>
      <c r="O122" s="539" t="s">
        <v>113</v>
      </c>
      <c r="P122" s="518">
        <f t="shared" si="10"/>
        <v>0</v>
      </c>
      <c r="Q122" s="520">
        <f t="shared" si="11"/>
        <v>0</v>
      </c>
      <c r="R122" s="320"/>
      <c r="S122" s="332"/>
      <c r="AC122" s="320"/>
    </row>
    <row r="123" spans="1:29" ht="19.5" customHeight="1" x14ac:dyDescent="0.3">
      <c r="A123" s="828" t="s">
        <v>295</v>
      </c>
      <c r="B123" s="832"/>
      <c r="C123" s="832"/>
      <c r="D123" s="515"/>
      <c r="E123" s="516"/>
      <c r="F123" s="540" t="s">
        <v>149</v>
      </c>
      <c r="G123" s="518">
        <f t="shared" si="9"/>
        <v>0</v>
      </c>
      <c r="J123" s="828" t="s">
        <v>295</v>
      </c>
      <c r="K123" s="832"/>
      <c r="L123" s="832"/>
      <c r="M123" s="515"/>
      <c r="N123" s="516"/>
      <c r="O123" s="540" t="s">
        <v>149</v>
      </c>
      <c r="P123" s="518">
        <f t="shared" si="10"/>
        <v>0</v>
      </c>
      <c r="Q123" s="520">
        <f t="shared" si="11"/>
        <v>0</v>
      </c>
      <c r="R123" s="320"/>
      <c r="S123" s="332"/>
      <c r="AC123" s="320"/>
    </row>
    <row r="124" spans="1:29" ht="19.5" customHeight="1" x14ac:dyDescent="0.3">
      <c r="A124" s="828" t="s">
        <v>81</v>
      </c>
      <c r="B124" s="832"/>
      <c r="C124" s="832"/>
      <c r="D124" s="515" t="s">
        <v>290</v>
      </c>
      <c r="E124" s="516"/>
      <c r="F124" s="541" t="s">
        <v>82</v>
      </c>
      <c r="G124" s="518">
        <f t="shared" si="9"/>
        <v>0</v>
      </c>
      <c r="J124" s="828" t="s">
        <v>81</v>
      </c>
      <c r="K124" s="832"/>
      <c r="L124" s="832"/>
      <c r="M124" s="515" t="s">
        <v>290</v>
      </c>
      <c r="N124" s="516"/>
      <c r="O124" s="541" t="s">
        <v>82</v>
      </c>
      <c r="P124" s="518">
        <f t="shared" si="10"/>
        <v>0</v>
      </c>
      <c r="Q124" s="520">
        <f t="shared" si="11"/>
        <v>0</v>
      </c>
      <c r="R124" s="320"/>
      <c r="S124" s="332"/>
      <c r="AC124" s="320"/>
    </row>
    <row r="125" spans="1:29" ht="19.5" customHeight="1" x14ac:dyDescent="0.3">
      <c r="A125" s="828" t="s">
        <v>296</v>
      </c>
      <c r="B125" s="832"/>
      <c r="C125" s="832"/>
      <c r="D125" s="515"/>
      <c r="E125" s="516"/>
      <c r="F125" s="542" t="s">
        <v>157</v>
      </c>
      <c r="G125" s="518">
        <f t="shared" si="9"/>
        <v>0</v>
      </c>
      <c r="J125" s="828" t="s">
        <v>296</v>
      </c>
      <c r="K125" s="832"/>
      <c r="L125" s="832"/>
      <c r="M125" s="515"/>
      <c r="N125" s="516"/>
      <c r="O125" s="542" t="s">
        <v>157</v>
      </c>
      <c r="P125" s="518">
        <f t="shared" si="10"/>
        <v>0</v>
      </c>
      <c r="Q125" s="520">
        <f t="shared" si="11"/>
        <v>0</v>
      </c>
      <c r="R125" s="320"/>
      <c r="S125" s="332"/>
      <c r="AC125" s="320"/>
    </row>
    <row r="126" spans="1:29" ht="19.5" customHeight="1" x14ac:dyDescent="0.3">
      <c r="A126" s="828" t="s">
        <v>109</v>
      </c>
      <c r="B126" s="832"/>
      <c r="C126" s="832"/>
      <c r="D126" s="515"/>
      <c r="E126" s="516"/>
      <c r="F126" s="543" t="s">
        <v>110</v>
      </c>
      <c r="G126" s="518">
        <f t="shared" si="9"/>
        <v>0</v>
      </c>
      <c r="J126" s="828" t="s">
        <v>109</v>
      </c>
      <c r="K126" s="832"/>
      <c r="L126" s="832"/>
      <c r="M126" s="515"/>
      <c r="N126" s="516"/>
      <c r="O126" s="543" t="s">
        <v>110</v>
      </c>
      <c r="P126" s="518">
        <f t="shared" si="10"/>
        <v>0</v>
      </c>
      <c r="Q126" s="520">
        <f t="shared" si="11"/>
        <v>0</v>
      </c>
      <c r="R126" s="320"/>
      <c r="S126" s="332"/>
      <c r="U126" s="320"/>
      <c r="V126" s="320"/>
      <c r="AC126" s="320"/>
    </row>
    <row r="127" spans="1:29" ht="19.5" customHeight="1" x14ac:dyDescent="0.3">
      <c r="A127" s="828" t="s">
        <v>147</v>
      </c>
      <c r="B127" s="832"/>
      <c r="C127" s="832"/>
      <c r="D127" s="515" t="s">
        <v>294</v>
      </c>
      <c r="E127" s="516"/>
      <c r="F127" s="544" t="s">
        <v>114</v>
      </c>
      <c r="G127" s="518">
        <f t="shared" si="9"/>
        <v>0</v>
      </c>
      <c r="J127" s="828" t="s">
        <v>147</v>
      </c>
      <c r="K127" s="832"/>
      <c r="L127" s="832"/>
      <c r="M127" s="515" t="s">
        <v>294</v>
      </c>
      <c r="N127" s="516"/>
      <c r="O127" s="544" t="s">
        <v>114</v>
      </c>
      <c r="P127" s="518">
        <f t="shared" si="10"/>
        <v>0</v>
      </c>
      <c r="Q127" s="520">
        <f t="shared" si="11"/>
        <v>0</v>
      </c>
      <c r="R127" s="320"/>
      <c r="S127" s="332"/>
      <c r="U127" s="320"/>
      <c r="V127" s="320"/>
      <c r="AC127" s="320"/>
    </row>
    <row r="128" spans="1:29" ht="19.5" customHeight="1" x14ac:dyDescent="0.3">
      <c r="A128" s="828" t="s">
        <v>83</v>
      </c>
      <c r="B128" s="832"/>
      <c r="C128" s="832"/>
      <c r="D128" s="515" t="s">
        <v>294</v>
      </c>
      <c r="E128" s="516"/>
      <c r="F128" s="490" t="s">
        <v>84</v>
      </c>
      <c r="G128" s="518">
        <f t="shared" si="9"/>
        <v>6</v>
      </c>
      <c r="J128" s="828" t="s">
        <v>83</v>
      </c>
      <c r="K128" s="832"/>
      <c r="L128" s="832"/>
      <c r="M128" s="515" t="s">
        <v>294</v>
      </c>
      <c r="N128" s="516"/>
      <c r="O128" s="490" t="s">
        <v>84</v>
      </c>
      <c r="P128" s="518">
        <f t="shared" si="10"/>
        <v>0</v>
      </c>
      <c r="Q128" s="520">
        <f t="shared" si="11"/>
        <v>6</v>
      </c>
      <c r="R128" s="320"/>
      <c r="S128" s="332"/>
      <c r="U128" s="320"/>
      <c r="V128" s="320"/>
      <c r="AC128" s="320"/>
    </row>
    <row r="129" spans="1:29" ht="19.5" customHeight="1" x14ac:dyDescent="0.3">
      <c r="A129" s="830"/>
      <c r="B129" s="831"/>
      <c r="C129" s="831"/>
      <c r="D129" s="522"/>
      <c r="E129" s="523"/>
      <c r="F129" s="545"/>
      <c r="G129" s="524"/>
      <c r="J129" s="830"/>
      <c r="K129" s="831"/>
      <c r="L129" s="831"/>
      <c r="M129" s="522"/>
      <c r="N129" s="523"/>
      <c r="O129" s="335"/>
      <c r="P129" s="546"/>
      <c r="Q129" s="525"/>
      <c r="R129" s="320"/>
      <c r="S129" s="332"/>
      <c r="U129" s="320"/>
      <c r="V129" s="320"/>
      <c r="AC129" s="320"/>
    </row>
    <row r="130" spans="1:29" ht="19.5" customHeight="1" x14ac:dyDescent="0.3">
      <c r="A130" s="828" t="s">
        <v>34</v>
      </c>
      <c r="B130" s="829"/>
      <c r="C130" s="829"/>
      <c r="D130" s="547"/>
      <c r="E130" s="548"/>
      <c r="F130" s="549" t="s">
        <v>35</v>
      </c>
      <c r="G130" s="518">
        <f t="shared" ref="G130:G131" si="12">COUNTIF($AM$35:$BA$76,F130)+COUNTIF($A$4:$AJ$76,F130)</f>
        <v>2</v>
      </c>
      <c r="J130" s="828" t="s">
        <v>34</v>
      </c>
      <c r="K130" s="829"/>
      <c r="L130" s="829"/>
      <c r="M130" s="547"/>
      <c r="N130" s="548"/>
      <c r="O130" s="549" t="s">
        <v>35</v>
      </c>
      <c r="P130" s="518">
        <f t="shared" ref="P130:P131" si="13">COUNTIF($BB$6:$DC$77,O130)</f>
        <v>0</v>
      </c>
      <c r="Q130" s="520">
        <f t="shared" ref="Q130:Q131" si="14">G130+P130</f>
        <v>2</v>
      </c>
      <c r="R130" s="320"/>
      <c r="S130" s="332"/>
      <c r="U130" s="320"/>
      <c r="V130" s="320"/>
      <c r="AC130" s="320"/>
    </row>
    <row r="131" spans="1:29" ht="19.5" customHeight="1" x14ac:dyDescent="0.25">
      <c r="A131" s="828" t="s">
        <v>85</v>
      </c>
      <c r="B131" s="829"/>
      <c r="C131" s="829"/>
      <c r="D131" s="547" t="s">
        <v>291</v>
      </c>
      <c r="E131" s="548"/>
      <c r="F131" s="550" t="s">
        <v>86</v>
      </c>
      <c r="G131" s="518">
        <f t="shared" si="12"/>
        <v>2</v>
      </c>
      <c r="J131" s="828" t="s">
        <v>85</v>
      </c>
      <c r="K131" s="829"/>
      <c r="L131" s="829"/>
      <c r="M131" s="547" t="s">
        <v>291</v>
      </c>
      <c r="N131" s="548"/>
      <c r="O131" s="550" t="s">
        <v>86</v>
      </c>
      <c r="P131" s="518">
        <f t="shared" si="13"/>
        <v>0</v>
      </c>
      <c r="Q131" s="520">
        <f t="shared" si="14"/>
        <v>2</v>
      </c>
      <c r="U131" s="320"/>
      <c r="V131" s="320"/>
      <c r="AC131" s="320"/>
    </row>
    <row r="132" spans="1:29" ht="19.5" customHeight="1" x14ac:dyDescent="0.25">
      <c r="A132" s="830"/>
      <c r="B132" s="831"/>
      <c r="C132" s="831"/>
      <c r="D132" s="522"/>
      <c r="E132" s="523"/>
      <c r="F132" s="335"/>
      <c r="G132" s="524"/>
      <c r="J132" s="830"/>
      <c r="K132" s="831"/>
      <c r="L132" s="831"/>
      <c r="M132" s="522"/>
      <c r="N132" s="523"/>
      <c r="O132" s="335"/>
      <c r="P132" s="524"/>
      <c r="Q132" s="525"/>
      <c r="U132" s="320"/>
      <c r="V132" s="320"/>
      <c r="AC132" s="320"/>
    </row>
    <row r="133" spans="1:29" ht="19.5" customHeight="1" x14ac:dyDescent="0.25">
      <c r="A133" s="828" t="s">
        <v>87</v>
      </c>
      <c r="B133" s="829"/>
      <c r="C133" s="829"/>
      <c r="D133" s="515" t="s">
        <v>290</v>
      </c>
      <c r="E133" s="516"/>
      <c r="F133" s="551" t="s">
        <v>88</v>
      </c>
      <c r="G133" s="518">
        <f t="shared" ref="G133:G142" si="15">COUNTIF($AM$35:$BA$76,F133)+COUNTIF($A$4:$AJ$76,F133)</f>
        <v>0</v>
      </c>
      <c r="J133" s="828" t="s">
        <v>87</v>
      </c>
      <c r="K133" s="829"/>
      <c r="L133" s="829"/>
      <c r="M133" s="515" t="s">
        <v>290</v>
      </c>
      <c r="N133" s="516"/>
      <c r="O133" s="551" t="s">
        <v>88</v>
      </c>
      <c r="P133" s="518">
        <f t="shared" ref="P133:P141" si="16">COUNTIF($BB$6:$DC$77,O133)</f>
        <v>0</v>
      </c>
      <c r="Q133" s="520">
        <f t="shared" ref="Q133:Q142" si="17">G133+P133</f>
        <v>0</v>
      </c>
      <c r="U133" s="320"/>
      <c r="V133" s="320"/>
      <c r="AC133" s="320"/>
    </row>
    <row r="134" spans="1:29" ht="19.5" customHeight="1" x14ac:dyDescent="0.25">
      <c r="A134" s="828" t="s">
        <v>89</v>
      </c>
      <c r="B134" s="829"/>
      <c r="C134" s="829"/>
      <c r="D134" s="515" t="s">
        <v>291</v>
      </c>
      <c r="E134" s="516"/>
      <c r="F134" s="552" t="s">
        <v>90</v>
      </c>
      <c r="G134" s="518">
        <f t="shared" si="15"/>
        <v>0</v>
      </c>
      <c r="J134" s="828" t="s">
        <v>89</v>
      </c>
      <c r="K134" s="829"/>
      <c r="L134" s="829"/>
      <c r="M134" s="515" t="s">
        <v>291</v>
      </c>
      <c r="N134" s="516"/>
      <c r="O134" s="552" t="s">
        <v>90</v>
      </c>
      <c r="P134" s="518">
        <f t="shared" si="16"/>
        <v>0</v>
      </c>
      <c r="Q134" s="520">
        <f t="shared" si="17"/>
        <v>0</v>
      </c>
      <c r="U134" s="320"/>
      <c r="V134" s="320"/>
      <c r="AC134" s="320"/>
    </row>
    <row r="135" spans="1:29" ht="19.5" customHeight="1" x14ac:dyDescent="0.25">
      <c r="A135" s="828" t="s">
        <v>115</v>
      </c>
      <c r="B135" s="829"/>
      <c r="C135" s="829"/>
      <c r="D135" s="515"/>
      <c r="E135" s="516"/>
      <c r="F135" s="553" t="s">
        <v>116</v>
      </c>
      <c r="G135" s="518">
        <f t="shared" si="15"/>
        <v>0</v>
      </c>
      <c r="J135" s="828" t="s">
        <v>115</v>
      </c>
      <c r="K135" s="829"/>
      <c r="L135" s="829"/>
      <c r="M135" s="515"/>
      <c r="N135" s="516"/>
      <c r="O135" s="553" t="s">
        <v>116</v>
      </c>
      <c r="P135" s="518">
        <f t="shared" si="16"/>
        <v>0</v>
      </c>
      <c r="Q135" s="520">
        <f t="shared" si="17"/>
        <v>0</v>
      </c>
      <c r="U135" s="320"/>
      <c r="V135" s="320"/>
      <c r="AC135" s="320"/>
    </row>
    <row r="136" spans="1:29" ht="19.5" customHeight="1" x14ac:dyDescent="0.25">
      <c r="A136" s="828" t="s">
        <v>101</v>
      </c>
      <c r="B136" s="829"/>
      <c r="C136" s="829"/>
      <c r="D136" s="515"/>
      <c r="E136" s="516"/>
      <c r="F136" s="554" t="s">
        <v>102</v>
      </c>
      <c r="G136" s="518">
        <f t="shared" si="15"/>
        <v>0</v>
      </c>
      <c r="J136" s="828" t="s">
        <v>101</v>
      </c>
      <c r="K136" s="829"/>
      <c r="L136" s="829"/>
      <c r="M136" s="515"/>
      <c r="N136" s="516"/>
      <c r="O136" s="554" t="s">
        <v>102</v>
      </c>
      <c r="P136" s="518">
        <f t="shared" si="16"/>
        <v>0</v>
      </c>
      <c r="Q136" s="520">
        <f t="shared" si="17"/>
        <v>0</v>
      </c>
      <c r="R136" s="320"/>
      <c r="S136" s="320"/>
      <c r="U136" s="320"/>
      <c r="V136" s="320"/>
      <c r="AC136" s="320"/>
    </row>
    <row r="137" spans="1:29" ht="19.5" customHeight="1" x14ac:dyDescent="0.25">
      <c r="A137" s="828" t="s">
        <v>91</v>
      </c>
      <c r="B137" s="829"/>
      <c r="C137" s="829"/>
      <c r="D137" s="515"/>
      <c r="E137" s="548"/>
      <c r="F137" s="555" t="s">
        <v>92</v>
      </c>
      <c r="G137" s="518">
        <f t="shared" si="15"/>
        <v>0</v>
      </c>
      <c r="J137" s="828" t="s">
        <v>91</v>
      </c>
      <c r="K137" s="829"/>
      <c r="L137" s="829"/>
      <c r="M137" s="515"/>
      <c r="N137" s="548"/>
      <c r="O137" s="555" t="s">
        <v>92</v>
      </c>
      <c r="P137" s="518">
        <f t="shared" si="16"/>
        <v>0</v>
      </c>
      <c r="Q137" s="520">
        <f t="shared" si="17"/>
        <v>0</v>
      </c>
      <c r="U137" s="320"/>
      <c r="V137" s="320"/>
      <c r="AC137" s="320"/>
    </row>
    <row r="138" spans="1:29" ht="19.5" customHeight="1" x14ac:dyDescent="0.25">
      <c r="A138" s="828" t="s">
        <v>93</v>
      </c>
      <c r="B138" s="829"/>
      <c r="C138" s="829"/>
      <c r="D138" s="515"/>
      <c r="E138" s="548"/>
      <c r="F138" s="556" t="s">
        <v>94</v>
      </c>
      <c r="G138" s="518">
        <f t="shared" si="15"/>
        <v>0</v>
      </c>
      <c r="J138" s="828" t="s">
        <v>93</v>
      </c>
      <c r="K138" s="829"/>
      <c r="L138" s="829"/>
      <c r="M138" s="515"/>
      <c r="N138" s="548"/>
      <c r="O138" s="556" t="s">
        <v>94</v>
      </c>
      <c r="P138" s="518">
        <f t="shared" si="16"/>
        <v>0</v>
      </c>
      <c r="Q138" s="520">
        <f t="shared" si="17"/>
        <v>0</v>
      </c>
      <c r="U138" s="320"/>
      <c r="V138" s="320"/>
      <c r="AC138" s="320"/>
    </row>
    <row r="139" spans="1:29" ht="19.5" customHeight="1" x14ac:dyDescent="0.25">
      <c r="A139" s="828" t="s">
        <v>95</v>
      </c>
      <c r="B139" s="829"/>
      <c r="C139" s="829"/>
      <c r="D139" s="515"/>
      <c r="E139" s="548"/>
      <c r="F139" s="557" t="s">
        <v>96</v>
      </c>
      <c r="G139" s="518">
        <f t="shared" si="15"/>
        <v>0</v>
      </c>
      <c r="J139" s="828" t="s">
        <v>95</v>
      </c>
      <c r="K139" s="829"/>
      <c r="L139" s="829"/>
      <c r="M139" s="515"/>
      <c r="N139" s="548"/>
      <c r="O139" s="557" t="s">
        <v>96</v>
      </c>
      <c r="P139" s="518">
        <f t="shared" si="16"/>
        <v>0</v>
      </c>
      <c r="Q139" s="520">
        <f t="shared" si="17"/>
        <v>0</v>
      </c>
      <c r="U139" s="320"/>
      <c r="V139" s="320"/>
      <c r="AC139" s="320"/>
    </row>
    <row r="140" spans="1:29" ht="19.5" customHeight="1" x14ac:dyDescent="0.25">
      <c r="A140" s="828" t="s">
        <v>97</v>
      </c>
      <c r="B140" s="829"/>
      <c r="C140" s="829"/>
      <c r="D140" s="515"/>
      <c r="E140" s="548"/>
      <c r="F140" s="558" t="s">
        <v>98</v>
      </c>
      <c r="G140" s="518">
        <f t="shared" si="15"/>
        <v>0</v>
      </c>
      <c r="J140" s="828" t="s">
        <v>97</v>
      </c>
      <c r="K140" s="829"/>
      <c r="L140" s="829"/>
      <c r="M140" s="515"/>
      <c r="N140" s="548"/>
      <c r="O140" s="558" t="s">
        <v>98</v>
      </c>
      <c r="P140" s="518">
        <f t="shared" si="16"/>
        <v>0</v>
      </c>
      <c r="Q140" s="520">
        <f t="shared" si="17"/>
        <v>0</v>
      </c>
      <c r="U140" s="320"/>
      <c r="V140" s="320"/>
      <c r="AC140" s="320"/>
    </row>
    <row r="141" spans="1:29" ht="19.5" customHeight="1" x14ac:dyDescent="0.25">
      <c r="A141" s="828" t="s">
        <v>145</v>
      </c>
      <c r="B141" s="829"/>
      <c r="C141" s="829"/>
      <c r="D141" s="515" t="s">
        <v>290</v>
      </c>
      <c r="E141" s="516"/>
      <c r="F141" s="559" t="s">
        <v>112</v>
      </c>
      <c r="G141" s="518">
        <f t="shared" si="15"/>
        <v>0</v>
      </c>
      <c r="J141" s="828" t="s">
        <v>145</v>
      </c>
      <c r="K141" s="829"/>
      <c r="L141" s="829"/>
      <c r="M141" s="515" t="s">
        <v>290</v>
      </c>
      <c r="N141" s="516"/>
      <c r="O141" s="559" t="s">
        <v>112</v>
      </c>
      <c r="P141" s="518">
        <f t="shared" si="16"/>
        <v>8</v>
      </c>
      <c r="Q141" s="520">
        <f t="shared" si="17"/>
        <v>8</v>
      </c>
      <c r="U141" s="320"/>
      <c r="V141" s="320"/>
      <c r="AC141" s="320"/>
    </row>
    <row r="142" spans="1:29" ht="19.5" customHeight="1" x14ac:dyDescent="0.25">
      <c r="A142" s="828" t="s">
        <v>141</v>
      </c>
      <c r="B142" s="829"/>
      <c r="C142" s="829"/>
      <c r="D142" s="515" t="s">
        <v>290</v>
      </c>
      <c r="E142" s="548"/>
      <c r="F142" s="560" t="s">
        <v>142</v>
      </c>
      <c r="G142" s="518">
        <f t="shared" si="15"/>
        <v>2</v>
      </c>
      <c r="J142" s="828" t="s">
        <v>141</v>
      </c>
      <c r="K142" s="829"/>
      <c r="L142" s="829"/>
      <c r="M142" s="515" t="s">
        <v>290</v>
      </c>
      <c r="N142" s="548"/>
      <c r="O142" s="560" t="s">
        <v>142</v>
      </c>
      <c r="P142" s="518">
        <f t="shared" ref="P142" si="18">COUNTIF($AN$6:$DC$76,O142)</f>
        <v>0</v>
      </c>
      <c r="Q142" s="520">
        <f t="shared" si="17"/>
        <v>2</v>
      </c>
      <c r="U142" s="320"/>
      <c r="V142" s="320"/>
      <c r="AC142" s="320"/>
    </row>
    <row r="143" spans="1:29" ht="19.5" customHeight="1" x14ac:dyDescent="0.25">
      <c r="A143" s="830"/>
      <c r="B143" s="831"/>
      <c r="C143" s="831"/>
      <c r="D143" s="522"/>
      <c r="E143" s="523"/>
      <c r="F143" s="335"/>
      <c r="G143" s="524"/>
      <c r="J143" s="830"/>
      <c r="K143" s="831"/>
      <c r="L143" s="831"/>
      <c r="M143" s="522"/>
      <c r="N143" s="523"/>
      <c r="O143" s="335"/>
      <c r="P143" s="524"/>
      <c r="Q143" s="525"/>
      <c r="U143" s="320"/>
      <c r="V143" s="320"/>
      <c r="AC143" s="320"/>
    </row>
    <row r="144" spans="1:29" ht="19.5" customHeight="1" x14ac:dyDescent="0.25">
      <c r="A144" s="828" t="s">
        <v>16</v>
      </c>
      <c r="B144" s="829"/>
      <c r="C144" s="829"/>
      <c r="D144" s="515" t="s">
        <v>297</v>
      </c>
      <c r="E144" s="516"/>
      <c r="F144" s="561" t="s">
        <v>17</v>
      </c>
      <c r="G144" s="518">
        <f t="shared" ref="G144:G148" si="19">COUNTIF($AM$35:$BA$76,F144)+COUNTIF($A$4:$AJ$76,F144)</f>
        <v>0</v>
      </c>
      <c r="J144" s="828" t="s">
        <v>16</v>
      </c>
      <c r="K144" s="829"/>
      <c r="L144" s="829"/>
      <c r="M144" s="515" t="s">
        <v>297</v>
      </c>
      <c r="N144" s="516"/>
      <c r="O144" s="561" t="s">
        <v>17</v>
      </c>
      <c r="P144" s="518">
        <f t="shared" ref="P144:P188" si="20">COUNTIF($BB$6:$DC$77,O144)</f>
        <v>0</v>
      </c>
      <c r="Q144" s="520">
        <f t="shared" ref="Q144" si="21">G144+P144</f>
        <v>0</v>
      </c>
      <c r="U144" s="320"/>
      <c r="V144" s="320"/>
      <c r="AC144" s="320"/>
    </row>
    <row r="145" spans="1:29" ht="19.5" customHeight="1" x14ac:dyDescent="0.25">
      <c r="A145" s="828" t="s">
        <v>18</v>
      </c>
      <c r="B145" s="829"/>
      <c r="C145" s="829"/>
      <c r="D145" s="515" t="s">
        <v>297</v>
      </c>
      <c r="E145" s="548"/>
      <c r="F145" s="562" t="s">
        <v>19</v>
      </c>
      <c r="G145" s="518">
        <f t="shared" si="19"/>
        <v>0</v>
      </c>
      <c r="J145" s="828" t="s">
        <v>18</v>
      </c>
      <c r="K145" s="829"/>
      <c r="L145" s="829"/>
      <c r="M145" s="515" t="s">
        <v>297</v>
      </c>
      <c r="N145" s="548"/>
      <c r="O145" s="562" t="s">
        <v>19</v>
      </c>
      <c r="P145" s="518">
        <f t="shared" si="20"/>
        <v>0</v>
      </c>
      <c r="Q145" s="520">
        <f t="shared" si="0"/>
        <v>0</v>
      </c>
      <c r="U145" s="320"/>
      <c r="V145" s="320"/>
      <c r="AC145" s="320"/>
    </row>
    <row r="146" spans="1:29" ht="19.5" customHeight="1" x14ac:dyDescent="0.25">
      <c r="A146" s="828" t="s">
        <v>20</v>
      </c>
      <c r="B146" s="829"/>
      <c r="C146" s="829"/>
      <c r="D146" s="515" t="s">
        <v>297</v>
      </c>
      <c r="E146" s="548"/>
      <c r="F146" s="563" t="s">
        <v>21</v>
      </c>
      <c r="G146" s="518">
        <f t="shared" si="19"/>
        <v>0</v>
      </c>
      <c r="J146" s="828" t="s">
        <v>20</v>
      </c>
      <c r="K146" s="829"/>
      <c r="L146" s="829"/>
      <c r="M146" s="515" t="s">
        <v>297</v>
      </c>
      <c r="N146" s="548"/>
      <c r="O146" s="563" t="s">
        <v>21</v>
      </c>
      <c r="P146" s="518">
        <f t="shared" si="20"/>
        <v>0</v>
      </c>
      <c r="Q146" s="520">
        <f t="shared" si="0"/>
        <v>0</v>
      </c>
      <c r="AC146" s="327"/>
    </row>
    <row r="147" spans="1:29" ht="19.5" customHeight="1" x14ac:dyDescent="0.25">
      <c r="A147" s="828" t="s">
        <v>22</v>
      </c>
      <c r="B147" s="829"/>
      <c r="C147" s="829"/>
      <c r="D147" s="515" t="s">
        <v>297</v>
      </c>
      <c r="E147" s="548"/>
      <c r="F147" s="564" t="s">
        <v>23</v>
      </c>
      <c r="G147" s="518">
        <f t="shared" si="19"/>
        <v>0</v>
      </c>
      <c r="J147" s="828" t="s">
        <v>22</v>
      </c>
      <c r="K147" s="829"/>
      <c r="L147" s="829"/>
      <c r="M147" s="515" t="s">
        <v>297</v>
      </c>
      <c r="N147" s="548"/>
      <c r="O147" s="564" t="s">
        <v>23</v>
      </c>
      <c r="P147" s="518">
        <f t="shared" si="20"/>
        <v>8</v>
      </c>
      <c r="Q147" s="520">
        <f t="shared" si="0"/>
        <v>8</v>
      </c>
      <c r="AC147" s="327"/>
    </row>
    <row r="148" spans="1:29" ht="19.5" customHeight="1" x14ac:dyDescent="0.25">
      <c r="A148" s="828" t="s">
        <v>24</v>
      </c>
      <c r="B148" s="829"/>
      <c r="C148" s="829"/>
      <c r="D148" s="515" t="s">
        <v>297</v>
      </c>
      <c r="E148" s="548"/>
      <c r="F148" s="565" t="s">
        <v>25</v>
      </c>
      <c r="G148" s="518">
        <f t="shared" si="19"/>
        <v>0</v>
      </c>
      <c r="J148" s="828" t="s">
        <v>24</v>
      </c>
      <c r="K148" s="829"/>
      <c r="L148" s="829"/>
      <c r="M148" s="515" t="s">
        <v>297</v>
      </c>
      <c r="N148" s="548"/>
      <c r="O148" s="565" t="s">
        <v>25</v>
      </c>
      <c r="P148" s="518">
        <f t="shared" si="20"/>
        <v>0</v>
      </c>
      <c r="Q148" s="520">
        <f t="shared" si="0"/>
        <v>0</v>
      </c>
      <c r="R148" s="320"/>
      <c r="AB148" s="327"/>
      <c r="AC148" s="327"/>
    </row>
    <row r="149" spans="1:29" ht="19.5" customHeight="1" x14ac:dyDescent="0.25">
      <c r="A149" s="830"/>
      <c r="B149" s="831"/>
      <c r="C149" s="831"/>
      <c r="D149" s="522"/>
      <c r="E149" s="523"/>
      <c r="F149" s="335"/>
      <c r="G149" s="524"/>
      <c r="J149" s="830"/>
      <c r="K149" s="831"/>
      <c r="L149" s="831"/>
      <c r="M149" s="522"/>
      <c r="N149" s="523"/>
      <c r="O149" s="335"/>
      <c r="P149" s="524"/>
      <c r="Q149" s="525"/>
      <c r="R149" s="320"/>
      <c r="AB149" s="327"/>
      <c r="AC149" s="327"/>
    </row>
    <row r="150" spans="1:29" ht="19.5" customHeight="1" x14ac:dyDescent="0.25">
      <c r="A150" s="828" t="s">
        <v>26</v>
      </c>
      <c r="B150" s="829"/>
      <c r="C150" s="829"/>
      <c r="D150" s="515"/>
      <c r="E150" s="516"/>
      <c r="F150" s="566" t="s">
        <v>27</v>
      </c>
      <c r="G150" s="518">
        <f t="shared" ref="G150:G188" si="22">COUNTIF($AM$35:$BA$76,F150)+COUNTIF($A$4:$AJ$76,F150)</f>
        <v>0</v>
      </c>
      <c r="J150" s="828" t="s">
        <v>26</v>
      </c>
      <c r="K150" s="829"/>
      <c r="L150" s="829"/>
      <c r="M150" s="515"/>
      <c r="N150" s="516"/>
      <c r="O150" s="566" t="s">
        <v>27</v>
      </c>
      <c r="P150" s="518">
        <f t="shared" si="20"/>
        <v>0</v>
      </c>
      <c r="Q150" s="520">
        <f t="shared" ref="Q150" si="23">G150+P150</f>
        <v>0</v>
      </c>
      <c r="R150" s="320"/>
      <c r="AB150" s="327"/>
      <c r="AC150" s="327"/>
    </row>
    <row r="151" spans="1:29" ht="19.5" customHeight="1" x14ac:dyDescent="0.25">
      <c r="A151" s="828" t="s">
        <v>28</v>
      </c>
      <c r="B151" s="829"/>
      <c r="C151" s="829"/>
      <c r="D151" s="515"/>
      <c r="E151" s="516"/>
      <c r="F151" s="567" t="s">
        <v>29</v>
      </c>
      <c r="G151" s="518">
        <f t="shared" si="22"/>
        <v>0</v>
      </c>
      <c r="J151" s="828" t="s">
        <v>28</v>
      </c>
      <c r="K151" s="829"/>
      <c r="L151" s="829"/>
      <c r="M151" s="515"/>
      <c r="N151" s="516"/>
      <c r="O151" s="567" t="s">
        <v>29</v>
      </c>
      <c r="P151" s="518">
        <f t="shared" si="20"/>
        <v>0</v>
      </c>
      <c r="Q151" s="520">
        <f t="shared" si="0"/>
        <v>0</v>
      </c>
      <c r="R151" s="320"/>
      <c r="AB151" s="327"/>
      <c r="AC151" s="327"/>
    </row>
    <row r="152" spans="1:29" ht="19.5" customHeight="1" x14ac:dyDescent="0.25">
      <c r="A152" s="828" t="s">
        <v>139</v>
      </c>
      <c r="B152" s="829"/>
      <c r="C152" s="829"/>
      <c r="D152" s="515"/>
      <c r="E152" s="516"/>
      <c r="F152" s="568" t="s">
        <v>131</v>
      </c>
      <c r="G152" s="518">
        <f t="shared" si="22"/>
        <v>0</v>
      </c>
      <c r="J152" s="828" t="s">
        <v>139</v>
      </c>
      <c r="K152" s="829"/>
      <c r="L152" s="829"/>
      <c r="M152" s="515"/>
      <c r="N152" s="516"/>
      <c r="O152" s="568" t="s">
        <v>131</v>
      </c>
      <c r="P152" s="518">
        <f t="shared" si="20"/>
        <v>0</v>
      </c>
      <c r="Q152" s="520">
        <f t="shared" si="0"/>
        <v>0</v>
      </c>
      <c r="R152" s="320"/>
      <c r="AB152" s="327"/>
      <c r="AC152" s="327"/>
    </row>
    <row r="153" spans="1:29" ht="19.5" customHeight="1" x14ac:dyDescent="0.25">
      <c r="A153" s="828" t="s">
        <v>30</v>
      </c>
      <c r="B153" s="829"/>
      <c r="C153" s="829"/>
      <c r="D153" s="515"/>
      <c r="E153" s="516"/>
      <c r="F153" s="569" t="s">
        <v>31</v>
      </c>
      <c r="G153" s="518">
        <f t="shared" si="22"/>
        <v>0</v>
      </c>
      <c r="J153" s="828" t="s">
        <v>30</v>
      </c>
      <c r="K153" s="829"/>
      <c r="L153" s="829"/>
      <c r="M153" s="515"/>
      <c r="N153" s="516"/>
      <c r="O153" s="569" t="s">
        <v>31</v>
      </c>
      <c r="P153" s="518">
        <f t="shared" si="20"/>
        <v>0</v>
      </c>
      <c r="Q153" s="520">
        <f t="shared" si="0"/>
        <v>0</v>
      </c>
      <c r="R153" s="320"/>
      <c r="AB153" s="327"/>
      <c r="AC153" s="327"/>
    </row>
    <row r="154" spans="1:29" ht="19.5" customHeight="1" x14ac:dyDescent="0.25">
      <c r="A154" s="828" t="s">
        <v>32</v>
      </c>
      <c r="B154" s="829"/>
      <c r="C154" s="829"/>
      <c r="D154" s="515"/>
      <c r="E154" s="516"/>
      <c r="F154" s="570" t="s">
        <v>33</v>
      </c>
      <c r="G154" s="518">
        <f t="shared" si="22"/>
        <v>0</v>
      </c>
      <c r="J154" s="828" t="s">
        <v>32</v>
      </c>
      <c r="K154" s="829"/>
      <c r="L154" s="829"/>
      <c r="M154" s="515"/>
      <c r="N154" s="516"/>
      <c r="O154" s="570" t="s">
        <v>33</v>
      </c>
      <c r="P154" s="518">
        <f t="shared" si="20"/>
        <v>0</v>
      </c>
      <c r="Q154" s="520">
        <f t="shared" si="0"/>
        <v>0</v>
      </c>
      <c r="R154" s="320"/>
      <c r="AB154" s="327"/>
      <c r="AC154" s="327"/>
    </row>
    <row r="155" spans="1:29" ht="19.5" customHeight="1" x14ac:dyDescent="0.25">
      <c r="A155" s="828" t="s">
        <v>152</v>
      </c>
      <c r="B155" s="829"/>
      <c r="C155" s="829"/>
      <c r="D155" s="515"/>
      <c r="E155" s="516"/>
      <c r="F155" s="571" t="s">
        <v>153</v>
      </c>
      <c r="G155" s="518">
        <f t="shared" si="22"/>
        <v>0</v>
      </c>
      <c r="J155" s="828" t="s">
        <v>152</v>
      </c>
      <c r="K155" s="829"/>
      <c r="L155" s="829"/>
      <c r="M155" s="515"/>
      <c r="N155" s="516"/>
      <c r="O155" s="571" t="s">
        <v>153</v>
      </c>
      <c r="P155" s="518">
        <f t="shared" si="20"/>
        <v>0</v>
      </c>
      <c r="Q155" s="520">
        <f t="shared" si="0"/>
        <v>0</v>
      </c>
      <c r="R155" s="320"/>
      <c r="AB155" s="327"/>
      <c r="AC155" s="327"/>
    </row>
    <row r="156" spans="1:29" ht="19.5" customHeight="1" x14ac:dyDescent="0.25">
      <c r="A156" s="513" t="s">
        <v>136</v>
      </c>
      <c r="B156" s="514"/>
      <c r="C156" s="514"/>
      <c r="D156" s="515"/>
      <c r="E156" s="516"/>
      <c r="F156" s="572" t="s">
        <v>128</v>
      </c>
      <c r="G156" s="518">
        <f t="shared" si="22"/>
        <v>0</v>
      </c>
      <c r="J156" s="513" t="s">
        <v>136</v>
      </c>
      <c r="K156" s="514"/>
      <c r="L156" s="514"/>
      <c r="M156" s="515"/>
      <c r="N156" s="516"/>
      <c r="O156" s="572" t="s">
        <v>128</v>
      </c>
      <c r="P156" s="518">
        <f t="shared" si="20"/>
        <v>0</v>
      </c>
      <c r="Q156" s="520">
        <f t="shared" si="0"/>
        <v>0</v>
      </c>
      <c r="R156" s="320"/>
      <c r="AB156" s="327"/>
      <c r="AC156" s="327"/>
    </row>
    <row r="157" spans="1:29" ht="19.5" customHeight="1" x14ac:dyDescent="0.25">
      <c r="A157" s="828" t="s">
        <v>137</v>
      </c>
      <c r="B157" s="829"/>
      <c r="C157" s="829"/>
      <c r="D157" s="515"/>
      <c r="E157" s="516"/>
      <c r="F157" s="573" t="s">
        <v>129</v>
      </c>
      <c r="G157" s="518">
        <f t="shared" si="22"/>
        <v>0</v>
      </c>
      <c r="J157" s="828" t="s">
        <v>137</v>
      </c>
      <c r="K157" s="829"/>
      <c r="L157" s="829"/>
      <c r="M157" s="515"/>
      <c r="N157" s="516"/>
      <c r="O157" s="573" t="s">
        <v>129</v>
      </c>
      <c r="P157" s="518">
        <f t="shared" si="20"/>
        <v>0</v>
      </c>
      <c r="Q157" s="520">
        <f t="shared" si="0"/>
        <v>0</v>
      </c>
      <c r="R157" s="320"/>
      <c r="AB157" s="327"/>
      <c r="AC157" s="327"/>
    </row>
    <row r="158" spans="1:29" ht="19.5" customHeight="1" x14ac:dyDescent="0.25">
      <c r="A158" s="828" t="s">
        <v>36</v>
      </c>
      <c r="B158" s="829"/>
      <c r="C158" s="829"/>
      <c r="D158" s="547"/>
      <c r="E158" s="548"/>
      <c r="F158" s="574" t="s">
        <v>37</v>
      </c>
      <c r="G158" s="518">
        <f t="shared" si="22"/>
        <v>0</v>
      </c>
      <c r="J158" s="828" t="s">
        <v>36</v>
      </c>
      <c r="K158" s="829"/>
      <c r="L158" s="829"/>
      <c r="M158" s="547"/>
      <c r="N158" s="548"/>
      <c r="O158" s="574" t="s">
        <v>37</v>
      </c>
      <c r="P158" s="518">
        <f t="shared" si="20"/>
        <v>0</v>
      </c>
      <c r="Q158" s="520">
        <f t="shared" si="0"/>
        <v>0</v>
      </c>
      <c r="R158" s="320"/>
      <c r="AB158" s="327"/>
      <c r="AC158" s="327"/>
    </row>
    <row r="159" spans="1:29" ht="19.5" customHeight="1" x14ac:dyDescent="0.25">
      <c r="A159" s="828" t="s">
        <v>38</v>
      </c>
      <c r="B159" s="829"/>
      <c r="C159" s="829"/>
      <c r="D159" s="547"/>
      <c r="E159" s="548"/>
      <c r="F159" s="575" t="s">
        <v>39</v>
      </c>
      <c r="G159" s="518">
        <f t="shared" si="22"/>
        <v>0</v>
      </c>
      <c r="J159" s="828" t="s">
        <v>38</v>
      </c>
      <c r="K159" s="829"/>
      <c r="L159" s="829"/>
      <c r="M159" s="547"/>
      <c r="N159" s="548"/>
      <c r="O159" s="575" t="s">
        <v>39</v>
      </c>
      <c r="P159" s="518">
        <f t="shared" si="20"/>
        <v>0</v>
      </c>
      <c r="Q159" s="520">
        <f t="shared" si="0"/>
        <v>0</v>
      </c>
      <c r="R159" s="320"/>
      <c r="AB159" s="327"/>
      <c r="AC159" s="327"/>
    </row>
    <row r="160" spans="1:29" ht="19.5" customHeight="1" x14ac:dyDescent="0.25">
      <c r="A160" s="828" t="s">
        <v>40</v>
      </c>
      <c r="B160" s="829"/>
      <c r="C160" s="829"/>
      <c r="D160" s="547"/>
      <c r="E160" s="548"/>
      <c r="F160" s="576" t="s">
        <v>41</v>
      </c>
      <c r="G160" s="518">
        <f t="shared" si="22"/>
        <v>0</v>
      </c>
      <c r="J160" s="828" t="s">
        <v>40</v>
      </c>
      <c r="K160" s="829"/>
      <c r="L160" s="829"/>
      <c r="M160" s="547"/>
      <c r="N160" s="548"/>
      <c r="O160" s="576" t="s">
        <v>41</v>
      </c>
      <c r="P160" s="518">
        <f t="shared" si="20"/>
        <v>0</v>
      </c>
      <c r="Q160" s="520">
        <f t="shared" si="0"/>
        <v>0</v>
      </c>
      <c r="R160" s="320"/>
      <c r="AB160" s="327"/>
      <c r="AC160" s="327"/>
    </row>
    <row r="161" spans="1:29" ht="19.5" customHeight="1" x14ac:dyDescent="0.25">
      <c r="A161" s="828" t="s">
        <v>42</v>
      </c>
      <c r="B161" s="829"/>
      <c r="C161" s="829"/>
      <c r="D161" s="547"/>
      <c r="E161" s="548"/>
      <c r="F161" s="577" t="s">
        <v>43</v>
      </c>
      <c r="G161" s="518">
        <f t="shared" si="22"/>
        <v>0</v>
      </c>
      <c r="J161" s="828" t="s">
        <v>42</v>
      </c>
      <c r="K161" s="829"/>
      <c r="L161" s="829"/>
      <c r="M161" s="547"/>
      <c r="N161" s="548"/>
      <c r="O161" s="577" t="s">
        <v>43</v>
      </c>
      <c r="P161" s="518">
        <f t="shared" si="20"/>
        <v>0</v>
      </c>
      <c r="Q161" s="520">
        <f t="shared" si="0"/>
        <v>0</v>
      </c>
      <c r="R161" s="320"/>
      <c r="AB161" s="327"/>
      <c r="AC161" s="327"/>
    </row>
    <row r="162" spans="1:29" ht="19.5" customHeight="1" x14ac:dyDescent="0.25">
      <c r="A162" s="828" t="s">
        <v>44</v>
      </c>
      <c r="B162" s="829"/>
      <c r="C162" s="829"/>
      <c r="D162" s="547"/>
      <c r="E162" s="548"/>
      <c r="F162" s="578" t="s">
        <v>45</v>
      </c>
      <c r="G162" s="518">
        <f t="shared" si="22"/>
        <v>0</v>
      </c>
      <c r="J162" s="828" t="s">
        <v>44</v>
      </c>
      <c r="K162" s="829"/>
      <c r="L162" s="829"/>
      <c r="M162" s="547"/>
      <c r="N162" s="548"/>
      <c r="O162" s="578" t="s">
        <v>45</v>
      </c>
      <c r="P162" s="518">
        <f t="shared" si="20"/>
        <v>0</v>
      </c>
      <c r="Q162" s="520">
        <f t="shared" si="0"/>
        <v>0</v>
      </c>
      <c r="R162" s="320"/>
      <c r="AB162" s="327"/>
      <c r="AC162" s="327"/>
    </row>
    <row r="163" spans="1:29" ht="19.5" customHeight="1" x14ac:dyDescent="0.25">
      <c r="A163" s="828" t="s">
        <v>46</v>
      </c>
      <c r="B163" s="829"/>
      <c r="C163" s="829"/>
      <c r="D163" s="547"/>
      <c r="E163" s="548"/>
      <c r="F163" s="579" t="s">
        <v>47</v>
      </c>
      <c r="G163" s="518">
        <f t="shared" si="22"/>
        <v>0</v>
      </c>
      <c r="J163" s="828" t="s">
        <v>46</v>
      </c>
      <c r="K163" s="829"/>
      <c r="L163" s="829"/>
      <c r="M163" s="547"/>
      <c r="N163" s="548"/>
      <c r="O163" s="579" t="s">
        <v>47</v>
      </c>
      <c r="P163" s="518">
        <f t="shared" si="20"/>
        <v>0</v>
      </c>
      <c r="Q163" s="520">
        <f t="shared" si="0"/>
        <v>0</v>
      </c>
      <c r="R163" s="320"/>
      <c r="AB163" s="327"/>
      <c r="AC163" s="327"/>
    </row>
    <row r="164" spans="1:29" ht="19.5" customHeight="1" x14ac:dyDescent="0.25">
      <c r="A164" s="828" t="s">
        <v>107</v>
      </c>
      <c r="B164" s="829"/>
      <c r="C164" s="829"/>
      <c r="D164" s="547"/>
      <c r="E164" s="548"/>
      <c r="F164" s="580" t="s">
        <v>108</v>
      </c>
      <c r="G164" s="518">
        <f t="shared" si="22"/>
        <v>0</v>
      </c>
      <c r="J164" s="828" t="s">
        <v>107</v>
      </c>
      <c r="K164" s="829"/>
      <c r="L164" s="829"/>
      <c r="M164" s="547"/>
      <c r="N164" s="548"/>
      <c r="O164" s="580" t="s">
        <v>108</v>
      </c>
      <c r="P164" s="518">
        <f t="shared" si="20"/>
        <v>0</v>
      </c>
      <c r="Q164" s="520">
        <f t="shared" si="0"/>
        <v>0</v>
      </c>
      <c r="R164" s="320"/>
      <c r="AB164" s="327"/>
      <c r="AC164" s="327"/>
    </row>
    <row r="165" spans="1:29" ht="19.5" customHeight="1" x14ac:dyDescent="0.25">
      <c r="A165" s="828" t="s">
        <v>140</v>
      </c>
      <c r="B165" s="829"/>
      <c r="C165" s="829"/>
      <c r="D165" s="547"/>
      <c r="E165" s="548"/>
      <c r="F165" s="581" t="s">
        <v>132</v>
      </c>
      <c r="G165" s="518">
        <f t="shared" si="22"/>
        <v>0</v>
      </c>
      <c r="J165" s="828" t="s">
        <v>140</v>
      </c>
      <c r="K165" s="829"/>
      <c r="L165" s="829"/>
      <c r="M165" s="547"/>
      <c r="N165" s="548"/>
      <c r="O165" s="581" t="s">
        <v>132</v>
      </c>
      <c r="P165" s="518">
        <f t="shared" si="20"/>
        <v>0</v>
      </c>
      <c r="Q165" s="520">
        <f t="shared" si="0"/>
        <v>0</v>
      </c>
      <c r="R165" s="320"/>
      <c r="AB165" s="327"/>
      <c r="AC165" s="327"/>
    </row>
    <row r="166" spans="1:29" ht="19.5" customHeight="1" x14ac:dyDescent="0.25">
      <c r="A166" s="828" t="s">
        <v>48</v>
      </c>
      <c r="B166" s="829"/>
      <c r="C166" s="829"/>
      <c r="D166" s="547"/>
      <c r="E166" s="548"/>
      <c r="F166" s="582" t="s">
        <v>49</v>
      </c>
      <c r="G166" s="518">
        <f t="shared" si="22"/>
        <v>0</v>
      </c>
      <c r="J166" s="828" t="s">
        <v>48</v>
      </c>
      <c r="K166" s="829"/>
      <c r="L166" s="829"/>
      <c r="M166" s="547"/>
      <c r="N166" s="548"/>
      <c r="O166" s="582" t="s">
        <v>49</v>
      </c>
      <c r="P166" s="518">
        <f t="shared" si="20"/>
        <v>0</v>
      </c>
      <c r="Q166" s="520">
        <f t="shared" si="0"/>
        <v>0</v>
      </c>
      <c r="R166" s="320"/>
      <c r="AB166" s="327"/>
      <c r="AC166" s="327"/>
    </row>
    <row r="167" spans="1:29" ht="19.5" customHeight="1" x14ac:dyDescent="0.25">
      <c r="A167" s="828" t="s">
        <v>50</v>
      </c>
      <c r="B167" s="829"/>
      <c r="C167" s="829"/>
      <c r="D167" s="547"/>
      <c r="E167" s="548"/>
      <c r="F167" s="554" t="s">
        <v>51</v>
      </c>
      <c r="G167" s="518">
        <f t="shared" si="22"/>
        <v>4</v>
      </c>
      <c r="J167" s="828" t="s">
        <v>50</v>
      </c>
      <c r="K167" s="829"/>
      <c r="L167" s="829"/>
      <c r="M167" s="547"/>
      <c r="N167" s="548"/>
      <c r="O167" s="554" t="s">
        <v>51</v>
      </c>
      <c r="P167" s="518">
        <f t="shared" si="20"/>
        <v>4</v>
      </c>
      <c r="Q167" s="520">
        <f t="shared" si="0"/>
        <v>8</v>
      </c>
      <c r="R167" s="320"/>
      <c r="AB167" s="327"/>
      <c r="AC167" s="327"/>
    </row>
    <row r="168" spans="1:29" ht="19.5" customHeight="1" x14ac:dyDescent="0.25">
      <c r="A168" s="828" t="s">
        <v>52</v>
      </c>
      <c r="B168" s="829"/>
      <c r="C168" s="829"/>
      <c r="D168" s="547"/>
      <c r="E168" s="548"/>
      <c r="F168" s="583" t="s">
        <v>53</v>
      </c>
      <c r="G168" s="518">
        <f t="shared" si="22"/>
        <v>0</v>
      </c>
      <c r="J168" s="828" t="s">
        <v>52</v>
      </c>
      <c r="K168" s="829"/>
      <c r="L168" s="829"/>
      <c r="M168" s="547"/>
      <c r="N168" s="548"/>
      <c r="O168" s="583" t="s">
        <v>53</v>
      </c>
      <c r="P168" s="518">
        <f t="shared" si="20"/>
        <v>0</v>
      </c>
      <c r="Q168" s="520">
        <f t="shared" si="0"/>
        <v>0</v>
      </c>
      <c r="R168" s="320"/>
      <c r="AB168" s="327"/>
      <c r="AC168" s="327"/>
    </row>
    <row r="169" spans="1:29" ht="19.5" customHeight="1" x14ac:dyDescent="0.25">
      <c r="A169" s="828" t="s">
        <v>117</v>
      </c>
      <c r="B169" s="829"/>
      <c r="C169" s="829"/>
      <c r="D169" s="547"/>
      <c r="E169" s="548"/>
      <c r="F169" s="584" t="s">
        <v>118</v>
      </c>
      <c r="G169" s="518">
        <f t="shared" si="22"/>
        <v>0</v>
      </c>
      <c r="J169" s="828" t="s">
        <v>117</v>
      </c>
      <c r="K169" s="829"/>
      <c r="L169" s="829"/>
      <c r="M169" s="547"/>
      <c r="N169" s="548"/>
      <c r="O169" s="584" t="s">
        <v>118</v>
      </c>
      <c r="P169" s="518">
        <f t="shared" si="20"/>
        <v>0</v>
      </c>
      <c r="Q169" s="520">
        <f>G169+P169</f>
        <v>0</v>
      </c>
      <c r="R169" s="320"/>
      <c r="AB169" s="327"/>
      <c r="AC169" s="327"/>
    </row>
    <row r="170" spans="1:29" ht="19.5" customHeight="1" x14ac:dyDescent="0.25">
      <c r="A170" s="828" t="s">
        <v>54</v>
      </c>
      <c r="B170" s="829"/>
      <c r="C170" s="829"/>
      <c r="D170" s="547"/>
      <c r="E170" s="548"/>
      <c r="F170" s="585" t="s">
        <v>55</v>
      </c>
      <c r="G170" s="518">
        <f t="shared" si="22"/>
        <v>4</v>
      </c>
      <c r="J170" s="828" t="s">
        <v>54</v>
      </c>
      <c r="K170" s="829"/>
      <c r="L170" s="829"/>
      <c r="M170" s="547"/>
      <c r="N170" s="548"/>
      <c r="O170" s="585" t="s">
        <v>55</v>
      </c>
      <c r="P170" s="518">
        <f t="shared" si="20"/>
        <v>4</v>
      </c>
      <c r="Q170" s="520">
        <f t="shared" si="0"/>
        <v>8</v>
      </c>
      <c r="R170" s="320"/>
      <c r="AB170" s="327"/>
      <c r="AC170" s="327"/>
    </row>
    <row r="171" spans="1:29" ht="19.5" customHeight="1" x14ac:dyDescent="0.25">
      <c r="A171" s="828" t="s">
        <v>56</v>
      </c>
      <c r="B171" s="829"/>
      <c r="C171" s="829"/>
      <c r="D171" s="547"/>
      <c r="E171" s="548"/>
      <c r="F171" s="586" t="s">
        <v>57</v>
      </c>
      <c r="G171" s="518">
        <f t="shared" si="22"/>
        <v>0</v>
      </c>
      <c r="J171" s="828" t="s">
        <v>56</v>
      </c>
      <c r="K171" s="829"/>
      <c r="L171" s="829"/>
      <c r="M171" s="547"/>
      <c r="N171" s="548"/>
      <c r="O171" s="586" t="s">
        <v>57</v>
      </c>
      <c r="P171" s="518">
        <f t="shared" si="20"/>
        <v>0</v>
      </c>
      <c r="Q171" s="520">
        <f t="shared" si="0"/>
        <v>0</v>
      </c>
      <c r="R171" s="320"/>
      <c r="AB171" s="327"/>
      <c r="AC171" s="327"/>
    </row>
    <row r="172" spans="1:29" ht="19.5" customHeight="1" x14ac:dyDescent="0.25">
      <c r="A172" s="828" t="s">
        <v>119</v>
      </c>
      <c r="B172" s="829"/>
      <c r="C172" s="829"/>
      <c r="D172" s="547"/>
      <c r="E172" s="548"/>
      <c r="F172" s="587" t="s">
        <v>120</v>
      </c>
      <c r="G172" s="518">
        <f t="shared" si="22"/>
        <v>0</v>
      </c>
      <c r="J172" s="828" t="s">
        <v>119</v>
      </c>
      <c r="K172" s="829"/>
      <c r="L172" s="829"/>
      <c r="M172" s="547"/>
      <c r="N172" s="548"/>
      <c r="O172" s="587" t="s">
        <v>120</v>
      </c>
      <c r="P172" s="518">
        <f t="shared" si="20"/>
        <v>0</v>
      </c>
      <c r="Q172" s="520">
        <f t="shared" si="0"/>
        <v>0</v>
      </c>
      <c r="R172" s="320"/>
      <c r="AB172" s="327"/>
      <c r="AC172" s="327"/>
    </row>
    <row r="173" spans="1:29" ht="19.5" customHeight="1" x14ac:dyDescent="0.25">
      <c r="A173" s="828" t="s">
        <v>58</v>
      </c>
      <c r="B173" s="829"/>
      <c r="C173" s="829"/>
      <c r="D173" s="515"/>
      <c r="E173" s="516"/>
      <c r="F173" s="588" t="s">
        <v>59</v>
      </c>
      <c r="G173" s="518">
        <f t="shared" si="22"/>
        <v>0</v>
      </c>
      <c r="J173" s="828" t="s">
        <v>58</v>
      </c>
      <c r="K173" s="829"/>
      <c r="L173" s="829"/>
      <c r="M173" s="515"/>
      <c r="N173" s="516"/>
      <c r="O173" s="588" t="s">
        <v>59</v>
      </c>
      <c r="P173" s="518">
        <f t="shared" si="20"/>
        <v>0</v>
      </c>
      <c r="Q173" s="520">
        <f t="shared" si="0"/>
        <v>0</v>
      </c>
      <c r="R173" s="320"/>
      <c r="AB173" s="327"/>
      <c r="AC173" s="327"/>
    </row>
    <row r="174" spans="1:29" ht="19.5" customHeight="1" x14ac:dyDescent="0.25">
      <c r="A174" s="828" t="s">
        <v>159</v>
      </c>
      <c r="B174" s="829"/>
      <c r="C174" s="829"/>
      <c r="D174" s="515"/>
      <c r="E174" s="548"/>
      <c r="F174" s="589" t="s">
        <v>158</v>
      </c>
      <c r="G174" s="518">
        <f t="shared" si="22"/>
        <v>0</v>
      </c>
      <c r="J174" s="828" t="s">
        <v>159</v>
      </c>
      <c r="K174" s="829"/>
      <c r="L174" s="829"/>
      <c r="M174" s="515"/>
      <c r="N174" s="548"/>
      <c r="O174" s="589" t="s">
        <v>158</v>
      </c>
      <c r="P174" s="518">
        <f t="shared" si="20"/>
        <v>0</v>
      </c>
      <c r="Q174" s="520">
        <f t="shared" si="0"/>
        <v>0</v>
      </c>
      <c r="R174" s="320"/>
      <c r="AB174" s="327"/>
      <c r="AC174" s="327"/>
    </row>
    <row r="175" spans="1:29" ht="19.5" customHeight="1" x14ac:dyDescent="0.25">
      <c r="A175" s="828" t="s">
        <v>60</v>
      </c>
      <c r="B175" s="829"/>
      <c r="C175" s="829"/>
      <c r="D175" s="515"/>
      <c r="E175" s="516"/>
      <c r="F175" s="590" t="s">
        <v>61</v>
      </c>
      <c r="G175" s="518">
        <f t="shared" si="22"/>
        <v>0</v>
      </c>
      <c r="J175" s="828" t="s">
        <v>60</v>
      </c>
      <c r="K175" s="829"/>
      <c r="L175" s="829"/>
      <c r="M175" s="515"/>
      <c r="N175" s="516"/>
      <c r="O175" s="590" t="s">
        <v>61</v>
      </c>
      <c r="P175" s="518">
        <f t="shared" si="20"/>
        <v>0</v>
      </c>
      <c r="Q175" s="520">
        <f t="shared" si="0"/>
        <v>0</v>
      </c>
      <c r="R175" s="320"/>
      <c r="AB175" s="327"/>
      <c r="AC175" s="327"/>
    </row>
    <row r="176" spans="1:29" ht="19.5" customHeight="1" x14ac:dyDescent="0.25">
      <c r="A176" s="828" t="s">
        <v>62</v>
      </c>
      <c r="B176" s="829"/>
      <c r="C176" s="829"/>
      <c r="D176" s="515"/>
      <c r="E176" s="516"/>
      <c r="F176" s="591" t="s">
        <v>63</v>
      </c>
      <c r="G176" s="518">
        <f t="shared" si="22"/>
        <v>0</v>
      </c>
      <c r="J176" s="828" t="s">
        <v>62</v>
      </c>
      <c r="K176" s="829"/>
      <c r="L176" s="829"/>
      <c r="M176" s="515"/>
      <c r="N176" s="516"/>
      <c r="O176" s="591" t="s">
        <v>63</v>
      </c>
      <c r="P176" s="518">
        <f t="shared" si="20"/>
        <v>0</v>
      </c>
      <c r="Q176" s="520">
        <f t="shared" si="0"/>
        <v>0</v>
      </c>
      <c r="R176" s="320"/>
      <c r="AB176" s="327"/>
      <c r="AC176" s="327"/>
    </row>
    <row r="177" spans="1:29" ht="19.5" customHeight="1" x14ac:dyDescent="0.25">
      <c r="A177" s="828" t="s">
        <v>64</v>
      </c>
      <c r="B177" s="829"/>
      <c r="C177" s="829"/>
      <c r="D177" s="515"/>
      <c r="E177" s="516"/>
      <c r="F177" s="592" t="s">
        <v>65</v>
      </c>
      <c r="G177" s="518">
        <f t="shared" si="22"/>
        <v>0</v>
      </c>
      <c r="J177" s="828" t="s">
        <v>64</v>
      </c>
      <c r="K177" s="829"/>
      <c r="L177" s="829"/>
      <c r="M177" s="515"/>
      <c r="N177" s="516"/>
      <c r="O177" s="592" t="s">
        <v>65</v>
      </c>
      <c r="P177" s="518">
        <f t="shared" si="20"/>
        <v>0</v>
      </c>
      <c r="Q177" s="520">
        <f t="shared" si="0"/>
        <v>0</v>
      </c>
      <c r="R177" s="320"/>
      <c r="AB177" s="327"/>
      <c r="AC177" s="327"/>
    </row>
    <row r="178" spans="1:29" ht="19.5" customHeight="1" x14ac:dyDescent="0.25">
      <c r="A178" s="828" t="s">
        <v>99</v>
      </c>
      <c r="B178" s="829"/>
      <c r="C178" s="829"/>
      <c r="D178" s="515"/>
      <c r="E178" s="516"/>
      <c r="F178" s="592" t="s">
        <v>66</v>
      </c>
      <c r="G178" s="518">
        <f t="shared" si="22"/>
        <v>0</v>
      </c>
      <c r="J178" s="828" t="s">
        <v>99</v>
      </c>
      <c r="K178" s="829"/>
      <c r="L178" s="829"/>
      <c r="M178" s="515"/>
      <c r="N178" s="516"/>
      <c r="O178" s="592" t="s">
        <v>66</v>
      </c>
      <c r="P178" s="518">
        <f t="shared" si="20"/>
        <v>0</v>
      </c>
      <c r="Q178" s="520">
        <f t="shared" si="0"/>
        <v>0</v>
      </c>
      <c r="R178" s="320"/>
      <c r="AB178" s="327"/>
      <c r="AC178" s="327"/>
    </row>
    <row r="179" spans="1:29" ht="19.5" customHeight="1" x14ac:dyDescent="0.25">
      <c r="A179" s="828" t="s">
        <v>100</v>
      </c>
      <c r="B179" s="829"/>
      <c r="C179" s="829"/>
      <c r="D179" s="515"/>
      <c r="E179" s="516"/>
      <c r="F179" s="592" t="s">
        <v>67</v>
      </c>
      <c r="G179" s="518">
        <f t="shared" si="22"/>
        <v>0</v>
      </c>
      <c r="J179" s="828" t="s">
        <v>100</v>
      </c>
      <c r="K179" s="829"/>
      <c r="L179" s="829"/>
      <c r="M179" s="515"/>
      <c r="N179" s="516"/>
      <c r="O179" s="592" t="s">
        <v>67</v>
      </c>
      <c r="P179" s="518">
        <f t="shared" si="20"/>
        <v>0</v>
      </c>
      <c r="Q179" s="520">
        <f t="shared" si="0"/>
        <v>0</v>
      </c>
      <c r="R179" s="320"/>
      <c r="AB179" s="327"/>
      <c r="AC179" s="327"/>
    </row>
    <row r="180" spans="1:29" ht="19.5" customHeight="1" x14ac:dyDescent="0.25">
      <c r="A180" s="828" t="s">
        <v>1</v>
      </c>
      <c r="B180" s="829"/>
      <c r="C180" s="829"/>
      <c r="D180" s="515"/>
      <c r="E180" s="516"/>
      <c r="F180" s="593" t="s">
        <v>0</v>
      </c>
      <c r="G180" s="518">
        <f t="shared" si="22"/>
        <v>0</v>
      </c>
      <c r="J180" s="828" t="s">
        <v>1</v>
      </c>
      <c r="K180" s="829"/>
      <c r="L180" s="829"/>
      <c r="M180" s="515"/>
      <c r="N180" s="516"/>
      <c r="O180" s="593" t="s">
        <v>0</v>
      </c>
      <c r="P180" s="518">
        <f t="shared" si="20"/>
        <v>0</v>
      </c>
      <c r="Q180" s="520">
        <f t="shared" si="0"/>
        <v>0</v>
      </c>
      <c r="R180" s="320"/>
      <c r="AB180" s="327"/>
      <c r="AC180" s="327"/>
    </row>
    <row r="181" spans="1:29" ht="19.5" customHeight="1" x14ac:dyDescent="0.25">
      <c r="A181" s="828" t="s">
        <v>68</v>
      </c>
      <c r="B181" s="829"/>
      <c r="C181" s="829"/>
      <c r="D181" s="515"/>
      <c r="E181" s="516"/>
      <c r="F181" s="532" t="s">
        <v>69</v>
      </c>
      <c r="G181" s="518">
        <f t="shared" si="22"/>
        <v>0</v>
      </c>
      <c r="J181" s="828" t="s">
        <v>68</v>
      </c>
      <c r="K181" s="829"/>
      <c r="L181" s="829"/>
      <c r="M181" s="515"/>
      <c r="N181" s="516"/>
      <c r="O181" s="532" t="s">
        <v>69</v>
      </c>
      <c r="P181" s="518">
        <f t="shared" si="20"/>
        <v>0</v>
      </c>
      <c r="Q181" s="520">
        <f t="shared" si="0"/>
        <v>0</v>
      </c>
      <c r="R181" s="320"/>
      <c r="AB181" s="327"/>
      <c r="AC181" s="327"/>
    </row>
    <row r="182" spans="1:29" ht="19.5" customHeight="1" x14ac:dyDescent="0.25">
      <c r="A182" s="513" t="s">
        <v>105</v>
      </c>
      <c r="B182" s="514"/>
      <c r="C182" s="514"/>
      <c r="D182" s="515"/>
      <c r="E182" s="548"/>
      <c r="F182" s="594" t="s">
        <v>106</v>
      </c>
      <c r="G182" s="518">
        <f t="shared" si="22"/>
        <v>0</v>
      </c>
      <c r="J182" s="513" t="s">
        <v>105</v>
      </c>
      <c r="K182" s="514"/>
      <c r="L182" s="514"/>
      <c r="M182" s="515"/>
      <c r="N182" s="548"/>
      <c r="O182" s="594" t="s">
        <v>106</v>
      </c>
      <c r="P182" s="518">
        <f t="shared" si="20"/>
        <v>0</v>
      </c>
      <c r="Q182" s="520">
        <f t="shared" si="0"/>
        <v>0</v>
      </c>
      <c r="R182" s="320"/>
      <c r="AB182" s="327"/>
      <c r="AC182" s="327"/>
    </row>
    <row r="183" spans="1:29" ht="19.5" customHeight="1" x14ac:dyDescent="0.25">
      <c r="A183" s="828" t="s">
        <v>123</v>
      </c>
      <c r="B183" s="829"/>
      <c r="C183" s="829"/>
      <c r="D183" s="515"/>
      <c r="E183" s="516"/>
      <c r="F183" s="595" t="s">
        <v>124</v>
      </c>
      <c r="G183" s="518">
        <f t="shared" si="22"/>
        <v>0</v>
      </c>
      <c r="J183" s="828" t="s">
        <v>123</v>
      </c>
      <c r="K183" s="829"/>
      <c r="L183" s="829"/>
      <c r="M183" s="515"/>
      <c r="N183" s="516"/>
      <c r="O183" s="595" t="s">
        <v>124</v>
      </c>
      <c r="P183" s="518">
        <f t="shared" si="20"/>
        <v>0</v>
      </c>
      <c r="Q183" s="520">
        <f t="shared" si="0"/>
        <v>0</v>
      </c>
      <c r="R183" s="320"/>
      <c r="AB183" s="327"/>
      <c r="AC183" s="327"/>
    </row>
    <row r="184" spans="1:29" ht="19.5" customHeight="1" x14ac:dyDescent="0.25">
      <c r="A184" s="513" t="s">
        <v>103</v>
      </c>
      <c r="B184" s="514"/>
      <c r="C184" s="514"/>
      <c r="D184" s="515"/>
      <c r="E184" s="548"/>
      <c r="F184" s="596" t="s">
        <v>104</v>
      </c>
      <c r="G184" s="518">
        <f t="shared" si="22"/>
        <v>0</v>
      </c>
      <c r="J184" s="513" t="s">
        <v>103</v>
      </c>
      <c r="K184" s="514"/>
      <c r="L184" s="514"/>
      <c r="M184" s="515"/>
      <c r="N184" s="548"/>
      <c r="O184" s="596" t="s">
        <v>104</v>
      </c>
      <c r="P184" s="518">
        <f t="shared" si="20"/>
        <v>6</v>
      </c>
      <c r="Q184" s="520">
        <f t="shared" si="0"/>
        <v>6</v>
      </c>
      <c r="R184" s="320"/>
      <c r="AB184" s="327"/>
      <c r="AC184" s="327"/>
    </row>
    <row r="185" spans="1:29" ht="19.5" customHeight="1" x14ac:dyDescent="0.25">
      <c r="A185" s="828" t="s">
        <v>70</v>
      </c>
      <c r="B185" s="829"/>
      <c r="C185" s="829"/>
      <c r="D185" s="547"/>
      <c r="E185" s="548"/>
      <c r="F185" s="597" t="s">
        <v>71</v>
      </c>
      <c r="G185" s="518">
        <f t="shared" si="22"/>
        <v>0</v>
      </c>
      <c r="J185" s="828" t="s">
        <v>70</v>
      </c>
      <c r="K185" s="829"/>
      <c r="L185" s="829"/>
      <c r="M185" s="547"/>
      <c r="N185" s="548"/>
      <c r="O185" s="597" t="s">
        <v>71</v>
      </c>
      <c r="P185" s="518">
        <f t="shared" si="20"/>
        <v>0</v>
      </c>
      <c r="Q185" s="520">
        <f t="shared" si="0"/>
        <v>0</v>
      </c>
      <c r="R185" s="320"/>
      <c r="AB185" s="327"/>
      <c r="AC185" s="327"/>
    </row>
    <row r="186" spans="1:29" ht="19.5" customHeight="1" x14ac:dyDescent="0.25">
      <c r="A186" s="828" t="s">
        <v>72</v>
      </c>
      <c r="B186" s="829"/>
      <c r="C186" s="829"/>
      <c r="D186" s="547"/>
      <c r="E186" s="548"/>
      <c r="F186" s="598" t="s">
        <v>73</v>
      </c>
      <c r="G186" s="518">
        <f t="shared" si="22"/>
        <v>0</v>
      </c>
      <c r="J186" s="828" t="s">
        <v>72</v>
      </c>
      <c r="K186" s="829"/>
      <c r="L186" s="829"/>
      <c r="M186" s="547"/>
      <c r="N186" s="548"/>
      <c r="O186" s="598" t="s">
        <v>73</v>
      </c>
      <c r="P186" s="518">
        <f t="shared" si="20"/>
        <v>0</v>
      </c>
      <c r="Q186" s="520">
        <f t="shared" si="0"/>
        <v>0</v>
      </c>
      <c r="R186" s="320"/>
      <c r="AB186" s="327"/>
      <c r="AC186" s="327"/>
    </row>
    <row r="187" spans="1:29" ht="19.5" customHeight="1" x14ac:dyDescent="0.25">
      <c r="A187" s="828" t="s">
        <v>74</v>
      </c>
      <c r="B187" s="829"/>
      <c r="C187" s="829"/>
      <c r="D187" s="547"/>
      <c r="E187" s="548"/>
      <c r="F187" s="599" t="s">
        <v>75</v>
      </c>
      <c r="G187" s="518">
        <f t="shared" si="22"/>
        <v>0</v>
      </c>
      <c r="J187" s="828" t="s">
        <v>74</v>
      </c>
      <c r="K187" s="829"/>
      <c r="L187" s="829"/>
      <c r="M187" s="547"/>
      <c r="N187" s="548"/>
      <c r="O187" s="599" t="s">
        <v>75</v>
      </c>
      <c r="P187" s="518">
        <f t="shared" si="20"/>
        <v>0</v>
      </c>
      <c r="Q187" s="520">
        <f t="shared" si="0"/>
        <v>0</v>
      </c>
      <c r="R187" s="320"/>
      <c r="AB187" s="327"/>
      <c r="AC187" s="327"/>
    </row>
    <row r="188" spans="1:29" ht="19.5" customHeight="1" x14ac:dyDescent="0.25">
      <c r="A188" s="828" t="s">
        <v>138</v>
      </c>
      <c r="B188" s="829"/>
      <c r="C188" s="829"/>
      <c r="D188" s="547"/>
      <c r="E188" s="548"/>
      <c r="F188" s="600" t="s">
        <v>126</v>
      </c>
      <c r="G188" s="518">
        <f t="shared" si="22"/>
        <v>0</v>
      </c>
      <c r="J188" s="828" t="s">
        <v>138</v>
      </c>
      <c r="K188" s="829"/>
      <c r="L188" s="829"/>
      <c r="M188" s="547"/>
      <c r="N188" s="548"/>
      <c r="O188" s="600" t="s">
        <v>126</v>
      </c>
      <c r="P188" s="518">
        <f t="shared" si="20"/>
        <v>0</v>
      </c>
      <c r="Q188" s="520">
        <f t="shared" si="0"/>
        <v>0</v>
      </c>
      <c r="R188" s="320"/>
      <c r="AB188" s="327"/>
      <c r="AC188" s="327"/>
    </row>
    <row r="189" spans="1:29" ht="19.5" customHeight="1" x14ac:dyDescent="0.25">
      <c r="A189" s="823" t="s">
        <v>275</v>
      </c>
      <c r="B189" s="824"/>
      <c r="C189" s="825"/>
      <c r="D189" s="601"/>
      <c r="E189" s="516"/>
      <c r="F189" s="336"/>
      <c r="G189" s="520">
        <f>SUM(G102:G188)</f>
        <v>29</v>
      </c>
      <c r="J189" s="823" t="s">
        <v>275</v>
      </c>
      <c r="K189" s="824"/>
      <c r="L189" s="824"/>
      <c r="M189" s="601"/>
      <c r="N189" s="516"/>
      <c r="O189" s="602"/>
      <c r="P189" s="520">
        <f>SUM(P102:P188)</f>
        <v>43</v>
      </c>
      <c r="Q189" s="520">
        <f>SUM(Q102:Q188)</f>
        <v>72</v>
      </c>
      <c r="R189" s="320"/>
      <c r="AB189" s="327"/>
      <c r="AC189" s="327"/>
    </row>
    <row r="190" spans="1:29" ht="19.5" customHeight="1" x14ac:dyDescent="0.25">
      <c r="R190" s="320"/>
      <c r="AB190" s="327"/>
      <c r="AC190" s="327"/>
    </row>
    <row r="191" spans="1:29" ht="19.5" customHeight="1" x14ac:dyDescent="0.25">
      <c r="A191" s="826" t="s">
        <v>298</v>
      </c>
      <c r="B191" s="826"/>
      <c r="C191" s="826"/>
      <c r="D191" s="826"/>
      <c r="E191" s="826"/>
      <c r="F191" s="826"/>
      <c r="G191" s="826"/>
      <c r="H191" s="826"/>
      <c r="I191" s="826"/>
      <c r="J191" s="826"/>
      <c r="K191" s="826"/>
      <c r="L191" s="826"/>
      <c r="M191" s="826"/>
      <c r="N191" s="826"/>
      <c r="O191" s="826"/>
      <c r="P191" s="826"/>
      <c r="Q191" s="826"/>
      <c r="R191" s="320"/>
      <c r="AB191" s="327"/>
      <c r="AC191" s="327"/>
    </row>
    <row r="192" spans="1:29" ht="19.5" customHeight="1" x14ac:dyDescent="0.25">
      <c r="A192" s="826"/>
      <c r="B192" s="826"/>
      <c r="C192" s="826"/>
      <c r="D192" s="826"/>
      <c r="E192" s="826"/>
      <c r="F192" s="826"/>
      <c r="G192" s="826"/>
      <c r="H192" s="826"/>
      <c r="I192" s="826"/>
      <c r="J192" s="826"/>
      <c r="K192" s="826"/>
      <c r="L192" s="826"/>
      <c r="M192" s="826"/>
      <c r="N192" s="826"/>
      <c r="O192" s="826"/>
      <c r="P192" s="826"/>
      <c r="Q192" s="826"/>
      <c r="R192" s="320"/>
      <c r="AB192" s="327"/>
      <c r="AC192" s="327"/>
    </row>
    <row r="193" spans="1:29" ht="19.5" customHeight="1" x14ac:dyDescent="0.25">
      <c r="R193" s="320"/>
      <c r="AB193" s="327"/>
      <c r="AC193" s="327"/>
    </row>
    <row r="194" spans="1:29" ht="19.5" customHeight="1" x14ac:dyDescent="0.25">
      <c r="R194" s="320"/>
      <c r="AB194" s="327"/>
      <c r="AC194" s="327"/>
    </row>
    <row r="195" spans="1:29" ht="19.5" customHeight="1" x14ac:dyDescent="0.25">
      <c r="A195" s="827" t="s">
        <v>299</v>
      </c>
      <c r="B195" s="827"/>
      <c r="C195" s="827"/>
      <c r="D195" s="827"/>
      <c r="E195" s="827"/>
      <c r="F195" s="827"/>
      <c r="G195" s="827"/>
      <c r="H195" s="827"/>
      <c r="I195" s="827"/>
      <c r="J195" s="827"/>
      <c r="K195" s="827"/>
      <c r="L195" s="827"/>
      <c r="M195" s="827"/>
      <c r="N195" s="827"/>
      <c r="O195" s="827"/>
      <c r="P195" s="827"/>
      <c r="Q195" s="827"/>
      <c r="R195" s="320"/>
      <c r="AB195" s="327"/>
      <c r="AC195" s="327"/>
    </row>
    <row r="196" spans="1:29" ht="19.5" customHeight="1" x14ac:dyDescent="0.25">
      <c r="A196" s="827"/>
      <c r="B196" s="827"/>
      <c r="C196" s="827"/>
      <c r="D196" s="827"/>
      <c r="E196" s="827"/>
      <c r="F196" s="827"/>
      <c r="G196" s="827"/>
      <c r="H196" s="827"/>
      <c r="I196" s="827"/>
      <c r="J196" s="827"/>
      <c r="K196" s="827"/>
      <c r="L196" s="827"/>
      <c r="M196" s="827"/>
      <c r="N196" s="827"/>
      <c r="O196" s="827"/>
      <c r="P196" s="827"/>
      <c r="Q196" s="827"/>
      <c r="R196" s="320"/>
      <c r="AB196" s="327"/>
      <c r="AC196" s="327"/>
    </row>
    <row r="197" spans="1:29" ht="19.5" customHeight="1" x14ac:dyDescent="0.25">
      <c r="Q197" s="320"/>
      <c r="R197" s="320"/>
      <c r="AB197" s="327"/>
      <c r="AC197" s="327"/>
    </row>
    <row r="198" spans="1:29" ht="19.5" customHeight="1" x14ac:dyDescent="0.25">
      <c r="R198" s="320"/>
      <c r="AB198" s="327"/>
      <c r="AC198" s="327"/>
    </row>
    <row r="199" spans="1:29" ht="19.5" customHeight="1" thickBot="1" x14ac:dyDescent="0.3">
      <c r="R199" s="320"/>
      <c r="AB199" s="327"/>
      <c r="AC199" s="327"/>
    </row>
    <row r="200" spans="1:29" ht="19.5" customHeight="1" thickBot="1" x14ac:dyDescent="0.4">
      <c r="A200" s="797" t="s">
        <v>300</v>
      </c>
      <c r="B200" s="798"/>
      <c r="C200" s="798"/>
      <c r="D200" s="798"/>
      <c r="E200" s="799"/>
      <c r="F200" s="800">
        <f>SUM(F202,F204)</f>
        <v>98</v>
      </c>
      <c r="G200" s="801"/>
      <c r="J200" s="797" t="s">
        <v>301</v>
      </c>
      <c r="K200" s="798"/>
      <c r="L200" s="798"/>
      <c r="M200" s="798"/>
      <c r="N200" s="799"/>
      <c r="O200" s="800">
        <f>SUM(O202,O204)</f>
        <v>375</v>
      </c>
      <c r="P200" s="801"/>
      <c r="R200" s="320"/>
      <c r="AB200" s="327"/>
      <c r="AC200" s="327"/>
    </row>
    <row r="201" spans="1:29" ht="19.5" customHeight="1" thickBot="1" x14ac:dyDescent="0.4">
      <c r="A201" s="339"/>
      <c r="B201" s="339"/>
      <c r="C201" s="339"/>
      <c r="D201" s="339"/>
      <c r="E201" s="339"/>
      <c r="F201" s="340"/>
      <c r="G201" s="340"/>
      <c r="J201" s="339"/>
      <c r="K201" s="339"/>
      <c r="L201" s="339"/>
      <c r="M201" s="339"/>
      <c r="N201" s="339"/>
      <c r="O201" s="340"/>
      <c r="P201" s="340"/>
      <c r="R201" s="320"/>
      <c r="AB201" s="327"/>
      <c r="AC201" s="327"/>
    </row>
    <row r="202" spans="1:29" ht="19.5" customHeight="1" thickBot="1" x14ac:dyDescent="0.4">
      <c r="A202" s="797" t="s">
        <v>302</v>
      </c>
      <c r="B202" s="798"/>
      <c r="C202" s="798"/>
      <c r="D202" s="798"/>
      <c r="E202" s="799"/>
      <c r="F202" s="800">
        <f>SUM(D210:D233)</f>
        <v>46</v>
      </c>
      <c r="G202" s="801"/>
      <c r="J202" s="797" t="s">
        <v>303</v>
      </c>
      <c r="K202" s="798"/>
      <c r="L202" s="798"/>
      <c r="M202" s="798"/>
      <c r="N202" s="799"/>
      <c r="O202" s="800">
        <f>SUM(M210:M233)</f>
        <v>107</v>
      </c>
      <c r="P202" s="801"/>
      <c r="R202" s="320"/>
      <c r="AB202" s="327"/>
      <c r="AC202" s="327"/>
    </row>
    <row r="203" spans="1:29" ht="19.5" customHeight="1" thickBot="1" x14ac:dyDescent="0.4">
      <c r="A203" s="339"/>
      <c r="B203" s="339"/>
      <c r="C203" s="339"/>
      <c r="D203" s="339"/>
      <c r="E203" s="339"/>
      <c r="F203" s="340"/>
      <c r="G203" s="340"/>
      <c r="J203" s="339"/>
      <c r="K203" s="339"/>
      <c r="L203" s="339"/>
      <c r="M203" s="339"/>
      <c r="N203" s="339"/>
      <c r="O203" s="340"/>
      <c r="P203" s="340"/>
      <c r="R203" s="320"/>
      <c r="AB203" s="327"/>
      <c r="AC203" s="327"/>
    </row>
    <row r="204" spans="1:29" ht="19.5" customHeight="1" thickBot="1" x14ac:dyDescent="0.4">
      <c r="A204" s="797" t="s">
        <v>304</v>
      </c>
      <c r="B204" s="798"/>
      <c r="C204" s="798"/>
      <c r="D204" s="798"/>
      <c r="E204" s="799"/>
      <c r="F204" s="800">
        <f>SUM(D235:D306)</f>
        <v>52</v>
      </c>
      <c r="G204" s="801"/>
      <c r="J204" s="797" t="s">
        <v>305</v>
      </c>
      <c r="K204" s="798"/>
      <c r="L204" s="798"/>
      <c r="M204" s="798"/>
      <c r="N204" s="799"/>
      <c r="O204" s="800">
        <f>SUM(M235:M306)</f>
        <v>268</v>
      </c>
      <c r="P204" s="801"/>
      <c r="R204" s="320"/>
    </row>
    <row r="205" spans="1:29" ht="19.5" customHeight="1" x14ac:dyDescent="0.25">
      <c r="A205" s="320"/>
      <c r="B205" s="320"/>
      <c r="C205" s="320"/>
      <c r="D205" s="320"/>
      <c r="E205" s="320"/>
      <c r="F205" s="320"/>
      <c r="G205" s="320"/>
      <c r="I205" s="320"/>
      <c r="J205" s="320"/>
      <c r="K205" s="320"/>
      <c r="L205" s="320"/>
      <c r="M205" s="324"/>
      <c r="N205" s="320"/>
      <c r="O205" s="320"/>
      <c r="P205" s="320"/>
      <c r="Q205" s="320"/>
      <c r="R205" s="320"/>
    </row>
    <row r="206" spans="1:29" ht="19.5" customHeight="1" thickBot="1" x14ac:dyDescent="0.4">
      <c r="A206" s="339"/>
      <c r="B206" s="339"/>
      <c r="C206" s="339"/>
      <c r="D206" s="339"/>
      <c r="E206" s="339"/>
      <c r="F206" s="340"/>
      <c r="G206" s="340"/>
      <c r="J206" s="339"/>
      <c r="K206" s="339"/>
      <c r="L206" s="339"/>
      <c r="M206" s="339"/>
      <c r="N206" s="339"/>
      <c r="O206" s="340"/>
      <c r="P206" s="340"/>
      <c r="R206" s="320"/>
    </row>
    <row r="207" spans="1:29" ht="19.5" customHeight="1" thickTop="1" thickBot="1" x14ac:dyDescent="0.3">
      <c r="O207" s="320"/>
      <c r="P207" s="814" t="s">
        <v>306</v>
      </c>
      <c r="Q207" s="815"/>
      <c r="R207" s="320"/>
    </row>
    <row r="208" spans="1:29" ht="19.5" customHeight="1" thickTop="1" thickBot="1" x14ac:dyDescent="0.35">
      <c r="A208" s="816" t="s">
        <v>307</v>
      </c>
      <c r="B208" s="817"/>
      <c r="C208" s="817"/>
      <c r="D208" s="341" t="s">
        <v>308</v>
      </c>
      <c r="E208" s="818" t="s">
        <v>275</v>
      </c>
      <c r="F208" s="819"/>
      <c r="J208" s="816" t="s">
        <v>307</v>
      </c>
      <c r="K208" s="817"/>
      <c r="L208" s="817"/>
      <c r="M208" s="341" t="s">
        <v>308</v>
      </c>
      <c r="N208" s="818" t="s">
        <v>275</v>
      </c>
      <c r="O208" s="819"/>
      <c r="P208" s="342" t="s">
        <v>308</v>
      </c>
      <c r="Q208" s="343" t="s">
        <v>309</v>
      </c>
    </row>
    <row r="209" spans="1:17" ht="19.5" customHeight="1" thickBot="1" x14ac:dyDescent="0.3">
      <c r="A209" s="820" t="s">
        <v>310</v>
      </c>
      <c r="B209" s="820"/>
      <c r="C209" s="821"/>
      <c r="D209" s="820"/>
      <c r="E209" s="800">
        <f>SUM(D210:D233)</f>
        <v>46</v>
      </c>
      <c r="F209" s="801"/>
      <c r="J209" s="820" t="s">
        <v>310</v>
      </c>
      <c r="K209" s="820"/>
      <c r="L209" s="822"/>
      <c r="M209" s="820"/>
      <c r="N209" s="800">
        <f>SUM(M210:M233)</f>
        <v>107</v>
      </c>
      <c r="O209" s="801"/>
      <c r="P209" s="810" t="s">
        <v>146</v>
      </c>
      <c r="Q209" s="811"/>
    </row>
    <row r="210" spans="1:17" ht="19.5" customHeight="1" x14ac:dyDescent="0.25">
      <c r="A210" s="812" t="s">
        <v>311</v>
      </c>
      <c r="B210" s="813"/>
      <c r="C210" s="288" t="s">
        <v>220</v>
      </c>
      <c r="D210" s="518">
        <f t="shared" ref="D210:D233" si="24">COUNTIF($A$4:$AJ$76,C210)</f>
        <v>15</v>
      </c>
      <c r="J210" s="812" t="s">
        <v>311</v>
      </c>
      <c r="K210" s="813"/>
      <c r="L210" s="288" t="s">
        <v>220</v>
      </c>
      <c r="M210" s="518">
        <f t="shared" ref="M210:M233" si="25">COUNTIF($AN$6:$DC$76,L210)</f>
        <v>22</v>
      </c>
      <c r="N210" s="320"/>
      <c r="O210" s="320"/>
      <c r="P210" s="603">
        <f>D210+M210</f>
        <v>37</v>
      </c>
      <c r="Q210" s="604" t="str">
        <f>IFERROR(P210/$J$4,"")</f>
        <v/>
      </c>
    </row>
    <row r="211" spans="1:17" ht="19.5" customHeight="1" x14ac:dyDescent="0.25">
      <c r="A211" s="802" t="s">
        <v>219</v>
      </c>
      <c r="B211" s="803"/>
      <c r="C211" s="605" t="s">
        <v>219</v>
      </c>
      <c r="D211" s="606">
        <f t="shared" si="24"/>
        <v>29</v>
      </c>
      <c r="J211" s="802" t="s">
        <v>219</v>
      </c>
      <c r="K211" s="803"/>
      <c r="L211" s="605" t="s">
        <v>219</v>
      </c>
      <c r="M211" s="606">
        <f t="shared" si="25"/>
        <v>45</v>
      </c>
      <c r="N211" s="320"/>
      <c r="O211" s="320"/>
      <c r="P211" s="603">
        <f t="shared" ref="P211:P233" si="26">D211+M211</f>
        <v>74</v>
      </c>
      <c r="Q211" s="604" t="str">
        <f t="shared" ref="Q211:Q278" si="27">IFERROR(P211/$J$4,"")</f>
        <v/>
      </c>
    </row>
    <row r="212" spans="1:17" ht="19.5" customHeight="1" x14ac:dyDescent="0.25">
      <c r="A212" s="802" t="s">
        <v>312</v>
      </c>
      <c r="B212" s="803" t="s">
        <v>312</v>
      </c>
      <c r="C212" s="344" t="s">
        <v>313</v>
      </c>
      <c r="D212" s="606">
        <f t="shared" si="24"/>
        <v>0</v>
      </c>
      <c r="J212" s="802" t="s">
        <v>312</v>
      </c>
      <c r="K212" s="803" t="s">
        <v>312</v>
      </c>
      <c r="L212" s="344" t="s">
        <v>313</v>
      </c>
      <c r="M212" s="606">
        <f t="shared" si="25"/>
        <v>0</v>
      </c>
      <c r="N212" s="320"/>
      <c r="O212" s="320"/>
      <c r="P212" s="603">
        <f t="shared" si="26"/>
        <v>0</v>
      </c>
      <c r="Q212" s="604" t="str">
        <f t="shared" si="27"/>
        <v/>
      </c>
    </row>
    <row r="213" spans="1:17" ht="19.5" customHeight="1" x14ac:dyDescent="0.25">
      <c r="A213" s="802" t="s">
        <v>314</v>
      </c>
      <c r="B213" s="803" t="s">
        <v>314</v>
      </c>
      <c r="C213" s="607" t="s">
        <v>234</v>
      </c>
      <c r="D213" s="606">
        <f t="shared" si="24"/>
        <v>2</v>
      </c>
      <c r="J213" s="802" t="s">
        <v>314</v>
      </c>
      <c r="K213" s="803" t="s">
        <v>314</v>
      </c>
      <c r="L213" s="607" t="s">
        <v>234</v>
      </c>
      <c r="M213" s="606">
        <f t="shared" si="25"/>
        <v>8</v>
      </c>
      <c r="N213" s="320"/>
      <c r="O213" s="320"/>
      <c r="P213" s="603">
        <f t="shared" si="26"/>
        <v>10</v>
      </c>
      <c r="Q213" s="604" t="str">
        <f t="shared" si="27"/>
        <v/>
      </c>
    </row>
    <row r="214" spans="1:17" ht="19.5" customHeight="1" x14ac:dyDescent="0.25">
      <c r="A214" s="802" t="s">
        <v>315</v>
      </c>
      <c r="B214" s="803" t="s">
        <v>315</v>
      </c>
      <c r="C214" s="608" t="s">
        <v>316</v>
      </c>
      <c r="D214" s="606">
        <f t="shared" si="24"/>
        <v>0</v>
      </c>
      <c r="J214" s="802" t="s">
        <v>315</v>
      </c>
      <c r="K214" s="803" t="s">
        <v>315</v>
      </c>
      <c r="L214" s="608" t="s">
        <v>316</v>
      </c>
      <c r="M214" s="606">
        <f t="shared" si="25"/>
        <v>0</v>
      </c>
      <c r="N214" s="320"/>
      <c r="O214" s="320"/>
      <c r="P214" s="603">
        <f t="shared" si="26"/>
        <v>0</v>
      </c>
      <c r="Q214" s="604" t="str">
        <f t="shared" si="27"/>
        <v/>
      </c>
    </row>
    <row r="215" spans="1:17" ht="19.5" customHeight="1" x14ac:dyDescent="0.25">
      <c r="A215" s="802" t="s">
        <v>238</v>
      </c>
      <c r="B215" s="803" t="s">
        <v>238</v>
      </c>
      <c r="C215" s="609" t="s">
        <v>238</v>
      </c>
      <c r="D215" s="606">
        <f t="shared" si="24"/>
        <v>0</v>
      </c>
      <c r="J215" s="802" t="s">
        <v>238</v>
      </c>
      <c r="K215" s="803" t="s">
        <v>238</v>
      </c>
      <c r="L215" s="609" t="s">
        <v>238</v>
      </c>
      <c r="M215" s="606">
        <f t="shared" si="25"/>
        <v>22</v>
      </c>
      <c r="N215" s="320"/>
      <c r="O215" s="320"/>
      <c r="P215" s="603">
        <f t="shared" si="26"/>
        <v>22</v>
      </c>
      <c r="Q215" s="604" t="str">
        <f t="shared" si="27"/>
        <v/>
      </c>
    </row>
    <row r="216" spans="1:17" ht="19.5" customHeight="1" x14ac:dyDescent="0.25">
      <c r="A216" s="802" t="s">
        <v>317</v>
      </c>
      <c r="B216" s="803" t="s">
        <v>317</v>
      </c>
      <c r="C216" s="610" t="s">
        <v>317</v>
      </c>
      <c r="D216" s="606">
        <f t="shared" si="24"/>
        <v>0</v>
      </c>
      <c r="J216" s="802" t="s">
        <v>317</v>
      </c>
      <c r="K216" s="803" t="s">
        <v>317</v>
      </c>
      <c r="L216" s="610" t="s">
        <v>317</v>
      </c>
      <c r="M216" s="606">
        <f t="shared" si="25"/>
        <v>0</v>
      </c>
      <c r="N216" s="320"/>
      <c r="O216" s="320"/>
      <c r="P216" s="603">
        <f t="shared" si="26"/>
        <v>0</v>
      </c>
      <c r="Q216" s="604" t="str">
        <f t="shared" si="27"/>
        <v/>
      </c>
    </row>
    <row r="217" spans="1:17" ht="19.5" customHeight="1" x14ac:dyDescent="0.25">
      <c r="A217" s="802" t="s">
        <v>318</v>
      </c>
      <c r="B217" s="803" t="s">
        <v>318</v>
      </c>
      <c r="C217" s="611" t="s">
        <v>319</v>
      </c>
      <c r="D217" s="606">
        <f t="shared" si="24"/>
        <v>0</v>
      </c>
      <c r="J217" s="802" t="s">
        <v>318</v>
      </c>
      <c r="K217" s="803" t="s">
        <v>318</v>
      </c>
      <c r="L217" s="611" t="s">
        <v>319</v>
      </c>
      <c r="M217" s="606">
        <f t="shared" si="25"/>
        <v>0</v>
      </c>
      <c r="N217" s="320"/>
      <c r="O217" s="320"/>
      <c r="P217" s="603">
        <f t="shared" si="26"/>
        <v>0</v>
      </c>
      <c r="Q217" s="604" t="str">
        <f t="shared" si="27"/>
        <v/>
      </c>
    </row>
    <row r="218" spans="1:17" ht="19.5" customHeight="1" x14ac:dyDescent="0.25">
      <c r="A218" s="802" t="s">
        <v>320</v>
      </c>
      <c r="B218" s="803" t="s">
        <v>320</v>
      </c>
      <c r="C218" s="612" t="s">
        <v>321</v>
      </c>
      <c r="D218" s="606">
        <f t="shared" si="24"/>
        <v>0</v>
      </c>
      <c r="J218" s="802" t="s">
        <v>320</v>
      </c>
      <c r="K218" s="803" t="s">
        <v>320</v>
      </c>
      <c r="L218" s="612" t="s">
        <v>321</v>
      </c>
      <c r="M218" s="606">
        <f t="shared" si="25"/>
        <v>0</v>
      </c>
      <c r="N218" s="320"/>
      <c r="O218" s="320"/>
      <c r="P218" s="603">
        <f t="shared" si="26"/>
        <v>0</v>
      </c>
      <c r="Q218" s="604" t="str">
        <f t="shared" si="27"/>
        <v/>
      </c>
    </row>
    <row r="219" spans="1:17" ht="19.5" customHeight="1" x14ac:dyDescent="0.25">
      <c r="A219" s="802" t="s">
        <v>322</v>
      </c>
      <c r="B219" s="803" t="s">
        <v>322</v>
      </c>
      <c r="C219" s="613" t="s">
        <v>323</v>
      </c>
      <c r="D219" s="606">
        <f t="shared" si="24"/>
        <v>0</v>
      </c>
      <c r="J219" s="802" t="s">
        <v>322</v>
      </c>
      <c r="K219" s="803" t="s">
        <v>322</v>
      </c>
      <c r="L219" s="613" t="s">
        <v>323</v>
      </c>
      <c r="M219" s="606">
        <f t="shared" si="25"/>
        <v>0</v>
      </c>
      <c r="N219" s="320"/>
      <c r="O219" s="320"/>
      <c r="P219" s="603">
        <f t="shared" si="26"/>
        <v>0</v>
      </c>
      <c r="Q219" s="604" t="str">
        <f t="shared" si="27"/>
        <v/>
      </c>
    </row>
    <row r="220" spans="1:17" ht="19.5" customHeight="1" x14ac:dyDescent="0.25">
      <c r="A220" s="802" t="s">
        <v>324</v>
      </c>
      <c r="B220" s="803" t="s">
        <v>324</v>
      </c>
      <c r="C220" s="614" t="s">
        <v>3</v>
      </c>
      <c r="D220" s="606">
        <f t="shared" si="24"/>
        <v>0</v>
      </c>
      <c r="J220" s="802" t="s">
        <v>324</v>
      </c>
      <c r="K220" s="803" t="s">
        <v>324</v>
      </c>
      <c r="L220" s="614" t="s">
        <v>3</v>
      </c>
      <c r="M220" s="606">
        <f t="shared" si="25"/>
        <v>0</v>
      </c>
      <c r="N220" s="320"/>
      <c r="O220" s="320"/>
      <c r="P220" s="603">
        <f t="shared" si="26"/>
        <v>0</v>
      </c>
      <c r="Q220" s="604" t="str">
        <f t="shared" si="27"/>
        <v/>
      </c>
    </row>
    <row r="221" spans="1:17" ht="19.5" customHeight="1" x14ac:dyDescent="0.25">
      <c r="A221" s="802" t="s">
        <v>325</v>
      </c>
      <c r="B221" s="803" t="s">
        <v>325</v>
      </c>
      <c r="C221" s="615" t="s">
        <v>325</v>
      </c>
      <c r="D221" s="606">
        <f t="shared" si="24"/>
        <v>0</v>
      </c>
      <c r="J221" s="802" t="s">
        <v>325</v>
      </c>
      <c r="K221" s="803" t="s">
        <v>325</v>
      </c>
      <c r="L221" s="615" t="s">
        <v>325</v>
      </c>
      <c r="M221" s="606">
        <f t="shared" si="25"/>
        <v>0</v>
      </c>
      <c r="N221" s="320"/>
      <c r="O221" s="320"/>
      <c r="P221" s="603">
        <f t="shared" si="26"/>
        <v>0</v>
      </c>
      <c r="Q221" s="604" t="str">
        <f t="shared" si="27"/>
        <v/>
      </c>
    </row>
    <row r="222" spans="1:17" ht="19.5" customHeight="1" x14ac:dyDescent="0.25">
      <c r="A222" s="802" t="s">
        <v>326</v>
      </c>
      <c r="B222" s="803" t="s">
        <v>326</v>
      </c>
      <c r="C222" s="616" t="s">
        <v>327</v>
      </c>
      <c r="D222" s="606">
        <f t="shared" si="24"/>
        <v>0</v>
      </c>
      <c r="J222" s="802" t="s">
        <v>326</v>
      </c>
      <c r="K222" s="803" t="s">
        <v>326</v>
      </c>
      <c r="L222" s="616" t="s">
        <v>327</v>
      </c>
      <c r="M222" s="606">
        <f t="shared" si="25"/>
        <v>0</v>
      </c>
      <c r="N222" s="320"/>
      <c r="O222" s="320"/>
      <c r="P222" s="603">
        <f t="shared" si="26"/>
        <v>0</v>
      </c>
      <c r="Q222" s="604" t="str">
        <f t="shared" si="27"/>
        <v/>
      </c>
    </row>
    <row r="223" spans="1:17" ht="19.5" customHeight="1" x14ac:dyDescent="0.25">
      <c r="A223" s="802" t="s">
        <v>328</v>
      </c>
      <c r="B223" s="803" t="s">
        <v>328</v>
      </c>
      <c r="C223" s="617" t="s">
        <v>329</v>
      </c>
      <c r="D223" s="606">
        <f t="shared" si="24"/>
        <v>0</v>
      </c>
      <c r="J223" s="802" t="s">
        <v>328</v>
      </c>
      <c r="K223" s="803" t="s">
        <v>328</v>
      </c>
      <c r="L223" s="617" t="s">
        <v>329</v>
      </c>
      <c r="M223" s="606">
        <f t="shared" si="25"/>
        <v>0</v>
      </c>
      <c r="N223" s="320"/>
      <c r="O223" s="320"/>
      <c r="P223" s="603">
        <f t="shared" si="26"/>
        <v>0</v>
      </c>
      <c r="Q223" s="604" t="str">
        <f t="shared" si="27"/>
        <v/>
      </c>
    </row>
    <row r="224" spans="1:17" ht="19.5" customHeight="1" x14ac:dyDescent="0.25">
      <c r="A224" s="802" t="s">
        <v>330</v>
      </c>
      <c r="B224" s="803" t="s">
        <v>330</v>
      </c>
      <c r="C224" s="618" t="s">
        <v>331</v>
      </c>
      <c r="D224" s="606">
        <f t="shared" si="24"/>
        <v>0</v>
      </c>
      <c r="J224" s="802" t="s">
        <v>330</v>
      </c>
      <c r="K224" s="803" t="s">
        <v>330</v>
      </c>
      <c r="L224" s="618" t="s">
        <v>331</v>
      </c>
      <c r="M224" s="606">
        <f t="shared" si="25"/>
        <v>0</v>
      </c>
      <c r="N224" s="320"/>
      <c r="O224" s="320"/>
      <c r="P224" s="603">
        <f t="shared" si="26"/>
        <v>0</v>
      </c>
      <c r="Q224" s="604" t="str">
        <f t="shared" si="27"/>
        <v/>
      </c>
    </row>
    <row r="225" spans="1:17" ht="19.5" customHeight="1" x14ac:dyDescent="0.25">
      <c r="A225" s="802" t="s">
        <v>332</v>
      </c>
      <c r="B225" s="803" t="s">
        <v>332</v>
      </c>
      <c r="C225" s="619" t="s">
        <v>333</v>
      </c>
      <c r="D225" s="606">
        <f t="shared" si="24"/>
        <v>0</v>
      </c>
      <c r="J225" s="802" t="s">
        <v>332</v>
      </c>
      <c r="K225" s="803" t="s">
        <v>332</v>
      </c>
      <c r="L225" s="619" t="s">
        <v>333</v>
      </c>
      <c r="M225" s="606">
        <f t="shared" si="25"/>
        <v>0</v>
      </c>
      <c r="N225" s="320"/>
      <c r="O225" s="320"/>
      <c r="P225" s="603">
        <f t="shared" si="26"/>
        <v>0</v>
      </c>
      <c r="Q225" s="604" t="str">
        <f t="shared" si="27"/>
        <v/>
      </c>
    </row>
    <row r="226" spans="1:17" ht="19.5" customHeight="1" x14ac:dyDescent="0.25">
      <c r="A226" s="802" t="s">
        <v>334</v>
      </c>
      <c r="B226" s="803"/>
      <c r="C226" s="620" t="s">
        <v>241</v>
      </c>
      <c r="D226" s="606">
        <f t="shared" si="24"/>
        <v>0</v>
      </c>
      <c r="J226" s="802" t="s">
        <v>334</v>
      </c>
      <c r="K226" s="803"/>
      <c r="L226" s="620" t="s">
        <v>241</v>
      </c>
      <c r="M226" s="606">
        <f t="shared" si="25"/>
        <v>10</v>
      </c>
      <c r="N226" s="320"/>
      <c r="O226" s="320"/>
      <c r="P226" s="603">
        <f t="shared" si="26"/>
        <v>10</v>
      </c>
      <c r="Q226" s="604" t="str">
        <f t="shared" si="27"/>
        <v/>
      </c>
    </row>
    <row r="227" spans="1:17" ht="19.5" customHeight="1" x14ac:dyDescent="0.25">
      <c r="A227" s="802" t="s">
        <v>233</v>
      </c>
      <c r="B227" s="803" t="s">
        <v>233</v>
      </c>
      <c r="C227" s="621" t="s">
        <v>335</v>
      </c>
      <c r="D227" s="606">
        <f t="shared" si="24"/>
        <v>0</v>
      </c>
      <c r="J227" s="802" t="s">
        <v>233</v>
      </c>
      <c r="K227" s="803" t="s">
        <v>233</v>
      </c>
      <c r="L227" s="621" t="s">
        <v>335</v>
      </c>
      <c r="M227" s="606">
        <f t="shared" si="25"/>
        <v>0</v>
      </c>
      <c r="N227" s="320"/>
      <c r="O227" s="320"/>
      <c r="P227" s="603">
        <f t="shared" si="26"/>
        <v>0</v>
      </c>
      <c r="Q227" s="604" t="str">
        <f t="shared" si="27"/>
        <v/>
      </c>
    </row>
    <row r="228" spans="1:17" ht="19.5" customHeight="1" x14ac:dyDescent="0.25">
      <c r="A228" s="802" t="s">
        <v>336</v>
      </c>
      <c r="B228" s="803" t="s">
        <v>336</v>
      </c>
      <c r="C228" s="622" t="s">
        <v>337</v>
      </c>
      <c r="D228" s="606">
        <f t="shared" si="24"/>
        <v>0</v>
      </c>
      <c r="J228" s="802" t="s">
        <v>336</v>
      </c>
      <c r="K228" s="803" t="s">
        <v>336</v>
      </c>
      <c r="L228" s="622" t="s">
        <v>337</v>
      </c>
      <c r="M228" s="606">
        <f t="shared" si="25"/>
        <v>0</v>
      </c>
      <c r="N228" s="320"/>
      <c r="O228" s="320"/>
      <c r="P228" s="603">
        <f t="shared" si="26"/>
        <v>0</v>
      </c>
      <c r="Q228" s="604" t="str">
        <f t="shared" si="27"/>
        <v/>
      </c>
    </row>
    <row r="229" spans="1:17" ht="19.5" customHeight="1" x14ac:dyDescent="0.25">
      <c r="A229" s="802" t="s">
        <v>338</v>
      </c>
      <c r="B229" s="803"/>
      <c r="C229" s="623" t="s">
        <v>339</v>
      </c>
      <c r="D229" s="606">
        <f t="shared" si="24"/>
        <v>0</v>
      </c>
      <c r="J229" s="802" t="s">
        <v>338</v>
      </c>
      <c r="K229" s="803"/>
      <c r="L229" s="623" t="s">
        <v>339</v>
      </c>
      <c r="M229" s="606">
        <f t="shared" si="25"/>
        <v>0</v>
      </c>
      <c r="N229" s="320"/>
      <c r="O229" s="320"/>
      <c r="P229" s="603">
        <f t="shared" si="26"/>
        <v>0</v>
      </c>
      <c r="Q229" s="604" t="str">
        <f t="shared" si="27"/>
        <v/>
      </c>
    </row>
    <row r="230" spans="1:17" ht="19.5" customHeight="1" x14ac:dyDescent="0.25">
      <c r="A230" s="802" t="s">
        <v>340</v>
      </c>
      <c r="B230" s="803" t="s">
        <v>340</v>
      </c>
      <c r="C230" s="624" t="s">
        <v>341</v>
      </c>
      <c r="D230" s="606">
        <f t="shared" si="24"/>
        <v>0</v>
      </c>
      <c r="J230" s="802" t="s">
        <v>340</v>
      </c>
      <c r="K230" s="803" t="s">
        <v>340</v>
      </c>
      <c r="L230" s="624" t="s">
        <v>341</v>
      </c>
      <c r="M230" s="606">
        <f t="shared" si="25"/>
        <v>0</v>
      </c>
      <c r="N230" s="320"/>
      <c r="O230" s="320"/>
      <c r="P230" s="603">
        <f t="shared" si="26"/>
        <v>0</v>
      </c>
      <c r="Q230" s="604" t="str">
        <f t="shared" si="27"/>
        <v/>
      </c>
    </row>
    <row r="231" spans="1:17" ht="19.5" customHeight="1" x14ac:dyDescent="0.25">
      <c r="A231" s="802" t="s">
        <v>342</v>
      </c>
      <c r="B231" s="803" t="s">
        <v>343</v>
      </c>
      <c r="C231" s="625" t="s">
        <v>344</v>
      </c>
      <c r="D231" s="606">
        <f t="shared" si="24"/>
        <v>0</v>
      </c>
      <c r="J231" s="802" t="s">
        <v>342</v>
      </c>
      <c r="K231" s="803" t="s">
        <v>343</v>
      </c>
      <c r="L231" s="625" t="s">
        <v>344</v>
      </c>
      <c r="M231" s="606">
        <f t="shared" si="25"/>
        <v>0</v>
      </c>
      <c r="N231" s="320"/>
      <c r="O231" s="320"/>
      <c r="P231" s="603">
        <f t="shared" si="26"/>
        <v>0</v>
      </c>
      <c r="Q231" s="604" t="str">
        <f t="shared" si="27"/>
        <v/>
      </c>
    </row>
    <row r="232" spans="1:17" ht="19.5" customHeight="1" x14ac:dyDescent="0.25">
      <c r="A232" s="802" t="s">
        <v>345</v>
      </c>
      <c r="B232" s="803" t="s">
        <v>346</v>
      </c>
      <c r="C232" s="626" t="s">
        <v>347</v>
      </c>
      <c r="D232" s="606">
        <f t="shared" si="24"/>
        <v>0</v>
      </c>
      <c r="J232" s="802" t="s">
        <v>345</v>
      </c>
      <c r="K232" s="803"/>
      <c r="L232" s="626" t="s">
        <v>347</v>
      </c>
      <c r="M232" s="606">
        <f t="shared" si="25"/>
        <v>0</v>
      </c>
      <c r="N232" s="320"/>
      <c r="O232" s="320"/>
      <c r="P232" s="603">
        <f t="shared" si="26"/>
        <v>0</v>
      </c>
      <c r="Q232" s="604" t="str">
        <f t="shared" si="27"/>
        <v/>
      </c>
    </row>
    <row r="233" spans="1:17" ht="19.5" customHeight="1" thickBot="1" x14ac:dyDescent="0.3">
      <c r="A233" s="802" t="s">
        <v>348</v>
      </c>
      <c r="B233" s="803" t="s">
        <v>346</v>
      </c>
      <c r="C233" s="625" t="s">
        <v>349</v>
      </c>
      <c r="D233" s="606">
        <f t="shared" si="24"/>
        <v>0</v>
      </c>
      <c r="J233" s="802" t="s">
        <v>348</v>
      </c>
      <c r="K233" s="803" t="s">
        <v>346</v>
      </c>
      <c r="L233" s="625" t="s">
        <v>349</v>
      </c>
      <c r="M233" s="606">
        <f t="shared" si="25"/>
        <v>0</v>
      </c>
      <c r="N233" s="320"/>
      <c r="O233" s="320"/>
      <c r="P233" s="603">
        <f t="shared" si="26"/>
        <v>0</v>
      </c>
      <c r="Q233" s="604" t="str">
        <f t="shared" si="27"/>
        <v/>
      </c>
    </row>
    <row r="234" spans="1:17" ht="19.5" customHeight="1" thickBot="1" x14ac:dyDescent="0.3">
      <c r="A234" s="808" t="s">
        <v>350</v>
      </c>
      <c r="B234" s="808"/>
      <c r="C234" s="808"/>
      <c r="D234" s="808"/>
      <c r="E234" s="800">
        <f>SUM(D235:D302)</f>
        <v>48</v>
      </c>
      <c r="F234" s="801"/>
      <c r="J234" s="808" t="s">
        <v>350</v>
      </c>
      <c r="K234" s="808"/>
      <c r="L234" s="808"/>
      <c r="M234" s="809"/>
      <c r="N234" s="800">
        <f>SUM(M235:M302)</f>
        <v>261</v>
      </c>
      <c r="O234" s="801"/>
      <c r="P234" s="810" t="s">
        <v>351</v>
      </c>
      <c r="Q234" s="811"/>
    </row>
    <row r="235" spans="1:17" ht="19.5" customHeight="1" x14ac:dyDescent="0.25">
      <c r="A235" s="802" t="s">
        <v>352</v>
      </c>
      <c r="B235" s="803"/>
      <c r="C235" s="627" t="s">
        <v>221</v>
      </c>
      <c r="D235" s="606">
        <f t="shared" ref="D235:D298" si="28">COUNTIF($A$4:$AJ$76,C235)</f>
        <v>18</v>
      </c>
      <c r="J235" s="802" t="s">
        <v>352</v>
      </c>
      <c r="K235" s="803"/>
      <c r="L235" s="627" t="s">
        <v>221</v>
      </c>
      <c r="M235" s="606">
        <f t="shared" ref="M235:M298" si="29">COUNTIF($AN$6:$DC$76,L235)</f>
        <v>30</v>
      </c>
      <c r="N235" s="320"/>
      <c r="O235" s="320"/>
      <c r="P235" s="603">
        <f t="shared" ref="P235:P298" si="30">D235+M235</f>
        <v>48</v>
      </c>
      <c r="Q235" s="604" t="str">
        <f t="shared" si="27"/>
        <v/>
      </c>
    </row>
    <row r="236" spans="1:17" ht="19.5" customHeight="1" x14ac:dyDescent="0.25">
      <c r="A236" s="802" t="s">
        <v>353</v>
      </c>
      <c r="B236" s="803"/>
      <c r="C236" s="628" t="s">
        <v>354</v>
      </c>
      <c r="D236" s="606">
        <f t="shared" si="28"/>
        <v>0</v>
      </c>
      <c r="J236" s="802" t="s">
        <v>353</v>
      </c>
      <c r="K236" s="803"/>
      <c r="L236" s="628" t="s">
        <v>354</v>
      </c>
      <c r="M236" s="606">
        <f t="shared" si="29"/>
        <v>0</v>
      </c>
      <c r="N236" s="320"/>
      <c r="O236" s="320"/>
      <c r="P236" s="603">
        <f t="shared" si="30"/>
        <v>0</v>
      </c>
      <c r="Q236" s="604" t="str">
        <f t="shared" si="27"/>
        <v/>
      </c>
    </row>
    <row r="237" spans="1:17" ht="19.5" customHeight="1" x14ac:dyDescent="0.25">
      <c r="A237" s="802" t="s">
        <v>355</v>
      </c>
      <c r="B237" s="803"/>
      <c r="C237" s="629" t="s">
        <v>356</v>
      </c>
      <c r="D237" s="606">
        <f t="shared" si="28"/>
        <v>0</v>
      </c>
      <c r="J237" s="802" t="s">
        <v>355</v>
      </c>
      <c r="K237" s="803"/>
      <c r="L237" s="629" t="s">
        <v>356</v>
      </c>
      <c r="M237" s="606">
        <f t="shared" si="29"/>
        <v>0</v>
      </c>
      <c r="N237" s="320"/>
      <c r="O237" s="320"/>
      <c r="P237" s="603">
        <f t="shared" si="30"/>
        <v>0</v>
      </c>
      <c r="Q237" s="604" t="str">
        <f t="shared" si="27"/>
        <v/>
      </c>
    </row>
    <row r="238" spans="1:17" ht="19.5" customHeight="1" x14ac:dyDescent="0.25">
      <c r="A238" s="802" t="s">
        <v>357</v>
      </c>
      <c r="B238" s="803"/>
      <c r="C238" s="630" t="s">
        <v>358</v>
      </c>
      <c r="D238" s="606">
        <f t="shared" si="28"/>
        <v>0</v>
      </c>
      <c r="J238" s="802" t="s">
        <v>357</v>
      </c>
      <c r="K238" s="803"/>
      <c r="L238" s="630" t="s">
        <v>358</v>
      </c>
      <c r="M238" s="606">
        <f t="shared" si="29"/>
        <v>0</v>
      </c>
      <c r="N238" s="320"/>
      <c r="O238" s="320"/>
      <c r="P238" s="603">
        <f t="shared" si="30"/>
        <v>0</v>
      </c>
      <c r="Q238" s="604" t="str">
        <f t="shared" si="27"/>
        <v/>
      </c>
    </row>
    <row r="239" spans="1:17" ht="19.5" customHeight="1" x14ac:dyDescent="0.25">
      <c r="A239" s="802" t="s">
        <v>233</v>
      </c>
      <c r="B239" s="803"/>
      <c r="C239" s="621" t="s">
        <v>233</v>
      </c>
      <c r="D239" s="606">
        <f t="shared" si="28"/>
        <v>0</v>
      </c>
      <c r="J239" s="802" t="s">
        <v>233</v>
      </c>
      <c r="K239" s="803"/>
      <c r="L239" s="621" t="s">
        <v>233</v>
      </c>
      <c r="M239" s="606">
        <f t="shared" si="29"/>
        <v>19</v>
      </c>
      <c r="N239" s="320"/>
      <c r="O239" s="320"/>
      <c r="P239" s="603">
        <f t="shared" si="30"/>
        <v>19</v>
      </c>
      <c r="Q239" s="604" t="str">
        <f t="shared" si="27"/>
        <v/>
      </c>
    </row>
    <row r="240" spans="1:17" ht="19.5" customHeight="1" x14ac:dyDescent="0.25">
      <c r="A240" s="802" t="s">
        <v>359</v>
      </c>
      <c r="B240" s="803"/>
      <c r="C240" s="631" t="s">
        <v>360</v>
      </c>
      <c r="D240" s="606">
        <f t="shared" si="28"/>
        <v>0</v>
      </c>
      <c r="J240" s="802" t="s">
        <v>359</v>
      </c>
      <c r="K240" s="803"/>
      <c r="L240" s="631" t="s">
        <v>360</v>
      </c>
      <c r="M240" s="606">
        <f t="shared" si="29"/>
        <v>0</v>
      </c>
      <c r="N240" s="320"/>
      <c r="O240" s="320"/>
      <c r="P240" s="603">
        <f t="shared" si="30"/>
        <v>0</v>
      </c>
      <c r="Q240" s="604" t="str">
        <f t="shared" si="27"/>
        <v/>
      </c>
    </row>
    <row r="241" spans="1:17" ht="19.5" customHeight="1" x14ac:dyDescent="0.25">
      <c r="A241" s="802" t="s">
        <v>361</v>
      </c>
      <c r="B241" s="803"/>
      <c r="C241" s="632" t="s">
        <v>242</v>
      </c>
      <c r="D241" s="606">
        <f t="shared" si="28"/>
        <v>6</v>
      </c>
      <c r="J241" s="802" t="s">
        <v>361</v>
      </c>
      <c r="K241" s="803"/>
      <c r="L241" s="632" t="s">
        <v>242</v>
      </c>
      <c r="M241" s="606">
        <f t="shared" si="29"/>
        <v>6</v>
      </c>
      <c r="N241" s="320"/>
      <c r="O241" s="320"/>
      <c r="P241" s="603">
        <f t="shared" si="30"/>
        <v>12</v>
      </c>
      <c r="Q241" s="604" t="str">
        <f t="shared" si="27"/>
        <v/>
      </c>
    </row>
    <row r="242" spans="1:17" ht="19.5" customHeight="1" x14ac:dyDescent="0.25">
      <c r="A242" s="802" t="s">
        <v>362</v>
      </c>
      <c r="B242" s="803"/>
      <c r="C242" s="633" t="s">
        <v>362</v>
      </c>
      <c r="D242" s="606">
        <f t="shared" si="28"/>
        <v>0</v>
      </c>
      <c r="J242" s="802" t="s">
        <v>362</v>
      </c>
      <c r="K242" s="803"/>
      <c r="L242" s="633" t="s">
        <v>362</v>
      </c>
      <c r="M242" s="606">
        <f t="shared" si="29"/>
        <v>0</v>
      </c>
      <c r="N242" s="320"/>
      <c r="O242" s="320"/>
      <c r="P242" s="603">
        <f t="shared" si="30"/>
        <v>0</v>
      </c>
      <c r="Q242" s="604" t="str">
        <f t="shared" si="27"/>
        <v/>
      </c>
    </row>
    <row r="243" spans="1:17" ht="19.5" customHeight="1" x14ac:dyDescent="0.25">
      <c r="A243" s="802" t="s">
        <v>363</v>
      </c>
      <c r="B243" s="803"/>
      <c r="C243" s="634" t="s">
        <v>231</v>
      </c>
      <c r="D243" s="606">
        <f t="shared" si="28"/>
        <v>6</v>
      </c>
      <c r="J243" s="802" t="s">
        <v>363</v>
      </c>
      <c r="K243" s="803"/>
      <c r="L243" s="634" t="s">
        <v>231</v>
      </c>
      <c r="M243" s="606">
        <f t="shared" si="29"/>
        <v>16</v>
      </c>
      <c r="N243" s="320"/>
      <c r="O243" s="320"/>
      <c r="P243" s="603">
        <f t="shared" si="30"/>
        <v>22</v>
      </c>
      <c r="Q243" s="604" t="str">
        <f t="shared" si="27"/>
        <v/>
      </c>
    </row>
    <row r="244" spans="1:17" ht="19.5" customHeight="1" x14ac:dyDescent="0.25">
      <c r="A244" s="802" t="s">
        <v>364</v>
      </c>
      <c r="B244" s="803"/>
      <c r="C244" s="635" t="s">
        <v>365</v>
      </c>
      <c r="D244" s="606">
        <f t="shared" si="28"/>
        <v>0</v>
      </c>
      <c r="J244" s="802" t="s">
        <v>364</v>
      </c>
      <c r="K244" s="803"/>
      <c r="L244" s="635" t="s">
        <v>365</v>
      </c>
      <c r="M244" s="606">
        <f t="shared" si="29"/>
        <v>0</v>
      </c>
      <c r="N244" s="320"/>
      <c r="O244" s="320"/>
      <c r="P244" s="603">
        <f t="shared" si="30"/>
        <v>0</v>
      </c>
      <c r="Q244" s="604" t="str">
        <f t="shared" si="27"/>
        <v/>
      </c>
    </row>
    <row r="245" spans="1:17" ht="19.5" customHeight="1" x14ac:dyDescent="0.25">
      <c r="A245" s="802" t="s">
        <v>366</v>
      </c>
      <c r="B245" s="803"/>
      <c r="C245" s="636" t="s">
        <v>366</v>
      </c>
      <c r="D245" s="606">
        <f t="shared" si="28"/>
        <v>0</v>
      </c>
      <c r="J245" s="802" t="s">
        <v>366</v>
      </c>
      <c r="K245" s="803"/>
      <c r="L245" s="636" t="s">
        <v>366</v>
      </c>
      <c r="M245" s="606">
        <f t="shared" si="29"/>
        <v>0</v>
      </c>
      <c r="N245" s="320"/>
      <c r="O245" s="320"/>
      <c r="P245" s="603">
        <f t="shared" si="30"/>
        <v>0</v>
      </c>
      <c r="Q245" s="604" t="str">
        <f t="shared" si="27"/>
        <v/>
      </c>
    </row>
    <row r="246" spans="1:17" ht="19.5" customHeight="1" x14ac:dyDescent="0.25">
      <c r="A246" s="802" t="s">
        <v>367</v>
      </c>
      <c r="B246" s="803"/>
      <c r="C246" s="637" t="s">
        <v>368</v>
      </c>
      <c r="D246" s="606">
        <f t="shared" si="28"/>
        <v>0</v>
      </c>
      <c r="J246" s="802" t="s">
        <v>367</v>
      </c>
      <c r="K246" s="803"/>
      <c r="L246" s="637" t="s">
        <v>368</v>
      </c>
      <c r="M246" s="606">
        <f t="shared" si="29"/>
        <v>0</v>
      </c>
      <c r="N246" s="320"/>
      <c r="O246" s="320"/>
      <c r="P246" s="603">
        <f t="shared" si="30"/>
        <v>0</v>
      </c>
      <c r="Q246" s="604" t="str">
        <f t="shared" si="27"/>
        <v/>
      </c>
    </row>
    <row r="247" spans="1:17" ht="19.5" customHeight="1" x14ac:dyDescent="0.25">
      <c r="A247" s="802" t="s">
        <v>369</v>
      </c>
      <c r="B247" s="803"/>
      <c r="C247" s="638" t="s">
        <v>370</v>
      </c>
      <c r="D247" s="606">
        <f t="shared" si="28"/>
        <v>0</v>
      </c>
      <c r="J247" s="802" t="s">
        <v>369</v>
      </c>
      <c r="K247" s="803"/>
      <c r="L247" s="639" t="s">
        <v>370</v>
      </c>
      <c r="M247" s="606">
        <f t="shared" si="29"/>
        <v>0</v>
      </c>
      <c r="N247" s="320"/>
      <c r="O247" s="320"/>
      <c r="P247" s="603">
        <f t="shared" si="30"/>
        <v>0</v>
      </c>
      <c r="Q247" s="604" t="str">
        <f t="shared" si="27"/>
        <v/>
      </c>
    </row>
    <row r="248" spans="1:17" ht="19.5" customHeight="1" x14ac:dyDescent="0.25">
      <c r="A248" s="802" t="s">
        <v>371</v>
      </c>
      <c r="B248" s="803"/>
      <c r="C248" s="640" t="s">
        <v>372</v>
      </c>
      <c r="D248" s="606">
        <f t="shared" si="28"/>
        <v>0</v>
      </c>
      <c r="J248" s="802" t="s">
        <v>371</v>
      </c>
      <c r="K248" s="803"/>
      <c r="L248" s="628" t="s">
        <v>372</v>
      </c>
      <c r="M248" s="606">
        <f t="shared" si="29"/>
        <v>0</v>
      </c>
      <c r="N248" s="320"/>
      <c r="O248" s="320"/>
      <c r="P248" s="603">
        <f t="shared" si="30"/>
        <v>0</v>
      </c>
      <c r="Q248" s="604"/>
    </row>
    <row r="249" spans="1:17" ht="19.5" customHeight="1" x14ac:dyDescent="0.25">
      <c r="A249" s="802" t="s">
        <v>373</v>
      </c>
      <c r="B249" s="803"/>
      <c r="C249" s="641" t="s">
        <v>374</v>
      </c>
      <c r="D249" s="606">
        <f t="shared" si="28"/>
        <v>0</v>
      </c>
      <c r="J249" s="802" t="s">
        <v>373</v>
      </c>
      <c r="K249" s="803"/>
      <c r="L249" s="641" t="s">
        <v>374</v>
      </c>
      <c r="M249" s="606">
        <f t="shared" si="29"/>
        <v>0</v>
      </c>
      <c r="N249" s="320"/>
      <c r="O249" s="320"/>
      <c r="P249" s="603">
        <f t="shared" si="30"/>
        <v>0</v>
      </c>
      <c r="Q249" s="604" t="str">
        <f t="shared" si="27"/>
        <v/>
      </c>
    </row>
    <row r="250" spans="1:17" ht="19.5" customHeight="1" x14ac:dyDescent="0.25">
      <c r="A250" s="802" t="s">
        <v>375</v>
      </c>
      <c r="B250" s="803"/>
      <c r="C250" s="617" t="s">
        <v>376</v>
      </c>
      <c r="D250" s="606">
        <f t="shared" si="28"/>
        <v>0</v>
      </c>
      <c r="J250" s="802" t="s">
        <v>375</v>
      </c>
      <c r="K250" s="803"/>
      <c r="L250" s="617" t="s">
        <v>376</v>
      </c>
      <c r="M250" s="606">
        <f t="shared" si="29"/>
        <v>0</v>
      </c>
      <c r="N250" s="320"/>
      <c r="O250" s="320"/>
      <c r="P250" s="603">
        <f t="shared" si="30"/>
        <v>0</v>
      </c>
      <c r="Q250" s="604" t="str">
        <f t="shared" si="27"/>
        <v/>
      </c>
    </row>
    <row r="251" spans="1:17" ht="19.5" customHeight="1" x14ac:dyDescent="0.25">
      <c r="A251" s="802" t="s">
        <v>326</v>
      </c>
      <c r="B251" s="803"/>
      <c r="C251" s="642" t="s">
        <v>377</v>
      </c>
      <c r="D251" s="606">
        <f t="shared" si="28"/>
        <v>0</v>
      </c>
      <c r="J251" s="802" t="s">
        <v>326</v>
      </c>
      <c r="K251" s="803"/>
      <c r="L251" s="642" t="s">
        <v>377</v>
      </c>
      <c r="M251" s="606">
        <f t="shared" si="29"/>
        <v>0</v>
      </c>
      <c r="N251" s="320"/>
      <c r="O251" s="320"/>
      <c r="P251" s="603">
        <f t="shared" si="30"/>
        <v>0</v>
      </c>
      <c r="Q251" s="604" t="str">
        <f t="shared" si="27"/>
        <v/>
      </c>
    </row>
    <row r="252" spans="1:17" ht="19.5" customHeight="1" x14ac:dyDescent="0.25">
      <c r="A252" s="802" t="s">
        <v>378</v>
      </c>
      <c r="B252" s="803"/>
      <c r="C252" s="643" t="s">
        <v>379</v>
      </c>
      <c r="D252" s="606">
        <f t="shared" si="28"/>
        <v>0</v>
      </c>
      <c r="J252" s="802" t="s">
        <v>378</v>
      </c>
      <c r="K252" s="803"/>
      <c r="L252" s="643" t="s">
        <v>379</v>
      </c>
      <c r="M252" s="606">
        <f t="shared" si="29"/>
        <v>0</v>
      </c>
      <c r="N252" s="320"/>
      <c r="O252" s="320"/>
      <c r="P252" s="603">
        <f t="shared" si="30"/>
        <v>0</v>
      </c>
      <c r="Q252" s="604" t="str">
        <f t="shared" si="27"/>
        <v/>
      </c>
    </row>
    <row r="253" spans="1:17" ht="19.5" customHeight="1" x14ac:dyDescent="0.25">
      <c r="A253" s="802" t="s">
        <v>380</v>
      </c>
      <c r="B253" s="803"/>
      <c r="C253" s="644" t="s">
        <v>381</v>
      </c>
      <c r="D253" s="606">
        <f t="shared" si="28"/>
        <v>0</v>
      </c>
      <c r="J253" s="802" t="s">
        <v>380</v>
      </c>
      <c r="K253" s="803"/>
      <c r="L253" s="644" t="s">
        <v>381</v>
      </c>
      <c r="M253" s="606">
        <f t="shared" si="29"/>
        <v>0</v>
      </c>
      <c r="N253" s="320"/>
      <c r="O253" s="320"/>
      <c r="P253" s="603">
        <f t="shared" si="30"/>
        <v>0</v>
      </c>
      <c r="Q253" s="604" t="str">
        <f t="shared" si="27"/>
        <v/>
      </c>
    </row>
    <row r="254" spans="1:17" ht="19.5" customHeight="1" x14ac:dyDescent="0.25">
      <c r="A254" s="802" t="s">
        <v>382</v>
      </c>
      <c r="B254" s="803"/>
      <c r="C254" s="645" t="s">
        <v>383</v>
      </c>
      <c r="D254" s="606">
        <f t="shared" si="28"/>
        <v>0</v>
      </c>
      <c r="J254" s="802" t="s">
        <v>382</v>
      </c>
      <c r="K254" s="803"/>
      <c r="L254" s="645" t="s">
        <v>383</v>
      </c>
      <c r="M254" s="606">
        <f t="shared" si="29"/>
        <v>0</v>
      </c>
      <c r="N254" s="320"/>
      <c r="O254" s="320"/>
      <c r="P254" s="603">
        <f t="shared" si="30"/>
        <v>0</v>
      </c>
      <c r="Q254" s="604" t="str">
        <f t="shared" si="27"/>
        <v/>
      </c>
    </row>
    <row r="255" spans="1:17" ht="19.5" customHeight="1" x14ac:dyDescent="0.25">
      <c r="A255" s="802" t="s">
        <v>384</v>
      </c>
      <c r="B255" s="803"/>
      <c r="C255" s="646" t="s">
        <v>385</v>
      </c>
      <c r="D255" s="606">
        <f t="shared" si="28"/>
        <v>0</v>
      </c>
      <c r="J255" s="802" t="s">
        <v>384</v>
      </c>
      <c r="K255" s="803"/>
      <c r="L255" s="646" t="s">
        <v>385</v>
      </c>
      <c r="M255" s="606">
        <f t="shared" si="29"/>
        <v>0</v>
      </c>
      <c r="N255" s="320"/>
      <c r="O255" s="320"/>
      <c r="P255" s="603">
        <f t="shared" si="30"/>
        <v>0</v>
      </c>
      <c r="Q255" s="604" t="str">
        <f t="shared" si="27"/>
        <v/>
      </c>
    </row>
    <row r="256" spans="1:17" ht="19.5" customHeight="1" x14ac:dyDescent="0.25">
      <c r="A256" s="802" t="s">
        <v>386</v>
      </c>
      <c r="B256" s="803"/>
      <c r="C256" s="647" t="s">
        <v>387</v>
      </c>
      <c r="D256" s="606">
        <f t="shared" si="28"/>
        <v>0</v>
      </c>
      <c r="J256" s="802" t="s">
        <v>386</v>
      </c>
      <c r="K256" s="803"/>
      <c r="L256" s="647" t="s">
        <v>387</v>
      </c>
      <c r="M256" s="606">
        <f t="shared" si="29"/>
        <v>0</v>
      </c>
      <c r="N256" s="320"/>
      <c r="O256" s="320"/>
      <c r="P256" s="603">
        <f t="shared" si="30"/>
        <v>0</v>
      </c>
      <c r="Q256" s="604" t="str">
        <f t="shared" si="27"/>
        <v/>
      </c>
    </row>
    <row r="257" spans="1:17" ht="19.5" customHeight="1" x14ac:dyDescent="0.25">
      <c r="A257" s="802" t="s">
        <v>388</v>
      </c>
      <c r="B257" s="803"/>
      <c r="C257" s="648" t="s">
        <v>388</v>
      </c>
      <c r="D257" s="606">
        <f t="shared" si="28"/>
        <v>0</v>
      </c>
      <c r="J257" s="802" t="s">
        <v>388</v>
      </c>
      <c r="K257" s="803"/>
      <c r="L257" s="648" t="s">
        <v>388</v>
      </c>
      <c r="M257" s="606">
        <f t="shared" si="29"/>
        <v>0</v>
      </c>
      <c r="N257" s="320"/>
      <c r="O257" s="320"/>
      <c r="P257" s="603">
        <f t="shared" si="30"/>
        <v>0</v>
      </c>
      <c r="Q257" s="604" t="str">
        <f t="shared" si="27"/>
        <v/>
      </c>
    </row>
    <row r="258" spans="1:17" ht="19.5" customHeight="1" x14ac:dyDescent="0.25">
      <c r="A258" s="802" t="s">
        <v>389</v>
      </c>
      <c r="B258" s="803"/>
      <c r="C258" s="649" t="s">
        <v>390</v>
      </c>
      <c r="D258" s="606">
        <f t="shared" si="28"/>
        <v>0</v>
      </c>
      <c r="J258" s="802" t="s">
        <v>389</v>
      </c>
      <c r="K258" s="803"/>
      <c r="L258" s="649" t="s">
        <v>390</v>
      </c>
      <c r="M258" s="606">
        <f t="shared" si="29"/>
        <v>0</v>
      </c>
      <c r="N258" s="320"/>
      <c r="O258" s="320"/>
      <c r="P258" s="603">
        <f t="shared" si="30"/>
        <v>0</v>
      </c>
      <c r="Q258" s="604" t="str">
        <f t="shared" si="27"/>
        <v/>
      </c>
    </row>
    <row r="259" spans="1:17" ht="19.5" customHeight="1" x14ac:dyDescent="0.25">
      <c r="A259" s="802" t="s">
        <v>391</v>
      </c>
      <c r="B259" s="803"/>
      <c r="C259" s="650" t="s">
        <v>392</v>
      </c>
      <c r="D259" s="606">
        <f t="shared" si="28"/>
        <v>0</v>
      </c>
      <c r="J259" s="802" t="s">
        <v>391</v>
      </c>
      <c r="K259" s="803"/>
      <c r="L259" s="650" t="s">
        <v>392</v>
      </c>
      <c r="M259" s="606">
        <f t="shared" si="29"/>
        <v>0</v>
      </c>
      <c r="N259" s="320"/>
      <c r="O259" s="320"/>
      <c r="P259" s="603">
        <f t="shared" si="30"/>
        <v>0</v>
      </c>
      <c r="Q259" s="604" t="str">
        <f t="shared" si="27"/>
        <v/>
      </c>
    </row>
    <row r="260" spans="1:17" ht="19.5" customHeight="1" x14ac:dyDescent="0.25">
      <c r="A260" s="802" t="s">
        <v>393</v>
      </c>
      <c r="B260" s="803"/>
      <c r="C260" s="651" t="s">
        <v>394</v>
      </c>
      <c r="D260" s="606">
        <f t="shared" si="28"/>
        <v>0</v>
      </c>
      <c r="J260" s="802" t="s">
        <v>393</v>
      </c>
      <c r="K260" s="803"/>
      <c r="L260" s="651" t="s">
        <v>394</v>
      </c>
      <c r="M260" s="606">
        <f t="shared" si="29"/>
        <v>0</v>
      </c>
      <c r="N260" s="320"/>
      <c r="O260" s="320"/>
      <c r="P260" s="603">
        <f t="shared" si="30"/>
        <v>0</v>
      </c>
      <c r="Q260" s="604"/>
    </row>
    <row r="261" spans="1:17" ht="19.5" customHeight="1" x14ac:dyDescent="0.25">
      <c r="A261" s="802" t="s">
        <v>395</v>
      </c>
      <c r="B261" s="803"/>
      <c r="C261" s="652" t="s">
        <v>232</v>
      </c>
      <c r="D261" s="606">
        <f t="shared" si="28"/>
        <v>0</v>
      </c>
      <c r="J261" s="802" t="s">
        <v>395</v>
      </c>
      <c r="K261" s="803"/>
      <c r="L261" s="652" t="s">
        <v>232</v>
      </c>
      <c r="M261" s="606">
        <f t="shared" si="29"/>
        <v>8</v>
      </c>
      <c r="N261" s="320"/>
      <c r="O261" s="320"/>
      <c r="P261" s="603">
        <f t="shared" si="30"/>
        <v>8</v>
      </c>
      <c r="Q261" s="604" t="str">
        <f t="shared" ref="Q261" si="31">IFERROR(P261/$J$4,"")</f>
        <v/>
      </c>
    </row>
    <row r="262" spans="1:17" ht="19.5" customHeight="1" x14ac:dyDescent="0.25">
      <c r="A262" s="802" t="s">
        <v>396</v>
      </c>
      <c r="B262" s="803"/>
      <c r="C262" s="653" t="s">
        <v>397</v>
      </c>
      <c r="D262" s="606">
        <f t="shared" si="28"/>
        <v>0</v>
      </c>
      <c r="J262" s="802" t="s">
        <v>396</v>
      </c>
      <c r="K262" s="803"/>
      <c r="L262" s="653" t="s">
        <v>397</v>
      </c>
      <c r="M262" s="606">
        <f t="shared" si="29"/>
        <v>0</v>
      </c>
      <c r="N262" s="320"/>
      <c r="O262" s="320"/>
      <c r="P262" s="603">
        <f t="shared" si="30"/>
        <v>0</v>
      </c>
      <c r="Q262" s="604" t="str">
        <f t="shared" si="27"/>
        <v/>
      </c>
    </row>
    <row r="263" spans="1:17" ht="19.5" customHeight="1" x14ac:dyDescent="0.25">
      <c r="A263" s="802" t="s">
        <v>398</v>
      </c>
      <c r="B263" s="803"/>
      <c r="C263" s="654" t="s">
        <v>399</v>
      </c>
      <c r="D263" s="606">
        <f t="shared" si="28"/>
        <v>0</v>
      </c>
      <c r="J263" s="802" t="s">
        <v>398</v>
      </c>
      <c r="K263" s="803"/>
      <c r="L263" s="654" t="s">
        <v>399</v>
      </c>
      <c r="M263" s="606">
        <f t="shared" si="29"/>
        <v>0</v>
      </c>
      <c r="N263" s="320"/>
      <c r="O263" s="320"/>
      <c r="P263" s="603">
        <f t="shared" si="30"/>
        <v>0</v>
      </c>
      <c r="Q263" s="604" t="str">
        <f t="shared" si="27"/>
        <v/>
      </c>
    </row>
    <row r="264" spans="1:17" ht="19.5" customHeight="1" x14ac:dyDescent="0.25">
      <c r="A264" s="802" t="s">
        <v>245</v>
      </c>
      <c r="B264" s="803"/>
      <c r="C264" s="655" t="s">
        <v>245</v>
      </c>
      <c r="D264" s="606">
        <f t="shared" si="28"/>
        <v>1</v>
      </c>
      <c r="J264" s="802" t="s">
        <v>245</v>
      </c>
      <c r="K264" s="803"/>
      <c r="L264" s="655" t="s">
        <v>245</v>
      </c>
      <c r="M264" s="606">
        <f t="shared" si="29"/>
        <v>13</v>
      </c>
      <c r="N264" s="320"/>
      <c r="O264" s="320"/>
      <c r="P264" s="603">
        <f t="shared" si="30"/>
        <v>14</v>
      </c>
      <c r="Q264" s="604" t="str">
        <f t="shared" si="27"/>
        <v/>
      </c>
    </row>
    <row r="265" spans="1:17" ht="19.5" customHeight="1" x14ac:dyDescent="0.25">
      <c r="A265" s="802" t="s">
        <v>400</v>
      </c>
      <c r="B265" s="803"/>
      <c r="C265" s="656" t="s">
        <v>401</v>
      </c>
      <c r="D265" s="606">
        <f t="shared" si="28"/>
        <v>0</v>
      </c>
      <c r="J265" s="802" t="s">
        <v>400</v>
      </c>
      <c r="K265" s="803"/>
      <c r="L265" s="656" t="s">
        <v>401</v>
      </c>
      <c r="M265" s="606">
        <f t="shared" si="29"/>
        <v>0</v>
      </c>
      <c r="N265" s="320"/>
      <c r="O265" s="320"/>
      <c r="P265" s="603">
        <f t="shared" si="30"/>
        <v>0</v>
      </c>
      <c r="Q265" s="604" t="str">
        <f t="shared" si="27"/>
        <v/>
      </c>
    </row>
    <row r="266" spans="1:17" ht="19.5" customHeight="1" x14ac:dyDescent="0.25">
      <c r="A266" s="802" t="s">
        <v>402</v>
      </c>
      <c r="B266" s="803"/>
      <c r="C266" s="657" t="s">
        <v>403</v>
      </c>
      <c r="D266" s="606">
        <f t="shared" si="28"/>
        <v>0</v>
      </c>
      <c r="J266" s="802" t="s">
        <v>402</v>
      </c>
      <c r="K266" s="803"/>
      <c r="L266" s="657" t="s">
        <v>403</v>
      </c>
      <c r="M266" s="606">
        <f t="shared" si="29"/>
        <v>0</v>
      </c>
      <c r="N266" s="320"/>
      <c r="O266" s="320"/>
      <c r="P266" s="603">
        <f t="shared" si="30"/>
        <v>0</v>
      </c>
      <c r="Q266" s="604" t="str">
        <f t="shared" si="27"/>
        <v/>
      </c>
    </row>
    <row r="267" spans="1:17" ht="19.5" customHeight="1" x14ac:dyDescent="0.25">
      <c r="A267" s="802" t="s">
        <v>404</v>
      </c>
      <c r="B267" s="803"/>
      <c r="C267" s="658" t="s">
        <v>405</v>
      </c>
      <c r="D267" s="606">
        <f t="shared" si="28"/>
        <v>0</v>
      </c>
      <c r="J267" s="802" t="s">
        <v>404</v>
      </c>
      <c r="K267" s="803"/>
      <c r="L267" s="658" t="s">
        <v>405</v>
      </c>
      <c r="M267" s="606">
        <f t="shared" si="29"/>
        <v>0</v>
      </c>
      <c r="N267" s="320"/>
      <c r="O267" s="320"/>
      <c r="P267" s="603">
        <f t="shared" si="30"/>
        <v>0</v>
      </c>
      <c r="Q267" s="604" t="str">
        <f t="shared" si="27"/>
        <v/>
      </c>
    </row>
    <row r="268" spans="1:17" ht="19.5" customHeight="1" x14ac:dyDescent="0.25">
      <c r="A268" s="802" t="s">
        <v>406</v>
      </c>
      <c r="B268" s="803"/>
      <c r="C268" s="658" t="s">
        <v>407</v>
      </c>
      <c r="D268" s="606">
        <f t="shared" si="28"/>
        <v>0</v>
      </c>
      <c r="J268" s="802" t="s">
        <v>406</v>
      </c>
      <c r="K268" s="803"/>
      <c r="L268" s="658" t="s">
        <v>407</v>
      </c>
      <c r="M268" s="606">
        <f t="shared" si="29"/>
        <v>0</v>
      </c>
      <c r="N268" s="320"/>
      <c r="O268" s="320"/>
      <c r="P268" s="603">
        <f t="shared" si="30"/>
        <v>0</v>
      </c>
      <c r="Q268" s="604" t="str">
        <f t="shared" si="27"/>
        <v/>
      </c>
    </row>
    <row r="269" spans="1:17" ht="19.5" customHeight="1" x14ac:dyDescent="0.25">
      <c r="A269" s="802" t="s">
        <v>408</v>
      </c>
      <c r="B269" s="803"/>
      <c r="C269" s="493" t="s">
        <v>409</v>
      </c>
      <c r="D269" s="606">
        <f t="shared" si="28"/>
        <v>0</v>
      </c>
      <c r="J269" s="802" t="s">
        <v>408</v>
      </c>
      <c r="K269" s="803"/>
      <c r="L269" s="493" t="s">
        <v>409</v>
      </c>
      <c r="M269" s="606">
        <f t="shared" si="29"/>
        <v>0</v>
      </c>
      <c r="N269" s="320"/>
      <c r="O269" s="320"/>
      <c r="P269" s="603">
        <f t="shared" si="30"/>
        <v>0</v>
      </c>
      <c r="Q269" s="604" t="str">
        <f t="shared" si="27"/>
        <v/>
      </c>
    </row>
    <row r="270" spans="1:17" ht="19.5" customHeight="1" x14ac:dyDescent="0.25">
      <c r="A270" s="802" t="s">
        <v>410</v>
      </c>
      <c r="B270" s="803"/>
      <c r="C270" s="659" t="s">
        <v>411</v>
      </c>
      <c r="D270" s="606">
        <f t="shared" si="28"/>
        <v>0</v>
      </c>
      <c r="J270" s="802" t="s">
        <v>410</v>
      </c>
      <c r="K270" s="803"/>
      <c r="L270" s="659" t="s">
        <v>411</v>
      </c>
      <c r="M270" s="606">
        <f t="shared" si="29"/>
        <v>0</v>
      </c>
      <c r="N270" s="320"/>
      <c r="O270" s="320"/>
      <c r="P270" s="603">
        <f t="shared" si="30"/>
        <v>0</v>
      </c>
      <c r="Q270" s="604" t="str">
        <f t="shared" si="27"/>
        <v/>
      </c>
    </row>
    <row r="271" spans="1:17" ht="19.5" customHeight="1" x14ac:dyDescent="0.25">
      <c r="A271" s="802" t="s">
        <v>412</v>
      </c>
      <c r="B271" s="803"/>
      <c r="C271" s="659" t="s">
        <v>413</v>
      </c>
      <c r="D271" s="606">
        <f t="shared" si="28"/>
        <v>0</v>
      </c>
      <c r="J271" s="802" t="s">
        <v>412</v>
      </c>
      <c r="K271" s="803"/>
      <c r="L271" s="659" t="s">
        <v>413</v>
      </c>
      <c r="M271" s="606">
        <f t="shared" si="29"/>
        <v>0</v>
      </c>
      <c r="N271" s="320"/>
      <c r="O271" s="320"/>
      <c r="P271" s="603">
        <f t="shared" si="30"/>
        <v>0</v>
      </c>
      <c r="Q271" s="604" t="str">
        <f t="shared" si="27"/>
        <v/>
      </c>
    </row>
    <row r="272" spans="1:17" ht="19.5" customHeight="1" x14ac:dyDescent="0.25">
      <c r="A272" s="802" t="s">
        <v>414</v>
      </c>
      <c r="B272" s="803"/>
      <c r="C272" s="660" t="s">
        <v>415</v>
      </c>
      <c r="D272" s="606">
        <f t="shared" si="28"/>
        <v>0</v>
      </c>
      <c r="J272" s="802" t="s">
        <v>414</v>
      </c>
      <c r="K272" s="803"/>
      <c r="L272" s="660" t="s">
        <v>415</v>
      </c>
      <c r="M272" s="606">
        <f t="shared" si="29"/>
        <v>0</v>
      </c>
      <c r="N272" s="320"/>
      <c r="O272" s="320"/>
      <c r="P272" s="603">
        <f t="shared" si="30"/>
        <v>0</v>
      </c>
      <c r="Q272" s="604" t="str">
        <f t="shared" si="27"/>
        <v/>
      </c>
    </row>
    <row r="273" spans="1:17" ht="19.5" customHeight="1" x14ac:dyDescent="0.25">
      <c r="A273" s="802" t="s">
        <v>416</v>
      </c>
      <c r="B273" s="803"/>
      <c r="C273" s="661" t="s">
        <v>417</v>
      </c>
      <c r="D273" s="606">
        <f t="shared" si="28"/>
        <v>0</v>
      </c>
      <c r="J273" s="802" t="s">
        <v>416</v>
      </c>
      <c r="K273" s="803"/>
      <c r="L273" s="661" t="s">
        <v>417</v>
      </c>
      <c r="M273" s="606">
        <f t="shared" si="29"/>
        <v>0</v>
      </c>
      <c r="N273" s="320"/>
      <c r="O273" s="320"/>
      <c r="P273" s="603">
        <f t="shared" si="30"/>
        <v>0</v>
      </c>
      <c r="Q273" s="604" t="str">
        <f t="shared" si="27"/>
        <v/>
      </c>
    </row>
    <row r="274" spans="1:17" ht="19.5" customHeight="1" x14ac:dyDescent="0.25">
      <c r="A274" s="802" t="s">
        <v>418</v>
      </c>
      <c r="B274" s="803"/>
      <c r="C274" s="662" t="s">
        <v>419</v>
      </c>
      <c r="D274" s="606">
        <f t="shared" si="28"/>
        <v>0</v>
      </c>
      <c r="J274" s="802" t="s">
        <v>418</v>
      </c>
      <c r="K274" s="803"/>
      <c r="L274" s="662" t="s">
        <v>419</v>
      </c>
      <c r="M274" s="606">
        <f t="shared" si="29"/>
        <v>0</v>
      </c>
      <c r="N274" s="320"/>
      <c r="O274" s="320"/>
      <c r="P274" s="603">
        <f t="shared" si="30"/>
        <v>0</v>
      </c>
      <c r="Q274" s="604" t="str">
        <f t="shared" si="27"/>
        <v/>
      </c>
    </row>
    <row r="275" spans="1:17" ht="19.5" customHeight="1" x14ac:dyDescent="0.25">
      <c r="A275" s="802" t="s">
        <v>249</v>
      </c>
      <c r="B275" s="803"/>
      <c r="C275" s="663" t="s">
        <v>249</v>
      </c>
      <c r="D275" s="606">
        <f t="shared" si="28"/>
        <v>0</v>
      </c>
      <c r="J275" s="802" t="s">
        <v>249</v>
      </c>
      <c r="K275" s="803"/>
      <c r="L275" s="663" t="s">
        <v>249</v>
      </c>
      <c r="M275" s="606">
        <f t="shared" si="29"/>
        <v>26</v>
      </c>
      <c r="N275" s="320"/>
      <c r="O275" s="320"/>
      <c r="P275" s="603">
        <f t="shared" si="30"/>
        <v>26</v>
      </c>
      <c r="Q275" s="604" t="str">
        <f t="shared" si="27"/>
        <v/>
      </c>
    </row>
    <row r="276" spans="1:17" ht="19.5" customHeight="1" x14ac:dyDescent="0.25">
      <c r="A276" s="802" t="s">
        <v>420</v>
      </c>
      <c r="B276" s="803"/>
      <c r="C276" s="664" t="s">
        <v>421</v>
      </c>
      <c r="D276" s="606">
        <f t="shared" si="28"/>
        <v>0</v>
      </c>
      <c r="J276" s="802" t="s">
        <v>420</v>
      </c>
      <c r="K276" s="803"/>
      <c r="L276" s="664" t="s">
        <v>421</v>
      </c>
      <c r="M276" s="606">
        <f t="shared" si="29"/>
        <v>0</v>
      </c>
      <c r="N276" s="320"/>
      <c r="O276" s="320"/>
      <c r="P276" s="603">
        <f t="shared" si="30"/>
        <v>0</v>
      </c>
      <c r="Q276" s="604" t="str">
        <f t="shared" si="27"/>
        <v/>
      </c>
    </row>
    <row r="277" spans="1:17" ht="19.5" customHeight="1" x14ac:dyDescent="0.25">
      <c r="A277" s="802" t="s">
        <v>422</v>
      </c>
      <c r="B277" s="803"/>
      <c r="C277" s="665" t="s">
        <v>423</v>
      </c>
      <c r="D277" s="606">
        <f t="shared" si="28"/>
        <v>0</v>
      </c>
      <c r="J277" s="802" t="s">
        <v>422</v>
      </c>
      <c r="K277" s="803"/>
      <c r="L277" s="665" t="s">
        <v>423</v>
      </c>
      <c r="M277" s="606">
        <f t="shared" si="29"/>
        <v>0</v>
      </c>
      <c r="N277" s="320"/>
      <c r="O277" s="320"/>
      <c r="P277" s="603">
        <f t="shared" si="30"/>
        <v>0</v>
      </c>
      <c r="Q277" s="604" t="str">
        <f t="shared" si="27"/>
        <v/>
      </c>
    </row>
    <row r="278" spans="1:17" ht="19.5" customHeight="1" x14ac:dyDescent="0.25">
      <c r="A278" s="802" t="s">
        <v>424</v>
      </c>
      <c r="B278" s="803"/>
      <c r="C278" s="626" t="s">
        <v>425</v>
      </c>
      <c r="D278" s="606">
        <f t="shared" si="28"/>
        <v>0</v>
      </c>
      <c r="J278" s="802" t="s">
        <v>424</v>
      </c>
      <c r="K278" s="803"/>
      <c r="L278" s="626" t="s">
        <v>425</v>
      </c>
      <c r="M278" s="606">
        <f t="shared" si="29"/>
        <v>0</v>
      </c>
      <c r="N278" s="320"/>
      <c r="O278" s="320"/>
      <c r="P278" s="603">
        <f t="shared" si="30"/>
        <v>0</v>
      </c>
      <c r="Q278" s="604" t="str">
        <f t="shared" si="27"/>
        <v/>
      </c>
    </row>
    <row r="279" spans="1:17" ht="19.5" customHeight="1" x14ac:dyDescent="0.25">
      <c r="A279" s="802" t="s">
        <v>346</v>
      </c>
      <c r="B279" s="803"/>
      <c r="C279" s="626" t="s">
        <v>266</v>
      </c>
      <c r="D279" s="606">
        <f t="shared" si="28"/>
        <v>0</v>
      </c>
      <c r="J279" s="802" t="s">
        <v>346</v>
      </c>
      <c r="K279" s="803"/>
      <c r="L279" s="626" t="s">
        <v>266</v>
      </c>
      <c r="M279" s="606">
        <f t="shared" si="29"/>
        <v>4</v>
      </c>
      <c r="N279" s="320"/>
      <c r="O279" s="320"/>
      <c r="P279" s="603">
        <f t="shared" si="30"/>
        <v>4</v>
      </c>
      <c r="Q279" s="604" t="str">
        <f t="shared" ref="Q279:Q306" si="32">IFERROR(P279/$J$4,"")</f>
        <v/>
      </c>
    </row>
    <row r="280" spans="1:17" ht="19.5" customHeight="1" x14ac:dyDescent="0.25">
      <c r="A280" s="802" t="s">
        <v>426</v>
      </c>
      <c r="B280" s="803"/>
      <c r="C280" s="626" t="s">
        <v>427</v>
      </c>
      <c r="D280" s="606">
        <f t="shared" si="28"/>
        <v>0</v>
      </c>
      <c r="J280" s="802" t="s">
        <v>426</v>
      </c>
      <c r="K280" s="803"/>
      <c r="L280" s="626" t="s">
        <v>427</v>
      </c>
      <c r="M280" s="606">
        <f t="shared" si="29"/>
        <v>0</v>
      </c>
      <c r="N280" s="320"/>
      <c r="O280" s="320"/>
      <c r="P280" s="603">
        <f t="shared" si="30"/>
        <v>0</v>
      </c>
      <c r="Q280" s="604" t="str">
        <f t="shared" si="32"/>
        <v/>
      </c>
    </row>
    <row r="281" spans="1:17" ht="19.5" customHeight="1" x14ac:dyDescent="0.25">
      <c r="A281" s="802" t="s">
        <v>428</v>
      </c>
      <c r="B281" s="803"/>
      <c r="C281" s="666" t="s">
        <v>429</v>
      </c>
      <c r="D281" s="606">
        <f t="shared" si="28"/>
        <v>0</v>
      </c>
      <c r="J281" s="802" t="s">
        <v>428</v>
      </c>
      <c r="K281" s="803"/>
      <c r="L281" s="666" t="s">
        <v>429</v>
      </c>
      <c r="M281" s="606">
        <f t="shared" si="29"/>
        <v>0</v>
      </c>
      <c r="N281" s="320"/>
      <c r="O281" s="320"/>
      <c r="P281" s="603">
        <f t="shared" si="30"/>
        <v>0</v>
      </c>
      <c r="Q281" s="604" t="str">
        <f t="shared" si="32"/>
        <v/>
      </c>
    </row>
    <row r="282" spans="1:17" ht="19.5" customHeight="1" x14ac:dyDescent="0.25">
      <c r="A282" s="802" t="s">
        <v>430</v>
      </c>
      <c r="B282" s="803"/>
      <c r="C282" s="667" t="s">
        <v>430</v>
      </c>
      <c r="D282" s="606">
        <f t="shared" si="28"/>
        <v>0</v>
      </c>
      <c r="J282" s="802" t="s">
        <v>430</v>
      </c>
      <c r="K282" s="803"/>
      <c r="L282" s="667" t="s">
        <v>430</v>
      </c>
      <c r="M282" s="606">
        <f t="shared" si="29"/>
        <v>0</v>
      </c>
      <c r="N282" s="320"/>
      <c r="O282" s="320"/>
      <c r="P282" s="603">
        <f t="shared" si="30"/>
        <v>0</v>
      </c>
      <c r="Q282" s="604" t="str">
        <f t="shared" si="32"/>
        <v/>
      </c>
    </row>
    <row r="283" spans="1:17" ht="19.5" customHeight="1" x14ac:dyDescent="0.25">
      <c r="A283" s="802" t="s">
        <v>431</v>
      </c>
      <c r="B283" s="803"/>
      <c r="C283" s="612" t="s">
        <v>222</v>
      </c>
      <c r="D283" s="606">
        <f t="shared" si="28"/>
        <v>13</v>
      </c>
      <c r="J283" s="802" t="s">
        <v>431</v>
      </c>
      <c r="K283" s="803"/>
      <c r="L283" s="612" t="s">
        <v>222</v>
      </c>
      <c r="M283" s="606">
        <f t="shared" si="29"/>
        <v>71</v>
      </c>
      <c r="N283" s="320"/>
      <c r="O283" s="320"/>
      <c r="P283" s="603">
        <f t="shared" si="30"/>
        <v>84</v>
      </c>
      <c r="Q283" s="604" t="str">
        <f t="shared" si="32"/>
        <v/>
      </c>
    </row>
    <row r="284" spans="1:17" ht="19.5" customHeight="1" x14ac:dyDescent="0.25">
      <c r="A284" s="802" t="s">
        <v>432</v>
      </c>
      <c r="B284" s="803"/>
      <c r="C284" s="668" t="s">
        <v>433</v>
      </c>
      <c r="D284" s="606">
        <f t="shared" si="28"/>
        <v>0</v>
      </c>
      <c r="J284" s="802" t="s">
        <v>432</v>
      </c>
      <c r="K284" s="803"/>
      <c r="L284" s="668" t="s">
        <v>433</v>
      </c>
      <c r="M284" s="606">
        <f t="shared" si="29"/>
        <v>0</v>
      </c>
      <c r="N284" s="320"/>
      <c r="O284" s="320"/>
      <c r="P284" s="603">
        <f t="shared" si="30"/>
        <v>0</v>
      </c>
      <c r="Q284" s="604" t="str">
        <f t="shared" si="32"/>
        <v/>
      </c>
    </row>
    <row r="285" spans="1:17" ht="19.5" customHeight="1" x14ac:dyDescent="0.25">
      <c r="A285" s="802" t="s">
        <v>434</v>
      </c>
      <c r="B285" s="803"/>
      <c r="C285" s="669" t="s">
        <v>264</v>
      </c>
      <c r="D285" s="606">
        <f t="shared" si="28"/>
        <v>0</v>
      </c>
      <c r="J285" s="802" t="s">
        <v>434</v>
      </c>
      <c r="K285" s="803"/>
      <c r="L285" s="669" t="s">
        <v>264</v>
      </c>
      <c r="M285" s="606">
        <f t="shared" si="29"/>
        <v>6</v>
      </c>
      <c r="N285" s="320"/>
      <c r="O285" s="320"/>
      <c r="P285" s="603">
        <f t="shared" si="30"/>
        <v>6</v>
      </c>
      <c r="Q285" s="604" t="str">
        <f t="shared" si="32"/>
        <v/>
      </c>
    </row>
    <row r="286" spans="1:17" ht="19.5" customHeight="1" x14ac:dyDescent="0.25">
      <c r="A286" s="802" t="s">
        <v>435</v>
      </c>
      <c r="B286" s="803"/>
      <c r="C286" s="670" t="s">
        <v>436</v>
      </c>
      <c r="D286" s="606">
        <f t="shared" si="28"/>
        <v>0</v>
      </c>
      <c r="J286" s="802" t="s">
        <v>435</v>
      </c>
      <c r="K286" s="803"/>
      <c r="L286" s="670" t="s">
        <v>436</v>
      </c>
      <c r="M286" s="606">
        <f t="shared" si="29"/>
        <v>0</v>
      </c>
      <c r="N286" s="320"/>
      <c r="O286" s="320"/>
      <c r="P286" s="603">
        <f t="shared" si="30"/>
        <v>0</v>
      </c>
      <c r="Q286" s="604" t="str">
        <f t="shared" si="32"/>
        <v/>
      </c>
    </row>
    <row r="287" spans="1:17" ht="19.5" customHeight="1" x14ac:dyDescent="0.25">
      <c r="A287" s="802" t="s">
        <v>437</v>
      </c>
      <c r="B287" s="803"/>
      <c r="C287" s="671" t="s">
        <v>227</v>
      </c>
      <c r="D287" s="606">
        <f t="shared" si="28"/>
        <v>2</v>
      </c>
      <c r="J287" s="802" t="s">
        <v>437</v>
      </c>
      <c r="K287" s="803"/>
      <c r="L287" s="671" t="s">
        <v>227</v>
      </c>
      <c r="M287" s="606">
        <f t="shared" si="29"/>
        <v>26</v>
      </c>
      <c r="N287" s="320"/>
      <c r="O287" s="320"/>
      <c r="P287" s="603">
        <f t="shared" si="30"/>
        <v>28</v>
      </c>
      <c r="Q287" s="604" t="str">
        <f t="shared" si="32"/>
        <v/>
      </c>
    </row>
    <row r="288" spans="1:17" ht="19.5" customHeight="1" x14ac:dyDescent="0.25">
      <c r="A288" s="802" t="s">
        <v>438</v>
      </c>
      <c r="B288" s="803"/>
      <c r="C288" s="668" t="s">
        <v>439</v>
      </c>
      <c r="D288" s="606">
        <f t="shared" si="28"/>
        <v>0</v>
      </c>
      <c r="J288" s="802" t="s">
        <v>438</v>
      </c>
      <c r="K288" s="803"/>
      <c r="L288" s="668" t="s">
        <v>439</v>
      </c>
      <c r="M288" s="606">
        <f t="shared" si="29"/>
        <v>0</v>
      </c>
      <c r="N288" s="320"/>
      <c r="O288" s="320"/>
      <c r="P288" s="603">
        <f t="shared" si="30"/>
        <v>0</v>
      </c>
      <c r="Q288" s="604" t="str">
        <f t="shared" si="32"/>
        <v/>
      </c>
    </row>
    <row r="289" spans="1:17" ht="19.5" customHeight="1" x14ac:dyDescent="0.25">
      <c r="A289" s="802" t="s">
        <v>440</v>
      </c>
      <c r="B289" s="803"/>
      <c r="C289" s="672" t="s">
        <v>441</v>
      </c>
      <c r="D289" s="606">
        <f t="shared" si="28"/>
        <v>0</v>
      </c>
      <c r="J289" s="802" t="s">
        <v>440</v>
      </c>
      <c r="K289" s="803"/>
      <c r="L289" s="672" t="s">
        <v>441</v>
      </c>
      <c r="M289" s="606">
        <f t="shared" si="29"/>
        <v>0</v>
      </c>
      <c r="N289" s="320"/>
      <c r="O289" s="320"/>
      <c r="P289" s="603">
        <f t="shared" si="30"/>
        <v>0</v>
      </c>
      <c r="Q289" s="604" t="str">
        <f t="shared" si="32"/>
        <v/>
      </c>
    </row>
    <row r="290" spans="1:17" ht="19.5" customHeight="1" x14ac:dyDescent="0.25">
      <c r="A290" s="802" t="s">
        <v>442</v>
      </c>
      <c r="B290" s="803"/>
      <c r="C290" s="673" t="s">
        <v>443</v>
      </c>
      <c r="D290" s="606">
        <f t="shared" si="28"/>
        <v>0</v>
      </c>
      <c r="J290" s="802" t="s">
        <v>442</v>
      </c>
      <c r="K290" s="803"/>
      <c r="L290" s="673" t="s">
        <v>443</v>
      </c>
      <c r="M290" s="606">
        <f t="shared" si="29"/>
        <v>0</v>
      </c>
      <c r="N290" s="320"/>
      <c r="O290" s="320"/>
      <c r="P290" s="603">
        <f t="shared" si="30"/>
        <v>0</v>
      </c>
      <c r="Q290" s="604" t="str">
        <f t="shared" si="32"/>
        <v/>
      </c>
    </row>
    <row r="291" spans="1:17" ht="19.5" customHeight="1" x14ac:dyDescent="0.25">
      <c r="A291" s="802" t="s">
        <v>444</v>
      </c>
      <c r="B291" s="803"/>
      <c r="C291" s="674" t="s">
        <v>445</v>
      </c>
      <c r="D291" s="606">
        <f t="shared" si="28"/>
        <v>0</v>
      </c>
      <c r="J291" s="802" t="s">
        <v>444</v>
      </c>
      <c r="K291" s="803"/>
      <c r="L291" s="674" t="s">
        <v>445</v>
      </c>
      <c r="M291" s="606">
        <f t="shared" si="29"/>
        <v>0</v>
      </c>
      <c r="N291" s="320"/>
      <c r="O291" s="320"/>
      <c r="P291" s="603">
        <f t="shared" si="30"/>
        <v>0</v>
      </c>
      <c r="Q291" s="604" t="str">
        <f t="shared" si="32"/>
        <v/>
      </c>
    </row>
    <row r="292" spans="1:17" ht="19.5" customHeight="1" x14ac:dyDescent="0.25">
      <c r="A292" s="802" t="s">
        <v>446</v>
      </c>
      <c r="B292" s="803"/>
      <c r="C292" s="675" t="s">
        <v>447</v>
      </c>
      <c r="D292" s="606">
        <f t="shared" si="28"/>
        <v>0</v>
      </c>
      <c r="J292" s="802" t="s">
        <v>446</v>
      </c>
      <c r="K292" s="803"/>
      <c r="L292" s="675" t="s">
        <v>447</v>
      </c>
      <c r="M292" s="606">
        <f t="shared" si="29"/>
        <v>0</v>
      </c>
      <c r="N292" s="320"/>
      <c r="O292" s="320"/>
      <c r="P292" s="603">
        <f t="shared" si="30"/>
        <v>0</v>
      </c>
      <c r="Q292" s="604" t="str">
        <f t="shared" si="32"/>
        <v/>
      </c>
    </row>
    <row r="293" spans="1:17" ht="19.5" customHeight="1" x14ac:dyDescent="0.25">
      <c r="A293" s="802" t="s">
        <v>343</v>
      </c>
      <c r="B293" s="803"/>
      <c r="C293" s="675" t="s">
        <v>343</v>
      </c>
      <c r="D293" s="606">
        <f t="shared" si="28"/>
        <v>0</v>
      </c>
      <c r="J293" s="802" t="s">
        <v>343</v>
      </c>
      <c r="K293" s="803"/>
      <c r="L293" s="675" t="s">
        <v>343</v>
      </c>
      <c r="M293" s="606">
        <f t="shared" si="29"/>
        <v>0</v>
      </c>
      <c r="N293" s="320"/>
      <c r="O293" s="320"/>
      <c r="P293" s="603">
        <f t="shared" si="30"/>
        <v>0</v>
      </c>
      <c r="Q293" s="604" t="str">
        <f t="shared" si="32"/>
        <v/>
      </c>
    </row>
    <row r="294" spans="1:17" ht="19.5" customHeight="1" x14ac:dyDescent="0.25">
      <c r="A294" s="802" t="s">
        <v>315</v>
      </c>
      <c r="B294" s="803"/>
      <c r="C294" s="676" t="s">
        <v>448</v>
      </c>
      <c r="D294" s="606">
        <f t="shared" si="28"/>
        <v>0</v>
      </c>
      <c r="J294" s="802" t="s">
        <v>315</v>
      </c>
      <c r="K294" s="803"/>
      <c r="L294" s="676" t="s">
        <v>448</v>
      </c>
      <c r="M294" s="606">
        <f t="shared" si="29"/>
        <v>0</v>
      </c>
      <c r="N294" s="320"/>
      <c r="O294" s="320"/>
      <c r="P294" s="603">
        <f t="shared" si="30"/>
        <v>0</v>
      </c>
      <c r="Q294" s="604" t="str">
        <f t="shared" si="32"/>
        <v/>
      </c>
    </row>
    <row r="295" spans="1:17" ht="19.5" customHeight="1" x14ac:dyDescent="0.25">
      <c r="A295" s="802" t="s">
        <v>449</v>
      </c>
      <c r="B295" s="803"/>
      <c r="C295" s="677" t="s">
        <v>225</v>
      </c>
      <c r="D295" s="606">
        <f t="shared" si="28"/>
        <v>2</v>
      </c>
      <c r="J295" s="802" t="s">
        <v>449</v>
      </c>
      <c r="K295" s="803"/>
      <c r="L295" s="677" t="s">
        <v>225</v>
      </c>
      <c r="M295" s="606">
        <f t="shared" si="29"/>
        <v>36</v>
      </c>
      <c r="N295" s="320"/>
      <c r="O295" s="320"/>
      <c r="P295" s="603">
        <f t="shared" si="30"/>
        <v>38</v>
      </c>
      <c r="Q295" s="604" t="str">
        <f t="shared" si="32"/>
        <v/>
      </c>
    </row>
    <row r="296" spans="1:17" ht="19.5" customHeight="1" x14ac:dyDescent="0.25">
      <c r="A296" s="802" t="s">
        <v>450</v>
      </c>
      <c r="B296" s="803"/>
      <c r="C296" s="678" t="s">
        <v>451</v>
      </c>
      <c r="D296" s="606">
        <f t="shared" si="28"/>
        <v>0</v>
      </c>
      <c r="J296" s="802" t="s">
        <v>450</v>
      </c>
      <c r="K296" s="803"/>
      <c r="L296" s="678" t="s">
        <v>451</v>
      </c>
      <c r="M296" s="606">
        <f t="shared" si="29"/>
        <v>0</v>
      </c>
      <c r="N296" s="320"/>
      <c r="O296" s="320"/>
      <c r="P296" s="603">
        <f t="shared" si="30"/>
        <v>0</v>
      </c>
      <c r="Q296" s="604" t="str">
        <f t="shared" si="32"/>
        <v/>
      </c>
    </row>
    <row r="297" spans="1:17" ht="19.5" customHeight="1" x14ac:dyDescent="0.25">
      <c r="A297" s="802" t="s">
        <v>452</v>
      </c>
      <c r="B297" s="803"/>
      <c r="C297" s="679" t="s">
        <v>453</v>
      </c>
      <c r="D297" s="606">
        <f t="shared" si="28"/>
        <v>0</v>
      </c>
      <c r="J297" s="802" t="s">
        <v>452</v>
      </c>
      <c r="K297" s="803"/>
      <c r="L297" s="679" t="s">
        <v>453</v>
      </c>
      <c r="M297" s="606">
        <f t="shared" si="29"/>
        <v>0</v>
      </c>
      <c r="N297" s="320"/>
      <c r="O297" s="320"/>
      <c r="P297" s="603">
        <f t="shared" si="30"/>
        <v>0</v>
      </c>
      <c r="Q297" s="604" t="str">
        <f t="shared" si="32"/>
        <v/>
      </c>
    </row>
    <row r="298" spans="1:17" ht="19.5" customHeight="1" x14ac:dyDescent="0.25">
      <c r="A298" s="802" t="s">
        <v>454</v>
      </c>
      <c r="B298" s="803"/>
      <c r="C298" s="679" t="s">
        <v>455</v>
      </c>
      <c r="D298" s="606">
        <f t="shared" si="28"/>
        <v>0</v>
      </c>
      <c r="J298" s="802" t="s">
        <v>454</v>
      </c>
      <c r="K298" s="803"/>
      <c r="L298" s="679" t="s">
        <v>455</v>
      </c>
      <c r="M298" s="606">
        <f t="shared" si="29"/>
        <v>0</v>
      </c>
      <c r="N298" s="320"/>
      <c r="O298" s="320"/>
      <c r="P298" s="603">
        <f t="shared" si="30"/>
        <v>0</v>
      </c>
      <c r="Q298" s="604" t="str">
        <f t="shared" si="32"/>
        <v/>
      </c>
    </row>
    <row r="299" spans="1:17" ht="19.5" customHeight="1" x14ac:dyDescent="0.25">
      <c r="A299" s="802" t="s">
        <v>456</v>
      </c>
      <c r="B299" s="803"/>
      <c r="C299" s="680" t="s">
        <v>457</v>
      </c>
      <c r="D299" s="606">
        <f t="shared" ref="D299:D306" si="33">COUNTIF($A$4:$AJ$76,C299)</f>
        <v>0</v>
      </c>
      <c r="J299" s="802" t="s">
        <v>456</v>
      </c>
      <c r="K299" s="803"/>
      <c r="L299" s="680" t="s">
        <v>457</v>
      </c>
      <c r="M299" s="606">
        <f t="shared" ref="M299:M306" si="34">COUNTIF($AN$6:$DC$76,L299)</f>
        <v>0</v>
      </c>
      <c r="N299" s="320"/>
      <c r="O299" s="320"/>
      <c r="P299" s="603">
        <f t="shared" ref="P299:P306" si="35">D299+M299</f>
        <v>0</v>
      </c>
      <c r="Q299" s="604" t="str">
        <f t="shared" si="32"/>
        <v/>
      </c>
    </row>
    <row r="300" spans="1:17" ht="19.5" customHeight="1" x14ac:dyDescent="0.25">
      <c r="A300" s="802" t="s">
        <v>458</v>
      </c>
      <c r="B300" s="803"/>
      <c r="C300" s="671" t="s">
        <v>459</v>
      </c>
      <c r="D300" s="606">
        <f t="shared" si="33"/>
        <v>0</v>
      </c>
      <c r="J300" s="802" t="s">
        <v>458</v>
      </c>
      <c r="K300" s="803"/>
      <c r="L300" s="671" t="s">
        <v>459</v>
      </c>
      <c r="M300" s="606">
        <f t="shared" si="34"/>
        <v>0</v>
      </c>
      <c r="N300" s="320"/>
      <c r="O300" s="320"/>
      <c r="P300" s="603">
        <f t="shared" si="35"/>
        <v>0</v>
      </c>
      <c r="Q300" s="604" t="str">
        <f t="shared" si="32"/>
        <v/>
      </c>
    </row>
    <row r="301" spans="1:17" ht="19.5" customHeight="1" x14ac:dyDescent="0.25">
      <c r="A301" s="802" t="s">
        <v>460</v>
      </c>
      <c r="B301" s="803"/>
      <c r="C301" s="678" t="s">
        <v>461</v>
      </c>
      <c r="D301" s="606">
        <f t="shared" si="33"/>
        <v>0</v>
      </c>
      <c r="J301" s="802" t="s">
        <v>460</v>
      </c>
      <c r="K301" s="803"/>
      <c r="L301" s="678" t="s">
        <v>461</v>
      </c>
      <c r="M301" s="606">
        <f t="shared" si="34"/>
        <v>0</v>
      </c>
      <c r="N301" s="320"/>
      <c r="O301" s="320"/>
      <c r="P301" s="603">
        <f t="shared" si="35"/>
        <v>0</v>
      </c>
      <c r="Q301" s="604" t="str">
        <f t="shared" si="32"/>
        <v/>
      </c>
    </row>
    <row r="302" spans="1:17" ht="19.5" customHeight="1" x14ac:dyDescent="0.25">
      <c r="A302" s="802" t="s">
        <v>462</v>
      </c>
      <c r="B302" s="803"/>
      <c r="C302" s="681" t="s">
        <v>463</v>
      </c>
      <c r="D302" s="606">
        <f t="shared" si="33"/>
        <v>0</v>
      </c>
      <c r="J302" s="802" t="s">
        <v>462</v>
      </c>
      <c r="K302" s="803"/>
      <c r="L302" s="681" t="s">
        <v>463</v>
      </c>
      <c r="M302" s="606">
        <f t="shared" si="34"/>
        <v>0</v>
      </c>
      <c r="P302" s="603">
        <f t="shared" si="35"/>
        <v>0</v>
      </c>
      <c r="Q302" s="604" t="str">
        <f t="shared" si="32"/>
        <v/>
      </c>
    </row>
    <row r="303" spans="1:17" ht="19.5" customHeight="1" x14ac:dyDescent="0.25">
      <c r="A303" s="802" t="s">
        <v>464</v>
      </c>
      <c r="B303" s="803"/>
      <c r="C303" s="682" t="s">
        <v>464</v>
      </c>
      <c r="D303" s="606">
        <f t="shared" si="33"/>
        <v>0</v>
      </c>
      <c r="J303" s="802" t="s">
        <v>464</v>
      </c>
      <c r="K303" s="803"/>
      <c r="L303" s="682" t="s">
        <v>464</v>
      </c>
      <c r="M303" s="606">
        <f t="shared" si="34"/>
        <v>0</v>
      </c>
      <c r="P303" s="603">
        <f t="shared" si="35"/>
        <v>0</v>
      </c>
      <c r="Q303" s="604" t="str">
        <f t="shared" si="32"/>
        <v/>
      </c>
    </row>
    <row r="304" spans="1:17" ht="19.5" customHeight="1" x14ac:dyDescent="0.25">
      <c r="A304" s="802" t="s">
        <v>465</v>
      </c>
      <c r="B304" s="803"/>
      <c r="C304" s="613" t="s">
        <v>237</v>
      </c>
      <c r="D304" s="606">
        <f t="shared" si="33"/>
        <v>4</v>
      </c>
      <c r="J304" s="802" t="s">
        <v>465</v>
      </c>
      <c r="K304" s="803"/>
      <c r="L304" s="613" t="s">
        <v>237</v>
      </c>
      <c r="M304" s="606">
        <f t="shared" si="34"/>
        <v>0</v>
      </c>
      <c r="P304" s="603">
        <f t="shared" si="35"/>
        <v>4</v>
      </c>
      <c r="Q304" s="604" t="str">
        <f t="shared" si="32"/>
        <v/>
      </c>
    </row>
    <row r="305" spans="1:17" ht="19.5" customHeight="1" x14ac:dyDescent="0.25">
      <c r="A305" s="802" t="s">
        <v>466</v>
      </c>
      <c r="B305" s="803"/>
      <c r="C305" s="493" t="s">
        <v>240</v>
      </c>
      <c r="D305" s="606">
        <f t="shared" si="33"/>
        <v>0</v>
      </c>
      <c r="J305" s="802" t="s">
        <v>466</v>
      </c>
      <c r="K305" s="803"/>
      <c r="L305" s="493" t="s">
        <v>240</v>
      </c>
      <c r="M305" s="606">
        <f t="shared" si="34"/>
        <v>7</v>
      </c>
      <c r="P305" s="603">
        <f t="shared" si="35"/>
        <v>7</v>
      </c>
      <c r="Q305" s="604" t="str">
        <f t="shared" si="32"/>
        <v/>
      </c>
    </row>
    <row r="306" spans="1:17" ht="19.5" customHeight="1" thickBot="1" x14ac:dyDescent="0.3">
      <c r="A306" s="802" t="s">
        <v>467</v>
      </c>
      <c r="B306" s="803"/>
      <c r="C306" s="683" t="s">
        <v>468</v>
      </c>
      <c r="D306" s="606">
        <f t="shared" si="33"/>
        <v>0</v>
      </c>
      <c r="J306" s="802" t="s">
        <v>467</v>
      </c>
      <c r="K306" s="803"/>
      <c r="L306" s="683" t="s">
        <v>468</v>
      </c>
      <c r="M306" s="606">
        <f t="shared" si="34"/>
        <v>0</v>
      </c>
      <c r="P306" s="603">
        <f t="shared" si="35"/>
        <v>0</v>
      </c>
      <c r="Q306" s="345" t="str">
        <f t="shared" si="32"/>
        <v/>
      </c>
    </row>
    <row r="307" spans="1:17" ht="19.5" customHeight="1" thickTop="1" x14ac:dyDescent="0.25"/>
    <row r="312" spans="1:17" ht="19.5" customHeight="1" x14ac:dyDescent="0.25">
      <c r="A312" s="804" t="s">
        <v>469</v>
      </c>
      <c r="B312" s="804"/>
      <c r="C312" s="804"/>
      <c r="D312" s="804"/>
      <c r="E312" s="804"/>
      <c r="F312" s="804"/>
      <c r="G312" s="804"/>
      <c r="H312" s="804"/>
      <c r="I312" s="804"/>
      <c r="J312" s="804"/>
      <c r="K312" s="804"/>
      <c r="L312" s="804"/>
      <c r="M312" s="804"/>
      <c r="N312" s="804"/>
      <c r="O312" s="804"/>
      <c r="P312" s="804"/>
      <c r="Q312" s="804"/>
    </row>
    <row r="313" spans="1:17" ht="19.5" customHeight="1" x14ac:dyDescent="0.25">
      <c r="A313" s="804"/>
      <c r="B313" s="804"/>
      <c r="C313" s="804"/>
      <c r="D313" s="804"/>
      <c r="E313" s="804"/>
      <c r="F313" s="804"/>
      <c r="G313" s="804"/>
      <c r="H313" s="804"/>
      <c r="I313" s="804"/>
      <c r="J313" s="804"/>
      <c r="K313" s="804"/>
      <c r="L313" s="804"/>
      <c r="M313" s="804"/>
      <c r="N313" s="804"/>
      <c r="O313" s="804"/>
      <c r="P313" s="804"/>
      <c r="Q313" s="804"/>
    </row>
    <row r="314" spans="1:17" ht="19.5" customHeight="1" thickBot="1" x14ac:dyDescent="0.3"/>
    <row r="315" spans="1:17" ht="19.5" customHeight="1" thickBot="1" x14ac:dyDescent="0.3">
      <c r="A315" s="805" t="s">
        <v>470</v>
      </c>
      <c r="B315" s="806"/>
      <c r="C315" s="806"/>
      <c r="D315" s="807"/>
      <c r="E315" s="346">
        <f>F317+O317</f>
        <v>5</v>
      </c>
    </row>
    <row r="316" spans="1:17" ht="19.5" customHeight="1" thickBot="1" x14ac:dyDescent="0.3"/>
    <row r="317" spans="1:17" ht="19.5" customHeight="1" thickBot="1" x14ac:dyDescent="0.4">
      <c r="A317" s="797" t="s">
        <v>471</v>
      </c>
      <c r="B317" s="798"/>
      <c r="C317" s="798"/>
      <c r="D317" s="798"/>
      <c r="E317" s="799"/>
      <c r="F317" s="800">
        <f>SUM(E427,E348,E452,E460,E466,E480,E492)</f>
        <v>1</v>
      </c>
      <c r="G317" s="801"/>
      <c r="J317" s="797" t="s">
        <v>472</v>
      </c>
      <c r="K317" s="798"/>
      <c r="L317" s="798"/>
      <c r="M317" s="798"/>
      <c r="N317" s="799"/>
      <c r="O317" s="800">
        <f>SUM(N348,N427,N452,N460,N466,N480,N492)</f>
        <v>4</v>
      </c>
      <c r="P317" s="801"/>
    </row>
    <row r="318" spans="1:17" ht="19.5" customHeight="1" thickBot="1" x14ac:dyDescent="0.4">
      <c r="A318" s="337"/>
      <c r="B318" s="338"/>
      <c r="C318" s="338"/>
      <c r="D318" s="338"/>
      <c r="E318" s="339"/>
      <c r="F318" s="339"/>
      <c r="G318" s="339"/>
      <c r="J318" s="339"/>
      <c r="K318" s="339"/>
      <c r="L318" s="339"/>
      <c r="M318" s="339"/>
      <c r="N318" s="339"/>
      <c r="O318" s="339"/>
      <c r="P318" s="339"/>
      <c r="Q318" s="339"/>
    </row>
    <row r="319" spans="1:17" ht="19.5" customHeight="1" thickBot="1" x14ac:dyDescent="0.3">
      <c r="A319" s="791" t="s">
        <v>473</v>
      </c>
      <c r="B319" s="792"/>
      <c r="C319" s="792"/>
      <c r="D319" s="793"/>
      <c r="J319" s="791" t="s">
        <v>473</v>
      </c>
      <c r="K319" s="792"/>
      <c r="L319" s="792"/>
      <c r="M319" s="793"/>
    </row>
    <row r="320" spans="1:17" ht="19.5" customHeight="1" x14ac:dyDescent="0.25">
      <c r="A320" s="787" t="s">
        <v>474</v>
      </c>
      <c r="B320" s="788"/>
      <c r="C320" s="789"/>
      <c r="D320" s="210" t="s">
        <v>475</v>
      </c>
      <c r="E320" s="606">
        <f t="shared" ref="E320:E347" si="36">COUNTIF($A$4:$AJ$76,D320)</f>
        <v>0</v>
      </c>
      <c r="J320" s="787" t="s">
        <v>474</v>
      </c>
      <c r="K320" s="788"/>
      <c r="L320" s="789"/>
      <c r="M320" s="210" t="s">
        <v>475</v>
      </c>
      <c r="N320" s="606">
        <f t="shared" ref="N320:N347" si="37">COUNTIF($AN$6:$DC$76,M320)</f>
        <v>0</v>
      </c>
    </row>
    <row r="321" spans="1:14" ht="19.5" customHeight="1" x14ac:dyDescent="0.25">
      <c r="A321" s="787" t="s">
        <v>476</v>
      </c>
      <c r="B321" s="788"/>
      <c r="C321" s="789"/>
      <c r="D321" s="210" t="s">
        <v>477</v>
      </c>
      <c r="E321" s="606">
        <f t="shared" si="36"/>
        <v>0</v>
      </c>
      <c r="J321" s="787" t="s">
        <v>476</v>
      </c>
      <c r="K321" s="788"/>
      <c r="L321" s="789"/>
      <c r="M321" s="210" t="s">
        <v>477</v>
      </c>
      <c r="N321" s="606">
        <f t="shared" si="37"/>
        <v>0</v>
      </c>
    </row>
    <row r="322" spans="1:14" ht="19.5" customHeight="1" x14ac:dyDescent="0.25">
      <c r="A322" s="787" t="s">
        <v>478</v>
      </c>
      <c r="B322" s="788"/>
      <c r="C322" s="789"/>
      <c r="D322" s="210" t="s">
        <v>479</v>
      </c>
      <c r="E322" s="606">
        <f t="shared" si="36"/>
        <v>0</v>
      </c>
      <c r="J322" s="787" t="s">
        <v>478</v>
      </c>
      <c r="K322" s="788"/>
      <c r="L322" s="789"/>
      <c r="M322" s="210" t="s">
        <v>479</v>
      </c>
      <c r="N322" s="606">
        <f t="shared" si="37"/>
        <v>0</v>
      </c>
    </row>
    <row r="323" spans="1:14" ht="19.5" customHeight="1" x14ac:dyDescent="0.25">
      <c r="A323" s="787" t="s">
        <v>480</v>
      </c>
      <c r="B323" s="788"/>
      <c r="C323" s="789"/>
      <c r="D323" s="210" t="s">
        <v>481</v>
      </c>
      <c r="E323" s="606">
        <f t="shared" si="36"/>
        <v>0</v>
      </c>
      <c r="J323" s="787" t="s">
        <v>480</v>
      </c>
      <c r="K323" s="788"/>
      <c r="L323" s="789"/>
      <c r="M323" s="210" t="s">
        <v>481</v>
      </c>
      <c r="N323" s="606">
        <f t="shared" si="37"/>
        <v>0</v>
      </c>
    </row>
    <row r="324" spans="1:14" ht="19.5" customHeight="1" x14ac:dyDescent="0.25">
      <c r="A324" s="787" t="s">
        <v>482</v>
      </c>
      <c r="B324" s="788"/>
      <c r="C324" s="789"/>
      <c r="D324" s="210" t="s">
        <v>483</v>
      </c>
      <c r="E324" s="606">
        <f t="shared" si="36"/>
        <v>0</v>
      </c>
      <c r="J324" s="787" t="s">
        <v>482</v>
      </c>
      <c r="K324" s="788"/>
      <c r="L324" s="789"/>
      <c r="M324" s="210" t="s">
        <v>483</v>
      </c>
      <c r="N324" s="606">
        <f t="shared" si="37"/>
        <v>0</v>
      </c>
    </row>
    <row r="325" spans="1:14" ht="19.5" customHeight="1" x14ac:dyDescent="0.25">
      <c r="A325" s="787" t="s">
        <v>484</v>
      </c>
      <c r="B325" s="788"/>
      <c r="C325" s="789"/>
      <c r="D325" s="210" t="s">
        <v>485</v>
      </c>
      <c r="E325" s="606">
        <f t="shared" si="36"/>
        <v>0</v>
      </c>
      <c r="J325" s="787" t="s">
        <v>484</v>
      </c>
      <c r="K325" s="788"/>
      <c r="L325" s="789"/>
      <c r="M325" s="210" t="s">
        <v>485</v>
      </c>
      <c r="N325" s="606">
        <f t="shared" si="37"/>
        <v>0</v>
      </c>
    </row>
    <row r="326" spans="1:14" ht="19.5" customHeight="1" x14ac:dyDescent="0.25">
      <c r="A326" s="787" t="s">
        <v>486</v>
      </c>
      <c r="B326" s="788"/>
      <c r="C326" s="789"/>
      <c r="D326" s="210" t="s">
        <v>487</v>
      </c>
      <c r="E326" s="606">
        <f t="shared" si="36"/>
        <v>0</v>
      </c>
      <c r="J326" s="787" t="s">
        <v>486</v>
      </c>
      <c r="K326" s="788"/>
      <c r="L326" s="789"/>
      <c r="M326" s="210" t="s">
        <v>487</v>
      </c>
      <c r="N326" s="606">
        <f t="shared" si="37"/>
        <v>0</v>
      </c>
    </row>
    <row r="327" spans="1:14" ht="19.5" customHeight="1" x14ac:dyDescent="0.25">
      <c r="A327" s="787" t="s">
        <v>488</v>
      </c>
      <c r="B327" s="788"/>
      <c r="C327" s="789"/>
      <c r="D327" s="210" t="s">
        <v>489</v>
      </c>
      <c r="E327" s="606">
        <f t="shared" si="36"/>
        <v>0</v>
      </c>
      <c r="J327" s="787" t="s">
        <v>488</v>
      </c>
      <c r="K327" s="788"/>
      <c r="L327" s="789"/>
      <c r="M327" s="210" t="s">
        <v>489</v>
      </c>
      <c r="N327" s="606">
        <f t="shared" si="37"/>
        <v>0</v>
      </c>
    </row>
    <row r="328" spans="1:14" ht="19.5" customHeight="1" x14ac:dyDescent="0.25">
      <c r="A328" s="787" t="s">
        <v>490</v>
      </c>
      <c r="B328" s="788"/>
      <c r="C328" s="789"/>
      <c r="D328" s="210" t="s">
        <v>491</v>
      </c>
      <c r="E328" s="606">
        <f t="shared" si="36"/>
        <v>0</v>
      </c>
      <c r="J328" s="787" t="s">
        <v>490</v>
      </c>
      <c r="K328" s="788"/>
      <c r="L328" s="789"/>
      <c r="M328" s="210" t="s">
        <v>491</v>
      </c>
      <c r="N328" s="606">
        <f t="shared" si="37"/>
        <v>0</v>
      </c>
    </row>
    <row r="329" spans="1:14" ht="19.5" customHeight="1" x14ac:dyDescent="0.25">
      <c r="A329" s="787" t="s">
        <v>492</v>
      </c>
      <c r="B329" s="788"/>
      <c r="C329" s="789"/>
      <c r="D329" s="210" t="s">
        <v>493</v>
      </c>
      <c r="E329" s="606">
        <f t="shared" si="36"/>
        <v>0</v>
      </c>
      <c r="J329" s="787" t="s">
        <v>492</v>
      </c>
      <c r="K329" s="788"/>
      <c r="L329" s="789"/>
      <c r="M329" s="210" t="s">
        <v>493</v>
      </c>
      <c r="N329" s="606">
        <f t="shared" si="37"/>
        <v>0</v>
      </c>
    </row>
    <row r="330" spans="1:14" ht="19.5" customHeight="1" x14ac:dyDescent="0.25">
      <c r="A330" s="787" t="s">
        <v>494</v>
      </c>
      <c r="B330" s="788"/>
      <c r="C330" s="789"/>
      <c r="D330" s="210" t="s">
        <v>495</v>
      </c>
      <c r="E330" s="606">
        <f t="shared" si="36"/>
        <v>0</v>
      </c>
      <c r="J330" s="787" t="s">
        <v>494</v>
      </c>
      <c r="K330" s="788"/>
      <c r="L330" s="789"/>
      <c r="M330" s="210" t="s">
        <v>495</v>
      </c>
      <c r="N330" s="606">
        <f t="shared" si="37"/>
        <v>0</v>
      </c>
    </row>
    <row r="331" spans="1:14" ht="19.5" customHeight="1" x14ac:dyDescent="0.25">
      <c r="A331" s="787" t="s">
        <v>496</v>
      </c>
      <c r="B331" s="788"/>
      <c r="C331" s="789"/>
      <c r="D331" s="210" t="s">
        <v>497</v>
      </c>
      <c r="E331" s="606">
        <f t="shared" si="36"/>
        <v>0</v>
      </c>
      <c r="J331" s="787" t="s">
        <v>496</v>
      </c>
      <c r="K331" s="788"/>
      <c r="L331" s="789"/>
      <c r="M331" s="210" t="s">
        <v>497</v>
      </c>
      <c r="N331" s="606">
        <f t="shared" si="37"/>
        <v>0</v>
      </c>
    </row>
    <row r="332" spans="1:14" ht="19.5" customHeight="1" x14ac:dyDescent="0.25">
      <c r="A332" s="787" t="s">
        <v>498</v>
      </c>
      <c r="B332" s="788"/>
      <c r="C332" s="789"/>
      <c r="D332" s="210" t="s">
        <v>499</v>
      </c>
      <c r="E332" s="606">
        <f t="shared" si="36"/>
        <v>0</v>
      </c>
      <c r="J332" s="787" t="s">
        <v>498</v>
      </c>
      <c r="K332" s="788"/>
      <c r="L332" s="789"/>
      <c r="M332" s="210" t="s">
        <v>499</v>
      </c>
      <c r="N332" s="606">
        <f t="shared" si="37"/>
        <v>0</v>
      </c>
    </row>
    <row r="333" spans="1:14" ht="19.5" customHeight="1" x14ac:dyDescent="0.25">
      <c r="A333" s="787" t="s">
        <v>500</v>
      </c>
      <c r="B333" s="788"/>
      <c r="C333" s="789"/>
      <c r="D333" s="210" t="s">
        <v>501</v>
      </c>
      <c r="E333" s="606">
        <f t="shared" si="36"/>
        <v>0</v>
      </c>
      <c r="J333" s="787" t="s">
        <v>500</v>
      </c>
      <c r="K333" s="788"/>
      <c r="L333" s="789"/>
      <c r="M333" s="210" t="s">
        <v>501</v>
      </c>
      <c r="N333" s="606">
        <f t="shared" si="37"/>
        <v>0</v>
      </c>
    </row>
    <row r="334" spans="1:14" ht="19.5" customHeight="1" x14ac:dyDescent="0.25">
      <c r="A334" s="787" t="s">
        <v>502</v>
      </c>
      <c r="B334" s="788"/>
      <c r="C334" s="789"/>
      <c r="D334" s="210" t="s">
        <v>503</v>
      </c>
      <c r="E334" s="606">
        <f t="shared" si="36"/>
        <v>0</v>
      </c>
      <c r="J334" s="787" t="s">
        <v>502</v>
      </c>
      <c r="K334" s="788"/>
      <c r="L334" s="789"/>
      <c r="M334" s="210" t="s">
        <v>503</v>
      </c>
      <c r="N334" s="606">
        <f t="shared" si="37"/>
        <v>0</v>
      </c>
    </row>
    <row r="335" spans="1:14" ht="19.5" customHeight="1" x14ac:dyDescent="0.25">
      <c r="A335" s="787" t="s">
        <v>504</v>
      </c>
      <c r="B335" s="788"/>
      <c r="C335" s="789"/>
      <c r="D335" s="210" t="s">
        <v>505</v>
      </c>
      <c r="E335" s="606">
        <f t="shared" si="36"/>
        <v>0</v>
      </c>
      <c r="J335" s="787" t="s">
        <v>504</v>
      </c>
      <c r="K335" s="788"/>
      <c r="L335" s="789"/>
      <c r="M335" s="210" t="s">
        <v>505</v>
      </c>
      <c r="N335" s="606">
        <f t="shared" si="37"/>
        <v>0</v>
      </c>
    </row>
    <row r="336" spans="1:14" ht="19.5" customHeight="1" x14ac:dyDescent="0.25">
      <c r="A336" s="787" t="s">
        <v>506</v>
      </c>
      <c r="B336" s="788"/>
      <c r="C336" s="789"/>
      <c r="D336" s="210" t="s">
        <v>507</v>
      </c>
      <c r="E336" s="606">
        <f t="shared" si="36"/>
        <v>0</v>
      </c>
      <c r="J336" s="787" t="s">
        <v>506</v>
      </c>
      <c r="K336" s="788"/>
      <c r="L336" s="789"/>
      <c r="M336" s="210" t="s">
        <v>507</v>
      </c>
      <c r="N336" s="606">
        <f t="shared" si="37"/>
        <v>0</v>
      </c>
    </row>
    <row r="337" spans="1:14" ht="19.5" customHeight="1" x14ac:dyDescent="0.25">
      <c r="A337" s="787" t="s">
        <v>508</v>
      </c>
      <c r="B337" s="788"/>
      <c r="C337" s="789"/>
      <c r="D337" s="210" t="s">
        <v>509</v>
      </c>
      <c r="E337" s="606">
        <f t="shared" si="36"/>
        <v>0</v>
      </c>
      <c r="J337" s="787" t="s">
        <v>508</v>
      </c>
      <c r="K337" s="788"/>
      <c r="L337" s="789"/>
      <c r="M337" s="210" t="s">
        <v>509</v>
      </c>
      <c r="N337" s="606">
        <f t="shared" si="37"/>
        <v>0</v>
      </c>
    </row>
    <row r="338" spans="1:14" ht="19.5" customHeight="1" x14ac:dyDescent="0.25">
      <c r="A338" s="787" t="s">
        <v>510</v>
      </c>
      <c r="B338" s="788"/>
      <c r="C338" s="789"/>
      <c r="D338" s="210" t="s">
        <v>511</v>
      </c>
      <c r="E338" s="606">
        <f t="shared" si="36"/>
        <v>0</v>
      </c>
      <c r="J338" s="787" t="s">
        <v>510</v>
      </c>
      <c r="K338" s="788"/>
      <c r="L338" s="789"/>
      <c r="M338" s="210" t="s">
        <v>511</v>
      </c>
      <c r="N338" s="606">
        <f t="shared" si="37"/>
        <v>0</v>
      </c>
    </row>
    <row r="339" spans="1:14" ht="19.5" customHeight="1" x14ac:dyDescent="0.25">
      <c r="A339" s="787" t="s">
        <v>512</v>
      </c>
      <c r="B339" s="788"/>
      <c r="C339" s="789"/>
      <c r="D339" s="210" t="s">
        <v>513</v>
      </c>
      <c r="E339" s="606">
        <f t="shared" si="36"/>
        <v>0</v>
      </c>
      <c r="J339" s="787" t="s">
        <v>512</v>
      </c>
      <c r="K339" s="788"/>
      <c r="L339" s="789"/>
      <c r="M339" s="210" t="s">
        <v>513</v>
      </c>
      <c r="N339" s="606">
        <f t="shared" si="37"/>
        <v>0</v>
      </c>
    </row>
    <row r="340" spans="1:14" ht="19.5" customHeight="1" x14ac:dyDescent="0.25">
      <c r="A340" s="787" t="s">
        <v>514</v>
      </c>
      <c r="B340" s="788"/>
      <c r="C340" s="789"/>
      <c r="D340" s="210" t="s">
        <v>515</v>
      </c>
      <c r="E340" s="606">
        <f t="shared" si="36"/>
        <v>0</v>
      </c>
      <c r="J340" s="787" t="s">
        <v>514</v>
      </c>
      <c r="K340" s="788"/>
      <c r="L340" s="789"/>
      <c r="M340" s="210" t="s">
        <v>515</v>
      </c>
      <c r="N340" s="606">
        <f t="shared" si="37"/>
        <v>0</v>
      </c>
    </row>
    <row r="341" spans="1:14" ht="19.5" customHeight="1" x14ac:dyDescent="0.25">
      <c r="A341" s="787" t="s">
        <v>516</v>
      </c>
      <c r="B341" s="788"/>
      <c r="C341" s="789"/>
      <c r="D341" s="210" t="s">
        <v>517</v>
      </c>
      <c r="E341" s="606">
        <f t="shared" si="36"/>
        <v>0</v>
      </c>
      <c r="J341" s="787" t="s">
        <v>516</v>
      </c>
      <c r="K341" s="788"/>
      <c r="L341" s="789"/>
      <c r="M341" s="210" t="s">
        <v>517</v>
      </c>
      <c r="N341" s="606">
        <f t="shared" si="37"/>
        <v>0</v>
      </c>
    </row>
    <row r="342" spans="1:14" ht="19.5" customHeight="1" x14ac:dyDescent="0.25">
      <c r="A342" s="787" t="s">
        <v>518</v>
      </c>
      <c r="B342" s="788"/>
      <c r="C342" s="789"/>
      <c r="D342" s="210" t="s">
        <v>519</v>
      </c>
      <c r="E342" s="606">
        <f t="shared" si="36"/>
        <v>0</v>
      </c>
      <c r="J342" s="787" t="s">
        <v>518</v>
      </c>
      <c r="K342" s="788"/>
      <c r="L342" s="789"/>
      <c r="M342" s="210" t="s">
        <v>519</v>
      </c>
      <c r="N342" s="606">
        <f t="shared" si="37"/>
        <v>0</v>
      </c>
    </row>
    <row r="343" spans="1:14" ht="19.5" customHeight="1" x14ac:dyDescent="0.25">
      <c r="A343" s="787" t="s">
        <v>520</v>
      </c>
      <c r="B343" s="788"/>
      <c r="C343" s="789"/>
      <c r="D343" s="210" t="s">
        <v>521</v>
      </c>
      <c r="E343" s="606">
        <f t="shared" si="36"/>
        <v>0</v>
      </c>
      <c r="J343" s="787" t="s">
        <v>520</v>
      </c>
      <c r="K343" s="788"/>
      <c r="L343" s="789"/>
      <c r="M343" s="210" t="s">
        <v>521</v>
      </c>
      <c r="N343" s="606">
        <f t="shared" si="37"/>
        <v>0</v>
      </c>
    </row>
    <row r="344" spans="1:14" ht="19.5" customHeight="1" x14ac:dyDescent="0.25">
      <c r="A344" s="787" t="s">
        <v>522</v>
      </c>
      <c r="B344" s="788"/>
      <c r="C344" s="789"/>
      <c r="D344" s="210" t="s">
        <v>523</v>
      </c>
      <c r="E344" s="606">
        <f t="shared" si="36"/>
        <v>0</v>
      </c>
      <c r="J344" s="787" t="s">
        <v>522</v>
      </c>
      <c r="K344" s="788"/>
      <c r="L344" s="789"/>
      <c r="M344" s="210" t="s">
        <v>523</v>
      </c>
      <c r="N344" s="606">
        <f t="shared" si="37"/>
        <v>0</v>
      </c>
    </row>
    <row r="345" spans="1:14" ht="19.5" customHeight="1" x14ac:dyDescent="0.25">
      <c r="A345" s="787" t="s">
        <v>524</v>
      </c>
      <c r="B345" s="788"/>
      <c r="C345" s="789"/>
      <c r="D345" s="210" t="s">
        <v>525</v>
      </c>
      <c r="E345" s="606">
        <f t="shared" si="36"/>
        <v>0</v>
      </c>
      <c r="J345" s="787" t="s">
        <v>524</v>
      </c>
      <c r="K345" s="788"/>
      <c r="L345" s="789"/>
      <c r="M345" s="210" t="s">
        <v>525</v>
      </c>
      <c r="N345" s="606">
        <f t="shared" si="37"/>
        <v>0</v>
      </c>
    </row>
    <row r="346" spans="1:14" ht="19.5" customHeight="1" x14ac:dyDescent="0.25">
      <c r="A346" s="787" t="s">
        <v>526</v>
      </c>
      <c r="B346" s="788"/>
      <c r="C346" s="789"/>
      <c r="D346" s="210" t="s">
        <v>527</v>
      </c>
      <c r="E346" s="606">
        <f t="shared" si="36"/>
        <v>0</v>
      </c>
      <c r="J346" s="787" t="s">
        <v>526</v>
      </c>
      <c r="K346" s="788"/>
      <c r="L346" s="789"/>
      <c r="M346" s="210" t="s">
        <v>527</v>
      </c>
      <c r="N346" s="606">
        <f t="shared" si="37"/>
        <v>0</v>
      </c>
    </row>
    <row r="347" spans="1:14" ht="19.5" customHeight="1" x14ac:dyDescent="0.25">
      <c r="A347" s="787" t="s">
        <v>528</v>
      </c>
      <c r="B347" s="788"/>
      <c r="C347" s="789"/>
      <c r="D347" s="210" t="s">
        <v>529</v>
      </c>
      <c r="E347" s="606">
        <f t="shared" si="36"/>
        <v>0</v>
      </c>
      <c r="J347" s="787" t="s">
        <v>528</v>
      </c>
      <c r="K347" s="788"/>
      <c r="L347" s="789"/>
      <c r="M347" s="210" t="s">
        <v>529</v>
      </c>
      <c r="N347" s="606">
        <f t="shared" si="37"/>
        <v>0</v>
      </c>
    </row>
    <row r="348" spans="1:14" ht="19.5" customHeight="1" thickBot="1" x14ac:dyDescent="0.3">
      <c r="A348" s="790" t="s">
        <v>275</v>
      </c>
      <c r="B348" s="790"/>
      <c r="C348" s="790"/>
      <c r="D348" s="790"/>
      <c r="E348" s="684">
        <f>SUM(E320:E347)</f>
        <v>0</v>
      </c>
      <c r="J348" s="790" t="s">
        <v>275</v>
      </c>
      <c r="K348" s="790"/>
      <c r="L348" s="790"/>
      <c r="M348" s="790"/>
      <c r="N348" s="684">
        <f>SUM(N320:N347)</f>
        <v>0</v>
      </c>
    </row>
    <row r="349" spans="1:14" ht="19.5" customHeight="1" thickBot="1" x14ac:dyDescent="0.3">
      <c r="A349" s="791" t="s">
        <v>530</v>
      </c>
      <c r="B349" s="792"/>
      <c r="C349" s="792"/>
      <c r="D349" s="793"/>
      <c r="J349" s="791" t="s">
        <v>530</v>
      </c>
      <c r="K349" s="792"/>
      <c r="L349" s="792"/>
      <c r="M349" s="793"/>
    </row>
    <row r="350" spans="1:14" ht="19.5" customHeight="1" x14ac:dyDescent="0.25">
      <c r="A350" s="787" t="s">
        <v>531</v>
      </c>
      <c r="B350" s="788"/>
      <c r="C350" s="789"/>
      <c r="D350" s="210" t="s">
        <v>532</v>
      </c>
      <c r="E350" s="606">
        <f t="shared" ref="E350:E413" si="38">COUNTIF($A$4:$AJ$76,D350)</f>
        <v>0</v>
      </c>
      <c r="J350" s="787" t="s">
        <v>531</v>
      </c>
      <c r="K350" s="788"/>
      <c r="L350" s="789"/>
      <c r="M350" s="210" t="s">
        <v>532</v>
      </c>
      <c r="N350" s="606">
        <f t="shared" ref="N350:N413" si="39">COUNTIF($AN$6:$DC$76,M350)</f>
        <v>0</v>
      </c>
    </row>
    <row r="351" spans="1:14" ht="19.5" customHeight="1" x14ac:dyDescent="0.25">
      <c r="A351" s="787" t="s">
        <v>533</v>
      </c>
      <c r="B351" s="788"/>
      <c r="C351" s="789"/>
      <c r="D351" s="210" t="s">
        <v>534</v>
      </c>
      <c r="E351" s="606">
        <f t="shared" si="38"/>
        <v>0</v>
      </c>
      <c r="J351" s="787" t="s">
        <v>533</v>
      </c>
      <c r="K351" s="788"/>
      <c r="L351" s="789"/>
      <c r="M351" s="210" t="s">
        <v>534</v>
      </c>
      <c r="N351" s="606">
        <f t="shared" si="39"/>
        <v>0</v>
      </c>
    </row>
    <row r="352" spans="1:14" ht="19.5" customHeight="1" x14ac:dyDescent="0.25">
      <c r="A352" s="787" t="s">
        <v>535</v>
      </c>
      <c r="B352" s="788"/>
      <c r="C352" s="789"/>
      <c r="D352" s="210" t="s">
        <v>536</v>
      </c>
      <c r="E352" s="606">
        <f t="shared" si="38"/>
        <v>0</v>
      </c>
      <c r="J352" s="787" t="s">
        <v>535</v>
      </c>
      <c r="K352" s="788"/>
      <c r="L352" s="789"/>
      <c r="M352" s="210" t="s">
        <v>536</v>
      </c>
      <c r="N352" s="606">
        <f t="shared" si="39"/>
        <v>0</v>
      </c>
    </row>
    <row r="353" spans="1:17" ht="19.5" customHeight="1" x14ac:dyDescent="0.25">
      <c r="A353" s="787" t="s">
        <v>537</v>
      </c>
      <c r="B353" s="788"/>
      <c r="C353" s="789"/>
      <c r="D353" s="210" t="s">
        <v>538</v>
      </c>
      <c r="E353" s="606">
        <f t="shared" si="38"/>
        <v>0</v>
      </c>
      <c r="J353" s="787" t="s">
        <v>537</v>
      </c>
      <c r="K353" s="788"/>
      <c r="L353" s="789"/>
      <c r="M353" s="210" t="s">
        <v>538</v>
      </c>
      <c r="N353" s="606">
        <f t="shared" si="39"/>
        <v>0</v>
      </c>
    </row>
    <row r="354" spans="1:17" ht="19.5" customHeight="1" x14ac:dyDescent="0.25">
      <c r="A354" s="787" t="s">
        <v>539</v>
      </c>
      <c r="B354" s="788"/>
      <c r="C354" s="789"/>
      <c r="D354" s="210" t="s">
        <v>540</v>
      </c>
      <c r="E354" s="606">
        <f t="shared" si="38"/>
        <v>0</v>
      </c>
      <c r="J354" s="787" t="s">
        <v>539</v>
      </c>
      <c r="K354" s="788"/>
      <c r="L354" s="789"/>
      <c r="M354" s="210" t="s">
        <v>540</v>
      </c>
      <c r="N354" s="606">
        <f t="shared" si="39"/>
        <v>0</v>
      </c>
    </row>
    <row r="355" spans="1:17" ht="19.5" customHeight="1" x14ac:dyDescent="0.25">
      <c r="A355" s="787" t="s">
        <v>541</v>
      </c>
      <c r="B355" s="788"/>
      <c r="C355" s="789"/>
      <c r="D355" s="210" t="s">
        <v>542</v>
      </c>
      <c r="E355" s="606">
        <f t="shared" si="38"/>
        <v>0</v>
      </c>
      <c r="J355" s="787" t="s">
        <v>541</v>
      </c>
      <c r="K355" s="788"/>
      <c r="L355" s="789"/>
      <c r="M355" s="210" t="s">
        <v>542</v>
      </c>
      <c r="N355" s="606">
        <f t="shared" si="39"/>
        <v>0</v>
      </c>
    </row>
    <row r="356" spans="1:17" ht="19.5" customHeight="1" x14ac:dyDescent="0.25">
      <c r="A356" s="787" t="s">
        <v>543</v>
      </c>
      <c r="B356" s="788"/>
      <c r="C356" s="789"/>
      <c r="D356" s="210" t="s">
        <v>544</v>
      </c>
      <c r="E356" s="606">
        <f t="shared" si="38"/>
        <v>0</v>
      </c>
      <c r="J356" s="787" t="s">
        <v>543</v>
      </c>
      <c r="K356" s="788"/>
      <c r="L356" s="789"/>
      <c r="M356" s="210" t="s">
        <v>544</v>
      </c>
      <c r="N356" s="606">
        <f t="shared" si="39"/>
        <v>0</v>
      </c>
    </row>
    <row r="357" spans="1:17" ht="19.5" customHeight="1" x14ac:dyDescent="0.25">
      <c r="A357" s="787" t="s">
        <v>545</v>
      </c>
      <c r="B357" s="788"/>
      <c r="C357" s="789"/>
      <c r="D357" s="210" t="s">
        <v>546</v>
      </c>
      <c r="E357" s="606">
        <f t="shared" si="38"/>
        <v>0</v>
      </c>
      <c r="J357" s="787" t="s">
        <v>545</v>
      </c>
      <c r="K357" s="788"/>
      <c r="L357" s="789"/>
      <c r="M357" s="210" t="s">
        <v>546</v>
      </c>
      <c r="N357" s="606">
        <f t="shared" si="39"/>
        <v>0</v>
      </c>
    </row>
    <row r="358" spans="1:17" ht="19.5" customHeight="1" x14ac:dyDescent="0.25">
      <c r="A358" s="787" t="s">
        <v>547</v>
      </c>
      <c r="B358" s="788"/>
      <c r="C358" s="789"/>
      <c r="D358" s="210" t="s">
        <v>548</v>
      </c>
      <c r="E358" s="606">
        <f t="shared" si="38"/>
        <v>0</v>
      </c>
      <c r="J358" s="787" t="s">
        <v>547</v>
      </c>
      <c r="K358" s="788"/>
      <c r="L358" s="789"/>
      <c r="M358" s="210" t="s">
        <v>548</v>
      </c>
      <c r="N358" s="606">
        <f t="shared" si="39"/>
        <v>0</v>
      </c>
    </row>
    <row r="359" spans="1:17" ht="19.5" customHeight="1" x14ac:dyDescent="0.25">
      <c r="A359" s="787" t="s">
        <v>549</v>
      </c>
      <c r="B359" s="788"/>
      <c r="C359" s="789"/>
      <c r="D359" s="210" t="s">
        <v>550</v>
      </c>
      <c r="E359" s="606">
        <f t="shared" si="38"/>
        <v>0</v>
      </c>
      <c r="J359" s="787" t="s">
        <v>549</v>
      </c>
      <c r="K359" s="788"/>
      <c r="L359" s="789"/>
      <c r="M359" s="210" t="s">
        <v>550</v>
      </c>
      <c r="N359" s="606">
        <f t="shared" si="39"/>
        <v>0</v>
      </c>
    </row>
    <row r="360" spans="1:17" ht="19.5" customHeight="1" x14ac:dyDescent="0.25">
      <c r="A360" s="787" t="s">
        <v>551</v>
      </c>
      <c r="B360" s="788"/>
      <c r="C360" s="789"/>
      <c r="D360" s="210" t="s">
        <v>552</v>
      </c>
      <c r="E360" s="606">
        <f t="shared" si="38"/>
        <v>0</v>
      </c>
      <c r="J360" s="787" t="s">
        <v>551</v>
      </c>
      <c r="K360" s="788"/>
      <c r="L360" s="789"/>
      <c r="M360" s="210" t="s">
        <v>552</v>
      </c>
      <c r="N360" s="606">
        <f t="shared" si="39"/>
        <v>1</v>
      </c>
    </row>
    <row r="361" spans="1:17" ht="19.5" customHeight="1" x14ac:dyDescent="0.25">
      <c r="A361" s="787" t="s">
        <v>553</v>
      </c>
      <c r="B361" s="788"/>
      <c r="C361" s="789"/>
      <c r="D361" s="210" t="s">
        <v>554</v>
      </c>
      <c r="E361" s="606">
        <f t="shared" si="38"/>
        <v>0</v>
      </c>
      <c r="J361" s="787" t="s">
        <v>553</v>
      </c>
      <c r="K361" s="788"/>
      <c r="L361" s="789"/>
      <c r="M361" s="210" t="s">
        <v>554</v>
      </c>
      <c r="N361" s="606">
        <f t="shared" si="39"/>
        <v>0</v>
      </c>
    </row>
    <row r="362" spans="1:17" ht="19.5" customHeight="1" x14ac:dyDescent="0.25">
      <c r="A362" s="787" t="s">
        <v>555</v>
      </c>
      <c r="B362" s="788"/>
      <c r="C362" s="789"/>
      <c r="D362" s="210" t="s">
        <v>556</v>
      </c>
      <c r="E362" s="606">
        <f t="shared" si="38"/>
        <v>0</v>
      </c>
      <c r="J362" s="787" t="s">
        <v>555</v>
      </c>
      <c r="K362" s="788"/>
      <c r="L362" s="789"/>
      <c r="M362" s="210" t="s">
        <v>556</v>
      </c>
      <c r="N362" s="606">
        <f t="shared" si="39"/>
        <v>0</v>
      </c>
    </row>
    <row r="363" spans="1:17" ht="19.5" customHeight="1" x14ac:dyDescent="0.25">
      <c r="A363" s="787" t="s">
        <v>557</v>
      </c>
      <c r="B363" s="788"/>
      <c r="C363" s="789"/>
      <c r="D363" s="210" t="s">
        <v>558</v>
      </c>
      <c r="E363" s="606">
        <f t="shared" si="38"/>
        <v>0</v>
      </c>
      <c r="J363" s="787" t="s">
        <v>557</v>
      </c>
      <c r="K363" s="788"/>
      <c r="L363" s="789"/>
      <c r="M363" s="210" t="s">
        <v>558</v>
      </c>
      <c r="N363" s="606">
        <f t="shared" si="39"/>
        <v>0</v>
      </c>
    </row>
    <row r="364" spans="1:17" ht="19.5" customHeight="1" x14ac:dyDescent="0.25">
      <c r="A364" s="787" t="s">
        <v>559</v>
      </c>
      <c r="B364" s="788"/>
      <c r="C364" s="789"/>
      <c r="D364" s="210" t="s">
        <v>560</v>
      </c>
      <c r="E364" s="606">
        <f t="shared" si="38"/>
        <v>0</v>
      </c>
      <c r="J364" s="787" t="s">
        <v>559</v>
      </c>
      <c r="K364" s="788"/>
      <c r="L364" s="789"/>
      <c r="M364" s="210" t="s">
        <v>560</v>
      </c>
      <c r="N364" s="606">
        <f t="shared" si="39"/>
        <v>0</v>
      </c>
    </row>
    <row r="365" spans="1:17" ht="19.5" customHeight="1" x14ac:dyDescent="0.25">
      <c r="A365" s="787" t="s">
        <v>561</v>
      </c>
      <c r="B365" s="788"/>
      <c r="C365" s="789"/>
      <c r="D365" s="210" t="s">
        <v>562</v>
      </c>
      <c r="E365" s="606">
        <f t="shared" si="38"/>
        <v>0</v>
      </c>
      <c r="J365" s="787" t="s">
        <v>561</v>
      </c>
      <c r="K365" s="788"/>
      <c r="L365" s="789"/>
      <c r="M365" s="210" t="s">
        <v>562</v>
      </c>
      <c r="N365" s="606">
        <f t="shared" si="39"/>
        <v>0</v>
      </c>
    </row>
    <row r="366" spans="1:17" ht="19.5" customHeight="1" x14ac:dyDescent="0.25">
      <c r="A366" s="787" t="s">
        <v>563</v>
      </c>
      <c r="B366" s="788"/>
      <c r="C366" s="789"/>
      <c r="D366" s="210" t="s">
        <v>564</v>
      </c>
      <c r="E366" s="606">
        <f t="shared" si="38"/>
        <v>0</v>
      </c>
      <c r="J366" s="787" t="s">
        <v>563</v>
      </c>
      <c r="K366" s="788"/>
      <c r="L366" s="789"/>
      <c r="M366" s="210" t="s">
        <v>564</v>
      </c>
      <c r="N366" s="606">
        <f t="shared" si="39"/>
        <v>0</v>
      </c>
    </row>
    <row r="367" spans="1:17" ht="19.5" customHeight="1" x14ac:dyDescent="0.25">
      <c r="A367" s="787" t="s">
        <v>565</v>
      </c>
      <c r="B367" s="788"/>
      <c r="C367" s="789"/>
      <c r="D367" s="210" t="s">
        <v>566</v>
      </c>
      <c r="E367" s="606">
        <f t="shared" si="38"/>
        <v>0</v>
      </c>
      <c r="J367" s="787" t="s">
        <v>565</v>
      </c>
      <c r="K367" s="788"/>
      <c r="L367" s="789"/>
      <c r="M367" s="210" t="s">
        <v>566</v>
      </c>
      <c r="N367" s="606">
        <f t="shared" si="39"/>
        <v>0</v>
      </c>
      <c r="O367" s="5"/>
      <c r="P367" s="5"/>
      <c r="Q367" s="5"/>
    </row>
    <row r="368" spans="1:17" ht="19.5" customHeight="1" x14ac:dyDescent="0.25">
      <c r="A368" s="787" t="s">
        <v>567</v>
      </c>
      <c r="B368" s="788"/>
      <c r="C368" s="789"/>
      <c r="D368" s="210" t="s">
        <v>568</v>
      </c>
      <c r="E368" s="606">
        <f t="shared" si="38"/>
        <v>0</v>
      </c>
      <c r="J368" s="787" t="s">
        <v>567</v>
      </c>
      <c r="K368" s="788"/>
      <c r="L368" s="789"/>
      <c r="M368" s="210" t="s">
        <v>568</v>
      </c>
      <c r="N368" s="606">
        <f t="shared" si="39"/>
        <v>0</v>
      </c>
    </row>
    <row r="369" spans="1:14" ht="19.5" customHeight="1" x14ac:dyDescent="0.25">
      <c r="A369" s="787" t="s">
        <v>569</v>
      </c>
      <c r="B369" s="788"/>
      <c r="C369" s="789"/>
      <c r="D369" s="210" t="s">
        <v>570</v>
      </c>
      <c r="E369" s="606">
        <f t="shared" si="38"/>
        <v>0</v>
      </c>
      <c r="J369" s="787" t="s">
        <v>569</v>
      </c>
      <c r="K369" s="788"/>
      <c r="L369" s="789"/>
      <c r="M369" s="210" t="s">
        <v>570</v>
      </c>
      <c r="N369" s="606">
        <f t="shared" si="39"/>
        <v>0</v>
      </c>
    </row>
    <row r="370" spans="1:14" ht="19.5" customHeight="1" x14ac:dyDescent="0.25">
      <c r="A370" s="787" t="s">
        <v>571</v>
      </c>
      <c r="B370" s="788"/>
      <c r="C370" s="789"/>
      <c r="D370" s="210" t="s">
        <v>572</v>
      </c>
      <c r="E370" s="606">
        <f t="shared" si="38"/>
        <v>0</v>
      </c>
      <c r="J370" s="787" t="s">
        <v>571</v>
      </c>
      <c r="K370" s="788"/>
      <c r="L370" s="789"/>
      <c r="M370" s="210" t="s">
        <v>572</v>
      </c>
      <c r="N370" s="606">
        <f t="shared" si="39"/>
        <v>0</v>
      </c>
    </row>
    <row r="371" spans="1:14" ht="19.5" customHeight="1" x14ac:dyDescent="0.25">
      <c r="A371" s="787" t="s">
        <v>573</v>
      </c>
      <c r="B371" s="788"/>
      <c r="C371" s="789"/>
      <c r="D371" s="210" t="s">
        <v>574</v>
      </c>
      <c r="E371" s="606">
        <f t="shared" si="38"/>
        <v>0</v>
      </c>
      <c r="J371" s="787" t="s">
        <v>573</v>
      </c>
      <c r="K371" s="788"/>
      <c r="L371" s="789"/>
      <c r="M371" s="210" t="s">
        <v>574</v>
      </c>
      <c r="N371" s="606">
        <f t="shared" si="39"/>
        <v>0</v>
      </c>
    </row>
    <row r="372" spans="1:14" ht="19.5" customHeight="1" x14ac:dyDescent="0.25">
      <c r="A372" s="787" t="s">
        <v>575</v>
      </c>
      <c r="B372" s="788"/>
      <c r="C372" s="789"/>
      <c r="D372" s="210" t="s">
        <v>576</v>
      </c>
      <c r="E372" s="606">
        <f t="shared" si="38"/>
        <v>0</v>
      </c>
      <c r="J372" s="787" t="s">
        <v>575</v>
      </c>
      <c r="K372" s="788"/>
      <c r="L372" s="789"/>
      <c r="M372" s="210" t="s">
        <v>576</v>
      </c>
      <c r="N372" s="606">
        <f t="shared" si="39"/>
        <v>0</v>
      </c>
    </row>
    <row r="373" spans="1:14" ht="19.5" customHeight="1" x14ac:dyDescent="0.25">
      <c r="A373" s="787" t="s">
        <v>577</v>
      </c>
      <c r="B373" s="788"/>
      <c r="C373" s="789"/>
      <c r="D373" s="210" t="s">
        <v>578</v>
      </c>
      <c r="E373" s="606">
        <f t="shared" si="38"/>
        <v>0</v>
      </c>
      <c r="J373" s="787" t="s">
        <v>577</v>
      </c>
      <c r="K373" s="788"/>
      <c r="L373" s="789"/>
      <c r="M373" s="210" t="s">
        <v>578</v>
      </c>
      <c r="N373" s="606">
        <f t="shared" si="39"/>
        <v>0</v>
      </c>
    </row>
    <row r="374" spans="1:14" ht="19.5" customHeight="1" x14ac:dyDescent="0.25">
      <c r="A374" s="787" t="s">
        <v>579</v>
      </c>
      <c r="B374" s="788"/>
      <c r="C374" s="789"/>
      <c r="D374" s="210" t="s">
        <v>580</v>
      </c>
      <c r="E374" s="606">
        <f t="shared" si="38"/>
        <v>0</v>
      </c>
      <c r="J374" s="787" t="s">
        <v>579</v>
      </c>
      <c r="K374" s="788"/>
      <c r="L374" s="789"/>
      <c r="M374" s="210" t="s">
        <v>580</v>
      </c>
      <c r="N374" s="606">
        <f t="shared" si="39"/>
        <v>0</v>
      </c>
    </row>
    <row r="375" spans="1:14" ht="19.5" customHeight="1" x14ac:dyDescent="0.25">
      <c r="A375" s="787" t="s">
        <v>581</v>
      </c>
      <c r="B375" s="788"/>
      <c r="C375" s="789"/>
      <c r="D375" s="210" t="s">
        <v>204</v>
      </c>
      <c r="E375" s="606">
        <f t="shared" si="38"/>
        <v>0</v>
      </c>
      <c r="J375" s="787" t="s">
        <v>581</v>
      </c>
      <c r="K375" s="788"/>
      <c r="L375" s="789"/>
      <c r="M375" s="210" t="s">
        <v>204</v>
      </c>
      <c r="N375" s="606">
        <f t="shared" si="39"/>
        <v>1</v>
      </c>
    </row>
    <row r="376" spans="1:14" ht="19.5" customHeight="1" x14ac:dyDescent="0.25">
      <c r="A376" s="787" t="s">
        <v>582</v>
      </c>
      <c r="B376" s="788"/>
      <c r="C376" s="789"/>
      <c r="D376" s="210" t="s">
        <v>190</v>
      </c>
      <c r="E376" s="606">
        <f t="shared" si="38"/>
        <v>1</v>
      </c>
      <c r="J376" s="787" t="s">
        <v>582</v>
      </c>
      <c r="K376" s="788"/>
      <c r="L376" s="789"/>
      <c r="M376" s="210" t="s">
        <v>190</v>
      </c>
      <c r="N376" s="606">
        <f t="shared" si="39"/>
        <v>1</v>
      </c>
    </row>
    <row r="377" spans="1:14" ht="19.5" customHeight="1" x14ac:dyDescent="0.25">
      <c r="A377" s="787" t="s">
        <v>583</v>
      </c>
      <c r="B377" s="788"/>
      <c r="C377" s="789"/>
      <c r="D377" s="210" t="s">
        <v>584</v>
      </c>
      <c r="E377" s="606">
        <f t="shared" si="38"/>
        <v>0</v>
      </c>
      <c r="J377" s="787" t="s">
        <v>583</v>
      </c>
      <c r="K377" s="788"/>
      <c r="L377" s="789"/>
      <c r="M377" s="210" t="s">
        <v>584</v>
      </c>
      <c r="N377" s="606">
        <f t="shared" si="39"/>
        <v>0</v>
      </c>
    </row>
    <row r="378" spans="1:14" ht="19.5" customHeight="1" x14ac:dyDescent="0.25">
      <c r="A378" s="787" t="s">
        <v>585</v>
      </c>
      <c r="B378" s="788"/>
      <c r="C378" s="789"/>
      <c r="D378" s="210" t="s">
        <v>586</v>
      </c>
      <c r="E378" s="606">
        <f t="shared" si="38"/>
        <v>0</v>
      </c>
      <c r="J378" s="787" t="s">
        <v>585</v>
      </c>
      <c r="K378" s="788"/>
      <c r="L378" s="789"/>
      <c r="M378" s="210" t="s">
        <v>586</v>
      </c>
      <c r="N378" s="606">
        <f t="shared" si="39"/>
        <v>0</v>
      </c>
    </row>
    <row r="379" spans="1:14" ht="19.5" customHeight="1" x14ac:dyDescent="0.25">
      <c r="A379" s="787" t="s">
        <v>587</v>
      </c>
      <c r="B379" s="788"/>
      <c r="C379" s="789"/>
      <c r="D379" s="210" t="s">
        <v>588</v>
      </c>
      <c r="E379" s="606">
        <f t="shared" si="38"/>
        <v>0</v>
      </c>
      <c r="J379" s="787" t="s">
        <v>587</v>
      </c>
      <c r="K379" s="788"/>
      <c r="L379" s="789"/>
      <c r="M379" s="210" t="s">
        <v>588</v>
      </c>
      <c r="N379" s="606">
        <f t="shared" si="39"/>
        <v>0</v>
      </c>
    </row>
    <row r="380" spans="1:14" ht="19.5" customHeight="1" x14ac:dyDescent="0.25">
      <c r="A380" s="787" t="s">
        <v>589</v>
      </c>
      <c r="B380" s="788"/>
      <c r="C380" s="789"/>
      <c r="D380" s="210" t="s">
        <v>590</v>
      </c>
      <c r="E380" s="606">
        <f t="shared" si="38"/>
        <v>0</v>
      </c>
      <c r="J380" s="787" t="s">
        <v>589</v>
      </c>
      <c r="K380" s="788"/>
      <c r="L380" s="789"/>
      <c r="M380" s="210" t="s">
        <v>590</v>
      </c>
      <c r="N380" s="606">
        <f t="shared" si="39"/>
        <v>0</v>
      </c>
    </row>
    <row r="381" spans="1:14" ht="19.5" customHeight="1" x14ac:dyDescent="0.25">
      <c r="A381" s="787" t="s">
        <v>591</v>
      </c>
      <c r="B381" s="788"/>
      <c r="C381" s="789"/>
      <c r="D381" s="210" t="s">
        <v>592</v>
      </c>
      <c r="E381" s="606">
        <f t="shared" si="38"/>
        <v>0</v>
      </c>
      <c r="J381" s="787" t="s">
        <v>591</v>
      </c>
      <c r="K381" s="788"/>
      <c r="L381" s="789"/>
      <c r="M381" s="210" t="s">
        <v>592</v>
      </c>
      <c r="N381" s="606">
        <f t="shared" si="39"/>
        <v>0</v>
      </c>
    </row>
    <row r="382" spans="1:14" ht="19.5" customHeight="1" x14ac:dyDescent="0.25">
      <c r="A382" s="787" t="s">
        <v>593</v>
      </c>
      <c r="B382" s="788"/>
      <c r="C382" s="789"/>
      <c r="D382" s="210" t="s">
        <v>594</v>
      </c>
      <c r="E382" s="606">
        <f t="shared" si="38"/>
        <v>0</v>
      </c>
      <c r="J382" s="787" t="s">
        <v>593</v>
      </c>
      <c r="K382" s="788"/>
      <c r="L382" s="789"/>
      <c r="M382" s="210" t="s">
        <v>594</v>
      </c>
      <c r="N382" s="606">
        <f t="shared" si="39"/>
        <v>0</v>
      </c>
    </row>
    <row r="383" spans="1:14" ht="19.5" customHeight="1" x14ac:dyDescent="0.25">
      <c r="A383" s="787" t="s">
        <v>595</v>
      </c>
      <c r="B383" s="788"/>
      <c r="C383" s="789"/>
      <c r="D383" s="210" t="s">
        <v>596</v>
      </c>
      <c r="E383" s="606">
        <f t="shared" si="38"/>
        <v>0</v>
      </c>
      <c r="J383" s="787" t="s">
        <v>595</v>
      </c>
      <c r="K383" s="788"/>
      <c r="L383" s="789"/>
      <c r="M383" s="210" t="s">
        <v>596</v>
      </c>
      <c r="N383" s="606">
        <f t="shared" si="39"/>
        <v>0</v>
      </c>
    </row>
    <row r="384" spans="1:14" ht="19.5" customHeight="1" x14ac:dyDescent="0.25">
      <c r="A384" s="787" t="s">
        <v>597</v>
      </c>
      <c r="B384" s="788"/>
      <c r="C384" s="789"/>
      <c r="D384" s="210" t="s">
        <v>598</v>
      </c>
      <c r="E384" s="606">
        <f t="shared" si="38"/>
        <v>0</v>
      </c>
      <c r="J384" s="787" t="s">
        <v>597</v>
      </c>
      <c r="K384" s="788"/>
      <c r="L384" s="789"/>
      <c r="M384" s="210" t="s">
        <v>598</v>
      </c>
      <c r="N384" s="606">
        <f t="shared" si="39"/>
        <v>0</v>
      </c>
    </row>
    <row r="385" spans="1:14" ht="19.5" customHeight="1" x14ac:dyDescent="0.25">
      <c r="A385" s="787" t="s">
        <v>599</v>
      </c>
      <c r="B385" s="788"/>
      <c r="C385" s="789"/>
      <c r="D385" s="210" t="s">
        <v>600</v>
      </c>
      <c r="E385" s="606">
        <f t="shared" si="38"/>
        <v>0</v>
      </c>
      <c r="J385" s="787" t="s">
        <v>599</v>
      </c>
      <c r="K385" s="788"/>
      <c r="L385" s="789"/>
      <c r="M385" s="210" t="s">
        <v>600</v>
      </c>
      <c r="N385" s="606">
        <f t="shared" si="39"/>
        <v>0</v>
      </c>
    </row>
    <row r="386" spans="1:14" ht="19.5" customHeight="1" x14ac:dyDescent="0.25">
      <c r="A386" s="787" t="s">
        <v>601</v>
      </c>
      <c r="B386" s="788"/>
      <c r="C386" s="789"/>
      <c r="D386" s="210" t="s">
        <v>602</v>
      </c>
      <c r="E386" s="606">
        <f t="shared" si="38"/>
        <v>0</v>
      </c>
      <c r="J386" s="787" t="s">
        <v>601</v>
      </c>
      <c r="K386" s="788"/>
      <c r="L386" s="789"/>
      <c r="M386" s="210" t="s">
        <v>602</v>
      </c>
      <c r="N386" s="606">
        <f t="shared" si="39"/>
        <v>0</v>
      </c>
    </row>
    <row r="387" spans="1:14" ht="19.5" customHeight="1" x14ac:dyDescent="0.25">
      <c r="A387" s="787" t="s">
        <v>603</v>
      </c>
      <c r="B387" s="788"/>
      <c r="C387" s="789"/>
      <c r="D387" s="210" t="s">
        <v>604</v>
      </c>
      <c r="E387" s="606">
        <f t="shared" si="38"/>
        <v>0</v>
      </c>
      <c r="J387" s="787" t="s">
        <v>603</v>
      </c>
      <c r="K387" s="788"/>
      <c r="L387" s="789"/>
      <c r="M387" s="210" t="s">
        <v>604</v>
      </c>
      <c r="N387" s="606">
        <f t="shared" si="39"/>
        <v>0</v>
      </c>
    </row>
    <row r="388" spans="1:14" ht="19.5" customHeight="1" x14ac:dyDescent="0.25">
      <c r="A388" s="787" t="s">
        <v>605</v>
      </c>
      <c r="B388" s="788"/>
      <c r="C388" s="789"/>
      <c r="D388" s="210" t="s">
        <v>606</v>
      </c>
      <c r="E388" s="606">
        <f t="shared" si="38"/>
        <v>0</v>
      </c>
      <c r="J388" s="787" t="s">
        <v>605</v>
      </c>
      <c r="K388" s="788"/>
      <c r="L388" s="789"/>
      <c r="M388" s="210" t="s">
        <v>606</v>
      </c>
      <c r="N388" s="606">
        <f t="shared" si="39"/>
        <v>0</v>
      </c>
    </row>
    <row r="389" spans="1:14" ht="19.5" customHeight="1" x14ac:dyDescent="0.25">
      <c r="A389" s="787" t="s">
        <v>607</v>
      </c>
      <c r="B389" s="788"/>
      <c r="C389" s="789"/>
      <c r="D389" s="210" t="s">
        <v>608</v>
      </c>
      <c r="E389" s="606">
        <f t="shared" si="38"/>
        <v>0</v>
      </c>
      <c r="J389" s="787" t="s">
        <v>607</v>
      </c>
      <c r="K389" s="788"/>
      <c r="L389" s="789"/>
      <c r="M389" s="210" t="s">
        <v>608</v>
      </c>
      <c r="N389" s="606">
        <f t="shared" si="39"/>
        <v>0</v>
      </c>
    </row>
    <row r="390" spans="1:14" ht="19.5" customHeight="1" x14ac:dyDescent="0.25">
      <c r="A390" s="787" t="s">
        <v>609</v>
      </c>
      <c r="B390" s="788"/>
      <c r="C390" s="789"/>
      <c r="D390" s="210" t="s">
        <v>610</v>
      </c>
      <c r="E390" s="606">
        <f t="shared" si="38"/>
        <v>0</v>
      </c>
      <c r="J390" s="787" t="s">
        <v>609</v>
      </c>
      <c r="K390" s="788"/>
      <c r="L390" s="789"/>
      <c r="M390" s="210" t="s">
        <v>610</v>
      </c>
      <c r="N390" s="606">
        <f t="shared" si="39"/>
        <v>0</v>
      </c>
    </row>
    <row r="391" spans="1:14" ht="19.5" customHeight="1" x14ac:dyDescent="0.25">
      <c r="A391" s="787" t="s">
        <v>611</v>
      </c>
      <c r="B391" s="788"/>
      <c r="C391" s="789"/>
      <c r="D391" s="210" t="s">
        <v>612</v>
      </c>
      <c r="E391" s="606">
        <f t="shared" si="38"/>
        <v>0</v>
      </c>
      <c r="F391" s="5"/>
      <c r="G391" s="5"/>
      <c r="H391" s="5"/>
      <c r="I391" s="5"/>
      <c r="J391" s="787" t="s">
        <v>611</v>
      </c>
      <c r="K391" s="788"/>
      <c r="L391" s="789"/>
      <c r="M391" s="210" t="s">
        <v>612</v>
      </c>
      <c r="N391" s="606">
        <f t="shared" si="39"/>
        <v>0</v>
      </c>
    </row>
    <row r="392" spans="1:14" ht="19.5" customHeight="1" x14ac:dyDescent="0.25">
      <c r="A392" s="787" t="s">
        <v>613</v>
      </c>
      <c r="B392" s="788"/>
      <c r="C392" s="789"/>
      <c r="D392" s="210" t="s">
        <v>614</v>
      </c>
      <c r="E392" s="606">
        <f t="shared" si="38"/>
        <v>0</v>
      </c>
      <c r="J392" s="787" t="s">
        <v>613</v>
      </c>
      <c r="K392" s="788"/>
      <c r="L392" s="789"/>
      <c r="M392" s="210" t="s">
        <v>614</v>
      </c>
      <c r="N392" s="606">
        <f t="shared" si="39"/>
        <v>0</v>
      </c>
    </row>
    <row r="393" spans="1:14" ht="19.5" customHeight="1" x14ac:dyDescent="0.25">
      <c r="A393" s="787" t="s">
        <v>615</v>
      </c>
      <c r="B393" s="788"/>
      <c r="C393" s="789"/>
      <c r="D393" s="210" t="s">
        <v>616</v>
      </c>
      <c r="E393" s="606">
        <f t="shared" si="38"/>
        <v>0</v>
      </c>
      <c r="J393" s="787" t="s">
        <v>615</v>
      </c>
      <c r="K393" s="788"/>
      <c r="L393" s="789"/>
      <c r="M393" s="210" t="s">
        <v>616</v>
      </c>
      <c r="N393" s="606">
        <f t="shared" si="39"/>
        <v>0</v>
      </c>
    </row>
    <row r="394" spans="1:14" ht="19.5" customHeight="1" x14ac:dyDescent="0.25">
      <c r="A394" s="787" t="s">
        <v>617</v>
      </c>
      <c r="B394" s="788"/>
      <c r="C394" s="789"/>
      <c r="D394" s="210" t="s">
        <v>618</v>
      </c>
      <c r="E394" s="606">
        <f t="shared" si="38"/>
        <v>0</v>
      </c>
      <c r="J394" s="787" t="s">
        <v>617</v>
      </c>
      <c r="K394" s="788"/>
      <c r="L394" s="789"/>
      <c r="M394" s="210" t="s">
        <v>618</v>
      </c>
      <c r="N394" s="606">
        <f t="shared" si="39"/>
        <v>0</v>
      </c>
    </row>
    <row r="395" spans="1:14" ht="19.5" customHeight="1" x14ac:dyDescent="0.25">
      <c r="A395" s="787" t="s">
        <v>619</v>
      </c>
      <c r="B395" s="788"/>
      <c r="C395" s="789"/>
      <c r="D395" s="210" t="s">
        <v>620</v>
      </c>
      <c r="E395" s="606">
        <f t="shared" si="38"/>
        <v>0</v>
      </c>
      <c r="F395" s="5"/>
      <c r="G395" s="5"/>
      <c r="H395" s="5"/>
      <c r="I395" s="5"/>
      <c r="J395" s="787" t="s">
        <v>619</v>
      </c>
      <c r="K395" s="788"/>
      <c r="L395" s="789"/>
      <c r="M395" s="210" t="s">
        <v>620</v>
      </c>
      <c r="N395" s="606">
        <f t="shared" si="39"/>
        <v>0</v>
      </c>
    </row>
    <row r="396" spans="1:14" ht="19.5" customHeight="1" x14ac:dyDescent="0.25">
      <c r="A396" s="787" t="s">
        <v>621</v>
      </c>
      <c r="B396" s="788"/>
      <c r="C396" s="789"/>
      <c r="D396" s="210" t="s">
        <v>622</v>
      </c>
      <c r="E396" s="606">
        <f t="shared" si="38"/>
        <v>0</v>
      </c>
      <c r="J396" s="787" t="s">
        <v>621</v>
      </c>
      <c r="K396" s="788"/>
      <c r="L396" s="789"/>
      <c r="M396" s="210" t="s">
        <v>622</v>
      </c>
      <c r="N396" s="606">
        <f t="shared" si="39"/>
        <v>0</v>
      </c>
    </row>
    <row r="397" spans="1:14" ht="19.5" customHeight="1" x14ac:dyDescent="0.25">
      <c r="A397" s="787" t="s">
        <v>623</v>
      </c>
      <c r="B397" s="788"/>
      <c r="C397" s="789"/>
      <c r="D397" s="210" t="s">
        <v>624</v>
      </c>
      <c r="E397" s="606">
        <f t="shared" si="38"/>
        <v>0</v>
      </c>
      <c r="J397" s="787" t="s">
        <v>623</v>
      </c>
      <c r="K397" s="788"/>
      <c r="L397" s="789"/>
      <c r="M397" s="210" t="s">
        <v>624</v>
      </c>
      <c r="N397" s="606">
        <f t="shared" si="39"/>
        <v>0</v>
      </c>
    </row>
    <row r="398" spans="1:14" ht="19.5" customHeight="1" x14ac:dyDescent="0.25">
      <c r="A398" s="787" t="s">
        <v>623</v>
      </c>
      <c r="B398" s="788"/>
      <c r="C398" s="789"/>
      <c r="D398" s="210" t="s">
        <v>624</v>
      </c>
      <c r="E398" s="606">
        <f t="shared" si="38"/>
        <v>0</v>
      </c>
      <c r="J398" s="787" t="s">
        <v>623</v>
      </c>
      <c r="K398" s="788"/>
      <c r="L398" s="789"/>
      <c r="M398" s="210" t="s">
        <v>624</v>
      </c>
      <c r="N398" s="606">
        <f t="shared" si="39"/>
        <v>0</v>
      </c>
    </row>
    <row r="399" spans="1:14" ht="19.5" customHeight="1" x14ac:dyDescent="0.25">
      <c r="A399" s="787" t="s">
        <v>625</v>
      </c>
      <c r="B399" s="788"/>
      <c r="C399" s="789"/>
      <c r="D399" s="210" t="s">
        <v>626</v>
      </c>
      <c r="E399" s="606">
        <f t="shared" si="38"/>
        <v>0</v>
      </c>
      <c r="J399" s="787" t="s">
        <v>625</v>
      </c>
      <c r="K399" s="788"/>
      <c r="L399" s="789"/>
      <c r="M399" s="210" t="s">
        <v>626</v>
      </c>
      <c r="N399" s="606">
        <f t="shared" si="39"/>
        <v>0</v>
      </c>
    </row>
    <row r="400" spans="1:14" ht="19.5" customHeight="1" x14ac:dyDescent="0.25">
      <c r="A400" s="787" t="s">
        <v>627</v>
      </c>
      <c r="B400" s="788"/>
      <c r="C400" s="789"/>
      <c r="D400" s="210" t="s">
        <v>628</v>
      </c>
      <c r="E400" s="606">
        <f t="shared" si="38"/>
        <v>0</v>
      </c>
      <c r="J400" s="787" t="s">
        <v>627</v>
      </c>
      <c r="K400" s="788"/>
      <c r="L400" s="789"/>
      <c r="M400" s="210" t="s">
        <v>628</v>
      </c>
      <c r="N400" s="606">
        <f t="shared" si="39"/>
        <v>0</v>
      </c>
    </row>
    <row r="401" spans="1:14" ht="19.5" customHeight="1" x14ac:dyDescent="0.25">
      <c r="A401" s="787" t="s">
        <v>629</v>
      </c>
      <c r="B401" s="788"/>
      <c r="C401" s="789"/>
      <c r="D401" s="210" t="s">
        <v>630</v>
      </c>
      <c r="E401" s="606">
        <f t="shared" si="38"/>
        <v>0</v>
      </c>
      <c r="J401" s="787" t="s">
        <v>629</v>
      </c>
      <c r="K401" s="788"/>
      <c r="L401" s="789"/>
      <c r="M401" s="210" t="s">
        <v>630</v>
      </c>
      <c r="N401" s="606">
        <f t="shared" si="39"/>
        <v>0</v>
      </c>
    </row>
    <row r="402" spans="1:14" ht="19.5" customHeight="1" x14ac:dyDescent="0.25">
      <c r="A402" s="787" t="s">
        <v>631</v>
      </c>
      <c r="B402" s="788"/>
      <c r="C402" s="789"/>
      <c r="D402" s="210" t="s">
        <v>632</v>
      </c>
      <c r="E402" s="606">
        <f t="shared" si="38"/>
        <v>0</v>
      </c>
      <c r="J402" s="787" t="s">
        <v>631</v>
      </c>
      <c r="K402" s="788"/>
      <c r="L402" s="789"/>
      <c r="M402" s="210" t="s">
        <v>632</v>
      </c>
      <c r="N402" s="606">
        <f t="shared" si="39"/>
        <v>0</v>
      </c>
    </row>
    <row r="403" spans="1:14" ht="19.5" customHeight="1" x14ac:dyDescent="0.25">
      <c r="A403" s="787" t="s">
        <v>633</v>
      </c>
      <c r="B403" s="788"/>
      <c r="C403" s="789"/>
      <c r="D403" s="210" t="s">
        <v>634</v>
      </c>
      <c r="E403" s="606">
        <f t="shared" si="38"/>
        <v>0</v>
      </c>
      <c r="J403" s="787" t="s">
        <v>633</v>
      </c>
      <c r="K403" s="788"/>
      <c r="L403" s="789"/>
      <c r="M403" s="210" t="s">
        <v>634</v>
      </c>
      <c r="N403" s="606">
        <f t="shared" si="39"/>
        <v>0</v>
      </c>
    </row>
    <row r="404" spans="1:14" ht="19.5" customHeight="1" x14ac:dyDescent="0.25">
      <c r="A404" s="787" t="s">
        <v>635</v>
      </c>
      <c r="B404" s="788"/>
      <c r="C404" s="789"/>
      <c r="D404" s="210" t="s">
        <v>636</v>
      </c>
      <c r="E404" s="606">
        <f t="shared" si="38"/>
        <v>0</v>
      </c>
      <c r="J404" s="787" t="s">
        <v>635</v>
      </c>
      <c r="K404" s="788"/>
      <c r="L404" s="789"/>
      <c r="M404" s="210" t="s">
        <v>636</v>
      </c>
      <c r="N404" s="606">
        <f t="shared" si="39"/>
        <v>0</v>
      </c>
    </row>
    <row r="405" spans="1:14" ht="19.5" customHeight="1" x14ac:dyDescent="0.25">
      <c r="A405" s="787" t="s">
        <v>637</v>
      </c>
      <c r="B405" s="788"/>
      <c r="C405" s="789"/>
      <c r="D405" s="210" t="s">
        <v>638</v>
      </c>
      <c r="E405" s="606">
        <f t="shared" si="38"/>
        <v>0</v>
      </c>
      <c r="J405" s="787" t="s">
        <v>637</v>
      </c>
      <c r="K405" s="788"/>
      <c r="L405" s="789"/>
      <c r="M405" s="210" t="s">
        <v>638</v>
      </c>
      <c r="N405" s="606">
        <f t="shared" si="39"/>
        <v>0</v>
      </c>
    </row>
    <row r="406" spans="1:14" ht="19.5" customHeight="1" x14ac:dyDescent="0.25">
      <c r="A406" s="787" t="s">
        <v>639</v>
      </c>
      <c r="B406" s="788"/>
      <c r="C406" s="789"/>
      <c r="D406" s="210" t="s">
        <v>640</v>
      </c>
      <c r="E406" s="606">
        <f t="shared" si="38"/>
        <v>0</v>
      </c>
      <c r="J406" s="787" t="s">
        <v>639</v>
      </c>
      <c r="K406" s="788"/>
      <c r="L406" s="789"/>
      <c r="M406" s="210" t="s">
        <v>640</v>
      </c>
      <c r="N406" s="606">
        <f t="shared" si="39"/>
        <v>0</v>
      </c>
    </row>
    <row r="407" spans="1:14" ht="19.5" customHeight="1" x14ac:dyDescent="0.25">
      <c r="A407" s="787" t="s">
        <v>641</v>
      </c>
      <c r="B407" s="788"/>
      <c r="C407" s="789"/>
      <c r="D407" s="210" t="s">
        <v>640</v>
      </c>
      <c r="E407" s="606">
        <f t="shared" si="38"/>
        <v>0</v>
      </c>
      <c r="J407" s="787" t="s">
        <v>641</v>
      </c>
      <c r="K407" s="788"/>
      <c r="L407" s="789"/>
      <c r="M407" s="210" t="s">
        <v>640</v>
      </c>
      <c r="N407" s="606">
        <f t="shared" si="39"/>
        <v>0</v>
      </c>
    </row>
    <row r="408" spans="1:14" ht="19.5" customHeight="1" x14ac:dyDescent="0.25">
      <c r="A408" s="787" t="s">
        <v>642</v>
      </c>
      <c r="B408" s="788"/>
      <c r="C408" s="789"/>
      <c r="D408" s="210" t="s">
        <v>643</v>
      </c>
      <c r="E408" s="606">
        <f t="shared" si="38"/>
        <v>0</v>
      </c>
      <c r="J408" s="787" t="s">
        <v>642</v>
      </c>
      <c r="K408" s="788"/>
      <c r="L408" s="789"/>
      <c r="M408" s="210" t="s">
        <v>643</v>
      </c>
      <c r="N408" s="606">
        <f t="shared" si="39"/>
        <v>0</v>
      </c>
    </row>
    <row r="409" spans="1:14" ht="19.5" customHeight="1" x14ac:dyDescent="0.25">
      <c r="A409" s="787" t="s">
        <v>644</v>
      </c>
      <c r="B409" s="788"/>
      <c r="C409" s="789"/>
      <c r="D409" s="210" t="s">
        <v>645</v>
      </c>
      <c r="E409" s="606">
        <f t="shared" si="38"/>
        <v>0</v>
      </c>
      <c r="J409" s="787" t="s">
        <v>644</v>
      </c>
      <c r="K409" s="788"/>
      <c r="L409" s="789"/>
      <c r="M409" s="210" t="s">
        <v>645</v>
      </c>
      <c r="N409" s="606">
        <f t="shared" si="39"/>
        <v>0</v>
      </c>
    </row>
    <row r="410" spans="1:14" ht="19.5" customHeight="1" x14ac:dyDescent="0.25">
      <c r="A410" s="787" t="s">
        <v>646</v>
      </c>
      <c r="B410" s="788"/>
      <c r="C410" s="789"/>
      <c r="D410" s="210" t="s">
        <v>647</v>
      </c>
      <c r="E410" s="606">
        <f t="shared" si="38"/>
        <v>0</v>
      </c>
      <c r="J410" s="787" t="s">
        <v>646</v>
      </c>
      <c r="K410" s="788"/>
      <c r="L410" s="789"/>
      <c r="M410" s="210" t="s">
        <v>647</v>
      </c>
      <c r="N410" s="606">
        <f t="shared" si="39"/>
        <v>0</v>
      </c>
    </row>
    <row r="411" spans="1:14" ht="19.5" customHeight="1" x14ac:dyDescent="0.25">
      <c r="A411" s="787" t="s">
        <v>648</v>
      </c>
      <c r="B411" s="788"/>
      <c r="C411" s="789"/>
      <c r="D411" s="210" t="s">
        <v>649</v>
      </c>
      <c r="E411" s="606">
        <f t="shared" si="38"/>
        <v>0</v>
      </c>
      <c r="J411" s="787" t="s">
        <v>648</v>
      </c>
      <c r="K411" s="788"/>
      <c r="L411" s="789"/>
      <c r="M411" s="210" t="s">
        <v>649</v>
      </c>
      <c r="N411" s="606">
        <f t="shared" si="39"/>
        <v>0</v>
      </c>
    </row>
    <row r="412" spans="1:14" ht="19.5" customHeight="1" x14ac:dyDescent="0.25">
      <c r="A412" s="787" t="s">
        <v>650</v>
      </c>
      <c r="B412" s="788"/>
      <c r="C412" s="789"/>
      <c r="D412" s="210" t="s">
        <v>651</v>
      </c>
      <c r="E412" s="606">
        <f t="shared" si="38"/>
        <v>0</v>
      </c>
      <c r="J412" s="787" t="s">
        <v>650</v>
      </c>
      <c r="K412" s="788"/>
      <c r="L412" s="789"/>
      <c r="M412" s="210" t="s">
        <v>651</v>
      </c>
      <c r="N412" s="606">
        <f t="shared" si="39"/>
        <v>0</v>
      </c>
    </row>
    <row r="413" spans="1:14" ht="19.5" customHeight="1" x14ac:dyDescent="0.25">
      <c r="A413" s="787" t="s">
        <v>652</v>
      </c>
      <c r="B413" s="788"/>
      <c r="C413" s="789"/>
      <c r="D413" s="210" t="s">
        <v>653</v>
      </c>
      <c r="E413" s="606">
        <f t="shared" si="38"/>
        <v>0</v>
      </c>
      <c r="J413" s="787" t="s">
        <v>652</v>
      </c>
      <c r="K413" s="788"/>
      <c r="L413" s="789"/>
      <c r="M413" s="210" t="s">
        <v>653</v>
      </c>
      <c r="N413" s="606">
        <f t="shared" si="39"/>
        <v>0</v>
      </c>
    </row>
    <row r="414" spans="1:14" ht="19.5" customHeight="1" x14ac:dyDescent="0.25">
      <c r="A414" s="787" t="s">
        <v>654</v>
      </c>
      <c r="B414" s="788"/>
      <c r="C414" s="789"/>
      <c r="D414" s="210" t="s">
        <v>655</v>
      </c>
      <c r="E414" s="606">
        <f t="shared" ref="E414:E426" si="40">COUNTIF($A$4:$AJ$76,D414)</f>
        <v>0</v>
      </c>
      <c r="J414" s="787" t="s">
        <v>654</v>
      </c>
      <c r="K414" s="788"/>
      <c r="L414" s="789"/>
      <c r="M414" s="210" t="s">
        <v>655</v>
      </c>
      <c r="N414" s="606">
        <f t="shared" ref="N414:N426" si="41">COUNTIF($AN$6:$DC$76,M414)</f>
        <v>0</v>
      </c>
    </row>
    <row r="415" spans="1:14" ht="19.5" customHeight="1" x14ac:dyDescent="0.25">
      <c r="A415" s="787" t="s">
        <v>656</v>
      </c>
      <c r="B415" s="788"/>
      <c r="C415" s="789"/>
      <c r="D415" s="210" t="s">
        <v>657</v>
      </c>
      <c r="E415" s="606">
        <f t="shared" si="40"/>
        <v>0</v>
      </c>
      <c r="J415" s="787" t="s">
        <v>656</v>
      </c>
      <c r="K415" s="788"/>
      <c r="L415" s="789"/>
      <c r="M415" s="210" t="s">
        <v>657</v>
      </c>
      <c r="N415" s="606">
        <f t="shared" si="41"/>
        <v>0</v>
      </c>
    </row>
    <row r="416" spans="1:14" ht="19.5" customHeight="1" x14ac:dyDescent="0.25">
      <c r="A416" s="787" t="s">
        <v>658</v>
      </c>
      <c r="B416" s="788"/>
      <c r="C416" s="789"/>
      <c r="D416" s="210" t="s">
        <v>659</v>
      </c>
      <c r="E416" s="606">
        <f t="shared" si="40"/>
        <v>0</v>
      </c>
      <c r="J416" s="787" t="s">
        <v>658</v>
      </c>
      <c r="K416" s="788"/>
      <c r="L416" s="789"/>
      <c r="M416" s="210" t="s">
        <v>659</v>
      </c>
      <c r="N416" s="606">
        <f t="shared" si="41"/>
        <v>0</v>
      </c>
    </row>
    <row r="417" spans="1:17" ht="19.5" customHeight="1" x14ac:dyDescent="0.25">
      <c r="A417" s="787" t="s">
        <v>660</v>
      </c>
      <c r="B417" s="788"/>
      <c r="C417" s="789"/>
      <c r="D417" s="210" t="s">
        <v>661</v>
      </c>
      <c r="E417" s="606">
        <f t="shared" si="40"/>
        <v>0</v>
      </c>
      <c r="J417" s="787" t="s">
        <v>660</v>
      </c>
      <c r="K417" s="788"/>
      <c r="L417" s="789"/>
      <c r="M417" s="210" t="s">
        <v>661</v>
      </c>
      <c r="N417" s="606">
        <f t="shared" si="41"/>
        <v>0</v>
      </c>
    </row>
    <row r="418" spans="1:17" ht="19.5" customHeight="1" x14ac:dyDescent="0.25">
      <c r="A418" s="787" t="s">
        <v>662</v>
      </c>
      <c r="B418" s="788"/>
      <c r="C418" s="789"/>
      <c r="D418" s="210" t="s">
        <v>663</v>
      </c>
      <c r="E418" s="606">
        <f t="shared" si="40"/>
        <v>0</v>
      </c>
      <c r="J418" s="787" t="s">
        <v>662</v>
      </c>
      <c r="K418" s="788"/>
      <c r="L418" s="789"/>
      <c r="M418" s="210" t="s">
        <v>663</v>
      </c>
      <c r="N418" s="606">
        <f t="shared" si="41"/>
        <v>0</v>
      </c>
    </row>
    <row r="419" spans="1:17" ht="19.5" customHeight="1" x14ac:dyDescent="0.25">
      <c r="A419" s="787" t="s">
        <v>664</v>
      </c>
      <c r="B419" s="788"/>
      <c r="C419" s="789"/>
      <c r="D419" s="210" t="s">
        <v>665</v>
      </c>
      <c r="E419" s="606">
        <f t="shared" si="40"/>
        <v>0</v>
      </c>
      <c r="J419" s="787" t="s">
        <v>664</v>
      </c>
      <c r="K419" s="788"/>
      <c r="L419" s="789"/>
      <c r="M419" s="210" t="s">
        <v>665</v>
      </c>
      <c r="N419" s="606">
        <f t="shared" si="41"/>
        <v>0</v>
      </c>
    </row>
    <row r="420" spans="1:17" ht="19.5" customHeight="1" x14ac:dyDescent="0.25">
      <c r="A420" s="787" t="s">
        <v>666</v>
      </c>
      <c r="B420" s="788"/>
      <c r="C420" s="789"/>
      <c r="D420" s="210" t="s">
        <v>667</v>
      </c>
      <c r="E420" s="606">
        <f t="shared" si="40"/>
        <v>0</v>
      </c>
      <c r="J420" s="787" t="s">
        <v>666</v>
      </c>
      <c r="K420" s="788"/>
      <c r="L420" s="789"/>
      <c r="M420" s="210" t="s">
        <v>667</v>
      </c>
      <c r="N420" s="606">
        <f t="shared" si="41"/>
        <v>0</v>
      </c>
    </row>
    <row r="421" spans="1:17" ht="19.5" customHeight="1" x14ac:dyDescent="0.25">
      <c r="A421" s="787" t="s">
        <v>668</v>
      </c>
      <c r="B421" s="788"/>
      <c r="C421" s="789"/>
      <c r="D421" s="210" t="s">
        <v>669</v>
      </c>
      <c r="E421" s="606">
        <f t="shared" si="40"/>
        <v>0</v>
      </c>
      <c r="J421" s="787" t="s">
        <v>668</v>
      </c>
      <c r="K421" s="788"/>
      <c r="L421" s="789"/>
      <c r="M421" s="210" t="s">
        <v>669</v>
      </c>
      <c r="N421" s="606">
        <f t="shared" si="41"/>
        <v>0</v>
      </c>
    </row>
    <row r="422" spans="1:17" ht="19.5" customHeight="1" x14ac:dyDescent="0.25">
      <c r="A422" s="787" t="s">
        <v>670</v>
      </c>
      <c r="B422" s="788"/>
      <c r="C422" s="789"/>
      <c r="D422" s="210" t="s">
        <v>671</v>
      </c>
      <c r="E422" s="606">
        <f t="shared" si="40"/>
        <v>0</v>
      </c>
      <c r="J422" s="787" t="s">
        <v>670</v>
      </c>
      <c r="K422" s="788"/>
      <c r="L422" s="789"/>
      <c r="M422" s="210" t="s">
        <v>671</v>
      </c>
      <c r="N422" s="606">
        <f t="shared" si="41"/>
        <v>0</v>
      </c>
    </row>
    <row r="423" spans="1:17" ht="19.5" customHeight="1" x14ac:dyDescent="0.25">
      <c r="A423" s="787" t="s">
        <v>672</v>
      </c>
      <c r="B423" s="788"/>
      <c r="C423" s="789"/>
      <c r="D423" s="210" t="s">
        <v>673</v>
      </c>
      <c r="E423" s="606">
        <f t="shared" si="40"/>
        <v>0</v>
      </c>
      <c r="J423" s="787" t="s">
        <v>672</v>
      </c>
      <c r="K423" s="788"/>
      <c r="L423" s="789"/>
      <c r="M423" s="210" t="s">
        <v>673</v>
      </c>
      <c r="N423" s="606">
        <f t="shared" si="41"/>
        <v>0</v>
      </c>
      <c r="O423" s="5"/>
      <c r="P423" s="5"/>
      <c r="Q423" s="5"/>
    </row>
    <row r="424" spans="1:17" ht="19.5" customHeight="1" x14ac:dyDescent="0.25">
      <c r="A424" s="787" t="s">
        <v>674</v>
      </c>
      <c r="B424" s="788"/>
      <c r="C424" s="789"/>
      <c r="D424" s="210" t="s">
        <v>675</v>
      </c>
      <c r="E424" s="606">
        <f t="shared" si="40"/>
        <v>0</v>
      </c>
      <c r="J424" s="787" t="s">
        <v>674</v>
      </c>
      <c r="K424" s="788"/>
      <c r="L424" s="789"/>
      <c r="M424" s="210" t="s">
        <v>675</v>
      </c>
      <c r="N424" s="606">
        <f t="shared" si="41"/>
        <v>0</v>
      </c>
    </row>
    <row r="425" spans="1:17" ht="19.5" customHeight="1" x14ac:dyDescent="0.25">
      <c r="A425" s="787" t="s">
        <v>676</v>
      </c>
      <c r="B425" s="788"/>
      <c r="C425" s="789"/>
      <c r="D425" s="210" t="s">
        <v>677</v>
      </c>
      <c r="E425" s="606">
        <f t="shared" si="40"/>
        <v>0</v>
      </c>
      <c r="J425" s="787" t="s">
        <v>676</v>
      </c>
      <c r="K425" s="788"/>
      <c r="L425" s="789"/>
      <c r="M425" s="210" t="s">
        <v>677</v>
      </c>
      <c r="N425" s="606">
        <f t="shared" si="41"/>
        <v>0</v>
      </c>
    </row>
    <row r="426" spans="1:17" ht="19.5" customHeight="1" x14ac:dyDescent="0.25">
      <c r="A426" s="787" t="s">
        <v>678</v>
      </c>
      <c r="B426" s="788"/>
      <c r="C426" s="789"/>
      <c r="D426" s="210" t="s">
        <v>679</v>
      </c>
      <c r="E426" s="606">
        <f t="shared" si="40"/>
        <v>0</v>
      </c>
      <c r="J426" s="787" t="s">
        <v>678</v>
      </c>
      <c r="K426" s="788"/>
      <c r="L426" s="789"/>
      <c r="M426" s="210" t="s">
        <v>679</v>
      </c>
      <c r="N426" s="606">
        <f t="shared" si="41"/>
        <v>0</v>
      </c>
    </row>
    <row r="427" spans="1:17" ht="19.5" customHeight="1" thickBot="1" x14ac:dyDescent="0.3">
      <c r="A427" s="794" t="s">
        <v>275</v>
      </c>
      <c r="B427" s="795"/>
      <c r="C427" s="795"/>
      <c r="D427" s="796"/>
      <c r="E427" s="684">
        <f>SUM(E350:E426)</f>
        <v>1</v>
      </c>
      <c r="J427" s="790" t="s">
        <v>275</v>
      </c>
      <c r="K427" s="790"/>
      <c r="L427" s="790"/>
      <c r="M427" s="790"/>
      <c r="N427" s="684">
        <f>SUM(N350:N426)</f>
        <v>3</v>
      </c>
    </row>
    <row r="428" spans="1:17" ht="19.5" customHeight="1" thickBot="1" x14ac:dyDescent="0.3">
      <c r="A428" s="791" t="s">
        <v>680</v>
      </c>
      <c r="B428" s="792"/>
      <c r="C428" s="792"/>
      <c r="D428" s="793"/>
      <c r="J428" s="791" t="s">
        <v>680</v>
      </c>
      <c r="K428" s="792"/>
      <c r="L428" s="792"/>
      <c r="M428" s="793"/>
    </row>
    <row r="429" spans="1:17" ht="19.5" customHeight="1" x14ac:dyDescent="0.25">
      <c r="A429" s="787" t="s">
        <v>681</v>
      </c>
      <c r="B429" s="788"/>
      <c r="C429" s="789"/>
      <c r="D429" s="210" t="s">
        <v>682</v>
      </c>
      <c r="E429" s="606">
        <f t="shared" ref="E429:E451" si="42">COUNTIF($A$4:$AJ$76,D429)</f>
        <v>0</v>
      </c>
      <c r="J429" s="787" t="s">
        <v>681</v>
      </c>
      <c r="K429" s="788"/>
      <c r="L429" s="789"/>
      <c r="M429" s="210" t="s">
        <v>682</v>
      </c>
      <c r="N429" s="606">
        <f t="shared" ref="N429:N451" si="43">COUNTIF($AN$6:$DC$76,M429)</f>
        <v>0</v>
      </c>
    </row>
    <row r="430" spans="1:17" ht="19.5" customHeight="1" x14ac:dyDescent="0.25">
      <c r="A430" s="787" t="s">
        <v>683</v>
      </c>
      <c r="B430" s="788"/>
      <c r="C430" s="789"/>
      <c r="D430" s="210" t="s">
        <v>684</v>
      </c>
      <c r="E430" s="606">
        <f t="shared" si="42"/>
        <v>0</v>
      </c>
      <c r="J430" s="787" t="s">
        <v>683</v>
      </c>
      <c r="K430" s="788"/>
      <c r="L430" s="789"/>
      <c r="M430" s="210" t="s">
        <v>684</v>
      </c>
      <c r="N430" s="606">
        <f t="shared" si="43"/>
        <v>0</v>
      </c>
    </row>
    <row r="431" spans="1:17" ht="19.5" customHeight="1" x14ac:dyDescent="0.25">
      <c r="A431" s="787" t="s">
        <v>685</v>
      </c>
      <c r="B431" s="788"/>
      <c r="C431" s="789"/>
      <c r="D431" s="210" t="s">
        <v>686</v>
      </c>
      <c r="E431" s="606">
        <f t="shared" si="42"/>
        <v>0</v>
      </c>
      <c r="J431" s="787" t="s">
        <v>685</v>
      </c>
      <c r="K431" s="788"/>
      <c r="L431" s="789"/>
      <c r="M431" s="210" t="s">
        <v>686</v>
      </c>
      <c r="N431" s="606">
        <f t="shared" si="43"/>
        <v>0</v>
      </c>
      <c r="O431" s="5"/>
      <c r="P431" s="5"/>
      <c r="Q431" s="5"/>
    </row>
    <row r="432" spans="1:17" ht="19.5" customHeight="1" x14ac:dyDescent="0.25">
      <c r="A432" s="787" t="s">
        <v>687</v>
      </c>
      <c r="B432" s="788"/>
      <c r="C432" s="789"/>
      <c r="D432" s="210" t="s">
        <v>688</v>
      </c>
      <c r="E432" s="606">
        <f t="shared" si="42"/>
        <v>0</v>
      </c>
      <c r="J432" s="787" t="s">
        <v>687</v>
      </c>
      <c r="K432" s="788"/>
      <c r="L432" s="789"/>
      <c r="M432" s="210" t="s">
        <v>688</v>
      </c>
      <c r="N432" s="606">
        <f t="shared" si="43"/>
        <v>0</v>
      </c>
    </row>
    <row r="433" spans="1:17" ht="19.5" customHeight="1" x14ac:dyDescent="0.25">
      <c r="A433" s="787" t="s">
        <v>689</v>
      </c>
      <c r="B433" s="788"/>
      <c r="C433" s="789"/>
      <c r="D433" s="210" t="s">
        <v>690</v>
      </c>
      <c r="E433" s="606">
        <f t="shared" si="42"/>
        <v>0</v>
      </c>
      <c r="J433" s="787" t="s">
        <v>689</v>
      </c>
      <c r="K433" s="788"/>
      <c r="L433" s="789"/>
      <c r="M433" s="210" t="s">
        <v>690</v>
      </c>
      <c r="N433" s="606">
        <f t="shared" si="43"/>
        <v>0</v>
      </c>
    </row>
    <row r="434" spans="1:17" ht="19.5" customHeight="1" x14ac:dyDescent="0.25">
      <c r="A434" s="787" t="s">
        <v>691</v>
      </c>
      <c r="B434" s="788"/>
      <c r="C434" s="789"/>
      <c r="D434" s="210" t="s">
        <v>692</v>
      </c>
      <c r="E434" s="606">
        <f t="shared" si="42"/>
        <v>0</v>
      </c>
      <c r="J434" s="787" t="s">
        <v>691</v>
      </c>
      <c r="K434" s="788"/>
      <c r="L434" s="789"/>
      <c r="M434" s="210" t="s">
        <v>692</v>
      </c>
      <c r="N434" s="606">
        <f t="shared" si="43"/>
        <v>0</v>
      </c>
    </row>
    <row r="435" spans="1:17" ht="19.5" customHeight="1" x14ac:dyDescent="0.25">
      <c r="A435" s="787" t="s">
        <v>693</v>
      </c>
      <c r="B435" s="788"/>
      <c r="C435" s="789"/>
      <c r="D435" s="210" t="s">
        <v>694</v>
      </c>
      <c r="E435" s="606">
        <f t="shared" si="42"/>
        <v>0</v>
      </c>
      <c r="J435" s="787" t="s">
        <v>693</v>
      </c>
      <c r="K435" s="788"/>
      <c r="L435" s="789"/>
      <c r="M435" s="210" t="s">
        <v>694</v>
      </c>
      <c r="N435" s="606">
        <f t="shared" si="43"/>
        <v>0</v>
      </c>
      <c r="O435" s="5"/>
      <c r="P435" s="5"/>
      <c r="Q435" s="5"/>
    </row>
    <row r="436" spans="1:17" ht="19.5" customHeight="1" x14ac:dyDescent="0.25">
      <c r="A436" s="787" t="s">
        <v>695</v>
      </c>
      <c r="B436" s="788"/>
      <c r="C436" s="789"/>
      <c r="D436" s="210" t="s">
        <v>696</v>
      </c>
      <c r="E436" s="606">
        <f t="shared" si="42"/>
        <v>0</v>
      </c>
      <c r="J436" s="787" t="s">
        <v>695</v>
      </c>
      <c r="K436" s="788"/>
      <c r="L436" s="789"/>
      <c r="M436" s="210" t="s">
        <v>696</v>
      </c>
      <c r="N436" s="606">
        <f t="shared" si="43"/>
        <v>0</v>
      </c>
    </row>
    <row r="437" spans="1:17" ht="19.5" customHeight="1" x14ac:dyDescent="0.25">
      <c r="A437" s="787" t="s">
        <v>115</v>
      </c>
      <c r="B437" s="788"/>
      <c r="C437" s="789"/>
      <c r="D437" s="210" t="s">
        <v>697</v>
      </c>
      <c r="E437" s="606">
        <f t="shared" si="42"/>
        <v>0</v>
      </c>
      <c r="J437" s="787" t="s">
        <v>115</v>
      </c>
      <c r="K437" s="788"/>
      <c r="L437" s="789"/>
      <c r="M437" s="210" t="s">
        <v>697</v>
      </c>
      <c r="N437" s="606">
        <f t="shared" si="43"/>
        <v>0</v>
      </c>
    </row>
    <row r="438" spans="1:17" ht="19.5" customHeight="1" x14ac:dyDescent="0.25">
      <c r="A438" s="787" t="s">
        <v>698</v>
      </c>
      <c r="B438" s="788"/>
      <c r="C438" s="789"/>
      <c r="D438" s="210" t="s">
        <v>699</v>
      </c>
      <c r="E438" s="606">
        <f t="shared" si="42"/>
        <v>0</v>
      </c>
      <c r="J438" s="787" t="s">
        <v>698</v>
      </c>
      <c r="K438" s="788"/>
      <c r="L438" s="789"/>
      <c r="M438" s="210" t="s">
        <v>699</v>
      </c>
      <c r="N438" s="606">
        <f t="shared" si="43"/>
        <v>0</v>
      </c>
      <c r="O438" s="5"/>
      <c r="P438" s="5"/>
      <c r="Q438" s="5"/>
    </row>
    <row r="439" spans="1:17" ht="19.5" customHeight="1" x14ac:dyDescent="0.25">
      <c r="A439" s="787" t="s">
        <v>700</v>
      </c>
      <c r="B439" s="788"/>
      <c r="C439" s="789"/>
      <c r="D439" s="210" t="s">
        <v>701</v>
      </c>
      <c r="E439" s="606">
        <f t="shared" si="42"/>
        <v>0</v>
      </c>
      <c r="J439" s="787" t="s">
        <v>700</v>
      </c>
      <c r="K439" s="788"/>
      <c r="L439" s="789"/>
      <c r="M439" s="210" t="s">
        <v>701</v>
      </c>
      <c r="N439" s="606">
        <f t="shared" si="43"/>
        <v>0</v>
      </c>
    </row>
    <row r="440" spans="1:17" ht="19.5" customHeight="1" x14ac:dyDescent="0.25">
      <c r="A440" s="787" t="s">
        <v>702</v>
      </c>
      <c r="B440" s="788"/>
      <c r="C440" s="789"/>
      <c r="D440" s="210" t="s">
        <v>703</v>
      </c>
      <c r="E440" s="606">
        <f t="shared" si="42"/>
        <v>0</v>
      </c>
      <c r="J440" s="787" t="s">
        <v>702</v>
      </c>
      <c r="K440" s="788"/>
      <c r="L440" s="789"/>
      <c r="M440" s="210" t="s">
        <v>703</v>
      </c>
      <c r="N440" s="606">
        <f t="shared" si="43"/>
        <v>0</v>
      </c>
    </row>
    <row r="441" spans="1:17" ht="19.5" customHeight="1" x14ac:dyDescent="0.25">
      <c r="A441" s="787" t="s">
        <v>704</v>
      </c>
      <c r="B441" s="788"/>
      <c r="C441" s="789"/>
      <c r="D441" s="210" t="s">
        <v>705</v>
      </c>
      <c r="E441" s="606">
        <f t="shared" si="42"/>
        <v>0</v>
      </c>
      <c r="J441" s="787" t="s">
        <v>704</v>
      </c>
      <c r="K441" s="788"/>
      <c r="L441" s="789"/>
      <c r="M441" s="210" t="s">
        <v>705</v>
      </c>
      <c r="N441" s="606">
        <f t="shared" si="43"/>
        <v>0</v>
      </c>
    </row>
    <row r="442" spans="1:17" ht="19.5" customHeight="1" x14ac:dyDescent="0.25">
      <c r="A442" s="787" t="s">
        <v>107</v>
      </c>
      <c r="B442" s="788"/>
      <c r="C442" s="789"/>
      <c r="D442" s="210" t="s">
        <v>706</v>
      </c>
      <c r="E442" s="606">
        <f t="shared" si="42"/>
        <v>0</v>
      </c>
      <c r="J442" s="787" t="s">
        <v>107</v>
      </c>
      <c r="K442" s="788"/>
      <c r="L442" s="789"/>
      <c r="M442" s="210" t="s">
        <v>706</v>
      </c>
      <c r="N442" s="606">
        <f t="shared" si="43"/>
        <v>0</v>
      </c>
    </row>
    <row r="443" spans="1:17" ht="19.5" customHeight="1" x14ac:dyDescent="0.25">
      <c r="A443" s="787" t="s">
        <v>707</v>
      </c>
      <c r="B443" s="788"/>
      <c r="C443" s="789"/>
      <c r="D443" s="210" t="s">
        <v>708</v>
      </c>
      <c r="E443" s="606">
        <f t="shared" si="42"/>
        <v>0</v>
      </c>
      <c r="J443" s="787" t="s">
        <v>707</v>
      </c>
      <c r="K443" s="788"/>
      <c r="L443" s="789"/>
      <c r="M443" s="210" t="s">
        <v>708</v>
      </c>
      <c r="N443" s="606">
        <f t="shared" si="43"/>
        <v>0</v>
      </c>
    </row>
    <row r="444" spans="1:17" ht="19.5" customHeight="1" x14ac:dyDescent="0.25">
      <c r="A444" s="787" t="s">
        <v>709</v>
      </c>
      <c r="B444" s="788"/>
      <c r="C444" s="789"/>
      <c r="D444" s="210" t="s">
        <v>710</v>
      </c>
      <c r="E444" s="606">
        <f t="shared" si="42"/>
        <v>0</v>
      </c>
      <c r="J444" s="787" t="s">
        <v>709</v>
      </c>
      <c r="K444" s="788"/>
      <c r="L444" s="789"/>
      <c r="M444" s="210" t="s">
        <v>710</v>
      </c>
      <c r="N444" s="606">
        <f t="shared" si="43"/>
        <v>0</v>
      </c>
    </row>
    <row r="445" spans="1:17" ht="19.5" customHeight="1" x14ac:dyDescent="0.25">
      <c r="A445" s="787" t="s">
        <v>711</v>
      </c>
      <c r="B445" s="788"/>
      <c r="C445" s="789"/>
      <c r="D445" s="210" t="s">
        <v>712</v>
      </c>
      <c r="E445" s="606">
        <f t="shared" si="42"/>
        <v>0</v>
      </c>
      <c r="J445" s="787" t="s">
        <v>711</v>
      </c>
      <c r="K445" s="788"/>
      <c r="L445" s="789"/>
      <c r="M445" s="210" t="s">
        <v>712</v>
      </c>
      <c r="N445" s="606">
        <f t="shared" si="43"/>
        <v>0</v>
      </c>
    </row>
    <row r="446" spans="1:17" ht="19.5" customHeight="1" x14ac:dyDescent="0.25">
      <c r="A446" s="787" t="s">
        <v>713</v>
      </c>
      <c r="B446" s="788"/>
      <c r="C446" s="789"/>
      <c r="D446" s="210" t="s">
        <v>714</v>
      </c>
      <c r="E446" s="606">
        <f t="shared" si="42"/>
        <v>0</v>
      </c>
      <c r="J446" s="787" t="s">
        <v>713</v>
      </c>
      <c r="K446" s="788"/>
      <c r="L446" s="789"/>
      <c r="M446" s="210" t="s">
        <v>714</v>
      </c>
      <c r="N446" s="606">
        <f t="shared" si="43"/>
        <v>0</v>
      </c>
    </row>
    <row r="447" spans="1:17" ht="19.5" customHeight="1" x14ac:dyDescent="0.25">
      <c r="A447" s="787" t="s">
        <v>715</v>
      </c>
      <c r="B447" s="788"/>
      <c r="C447" s="789"/>
      <c r="D447" s="210" t="s">
        <v>716</v>
      </c>
      <c r="E447" s="606">
        <f t="shared" si="42"/>
        <v>0</v>
      </c>
      <c r="J447" s="787" t="s">
        <v>715</v>
      </c>
      <c r="K447" s="788"/>
      <c r="L447" s="789"/>
      <c r="M447" s="210" t="s">
        <v>716</v>
      </c>
      <c r="N447" s="606">
        <f t="shared" si="43"/>
        <v>0</v>
      </c>
    </row>
    <row r="448" spans="1:17" ht="19.5" customHeight="1" x14ac:dyDescent="0.25">
      <c r="A448" s="787" t="s">
        <v>103</v>
      </c>
      <c r="B448" s="788"/>
      <c r="C448" s="789"/>
      <c r="D448" s="210" t="s">
        <v>717</v>
      </c>
      <c r="E448" s="606">
        <f t="shared" si="42"/>
        <v>0</v>
      </c>
      <c r="J448" s="787" t="s">
        <v>103</v>
      </c>
      <c r="K448" s="788"/>
      <c r="L448" s="789"/>
      <c r="M448" s="210" t="s">
        <v>717</v>
      </c>
      <c r="N448" s="606">
        <f t="shared" si="43"/>
        <v>0</v>
      </c>
    </row>
    <row r="449" spans="1:14" ht="19.5" customHeight="1" x14ac:dyDescent="0.25">
      <c r="A449" s="787" t="s">
        <v>718</v>
      </c>
      <c r="B449" s="788"/>
      <c r="C449" s="789"/>
      <c r="D449" s="210" t="s">
        <v>719</v>
      </c>
      <c r="E449" s="606">
        <f t="shared" si="42"/>
        <v>0</v>
      </c>
      <c r="J449" s="787" t="s">
        <v>718</v>
      </c>
      <c r="K449" s="788"/>
      <c r="L449" s="789"/>
      <c r="M449" s="210" t="s">
        <v>719</v>
      </c>
      <c r="N449" s="606">
        <f t="shared" si="43"/>
        <v>0</v>
      </c>
    </row>
    <row r="450" spans="1:14" ht="19.5" customHeight="1" x14ac:dyDescent="0.25">
      <c r="A450" s="787" t="s">
        <v>111</v>
      </c>
      <c r="B450" s="788"/>
      <c r="C450" s="789"/>
      <c r="D450" s="210" t="s">
        <v>720</v>
      </c>
      <c r="E450" s="606">
        <f t="shared" si="42"/>
        <v>0</v>
      </c>
      <c r="J450" s="787" t="s">
        <v>111</v>
      </c>
      <c r="K450" s="788"/>
      <c r="L450" s="789"/>
      <c r="M450" s="210" t="s">
        <v>720</v>
      </c>
      <c r="N450" s="606">
        <f t="shared" si="43"/>
        <v>0</v>
      </c>
    </row>
    <row r="451" spans="1:14" ht="19.5" customHeight="1" x14ac:dyDescent="0.25">
      <c r="A451" s="787" t="s">
        <v>721</v>
      </c>
      <c r="B451" s="788"/>
      <c r="C451" s="789"/>
      <c r="D451" s="210" t="s">
        <v>257</v>
      </c>
      <c r="E451" s="606">
        <f t="shared" si="42"/>
        <v>0</v>
      </c>
      <c r="J451" s="787" t="s">
        <v>721</v>
      </c>
      <c r="K451" s="788"/>
      <c r="L451" s="789"/>
      <c r="M451" s="210" t="s">
        <v>257</v>
      </c>
      <c r="N451" s="606">
        <f t="shared" si="43"/>
        <v>1</v>
      </c>
    </row>
    <row r="452" spans="1:14" ht="19.5" customHeight="1" thickBot="1" x14ac:dyDescent="0.3">
      <c r="A452" s="790" t="s">
        <v>275</v>
      </c>
      <c r="B452" s="790"/>
      <c r="C452" s="790"/>
      <c r="D452" s="790"/>
      <c r="E452" s="684">
        <f>SUM(E429:E451)</f>
        <v>0</v>
      </c>
      <c r="J452" s="790" t="s">
        <v>275</v>
      </c>
      <c r="K452" s="790"/>
      <c r="L452" s="790"/>
      <c r="M452" s="790"/>
      <c r="N452" s="684">
        <f>SUM(N429:N451)</f>
        <v>1</v>
      </c>
    </row>
    <row r="453" spans="1:14" ht="19.5" customHeight="1" thickBot="1" x14ac:dyDescent="0.3">
      <c r="A453" s="791" t="s">
        <v>722</v>
      </c>
      <c r="B453" s="792"/>
      <c r="C453" s="792"/>
      <c r="D453" s="793"/>
      <c r="F453" s="5"/>
      <c r="G453" s="5"/>
      <c r="H453" s="5"/>
      <c r="I453" s="5"/>
      <c r="J453" s="791" t="s">
        <v>722</v>
      </c>
      <c r="K453" s="792"/>
      <c r="L453" s="792"/>
      <c r="M453" s="793"/>
    </row>
    <row r="454" spans="1:14" ht="19.5" customHeight="1" x14ac:dyDescent="0.25">
      <c r="A454" s="787" t="s">
        <v>474</v>
      </c>
      <c r="B454" s="788"/>
      <c r="C454" s="789"/>
      <c r="D454" s="210" t="s">
        <v>723</v>
      </c>
      <c r="E454" s="606">
        <f t="shared" ref="E454:E459" si="44">COUNTIF($A$4:$AJ$76,D454)</f>
        <v>0</v>
      </c>
      <c r="J454" s="787" t="s">
        <v>474</v>
      </c>
      <c r="K454" s="788"/>
      <c r="L454" s="789"/>
      <c r="M454" s="210" t="s">
        <v>723</v>
      </c>
      <c r="N454" s="606">
        <f t="shared" ref="N454:N459" si="45">COUNTIF($AN$6:$DC$76,M454)</f>
        <v>0</v>
      </c>
    </row>
    <row r="455" spans="1:14" ht="19.5" customHeight="1" x14ac:dyDescent="0.25">
      <c r="A455" s="787" t="s">
        <v>531</v>
      </c>
      <c r="B455" s="788"/>
      <c r="C455" s="789"/>
      <c r="D455" s="210" t="s">
        <v>724</v>
      </c>
      <c r="E455" s="606">
        <f t="shared" si="44"/>
        <v>0</v>
      </c>
      <c r="J455" s="787" t="s">
        <v>531</v>
      </c>
      <c r="K455" s="788"/>
      <c r="L455" s="789"/>
      <c r="M455" s="210" t="s">
        <v>724</v>
      </c>
      <c r="N455" s="606">
        <f t="shared" si="45"/>
        <v>0</v>
      </c>
    </row>
    <row r="456" spans="1:14" ht="19.5" customHeight="1" x14ac:dyDescent="0.25">
      <c r="A456" s="787" t="s">
        <v>498</v>
      </c>
      <c r="B456" s="788"/>
      <c r="C456" s="789"/>
      <c r="D456" s="210" t="s">
        <v>725</v>
      </c>
      <c r="E456" s="606">
        <f t="shared" si="44"/>
        <v>0</v>
      </c>
      <c r="J456" s="787" t="s">
        <v>498</v>
      </c>
      <c r="K456" s="788"/>
      <c r="L456" s="789"/>
      <c r="M456" s="210" t="s">
        <v>725</v>
      </c>
      <c r="N456" s="606">
        <f t="shared" si="45"/>
        <v>0</v>
      </c>
    </row>
    <row r="457" spans="1:14" ht="19.5" customHeight="1" x14ac:dyDescent="0.25">
      <c r="A457" s="787" t="s">
        <v>563</v>
      </c>
      <c r="B457" s="788"/>
      <c r="C457" s="789"/>
      <c r="D457" s="210" t="s">
        <v>726</v>
      </c>
      <c r="E457" s="606">
        <f t="shared" si="44"/>
        <v>0</v>
      </c>
      <c r="J457" s="787" t="s">
        <v>563</v>
      </c>
      <c r="K457" s="788"/>
      <c r="L457" s="789"/>
      <c r="M457" s="210" t="s">
        <v>726</v>
      </c>
      <c r="N457" s="606">
        <f t="shared" si="45"/>
        <v>0</v>
      </c>
    </row>
    <row r="458" spans="1:14" ht="19.5" customHeight="1" x14ac:dyDescent="0.25">
      <c r="A458" s="787" t="s">
        <v>506</v>
      </c>
      <c r="B458" s="788"/>
      <c r="C458" s="789"/>
      <c r="D458" s="210" t="s">
        <v>727</v>
      </c>
      <c r="E458" s="606">
        <f t="shared" si="44"/>
        <v>0</v>
      </c>
      <c r="J458" s="787" t="s">
        <v>506</v>
      </c>
      <c r="K458" s="788"/>
      <c r="L458" s="789"/>
      <c r="M458" s="210" t="s">
        <v>727</v>
      </c>
      <c r="N458" s="606">
        <f t="shared" si="45"/>
        <v>0</v>
      </c>
    </row>
    <row r="459" spans="1:14" ht="19.5" customHeight="1" x14ac:dyDescent="0.25">
      <c r="A459" s="787" t="s">
        <v>569</v>
      </c>
      <c r="B459" s="788"/>
      <c r="C459" s="789"/>
      <c r="D459" s="210" t="s">
        <v>728</v>
      </c>
      <c r="E459" s="606">
        <f t="shared" si="44"/>
        <v>0</v>
      </c>
      <c r="J459" s="787" t="s">
        <v>569</v>
      </c>
      <c r="K459" s="788"/>
      <c r="L459" s="789"/>
      <c r="M459" s="210" t="s">
        <v>728</v>
      </c>
      <c r="N459" s="606">
        <f t="shared" si="45"/>
        <v>0</v>
      </c>
    </row>
    <row r="460" spans="1:14" ht="19.5" customHeight="1" thickBot="1" x14ac:dyDescent="0.3">
      <c r="A460" s="790" t="s">
        <v>275</v>
      </c>
      <c r="B460" s="790"/>
      <c r="C460" s="790"/>
      <c r="D460" s="790"/>
      <c r="E460" s="684">
        <f>SUM(E454:E458)</f>
        <v>0</v>
      </c>
      <c r="J460" s="790" t="s">
        <v>275</v>
      </c>
      <c r="K460" s="790"/>
      <c r="L460" s="790"/>
      <c r="M460" s="790"/>
      <c r="N460" s="684">
        <f>SUM(N454:N458)</f>
        <v>0</v>
      </c>
    </row>
    <row r="461" spans="1:14" ht="19.5" customHeight="1" thickBot="1" x14ac:dyDescent="0.3">
      <c r="A461" s="791" t="s">
        <v>30</v>
      </c>
      <c r="B461" s="792"/>
      <c r="C461" s="792"/>
      <c r="D461" s="793"/>
      <c r="F461" s="5"/>
      <c r="G461" s="5"/>
      <c r="H461" s="5"/>
      <c r="I461" s="5"/>
      <c r="J461" s="791" t="s">
        <v>30</v>
      </c>
      <c r="K461" s="792"/>
      <c r="L461" s="792"/>
      <c r="M461" s="793"/>
    </row>
    <row r="462" spans="1:14" ht="19.5" customHeight="1" x14ac:dyDescent="0.25">
      <c r="A462" s="787" t="s">
        <v>474</v>
      </c>
      <c r="B462" s="788"/>
      <c r="C462" s="789"/>
      <c r="D462" s="210" t="s">
        <v>729</v>
      </c>
      <c r="E462" s="606">
        <f>COUNTIF($A$4:$AJ$76,D462)</f>
        <v>0</v>
      </c>
      <c r="J462" s="787" t="s">
        <v>474</v>
      </c>
      <c r="K462" s="788"/>
      <c r="L462" s="789"/>
      <c r="M462" s="210" t="s">
        <v>729</v>
      </c>
      <c r="N462" s="606">
        <f>COUNTIF($AN$6:$DC$76,M462)</f>
        <v>0</v>
      </c>
    </row>
    <row r="463" spans="1:14" ht="19.5" customHeight="1" x14ac:dyDescent="0.25">
      <c r="A463" s="787" t="s">
        <v>531</v>
      </c>
      <c r="B463" s="788"/>
      <c r="C463" s="789"/>
      <c r="D463" s="210" t="s">
        <v>730</v>
      </c>
      <c r="E463" s="606">
        <f>COUNTIF($A$4:$AJ$76,D463)</f>
        <v>0</v>
      </c>
      <c r="J463" s="787" t="s">
        <v>531</v>
      </c>
      <c r="K463" s="788"/>
      <c r="L463" s="789"/>
      <c r="M463" s="210" t="s">
        <v>730</v>
      </c>
      <c r="N463" s="606">
        <f>COUNTIF($AN$6:$DC$76,M463)</f>
        <v>0</v>
      </c>
    </row>
    <row r="464" spans="1:14" ht="19.5" customHeight="1" x14ac:dyDescent="0.25">
      <c r="A464" s="787" t="s">
        <v>731</v>
      </c>
      <c r="B464" s="788"/>
      <c r="C464" s="789"/>
      <c r="D464" s="210" t="s">
        <v>732</v>
      </c>
      <c r="E464" s="606">
        <f>COUNTIF($A$4:$AJ$76,D464)</f>
        <v>0</v>
      </c>
      <c r="J464" s="787" t="s">
        <v>731</v>
      </c>
      <c r="K464" s="788"/>
      <c r="L464" s="789"/>
      <c r="M464" s="210" t="s">
        <v>732</v>
      </c>
      <c r="N464" s="606">
        <f>COUNTIF($AN$6:$DC$76,M464)</f>
        <v>0</v>
      </c>
    </row>
    <row r="465" spans="1:14" ht="19.5" customHeight="1" x14ac:dyDescent="0.25">
      <c r="A465" s="787" t="s">
        <v>733</v>
      </c>
      <c r="B465" s="788"/>
      <c r="C465" s="789"/>
      <c r="D465" s="210" t="s">
        <v>734</v>
      </c>
      <c r="E465" s="606">
        <f>COUNTIF($A$4:$AJ$76,D465)</f>
        <v>0</v>
      </c>
      <c r="J465" s="787" t="s">
        <v>733</v>
      </c>
      <c r="K465" s="788"/>
      <c r="L465" s="789"/>
      <c r="M465" s="210" t="s">
        <v>734</v>
      </c>
      <c r="N465" s="606">
        <f>COUNTIF($AN$6:$DC$76,M465)</f>
        <v>0</v>
      </c>
    </row>
    <row r="466" spans="1:14" ht="19.5" customHeight="1" thickBot="1" x14ac:dyDescent="0.3">
      <c r="A466" s="790" t="s">
        <v>275</v>
      </c>
      <c r="B466" s="790"/>
      <c r="C466" s="790"/>
      <c r="D466" s="790"/>
      <c r="E466" s="684">
        <f>SUM(E462:E465)</f>
        <v>0</v>
      </c>
      <c r="J466" s="790" t="s">
        <v>275</v>
      </c>
      <c r="K466" s="790"/>
      <c r="L466" s="790"/>
      <c r="M466" s="790"/>
      <c r="N466" s="684">
        <f>SUM(N462:N465)</f>
        <v>0</v>
      </c>
    </row>
    <row r="467" spans="1:14" ht="19.5" customHeight="1" thickBot="1" x14ac:dyDescent="0.3">
      <c r="A467" s="791" t="s">
        <v>735</v>
      </c>
      <c r="B467" s="792"/>
      <c r="C467" s="792"/>
      <c r="D467" s="793"/>
      <c r="F467" s="5"/>
      <c r="G467" s="5"/>
      <c r="H467" s="5"/>
      <c r="I467" s="5"/>
      <c r="J467" s="791" t="s">
        <v>735</v>
      </c>
      <c r="K467" s="792"/>
      <c r="L467" s="792"/>
      <c r="M467" s="793"/>
    </row>
    <row r="468" spans="1:14" ht="19.5" customHeight="1" x14ac:dyDescent="0.25">
      <c r="A468" s="787" t="s">
        <v>16</v>
      </c>
      <c r="B468" s="788"/>
      <c r="C468" s="789"/>
      <c r="D468" s="210" t="s">
        <v>736</v>
      </c>
      <c r="E468" s="606">
        <f t="shared" ref="E468:E479" si="46">COUNTIF($A$4:$AJ$76,D468)</f>
        <v>0</v>
      </c>
      <c r="J468" s="787" t="s">
        <v>16</v>
      </c>
      <c r="K468" s="788"/>
      <c r="L468" s="789"/>
      <c r="M468" s="210" t="s">
        <v>736</v>
      </c>
      <c r="N468" s="606">
        <f t="shared" ref="N468:N479" si="47">COUNTIF($AN$6:$DC$76,M468)</f>
        <v>0</v>
      </c>
    </row>
    <row r="469" spans="1:14" ht="19.5" customHeight="1" x14ac:dyDescent="0.25">
      <c r="A469" s="787" t="s">
        <v>685</v>
      </c>
      <c r="B469" s="788"/>
      <c r="C469" s="789"/>
      <c r="D469" s="210" t="s">
        <v>737</v>
      </c>
      <c r="E469" s="606">
        <f t="shared" si="46"/>
        <v>0</v>
      </c>
      <c r="J469" s="787" t="s">
        <v>685</v>
      </c>
      <c r="K469" s="788"/>
      <c r="L469" s="789"/>
      <c r="M469" s="210" t="s">
        <v>737</v>
      </c>
      <c r="N469" s="606">
        <f t="shared" si="47"/>
        <v>0</v>
      </c>
    </row>
    <row r="470" spans="1:14" ht="19.5" customHeight="1" x14ac:dyDescent="0.25">
      <c r="A470" s="787" t="s">
        <v>738</v>
      </c>
      <c r="B470" s="788"/>
      <c r="C470" s="789"/>
      <c r="D470" s="210" t="s">
        <v>739</v>
      </c>
      <c r="E470" s="606">
        <f t="shared" si="46"/>
        <v>0</v>
      </c>
      <c r="J470" s="787" t="s">
        <v>738</v>
      </c>
      <c r="K470" s="788"/>
      <c r="L470" s="789"/>
      <c r="M470" s="210" t="s">
        <v>739</v>
      </c>
      <c r="N470" s="606">
        <f t="shared" si="47"/>
        <v>0</v>
      </c>
    </row>
    <row r="471" spans="1:14" ht="19.5" customHeight="1" x14ac:dyDescent="0.25">
      <c r="A471" s="787" t="s">
        <v>26</v>
      </c>
      <c r="B471" s="788"/>
      <c r="C471" s="789"/>
      <c r="D471" s="210" t="s">
        <v>740</v>
      </c>
      <c r="E471" s="606">
        <f t="shared" si="46"/>
        <v>0</v>
      </c>
      <c r="J471" s="787" t="s">
        <v>26</v>
      </c>
      <c r="K471" s="788"/>
      <c r="L471" s="789"/>
      <c r="M471" s="210" t="s">
        <v>740</v>
      </c>
      <c r="N471" s="606">
        <f t="shared" si="47"/>
        <v>0</v>
      </c>
    </row>
    <row r="472" spans="1:14" ht="19.5" customHeight="1" x14ac:dyDescent="0.25">
      <c r="A472" s="787" t="s">
        <v>115</v>
      </c>
      <c r="B472" s="788"/>
      <c r="C472" s="789"/>
      <c r="D472" s="210" t="s">
        <v>741</v>
      </c>
      <c r="E472" s="606">
        <f t="shared" si="46"/>
        <v>0</v>
      </c>
      <c r="J472" s="787" t="s">
        <v>115</v>
      </c>
      <c r="K472" s="788"/>
      <c r="L472" s="789"/>
      <c r="M472" s="210" t="s">
        <v>741</v>
      </c>
      <c r="N472" s="606">
        <f t="shared" si="47"/>
        <v>0</v>
      </c>
    </row>
    <row r="473" spans="1:14" ht="19.5" customHeight="1" x14ac:dyDescent="0.25">
      <c r="A473" s="787" t="s">
        <v>34</v>
      </c>
      <c r="B473" s="788"/>
      <c r="C473" s="789"/>
      <c r="D473" s="210" t="s">
        <v>742</v>
      </c>
      <c r="E473" s="606">
        <f t="shared" si="46"/>
        <v>0</v>
      </c>
      <c r="J473" s="787" t="s">
        <v>34</v>
      </c>
      <c r="K473" s="788"/>
      <c r="L473" s="789"/>
      <c r="M473" s="210" t="s">
        <v>742</v>
      </c>
      <c r="N473" s="606">
        <f t="shared" si="47"/>
        <v>0</v>
      </c>
    </row>
    <row r="474" spans="1:14" ht="19.5" customHeight="1" x14ac:dyDescent="0.25">
      <c r="A474" s="787" t="s">
        <v>50</v>
      </c>
      <c r="B474" s="788"/>
      <c r="C474" s="789"/>
      <c r="D474" s="210" t="s">
        <v>743</v>
      </c>
      <c r="E474" s="606">
        <f t="shared" si="46"/>
        <v>0</v>
      </c>
      <c r="J474" s="787" t="s">
        <v>50</v>
      </c>
      <c r="K474" s="788"/>
      <c r="L474" s="789"/>
      <c r="M474" s="210" t="s">
        <v>743</v>
      </c>
      <c r="N474" s="606">
        <f t="shared" si="47"/>
        <v>0</v>
      </c>
    </row>
    <row r="475" spans="1:14" ht="19.5" customHeight="1" x14ac:dyDescent="0.25">
      <c r="A475" s="787" t="s">
        <v>54</v>
      </c>
      <c r="B475" s="788"/>
      <c r="C475" s="789"/>
      <c r="D475" s="210" t="s">
        <v>744</v>
      </c>
      <c r="E475" s="606">
        <f t="shared" si="46"/>
        <v>0</v>
      </c>
      <c r="J475" s="787" t="s">
        <v>54</v>
      </c>
      <c r="K475" s="788"/>
      <c r="L475" s="789"/>
      <c r="M475" s="210" t="s">
        <v>744</v>
      </c>
      <c r="N475" s="606">
        <f t="shared" si="47"/>
        <v>0</v>
      </c>
    </row>
    <row r="476" spans="1:14" ht="19.5" customHeight="1" x14ac:dyDescent="0.25">
      <c r="A476" s="787" t="s">
        <v>745</v>
      </c>
      <c r="B476" s="788"/>
      <c r="C476" s="789"/>
      <c r="D476" s="210" t="s">
        <v>746</v>
      </c>
      <c r="E476" s="606">
        <f t="shared" si="46"/>
        <v>0</v>
      </c>
      <c r="J476" s="787" t="s">
        <v>745</v>
      </c>
      <c r="K476" s="788"/>
      <c r="L476" s="789"/>
      <c r="M476" s="210" t="s">
        <v>746</v>
      </c>
      <c r="N476" s="606">
        <f t="shared" si="47"/>
        <v>0</v>
      </c>
    </row>
    <row r="477" spans="1:14" ht="19.5" customHeight="1" x14ac:dyDescent="0.25">
      <c r="A477" s="787" t="s">
        <v>107</v>
      </c>
      <c r="B477" s="788"/>
      <c r="C477" s="789"/>
      <c r="D477" s="210" t="s">
        <v>747</v>
      </c>
      <c r="E477" s="606">
        <f t="shared" si="46"/>
        <v>0</v>
      </c>
      <c r="J477" s="787" t="s">
        <v>107</v>
      </c>
      <c r="K477" s="788"/>
      <c r="L477" s="789"/>
      <c r="M477" s="210" t="s">
        <v>747</v>
      </c>
      <c r="N477" s="606">
        <f t="shared" si="47"/>
        <v>0</v>
      </c>
    </row>
    <row r="478" spans="1:14" ht="19.5" customHeight="1" x14ac:dyDescent="0.25">
      <c r="A478" s="787" t="s">
        <v>111</v>
      </c>
      <c r="B478" s="788"/>
      <c r="C478" s="789"/>
      <c r="D478" s="210" t="s">
        <v>748</v>
      </c>
      <c r="E478" s="606">
        <f t="shared" si="46"/>
        <v>0</v>
      </c>
      <c r="J478" s="787" t="s">
        <v>111</v>
      </c>
      <c r="K478" s="788"/>
      <c r="L478" s="789"/>
      <c r="M478" s="210" t="s">
        <v>748</v>
      </c>
      <c r="N478" s="606">
        <f t="shared" si="47"/>
        <v>0</v>
      </c>
    </row>
    <row r="479" spans="1:14" ht="19.5" customHeight="1" x14ac:dyDescent="0.25">
      <c r="A479" s="787" t="s">
        <v>103</v>
      </c>
      <c r="B479" s="788"/>
      <c r="C479" s="789"/>
      <c r="D479" s="210" t="s">
        <v>749</v>
      </c>
      <c r="E479" s="606">
        <f t="shared" si="46"/>
        <v>0</v>
      </c>
      <c r="J479" s="787" t="s">
        <v>103</v>
      </c>
      <c r="K479" s="788"/>
      <c r="L479" s="789"/>
      <c r="M479" s="210" t="s">
        <v>749</v>
      </c>
      <c r="N479" s="606">
        <f t="shared" si="47"/>
        <v>0</v>
      </c>
    </row>
    <row r="480" spans="1:14" ht="19.5" customHeight="1" thickBot="1" x14ac:dyDescent="0.3">
      <c r="A480" s="790" t="s">
        <v>275</v>
      </c>
      <c r="B480" s="790"/>
      <c r="C480" s="790"/>
      <c r="D480" s="790"/>
      <c r="E480" s="684">
        <f>SUM(E479:E479)</f>
        <v>0</v>
      </c>
      <c r="J480" s="790" t="s">
        <v>275</v>
      </c>
      <c r="K480" s="790"/>
      <c r="L480" s="790"/>
      <c r="M480" s="790"/>
      <c r="N480" s="684">
        <f>SUM(N479:N479)</f>
        <v>0</v>
      </c>
    </row>
    <row r="481" spans="1:31" ht="19.5" customHeight="1" thickBot="1" x14ac:dyDescent="0.3">
      <c r="A481" s="791" t="s">
        <v>750</v>
      </c>
      <c r="B481" s="792"/>
      <c r="C481" s="792"/>
      <c r="D481" s="793"/>
      <c r="F481" s="5"/>
      <c r="G481" s="5"/>
      <c r="H481" s="5"/>
      <c r="I481" s="5"/>
      <c r="J481" s="791" t="s">
        <v>750</v>
      </c>
      <c r="K481" s="792"/>
      <c r="L481" s="792"/>
      <c r="M481" s="793"/>
    </row>
    <row r="482" spans="1:31" ht="19.5" customHeight="1" x14ac:dyDescent="0.25">
      <c r="A482" s="787" t="s">
        <v>751</v>
      </c>
      <c r="B482" s="788"/>
      <c r="C482" s="789"/>
      <c r="D482" s="210" t="s">
        <v>752</v>
      </c>
      <c r="E482" s="606">
        <f t="shared" ref="E482:E491" si="48">COUNTIF($A$4:$AJ$76,D482)</f>
        <v>0</v>
      </c>
      <c r="J482" s="787" t="s">
        <v>751</v>
      </c>
      <c r="K482" s="788"/>
      <c r="L482" s="789"/>
      <c r="M482" s="210" t="s">
        <v>752</v>
      </c>
      <c r="N482" s="606">
        <f t="shared" ref="N482:N491" si="49">COUNTIF($AN$6:$DC$76,M482)</f>
        <v>0</v>
      </c>
    </row>
    <row r="483" spans="1:31" ht="19.5" customHeight="1" x14ac:dyDescent="0.25">
      <c r="A483" s="787" t="s">
        <v>753</v>
      </c>
      <c r="B483" s="788"/>
      <c r="C483" s="789"/>
      <c r="D483" s="210" t="s">
        <v>754</v>
      </c>
      <c r="E483" s="606">
        <f t="shared" si="48"/>
        <v>0</v>
      </c>
      <c r="J483" s="787" t="s">
        <v>753</v>
      </c>
      <c r="K483" s="788"/>
      <c r="L483" s="789"/>
      <c r="M483" s="210" t="s">
        <v>754</v>
      </c>
      <c r="N483" s="606">
        <f t="shared" si="49"/>
        <v>0</v>
      </c>
    </row>
    <row r="484" spans="1:31" ht="19.5" customHeight="1" x14ac:dyDescent="0.25">
      <c r="A484" s="787" t="s">
        <v>755</v>
      </c>
      <c r="B484" s="788"/>
      <c r="C484" s="789"/>
      <c r="D484" s="210" t="s">
        <v>756</v>
      </c>
      <c r="E484" s="606">
        <f t="shared" si="48"/>
        <v>0</v>
      </c>
      <c r="J484" s="787" t="s">
        <v>755</v>
      </c>
      <c r="K484" s="788"/>
      <c r="L484" s="789"/>
      <c r="M484" s="210" t="s">
        <v>756</v>
      </c>
      <c r="N484" s="606">
        <f t="shared" si="49"/>
        <v>0</v>
      </c>
    </row>
    <row r="485" spans="1:31" ht="19.5" customHeight="1" x14ac:dyDescent="0.25">
      <c r="A485" s="787" t="s">
        <v>757</v>
      </c>
      <c r="B485" s="788"/>
      <c r="C485" s="789"/>
      <c r="D485" s="210" t="s">
        <v>758</v>
      </c>
      <c r="E485" s="606">
        <f t="shared" si="48"/>
        <v>0</v>
      </c>
      <c r="J485" s="787" t="s">
        <v>757</v>
      </c>
      <c r="K485" s="788"/>
      <c r="L485" s="789"/>
      <c r="M485" s="210" t="s">
        <v>758</v>
      </c>
      <c r="N485" s="606">
        <f t="shared" si="49"/>
        <v>0</v>
      </c>
    </row>
    <row r="486" spans="1:31" ht="19.5" customHeight="1" x14ac:dyDescent="0.25">
      <c r="A486" s="787" t="s">
        <v>759</v>
      </c>
      <c r="B486" s="788"/>
      <c r="C486" s="789"/>
      <c r="D486" s="210" t="s">
        <v>760</v>
      </c>
      <c r="E486" s="606">
        <f t="shared" si="48"/>
        <v>0</v>
      </c>
      <c r="J486" s="787" t="s">
        <v>759</v>
      </c>
      <c r="K486" s="788"/>
      <c r="L486" s="789"/>
      <c r="M486" s="210" t="s">
        <v>760</v>
      </c>
      <c r="N486" s="606">
        <f t="shared" si="49"/>
        <v>0</v>
      </c>
    </row>
    <row r="487" spans="1:31" ht="19.5" customHeight="1" x14ac:dyDescent="0.25">
      <c r="A487" s="787" t="s">
        <v>761</v>
      </c>
      <c r="B487" s="788"/>
      <c r="C487" s="789"/>
      <c r="D487" s="210" t="s">
        <v>762</v>
      </c>
      <c r="E487" s="606">
        <f t="shared" si="48"/>
        <v>0</v>
      </c>
      <c r="J487" s="787" t="s">
        <v>761</v>
      </c>
      <c r="K487" s="788"/>
      <c r="L487" s="789"/>
      <c r="M487" s="210" t="s">
        <v>762</v>
      </c>
      <c r="N487" s="606">
        <f t="shared" si="49"/>
        <v>0</v>
      </c>
    </row>
    <row r="488" spans="1:31" ht="19.5" customHeight="1" x14ac:dyDescent="0.25">
      <c r="A488" s="787" t="s">
        <v>763</v>
      </c>
      <c r="B488" s="788"/>
      <c r="C488" s="789"/>
      <c r="D488" s="210" t="s">
        <v>764</v>
      </c>
      <c r="E488" s="606">
        <f t="shared" si="48"/>
        <v>0</v>
      </c>
      <c r="J488" s="787" t="s">
        <v>763</v>
      </c>
      <c r="K488" s="788"/>
      <c r="L488" s="789"/>
      <c r="M488" s="210" t="s">
        <v>764</v>
      </c>
      <c r="N488" s="606">
        <f t="shared" si="49"/>
        <v>0</v>
      </c>
    </row>
    <row r="489" spans="1:31" ht="19.5" customHeight="1" x14ac:dyDescent="0.25">
      <c r="A489" s="787" t="s">
        <v>765</v>
      </c>
      <c r="B489" s="788"/>
      <c r="C489" s="789"/>
      <c r="D489" s="210" t="s">
        <v>766</v>
      </c>
      <c r="E489" s="606">
        <f t="shared" si="48"/>
        <v>0</v>
      </c>
      <c r="J489" s="787" t="s">
        <v>765</v>
      </c>
      <c r="K489" s="788"/>
      <c r="L489" s="789"/>
      <c r="M489" s="210" t="s">
        <v>766</v>
      </c>
      <c r="N489" s="606">
        <f t="shared" si="49"/>
        <v>0</v>
      </c>
    </row>
    <row r="490" spans="1:31" ht="19.5" customHeight="1" x14ac:dyDescent="0.25">
      <c r="A490" s="787" t="s">
        <v>767</v>
      </c>
      <c r="B490" s="788"/>
      <c r="C490" s="789"/>
      <c r="D490" s="210" t="s">
        <v>768</v>
      </c>
      <c r="E490" s="606">
        <f t="shared" si="48"/>
        <v>0</v>
      </c>
      <c r="J490" s="787" t="s">
        <v>767</v>
      </c>
      <c r="K490" s="788"/>
      <c r="L490" s="789"/>
      <c r="M490" s="210" t="s">
        <v>768</v>
      </c>
      <c r="N490" s="606">
        <f t="shared" si="49"/>
        <v>0</v>
      </c>
    </row>
    <row r="491" spans="1:31" ht="19.5" customHeight="1" x14ac:dyDescent="0.25">
      <c r="A491" s="787" t="s">
        <v>769</v>
      </c>
      <c r="B491" s="788"/>
      <c r="C491" s="789"/>
      <c r="D491" s="210" t="s">
        <v>770</v>
      </c>
      <c r="E491" s="606">
        <f t="shared" si="48"/>
        <v>0</v>
      </c>
      <c r="J491" s="787" t="s">
        <v>769</v>
      </c>
      <c r="K491" s="788"/>
      <c r="L491" s="789"/>
      <c r="M491" s="210" t="s">
        <v>770</v>
      </c>
      <c r="N491" s="606">
        <f t="shared" si="49"/>
        <v>0</v>
      </c>
    </row>
    <row r="492" spans="1:31" ht="19.5" customHeight="1" x14ac:dyDescent="0.25">
      <c r="A492" s="790" t="s">
        <v>275</v>
      </c>
      <c r="B492" s="790"/>
      <c r="C492" s="790"/>
      <c r="D492" s="790"/>
      <c r="E492" s="684">
        <f>SUM(E482:E491)</f>
        <v>0</v>
      </c>
      <c r="J492" s="790" t="s">
        <v>275</v>
      </c>
      <c r="K492" s="790"/>
      <c r="L492" s="790"/>
      <c r="M492" s="790"/>
      <c r="N492" s="684">
        <f>SUM(N482:N491)</f>
        <v>0</v>
      </c>
    </row>
    <row r="496" spans="1:31" ht="19.5" customHeight="1" x14ac:dyDescent="0.25">
      <c r="AE496" s="347" t="s">
        <v>771</v>
      </c>
    </row>
  </sheetData>
  <mergeCells count="842">
    <mergeCell ref="N21:O24"/>
    <mergeCell ref="CE23:CI28"/>
    <mergeCell ref="G24:H24"/>
    <mergeCell ref="B26:C26"/>
    <mergeCell ref="CH30:CI30"/>
    <mergeCell ref="G32:H32"/>
    <mergeCell ref="A1:DC1"/>
    <mergeCell ref="A6:C8"/>
    <mergeCell ref="BZ6:CA10"/>
    <mergeCell ref="Q9:X18"/>
    <mergeCell ref="CH10:CI10"/>
    <mergeCell ref="M12:N12"/>
    <mergeCell ref="Z13:AH18"/>
    <mergeCell ref="BQ5:BS5"/>
    <mergeCell ref="AB6:AJ9"/>
    <mergeCell ref="G9:H9"/>
    <mergeCell ref="I9:J9"/>
    <mergeCell ref="F10:G10"/>
    <mergeCell ref="CU10:CV10"/>
    <mergeCell ref="A12:A15"/>
    <mergeCell ref="CM16:CN16"/>
    <mergeCell ref="C19:D19"/>
    <mergeCell ref="BV19:BW19"/>
    <mergeCell ref="CX65:CZ65"/>
    <mergeCell ref="AC66:AF66"/>
    <mergeCell ref="AT68:AU68"/>
    <mergeCell ref="A89:I89"/>
    <mergeCell ref="J89:M89"/>
    <mergeCell ref="T89:W89"/>
    <mergeCell ref="Z89:AC89"/>
    <mergeCell ref="CM50:CN50"/>
    <mergeCell ref="CH52:CI52"/>
    <mergeCell ref="BU54:BW54"/>
    <mergeCell ref="AT55:AU55"/>
    <mergeCell ref="AT57:AU57"/>
    <mergeCell ref="BU58:CA68"/>
    <mergeCell ref="CW59:DB64"/>
    <mergeCell ref="CW69:CZ75"/>
    <mergeCell ref="CE70:CO75"/>
    <mergeCell ref="AH72:AJ76"/>
    <mergeCell ref="BU72:BX72"/>
    <mergeCell ref="DA73:DB75"/>
    <mergeCell ref="BP75:BR76"/>
    <mergeCell ref="BZ75:CA76"/>
    <mergeCell ref="T90:U90"/>
    <mergeCell ref="V90:W90"/>
    <mergeCell ref="Z90:AA90"/>
    <mergeCell ref="AB90:AC90"/>
    <mergeCell ref="T91:U91"/>
    <mergeCell ref="V91:W91"/>
    <mergeCell ref="Z91:AA91"/>
    <mergeCell ref="AB91:AC91"/>
    <mergeCell ref="AH65:AJ65"/>
    <mergeCell ref="U92:W92"/>
    <mergeCell ref="X92:Y92"/>
    <mergeCell ref="A93:Q93"/>
    <mergeCell ref="E95:I95"/>
    <mergeCell ref="J95:K95"/>
    <mergeCell ref="A97:E97"/>
    <mergeCell ref="F97:G97"/>
    <mergeCell ref="J97:N97"/>
    <mergeCell ref="O97:P97"/>
    <mergeCell ref="A105:C105"/>
    <mergeCell ref="J105:L105"/>
    <mergeCell ref="A106:C106"/>
    <mergeCell ref="J106:L106"/>
    <mergeCell ref="A107:C107"/>
    <mergeCell ref="J107:L107"/>
    <mergeCell ref="A101:F101"/>
    <mergeCell ref="J101:O101"/>
    <mergeCell ref="T101:AC101"/>
    <mergeCell ref="A102:C102"/>
    <mergeCell ref="J102:L102"/>
    <mergeCell ref="T102:AC115"/>
    <mergeCell ref="A103:C103"/>
    <mergeCell ref="J103:L103"/>
    <mergeCell ref="A104:C104"/>
    <mergeCell ref="J104:L104"/>
    <mergeCell ref="A111:C111"/>
    <mergeCell ref="J111:L111"/>
    <mergeCell ref="A112:C112"/>
    <mergeCell ref="J112:L112"/>
    <mergeCell ref="A113:C113"/>
    <mergeCell ref="J113:L113"/>
    <mergeCell ref="A108:C108"/>
    <mergeCell ref="J108:L108"/>
    <mergeCell ref="A109:C109"/>
    <mergeCell ref="J109:L109"/>
    <mergeCell ref="A110:C110"/>
    <mergeCell ref="J110:L110"/>
    <mergeCell ref="A117:C117"/>
    <mergeCell ref="J117:L117"/>
    <mergeCell ref="A118:C118"/>
    <mergeCell ref="J118:L118"/>
    <mergeCell ref="A119:C119"/>
    <mergeCell ref="J119:L119"/>
    <mergeCell ref="A114:C114"/>
    <mergeCell ref="J114:L114"/>
    <mergeCell ref="A115:C115"/>
    <mergeCell ref="J115:L115"/>
    <mergeCell ref="A116:C116"/>
    <mergeCell ref="J116:L116"/>
    <mergeCell ref="A123:C123"/>
    <mergeCell ref="J123:L123"/>
    <mergeCell ref="A124:C124"/>
    <mergeCell ref="J124:L124"/>
    <mergeCell ref="A125:C125"/>
    <mergeCell ref="J125:L125"/>
    <mergeCell ref="A120:C120"/>
    <mergeCell ref="J120:L120"/>
    <mergeCell ref="A121:C121"/>
    <mergeCell ref="J121:L121"/>
    <mergeCell ref="A122:C122"/>
    <mergeCell ref="J122:L122"/>
    <mergeCell ref="A129:C129"/>
    <mergeCell ref="J129:L129"/>
    <mergeCell ref="A130:C130"/>
    <mergeCell ref="J130:L130"/>
    <mergeCell ref="A131:C131"/>
    <mergeCell ref="J131:L131"/>
    <mergeCell ref="A126:C126"/>
    <mergeCell ref="J126:L126"/>
    <mergeCell ref="A127:C127"/>
    <mergeCell ref="J127:L127"/>
    <mergeCell ref="A128:C128"/>
    <mergeCell ref="J128:L128"/>
    <mergeCell ref="A135:C135"/>
    <mergeCell ref="J135:L135"/>
    <mergeCell ref="A136:C136"/>
    <mergeCell ref="J136:L136"/>
    <mergeCell ref="A137:C137"/>
    <mergeCell ref="J137:L137"/>
    <mergeCell ref="A132:C132"/>
    <mergeCell ref="J132:L132"/>
    <mergeCell ref="A133:C133"/>
    <mergeCell ref="J133:L133"/>
    <mergeCell ref="A134:C134"/>
    <mergeCell ref="J134:L134"/>
    <mergeCell ref="A141:C141"/>
    <mergeCell ref="J141:L141"/>
    <mergeCell ref="A142:C142"/>
    <mergeCell ref="J142:L142"/>
    <mergeCell ref="A143:C143"/>
    <mergeCell ref="J143:L143"/>
    <mergeCell ref="A138:C138"/>
    <mergeCell ref="J138:L138"/>
    <mergeCell ref="A139:C139"/>
    <mergeCell ref="J139:L139"/>
    <mergeCell ref="A140:C140"/>
    <mergeCell ref="J140:L140"/>
    <mergeCell ref="A147:C147"/>
    <mergeCell ref="J147:L147"/>
    <mergeCell ref="A148:C148"/>
    <mergeCell ref="J148:L148"/>
    <mergeCell ref="A149:C149"/>
    <mergeCell ref="J149:L149"/>
    <mergeCell ref="A144:C144"/>
    <mergeCell ref="J144:L144"/>
    <mergeCell ref="A145:C145"/>
    <mergeCell ref="J145:L145"/>
    <mergeCell ref="A146:C146"/>
    <mergeCell ref="J146:L146"/>
    <mergeCell ref="A153:C153"/>
    <mergeCell ref="J153:L153"/>
    <mergeCell ref="A154:C154"/>
    <mergeCell ref="J154:L154"/>
    <mergeCell ref="A155:C155"/>
    <mergeCell ref="J155:L155"/>
    <mergeCell ref="A150:C150"/>
    <mergeCell ref="J150:L150"/>
    <mergeCell ref="A151:C151"/>
    <mergeCell ref="J151:L151"/>
    <mergeCell ref="A152:C152"/>
    <mergeCell ref="J152:L152"/>
    <mergeCell ref="A160:C160"/>
    <mergeCell ref="J160:L160"/>
    <mergeCell ref="A161:C161"/>
    <mergeCell ref="J161:L161"/>
    <mergeCell ref="A162:C162"/>
    <mergeCell ref="J162:L162"/>
    <mergeCell ref="A157:C157"/>
    <mergeCell ref="J157:L157"/>
    <mergeCell ref="A158:C158"/>
    <mergeCell ref="J158:L158"/>
    <mergeCell ref="A159:C159"/>
    <mergeCell ref="J159:L159"/>
    <mergeCell ref="A166:C166"/>
    <mergeCell ref="J166:L166"/>
    <mergeCell ref="A167:C167"/>
    <mergeCell ref="J167:L167"/>
    <mergeCell ref="A168:C168"/>
    <mergeCell ref="J168:L168"/>
    <mergeCell ref="A163:C163"/>
    <mergeCell ref="J163:L163"/>
    <mergeCell ref="A164:C164"/>
    <mergeCell ref="J164:L164"/>
    <mergeCell ref="A165:C165"/>
    <mergeCell ref="J165:L165"/>
    <mergeCell ref="A172:C172"/>
    <mergeCell ref="J172:L172"/>
    <mergeCell ref="A173:C173"/>
    <mergeCell ref="J173:L173"/>
    <mergeCell ref="A174:C174"/>
    <mergeCell ref="J174:L174"/>
    <mergeCell ref="A169:C169"/>
    <mergeCell ref="J169:L169"/>
    <mergeCell ref="A170:C170"/>
    <mergeCell ref="J170:L170"/>
    <mergeCell ref="A171:C171"/>
    <mergeCell ref="J171:L171"/>
    <mergeCell ref="A178:C178"/>
    <mergeCell ref="J178:L178"/>
    <mergeCell ref="A179:C179"/>
    <mergeCell ref="J179:L179"/>
    <mergeCell ref="A180:C180"/>
    <mergeCell ref="J180:L180"/>
    <mergeCell ref="A175:C175"/>
    <mergeCell ref="J175:L175"/>
    <mergeCell ref="A176:C176"/>
    <mergeCell ref="J176:L176"/>
    <mergeCell ref="A177:C177"/>
    <mergeCell ref="J177:L177"/>
    <mergeCell ref="A186:C186"/>
    <mergeCell ref="J186:L186"/>
    <mergeCell ref="A187:C187"/>
    <mergeCell ref="J187:L187"/>
    <mergeCell ref="A188:C188"/>
    <mergeCell ref="J188:L188"/>
    <mergeCell ref="A181:C181"/>
    <mergeCell ref="J181:L181"/>
    <mergeCell ref="A183:C183"/>
    <mergeCell ref="J183:L183"/>
    <mergeCell ref="A185:C185"/>
    <mergeCell ref="J185:L185"/>
    <mergeCell ref="A202:E202"/>
    <mergeCell ref="F202:G202"/>
    <mergeCell ref="J202:N202"/>
    <mergeCell ref="O202:P202"/>
    <mergeCell ref="A204:E204"/>
    <mergeCell ref="F204:G204"/>
    <mergeCell ref="J204:N204"/>
    <mergeCell ref="O204:P204"/>
    <mergeCell ref="A189:C189"/>
    <mergeCell ref="J189:L189"/>
    <mergeCell ref="A191:Q192"/>
    <mergeCell ref="A195:Q196"/>
    <mergeCell ref="A200:E200"/>
    <mergeCell ref="F200:G200"/>
    <mergeCell ref="J200:N200"/>
    <mergeCell ref="O200:P200"/>
    <mergeCell ref="A210:B210"/>
    <mergeCell ref="J210:K210"/>
    <mergeCell ref="A211:B211"/>
    <mergeCell ref="J211:K211"/>
    <mergeCell ref="A212:B212"/>
    <mergeCell ref="J212:K212"/>
    <mergeCell ref="P207:Q207"/>
    <mergeCell ref="A208:C208"/>
    <mergeCell ref="E208:F208"/>
    <mergeCell ref="J208:L208"/>
    <mergeCell ref="N208:O208"/>
    <mergeCell ref="A209:D209"/>
    <mergeCell ref="E209:F209"/>
    <mergeCell ref="J209:M209"/>
    <mergeCell ref="N209:O209"/>
    <mergeCell ref="P209:Q209"/>
    <mergeCell ref="A216:B216"/>
    <mergeCell ref="J216:K216"/>
    <mergeCell ref="A217:B217"/>
    <mergeCell ref="J217:K217"/>
    <mergeCell ref="A218:B218"/>
    <mergeCell ref="J218:K218"/>
    <mergeCell ref="A213:B213"/>
    <mergeCell ref="J213:K213"/>
    <mergeCell ref="A214:B214"/>
    <mergeCell ref="J214:K214"/>
    <mergeCell ref="A215:B215"/>
    <mergeCell ref="J215:K215"/>
    <mergeCell ref="A222:B222"/>
    <mergeCell ref="J222:K222"/>
    <mergeCell ref="A223:B223"/>
    <mergeCell ref="J223:K223"/>
    <mergeCell ref="A224:B224"/>
    <mergeCell ref="J224:K224"/>
    <mergeCell ref="A219:B219"/>
    <mergeCell ref="J219:K219"/>
    <mergeCell ref="A220:B220"/>
    <mergeCell ref="J220:K220"/>
    <mergeCell ref="A221:B221"/>
    <mergeCell ref="J221:K221"/>
    <mergeCell ref="A228:B228"/>
    <mergeCell ref="J228:K228"/>
    <mergeCell ref="A229:B229"/>
    <mergeCell ref="J229:K229"/>
    <mergeCell ref="A230:B230"/>
    <mergeCell ref="J230:K230"/>
    <mergeCell ref="A225:B225"/>
    <mergeCell ref="J225:K225"/>
    <mergeCell ref="A226:B226"/>
    <mergeCell ref="J226:K226"/>
    <mergeCell ref="A227:B227"/>
    <mergeCell ref="J227:K227"/>
    <mergeCell ref="N234:O234"/>
    <mergeCell ref="P234:Q234"/>
    <mergeCell ref="A235:B235"/>
    <mergeCell ref="J235:K235"/>
    <mergeCell ref="A231:B231"/>
    <mergeCell ref="J231:K231"/>
    <mergeCell ref="A232:B232"/>
    <mergeCell ref="J232:K232"/>
    <mergeCell ref="A233:B233"/>
    <mergeCell ref="J233:K233"/>
    <mergeCell ref="A236:B236"/>
    <mergeCell ref="J236:K236"/>
    <mergeCell ref="A237:B237"/>
    <mergeCell ref="J237:K237"/>
    <mergeCell ref="A238:B238"/>
    <mergeCell ref="J238:K238"/>
    <mergeCell ref="A234:D234"/>
    <mergeCell ref="E234:F234"/>
    <mergeCell ref="J234:M234"/>
    <mergeCell ref="A242:B242"/>
    <mergeCell ref="J242:K242"/>
    <mergeCell ref="A243:B243"/>
    <mergeCell ref="J243:K243"/>
    <mergeCell ref="A244:B244"/>
    <mergeCell ref="J244:K244"/>
    <mergeCell ref="A239:B239"/>
    <mergeCell ref="J239:K239"/>
    <mergeCell ref="A240:B240"/>
    <mergeCell ref="J240:K240"/>
    <mergeCell ref="A241:B241"/>
    <mergeCell ref="J241:K241"/>
    <mergeCell ref="A248:B248"/>
    <mergeCell ref="J248:K248"/>
    <mergeCell ref="A249:B249"/>
    <mergeCell ref="J249:K249"/>
    <mergeCell ref="A250:B250"/>
    <mergeCell ref="J250:K250"/>
    <mergeCell ref="A245:B245"/>
    <mergeCell ref="J245:K245"/>
    <mergeCell ref="A246:B246"/>
    <mergeCell ref="J246:K246"/>
    <mergeCell ref="A247:B247"/>
    <mergeCell ref="J247:K247"/>
    <mergeCell ref="A254:B254"/>
    <mergeCell ref="J254:K254"/>
    <mergeCell ref="A255:B255"/>
    <mergeCell ref="J255:K255"/>
    <mergeCell ref="A256:B256"/>
    <mergeCell ref="J256:K256"/>
    <mergeCell ref="A251:B251"/>
    <mergeCell ref="J251:K251"/>
    <mergeCell ref="A252:B252"/>
    <mergeCell ref="J252:K252"/>
    <mergeCell ref="A253:B253"/>
    <mergeCell ref="J253:K253"/>
    <mergeCell ref="A260:B260"/>
    <mergeCell ref="J260:K260"/>
    <mergeCell ref="A261:B261"/>
    <mergeCell ref="J261:K261"/>
    <mergeCell ref="A262:B262"/>
    <mergeCell ref="J262:K262"/>
    <mergeCell ref="A257:B257"/>
    <mergeCell ref="J257:K257"/>
    <mergeCell ref="A258:B258"/>
    <mergeCell ref="J258:K258"/>
    <mergeCell ref="A259:B259"/>
    <mergeCell ref="J259:K259"/>
    <mergeCell ref="A266:B266"/>
    <mergeCell ref="J266:K266"/>
    <mergeCell ref="A267:B267"/>
    <mergeCell ref="J267:K267"/>
    <mergeCell ref="A268:B268"/>
    <mergeCell ref="J268:K268"/>
    <mergeCell ref="A263:B263"/>
    <mergeCell ref="J263:K263"/>
    <mergeCell ref="A264:B264"/>
    <mergeCell ref="J264:K264"/>
    <mergeCell ref="A265:B265"/>
    <mergeCell ref="J265:K265"/>
    <mergeCell ref="A272:B272"/>
    <mergeCell ref="J272:K272"/>
    <mergeCell ref="A273:B273"/>
    <mergeCell ref="J273:K273"/>
    <mergeCell ref="A274:B274"/>
    <mergeCell ref="J274:K274"/>
    <mergeCell ref="A269:B269"/>
    <mergeCell ref="J269:K269"/>
    <mergeCell ref="A270:B270"/>
    <mergeCell ref="J270:K270"/>
    <mergeCell ref="A271:B271"/>
    <mergeCell ref="J271:K271"/>
    <mergeCell ref="A278:B278"/>
    <mergeCell ref="J278:K278"/>
    <mergeCell ref="A279:B279"/>
    <mergeCell ref="J279:K279"/>
    <mergeCell ref="A280:B280"/>
    <mergeCell ref="J280:K280"/>
    <mergeCell ref="A275:B275"/>
    <mergeCell ref="J275:K275"/>
    <mergeCell ref="A276:B276"/>
    <mergeCell ref="J276:K276"/>
    <mergeCell ref="A277:B277"/>
    <mergeCell ref="J277:K277"/>
    <mergeCell ref="A284:B284"/>
    <mergeCell ref="J284:K284"/>
    <mergeCell ref="A285:B285"/>
    <mergeCell ref="J285:K285"/>
    <mergeCell ref="A286:B286"/>
    <mergeCell ref="J286:K286"/>
    <mergeCell ref="A281:B281"/>
    <mergeCell ref="J281:K281"/>
    <mergeCell ref="A282:B282"/>
    <mergeCell ref="J282:K282"/>
    <mergeCell ref="A283:B283"/>
    <mergeCell ref="J283:K283"/>
    <mergeCell ref="A290:B290"/>
    <mergeCell ref="J290:K290"/>
    <mergeCell ref="A291:B291"/>
    <mergeCell ref="J291:K291"/>
    <mergeCell ref="A292:B292"/>
    <mergeCell ref="J292:K292"/>
    <mergeCell ref="A287:B287"/>
    <mergeCell ref="J287:K287"/>
    <mergeCell ref="A288:B288"/>
    <mergeCell ref="J288:K288"/>
    <mergeCell ref="A289:B289"/>
    <mergeCell ref="J289:K289"/>
    <mergeCell ref="A296:B296"/>
    <mergeCell ref="J296:K296"/>
    <mergeCell ref="A297:B297"/>
    <mergeCell ref="J297:K297"/>
    <mergeCell ref="A298:B298"/>
    <mergeCell ref="J298:K298"/>
    <mergeCell ref="A293:B293"/>
    <mergeCell ref="J293:K293"/>
    <mergeCell ref="A294:B294"/>
    <mergeCell ref="J294:K294"/>
    <mergeCell ref="A295:B295"/>
    <mergeCell ref="J295:K295"/>
    <mergeCell ref="A302:B302"/>
    <mergeCell ref="J302:K302"/>
    <mergeCell ref="A303:B303"/>
    <mergeCell ref="J303:K303"/>
    <mergeCell ref="A304:B304"/>
    <mergeCell ref="J304:K304"/>
    <mergeCell ref="A299:B299"/>
    <mergeCell ref="J299:K299"/>
    <mergeCell ref="A300:B300"/>
    <mergeCell ref="J300:K300"/>
    <mergeCell ref="A301:B301"/>
    <mergeCell ref="J301:K301"/>
    <mergeCell ref="A317:E317"/>
    <mergeCell ref="F317:G317"/>
    <mergeCell ref="J317:N317"/>
    <mergeCell ref="O317:P317"/>
    <mergeCell ref="A319:D319"/>
    <mergeCell ref="J319:M319"/>
    <mergeCell ref="A305:B305"/>
    <mergeCell ref="J305:K305"/>
    <mergeCell ref="A306:B306"/>
    <mergeCell ref="J306:K306"/>
    <mergeCell ref="A312:Q313"/>
    <mergeCell ref="A315:D315"/>
    <mergeCell ref="A323:C323"/>
    <mergeCell ref="J323:L323"/>
    <mergeCell ref="A324:C324"/>
    <mergeCell ref="J324:L324"/>
    <mergeCell ref="A325:C325"/>
    <mergeCell ref="J325:L325"/>
    <mergeCell ref="A320:C320"/>
    <mergeCell ref="J320:L320"/>
    <mergeCell ref="A321:C321"/>
    <mergeCell ref="J321:L321"/>
    <mergeCell ref="A322:C322"/>
    <mergeCell ref="J322:L322"/>
    <mergeCell ref="A329:C329"/>
    <mergeCell ref="J329:L329"/>
    <mergeCell ref="A330:C330"/>
    <mergeCell ref="J330:L330"/>
    <mergeCell ref="A331:C331"/>
    <mergeCell ref="J331:L331"/>
    <mergeCell ref="A326:C326"/>
    <mergeCell ref="J326:L326"/>
    <mergeCell ref="A327:C327"/>
    <mergeCell ref="J327:L327"/>
    <mergeCell ref="A328:C328"/>
    <mergeCell ref="J328:L328"/>
    <mergeCell ref="A335:C335"/>
    <mergeCell ref="J335:L335"/>
    <mergeCell ref="A336:C336"/>
    <mergeCell ref="J336:L336"/>
    <mergeCell ref="A337:C337"/>
    <mergeCell ref="J337:L337"/>
    <mergeCell ref="A332:C332"/>
    <mergeCell ref="J332:L332"/>
    <mergeCell ref="A333:C333"/>
    <mergeCell ref="J333:L333"/>
    <mergeCell ref="A334:C334"/>
    <mergeCell ref="J334:L334"/>
    <mergeCell ref="A341:C341"/>
    <mergeCell ref="J341:L341"/>
    <mergeCell ref="A342:C342"/>
    <mergeCell ref="J342:L342"/>
    <mergeCell ref="A343:C343"/>
    <mergeCell ref="J343:L343"/>
    <mergeCell ref="A338:C338"/>
    <mergeCell ref="J338:L338"/>
    <mergeCell ref="A339:C339"/>
    <mergeCell ref="J339:L339"/>
    <mergeCell ref="A340:C340"/>
    <mergeCell ref="J340:L340"/>
    <mergeCell ref="A347:C347"/>
    <mergeCell ref="J347:L347"/>
    <mergeCell ref="A348:D348"/>
    <mergeCell ref="J348:M348"/>
    <mergeCell ref="A349:D349"/>
    <mergeCell ref="J349:M349"/>
    <mergeCell ref="A344:C344"/>
    <mergeCell ref="J344:L344"/>
    <mergeCell ref="A345:C345"/>
    <mergeCell ref="J345:L345"/>
    <mergeCell ref="A346:C346"/>
    <mergeCell ref="J346:L346"/>
    <mergeCell ref="A353:C353"/>
    <mergeCell ref="J353:L353"/>
    <mergeCell ref="A354:C354"/>
    <mergeCell ref="J354:L354"/>
    <mergeCell ref="A355:C355"/>
    <mergeCell ref="J355:L355"/>
    <mergeCell ref="A350:C350"/>
    <mergeCell ref="J350:L350"/>
    <mergeCell ref="A351:C351"/>
    <mergeCell ref="J351:L351"/>
    <mergeCell ref="A352:C352"/>
    <mergeCell ref="J352:L352"/>
    <mergeCell ref="A359:C359"/>
    <mergeCell ref="J359:L359"/>
    <mergeCell ref="A360:C360"/>
    <mergeCell ref="J360:L360"/>
    <mergeCell ref="A361:C361"/>
    <mergeCell ref="J361:L361"/>
    <mergeCell ref="A356:C356"/>
    <mergeCell ref="J356:L356"/>
    <mergeCell ref="A357:C357"/>
    <mergeCell ref="J357:L357"/>
    <mergeCell ref="A358:C358"/>
    <mergeCell ref="J358:L358"/>
    <mergeCell ref="A365:C365"/>
    <mergeCell ref="J365:L365"/>
    <mergeCell ref="A366:C366"/>
    <mergeCell ref="J366:L366"/>
    <mergeCell ref="A367:C367"/>
    <mergeCell ref="J367:L367"/>
    <mergeCell ref="A362:C362"/>
    <mergeCell ref="J362:L362"/>
    <mergeCell ref="A363:C363"/>
    <mergeCell ref="J363:L363"/>
    <mergeCell ref="A364:C364"/>
    <mergeCell ref="J364:L364"/>
    <mergeCell ref="A371:C371"/>
    <mergeCell ref="J371:L371"/>
    <mergeCell ref="A372:C372"/>
    <mergeCell ref="J372:L372"/>
    <mergeCell ref="A373:C373"/>
    <mergeCell ref="J373:L373"/>
    <mergeCell ref="A368:C368"/>
    <mergeCell ref="J368:L368"/>
    <mergeCell ref="A369:C369"/>
    <mergeCell ref="J369:L369"/>
    <mergeCell ref="A370:C370"/>
    <mergeCell ref="J370:L370"/>
    <mergeCell ref="A377:C377"/>
    <mergeCell ref="J377:L377"/>
    <mergeCell ref="A378:C378"/>
    <mergeCell ref="J378:L378"/>
    <mergeCell ref="A379:C379"/>
    <mergeCell ref="J379:L379"/>
    <mergeCell ref="A374:C374"/>
    <mergeCell ref="J374:L374"/>
    <mergeCell ref="A375:C375"/>
    <mergeCell ref="J375:L375"/>
    <mergeCell ref="A376:C376"/>
    <mergeCell ref="J376:L376"/>
    <mergeCell ref="A383:C383"/>
    <mergeCell ref="J383:L383"/>
    <mergeCell ref="A384:C384"/>
    <mergeCell ref="J384:L384"/>
    <mergeCell ref="A385:C385"/>
    <mergeCell ref="J385:L385"/>
    <mergeCell ref="A380:C380"/>
    <mergeCell ref="J380:L380"/>
    <mergeCell ref="A381:C381"/>
    <mergeCell ref="J381:L381"/>
    <mergeCell ref="A382:C382"/>
    <mergeCell ref="J382:L382"/>
    <mergeCell ref="A389:C389"/>
    <mergeCell ref="J389:L389"/>
    <mergeCell ref="A390:C390"/>
    <mergeCell ref="J390:L390"/>
    <mergeCell ref="A391:C391"/>
    <mergeCell ref="J391:L391"/>
    <mergeCell ref="A386:C386"/>
    <mergeCell ref="J386:L386"/>
    <mergeCell ref="A387:C387"/>
    <mergeCell ref="J387:L387"/>
    <mergeCell ref="A388:C388"/>
    <mergeCell ref="J388:L388"/>
    <mergeCell ref="A395:C395"/>
    <mergeCell ref="J395:L395"/>
    <mergeCell ref="A396:C396"/>
    <mergeCell ref="J396:L396"/>
    <mergeCell ref="A397:C397"/>
    <mergeCell ref="J397:L397"/>
    <mergeCell ref="A392:C392"/>
    <mergeCell ref="J392:L392"/>
    <mergeCell ref="A393:C393"/>
    <mergeCell ref="J393:L393"/>
    <mergeCell ref="A394:C394"/>
    <mergeCell ref="J394:L394"/>
    <mergeCell ref="A401:C401"/>
    <mergeCell ref="J401:L401"/>
    <mergeCell ref="A402:C402"/>
    <mergeCell ref="J402:L402"/>
    <mergeCell ref="A403:C403"/>
    <mergeCell ref="J403:L403"/>
    <mergeCell ref="A398:C398"/>
    <mergeCell ref="J398:L398"/>
    <mergeCell ref="A399:C399"/>
    <mergeCell ref="J399:L399"/>
    <mergeCell ref="A400:C400"/>
    <mergeCell ref="J400:L400"/>
    <mergeCell ref="A407:C407"/>
    <mergeCell ref="J407:L407"/>
    <mergeCell ref="A408:C408"/>
    <mergeCell ref="J408:L408"/>
    <mergeCell ref="A409:C409"/>
    <mergeCell ref="J409:L409"/>
    <mergeCell ref="A404:C404"/>
    <mergeCell ref="J404:L404"/>
    <mergeCell ref="A405:C405"/>
    <mergeCell ref="J405:L405"/>
    <mergeCell ref="A406:C406"/>
    <mergeCell ref="J406:L406"/>
    <mergeCell ref="A413:C413"/>
    <mergeCell ref="J413:L413"/>
    <mergeCell ref="A414:C414"/>
    <mergeCell ref="J414:L414"/>
    <mergeCell ref="A415:C415"/>
    <mergeCell ref="J415:L415"/>
    <mergeCell ref="A410:C410"/>
    <mergeCell ref="J410:L410"/>
    <mergeCell ref="A411:C411"/>
    <mergeCell ref="J411:L411"/>
    <mergeCell ref="A412:C412"/>
    <mergeCell ref="J412:L412"/>
    <mergeCell ref="A419:C419"/>
    <mergeCell ref="J419:L419"/>
    <mergeCell ref="A420:C420"/>
    <mergeCell ref="J420:L420"/>
    <mergeCell ref="A421:C421"/>
    <mergeCell ref="J421:L421"/>
    <mergeCell ref="A416:C416"/>
    <mergeCell ref="J416:L416"/>
    <mergeCell ref="A417:C417"/>
    <mergeCell ref="J417:L417"/>
    <mergeCell ref="A418:C418"/>
    <mergeCell ref="J418:L418"/>
    <mergeCell ref="A425:C425"/>
    <mergeCell ref="J425:L425"/>
    <mergeCell ref="A426:C426"/>
    <mergeCell ref="J426:L426"/>
    <mergeCell ref="A427:D427"/>
    <mergeCell ref="J427:M427"/>
    <mergeCell ref="A422:C422"/>
    <mergeCell ref="J422:L422"/>
    <mergeCell ref="A423:C423"/>
    <mergeCell ref="J423:L423"/>
    <mergeCell ref="A424:C424"/>
    <mergeCell ref="J424:L424"/>
    <mergeCell ref="A431:C431"/>
    <mergeCell ref="J431:L431"/>
    <mergeCell ref="A432:C432"/>
    <mergeCell ref="J432:L432"/>
    <mergeCell ref="A433:C433"/>
    <mergeCell ref="J433:L433"/>
    <mergeCell ref="A428:D428"/>
    <mergeCell ref="J428:M428"/>
    <mergeCell ref="A429:C429"/>
    <mergeCell ref="J429:L429"/>
    <mergeCell ref="A430:C430"/>
    <mergeCell ref="J430:L430"/>
    <mergeCell ref="A437:C437"/>
    <mergeCell ref="J437:L437"/>
    <mergeCell ref="A438:C438"/>
    <mergeCell ref="J438:L438"/>
    <mergeCell ref="A439:C439"/>
    <mergeCell ref="J439:L439"/>
    <mergeCell ref="A434:C434"/>
    <mergeCell ref="J434:L434"/>
    <mergeCell ref="A435:C435"/>
    <mergeCell ref="J435:L435"/>
    <mergeCell ref="A436:C436"/>
    <mergeCell ref="J436:L436"/>
    <mergeCell ref="A443:C443"/>
    <mergeCell ref="J443:L443"/>
    <mergeCell ref="A444:C444"/>
    <mergeCell ref="J444:L444"/>
    <mergeCell ref="A445:C445"/>
    <mergeCell ref="J445:L445"/>
    <mergeCell ref="A440:C440"/>
    <mergeCell ref="J440:L440"/>
    <mergeCell ref="A441:C441"/>
    <mergeCell ref="J441:L441"/>
    <mergeCell ref="A442:C442"/>
    <mergeCell ref="J442:L442"/>
    <mergeCell ref="A449:C449"/>
    <mergeCell ref="J449:L449"/>
    <mergeCell ref="A450:C450"/>
    <mergeCell ref="J450:L450"/>
    <mergeCell ref="A451:C451"/>
    <mergeCell ref="J451:L451"/>
    <mergeCell ref="A446:C446"/>
    <mergeCell ref="J446:L446"/>
    <mergeCell ref="A447:C447"/>
    <mergeCell ref="J447:L447"/>
    <mergeCell ref="A448:C448"/>
    <mergeCell ref="J448:L448"/>
    <mergeCell ref="A455:C455"/>
    <mergeCell ref="J455:L455"/>
    <mergeCell ref="A456:C456"/>
    <mergeCell ref="J456:L456"/>
    <mergeCell ref="A457:C457"/>
    <mergeCell ref="J457:L457"/>
    <mergeCell ref="A452:D452"/>
    <mergeCell ref="J452:M452"/>
    <mergeCell ref="A453:D453"/>
    <mergeCell ref="J453:M453"/>
    <mergeCell ref="A454:C454"/>
    <mergeCell ref="J454:L454"/>
    <mergeCell ref="A461:D461"/>
    <mergeCell ref="J461:M461"/>
    <mergeCell ref="A462:C462"/>
    <mergeCell ref="J462:L462"/>
    <mergeCell ref="A463:C463"/>
    <mergeCell ref="J463:L463"/>
    <mergeCell ref="A458:C458"/>
    <mergeCell ref="J458:L458"/>
    <mergeCell ref="A459:C459"/>
    <mergeCell ref="J459:L459"/>
    <mergeCell ref="A460:D460"/>
    <mergeCell ref="J460:M460"/>
    <mergeCell ref="A467:D467"/>
    <mergeCell ref="J467:M467"/>
    <mergeCell ref="A468:C468"/>
    <mergeCell ref="J468:L468"/>
    <mergeCell ref="A469:C469"/>
    <mergeCell ref="J469:L469"/>
    <mergeCell ref="A464:C464"/>
    <mergeCell ref="J464:L464"/>
    <mergeCell ref="A465:C465"/>
    <mergeCell ref="J465:L465"/>
    <mergeCell ref="A466:D466"/>
    <mergeCell ref="J466:M466"/>
    <mergeCell ref="A473:C473"/>
    <mergeCell ref="J473:L473"/>
    <mergeCell ref="A474:C474"/>
    <mergeCell ref="J474:L474"/>
    <mergeCell ref="A475:C475"/>
    <mergeCell ref="J475:L475"/>
    <mergeCell ref="A470:C470"/>
    <mergeCell ref="J470:L470"/>
    <mergeCell ref="A471:C471"/>
    <mergeCell ref="J471:L471"/>
    <mergeCell ref="A472:C472"/>
    <mergeCell ref="J472:L472"/>
    <mergeCell ref="A479:C479"/>
    <mergeCell ref="J479:L479"/>
    <mergeCell ref="A480:D480"/>
    <mergeCell ref="J480:M480"/>
    <mergeCell ref="A481:D481"/>
    <mergeCell ref="J481:M481"/>
    <mergeCell ref="A476:C476"/>
    <mergeCell ref="J476:L476"/>
    <mergeCell ref="A477:C477"/>
    <mergeCell ref="J477:L477"/>
    <mergeCell ref="A478:C478"/>
    <mergeCell ref="J478:L478"/>
    <mergeCell ref="A485:C485"/>
    <mergeCell ref="J485:L485"/>
    <mergeCell ref="A486:C486"/>
    <mergeCell ref="J486:L486"/>
    <mergeCell ref="A487:C487"/>
    <mergeCell ref="J487:L487"/>
    <mergeCell ref="A482:C482"/>
    <mergeCell ref="J482:L482"/>
    <mergeCell ref="A483:C483"/>
    <mergeCell ref="J483:L483"/>
    <mergeCell ref="A484:C484"/>
    <mergeCell ref="J484:L484"/>
    <mergeCell ref="A491:C491"/>
    <mergeCell ref="J491:L491"/>
    <mergeCell ref="A492:D492"/>
    <mergeCell ref="J492:M492"/>
    <mergeCell ref="A488:C488"/>
    <mergeCell ref="J488:L488"/>
    <mergeCell ref="A489:C489"/>
    <mergeCell ref="J489:L489"/>
    <mergeCell ref="A490:C490"/>
    <mergeCell ref="J490:L490"/>
    <mergeCell ref="BE21:BI25"/>
    <mergeCell ref="BO24:BP24"/>
    <mergeCell ref="CM26:CN26"/>
    <mergeCell ref="AA29:AB29"/>
    <mergeCell ref="P30:W46"/>
    <mergeCell ref="BZ31:CA31"/>
    <mergeCell ref="CE31:CF31"/>
    <mergeCell ref="CM33:CN33"/>
    <mergeCell ref="AA34:AB34"/>
    <mergeCell ref="AP37:AQ37"/>
    <mergeCell ref="AI40:AJ48"/>
    <mergeCell ref="BG40:BH40"/>
    <mergeCell ref="AT46:AU46"/>
    <mergeCell ref="CH47:CI47"/>
    <mergeCell ref="AI32:AJ39"/>
    <mergeCell ref="CH39:CI39"/>
    <mergeCell ref="DA47:DB47"/>
    <mergeCell ref="BG48:BH48"/>
    <mergeCell ref="BC51:BD51"/>
    <mergeCell ref="AY52:AZ52"/>
    <mergeCell ref="AN57:AO57"/>
    <mergeCell ref="CM57:CN57"/>
    <mergeCell ref="H38:I38"/>
    <mergeCell ref="BO38:BP38"/>
    <mergeCell ref="BZ38:CA38"/>
    <mergeCell ref="AS39:AY39"/>
    <mergeCell ref="BO39:BP39"/>
    <mergeCell ref="CU42:CV42"/>
    <mergeCell ref="CH43:CI43"/>
    <mergeCell ref="CM46:CN46"/>
    <mergeCell ref="AR47:AS47"/>
  </mergeCells>
  <phoneticPr fontId="0" type="noConversion"/>
  <conditionalFormatting sqref="A320:A347">
    <cfRule type="expression" dxfId="199" priority="56">
      <formula>IF(#REF!="DESC",1,0)</formula>
    </cfRule>
  </conditionalFormatting>
  <conditionalFormatting sqref="A350:A426">
    <cfRule type="expression" dxfId="198" priority="52">
      <formula>IF(#REF!="DESC",1,0)</formula>
    </cfRule>
  </conditionalFormatting>
  <conditionalFormatting sqref="A429:A451">
    <cfRule type="expression" dxfId="197" priority="50">
      <formula>IF(#REF!="DESC",1,0)</formula>
    </cfRule>
  </conditionalFormatting>
  <conditionalFormatting sqref="A454:A459">
    <cfRule type="expression" dxfId="196" priority="62">
      <formula>IF(#REF!="DESC",1,0)</formula>
    </cfRule>
  </conditionalFormatting>
  <conditionalFormatting sqref="A462:A465">
    <cfRule type="expression" dxfId="195" priority="60">
      <formula>IF(#REF!="DESC",1,0)</formula>
    </cfRule>
  </conditionalFormatting>
  <conditionalFormatting sqref="A468:A479">
    <cfRule type="expression" dxfId="194" priority="58">
      <formula>IF(#REF!="DESC",1,0)</formula>
    </cfRule>
  </conditionalFormatting>
  <conditionalFormatting sqref="A482:A491">
    <cfRule type="expression" dxfId="193" priority="54">
      <formula>IF(#REF!="DESC",1,0)</formula>
    </cfRule>
  </conditionalFormatting>
  <conditionalFormatting sqref="C227">
    <cfRule type="duplicateValues" dxfId="192" priority="74"/>
  </conditionalFormatting>
  <conditionalFormatting sqref="C232">
    <cfRule type="duplicateValues" dxfId="191" priority="73"/>
  </conditionalFormatting>
  <conditionalFormatting sqref="C235:C236 C238 C240:C246 C248:C251">
    <cfRule type="duplicateValues" dxfId="190" priority="101"/>
  </conditionalFormatting>
  <conditionalFormatting sqref="C237">
    <cfRule type="duplicateValues" dxfId="189" priority="98"/>
  </conditionalFormatting>
  <conditionalFormatting sqref="C239">
    <cfRule type="duplicateValues" dxfId="188" priority="100"/>
  </conditionalFormatting>
  <conditionalFormatting sqref="C247">
    <cfRule type="duplicateValues" dxfId="187" priority="99"/>
  </conditionalFormatting>
  <conditionalFormatting sqref="C252">
    <cfRule type="duplicateValues" dxfId="186" priority="84"/>
  </conditionalFormatting>
  <conditionalFormatting sqref="C253 C255:C258 C260 C263:C266 C268:C274 C276:C277 C279:C287 C289:C291 C293:C295 C298:C303">
    <cfRule type="duplicateValues" dxfId="185" priority="103"/>
  </conditionalFormatting>
  <conditionalFormatting sqref="C254">
    <cfRule type="duplicateValues" dxfId="184" priority="86"/>
  </conditionalFormatting>
  <conditionalFormatting sqref="C259">
    <cfRule type="duplicateValues" dxfId="183" priority="97"/>
  </conditionalFormatting>
  <conditionalFormatting sqref="C261">
    <cfRule type="duplicateValues" dxfId="182" priority="70"/>
  </conditionalFormatting>
  <conditionalFormatting sqref="C262">
    <cfRule type="duplicateValues" dxfId="181" priority="68"/>
  </conditionalFormatting>
  <conditionalFormatting sqref="C267">
    <cfRule type="duplicateValues" dxfId="180" priority="80"/>
  </conditionalFormatting>
  <conditionalFormatting sqref="C275">
    <cfRule type="duplicateValues" dxfId="179" priority="96"/>
  </conditionalFormatting>
  <conditionalFormatting sqref="C278">
    <cfRule type="duplicateValues" dxfId="178" priority="66"/>
  </conditionalFormatting>
  <conditionalFormatting sqref="C288">
    <cfRule type="duplicateValues" dxfId="177" priority="82"/>
  </conditionalFormatting>
  <conditionalFormatting sqref="C292">
    <cfRule type="duplicateValues" dxfId="176" priority="95"/>
  </conditionalFormatting>
  <conditionalFormatting sqref="C296">
    <cfRule type="duplicateValues" dxfId="175" priority="88"/>
  </conditionalFormatting>
  <conditionalFormatting sqref="C297">
    <cfRule type="duplicateValues" dxfId="174" priority="64"/>
  </conditionalFormatting>
  <conditionalFormatting sqref="C305">
    <cfRule type="duplicateValues" dxfId="173" priority="78"/>
  </conditionalFormatting>
  <conditionalFormatting sqref="C306">
    <cfRule type="duplicateValues" dxfId="172" priority="76"/>
  </conditionalFormatting>
  <conditionalFormatting sqref="J320:J347">
    <cfRule type="expression" dxfId="171" priority="55">
      <formula>IF(#REF!="DESC",1,0)</formula>
    </cfRule>
  </conditionalFormatting>
  <conditionalFormatting sqref="J350:J426">
    <cfRule type="expression" dxfId="170" priority="51">
      <formula>IF(#REF!="DESC",1,0)</formula>
    </cfRule>
  </conditionalFormatting>
  <conditionalFormatting sqref="J429:J451">
    <cfRule type="expression" dxfId="169" priority="49">
      <formula>IF(#REF!="DESC",1,0)</formula>
    </cfRule>
  </conditionalFormatting>
  <conditionalFormatting sqref="J454:J459">
    <cfRule type="expression" dxfId="168" priority="61">
      <formula>IF(#REF!="DESC",1,0)</formula>
    </cfRule>
  </conditionalFormatting>
  <conditionalFormatting sqref="J462:J465">
    <cfRule type="expression" dxfId="167" priority="59">
      <formula>IF(#REF!="DESC",1,0)</formula>
    </cfRule>
  </conditionalFormatting>
  <conditionalFormatting sqref="J468:J479">
    <cfRule type="expression" dxfId="166" priority="57">
      <formula>IF(#REF!="DESC",1,0)</formula>
    </cfRule>
  </conditionalFormatting>
  <conditionalFormatting sqref="J482:J491">
    <cfRule type="expression" dxfId="165" priority="53">
      <formula>IF(#REF!="DESC",1,0)</formula>
    </cfRule>
  </conditionalFormatting>
  <conditionalFormatting sqref="K13">
    <cfRule type="duplicateValues" dxfId="164" priority="39"/>
  </conditionalFormatting>
  <conditionalFormatting sqref="L13">
    <cfRule type="duplicateValues" dxfId="163" priority="40"/>
  </conditionalFormatting>
  <conditionalFormatting sqref="L227">
    <cfRule type="duplicateValues" dxfId="162" priority="72"/>
  </conditionalFormatting>
  <conditionalFormatting sqref="L232">
    <cfRule type="duplicateValues" dxfId="161" priority="71"/>
  </conditionalFormatting>
  <conditionalFormatting sqref="L235:L236 L238 L240:L246 L248:L251">
    <cfRule type="duplicateValues" dxfId="160" priority="102"/>
  </conditionalFormatting>
  <conditionalFormatting sqref="L237">
    <cfRule type="duplicateValues" dxfId="159" priority="92"/>
  </conditionalFormatting>
  <conditionalFormatting sqref="L239">
    <cfRule type="duplicateValues" dxfId="158" priority="94"/>
  </conditionalFormatting>
  <conditionalFormatting sqref="L247">
    <cfRule type="duplicateValues" dxfId="157" priority="93"/>
  </conditionalFormatting>
  <conditionalFormatting sqref="L252">
    <cfRule type="duplicateValues" dxfId="156" priority="83"/>
  </conditionalFormatting>
  <conditionalFormatting sqref="L253 L255:L258 L260 L263:L266 L268:L274 L276:L277 L279:L287 L289:L291 L293:L295 L298:L303">
    <cfRule type="duplicateValues" dxfId="155" priority="104"/>
  </conditionalFormatting>
  <conditionalFormatting sqref="L254">
    <cfRule type="duplicateValues" dxfId="154" priority="85"/>
  </conditionalFormatting>
  <conditionalFormatting sqref="L259">
    <cfRule type="duplicateValues" dxfId="153" priority="91"/>
  </conditionalFormatting>
  <conditionalFormatting sqref="L261">
    <cfRule type="duplicateValues" dxfId="152" priority="69"/>
  </conditionalFormatting>
  <conditionalFormatting sqref="L262">
    <cfRule type="duplicateValues" dxfId="151" priority="67"/>
  </conditionalFormatting>
  <conditionalFormatting sqref="L267">
    <cfRule type="duplicateValues" dxfId="150" priority="79"/>
  </conditionalFormatting>
  <conditionalFormatting sqref="L275">
    <cfRule type="duplicateValues" dxfId="149" priority="90"/>
  </conditionalFormatting>
  <conditionalFormatting sqref="L278">
    <cfRule type="duplicateValues" dxfId="148" priority="65"/>
  </conditionalFormatting>
  <conditionalFormatting sqref="L288">
    <cfRule type="duplicateValues" dxfId="147" priority="81"/>
  </conditionalFormatting>
  <conditionalFormatting sqref="L292">
    <cfRule type="duplicateValues" dxfId="146" priority="89"/>
  </conditionalFormatting>
  <conditionalFormatting sqref="L296">
    <cfRule type="duplicateValues" dxfId="145" priority="87"/>
  </conditionalFormatting>
  <conditionalFormatting sqref="L297">
    <cfRule type="duplicateValues" dxfId="144" priority="63"/>
  </conditionalFormatting>
  <conditionalFormatting sqref="L305">
    <cfRule type="duplicateValues" dxfId="143" priority="77"/>
  </conditionalFormatting>
  <conditionalFormatting sqref="L306">
    <cfRule type="duplicateValues" dxfId="142" priority="75"/>
  </conditionalFormatting>
  <conditionalFormatting sqref="N18">
    <cfRule type="duplicateValues" dxfId="141" priority="37"/>
  </conditionalFormatting>
  <conditionalFormatting sqref="N19">
    <cfRule type="duplicateValues" dxfId="140" priority="38"/>
  </conditionalFormatting>
  <conditionalFormatting sqref="AQ76">
    <cfRule type="duplicateValues" dxfId="139" priority="28"/>
  </conditionalFormatting>
  <conditionalFormatting sqref="AR76">
    <cfRule type="duplicateValues" dxfId="138" priority="27"/>
  </conditionalFormatting>
  <conditionalFormatting sqref="AT58">
    <cfRule type="duplicateValues" dxfId="137" priority="35"/>
  </conditionalFormatting>
  <conditionalFormatting sqref="AT59">
    <cfRule type="duplicateValues" dxfId="136" priority="33"/>
  </conditionalFormatting>
  <conditionalFormatting sqref="AT60">
    <cfRule type="duplicateValues" dxfId="135" priority="32"/>
  </conditionalFormatting>
  <conditionalFormatting sqref="AT61">
    <cfRule type="duplicateValues" dxfId="134" priority="31"/>
  </conditionalFormatting>
  <conditionalFormatting sqref="AU58">
    <cfRule type="duplicateValues" dxfId="133" priority="29"/>
  </conditionalFormatting>
  <conditionalFormatting sqref="AU59">
    <cfRule type="duplicateValues" dxfId="132" priority="34"/>
  </conditionalFormatting>
  <conditionalFormatting sqref="AU60">
    <cfRule type="duplicateValues" dxfId="131" priority="36"/>
  </conditionalFormatting>
  <conditionalFormatting sqref="AU61">
    <cfRule type="duplicateValues" dxfId="130" priority="30"/>
  </conditionalFormatting>
  <conditionalFormatting sqref="AZ59">
    <cfRule type="duplicateValues" dxfId="129" priority="26"/>
  </conditionalFormatting>
  <conditionalFormatting sqref="AZ60">
    <cfRule type="duplicateValues" dxfId="128" priority="25"/>
  </conditionalFormatting>
  <conditionalFormatting sqref="AZ61">
    <cfRule type="duplicateValues" dxfId="127" priority="24"/>
  </conditionalFormatting>
  <conditionalFormatting sqref="BO26">
    <cfRule type="duplicateValues" dxfId="126" priority="4"/>
  </conditionalFormatting>
  <conditionalFormatting sqref="BO27">
    <cfRule type="duplicateValues" dxfId="125" priority="3"/>
  </conditionalFormatting>
  <conditionalFormatting sqref="BO35">
    <cfRule type="duplicateValues" dxfId="124" priority="10"/>
  </conditionalFormatting>
  <conditionalFormatting sqref="BO36">
    <cfRule type="duplicateValues" dxfId="123" priority="5"/>
  </conditionalFormatting>
  <conditionalFormatting sqref="BO37">
    <cfRule type="duplicateValues" dxfId="122" priority="8"/>
  </conditionalFormatting>
  <conditionalFormatting sqref="BP26">
    <cfRule type="duplicateValues" dxfId="121" priority="1"/>
  </conditionalFormatting>
  <conditionalFormatting sqref="BP27">
    <cfRule type="duplicateValues" dxfId="120" priority="2"/>
  </conditionalFormatting>
  <conditionalFormatting sqref="BP35">
    <cfRule type="duplicateValues" dxfId="119" priority="6"/>
  </conditionalFormatting>
  <conditionalFormatting sqref="BP36">
    <cfRule type="duplicateValues" dxfId="118" priority="9"/>
  </conditionalFormatting>
  <conditionalFormatting sqref="BP37">
    <cfRule type="duplicateValues" dxfId="117" priority="7"/>
  </conditionalFormatting>
  <conditionalFormatting sqref="BU71">
    <cfRule type="duplicateValues" dxfId="116" priority="48"/>
  </conditionalFormatting>
  <conditionalFormatting sqref="BV20">
    <cfRule type="duplicateValues" dxfId="115" priority="17"/>
  </conditionalFormatting>
  <conditionalFormatting sqref="BV21">
    <cfRule type="duplicateValues" dxfId="114" priority="15"/>
  </conditionalFormatting>
  <conditionalFormatting sqref="BV22">
    <cfRule type="duplicateValues" dxfId="113" priority="13"/>
  </conditionalFormatting>
  <conditionalFormatting sqref="BV23">
    <cfRule type="duplicateValues" dxfId="112" priority="11"/>
  </conditionalFormatting>
  <conditionalFormatting sqref="BV71">
    <cfRule type="duplicateValues" dxfId="111" priority="47"/>
  </conditionalFormatting>
  <conditionalFormatting sqref="BW20">
    <cfRule type="duplicateValues" dxfId="110" priority="16"/>
  </conditionalFormatting>
  <conditionalFormatting sqref="BW21">
    <cfRule type="duplicateValues" dxfId="109" priority="14"/>
  </conditionalFormatting>
  <conditionalFormatting sqref="BW22">
    <cfRule type="duplicateValues" dxfId="108" priority="12"/>
  </conditionalFormatting>
  <conditionalFormatting sqref="BW23">
    <cfRule type="duplicateValues" dxfId="107" priority="18"/>
  </conditionalFormatting>
  <conditionalFormatting sqref="BW71">
    <cfRule type="duplicateValues" dxfId="106" priority="46"/>
  </conditionalFormatting>
  <conditionalFormatting sqref="BX71">
    <cfRule type="duplicateValues" dxfId="105" priority="45"/>
  </conditionalFormatting>
  <conditionalFormatting sqref="CE29">
    <cfRule type="duplicateValues" dxfId="104" priority="23"/>
  </conditionalFormatting>
  <conditionalFormatting sqref="CE30">
    <cfRule type="duplicateValues" dxfId="103" priority="22"/>
  </conditionalFormatting>
  <conditionalFormatting sqref="CE51">
    <cfRule type="duplicateValues" dxfId="102" priority="41"/>
  </conditionalFormatting>
  <conditionalFormatting sqref="CE52">
    <cfRule type="duplicateValues" dxfId="101" priority="44"/>
  </conditionalFormatting>
  <conditionalFormatting sqref="CE53">
    <cfRule type="duplicateValues" dxfId="100" priority="43"/>
  </conditionalFormatting>
  <conditionalFormatting sqref="CE54">
    <cfRule type="duplicateValues" dxfId="99" priority="42"/>
  </conditionalFormatting>
  <conditionalFormatting sqref="CV69">
    <cfRule type="duplicateValues" dxfId="98" priority="21"/>
  </conditionalFormatting>
  <conditionalFormatting sqref="CV70">
    <cfRule type="duplicateValues" dxfId="97" priority="20"/>
  </conditionalFormatting>
  <conditionalFormatting sqref="CV71">
    <cfRule type="duplicateValues" dxfId="96" priority="1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GO81"/>
  <sheetViews>
    <sheetView topLeftCell="CE1" zoomScale="38" zoomScaleNormal="38" workbookViewId="0">
      <selection activeCell="CM28" sqref="CM28"/>
    </sheetView>
  </sheetViews>
  <sheetFormatPr baseColWidth="10" defaultColWidth="16.7109375" defaultRowHeight="19.5" customHeight="1" x14ac:dyDescent="0.25"/>
  <sheetData>
    <row r="1" spans="1:107" s="1" customFormat="1" ht="19.5" customHeight="1" thickBot="1" x14ac:dyDescent="0.3">
      <c r="A1" s="728" t="s">
        <v>163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  <c r="AK1" s="729"/>
      <c r="AL1" s="729"/>
      <c r="AM1" s="729"/>
      <c r="AN1" s="729"/>
      <c r="AO1" s="729"/>
      <c r="AP1" s="729"/>
      <c r="AQ1" s="729"/>
      <c r="AR1" s="729"/>
      <c r="AS1" s="729"/>
      <c r="AT1" s="729"/>
      <c r="AU1" s="729"/>
      <c r="AV1" s="729"/>
      <c r="AW1" s="729"/>
      <c r="AX1" s="729"/>
      <c r="AY1" s="729"/>
      <c r="AZ1" s="729"/>
      <c r="BA1" s="729"/>
      <c r="BB1" s="729"/>
      <c r="BC1" s="729"/>
      <c r="BD1" s="729"/>
      <c r="BE1" s="729"/>
      <c r="BF1" s="729"/>
      <c r="BG1" s="729"/>
      <c r="BH1" s="729"/>
      <c r="BI1" s="729"/>
      <c r="BJ1" s="729"/>
      <c r="BK1" s="729"/>
      <c r="BL1" s="729"/>
      <c r="BM1" s="729"/>
      <c r="BN1" s="729"/>
      <c r="BO1" s="729"/>
      <c r="BP1" s="729"/>
      <c r="BQ1" s="729"/>
      <c r="BR1" s="729"/>
      <c r="BS1" s="729"/>
      <c r="BT1" s="729"/>
      <c r="BU1" s="729"/>
      <c r="BV1" s="729"/>
      <c r="BW1" s="729"/>
      <c r="BX1" s="729"/>
      <c r="BY1" s="729"/>
      <c r="BZ1" s="729"/>
      <c r="CA1" s="729"/>
      <c r="CB1" s="729"/>
      <c r="CC1" s="729"/>
      <c r="CD1" s="729"/>
      <c r="CE1" s="729"/>
      <c r="CF1" s="729"/>
      <c r="CG1" s="729"/>
      <c r="CH1" s="729"/>
      <c r="CI1" s="729"/>
      <c r="CJ1" s="729"/>
      <c r="CK1" s="729"/>
      <c r="CL1" s="729"/>
      <c r="CM1" s="729"/>
      <c r="CN1" s="729"/>
      <c r="CO1" s="729"/>
      <c r="CP1" s="729"/>
      <c r="CQ1" s="729"/>
      <c r="CR1" s="729"/>
      <c r="CS1" s="729"/>
      <c r="CT1" s="729"/>
      <c r="CU1" s="729"/>
      <c r="CV1" s="729"/>
      <c r="CW1" s="729"/>
      <c r="CX1" s="729"/>
      <c r="CY1" s="729"/>
      <c r="CZ1" s="729"/>
      <c r="DA1" s="729"/>
      <c r="DB1" s="729"/>
      <c r="DC1" s="730"/>
    </row>
    <row r="2" spans="1:107" s="5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" t="s">
        <v>165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3" t="s">
        <v>166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2"/>
      <c r="CX2" s="2"/>
      <c r="CY2" s="2"/>
      <c r="CZ2" s="2"/>
      <c r="DA2" s="2"/>
      <c r="DB2" s="2"/>
      <c r="DC2" s="2"/>
    </row>
    <row r="3" spans="1:107" s="5" customFormat="1" ht="19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2"/>
      <c r="CX3" s="2"/>
      <c r="CY3" s="2"/>
      <c r="CZ3" s="2"/>
      <c r="DA3" s="2"/>
      <c r="DB3" s="2"/>
      <c r="DC3" s="2"/>
    </row>
    <row r="4" spans="1:107" s="5" customFormat="1" ht="19.5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2"/>
      <c r="CX4" s="2"/>
      <c r="CY4" s="2"/>
      <c r="CZ4" s="2"/>
      <c r="DA4" s="2"/>
      <c r="DB4" s="2"/>
      <c r="DC4" s="2"/>
    </row>
    <row r="5" spans="1:107" s="5" customFormat="1" ht="19.5" customHeight="1" thickBot="1" x14ac:dyDescent="0.3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7"/>
      <c r="AF5" s="158"/>
      <c r="AG5" s="158"/>
      <c r="AH5" s="159"/>
      <c r="AI5" s="160"/>
      <c r="AJ5" s="160"/>
      <c r="AK5" s="160"/>
      <c r="AL5" s="2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61" t="s">
        <v>167</v>
      </c>
      <c r="BR5" s="162"/>
      <c r="BS5" s="163"/>
      <c r="BT5" s="158"/>
      <c r="BU5" s="158"/>
      <c r="BV5" s="158"/>
      <c r="BW5" s="158"/>
      <c r="BX5" s="159"/>
      <c r="BY5" s="159"/>
      <c r="BZ5" s="160"/>
      <c r="CA5" s="160"/>
      <c r="CB5" s="160"/>
      <c r="CC5" s="2"/>
      <c r="CD5" s="155"/>
      <c r="CE5" s="155"/>
      <c r="CF5" s="155"/>
      <c r="CG5" s="155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7"/>
      <c r="CX5" s="158"/>
      <c r="CY5" s="159"/>
      <c r="CZ5" s="159"/>
      <c r="DA5" s="160"/>
      <c r="DB5" s="160"/>
      <c r="DC5" s="160"/>
    </row>
    <row r="6" spans="1:107" s="5" customFormat="1" ht="19.5" customHeight="1" x14ac:dyDescent="0.25">
      <c r="A6" s="702" t="s">
        <v>168</v>
      </c>
      <c r="B6" s="731"/>
      <c r="C6" s="703"/>
      <c r="D6" s="100"/>
      <c r="E6" s="97"/>
      <c r="F6" s="164"/>
      <c r="G6" s="362">
        <v>25</v>
      </c>
      <c r="H6" s="164"/>
      <c r="I6" s="13"/>
      <c r="J6" s="100"/>
      <c r="K6" s="165"/>
      <c r="L6" s="388">
        <v>5</v>
      </c>
      <c r="M6" s="97"/>
      <c r="N6" s="100"/>
      <c r="O6" s="155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734" t="s">
        <v>175</v>
      </c>
      <c r="AB6" s="167"/>
      <c r="AC6" s="167"/>
      <c r="AD6" s="167"/>
      <c r="AE6" s="167"/>
      <c r="AF6" s="167"/>
      <c r="AG6" s="167"/>
      <c r="AH6" s="167"/>
      <c r="AI6" s="167"/>
      <c r="AJ6" s="167"/>
      <c r="AK6" s="160"/>
      <c r="AL6" s="2"/>
      <c r="AM6" s="155"/>
      <c r="AZ6" s="168"/>
      <c r="BA6" s="169"/>
      <c r="BB6" s="36"/>
      <c r="BC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0"/>
      <c r="BR6" s="170"/>
      <c r="BS6" s="170"/>
      <c r="BT6" s="18"/>
      <c r="BU6" s="18"/>
      <c r="BV6" s="18"/>
      <c r="BW6" s="18"/>
      <c r="BX6" s="18"/>
      <c r="BY6" s="18"/>
      <c r="BZ6" s="735" t="s">
        <v>170</v>
      </c>
      <c r="CA6" s="736"/>
      <c r="CB6" s="160"/>
      <c r="CC6" s="2"/>
      <c r="CD6" s="155"/>
      <c r="CE6" s="2"/>
      <c r="CF6" s="9"/>
      <c r="CH6" s="348"/>
      <c r="CI6" s="349"/>
      <c r="CJ6" s="349"/>
      <c r="CK6" s="349"/>
      <c r="CL6" s="349"/>
      <c r="CM6" s="349"/>
      <c r="CN6" s="16"/>
      <c r="CO6" s="16"/>
      <c r="CP6" s="16"/>
      <c r="CS6" s="350"/>
      <c r="CT6" s="351"/>
      <c r="CU6" s="351"/>
      <c r="CV6" s="351"/>
      <c r="CW6" s="351"/>
      <c r="CX6" s="351"/>
      <c r="CY6" s="351"/>
      <c r="CZ6" s="351"/>
      <c r="DA6" s="19"/>
      <c r="DB6" s="19"/>
      <c r="DC6" s="160"/>
    </row>
    <row r="7" spans="1:107" s="5" customFormat="1" ht="19.5" customHeight="1" x14ac:dyDescent="0.25">
      <c r="A7" s="704"/>
      <c r="B7" s="732"/>
      <c r="C7" s="705"/>
      <c r="G7" s="171" t="s">
        <v>171</v>
      </c>
      <c r="H7" s="22" t="s">
        <v>172</v>
      </c>
      <c r="I7" s="28"/>
      <c r="J7" s="29"/>
      <c r="K7" s="22" t="s">
        <v>173</v>
      </c>
      <c r="L7" s="172" t="s">
        <v>174</v>
      </c>
      <c r="M7" s="16"/>
      <c r="N7" s="29"/>
      <c r="O7" s="155"/>
      <c r="P7" s="166"/>
      <c r="Q7" s="166"/>
      <c r="R7" s="166"/>
      <c r="S7" s="166"/>
      <c r="T7" s="166"/>
      <c r="U7" s="170"/>
      <c r="V7" s="170"/>
      <c r="W7" s="166"/>
      <c r="X7" s="166"/>
      <c r="Y7" s="173"/>
      <c r="Z7" s="173"/>
      <c r="AA7" s="734"/>
      <c r="AB7" s="167"/>
      <c r="AC7" s="167"/>
      <c r="AD7" s="167"/>
      <c r="AE7" s="167"/>
      <c r="AF7" s="167"/>
      <c r="AG7" s="167"/>
      <c r="AH7" s="167"/>
      <c r="AI7" s="167"/>
      <c r="AJ7" s="167"/>
      <c r="AK7" s="160"/>
      <c r="AL7" s="2"/>
      <c r="AM7" s="155"/>
      <c r="AZ7" s="175"/>
      <c r="BA7" s="176"/>
      <c r="BB7" s="36"/>
      <c r="BC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0"/>
      <c r="BR7" s="170"/>
      <c r="BS7" s="170"/>
      <c r="BT7" s="18"/>
      <c r="BU7" s="18"/>
      <c r="BV7" s="18"/>
      <c r="BW7" s="18"/>
      <c r="BX7" s="18"/>
      <c r="BY7" s="18"/>
      <c r="BZ7" s="737"/>
      <c r="CA7" s="738"/>
      <c r="CB7" s="160"/>
      <c r="CC7" s="2"/>
      <c r="CD7" s="155"/>
      <c r="CE7" s="351"/>
      <c r="CF7" s="23"/>
      <c r="CG7" s="6"/>
      <c r="CH7" s="6"/>
      <c r="CI7" s="24"/>
      <c r="CJ7" s="24"/>
      <c r="CK7" s="24"/>
      <c r="CL7" s="24"/>
      <c r="CM7" s="24"/>
      <c r="CN7" s="24"/>
      <c r="CO7" s="24"/>
      <c r="CP7" s="16"/>
      <c r="CQ7" s="16"/>
      <c r="CR7" s="16"/>
      <c r="DA7" s="19"/>
      <c r="DB7" s="19"/>
      <c r="DC7" s="160"/>
    </row>
    <row r="8" spans="1:107" s="5" customFormat="1" ht="19.5" customHeight="1" thickBot="1" x14ac:dyDescent="0.3">
      <c r="A8" s="714"/>
      <c r="B8" s="733"/>
      <c r="C8" s="715"/>
      <c r="G8" s="177"/>
      <c r="H8" s="28"/>
      <c r="I8" s="28"/>
      <c r="J8" s="28"/>
      <c r="K8" s="16"/>
      <c r="L8" s="177"/>
      <c r="M8" s="16"/>
      <c r="N8" s="16"/>
      <c r="O8" s="155"/>
      <c r="P8" s="166"/>
      <c r="Q8" s="166"/>
      <c r="R8" s="166"/>
      <c r="S8" s="166"/>
      <c r="T8" s="166"/>
      <c r="U8" s="170"/>
      <c r="V8" s="170"/>
      <c r="W8" s="166"/>
      <c r="X8" s="166"/>
      <c r="Y8" s="173"/>
      <c r="Z8" s="173"/>
      <c r="AA8" s="734"/>
      <c r="AB8" s="167"/>
      <c r="AC8" s="167"/>
      <c r="AD8" s="167"/>
      <c r="AE8" s="167"/>
      <c r="AF8" s="167"/>
      <c r="AG8" s="167"/>
      <c r="AH8" s="167"/>
      <c r="AI8" s="167"/>
      <c r="AJ8" s="167"/>
      <c r="AK8" s="160"/>
      <c r="AL8" s="2"/>
      <c r="AM8" s="155"/>
      <c r="AZ8" s="175"/>
      <c r="BA8" s="176"/>
      <c r="BC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6"/>
      <c r="BR8" s="6"/>
      <c r="BS8" s="6"/>
      <c r="BT8" s="30"/>
      <c r="BU8" s="30"/>
      <c r="BV8" s="6"/>
      <c r="BW8" s="6"/>
      <c r="BX8" s="9"/>
      <c r="BY8" s="9"/>
      <c r="BZ8" s="737"/>
      <c r="CA8" s="738"/>
      <c r="CB8" s="160"/>
      <c r="CC8" s="2"/>
      <c r="CD8" s="155"/>
      <c r="CE8" s="2"/>
      <c r="CF8" s="23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9"/>
      <c r="DB8" s="19"/>
      <c r="DC8" s="160"/>
    </row>
    <row r="9" spans="1:107" s="5" customFormat="1" ht="19.5" customHeight="1" x14ac:dyDescent="0.25">
      <c r="A9" s="31"/>
      <c r="B9" s="32"/>
      <c r="C9" s="32"/>
      <c r="G9" s="178" t="s">
        <v>176</v>
      </c>
      <c r="H9" s="178"/>
      <c r="L9" s="179" t="s">
        <v>177</v>
      </c>
      <c r="N9" s="16"/>
      <c r="O9" s="155"/>
      <c r="P9" s="166"/>
      <c r="Q9" s="690" t="s">
        <v>169</v>
      </c>
      <c r="R9" s="691"/>
      <c r="S9" s="691"/>
      <c r="T9" s="691"/>
      <c r="U9" s="691"/>
      <c r="V9" s="691"/>
      <c r="W9" s="691"/>
      <c r="X9" s="692"/>
      <c r="Y9" s="173"/>
      <c r="Z9" s="173"/>
      <c r="AA9" s="734"/>
      <c r="AB9" s="167"/>
      <c r="AC9" s="167"/>
      <c r="AD9" s="167"/>
      <c r="AE9" s="167"/>
      <c r="AF9" s="167"/>
      <c r="AG9" s="167"/>
      <c r="AH9" s="167"/>
      <c r="AI9" s="167"/>
      <c r="AJ9" s="167"/>
      <c r="AK9" s="160"/>
      <c r="AL9" s="2"/>
      <c r="AM9" s="155"/>
      <c r="AZ9" s="175"/>
      <c r="BA9" s="176"/>
      <c r="BB9" s="36"/>
      <c r="BC9" s="17"/>
      <c r="BI9" s="17"/>
      <c r="BJ9" s="17"/>
      <c r="BK9" s="17"/>
      <c r="BL9" s="17"/>
      <c r="BM9" s="17"/>
      <c r="BN9" s="17"/>
      <c r="BO9" s="17"/>
      <c r="BP9" s="17"/>
      <c r="BQ9" s="6"/>
      <c r="BR9" s="6"/>
      <c r="BS9" s="6"/>
      <c r="BT9" s="9"/>
      <c r="BU9" s="6"/>
      <c r="BV9" s="6"/>
      <c r="BW9" s="6"/>
      <c r="BX9" s="9"/>
      <c r="BY9" s="9"/>
      <c r="BZ9" s="737"/>
      <c r="CA9" s="738"/>
      <c r="CB9" s="160"/>
      <c r="CC9" s="2"/>
      <c r="CD9" s="155"/>
      <c r="CE9" s="351"/>
      <c r="CF9" s="23"/>
      <c r="CQ9" s="16"/>
      <c r="CR9" s="16"/>
      <c r="CS9" s="16"/>
      <c r="CT9" s="16"/>
      <c r="CX9" s="16"/>
      <c r="CY9" s="16"/>
      <c r="CZ9" s="16"/>
      <c r="DA9" s="37"/>
      <c r="DB9" s="37"/>
      <c r="DC9" s="160"/>
    </row>
    <row r="10" spans="1:107" s="5" customFormat="1" ht="19.5" customHeight="1" thickBot="1" x14ac:dyDescent="0.3">
      <c r="A10" s="38"/>
      <c r="B10" s="16"/>
      <c r="C10" s="16"/>
      <c r="D10" s="16"/>
      <c r="J10" s="16"/>
      <c r="K10" s="32"/>
      <c r="L10" s="16"/>
      <c r="M10" s="16"/>
      <c r="N10" s="16"/>
      <c r="O10" s="155"/>
      <c r="P10" s="166"/>
      <c r="Q10" s="693"/>
      <c r="R10" s="694"/>
      <c r="S10" s="694"/>
      <c r="T10" s="694"/>
      <c r="U10" s="694"/>
      <c r="V10" s="694"/>
      <c r="W10" s="694"/>
      <c r="X10" s="695"/>
      <c r="Y10" s="173"/>
      <c r="Z10" s="173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80"/>
      <c r="AL10" s="2"/>
      <c r="AM10" s="155"/>
      <c r="AZ10" s="175"/>
      <c r="BA10" s="176"/>
      <c r="BB10" s="17"/>
      <c r="BC10" s="17"/>
      <c r="BG10" s="34"/>
      <c r="BH10" s="34"/>
      <c r="BI10" s="17"/>
      <c r="BJ10" s="17"/>
      <c r="BK10" s="17"/>
      <c r="BL10" s="17"/>
      <c r="BM10" s="17"/>
      <c r="BN10" s="17"/>
      <c r="BO10" s="17"/>
      <c r="BP10" s="17"/>
      <c r="BQ10" s="6"/>
      <c r="BR10" s="6"/>
      <c r="BS10" s="6"/>
      <c r="BT10" s="6"/>
      <c r="BU10" s="6"/>
      <c r="BV10" s="9"/>
      <c r="BW10" s="9"/>
      <c r="BX10" s="9"/>
      <c r="BY10" s="9"/>
      <c r="BZ10" s="739"/>
      <c r="CA10" s="740"/>
      <c r="CB10" s="180"/>
      <c r="CC10" s="2"/>
      <c r="CD10" s="156"/>
      <c r="CE10" s="16"/>
      <c r="CF10" s="23"/>
      <c r="CH10" s="688" t="s">
        <v>178</v>
      </c>
      <c r="CI10" s="688"/>
      <c r="CQ10" s="16"/>
      <c r="CR10" s="16"/>
      <c r="CS10" s="16"/>
      <c r="CT10" s="16"/>
      <c r="CV10" s="16"/>
      <c r="CX10" s="16"/>
      <c r="CY10" s="16"/>
      <c r="CZ10" s="16"/>
      <c r="DA10" s="19"/>
      <c r="DB10" s="37"/>
      <c r="DC10" s="181"/>
    </row>
    <row r="11" spans="1:107" s="5" customFormat="1" ht="19.5" customHeight="1" thickBot="1" x14ac:dyDescent="0.3">
      <c r="A11" s="31"/>
      <c r="B11" s="16"/>
      <c r="C11" s="16"/>
      <c r="D11" s="42"/>
      <c r="E11" s="29"/>
      <c r="F11" s="9"/>
      <c r="G11" s="9"/>
      <c r="H11" s="29"/>
      <c r="I11" s="16"/>
      <c r="J11" s="16"/>
      <c r="K11" s="16"/>
      <c r="L11" s="16"/>
      <c r="M11" s="16"/>
      <c r="N11" s="16"/>
      <c r="O11" s="155"/>
      <c r="P11" s="166"/>
      <c r="Q11" s="693"/>
      <c r="R11" s="694"/>
      <c r="S11" s="694"/>
      <c r="T11" s="694"/>
      <c r="U11" s="694"/>
      <c r="V11" s="694"/>
      <c r="W11" s="694"/>
      <c r="X11" s="695"/>
      <c r="Y11" s="166"/>
      <c r="Z11" s="166"/>
      <c r="AA11" s="166"/>
      <c r="AB11" s="182"/>
      <c r="AC11" s="183"/>
      <c r="AD11" s="183"/>
      <c r="AE11" s="173"/>
      <c r="AF11" s="173"/>
      <c r="AG11" s="173"/>
      <c r="AH11" s="173"/>
      <c r="AI11" s="170"/>
      <c r="AJ11" s="184"/>
      <c r="AK11" s="180"/>
      <c r="AL11" s="2"/>
      <c r="AM11" s="155"/>
      <c r="AZ11" s="175"/>
      <c r="BA11" s="176"/>
      <c r="BB11" s="36"/>
      <c r="BC11" s="17"/>
      <c r="BG11" s="34"/>
      <c r="BH11" s="34"/>
      <c r="BI11" s="43"/>
      <c r="BJ11" s="17"/>
      <c r="BK11" s="17"/>
      <c r="BL11" s="17"/>
      <c r="BM11" s="17"/>
      <c r="BN11" s="17"/>
      <c r="BO11" s="17"/>
      <c r="BP11" s="17"/>
      <c r="BQ11" s="6"/>
      <c r="BR11" s="6"/>
      <c r="BS11" s="6"/>
      <c r="BT11" s="6"/>
      <c r="BU11" s="6"/>
      <c r="BV11" s="9"/>
      <c r="BW11" s="9"/>
      <c r="BX11" s="9"/>
      <c r="BY11" s="9"/>
      <c r="BZ11" s="170"/>
      <c r="CA11" s="184"/>
      <c r="CB11" s="180"/>
      <c r="CC11" s="2"/>
      <c r="CD11" s="156"/>
      <c r="CE11" s="351"/>
      <c r="CF11" s="9"/>
      <c r="CG11" s="22" t="s">
        <v>179</v>
      </c>
      <c r="CH11" s="165"/>
      <c r="CI11" s="165"/>
      <c r="CQ11" s="16"/>
      <c r="CR11" s="16"/>
      <c r="CS11" s="16"/>
      <c r="CX11" s="16"/>
      <c r="CY11" s="16"/>
      <c r="CZ11" s="16"/>
      <c r="DA11" s="19"/>
      <c r="DB11" s="37"/>
      <c r="DC11" s="181"/>
    </row>
    <row r="12" spans="1:107" s="5" customFormat="1" ht="19.5" customHeight="1" thickBot="1" x14ac:dyDescent="0.3">
      <c r="A12" s="185" t="s">
        <v>180</v>
      </c>
      <c r="B12" s="16"/>
      <c r="C12" s="45"/>
      <c r="D12" s="186"/>
      <c r="E12" s="13"/>
      <c r="F12" s="14"/>
      <c r="G12" s="14"/>
      <c r="H12" s="13"/>
      <c r="I12" s="187"/>
      <c r="J12" s="47"/>
      <c r="K12" s="16"/>
      <c r="L12" s="16"/>
      <c r="M12" s="741" t="s">
        <v>200</v>
      </c>
      <c r="N12" s="741"/>
      <c r="O12" s="155"/>
      <c r="P12" s="166"/>
      <c r="Q12" s="693"/>
      <c r="R12" s="694"/>
      <c r="S12" s="694"/>
      <c r="T12" s="694"/>
      <c r="U12" s="694"/>
      <c r="V12" s="694"/>
      <c r="W12" s="694"/>
      <c r="X12" s="695"/>
      <c r="AK12" s="180"/>
      <c r="AL12" s="2"/>
      <c r="AM12" s="155"/>
      <c r="AZ12" s="175"/>
      <c r="BA12" s="176"/>
      <c r="BC12" s="17"/>
      <c r="BG12" s="34"/>
      <c r="BH12" s="34"/>
      <c r="BI12" s="43"/>
      <c r="BJ12" s="17"/>
      <c r="BK12" s="17"/>
      <c r="BL12" s="17"/>
      <c r="BM12" s="17"/>
      <c r="BN12" s="17"/>
      <c r="BO12" s="17"/>
      <c r="BP12" s="17"/>
      <c r="BQ12" s="6"/>
      <c r="BR12" s="6"/>
      <c r="BS12" s="6"/>
      <c r="BT12" s="9"/>
      <c r="BU12" s="9"/>
      <c r="BV12" s="9"/>
      <c r="BW12" s="2"/>
      <c r="BX12" s="2"/>
      <c r="BY12" s="2"/>
      <c r="BZ12" s="170"/>
      <c r="CA12" s="48"/>
      <c r="CB12" s="180"/>
      <c r="CC12" s="2"/>
      <c r="CD12" s="156"/>
      <c r="CE12" s="24"/>
      <c r="CF12" s="188"/>
      <c r="CG12" s="172" t="s">
        <v>174</v>
      </c>
      <c r="CH12" s="294">
        <v>5</v>
      </c>
      <c r="CI12" s="294">
        <v>5</v>
      </c>
      <c r="CJ12" s="172" t="s">
        <v>174</v>
      </c>
      <c r="CK12" s="189"/>
      <c r="CM12" s="40"/>
      <c r="CN12" s="351"/>
      <c r="CQ12" s="16"/>
      <c r="CR12" s="16"/>
      <c r="CS12" s="16"/>
      <c r="CT12" s="16"/>
      <c r="CU12" s="40"/>
      <c r="CV12" s="351"/>
      <c r="CW12" s="16"/>
      <c r="CX12" s="16"/>
      <c r="CZ12" s="16"/>
      <c r="DA12" s="19"/>
      <c r="DB12" s="37"/>
      <c r="DC12" s="181"/>
    </row>
    <row r="13" spans="1:107" s="5" customFormat="1" ht="19.5" customHeight="1" x14ac:dyDescent="0.25">
      <c r="A13" s="190"/>
      <c r="B13" s="16"/>
      <c r="C13" s="45"/>
      <c r="D13" s="186"/>
      <c r="E13" s="13"/>
      <c r="F13" s="14"/>
      <c r="G13" s="14"/>
      <c r="H13" s="13"/>
      <c r="I13" s="187"/>
      <c r="J13" s="47"/>
      <c r="K13" s="275"/>
      <c r="L13" s="275"/>
      <c r="M13" s="22" t="s">
        <v>182</v>
      </c>
      <c r="N13" s="191"/>
      <c r="O13" s="155"/>
      <c r="P13" s="166"/>
      <c r="Q13" s="693"/>
      <c r="R13" s="694"/>
      <c r="S13" s="694"/>
      <c r="T13" s="694"/>
      <c r="U13" s="694"/>
      <c r="V13" s="694"/>
      <c r="W13" s="694"/>
      <c r="X13" s="695"/>
      <c r="Z13" s="742" t="s">
        <v>183</v>
      </c>
      <c r="AA13" s="743"/>
      <c r="AB13" s="743"/>
      <c r="AC13" s="743"/>
      <c r="AD13" s="743"/>
      <c r="AE13" s="743"/>
      <c r="AF13" s="743"/>
      <c r="AG13" s="743"/>
      <c r="AH13" s="744"/>
      <c r="AK13" s="180"/>
      <c r="AL13" s="2"/>
      <c r="AM13" s="155"/>
      <c r="AZ13" s="175"/>
      <c r="BA13" s="176"/>
      <c r="BB13" s="36"/>
      <c r="BC13" s="17"/>
      <c r="BG13" s="34"/>
      <c r="BH13" s="34"/>
      <c r="BI13" s="17"/>
      <c r="BJ13" s="17"/>
      <c r="BK13" s="17"/>
      <c r="BL13" s="17"/>
      <c r="BM13" s="17"/>
      <c r="BN13" s="17"/>
      <c r="BO13" s="17"/>
      <c r="BP13" s="17"/>
      <c r="BQ13" s="6"/>
      <c r="BR13" s="6"/>
      <c r="BS13" s="6"/>
      <c r="CB13" s="180"/>
      <c r="CC13" s="2"/>
      <c r="CD13" s="156"/>
      <c r="CE13" s="351"/>
      <c r="CF13" s="188"/>
      <c r="CG13" s="172" t="s">
        <v>174</v>
      </c>
      <c r="CH13" s="352">
        <v>5</v>
      </c>
      <c r="CI13" s="352">
        <v>5</v>
      </c>
      <c r="CJ13" s="172" t="s">
        <v>174</v>
      </c>
      <c r="CK13" s="189"/>
      <c r="CM13" s="354"/>
      <c r="CN13" s="351"/>
      <c r="CR13" s="16"/>
      <c r="CS13" s="16"/>
      <c r="CT13" s="16"/>
      <c r="CU13" s="40"/>
      <c r="CV13" s="351"/>
      <c r="CW13" s="16"/>
      <c r="CX13" s="16"/>
      <c r="CZ13" s="16"/>
      <c r="DA13" s="19"/>
      <c r="DB13" s="84"/>
      <c r="DC13" s="181"/>
    </row>
    <row r="14" spans="1:107" s="5" customFormat="1" ht="19.5" customHeight="1" x14ac:dyDescent="0.25">
      <c r="A14" s="190"/>
      <c r="C14" s="45"/>
      <c r="D14" s="186"/>
      <c r="E14" s="13"/>
      <c r="F14" s="14"/>
      <c r="G14" s="14"/>
      <c r="H14" s="13"/>
      <c r="I14" s="187"/>
      <c r="J14" s="47"/>
      <c r="K14" s="40"/>
      <c r="L14" s="40"/>
      <c r="M14" s="192" t="s">
        <v>174</v>
      </c>
      <c r="N14" s="274">
        <v>5</v>
      </c>
      <c r="O14" s="155"/>
      <c r="P14" s="166"/>
      <c r="Q14" s="693"/>
      <c r="R14" s="694"/>
      <c r="S14" s="694"/>
      <c r="T14" s="694"/>
      <c r="U14" s="694"/>
      <c r="V14" s="694"/>
      <c r="W14" s="694"/>
      <c r="X14" s="695"/>
      <c r="Z14" s="745"/>
      <c r="AA14" s="746"/>
      <c r="AB14" s="746"/>
      <c r="AC14" s="746"/>
      <c r="AD14" s="746"/>
      <c r="AE14" s="746"/>
      <c r="AF14" s="746"/>
      <c r="AG14" s="746"/>
      <c r="AH14" s="747"/>
      <c r="AK14" s="180"/>
      <c r="AL14" s="2"/>
      <c r="AM14" s="155"/>
      <c r="AZ14" s="175"/>
      <c r="BA14" s="176"/>
      <c r="BB14" s="17"/>
      <c r="BC14" s="17"/>
      <c r="BG14" s="34"/>
      <c r="BH14" s="34"/>
      <c r="BI14" s="17"/>
      <c r="BJ14" s="17"/>
      <c r="BK14" s="17"/>
      <c r="BL14" s="17"/>
      <c r="BM14" s="17"/>
      <c r="BN14" s="17"/>
      <c r="BO14" s="17"/>
      <c r="BP14" s="17"/>
      <c r="BQ14" s="6"/>
      <c r="BR14" s="6"/>
      <c r="BS14" s="6"/>
      <c r="CB14" s="180"/>
      <c r="CC14" s="2"/>
      <c r="CD14" s="156"/>
      <c r="CE14" s="24"/>
      <c r="CF14" s="23"/>
      <c r="CG14" s="16"/>
      <c r="CH14" s="165"/>
      <c r="CI14" s="165"/>
      <c r="CL14" s="16"/>
      <c r="CM14" s="40"/>
      <c r="CN14" s="351"/>
      <c r="CP14" s="16"/>
      <c r="CQ14" s="16"/>
      <c r="CR14" s="16"/>
      <c r="CS14" s="16"/>
      <c r="CT14" s="16"/>
      <c r="CW14" s="16"/>
      <c r="CX14" s="16"/>
      <c r="CZ14" s="16"/>
      <c r="DA14" s="19"/>
      <c r="DB14" s="84"/>
      <c r="DC14" s="181"/>
    </row>
    <row r="15" spans="1:107" s="5" customFormat="1" ht="19.5" customHeight="1" thickBot="1" x14ac:dyDescent="0.3">
      <c r="A15" s="193"/>
      <c r="B15" s="50"/>
      <c r="C15" s="50"/>
      <c r="D15" s="50"/>
      <c r="E15" s="46"/>
      <c r="F15" s="32"/>
      <c r="G15" s="32"/>
      <c r="H15" s="47"/>
      <c r="I15" s="32"/>
      <c r="J15" s="32"/>
      <c r="K15" s="32"/>
      <c r="L15" s="194"/>
      <c r="M15" s="192" t="s">
        <v>174</v>
      </c>
      <c r="N15" s="274">
        <v>5</v>
      </c>
      <c r="O15" s="155"/>
      <c r="P15" s="166"/>
      <c r="Q15" s="693"/>
      <c r="R15" s="694"/>
      <c r="S15" s="694"/>
      <c r="T15" s="694"/>
      <c r="U15" s="694"/>
      <c r="V15" s="694"/>
      <c r="W15" s="694"/>
      <c r="X15" s="695"/>
      <c r="Z15" s="745"/>
      <c r="AA15" s="746"/>
      <c r="AB15" s="746"/>
      <c r="AC15" s="746"/>
      <c r="AD15" s="746"/>
      <c r="AE15" s="746"/>
      <c r="AF15" s="746"/>
      <c r="AG15" s="746"/>
      <c r="AH15" s="747"/>
      <c r="AK15" s="180"/>
      <c r="AL15" s="2"/>
      <c r="AM15" s="155"/>
      <c r="AZ15" s="175"/>
      <c r="BA15" s="176"/>
      <c r="BB15" s="17"/>
      <c r="BC15" s="17"/>
      <c r="BF15" s="51"/>
      <c r="BG15" s="34"/>
      <c r="BH15" s="34"/>
      <c r="BJ15" s="17"/>
      <c r="BK15" s="17"/>
      <c r="BL15" s="17"/>
      <c r="BM15" s="17"/>
      <c r="BN15" s="17"/>
      <c r="BO15" s="17"/>
      <c r="BP15" s="17"/>
      <c r="BQ15" s="6"/>
      <c r="BR15" s="6"/>
      <c r="BS15" s="6"/>
      <c r="BT15" s="2"/>
      <c r="BU15" s="2"/>
      <c r="BV15" s="2"/>
      <c r="BW15" s="2"/>
      <c r="BX15" s="52"/>
      <c r="BY15" s="53"/>
      <c r="BZ15" s="195"/>
      <c r="CA15" s="53"/>
      <c r="CB15" s="180"/>
      <c r="CC15" s="2"/>
      <c r="CD15" s="156"/>
      <c r="CE15" s="351"/>
      <c r="CF15" s="23"/>
      <c r="CG15" s="9"/>
      <c r="CL15" s="16"/>
      <c r="CP15" s="16"/>
      <c r="CQ15" s="16"/>
      <c r="CR15" s="16"/>
      <c r="CS15" s="16"/>
      <c r="CT15" s="16"/>
      <c r="CU15" s="16"/>
      <c r="CV15" s="16"/>
      <c r="CW15" s="16"/>
      <c r="CX15" s="16"/>
      <c r="CZ15" s="16"/>
      <c r="DA15" s="19"/>
      <c r="DB15" s="361"/>
      <c r="DC15" s="181"/>
    </row>
    <row r="16" spans="1:107" s="5" customFormat="1" ht="19.5" customHeight="1" thickBot="1" x14ac:dyDescent="0.3">
      <c r="A16" s="751" t="s">
        <v>185</v>
      </c>
      <c r="B16" s="752"/>
      <c r="C16" s="752"/>
      <c r="D16" s="752"/>
      <c r="E16" s="752"/>
      <c r="F16" s="753"/>
      <c r="G16" s="57"/>
      <c r="H16" s="58"/>
      <c r="I16" s="16"/>
      <c r="J16" s="16"/>
      <c r="K16" s="59"/>
      <c r="L16" s="194"/>
      <c r="M16" s="192" t="s">
        <v>174</v>
      </c>
      <c r="N16" s="355">
        <v>5</v>
      </c>
      <c r="O16" s="155"/>
      <c r="P16" s="166"/>
      <c r="Q16" s="693"/>
      <c r="R16" s="694"/>
      <c r="S16" s="694"/>
      <c r="T16" s="694"/>
      <c r="U16" s="694"/>
      <c r="V16" s="694"/>
      <c r="W16" s="694"/>
      <c r="X16" s="695"/>
      <c r="Z16" s="745"/>
      <c r="AA16" s="746"/>
      <c r="AB16" s="746"/>
      <c r="AC16" s="746"/>
      <c r="AD16" s="746"/>
      <c r="AE16" s="746"/>
      <c r="AF16" s="746"/>
      <c r="AG16" s="746"/>
      <c r="AH16" s="747"/>
      <c r="AK16" s="180"/>
      <c r="AL16" s="2"/>
      <c r="AM16" s="155"/>
      <c r="AZ16" s="175"/>
      <c r="BA16" s="176"/>
      <c r="BB16" s="36"/>
      <c r="BC16" s="17"/>
      <c r="BF16" s="51"/>
      <c r="BG16" s="356"/>
      <c r="BH16" s="356"/>
      <c r="BI16" s="17"/>
      <c r="BJ16" s="17"/>
      <c r="BK16" s="17"/>
      <c r="BL16" s="17"/>
      <c r="BM16" s="59"/>
      <c r="BN16" s="120"/>
      <c r="BO16" s="37"/>
      <c r="BP16" s="37"/>
      <c r="BQ16" s="6"/>
      <c r="BR16" s="6"/>
      <c r="BS16" s="6"/>
      <c r="BT16" s="6"/>
      <c r="BU16" s="6"/>
      <c r="BV16" s="6"/>
      <c r="BW16" s="2"/>
      <c r="CB16" s="180"/>
      <c r="CC16" s="2"/>
      <c r="CD16" s="156"/>
      <c r="CE16" s="24"/>
      <c r="CF16" s="24"/>
      <c r="CG16" s="43"/>
      <c r="CH16" s="6"/>
      <c r="CI16" s="9"/>
      <c r="CJ16" s="16"/>
      <c r="CM16" s="33"/>
      <c r="CN16" s="33"/>
      <c r="CO16" s="16"/>
      <c r="CP16" s="16"/>
      <c r="CQ16" s="16"/>
      <c r="CR16" s="16"/>
      <c r="CS16" s="16"/>
      <c r="CT16" s="16"/>
      <c r="CW16" s="16"/>
      <c r="CX16" s="16"/>
      <c r="CZ16" s="16"/>
      <c r="DA16" s="19"/>
      <c r="DB16" s="361"/>
      <c r="DC16" s="181"/>
    </row>
    <row r="17" spans="1:107" s="5" customFormat="1" ht="19.5" customHeight="1" x14ac:dyDescent="0.25">
      <c r="A17" s="754"/>
      <c r="B17" s="755"/>
      <c r="C17" s="755"/>
      <c r="D17" s="755"/>
      <c r="E17" s="755"/>
      <c r="F17" s="756"/>
      <c r="G17" s="62"/>
      <c r="H17" s="63"/>
      <c r="I17" s="16"/>
      <c r="J17" s="16"/>
      <c r="K17" s="16"/>
      <c r="L17" s="194"/>
      <c r="M17" s="192" t="s">
        <v>174</v>
      </c>
      <c r="N17" s="355">
        <v>5</v>
      </c>
      <c r="O17" s="155"/>
      <c r="P17" s="166"/>
      <c r="Q17" s="693"/>
      <c r="R17" s="694"/>
      <c r="S17" s="694"/>
      <c r="T17" s="694"/>
      <c r="U17" s="694"/>
      <c r="V17" s="694"/>
      <c r="W17" s="694"/>
      <c r="X17" s="695"/>
      <c r="Z17" s="745"/>
      <c r="AA17" s="746"/>
      <c r="AB17" s="746"/>
      <c r="AC17" s="746"/>
      <c r="AD17" s="746"/>
      <c r="AE17" s="746"/>
      <c r="AF17" s="746"/>
      <c r="AG17" s="746"/>
      <c r="AH17" s="747"/>
      <c r="AK17" s="180"/>
      <c r="AL17" s="2"/>
      <c r="AM17" s="155"/>
      <c r="AQ17" s="64" t="s">
        <v>184</v>
      </c>
      <c r="AR17" s="65"/>
      <c r="AS17" s="65"/>
      <c r="AZ17" s="175"/>
      <c r="BA17" s="176"/>
      <c r="BB17" s="17"/>
      <c r="BC17" s="17"/>
      <c r="BD17" s="17"/>
      <c r="BF17" s="51"/>
      <c r="BG17" s="356"/>
      <c r="BH17" s="356"/>
      <c r="BI17" s="9"/>
      <c r="BJ17" s="17"/>
      <c r="BK17" s="17"/>
      <c r="BL17" s="17"/>
      <c r="BM17" s="17"/>
      <c r="BN17" s="66"/>
      <c r="BO17" s="67"/>
      <c r="BP17" s="67"/>
      <c r="BQ17" s="68"/>
      <c r="BR17" s="69"/>
      <c r="BS17" s="6"/>
      <c r="BT17" s="70"/>
      <c r="BU17" s="6"/>
      <c r="BV17" s="6"/>
      <c r="BW17" s="6"/>
      <c r="BX17" s="6"/>
      <c r="BY17" s="2"/>
      <c r="BZ17" s="2"/>
      <c r="CA17" s="2"/>
      <c r="CB17" s="180"/>
      <c r="CC17" s="2"/>
      <c r="CD17" s="156"/>
      <c r="CE17" s="351"/>
      <c r="CF17" s="71"/>
      <c r="CG17" s="43"/>
      <c r="CH17" s="354"/>
      <c r="CI17" s="354"/>
      <c r="CJ17" s="16"/>
      <c r="CP17" s="16"/>
      <c r="CQ17" s="16"/>
      <c r="CR17" s="16"/>
      <c r="CS17" s="16"/>
      <c r="CT17" s="16"/>
      <c r="CU17" s="16"/>
      <c r="CV17" s="16"/>
      <c r="CW17" s="16"/>
      <c r="CX17" s="16"/>
      <c r="CZ17" s="16"/>
      <c r="DA17" s="19"/>
      <c r="DB17" s="367"/>
      <c r="DC17" s="181"/>
    </row>
    <row r="18" spans="1:107" s="5" customFormat="1" ht="19.5" customHeight="1" thickBot="1" x14ac:dyDescent="0.3">
      <c r="A18" s="754"/>
      <c r="B18" s="755"/>
      <c r="C18" s="755"/>
      <c r="D18" s="755"/>
      <c r="E18" s="755"/>
      <c r="F18" s="756"/>
      <c r="G18" s="62"/>
      <c r="H18" s="63"/>
      <c r="I18" s="16"/>
      <c r="J18" s="16"/>
      <c r="K18" s="17"/>
      <c r="M18" s="741" t="s">
        <v>181</v>
      </c>
      <c r="N18" s="741"/>
      <c r="O18" s="155"/>
      <c r="P18" s="166"/>
      <c r="Q18" s="696"/>
      <c r="R18" s="697"/>
      <c r="S18" s="697"/>
      <c r="T18" s="697"/>
      <c r="U18" s="697"/>
      <c r="V18" s="697"/>
      <c r="W18" s="697"/>
      <c r="X18" s="698"/>
      <c r="Z18" s="748"/>
      <c r="AA18" s="749"/>
      <c r="AB18" s="749"/>
      <c r="AC18" s="749"/>
      <c r="AD18" s="749"/>
      <c r="AE18" s="749"/>
      <c r="AF18" s="749"/>
      <c r="AG18" s="749"/>
      <c r="AH18" s="750"/>
      <c r="AK18" s="180"/>
      <c r="AL18" s="2"/>
      <c r="AM18" s="155"/>
      <c r="AZ18" s="175"/>
      <c r="BA18" s="176"/>
      <c r="BB18" s="36"/>
      <c r="BC18" s="17"/>
      <c r="BD18" s="17"/>
      <c r="BG18" s="17"/>
      <c r="BH18" s="17"/>
      <c r="BI18" s="17"/>
      <c r="BM18" s="186"/>
      <c r="BN18" s="177"/>
      <c r="BO18" s="14"/>
      <c r="BP18" s="14"/>
      <c r="BQ18" s="177"/>
      <c r="BR18" s="187"/>
      <c r="BT18" s="70"/>
      <c r="BU18" s="6"/>
      <c r="BV18" s="6"/>
      <c r="BW18" s="6"/>
      <c r="BX18" s="6"/>
      <c r="BY18" s="70"/>
      <c r="BZ18" s="73"/>
      <c r="CA18" s="6"/>
      <c r="CB18" s="180"/>
      <c r="CC18" s="2"/>
      <c r="CD18" s="156"/>
      <c r="CE18" s="23"/>
      <c r="CF18" s="71"/>
      <c r="CG18" s="43"/>
      <c r="CH18" s="354"/>
      <c r="CI18" s="354"/>
      <c r="CJ18" s="16"/>
      <c r="CK18" s="188"/>
      <c r="CP18" s="189"/>
      <c r="CQ18" s="9"/>
      <c r="CR18" s="16"/>
      <c r="CS18" s="16"/>
      <c r="CT18" s="16"/>
      <c r="CU18" s="16"/>
      <c r="CV18" s="16"/>
      <c r="CW18" s="16"/>
      <c r="CX18" s="16"/>
      <c r="CZ18" s="16"/>
      <c r="DA18" s="16"/>
      <c r="DB18" s="367"/>
      <c r="DC18" s="181"/>
    </row>
    <row r="19" spans="1:107" s="5" customFormat="1" ht="19.5" customHeight="1" thickBot="1" x14ac:dyDescent="0.3">
      <c r="A19" s="754"/>
      <c r="B19" s="755"/>
      <c r="C19" s="755"/>
      <c r="D19" s="755"/>
      <c r="E19" s="755"/>
      <c r="F19" s="756"/>
      <c r="G19" s="74"/>
      <c r="H19" s="63"/>
      <c r="I19" s="16"/>
      <c r="J19" s="16"/>
      <c r="K19" s="16"/>
      <c r="N19" s="357"/>
      <c r="O19" s="155"/>
      <c r="P19" s="166"/>
      <c r="S19" s="166"/>
      <c r="T19" s="166"/>
      <c r="U19" s="166"/>
      <c r="V19" s="166"/>
      <c r="W19" s="166"/>
      <c r="X19" s="166"/>
      <c r="AA19" s="349"/>
      <c r="AB19" s="349"/>
      <c r="AD19" s="16"/>
      <c r="AE19" s="349"/>
      <c r="AF19" s="349"/>
      <c r="AG19" s="16"/>
      <c r="AH19" s="16"/>
      <c r="AK19" s="180"/>
      <c r="AL19" s="2"/>
      <c r="AM19" s="155"/>
      <c r="AZ19" s="198"/>
      <c r="BA19" s="199"/>
      <c r="BB19" s="17" t="s">
        <v>186</v>
      </c>
      <c r="BC19" s="17"/>
      <c r="BD19" s="17"/>
      <c r="BG19" s="17"/>
      <c r="BH19" s="17"/>
      <c r="BI19" s="17"/>
      <c r="BJ19" s="17"/>
      <c r="BM19" s="186"/>
      <c r="BN19" s="177"/>
      <c r="BO19" s="14"/>
      <c r="BP19" s="14"/>
      <c r="BQ19" s="177"/>
      <c r="BR19" s="187"/>
      <c r="BS19" s="43"/>
      <c r="BT19" s="70"/>
      <c r="BU19" s="6"/>
      <c r="BV19" s="356"/>
      <c r="BW19" s="356"/>
      <c r="BX19" s="2"/>
      <c r="BY19" s="10"/>
      <c r="BZ19" s="19"/>
      <c r="CA19" s="6"/>
      <c r="CB19" s="180"/>
      <c r="CC19" s="2"/>
      <c r="CD19" s="156"/>
      <c r="CE19" s="71"/>
      <c r="CF19" s="71"/>
      <c r="CG19" s="43"/>
      <c r="CH19" s="358"/>
      <c r="CI19" s="358"/>
      <c r="CJ19" s="16"/>
      <c r="CK19" s="188"/>
      <c r="CP19" s="189"/>
      <c r="CQ19" s="9"/>
      <c r="CR19" s="16"/>
      <c r="CS19" s="16"/>
      <c r="CT19" s="16"/>
      <c r="CU19" s="16"/>
      <c r="CV19" s="16"/>
      <c r="CW19" s="16"/>
      <c r="CX19" s="16"/>
      <c r="CZ19" s="16"/>
      <c r="DA19" s="16"/>
      <c r="DB19" s="367"/>
      <c r="DC19" s="181"/>
    </row>
    <row r="20" spans="1:107" s="5" customFormat="1" ht="19.5" customHeight="1" thickBot="1" x14ac:dyDescent="0.3">
      <c r="A20" s="754"/>
      <c r="B20" s="755"/>
      <c r="C20" s="755"/>
      <c r="D20" s="755"/>
      <c r="E20" s="755"/>
      <c r="F20" s="756"/>
      <c r="G20" s="76"/>
      <c r="H20" s="63"/>
      <c r="I20" s="16"/>
      <c r="K20" s="9"/>
      <c r="N20" s="357"/>
      <c r="O20" s="155"/>
      <c r="P20" s="166"/>
      <c r="T20" s="173"/>
      <c r="U20" s="173"/>
      <c r="V20" s="173"/>
      <c r="W20" s="200"/>
      <c r="X20" s="182"/>
      <c r="AA20" s="349"/>
      <c r="AB20" s="349"/>
      <c r="AE20" s="349"/>
      <c r="AF20" s="349"/>
      <c r="AH20" s="16"/>
      <c r="AK20" s="180"/>
      <c r="AL20" s="2"/>
      <c r="AM20" s="155"/>
      <c r="AZ20" s="17"/>
      <c r="BA20" s="17"/>
      <c r="BB20" s="17"/>
      <c r="BC20" s="17"/>
      <c r="BD20" s="17"/>
      <c r="BG20" s="17"/>
      <c r="BH20" s="17"/>
      <c r="BI20" s="17"/>
      <c r="BJ20" s="17"/>
      <c r="BK20" s="9"/>
      <c r="BM20" s="186"/>
      <c r="BN20" s="177"/>
      <c r="BO20" s="14"/>
      <c r="BP20" s="14"/>
      <c r="BQ20" s="177"/>
      <c r="BR20" s="187"/>
      <c r="BS20" s="43"/>
      <c r="BU20" s="6"/>
      <c r="BV20" s="356"/>
      <c r="BW20" s="356"/>
      <c r="BX20" s="2"/>
      <c r="BY20" s="10"/>
      <c r="BZ20" s="19"/>
      <c r="CA20" s="6"/>
      <c r="CB20" s="180"/>
      <c r="CC20" s="2"/>
      <c r="CD20" s="156"/>
      <c r="CE20" s="71"/>
      <c r="CF20" s="71"/>
      <c r="CG20" s="43"/>
      <c r="CH20" s="358"/>
      <c r="CI20" s="358"/>
      <c r="CJ20" s="16"/>
      <c r="CM20" s="353"/>
      <c r="CN20" s="353"/>
      <c r="CQ20" s="8"/>
      <c r="CR20" s="16"/>
      <c r="CS20" s="16"/>
      <c r="CT20" s="16"/>
      <c r="CU20" s="16"/>
      <c r="CV20" s="16"/>
      <c r="CW20" s="16"/>
      <c r="CX20" s="16"/>
      <c r="CZ20" s="16"/>
      <c r="DA20" s="16"/>
      <c r="DB20" s="367"/>
      <c r="DC20" s="181"/>
    </row>
    <row r="21" spans="1:107" s="5" customFormat="1" ht="19.5" customHeight="1" x14ac:dyDescent="0.25">
      <c r="A21" s="754"/>
      <c r="B21" s="755"/>
      <c r="C21" s="755"/>
      <c r="D21" s="755"/>
      <c r="E21" s="755"/>
      <c r="F21" s="756"/>
      <c r="G21" s="78"/>
      <c r="H21" s="79"/>
      <c r="I21" s="16"/>
      <c r="J21" s="71"/>
      <c r="K21" s="9"/>
      <c r="N21" s="757" t="s">
        <v>187</v>
      </c>
      <c r="O21" s="758"/>
      <c r="P21" s="166"/>
      <c r="T21" s="200"/>
      <c r="U21" s="200"/>
      <c r="V21" s="200"/>
      <c r="W21" s="200"/>
      <c r="X21" s="200"/>
      <c r="AA21" s="349"/>
      <c r="AB21" s="349"/>
      <c r="AE21" s="349"/>
      <c r="AF21" s="349"/>
      <c r="AH21" s="16"/>
      <c r="AK21" s="180"/>
      <c r="AL21" s="2"/>
      <c r="AM21" s="155"/>
      <c r="AZ21" s="17"/>
      <c r="BA21" s="17"/>
      <c r="BB21" s="17"/>
      <c r="BC21" s="17"/>
      <c r="BD21" s="17"/>
      <c r="BE21" s="201" t="s">
        <v>188</v>
      </c>
      <c r="BF21" s="202"/>
      <c r="BG21" s="202"/>
      <c r="BH21" s="202"/>
      <c r="BI21" s="203"/>
      <c r="BM21" s="186"/>
      <c r="BN21" s="177"/>
      <c r="BO21" s="14"/>
      <c r="BP21" s="14"/>
      <c r="BQ21" s="177"/>
      <c r="BR21" s="187"/>
      <c r="BV21" s="356"/>
      <c r="BW21" s="356"/>
      <c r="BX21" s="2"/>
      <c r="BY21" s="2"/>
      <c r="BZ21" s="2"/>
      <c r="CA21" s="2"/>
      <c r="CB21" s="180"/>
      <c r="CC21" s="2"/>
      <c r="CD21" s="156"/>
      <c r="CE21" s="71"/>
      <c r="CF21" s="71"/>
      <c r="CG21" s="43"/>
      <c r="CH21" s="358"/>
      <c r="CI21" s="358"/>
      <c r="CJ21" s="16"/>
      <c r="CM21" s="353"/>
      <c r="CN21" s="353"/>
      <c r="CR21" s="16"/>
      <c r="CS21" s="16"/>
      <c r="CT21" s="16"/>
      <c r="CU21" s="16"/>
      <c r="CV21" s="16"/>
      <c r="CW21" s="16"/>
      <c r="CX21" s="16"/>
      <c r="CZ21" s="16"/>
      <c r="DA21" s="16"/>
      <c r="DC21" s="181"/>
    </row>
    <row r="22" spans="1:107" s="5" customFormat="1" ht="19.5" customHeight="1" thickBot="1" x14ac:dyDescent="0.3">
      <c r="A22" s="754"/>
      <c r="B22" s="755"/>
      <c r="C22" s="755"/>
      <c r="D22" s="755"/>
      <c r="E22" s="755"/>
      <c r="F22" s="756"/>
      <c r="G22" s="62"/>
      <c r="H22" s="63"/>
      <c r="I22" s="16"/>
      <c r="J22" s="71"/>
      <c r="K22" s="9"/>
      <c r="N22" s="759"/>
      <c r="O22" s="760"/>
      <c r="P22" s="166"/>
      <c r="T22" s="200"/>
      <c r="U22" s="200"/>
      <c r="V22" s="80"/>
      <c r="W22" s="80"/>
      <c r="X22" s="80"/>
      <c r="Z22" s="16"/>
      <c r="AA22" s="349"/>
      <c r="AB22" s="349"/>
      <c r="AC22" s="16"/>
      <c r="AE22" s="349"/>
      <c r="AF22" s="349"/>
      <c r="AK22" s="180"/>
      <c r="AL22" s="2"/>
      <c r="AM22" s="155"/>
      <c r="AZ22" s="80"/>
      <c r="BA22" s="17"/>
      <c r="BB22" s="17"/>
      <c r="BC22" s="17"/>
      <c r="BD22" s="17"/>
      <c r="BE22" s="205"/>
      <c r="BF22" s="167"/>
      <c r="BG22" s="167"/>
      <c r="BH22" s="167"/>
      <c r="BI22" s="206"/>
      <c r="BN22" s="37"/>
      <c r="BO22" s="67"/>
      <c r="BP22" s="67"/>
      <c r="BQ22" s="37"/>
      <c r="BV22" s="34"/>
      <c r="BW22" s="34"/>
      <c r="BY22" s="2"/>
      <c r="BZ22" s="2"/>
      <c r="CA22" s="2"/>
      <c r="CB22" s="180"/>
      <c r="CC22" s="2"/>
      <c r="CD22" s="156"/>
      <c r="CE22" s="23"/>
      <c r="CF22" s="23"/>
      <c r="CG22" s="43"/>
      <c r="CH22" s="6"/>
      <c r="CI22" s="6"/>
      <c r="CJ22" s="16"/>
      <c r="CM22" s="44"/>
      <c r="CN22" s="44"/>
      <c r="CP22" s="16"/>
      <c r="CR22" s="16"/>
      <c r="CS22" s="16"/>
      <c r="CT22" s="16"/>
      <c r="CU22" s="83"/>
      <c r="CV22" s="83"/>
      <c r="CW22" s="16"/>
      <c r="CX22" s="16"/>
      <c r="CZ22" s="16"/>
      <c r="DA22" s="16"/>
      <c r="DC22" s="181"/>
    </row>
    <row r="23" spans="1:107" s="5" customFormat="1" ht="19.5" customHeight="1" thickBot="1" x14ac:dyDescent="0.3">
      <c r="A23" s="754"/>
      <c r="B23" s="755"/>
      <c r="C23" s="755"/>
      <c r="D23" s="755"/>
      <c r="E23" s="755"/>
      <c r="F23" s="756"/>
      <c r="G23" s="62"/>
      <c r="H23" s="63"/>
      <c r="I23" s="16"/>
      <c r="J23" s="81"/>
      <c r="K23" s="16"/>
      <c r="N23" s="759"/>
      <c r="O23" s="760"/>
      <c r="P23" s="166"/>
      <c r="V23" s="173"/>
      <c r="W23" s="173"/>
      <c r="X23" s="173"/>
      <c r="Z23" s="16"/>
      <c r="AA23" s="349"/>
      <c r="AB23" s="349"/>
      <c r="AE23" s="349"/>
      <c r="AF23" s="349"/>
      <c r="AK23" s="180"/>
      <c r="AL23" s="2"/>
      <c r="AM23" s="155"/>
      <c r="AZ23" s="17"/>
      <c r="BA23" s="17"/>
      <c r="BB23" s="17"/>
      <c r="BC23" s="17"/>
      <c r="BD23" s="17"/>
      <c r="BE23" s="205"/>
      <c r="BF23" s="167"/>
      <c r="BG23" s="167"/>
      <c r="BH23" s="167"/>
      <c r="BI23" s="206"/>
      <c r="BO23" s="37"/>
      <c r="BP23" s="37"/>
      <c r="BV23" s="6"/>
      <c r="BW23" s="6"/>
      <c r="BY23" s="2"/>
      <c r="BZ23" s="2"/>
      <c r="CA23" s="2"/>
      <c r="CB23" s="180"/>
      <c r="CC23" s="2"/>
      <c r="CD23" s="159"/>
      <c r="CE23" s="763" t="s">
        <v>180</v>
      </c>
      <c r="CF23" s="764"/>
      <c r="CG23" s="764"/>
      <c r="CH23" s="764"/>
      <c r="CI23" s="765"/>
      <c r="CJ23" s="351"/>
      <c r="CM23" s="771"/>
      <c r="CN23" s="771"/>
      <c r="CR23" s="16"/>
      <c r="CS23" s="16"/>
      <c r="CT23" s="16"/>
      <c r="CU23" s="360"/>
      <c r="CV23" s="360"/>
      <c r="CW23" s="16"/>
      <c r="CX23" s="16"/>
      <c r="CZ23" s="16"/>
      <c r="DA23" s="16"/>
      <c r="DC23" s="181"/>
    </row>
    <row r="24" spans="1:107" s="5" customFormat="1" ht="19.5" customHeight="1" thickBot="1" x14ac:dyDescent="0.3">
      <c r="A24" s="204"/>
      <c r="B24" s="155"/>
      <c r="C24" s="55"/>
      <c r="D24" s="55"/>
      <c r="E24" s="55"/>
      <c r="F24" s="55"/>
      <c r="G24" s="685" t="s">
        <v>176</v>
      </c>
      <c r="H24" s="685"/>
      <c r="I24" s="86"/>
      <c r="J24" s="16"/>
      <c r="K24" s="16"/>
      <c r="N24" s="761"/>
      <c r="O24" s="762"/>
      <c r="P24" s="166"/>
      <c r="R24" s="166"/>
      <c r="S24" s="208"/>
      <c r="U24" s="173"/>
      <c r="V24" s="173"/>
      <c r="W24" s="173"/>
      <c r="X24" s="173"/>
      <c r="Z24" s="16"/>
      <c r="AA24" s="349"/>
      <c r="AB24" s="349"/>
      <c r="AE24" s="88"/>
      <c r="AF24" s="88"/>
      <c r="AK24" s="180"/>
      <c r="AL24" s="2"/>
      <c r="AM24" s="155"/>
      <c r="AZ24" s="17"/>
      <c r="BA24" s="17"/>
      <c r="BB24" s="17"/>
      <c r="BC24" s="17"/>
      <c r="BD24" s="17"/>
      <c r="BE24" s="205"/>
      <c r="BF24" s="167"/>
      <c r="BG24" s="167"/>
      <c r="BH24" s="167"/>
      <c r="BI24" s="206"/>
      <c r="BO24" s="33"/>
      <c r="BP24" s="33"/>
      <c r="BT24" s="2"/>
      <c r="BX24" s="2"/>
      <c r="BY24" s="2"/>
      <c r="BZ24" s="2"/>
      <c r="CA24" s="2"/>
      <c r="CB24" s="180"/>
      <c r="CC24" s="2"/>
      <c r="CD24" s="159"/>
      <c r="CE24" s="766"/>
      <c r="CF24" s="694"/>
      <c r="CG24" s="694"/>
      <c r="CH24" s="694"/>
      <c r="CI24" s="767"/>
      <c r="CJ24" s="351"/>
      <c r="CM24" s="16"/>
      <c r="CN24" s="16"/>
      <c r="CQ24" s="8"/>
      <c r="CR24" s="16"/>
      <c r="CS24" s="16"/>
      <c r="CT24" s="16"/>
      <c r="CU24" s="83"/>
      <c r="CV24" s="83"/>
      <c r="CW24" s="16"/>
      <c r="CX24" s="16"/>
      <c r="CZ24" s="16"/>
      <c r="DA24" s="16"/>
      <c r="DC24" s="181"/>
    </row>
    <row r="25" spans="1:107" s="5" customFormat="1" ht="19.5" customHeight="1" thickBot="1" x14ac:dyDescent="0.3">
      <c r="A25" s="155"/>
      <c r="E25" s="16"/>
      <c r="F25" s="22" t="s">
        <v>189</v>
      </c>
      <c r="G25" s="209"/>
      <c r="H25" s="209"/>
      <c r="I25" s="210" t="s">
        <v>190</v>
      </c>
      <c r="J25" s="16"/>
      <c r="K25" s="16"/>
      <c r="N25" s="155"/>
      <c r="O25" s="155"/>
      <c r="P25" s="166"/>
      <c r="R25" s="166"/>
      <c r="S25" s="173"/>
      <c r="T25" s="173"/>
      <c r="U25" s="173"/>
      <c r="V25" s="173"/>
      <c r="W25" s="173"/>
      <c r="X25" s="173"/>
      <c r="Z25" s="16"/>
      <c r="AA25" s="349"/>
      <c r="AB25" s="349"/>
      <c r="AE25" s="88"/>
      <c r="AF25" s="88"/>
      <c r="AK25" s="180"/>
      <c r="AL25" s="2"/>
      <c r="AM25" s="155"/>
      <c r="AZ25" s="91"/>
      <c r="BA25" s="17"/>
      <c r="BB25" s="17"/>
      <c r="BC25" s="17"/>
      <c r="BD25" s="17"/>
      <c r="BE25" s="211"/>
      <c r="BF25" s="212"/>
      <c r="BG25" s="212"/>
      <c r="BH25" s="212"/>
      <c r="BI25" s="213"/>
      <c r="BT25" s="19"/>
      <c r="BU25" s="18"/>
      <c r="BV25" s="83"/>
      <c r="BW25" s="83"/>
      <c r="BX25" s="2"/>
      <c r="BY25" s="2"/>
      <c r="BZ25" s="2"/>
      <c r="CA25" s="88"/>
      <c r="CB25" s="180"/>
      <c r="CC25" s="2"/>
      <c r="CD25" s="159"/>
      <c r="CE25" s="766"/>
      <c r="CF25" s="694"/>
      <c r="CG25" s="694"/>
      <c r="CH25" s="694"/>
      <c r="CI25" s="767"/>
      <c r="CJ25" s="351"/>
      <c r="CM25" s="16"/>
      <c r="CN25" s="16"/>
      <c r="CQ25" s="8"/>
      <c r="CR25" s="16"/>
      <c r="CS25" s="16"/>
      <c r="CT25" s="16"/>
      <c r="CU25" s="360"/>
      <c r="CV25" s="360"/>
      <c r="CW25" s="16"/>
      <c r="CX25" s="16"/>
      <c r="DA25" s="16"/>
      <c r="DC25" s="181"/>
    </row>
    <row r="26" spans="1:107" s="5" customFormat="1" ht="19.5" customHeight="1" thickBot="1" x14ac:dyDescent="0.3">
      <c r="A26" s="155"/>
      <c r="B26" s="685" t="s">
        <v>176</v>
      </c>
      <c r="C26" s="685"/>
      <c r="E26" s="214"/>
      <c r="F26" s="171" t="s">
        <v>171</v>
      </c>
      <c r="G26" s="362">
        <v>25</v>
      </c>
      <c r="H26" s="363">
        <v>25</v>
      </c>
      <c r="I26" s="171" t="s">
        <v>171</v>
      </c>
      <c r="J26" s="215"/>
      <c r="K26" s="16"/>
      <c r="N26" s="16"/>
      <c r="O26" s="155"/>
      <c r="P26" s="166"/>
      <c r="R26" s="173"/>
      <c r="S26" s="173"/>
      <c r="T26" s="173"/>
      <c r="U26" s="173"/>
      <c r="V26" s="173"/>
      <c r="W26" s="173"/>
      <c r="X26" s="173"/>
      <c r="Z26" s="16"/>
      <c r="AA26" s="16"/>
      <c r="AB26" s="403"/>
      <c r="AH26" s="16"/>
      <c r="AK26" s="180"/>
      <c r="AL26" s="2"/>
      <c r="AM26" s="155"/>
      <c r="AZ26" s="93"/>
      <c r="BA26" s="17"/>
      <c r="BB26" s="17"/>
      <c r="BC26" s="17"/>
      <c r="BD26" s="17"/>
      <c r="BE26" s="2"/>
      <c r="BF26" s="2"/>
      <c r="BG26" s="2"/>
      <c r="BH26" s="2"/>
      <c r="BL26" s="9"/>
      <c r="BO26" s="365"/>
      <c r="BP26" s="365"/>
      <c r="BQ26" s="16"/>
      <c r="BT26" s="2"/>
      <c r="BU26" s="19"/>
      <c r="BV26" s="360"/>
      <c r="BW26" s="360"/>
      <c r="BX26" s="2"/>
      <c r="BY26" s="2"/>
      <c r="BZ26" s="2"/>
      <c r="CA26" s="366"/>
      <c r="CB26" s="180"/>
      <c r="CC26" s="2"/>
      <c r="CD26" s="159"/>
      <c r="CE26" s="766"/>
      <c r="CF26" s="694"/>
      <c r="CG26" s="694"/>
      <c r="CH26" s="694"/>
      <c r="CI26" s="767"/>
      <c r="CJ26" s="351"/>
      <c r="CM26" s="716" t="s">
        <v>191</v>
      </c>
      <c r="CN26" s="716"/>
      <c r="CR26" s="16"/>
      <c r="CS26" s="16"/>
      <c r="CX26" s="16"/>
      <c r="CZ26" s="16"/>
      <c r="DA26" s="16"/>
      <c r="DB26" s="367"/>
      <c r="DC26" s="181"/>
    </row>
    <row r="27" spans="1:107" s="5" customFormat="1" ht="19.5" customHeight="1" x14ac:dyDescent="0.25">
      <c r="A27" s="155"/>
      <c r="B27" s="304">
        <v>25</v>
      </c>
      <c r="C27" s="171" t="s">
        <v>171</v>
      </c>
      <c r="D27" s="215"/>
      <c r="E27" s="216"/>
      <c r="F27" s="216"/>
      <c r="G27" s="209"/>
      <c r="H27" s="209"/>
      <c r="I27" s="216"/>
      <c r="J27" s="216"/>
      <c r="K27" s="16"/>
      <c r="N27" s="16"/>
      <c r="O27" s="155"/>
      <c r="P27" s="166"/>
      <c r="Q27" s="166"/>
      <c r="R27" s="173"/>
      <c r="S27" s="173"/>
      <c r="T27" s="173"/>
      <c r="U27" s="173"/>
      <c r="V27" s="173"/>
      <c r="W27" s="173"/>
      <c r="X27" s="173"/>
      <c r="Z27" s="16"/>
      <c r="AA27" s="89"/>
      <c r="AB27" s="90"/>
      <c r="AE27" s="88"/>
      <c r="AF27" s="88"/>
      <c r="AK27" s="180"/>
      <c r="AL27" s="2"/>
      <c r="AM27" s="155"/>
      <c r="AZ27" s="217"/>
      <c r="BA27" s="169"/>
      <c r="BB27" s="17"/>
      <c r="BC27" s="17"/>
      <c r="BD27" s="17"/>
      <c r="BE27" s="2"/>
      <c r="BF27" s="2"/>
      <c r="BG27" s="2"/>
      <c r="BH27" s="2"/>
      <c r="BI27" s="2"/>
      <c r="BJ27" s="2"/>
      <c r="BL27" s="2"/>
      <c r="BM27" s="96"/>
      <c r="BO27" s="275"/>
      <c r="BP27" s="275"/>
      <c r="BQ27" s="16"/>
      <c r="BT27" s="2"/>
      <c r="BU27" s="9"/>
      <c r="BV27" s="89"/>
      <c r="BW27" s="89"/>
      <c r="BX27" s="2"/>
      <c r="BY27" s="2"/>
      <c r="BZ27" s="2"/>
      <c r="CA27" s="88"/>
      <c r="CB27" s="180"/>
      <c r="CC27" s="2"/>
      <c r="CD27" s="159"/>
      <c r="CE27" s="766"/>
      <c r="CF27" s="694"/>
      <c r="CG27" s="694"/>
      <c r="CH27" s="694"/>
      <c r="CI27" s="767"/>
      <c r="CJ27" s="351"/>
      <c r="CL27" s="22" t="s">
        <v>192</v>
      </c>
      <c r="CM27" s="218"/>
      <c r="CN27" s="218"/>
      <c r="CO27" s="207" t="s">
        <v>190</v>
      </c>
      <c r="CR27" s="16"/>
      <c r="CS27" s="16"/>
      <c r="CX27" s="16"/>
      <c r="CZ27" s="16"/>
      <c r="DA27" s="16"/>
      <c r="DB27" s="367"/>
      <c r="DC27" s="181"/>
    </row>
    <row r="28" spans="1:107" s="5" customFormat="1" ht="19.5" customHeight="1" thickBot="1" x14ac:dyDescent="0.3">
      <c r="A28" s="155"/>
      <c r="B28" s="97"/>
      <c r="C28" s="22"/>
      <c r="E28" s="214"/>
      <c r="F28" s="171" t="s">
        <v>171</v>
      </c>
      <c r="G28" s="363">
        <v>25</v>
      </c>
      <c r="H28" s="363">
        <v>25</v>
      </c>
      <c r="I28" s="171" t="s">
        <v>171</v>
      </c>
      <c r="J28" s="215"/>
      <c r="K28" s="16"/>
      <c r="N28" s="16"/>
      <c r="O28" s="155"/>
      <c r="P28" s="166"/>
      <c r="Q28" s="166"/>
      <c r="R28" s="166"/>
      <c r="S28" s="173"/>
      <c r="T28" s="173"/>
      <c r="U28" s="173"/>
      <c r="V28" s="173"/>
      <c r="W28" s="173"/>
      <c r="X28" s="9"/>
      <c r="Z28" s="16"/>
      <c r="AA28" s="364"/>
      <c r="AB28" s="90"/>
      <c r="AE28" s="366"/>
      <c r="AF28" s="366"/>
      <c r="AH28" s="16"/>
      <c r="AK28" s="180"/>
      <c r="AL28" s="2"/>
      <c r="AM28" s="155"/>
      <c r="AZ28" s="175"/>
      <c r="BA28" s="176"/>
      <c r="BB28" s="17"/>
      <c r="BC28" s="17"/>
      <c r="BD28" s="17"/>
      <c r="BE28" s="2"/>
      <c r="BF28" s="2"/>
      <c r="BG28" s="2"/>
      <c r="BH28" s="2"/>
      <c r="BI28" s="2"/>
      <c r="BJ28" s="2"/>
      <c r="BM28" s="96"/>
      <c r="BQ28" s="16"/>
      <c r="BV28" s="364"/>
      <c r="BW28" s="364"/>
      <c r="BX28" s="2"/>
      <c r="BY28" s="2"/>
      <c r="BZ28" s="2"/>
      <c r="CA28" s="2"/>
      <c r="CB28" s="180"/>
      <c r="CC28" s="2"/>
      <c r="CD28" s="159"/>
      <c r="CE28" s="768"/>
      <c r="CF28" s="769"/>
      <c r="CG28" s="769"/>
      <c r="CH28" s="769"/>
      <c r="CI28" s="770"/>
      <c r="CJ28" s="351"/>
      <c r="CL28" s="220" t="s">
        <v>194</v>
      </c>
      <c r="CM28" s="363">
        <v>10</v>
      </c>
      <c r="CN28" s="363">
        <v>10</v>
      </c>
      <c r="CO28" s="220" t="s">
        <v>194</v>
      </c>
      <c r="CQ28" s="16"/>
      <c r="CR28" s="16"/>
      <c r="CS28" s="16"/>
      <c r="CX28" s="16"/>
      <c r="CZ28" s="16"/>
      <c r="DA28" s="16"/>
      <c r="DB28" s="367"/>
      <c r="DC28" s="181"/>
    </row>
    <row r="29" spans="1:107" s="5" customFormat="1" ht="19.5" customHeight="1" thickBot="1" x14ac:dyDescent="0.3">
      <c r="A29" s="155"/>
      <c r="B29" s="97"/>
      <c r="E29" s="216"/>
      <c r="F29" s="216"/>
      <c r="G29" s="209"/>
      <c r="H29" s="209"/>
      <c r="I29" s="216"/>
      <c r="J29" s="216"/>
      <c r="K29" s="98"/>
      <c r="N29" s="356"/>
      <c r="O29" s="155"/>
      <c r="P29" s="166"/>
      <c r="Q29" s="166"/>
      <c r="R29" s="166"/>
      <c r="S29" s="173"/>
      <c r="T29" s="173"/>
      <c r="U29" s="173"/>
      <c r="V29" s="173"/>
      <c r="W29" s="173"/>
      <c r="X29" s="9"/>
      <c r="Z29" s="16"/>
      <c r="AA29" s="364"/>
      <c r="AB29" s="90"/>
      <c r="AE29" s="366"/>
      <c r="AF29" s="366"/>
      <c r="AH29" s="16"/>
      <c r="AK29" s="180"/>
      <c r="AL29" s="2"/>
      <c r="AM29" s="155"/>
      <c r="AZ29" s="175"/>
      <c r="BA29" s="176"/>
      <c r="BB29" s="17"/>
      <c r="BC29" s="17"/>
      <c r="BE29" s="2"/>
      <c r="BF29" s="2"/>
      <c r="BG29" s="2"/>
      <c r="BH29" s="2"/>
      <c r="BI29" s="2"/>
      <c r="BJ29" s="2"/>
      <c r="BL29" s="19"/>
      <c r="BM29" s="2"/>
      <c r="BV29"/>
      <c r="BW29"/>
      <c r="BX29" s="2"/>
      <c r="BY29" s="2"/>
      <c r="BZ29" s="2"/>
      <c r="CA29" s="2"/>
      <c r="CB29" s="180"/>
      <c r="CC29" s="2"/>
      <c r="CD29" s="159"/>
      <c r="CE29" s="365"/>
      <c r="CF29" s="16"/>
      <c r="CG29" s="16"/>
      <c r="CJ29" s="16"/>
      <c r="CL29" s="220" t="s">
        <v>194</v>
      </c>
      <c r="CM29" s="362">
        <v>10</v>
      </c>
      <c r="CN29" s="362">
        <v>10</v>
      </c>
      <c r="CO29" s="220" t="s">
        <v>194</v>
      </c>
      <c r="CS29" s="16"/>
      <c r="CT29" s="16"/>
      <c r="CU29" s="368"/>
      <c r="CV29" s="368"/>
      <c r="CW29" s="16"/>
      <c r="CX29" s="16"/>
      <c r="CZ29" s="16"/>
      <c r="DA29" s="16"/>
      <c r="DB29" s="367"/>
      <c r="DC29" s="181"/>
    </row>
    <row r="30" spans="1:107" s="5" customFormat="1" ht="19.5" customHeight="1" thickBot="1" x14ac:dyDescent="0.3">
      <c r="A30" s="155"/>
      <c r="B30" s="97"/>
      <c r="E30" s="214"/>
      <c r="F30" s="171" t="s">
        <v>171</v>
      </c>
      <c r="G30" s="362">
        <v>25</v>
      </c>
      <c r="H30" s="363">
        <v>25</v>
      </c>
      <c r="I30" s="171" t="s">
        <v>171</v>
      </c>
      <c r="J30" s="215"/>
      <c r="K30" s="16"/>
      <c r="N30" s="356"/>
      <c r="O30" s="155"/>
      <c r="P30" s="722" t="s">
        <v>169</v>
      </c>
      <c r="Q30" s="723"/>
      <c r="R30" s="723"/>
      <c r="S30" s="202"/>
      <c r="T30" s="202"/>
      <c r="U30" s="202"/>
      <c r="V30" s="202"/>
      <c r="W30" s="203"/>
      <c r="X30" s="16"/>
      <c r="Y30" s="16"/>
      <c r="AA30" s="364"/>
      <c r="AB30" s="90"/>
      <c r="AE30" s="726"/>
      <c r="AF30" s="726"/>
      <c r="AH30" s="16"/>
      <c r="AJ30" s="48"/>
      <c r="AK30" s="180"/>
      <c r="AL30" s="2"/>
      <c r="AM30" s="155"/>
      <c r="AZ30" s="198"/>
      <c r="BA30" s="199"/>
      <c r="BB30" s="2"/>
      <c r="BC30" s="17"/>
      <c r="BE30" s="2"/>
      <c r="BF30" s="2"/>
      <c r="BG30" s="2"/>
      <c r="BH30" s="2"/>
      <c r="BI30" s="2"/>
      <c r="BJ30" s="2"/>
      <c r="BL30" s="67"/>
      <c r="BM30" s="99"/>
      <c r="BT30" s="2"/>
      <c r="BU30" s="2"/>
      <c r="BV30"/>
      <c r="BW30"/>
      <c r="BX30" s="2"/>
      <c r="BY30" s="2"/>
      <c r="BZ30" s="2"/>
      <c r="CA30" s="2"/>
      <c r="CB30" s="160"/>
      <c r="CC30" s="2"/>
      <c r="CD30" s="159"/>
      <c r="CE30" s="365"/>
      <c r="CF30" s="16"/>
      <c r="CH30" s="727" t="s">
        <v>195</v>
      </c>
      <c r="CI30" s="727"/>
      <c r="CJ30" s="16"/>
      <c r="CL30" s="220" t="s">
        <v>194</v>
      </c>
      <c r="CM30" s="387">
        <v>10</v>
      </c>
      <c r="CN30" s="387">
        <v>10</v>
      </c>
      <c r="CO30" s="220" t="s">
        <v>194</v>
      </c>
      <c r="CS30" s="16"/>
      <c r="CT30" s="16"/>
      <c r="CU30" s="368"/>
      <c r="CV30" s="368"/>
      <c r="CZ30" s="16"/>
      <c r="DA30" s="16"/>
      <c r="DB30" s="16"/>
      <c r="DC30" s="160"/>
    </row>
    <row r="31" spans="1:107" s="5" customFormat="1" ht="19.5" customHeight="1" thickBot="1" x14ac:dyDescent="0.3">
      <c r="A31" s="155"/>
      <c r="B31" s="97"/>
      <c r="C31" s="29"/>
      <c r="E31" s="16"/>
      <c r="F31" s="16"/>
      <c r="G31" s="209"/>
      <c r="H31" s="209"/>
      <c r="I31" s="216"/>
      <c r="J31" s="216"/>
      <c r="K31" s="98"/>
      <c r="N31" s="356"/>
      <c r="O31" s="155"/>
      <c r="P31" s="724"/>
      <c r="Q31" s="725"/>
      <c r="R31" s="725"/>
      <c r="S31" s="167"/>
      <c r="T31" s="167"/>
      <c r="U31" s="167"/>
      <c r="V31" s="167"/>
      <c r="W31" s="206"/>
      <c r="X31" s="9"/>
      <c r="Z31" s="22" t="s">
        <v>196</v>
      </c>
      <c r="AA31" s="165"/>
      <c r="AB31" s="165"/>
      <c r="AC31" s="16"/>
      <c r="AE31" s="356"/>
      <c r="AF31" s="356"/>
      <c r="AH31" s="16"/>
      <c r="AI31" s="18"/>
      <c r="AK31" s="160"/>
      <c r="AL31" s="2"/>
      <c r="AM31" s="155"/>
      <c r="AZ31" s="17"/>
      <c r="BA31" s="17"/>
      <c r="BB31" s="71"/>
      <c r="BC31" s="17"/>
      <c r="BE31" s="2"/>
      <c r="BF31" s="2"/>
      <c r="BG31" s="2"/>
      <c r="BH31" s="2"/>
      <c r="BI31" s="2"/>
      <c r="BJ31" s="2"/>
      <c r="BL31" s="2"/>
      <c r="BM31" s="96"/>
      <c r="BO31" s="353"/>
      <c r="BP31" s="353"/>
      <c r="BV31" s="16"/>
      <c r="BW31" s="16"/>
      <c r="BX31" s="2"/>
      <c r="BY31" s="2"/>
      <c r="CA31" s="412"/>
      <c r="CB31" s="180"/>
      <c r="CC31" s="2"/>
      <c r="CD31" s="159"/>
      <c r="CE31" s="414"/>
      <c r="CF31" s="102"/>
      <c r="CG31" s="22" t="s">
        <v>197</v>
      </c>
      <c r="CH31" s="222"/>
      <c r="CI31" s="222"/>
      <c r="CL31" s="220" t="s">
        <v>194</v>
      </c>
      <c r="CM31" s="362">
        <v>10</v>
      </c>
      <c r="CN31" s="362">
        <v>10</v>
      </c>
      <c r="CO31" s="220" t="s">
        <v>194</v>
      </c>
      <c r="CS31" s="16"/>
      <c r="CT31" s="16"/>
      <c r="CU31" s="368"/>
      <c r="CV31" s="368"/>
      <c r="CW31" s="16"/>
      <c r="CZ31" s="16"/>
      <c r="DA31" s="16"/>
      <c r="DB31" s="29"/>
      <c r="DC31" s="181"/>
    </row>
    <row r="32" spans="1:107" s="5" customFormat="1" ht="19.5" customHeight="1" x14ac:dyDescent="0.25">
      <c r="A32" s="155"/>
      <c r="B32" s="100"/>
      <c r="C32" s="13"/>
      <c r="D32" s="187"/>
      <c r="E32" s="16"/>
      <c r="F32" s="16"/>
      <c r="G32" s="685" t="s">
        <v>191</v>
      </c>
      <c r="H32" s="685"/>
      <c r="I32" s="216"/>
      <c r="J32" s="216"/>
      <c r="K32" s="16"/>
      <c r="L32" s="16"/>
      <c r="N32" s="356"/>
      <c r="O32" s="155"/>
      <c r="P32" s="724"/>
      <c r="Q32" s="725"/>
      <c r="R32" s="725"/>
      <c r="S32" s="167"/>
      <c r="T32" s="167"/>
      <c r="U32" s="167"/>
      <c r="V32" s="167"/>
      <c r="W32" s="206"/>
      <c r="X32" s="9"/>
      <c r="Y32" s="186"/>
      <c r="Z32" s="172" t="s">
        <v>174</v>
      </c>
      <c r="AA32" s="369">
        <v>5</v>
      </c>
      <c r="AB32" s="370">
        <v>5</v>
      </c>
      <c r="AC32" s="172" t="s">
        <v>174</v>
      </c>
      <c r="AD32" s="187"/>
      <c r="AE32" s="356"/>
      <c r="AF32" s="356"/>
      <c r="AI32" s="702" t="s">
        <v>168</v>
      </c>
      <c r="AJ32" s="703"/>
      <c r="AK32" s="180"/>
      <c r="AL32" s="2"/>
      <c r="AM32" s="155"/>
      <c r="AZ32" s="70"/>
      <c r="BA32" s="17"/>
      <c r="BC32" s="17"/>
      <c r="BE32" s="2"/>
      <c r="BF32" s="2"/>
      <c r="BG32" s="356"/>
      <c r="BH32" s="356"/>
      <c r="BI32" s="16"/>
      <c r="BK32" s="16"/>
      <c r="BM32" s="96"/>
      <c r="BO32" s="353"/>
      <c r="BP32" s="353"/>
      <c r="BQ32" s="16"/>
      <c r="BY32" s="2"/>
      <c r="BZ32" s="2"/>
      <c r="CA32" s="364"/>
      <c r="CB32" s="180"/>
      <c r="CC32" s="2"/>
      <c r="CD32" s="159"/>
      <c r="CE32" s="16"/>
      <c r="CF32" s="186"/>
      <c r="CG32" s="223" t="s">
        <v>174</v>
      </c>
      <c r="CH32" s="371">
        <v>5</v>
      </c>
      <c r="CI32" s="371">
        <v>5</v>
      </c>
      <c r="CJ32" s="223" t="s">
        <v>174</v>
      </c>
      <c r="CK32" s="187"/>
      <c r="CL32" s="16"/>
      <c r="CM32" s="218"/>
      <c r="CN32" s="218"/>
      <c r="CO32" s="16"/>
      <c r="CQ32" s="16"/>
      <c r="CS32" s="16"/>
      <c r="CW32" s="16"/>
      <c r="CX32" s="16"/>
      <c r="CZ32" s="37"/>
      <c r="DA32" s="29"/>
      <c r="DB32" s="19"/>
      <c r="DC32" s="181"/>
    </row>
    <row r="33" spans="1:120" s="5" customFormat="1" ht="19.5" customHeight="1" x14ac:dyDescent="0.25">
      <c r="A33" s="155"/>
      <c r="B33" s="372"/>
      <c r="C33" s="103"/>
      <c r="E33" s="104"/>
      <c r="F33" s="22" t="s">
        <v>198</v>
      </c>
      <c r="G33" s="225"/>
      <c r="H33" s="225"/>
      <c r="I33" s="216"/>
      <c r="J33" s="216"/>
      <c r="K33" s="98"/>
      <c r="L33" s="16"/>
      <c r="O33" s="155"/>
      <c r="P33" s="205"/>
      <c r="Q33" s="167"/>
      <c r="R33" s="167"/>
      <c r="S33" s="167"/>
      <c r="T33" s="167"/>
      <c r="U33" s="167"/>
      <c r="V33" s="167"/>
      <c r="W33" s="206"/>
      <c r="X33" s="16"/>
      <c r="AA33" s="165"/>
      <c r="AB33" s="165"/>
      <c r="AE33" s="356"/>
      <c r="AF33" s="356"/>
      <c r="AI33" s="704"/>
      <c r="AJ33" s="705"/>
      <c r="AK33" s="180"/>
      <c r="AL33" s="2"/>
      <c r="AM33" s="155"/>
      <c r="AZ33" s="48"/>
      <c r="BA33" s="48"/>
      <c r="BB33" s="96"/>
      <c r="BC33" s="17"/>
      <c r="BE33" s="2"/>
      <c r="BF33" s="2"/>
      <c r="BG33" s="356"/>
      <c r="BH33" s="356"/>
      <c r="BI33" s="16"/>
      <c r="BK33" s="16"/>
      <c r="BM33" s="9"/>
      <c r="BO33" s="353"/>
      <c r="BP33" s="353"/>
      <c r="BQ33" s="16"/>
      <c r="BY33" s="2"/>
      <c r="BZ33" s="2"/>
      <c r="CA33" s="364"/>
      <c r="CB33" s="180"/>
      <c r="CC33" s="2"/>
      <c r="CD33" s="159"/>
      <c r="CE33" s="360"/>
      <c r="CF33" s="188"/>
      <c r="CG33" s="223" t="s">
        <v>174</v>
      </c>
      <c r="CH33" s="371">
        <v>5</v>
      </c>
      <c r="CI33" s="371">
        <v>5</v>
      </c>
      <c r="CJ33" s="223" t="s">
        <v>174</v>
      </c>
      <c r="CK33" s="189"/>
      <c r="CQ33" s="16"/>
      <c r="CS33" s="16"/>
      <c r="CW33" s="16"/>
      <c r="CX33" s="16"/>
      <c r="CZ33" s="186"/>
      <c r="DA33" s="177"/>
      <c r="DB33" s="14"/>
      <c r="DC33" s="181"/>
    </row>
    <row r="34" spans="1:120" s="5" customFormat="1" ht="19.5" customHeight="1" x14ac:dyDescent="0.25">
      <c r="A34" s="155"/>
      <c r="B34" s="97"/>
      <c r="C34" s="13"/>
      <c r="E34" s="214"/>
      <c r="F34" s="226" t="s">
        <v>194</v>
      </c>
      <c r="G34" s="309">
        <v>10</v>
      </c>
      <c r="H34" s="309">
        <v>10</v>
      </c>
      <c r="I34" s="226" t="s">
        <v>194</v>
      </c>
      <c r="J34" s="215"/>
      <c r="K34" s="16"/>
      <c r="L34" s="16"/>
      <c r="N34" s="361"/>
      <c r="O34" s="155"/>
      <c r="P34" s="205"/>
      <c r="Q34" s="167"/>
      <c r="R34" s="167"/>
      <c r="S34" s="167"/>
      <c r="T34" s="167"/>
      <c r="U34" s="167"/>
      <c r="V34" s="167"/>
      <c r="W34" s="206"/>
      <c r="X34" s="9"/>
      <c r="Y34" s="81"/>
      <c r="AA34" s="717" t="s">
        <v>181</v>
      </c>
      <c r="AB34" s="717"/>
      <c r="AC34" s="186"/>
      <c r="AD34" s="16"/>
      <c r="AE34" s="37"/>
      <c r="AF34" s="37"/>
      <c r="AG34" s="16"/>
      <c r="AI34" s="704"/>
      <c r="AJ34" s="705"/>
      <c r="AK34" s="180"/>
      <c r="AL34" s="2"/>
      <c r="AM34" s="155"/>
      <c r="AZ34" s="227"/>
      <c r="BA34" s="227"/>
      <c r="BB34" s="96"/>
      <c r="BC34" s="96"/>
      <c r="BE34" s="2"/>
      <c r="BF34" s="2"/>
      <c r="BG34" s="356"/>
      <c r="BH34" s="356"/>
      <c r="BI34" s="16"/>
      <c r="BK34" s="16"/>
      <c r="BL34" s="19"/>
      <c r="BM34" s="2"/>
      <c r="BQ34" s="16"/>
      <c r="BY34" s="2"/>
      <c r="BZ34" s="2"/>
      <c r="CB34" s="180"/>
      <c r="CC34" s="2"/>
      <c r="CD34" s="159"/>
      <c r="CE34" s="360"/>
      <c r="CF34" s="188"/>
      <c r="CG34" s="223" t="s">
        <v>174</v>
      </c>
      <c r="CH34" s="371">
        <v>5</v>
      </c>
      <c r="CI34" s="371">
        <v>5</v>
      </c>
      <c r="CJ34" s="223" t="s">
        <v>174</v>
      </c>
      <c r="CK34" s="189"/>
      <c r="CS34" s="16"/>
      <c r="CT34" s="16"/>
      <c r="CW34" s="16"/>
      <c r="CX34" s="16"/>
      <c r="CZ34" s="186"/>
      <c r="DA34" s="177"/>
      <c r="DB34" s="14"/>
      <c r="DC34" s="181"/>
    </row>
    <row r="35" spans="1:120" s="5" customFormat="1" ht="19.5" customHeight="1" x14ac:dyDescent="0.25">
      <c r="A35" s="155"/>
      <c r="D35" s="105"/>
      <c r="E35" s="216"/>
      <c r="F35" s="216"/>
      <c r="G35" s="225"/>
      <c r="H35" s="225"/>
      <c r="I35" s="216"/>
      <c r="J35" s="215"/>
      <c r="K35" s="16"/>
      <c r="L35" s="16"/>
      <c r="N35" s="361"/>
      <c r="O35" s="155"/>
      <c r="P35" s="205"/>
      <c r="Q35" s="167"/>
      <c r="R35" s="167"/>
      <c r="S35" s="167"/>
      <c r="T35" s="167"/>
      <c r="U35" s="167"/>
      <c r="V35" s="167"/>
      <c r="W35" s="206"/>
      <c r="X35" s="9"/>
      <c r="Y35" s="9"/>
      <c r="AD35" s="37"/>
      <c r="AE35" s="67"/>
      <c r="AF35" s="67"/>
      <c r="AG35" s="37"/>
      <c r="AI35" s="704"/>
      <c r="AJ35" s="705"/>
      <c r="AK35" s="180"/>
      <c r="AL35" s="2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2"/>
      <c r="BC35" s="9"/>
      <c r="BD35" s="9"/>
      <c r="BE35" s="2"/>
      <c r="BF35" s="2"/>
      <c r="BG35" s="2"/>
      <c r="BH35" s="2"/>
      <c r="BI35" s="16"/>
      <c r="BK35" s="16"/>
      <c r="BL35" s="2"/>
      <c r="BM35" s="2"/>
      <c r="BO35" s="357"/>
      <c r="BP35" s="357"/>
      <c r="BQ35" s="16"/>
      <c r="BT35" s="9"/>
      <c r="BY35" s="2"/>
      <c r="CA35" s="360"/>
      <c r="CB35" s="160"/>
      <c r="CC35" s="2"/>
      <c r="CD35" s="159"/>
      <c r="CE35" s="360"/>
      <c r="CF35" s="16"/>
      <c r="CG35" s="16"/>
      <c r="CH35" s="228"/>
      <c r="CI35" s="228"/>
      <c r="CJ35" s="16"/>
      <c r="CK35" s="186"/>
      <c r="CP35" s="187"/>
      <c r="CS35" s="16"/>
      <c r="CU35" s="7"/>
      <c r="CV35" s="9"/>
      <c r="CW35" s="16"/>
      <c r="CX35" s="16"/>
      <c r="CZ35" s="186"/>
      <c r="DA35" s="177"/>
      <c r="DB35" s="14"/>
      <c r="DC35" s="160"/>
    </row>
    <row r="36" spans="1:120" s="5" customFormat="1" ht="19.5" customHeight="1" x14ac:dyDescent="0.25">
      <c r="A36" s="155"/>
      <c r="E36" s="214"/>
      <c r="F36" s="226" t="s">
        <v>194</v>
      </c>
      <c r="G36" s="374">
        <v>10</v>
      </c>
      <c r="H36" s="374">
        <v>10</v>
      </c>
      <c r="I36" s="226" t="s">
        <v>194</v>
      </c>
      <c r="J36" s="215"/>
      <c r="K36" s="229"/>
      <c r="L36" s="16"/>
      <c r="O36" s="155"/>
      <c r="P36" s="205"/>
      <c r="Q36" s="167"/>
      <c r="R36" s="167"/>
      <c r="S36" s="167"/>
      <c r="T36" s="167"/>
      <c r="U36" s="167"/>
      <c r="V36" s="167"/>
      <c r="W36" s="206"/>
      <c r="X36" s="9"/>
      <c r="AD36" s="177"/>
      <c r="AE36" s="106"/>
      <c r="AF36" s="106"/>
      <c r="AG36" s="177"/>
      <c r="AH36" s="187"/>
      <c r="AI36" s="704"/>
      <c r="AJ36" s="705"/>
      <c r="AK36" s="160"/>
      <c r="AL36" s="2"/>
      <c r="AM36" s="155"/>
      <c r="AN36" s="358"/>
      <c r="AO36" s="71"/>
      <c r="AP36" s="357"/>
      <c r="AQ36" s="71"/>
      <c r="AR36" s="230"/>
      <c r="AS36" s="375">
        <v>5</v>
      </c>
      <c r="AT36" s="230"/>
      <c r="AU36" s="375">
        <v>5</v>
      </c>
      <c r="AV36" s="230"/>
      <c r="AW36" s="375">
        <v>5</v>
      </c>
      <c r="AX36" s="230"/>
      <c r="AY36" s="375">
        <v>5</v>
      </c>
      <c r="AZ36" s="230"/>
      <c r="BA36" s="155"/>
      <c r="BB36" s="2"/>
      <c r="BC36" s="2"/>
      <c r="BD36" s="2"/>
      <c r="BE36" s="2"/>
      <c r="BF36" s="2"/>
      <c r="BG36" s="365"/>
      <c r="BH36" s="365"/>
      <c r="BK36" s="16"/>
      <c r="BL36" s="2"/>
      <c r="BM36" s="2"/>
      <c r="BO36" s="357"/>
      <c r="BP36" s="357"/>
      <c r="BQ36" s="16"/>
      <c r="BT36" s="9"/>
      <c r="BV36" s="366"/>
      <c r="BW36" s="366"/>
      <c r="BX36" s="2"/>
      <c r="BY36" s="2"/>
      <c r="BZ36" s="2"/>
      <c r="CA36" s="360"/>
      <c r="CB36" s="180"/>
      <c r="CC36" s="2"/>
      <c r="CD36" s="159"/>
      <c r="CE36" s="360"/>
      <c r="CF36" s="16"/>
      <c r="CG36" s="16"/>
      <c r="CH36" s="356"/>
      <c r="CI36" s="356"/>
      <c r="CJ36" s="16"/>
      <c r="CK36" s="186"/>
      <c r="CP36" s="187"/>
      <c r="CS36" s="16"/>
      <c r="CU36" s="13"/>
      <c r="CV36" s="13"/>
      <c r="CW36" s="16"/>
      <c r="CX36" s="16"/>
      <c r="CZ36" s="186"/>
      <c r="DA36" s="177"/>
      <c r="DB36" s="14"/>
      <c r="DC36" s="181"/>
    </row>
    <row r="37" spans="1:120" s="5" customFormat="1" ht="19.5" customHeight="1" x14ac:dyDescent="0.25">
      <c r="A37" s="155"/>
      <c r="E37" s="16"/>
      <c r="F37" s="16"/>
      <c r="G37" s="225"/>
      <c r="H37" s="225"/>
      <c r="J37" s="92"/>
      <c r="K37" s="98"/>
      <c r="L37" s="16"/>
      <c r="N37" s="356"/>
      <c r="O37" s="155"/>
      <c r="P37" s="205"/>
      <c r="Q37" s="167"/>
      <c r="R37" s="167"/>
      <c r="S37" s="167"/>
      <c r="T37" s="167"/>
      <c r="U37" s="167"/>
      <c r="V37" s="167"/>
      <c r="W37" s="206"/>
      <c r="X37" s="9"/>
      <c r="Y37" s="81"/>
      <c r="Z37" s="16"/>
      <c r="AA37" s="358"/>
      <c r="AB37" s="358"/>
      <c r="AC37" s="186"/>
      <c r="AD37" s="177"/>
      <c r="AE37" s="106"/>
      <c r="AF37" s="106"/>
      <c r="AG37" s="177"/>
      <c r="AH37" s="187"/>
      <c r="AI37" s="704"/>
      <c r="AJ37" s="705"/>
      <c r="AK37" s="180"/>
      <c r="AL37" s="2"/>
      <c r="AM37" s="155"/>
      <c r="AN37" s="17"/>
      <c r="AO37" s="71"/>
      <c r="AP37" s="406"/>
      <c r="AQ37" s="101"/>
      <c r="AR37" s="22" t="s">
        <v>199</v>
      </c>
      <c r="AS37" s="192" t="s">
        <v>174</v>
      </c>
      <c r="AU37" s="192" t="s">
        <v>174</v>
      </c>
      <c r="AV37" s="231"/>
      <c r="AW37" s="192" t="s">
        <v>174</v>
      </c>
      <c r="AX37" s="216"/>
      <c r="AY37" s="192" t="s">
        <v>174</v>
      </c>
      <c r="AZ37" s="17"/>
      <c r="BA37" s="155"/>
      <c r="BB37" s="17"/>
      <c r="BE37" s="2"/>
      <c r="BF37" s="2"/>
      <c r="BG37" s="365"/>
      <c r="BH37" s="365"/>
      <c r="BI37" s="71"/>
      <c r="BK37" s="16"/>
      <c r="BL37" s="2"/>
      <c r="BO37" s="357"/>
      <c r="BP37" s="357"/>
      <c r="BQ37" s="16"/>
      <c r="BT37" s="9"/>
      <c r="BU37" s="9"/>
      <c r="BV37" s="366"/>
      <c r="BW37" s="366"/>
      <c r="BX37" s="2"/>
      <c r="BY37" s="2"/>
      <c r="BZ37" s="2"/>
      <c r="CA37" s="360"/>
      <c r="CB37" s="180"/>
      <c r="CC37" s="2"/>
      <c r="CD37" s="159"/>
      <c r="CE37" s="376"/>
      <c r="CF37" s="16"/>
      <c r="CG37" s="16"/>
      <c r="CH37" s="356"/>
      <c r="CI37" s="356"/>
      <c r="CJ37" s="16"/>
      <c r="CK37" s="188"/>
      <c r="CP37" s="189"/>
      <c r="CT37" s="29"/>
      <c r="CU37" s="14"/>
      <c r="CV37" s="14"/>
      <c r="CW37" s="107"/>
      <c r="CZ37" s="186"/>
      <c r="DA37" s="177"/>
      <c r="DB37" s="14"/>
      <c r="DC37" s="181"/>
    </row>
    <row r="38" spans="1:120" s="5" customFormat="1" ht="19.5" customHeight="1" x14ac:dyDescent="0.25">
      <c r="A38" s="155"/>
      <c r="F38" s="94"/>
      <c r="G38" s="16"/>
      <c r="H38" s="688" t="s">
        <v>177</v>
      </c>
      <c r="I38" s="688"/>
      <c r="J38" s="16"/>
      <c r="K38" s="16"/>
      <c r="L38" s="16"/>
      <c r="N38" s="356"/>
      <c r="O38" s="155"/>
      <c r="P38" s="205"/>
      <c r="Q38" s="167"/>
      <c r="R38" s="167"/>
      <c r="S38" s="167"/>
      <c r="T38" s="167"/>
      <c r="U38" s="167"/>
      <c r="V38" s="167"/>
      <c r="W38" s="206"/>
      <c r="X38" s="16"/>
      <c r="Y38" s="9"/>
      <c r="AA38" s="718"/>
      <c r="AB38" s="718"/>
      <c r="AD38" s="37"/>
      <c r="AE38" s="67"/>
      <c r="AF38" s="67"/>
      <c r="AG38" s="37"/>
      <c r="AI38" s="704"/>
      <c r="AJ38" s="705"/>
      <c r="AK38" s="180"/>
      <c r="AL38" s="2"/>
      <c r="AM38" s="155"/>
      <c r="AN38" s="16"/>
      <c r="AO38" s="71"/>
      <c r="AP38" s="16"/>
      <c r="AQ38" s="16"/>
      <c r="AR38" s="16"/>
      <c r="AS38" s="177"/>
      <c r="AT38" s="231"/>
      <c r="AU38" s="177"/>
      <c r="AV38" s="231"/>
      <c r="AW38" s="177"/>
      <c r="AX38" s="232"/>
      <c r="AY38" s="177"/>
      <c r="AZ38" s="17"/>
      <c r="BA38" s="155"/>
      <c r="BB38" s="17"/>
      <c r="BE38" s="2"/>
      <c r="BF38" s="2"/>
      <c r="BG38" s="365"/>
      <c r="BH38" s="365"/>
      <c r="BI38" s="71"/>
      <c r="BK38" s="16"/>
      <c r="BL38" s="2"/>
      <c r="BO38" s="718"/>
      <c r="BP38" s="718"/>
      <c r="BQ38" s="16"/>
      <c r="BT38" s="9"/>
      <c r="BU38" s="9"/>
      <c r="BV38" s="349"/>
      <c r="BW38" s="349"/>
      <c r="BX38" s="2"/>
      <c r="BY38" s="2"/>
      <c r="BZ38" s="719"/>
      <c r="CA38" s="719"/>
      <c r="CB38" s="180"/>
      <c r="CC38" s="2"/>
      <c r="CD38" s="159"/>
      <c r="CE38" s="376"/>
      <c r="CF38" s="16"/>
      <c r="CG38" s="16"/>
      <c r="CH38" s="34"/>
      <c r="CI38" s="34"/>
      <c r="CJ38" s="16"/>
      <c r="CK38" s="188"/>
      <c r="CP38" s="189"/>
      <c r="CQ38" s="16"/>
      <c r="CS38" s="186"/>
      <c r="CT38" s="177"/>
      <c r="CU38" s="14"/>
      <c r="CV38" s="14"/>
      <c r="CW38" s="177"/>
      <c r="CX38" s="187"/>
      <c r="CZ38" s="186"/>
      <c r="DA38" s="177"/>
      <c r="DB38" s="14"/>
      <c r="DC38" s="181"/>
    </row>
    <row r="39" spans="1:120" s="5" customFormat="1" ht="19.5" customHeight="1" thickBot="1" x14ac:dyDescent="0.3">
      <c r="A39" s="155"/>
      <c r="F39" s="177"/>
      <c r="G39" s="177"/>
      <c r="H39" s="233"/>
      <c r="I39" s="17"/>
      <c r="J39" s="17"/>
      <c r="K39" s="17"/>
      <c r="L39" s="17"/>
      <c r="O39" s="155"/>
      <c r="P39" s="205"/>
      <c r="Q39" s="167"/>
      <c r="R39" s="167"/>
      <c r="S39" s="167"/>
      <c r="T39" s="167"/>
      <c r="U39" s="167"/>
      <c r="V39" s="167"/>
      <c r="W39" s="206"/>
      <c r="X39" s="9"/>
      <c r="Y39" s="16"/>
      <c r="AA39" s="34"/>
      <c r="AB39" s="34"/>
      <c r="AC39" s="16"/>
      <c r="AD39" s="16"/>
      <c r="AE39" s="37"/>
      <c r="AF39" s="37"/>
      <c r="AG39" s="16"/>
      <c r="AI39" s="714"/>
      <c r="AJ39" s="715"/>
      <c r="AK39" s="180"/>
      <c r="AL39" s="2"/>
      <c r="AM39" s="155"/>
      <c r="AN39" s="44"/>
      <c r="AO39" s="71"/>
      <c r="AP39" s="16"/>
      <c r="AQ39" s="16"/>
      <c r="AR39" s="16"/>
      <c r="AS39" s="720" t="s">
        <v>200</v>
      </c>
      <c r="AT39" s="720"/>
      <c r="AU39" s="720"/>
      <c r="AV39" s="720"/>
      <c r="AW39" s="720"/>
      <c r="AX39" s="720"/>
      <c r="AY39" s="720"/>
      <c r="AZ39" s="17"/>
      <c r="BA39" s="155"/>
      <c r="BB39" s="17"/>
      <c r="BE39" s="2"/>
      <c r="BF39" s="2"/>
      <c r="BG39" s="275"/>
      <c r="BH39" s="275"/>
      <c r="BI39" s="71"/>
      <c r="BK39" s="16"/>
      <c r="BL39" s="9"/>
      <c r="BM39" s="187"/>
      <c r="BO39" s="716" t="s">
        <v>181</v>
      </c>
      <c r="BP39" s="716"/>
      <c r="BT39" s="9"/>
      <c r="BU39" s="9"/>
      <c r="BV39" s="349"/>
      <c r="BW39" s="349"/>
      <c r="BX39" s="2"/>
      <c r="BY39" s="2"/>
      <c r="BZ39" s="2"/>
      <c r="CA39" s="2"/>
      <c r="CB39" s="180"/>
      <c r="CC39" s="2"/>
      <c r="CD39" s="159"/>
      <c r="CE39" s="376"/>
      <c r="CF39" s="16"/>
      <c r="CG39" s="16"/>
      <c r="CH39" s="721"/>
      <c r="CI39" s="721"/>
      <c r="CJ39" s="16"/>
      <c r="CK39" s="186"/>
      <c r="CP39" s="187"/>
      <c r="CS39" s="186"/>
      <c r="CT39" s="177"/>
      <c r="CU39" s="14"/>
      <c r="CV39" s="14"/>
      <c r="CW39" s="177"/>
      <c r="CX39" s="187"/>
      <c r="CZ39" s="115"/>
      <c r="DA39" s="68"/>
      <c r="DB39" s="19"/>
      <c r="DC39" s="181"/>
    </row>
    <row r="40" spans="1:120" s="5" customFormat="1" ht="19.5" customHeight="1" x14ac:dyDescent="0.25">
      <c r="A40" s="155"/>
      <c r="F40" s="177"/>
      <c r="G40" s="177"/>
      <c r="H40" s="234" t="s">
        <v>174</v>
      </c>
      <c r="I40" s="234" t="s">
        <v>174</v>
      </c>
      <c r="J40" s="22" t="s">
        <v>201</v>
      </c>
      <c r="K40" s="59"/>
      <c r="L40" s="59"/>
      <c r="O40" s="155"/>
      <c r="P40" s="205"/>
      <c r="Q40" s="167"/>
      <c r="R40" s="167"/>
      <c r="S40" s="167"/>
      <c r="T40" s="167"/>
      <c r="U40" s="167"/>
      <c r="V40" s="167"/>
      <c r="W40" s="206"/>
      <c r="X40" s="9"/>
      <c r="Y40" s="16"/>
      <c r="AA40" s="356"/>
      <c r="AB40" s="356"/>
      <c r="AI40" s="702" t="s">
        <v>202</v>
      </c>
      <c r="AJ40" s="703"/>
      <c r="AK40" s="180"/>
      <c r="AL40" s="2"/>
      <c r="AM40" s="155"/>
      <c r="AN40" s="353"/>
      <c r="AO40" s="16"/>
      <c r="AP40" s="16"/>
      <c r="AQ40" s="16"/>
      <c r="AR40" s="17"/>
      <c r="AS40" s="17"/>
      <c r="AW40" s="17"/>
      <c r="AX40" s="17"/>
      <c r="AY40" s="109"/>
      <c r="AZ40" s="17"/>
      <c r="BA40" s="155"/>
      <c r="BB40" s="17"/>
      <c r="BE40" s="2"/>
      <c r="BF40" s="2"/>
      <c r="BG40" s="708"/>
      <c r="BH40" s="708"/>
      <c r="BK40" s="16"/>
      <c r="BM40" s="187"/>
      <c r="BN40" s="22" t="s">
        <v>772</v>
      </c>
      <c r="BO40" s="172"/>
      <c r="BP40" s="172"/>
      <c r="BQ40" s="207" t="s">
        <v>552</v>
      </c>
      <c r="BT40" s="9"/>
      <c r="BU40" s="9"/>
      <c r="BV40" s="9"/>
      <c r="BW40" s="9"/>
      <c r="BX40" s="9"/>
      <c r="BY40" s="9"/>
      <c r="BZ40" s="2"/>
      <c r="CA40" s="2"/>
      <c r="CB40" s="160"/>
      <c r="CC40" s="2"/>
      <c r="CD40" s="159"/>
      <c r="CE40" s="376"/>
      <c r="CF40" s="16"/>
      <c r="CG40" s="16"/>
      <c r="CH40" s="358"/>
      <c r="CI40" s="358"/>
      <c r="CJ40" s="16"/>
      <c r="CR40" s="16"/>
      <c r="CS40" s="186"/>
      <c r="CT40" s="177"/>
      <c r="CU40" s="14"/>
      <c r="CV40" s="14"/>
      <c r="CW40" s="177"/>
      <c r="CX40" s="187"/>
      <c r="DB40" s="68"/>
      <c r="DC40" s="160"/>
      <c r="DJ40" s="173"/>
      <c r="DK40" s="173"/>
      <c r="DL40" s="9"/>
      <c r="DM40" s="9"/>
      <c r="DN40" s="9"/>
      <c r="DO40" s="16"/>
      <c r="DP40" s="16"/>
    </row>
    <row r="41" spans="1:120" s="5" customFormat="1" ht="19.5" customHeight="1" x14ac:dyDescent="0.25">
      <c r="A41" s="155"/>
      <c r="D41" s="356"/>
      <c r="E41" s="379"/>
      <c r="F41" s="235"/>
      <c r="G41" s="236"/>
      <c r="H41" s="380">
        <v>5</v>
      </c>
      <c r="I41" s="380">
        <v>5</v>
      </c>
      <c r="J41" s="372"/>
      <c r="O41" s="155"/>
      <c r="P41" s="205"/>
      <c r="Q41" s="167"/>
      <c r="R41" s="167"/>
      <c r="S41" s="167"/>
      <c r="T41" s="167"/>
      <c r="U41" s="167"/>
      <c r="V41" s="167"/>
      <c r="W41" s="206"/>
      <c r="X41" s="9"/>
      <c r="Y41" s="9"/>
      <c r="AA41" s="356"/>
      <c r="AB41" s="356"/>
      <c r="AI41" s="704"/>
      <c r="AJ41" s="705"/>
      <c r="AK41" s="160"/>
      <c r="AL41" s="2"/>
      <c r="AM41" s="155"/>
      <c r="AN41" s="353"/>
      <c r="AP41" s="16"/>
      <c r="AQ41" s="16"/>
      <c r="AR41" s="17"/>
      <c r="AS41" s="110"/>
      <c r="AW41" s="17"/>
      <c r="AX41" s="17"/>
      <c r="AY41" s="17"/>
      <c r="AZ41" s="17"/>
      <c r="BA41" s="155"/>
      <c r="BB41" s="17"/>
      <c r="BE41" s="2"/>
      <c r="BF41" s="2"/>
      <c r="BK41" s="16"/>
      <c r="BM41" s="186"/>
      <c r="BN41" s="172" t="s">
        <v>174</v>
      </c>
      <c r="BO41" s="389">
        <v>5</v>
      </c>
      <c r="BP41" s="389">
        <v>5</v>
      </c>
      <c r="BQ41" s="172" t="s">
        <v>174</v>
      </c>
      <c r="BR41" s="187"/>
      <c r="BT41" s="2"/>
      <c r="BU41" s="2"/>
      <c r="BV41" s="2"/>
      <c r="BW41" s="2"/>
      <c r="BX41" s="2"/>
      <c r="BY41" s="2"/>
      <c r="BZ41" s="2"/>
      <c r="CA41" s="366"/>
      <c r="CB41" s="180"/>
      <c r="CC41" s="2"/>
      <c r="CD41" s="159"/>
      <c r="CE41" s="376"/>
      <c r="CF41" s="16"/>
      <c r="CG41" s="16"/>
      <c r="CH41" s="358"/>
      <c r="CI41" s="358"/>
      <c r="CJ41" s="16"/>
      <c r="CM41" s="373"/>
      <c r="CN41" s="373"/>
      <c r="CR41" s="16"/>
      <c r="CS41" s="16"/>
      <c r="CT41" s="107"/>
      <c r="CU41" s="7"/>
      <c r="CV41" s="9"/>
      <c r="CW41" s="111"/>
      <c r="CX41" s="95"/>
      <c r="CZ41" s="16"/>
      <c r="DA41" s="117"/>
      <c r="DB41" s="117"/>
      <c r="DC41" s="181"/>
      <c r="DJ41" s="173"/>
      <c r="DK41" s="173"/>
      <c r="DL41" s="9"/>
      <c r="DM41" s="81"/>
      <c r="DN41" s="81"/>
      <c r="DO41" s="16"/>
      <c r="DP41" s="16"/>
    </row>
    <row r="42" spans="1:120" s="5" customFormat="1" ht="19.5" customHeight="1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205"/>
      <c r="Q42" s="167"/>
      <c r="R42" s="167"/>
      <c r="S42" s="167"/>
      <c r="T42" s="167"/>
      <c r="U42" s="167"/>
      <c r="V42" s="167"/>
      <c r="W42" s="206"/>
      <c r="X42" s="9"/>
      <c r="Y42" s="9"/>
      <c r="AA42" s="16"/>
      <c r="AB42" s="16"/>
      <c r="AI42" s="704"/>
      <c r="AJ42" s="705"/>
      <c r="AK42" s="180"/>
      <c r="AL42" s="2"/>
      <c r="AM42" s="155"/>
      <c r="AN42" s="407"/>
      <c r="AP42" s="16"/>
      <c r="AQ42" s="16"/>
      <c r="AR42" s="16"/>
      <c r="AS42" s="16"/>
      <c r="AV42" s="110"/>
      <c r="AW42" s="17"/>
      <c r="AX42" s="17"/>
      <c r="AY42" s="17"/>
      <c r="AZ42" s="17"/>
      <c r="BA42" s="381"/>
      <c r="BB42" s="17"/>
      <c r="BE42" s="2"/>
      <c r="BF42" s="2"/>
      <c r="BG42" s="367"/>
      <c r="BH42" s="367"/>
      <c r="BI42" s="16"/>
      <c r="BK42" s="16"/>
      <c r="BM42" s="188"/>
      <c r="BN42" s="172" t="s">
        <v>174</v>
      </c>
      <c r="BO42" s="389">
        <v>5</v>
      </c>
      <c r="BP42" s="389">
        <v>5</v>
      </c>
      <c r="BQ42" s="172" t="s">
        <v>174</v>
      </c>
      <c r="BR42" s="187"/>
      <c r="BT42" s="2"/>
      <c r="BU42" s="2"/>
      <c r="BV42" s="2"/>
      <c r="BW42" s="2"/>
      <c r="BX42" s="2"/>
      <c r="BY42" s="2"/>
      <c r="BZ42" s="2"/>
      <c r="CA42" s="366"/>
      <c r="CB42" s="180"/>
      <c r="CC42" s="2"/>
      <c r="CD42" s="159"/>
      <c r="CE42" s="377"/>
      <c r="CF42" s="16"/>
      <c r="CG42" s="16"/>
      <c r="CH42" s="709"/>
      <c r="CI42" s="709"/>
      <c r="CJ42" s="16"/>
      <c r="CM42" s="197"/>
      <c r="CN42" s="197"/>
      <c r="CR42" s="16"/>
      <c r="CS42" s="16"/>
      <c r="CU42" s="112"/>
      <c r="CV42" s="112"/>
      <c r="DC42" s="181"/>
      <c r="DJ42" s="173"/>
      <c r="DK42" s="173"/>
      <c r="DL42" s="16"/>
      <c r="DM42" s="9"/>
      <c r="DN42" s="9"/>
      <c r="DO42" s="16"/>
      <c r="DP42" s="16"/>
    </row>
    <row r="43" spans="1:120" s="5" customFormat="1" ht="19.5" customHeight="1" x14ac:dyDescent="0.25">
      <c r="A43" s="155"/>
      <c r="O43" s="155"/>
      <c r="P43" s="205"/>
      <c r="Q43" s="167"/>
      <c r="R43" s="167"/>
      <c r="S43" s="167"/>
      <c r="T43" s="167"/>
      <c r="U43" s="167"/>
      <c r="V43" s="167"/>
      <c r="W43" s="206"/>
      <c r="X43" s="9"/>
      <c r="Y43" s="81"/>
      <c r="AA43" s="710"/>
      <c r="AB43" s="710"/>
      <c r="AI43" s="704"/>
      <c r="AJ43" s="705"/>
      <c r="AK43" s="180"/>
      <c r="AL43" s="2"/>
      <c r="AM43" s="155"/>
      <c r="AN43" s="17"/>
      <c r="AO43" s="16"/>
      <c r="AP43" s="16"/>
      <c r="AQ43" s="16"/>
      <c r="AR43" s="16"/>
      <c r="AS43" s="16"/>
      <c r="AW43" s="2"/>
      <c r="AX43" s="2"/>
      <c r="AY43" s="17"/>
      <c r="AZ43" s="17"/>
      <c r="BA43" s="238"/>
      <c r="BB43" s="17"/>
      <c r="BE43" s="2"/>
      <c r="BF43" s="2"/>
      <c r="BG43" s="410"/>
      <c r="BH43" s="410"/>
      <c r="BI43" s="16"/>
      <c r="BK43" s="16"/>
      <c r="BM43" s="188"/>
      <c r="BN43" s="172" t="s">
        <v>174</v>
      </c>
      <c r="BO43" s="390">
        <v>5</v>
      </c>
      <c r="BP43" s="390">
        <v>5</v>
      </c>
      <c r="BQ43" s="172" t="s">
        <v>174</v>
      </c>
      <c r="BR43" s="187"/>
      <c r="BT43" s="2"/>
      <c r="BU43" s="2"/>
      <c r="BV43" s="2"/>
      <c r="BW43" s="2"/>
      <c r="BX43" s="2"/>
      <c r="BY43" s="2"/>
      <c r="BZ43" s="2"/>
      <c r="CA43" s="88"/>
      <c r="CB43" s="180"/>
      <c r="CC43" s="2"/>
      <c r="CD43" s="159"/>
      <c r="CE43" s="108"/>
      <c r="CF43" s="16"/>
      <c r="CG43" s="16"/>
      <c r="CI43" s="391"/>
      <c r="CJ43" s="16"/>
      <c r="CQ43" s="16"/>
      <c r="CR43" s="16"/>
      <c r="CS43" s="16"/>
      <c r="DC43" s="181"/>
      <c r="DJ43" s="173"/>
      <c r="DK43" s="173"/>
      <c r="DL43" s="9"/>
      <c r="DM43" s="16"/>
      <c r="DN43" s="16"/>
      <c r="DO43" s="16"/>
      <c r="DP43" s="16"/>
    </row>
    <row r="44" spans="1:120" s="5" customFormat="1" ht="19.5" customHeight="1" x14ac:dyDescent="0.25">
      <c r="A44" s="155"/>
      <c r="C44" s="17"/>
      <c r="D44" s="17"/>
      <c r="E44" s="17"/>
      <c r="G44" s="17"/>
      <c r="H44" s="17"/>
      <c r="I44" s="17"/>
      <c r="J44" s="17"/>
      <c r="K44" s="17"/>
      <c r="O44" s="155"/>
      <c r="P44" s="205"/>
      <c r="Q44" s="167"/>
      <c r="R44" s="167"/>
      <c r="S44" s="167"/>
      <c r="T44" s="167"/>
      <c r="U44" s="167"/>
      <c r="V44" s="167"/>
      <c r="W44" s="206"/>
      <c r="X44" s="16"/>
      <c r="Y44" s="9"/>
      <c r="AA44" s="404"/>
      <c r="AB44" s="404"/>
      <c r="AI44" s="704"/>
      <c r="AJ44" s="705"/>
      <c r="AK44" s="180"/>
      <c r="AL44" s="2"/>
      <c r="AM44" s="155"/>
      <c r="AN44" s="408"/>
      <c r="AO44" s="113"/>
      <c r="AP44" s="16"/>
      <c r="AQ44" s="16"/>
      <c r="AR44" s="16"/>
      <c r="AT44" s="408"/>
      <c r="AU44" s="408"/>
      <c r="AV44" s="17"/>
      <c r="AW44" s="2"/>
      <c r="AX44" s="2"/>
      <c r="AY44" s="17"/>
      <c r="AZ44" s="17"/>
      <c r="BA44" s="238"/>
      <c r="BB44" s="17"/>
      <c r="BD44" s="17"/>
      <c r="BE44" s="2"/>
      <c r="BF44" s="2"/>
      <c r="BG44" s="411"/>
      <c r="BH44" s="411"/>
      <c r="BI44" s="2"/>
      <c r="BK44" s="16"/>
      <c r="BO44" s="172"/>
      <c r="BP44" s="172"/>
      <c r="BT44" s="2"/>
      <c r="BU44" s="2"/>
      <c r="BV44" s="2"/>
      <c r="BW44" s="2"/>
      <c r="BX44" s="2"/>
      <c r="BY44" s="2"/>
      <c r="CA44" s="408"/>
      <c r="CB44" s="180"/>
      <c r="CC44" s="2"/>
      <c r="CD44" s="159"/>
      <c r="CE44" s="415"/>
      <c r="CF44" s="16"/>
      <c r="CG44" s="16"/>
      <c r="CH44" s="419"/>
      <c r="CI44" s="419"/>
      <c r="CJ44" s="16"/>
      <c r="CM44" s="416"/>
      <c r="CN44" s="416"/>
      <c r="CO44" s="16"/>
      <c r="CQ44" s="16"/>
      <c r="CR44" s="16"/>
      <c r="CS44" s="16"/>
      <c r="CU44" s="417"/>
      <c r="CV44" s="417"/>
      <c r="CX44" s="16"/>
      <c r="DB44" s="418"/>
      <c r="DC44" s="181"/>
      <c r="DJ44" s="173"/>
      <c r="DK44" s="173"/>
      <c r="DL44" s="9"/>
      <c r="DM44" s="16"/>
      <c r="DN44" s="16"/>
      <c r="DO44" s="16"/>
      <c r="DP44" s="9"/>
    </row>
    <row r="45" spans="1:120" s="5" customFormat="1" ht="19.5" customHeight="1" x14ac:dyDescent="0.25">
      <c r="A45" s="155"/>
      <c r="C45" s="17"/>
      <c r="D45" s="17"/>
      <c r="E45" s="17"/>
      <c r="G45" s="17"/>
      <c r="H45" s="17"/>
      <c r="I45" s="17"/>
      <c r="J45" s="17"/>
      <c r="K45" s="17"/>
      <c r="O45" s="155"/>
      <c r="P45" s="205"/>
      <c r="Q45" s="167"/>
      <c r="R45" s="167"/>
      <c r="S45" s="167"/>
      <c r="T45" s="167"/>
      <c r="U45" s="167"/>
      <c r="V45" s="167"/>
      <c r="W45" s="206"/>
      <c r="X45" s="9"/>
      <c r="Y45" s="16"/>
      <c r="AA45" s="404"/>
      <c r="AB45" s="404"/>
      <c r="AI45" s="704"/>
      <c r="AJ45" s="705"/>
      <c r="AK45" s="180"/>
      <c r="AL45" s="2"/>
      <c r="AM45" s="155"/>
      <c r="AN45" s="88"/>
      <c r="AO45" s="114"/>
      <c r="AP45" s="16"/>
      <c r="AQ45" s="16"/>
      <c r="AR45" s="110"/>
      <c r="AT45" s="88"/>
      <c r="AU45" s="88"/>
      <c r="AV45" s="2"/>
      <c r="AW45" s="2"/>
      <c r="AX45" s="2"/>
      <c r="AY45" s="17"/>
      <c r="AZ45" s="17"/>
      <c r="BA45" s="238"/>
      <c r="BB45" s="17"/>
      <c r="BD45" s="17"/>
      <c r="BE45" s="2"/>
      <c r="BF45" s="2"/>
      <c r="BG45" s="84"/>
      <c r="BH45" s="84"/>
      <c r="BI45" s="2"/>
      <c r="BK45" s="16"/>
      <c r="BN45" s="2"/>
      <c r="BO45" s="2"/>
      <c r="BP45" s="2"/>
      <c r="BQ45" s="16"/>
      <c r="BT45" s="2"/>
      <c r="BU45" s="2"/>
      <c r="BV45" s="2"/>
      <c r="BW45" s="2"/>
      <c r="BX45" s="2"/>
      <c r="BY45" s="2"/>
      <c r="CA45" s="88"/>
      <c r="CB45" s="180"/>
      <c r="CC45" s="2"/>
      <c r="CD45" s="159"/>
      <c r="CE45" s="108"/>
      <c r="CH45" s="359"/>
      <c r="CI45" s="359"/>
      <c r="CM45" s="82"/>
      <c r="CN45" s="82"/>
      <c r="CO45" s="16"/>
      <c r="CQ45" s="16"/>
      <c r="CR45" s="16"/>
      <c r="CS45" s="16"/>
      <c r="CU45" s="410"/>
      <c r="CV45" s="410"/>
      <c r="DB45" s="34"/>
      <c r="DC45" s="181"/>
      <c r="DJ45" s="173"/>
      <c r="DK45" s="173"/>
      <c r="DL45" s="9"/>
      <c r="DM45" s="9"/>
      <c r="DN45" s="16"/>
      <c r="DO45" s="16"/>
      <c r="DP45" s="16"/>
    </row>
    <row r="46" spans="1:120" s="5" customFormat="1" ht="19.5" customHeight="1" thickBot="1" x14ac:dyDescent="0.3">
      <c r="A46" s="155"/>
      <c r="C46" s="17"/>
      <c r="D46" s="17"/>
      <c r="E46" s="17"/>
      <c r="G46" s="17"/>
      <c r="H46" s="17"/>
      <c r="I46" s="17"/>
      <c r="J46" s="17"/>
      <c r="K46" s="17"/>
      <c r="O46" s="155"/>
      <c r="P46" s="211"/>
      <c r="Q46" s="212"/>
      <c r="R46" s="212"/>
      <c r="S46" s="212"/>
      <c r="T46" s="212"/>
      <c r="U46" s="212"/>
      <c r="V46" s="212"/>
      <c r="W46" s="213"/>
      <c r="X46" s="9"/>
      <c r="Y46" s="16"/>
      <c r="Z46" s="16"/>
      <c r="AA46" s="349"/>
      <c r="AB46" s="349"/>
      <c r="AI46" s="704"/>
      <c r="AJ46" s="705"/>
      <c r="AK46" s="180"/>
      <c r="AL46" s="2"/>
      <c r="AM46" s="155"/>
      <c r="AN46" s="366"/>
      <c r="AO46" s="71"/>
      <c r="AP46" s="71"/>
      <c r="AQ46" s="71"/>
      <c r="AR46" s="110"/>
      <c r="AT46" s="711"/>
      <c r="AU46" s="712"/>
      <c r="AW46" s="2"/>
      <c r="AX46" s="2"/>
      <c r="AY46" s="17"/>
      <c r="AZ46" s="17"/>
      <c r="BA46" s="238"/>
      <c r="BB46" s="17"/>
      <c r="BE46" s="2"/>
      <c r="BF46" s="2"/>
      <c r="BK46" s="16"/>
      <c r="BN46" s="2"/>
      <c r="BO46" s="377"/>
      <c r="BP46" s="377"/>
      <c r="BQ46" s="16"/>
      <c r="BT46" s="2"/>
      <c r="BU46" s="2"/>
      <c r="BV46" s="2"/>
      <c r="BW46" s="2"/>
      <c r="BX46" s="2"/>
      <c r="BY46" s="2"/>
      <c r="CA46" s="366"/>
      <c r="CB46" s="159"/>
      <c r="CC46" s="2"/>
      <c r="CD46" s="159"/>
      <c r="CE46" s="377"/>
      <c r="CH46" s="358"/>
      <c r="CI46" s="358"/>
      <c r="CM46" s="378"/>
      <c r="CN46" s="378"/>
      <c r="CO46" s="16"/>
      <c r="CQ46" s="16"/>
      <c r="CR46" s="16"/>
      <c r="CS46" s="16"/>
      <c r="CU46" s="367"/>
      <c r="CV46" s="367"/>
      <c r="CW46" s="16"/>
      <c r="CX46" s="16"/>
      <c r="DB46" s="356"/>
      <c r="DC46" s="159"/>
    </row>
    <row r="47" spans="1:120" s="5" customFormat="1" ht="19.5" customHeight="1" x14ac:dyDescent="0.25">
      <c r="A47" s="155"/>
      <c r="C47" s="17"/>
      <c r="D47" s="17"/>
      <c r="E47" s="17"/>
      <c r="G47" s="17"/>
      <c r="H47" s="17"/>
      <c r="I47" s="17"/>
      <c r="J47" s="17"/>
      <c r="K47" s="17"/>
      <c r="O47" s="155"/>
      <c r="P47" s="239"/>
      <c r="Q47" s="173"/>
      <c r="R47" s="173"/>
      <c r="S47" s="173"/>
      <c r="T47" s="173"/>
      <c r="U47" s="173"/>
      <c r="V47" s="173"/>
      <c r="W47" s="173"/>
      <c r="X47" s="9"/>
      <c r="Y47" s="9"/>
      <c r="Z47" s="16"/>
      <c r="AA47" s="16"/>
      <c r="AB47" s="16"/>
      <c r="AC47" s="16"/>
      <c r="AI47" s="704"/>
      <c r="AJ47" s="705"/>
      <c r="AK47" s="159"/>
      <c r="AL47" s="2"/>
      <c r="AM47" s="155"/>
      <c r="AN47" s="366"/>
      <c r="AO47" s="71"/>
      <c r="AP47" s="71"/>
      <c r="AQ47" s="71"/>
      <c r="AR47" s="101"/>
      <c r="AS47" s="116"/>
      <c r="AT47" s="353"/>
      <c r="AU47" s="353"/>
      <c r="AW47" s="2"/>
      <c r="AX47" s="2"/>
      <c r="AY47" s="17"/>
      <c r="AZ47" s="17"/>
      <c r="BA47" s="240"/>
      <c r="BB47" s="17"/>
      <c r="BC47" s="17"/>
      <c r="BD47" s="17"/>
      <c r="BE47" s="2"/>
      <c r="BF47" s="2"/>
      <c r="BK47" s="16"/>
      <c r="BN47" s="16"/>
      <c r="BQ47" s="16"/>
      <c r="BV47" s="233"/>
      <c r="CA47" s="2"/>
      <c r="CB47" s="180"/>
      <c r="CC47" s="2"/>
      <c r="CD47" s="159"/>
      <c r="CE47" s="377"/>
      <c r="CH47" s="713" t="s">
        <v>255</v>
      </c>
      <c r="CI47" s="713"/>
      <c r="CM47" s="378"/>
      <c r="CN47" s="378"/>
      <c r="CQ47" s="16"/>
      <c r="CR47" s="16"/>
      <c r="CS47" s="16"/>
      <c r="CU47" s="367"/>
      <c r="CV47" s="367"/>
      <c r="CW47" s="16"/>
      <c r="CX47" s="16"/>
      <c r="DB47" s="356"/>
      <c r="DC47" s="181"/>
    </row>
    <row r="48" spans="1:120" s="5" customFormat="1" ht="19.5" customHeight="1" thickBot="1" x14ac:dyDescent="0.3">
      <c r="A48" s="155"/>
      <c r="C48" s="17"/>
      <c r="D48" s="17"/>
      <c r="E48" s="17"/>
      <c r="F48" s="17"/>
      <c r="G48" s="17"/>
      <c r="H48" s="17"/>
      <c r="I48" s="17"/>
      <c r="J48" s="17"/>
      <c r="K48" s="17"/>
      <c r="O48" s="155"/>
      <c r="P48" s="239"/>
      <c r="Q48" s="173"/>
      <c r="R48" s="173"/>
      <c r="S48" s="173"/>
      <c r="T48" s="173"/>
      <c r="U48" s="173"/>
      <c r="AC48" s="16"/>
      <c r="AI48" s="706"/>
      <c r="AJ48" s="707"/>
      <c r="AK48" s="180"/>
      <c r="AL48" s="2"/>
      <c r="AM48" s="155"/>
      <c r="AN48" s="366"/>
      <c r="AO48" s="16"/>
      <c r="AP48" s="16"/>
      <c r="AQ48" s="16"/>
      <c r="AR48" s="16"/>
      <c r="AS48" s="16"/>
      <c r="AT48" s="353"/>
      <c r="AU48" s="353"/>
      <c r="AW48" s="2"/>
      <c r="AX48" s="16"/>
      <c r="AY48" s="16"/>
      <c r="AZ48" s="16"/>
      <c r="BA48" s="155"/>
      <c r="BB48" s="17"/>
      <c r="BC48" s="17"/>
      <c r="BD48" s="17"/>
      <c r="BE48" s="2"/>
      <c r="BG48" s="221" t="s">
        <v>195</v>
      </c>
      <c r="BH48" s="221"/>
      <c r="BJ48" s="16"/>
      <c r="BK48" s="16"/>
      <c r="BL48" s="9"/>
      <c r="BN48" s="16"/>
      <c r="BO48" s="377"/>
      <c r="BP48" s="377"/>
      <c r="BQ48" s="16"/>
      <c r="BV48" s="241" t="s">
        <v>174</v>
      </c>
      <c r="BZ48" s="2"/>
      <c r="CA48" s="2"/>
      <c r="CB48" s="180"/>
      <c r="CC48" s="2"/>
      <c r="CD48" s="159"/>
      <c r="CF48" s="16"/>
      <c r="CG48" s="22" t="s">
        <v>199</v>
      </c>
      <c r="CH48" s="242"/>
      <c r="CI48" s="242"/>
      <c r="CJ48" s="16"/>
      <c r="CM48" s="378"/>
      <c r="CN48" s="378"/>
      <c r="CO48" s="16"/>
      <c r="CQ48" s="16"/>
      <c r="CR48" s="16"/>
      <c r="CS48" s="16"/>
      <c r="CT48" s="16"/>
      <c r="CU48" s="367"/>
      <c r="CV48" s="367"/>
      <c r="CW48" s="16"/>
      <c r="CX48" s="16"/>
      <c r="CZ48" s="16"/>
      <c r="DA48" s="16"/>
      <c r="DB48" s="356"/>
      <c r="DC48" s="181"/>
    </row>
    <row r="49" spans="1:120" s="5" customFormat="1" ht="19.5" customHeight="1" thickBot="1" x14ac:dyDescent="0.3">
      <c r="A49" s="155"/>
      <c r="C49" s="17"/>
      <c r="D49" s="17"/>
      <c r="E49" s="17"/>
      <c r="F49" s="17"/>
      <c r="G49" s="17"/>
      <c r="H49" s="17"/>
      <c r="I49" s="17"/>
      <c r="J49" s="17"/>
      <c r="K49" s="17"/>
      <c r="O49" s="155"/>
      <c r="P49" s="239"/>
      <c r="Q49" s="173"/>
      <c r="R49" s="173"/>
      <c r="S49" s="173"/>
      <c r="T49" s="173"/>
      <c r="U49" s="173"/>
      <c r="AC49" s="16"/>
      <c r="AD49" s="16"/>
      <c r="AE49" s="243"/>
      <c r="AF49" s="244"/>
      <c r="AG49" s="244"/>
      <c r="AH49" s="244"/>
      <c r="AI49" s="245"/>
      <c r="AJ49" s="246"/>
      <c r="AK49" s="180"/>
      <c r="AL49" s="2"/>
      <c r="AM49" s="155"/>
      <c r="AN49" s="366"/>
      <c r="AO49" s="71"/>
      <c r="AP49" s="71"/>
      <c r="AQ49" s="71"/>
      <c r="AR49" s="71"/>
      <c r="AS49" s="16"/>
      <c r="AT49" s="353"/>
      <c r="AU49" s="353"/>
      <c r="AV49" s="16"/>
      <c r="AW49" s="2"/>
      <c r="AX49" s="2"/>
      <c r="AY49" s="17"/>
      <c r="AZ49" s="17"/>
      <c r="BA49" s="155"/>
      <c r="BB49" s="17"/>
      <c r="BC49" s="17"/>
      <c r="BD49" s="17"/>
      <c r="BE49" s="119"/>
      <c r="BF49" s="22" t="s">
        <v>203</v>
      </c>
      <c r="BG49" s="218"/>
      <c r="BH49" s="218"/>
      <c r="BI49" s="247" t="s">
        <v>204</v>
      </c>
      <c r="BJ49" s="16"/>
      <c r="BK49" s="16"/>
      <c r="BN49" s="16"/>
      <c r="BO49" s="377"/>
      <c r="BP49" s="377"/>
      <c r="BQ49" s="16"/>
      <c r="BT49" s="22" t="s">
        <v>205</v>
      </c>
      <c r="BU49" s="248" t="s">
        <v>256</v>
      </c>
      <c r="BV49" s="352">
        <v>5</v>
      </c>
      <c r="BW49" s="248" t="s">
        <v>256</v>
      </c>
      <c r="BZ49" s="2"/>
      <c r="CA49" s="2"/>
      <c r="CB49" s="180"/>
      <c r="CC49" s="2"/>
      <c r="CD49" s="159"/>
      <c r="CE49" s="121" t="s">
        <v>206</v>
      </c>
      <c r="CF49" s="186"/>
      <c r="CG49" s="249" t="s">
        <v>174</v>
      </c>
      <c r="CH49" s="382">
        <v>5</v>
      </c>
      <c r="CI49" s="382">
        <v>5</v>
      </c>
      <c r="CJ49" s="249" t="s">
        <v>174</v>
      </c>
      <c r="CK49" s="187"/>
      <c r="CQ49" s="16"/>
      <c r="CR49" s="16"/>
      <c r="CS49" s="16"/>
      <c r="CT49" s="16"/>
      <c r="CU49" s="16"/>
      <c r="CV49" s="16"/>
      <c r="CW49" s="16"/>
      <c r="CX49" s="16"/>
      <c r="DA49" s="16"/>
      <c r="DB49" s="356"/>
      <c r="DC49" s="181"/>
    </row>
    <row r="50" spans="1:120" s="5" customFormat="1" ht="19.5" customHeight="1" thickBot="1" x14ac:dyDescent="0.3">
      <c r="A50" s="155"/>
      <c r="C50" s="17"/>
      <c r="D50" s="17"/>
      <c r="E50" s="17"/>
      <c r="F50" s="17"/>
      <c r="G50" s="17"/>
      <c r="H50" s="17"/>
      <c r="I50" s="17"/>
      <c r="J50" s="17"/>
      <c r="K50" s="17"/>
      <c r="O50" s="155"/>
      <c r="P50" s="173"/>
      <c r="Q50" s="173"/>
      <c r="R50" s="173"/>
      <c r="S50" s="173"/>
      <c r="T50" s="173"/>
      <c r="U50" s="173"/>
      <c r="AC50" s="16"/>
      <c r="AD50" s="16"/>
      <c r="AE50" s="250"/>
      <c r="AF50" s="173"/>
      <c r="AG50" s="173"/>
      <c r="AH50" s="173"/>
      <c r="AI50" s="184"/>
      <c r="AJ50" s="251"/>
      <c r="AK50" s="180"/>
      <c r="AL50" s="2"/>
      <c r="AM50" s="155"/>
      <c r="AN50" s="366"/>
      <c r="AO50" s="16"/>
      <c r="AP50" s="16"/>
      <c r="AQ50" s="16"/>
      <c r="AR50" s="16"/>
      <c r="AS50" s="16"/>
      <c r="AT50" s="353"/>
      <c r="AU50" s="353"/>
      <c r="AV50" s="16"/>
      <c r="AW50" s="2"/>
      <c r="AX50" s="17"/>
      <c r="AY50" s="17"/>
      <c r="AZ50" s="353"/>
      <c r="BA50" s="155"/>
      <c r="BB50" s="17"/>
      <c r="BC50" s="17"/>
      <c r="BD50" s="17"/>
      <c r="BE50" s="186"/>
      <c r="BF50" s="220" t="s">
        <v>174</v>
      </c>
      <c r="BG50" s="383">
        <v>5</v>
      </c>
      <c r="BH50" s="383">
        <v>5</v>
      </c>
      <c r="BI50" s="220" t="s">
        <v>174</v>
      </c>
      <c r="BJ50" s="189"/>
      <c r="BK50" s="122"/>
      <c r="BL50" s="9"/>
      <c r="BM50" s="19"/>
      <c r="BN50" s="16"/>
      <c r="BO50" s="377"/>
      <c r="BP50" s="377"/>
      <c r="BQ50" s="16"/>
      <c r="BS50" s="252"/>
      <c r="BT50" s="241" t="s">
        <v>174</v>
      </c>
      <c r="BU50" s="352">
        <v>5</v>
      </c>
      <c r="BV50" s="248" t="s">
        <v>257</v>
      </c>
      <c r="BW50" s="352">
        <v>5</v>
      </c>
      <c r="BX50" s="241" t="s">
        <v>174</v>
      </c>
      <c r="BY50" s="253"/>
      <c r="BZ50" s="2"/>
      <c r="CA50" s="2"/>
      <c r="CB50" s="180"/>
      <c r="CC50" s="2"/>
      <c r="CD50" s="159"/>
      <c r="CE50" s="121" t="s">
        <v>207</v>
      </c>
      <c r="CF50" s="188"/>
      <c r="CG50" s="249" t="s">
        <v>174</v>
      </c>
      <c r="CH50" s="382">
        <v>5</v>
      </c>
      <c r="CI50" s="382">
        <v>5</v>
      </c>
      <c r="CJ50" s="249" t="s">
        <v>174</v>
      </c>
      <c r="CK50" s="187"/>
      <c r="CM50" s="699"/>
      <c r="CN50" s="699"/>
      <c r="CO50" s="16"/>
      <c r="CQ50" s="16"/>
      <c r="CR50" s="16"/>
      <c r="DA50" s="16"/>
      <c r="DC50" s="181"/>
    </row>
    <row r="51" spans="1:120" s="5" customFormat="1" ht="19.5" customHeight="1" thickBot="1" x14ac:dyDescent="0.3">
      <c r="A51" s="155"/>
      <c r="C51" s="17"/>
      <c r="D51" s="17"/>
      <c r="E51" s="17"/>
      <c r="F51" s="17"/>
      <c r="G51" s="17"/>
      <c r="H51" s="17"/>
      <c r="I51" s="17"/>
      <c r="J51" s="17"/>
      <c r="K51" s="17"/>
      <c r="O51" s="155"/>
      <c r="P51" s="173"/>
      <c r="Q51" s="173"/>
      <c r="R51" s="173"/>
      <c r="S51" s="173"/>
      <c r="T51" s="173"/>
      <c r="U51" s="173"/>
      <c r="AA51" s="9"/>
      <c r="AD51" s="16"/>
      <c r="AE51" s="250"/>
      <c r="AF51" s="173"/>
      <c r="AG51" s="173"/>
      <c r="AH51" s="173"/>
      <c r="AI51" s="184"/>
      <c r="AJ51" s="251"/>
      <c r="AK51" s="180"/>
      <c r="AL51" s="2"/>
      <c r="AM51" s="155"/>
      <c r="AN51" s="366"/>
      <c r="AO51" s="16"/>
      <c r="AP51" s="16"/>
      <c r="AQ51" s="16"/>
      <c r="AR51" s="16"/>
      <c r="AS51" s="16"/>
      <c r="AT51" s="16"/>
      <c r="AU51" s="16"/>
      <c r="AV51" s="2"/>
      <c r="AW51" s="17"/>
      <c r="AX51" s="17"/>
      <c r="AZ51" s="353"/>
      <c r="BA51" s="155"/>
      <c r="BB51" s="17"/>
      <c r="BC51" s="123" t="s">
        <v>206</v>
      </c>
      <c r="BD51" s="124"/>
      <c r="BE51" s="188"/>
      <c r="BF51" s="220" t="s">
        <v>174</v>
      </c>
      <c r="BG51" s="383">
        <v>5</v>
      </c>
      <c r="BH51" s="383">
        <v>5</v>
      </c>
      <c r="BI51" s="220" t="s">
        <v>174</v>
      </c>
      <c r="BJ51" s="189"/>
      <c r="BK51" s="122"/>
      <c r="BL51" s="9"/>
      <c r="BM51" s="9"/>
      <c r="BN51" s="9"/>
      <c r="BO51" s="9"/>
      <c r="BP51" s="9"/>
      <c r="BQ51" s="9"/>
      <c r="BU51" s="248" t="s">
        <v>256</v>
      </c>
      <c r="BV51" s="352">
        <v>5</v>
      </c>
      <c r="BW51" s="248" t="s">
        <v>256</v>
      </c>
      <c r="BZ51" s="2"/>
      <c r="CA51" s="2"/>
      <c r="CB51" s="160"/>
      <c r="CC51" s="2"/>
      <c r="CD51" s="159"/>
      <c r="CE51" s="16"/>
      <c r="CF51" s="16"/>
      <c r="CG51" s="16"/>
      <c r="CH51" s="242"/>
      <c r="CI51" s="242"/>
      <c r="CJ51" s="16"/>
      <c r="CM51" s="353"/>
      <c r="CN51" s="353"/>
      <c r="CO51" s="16"/>
      <c r="CQ51" s="16"/>
      <c r="CR51" s="16"/>
      <c r="CU51" s="356"/>
      <c r="CV51" s="356"/>
      <c r="DA51" s="16"/>
      <c r="DB51" s="356"/>
      <c r="DC51" s="160"/>
    </row>
    <row r="52" spans="1:120" s="5" customFormat="1" ht="19.5" customHeight="1" x14ac:dyDescent="0.25">
      <c r="A52" s="155"/>
      <c r="C52" s="17"/>
      <c r="D52" s="17"/>
      <c r="E52" s="17"/>
      <c r="F52" s="17"/>
      <c r="G52" s="17"/>
      <c r="H52" s="17"/>
      <c r="I52" s="17"/>
      <c r="J52" s="17"/>
      <c r="K52" s="17"/>
      <c r="O52" s="155"/>
      <c r="P52" s="173"/>
      <c r="Q52" s="173"/>
      <c r="R52" s="173"/>
      <c r="S52" s="173"/>
      <c r="T52" s="173"/>
      <c r="U52" s="173"/>
      <c r="AB52" s="353"/>
      <c r="AC52" s="81"/>
      <c r="AD52" s="9"/>
      <c r="AE52" s="250"/>
      <c r="AF52" s="173"/>
      <c r="AG52" s="173"/>
      <c r="AH52" s="173"/>
      <c r="AI52" s="184"/>
      <c r="AJ52" s="251"/>
      <c r="AK52" s="160"/>
      <c r="AL52" s="2"/>
      <c r="AM52" s="155"/>
      <c r="AN52" s="16"/>
      <c r="AO52" s="16"/>
      <c r="AP52" s="16"/>
      <c r="AQ52" s="16"/>
      <c r="AR52" s="16"/>
      <c r="AS52" s="110"/>
      <c r="AT52" s="377"/>
      <c r="AU52" s="377"/>
      <c r="AV52" s="16"/>
      <c r="AW52" s="17"/>
      <c r="AX52" s="71"/>
      <c r="AZ52" s="409"/>
      <c r="BA52" s="155"/>
      <c r="BB52" s="155"/>
      <c r="BC52" s="155"/>
      <c r="BD52" s="155"/>
      <c r="BE52" s="188"/>
      <c r="BF52" s="220" t="s">
        <v>174</v>
      </c>
      <c r="BG52" s="383">
        <v>5</v>
      </c>
      <c r="BH52" s="383">
        <v>5</v>
      </c>
      <c r="BI52" s="220" t="s">
        <v>174</v>
      </c>
      <c r="BJ52" s="189"/>
      <c r="BK52" s="122"/>
      <c r="BL52" s="9"/>
      <c r="BM52" s="9"/>
      <c r="BN52" s="16"/>
      <c r="BQ52" s="16"/>
      <c r="BV52" s="241" t="s">
        <v>174</v>
      </c>
      <c r="BZ52" s="10"/>
      <c r="CA52" s="9"/>
      <c r="CB52" s="160"/>
      <c r="CC52" s="2"/>
      <c r="CD52" s="159"/>
      <c r="CE52" s="377"/>
      <c r="CF52" s="16"/>
      <c r="CH52" s="688" t="s">
        <v>181</v>
      </c>
      <c r="CI52" s="688"/>
      <c r="CJ52" s="16"/>
      <c r="CM52" s="353"/>
      <c r="CN52" s="353"/>
      <c r="CQ52" s="16"/>
      <c r="CR52" s="16"/>
      <c r="CU52" s="356"/>
      <c r="CV52" s="356"/>
      <c r="DA52" s="16"/>
      <c r="DB52" s="356"/>
      <c r="DC52" s="160"/>
    </row>
    <row r="53" spans="1:120" s="5" customFormat="1" ht="19.5" customHeight="1" x14ac:dyDescent="0.25">
      <c r="A53" s="155"/>
      <c r="C53" s="17"/>
      <c r="D53" s="17"/>
      <c r="E53" s="17"/>
      <c r="F53" s="17"/>
      <c r="G53" s="17"/>
      <c r="H53" s="17"/>
      <c r="I53" s="17"/>
      <c r="J53" s="17"/>
      <c r="K53" s="17"/>
      <c r="O53" s="155"/>
      <c r="Q53" s="173"/>
      <c r="R53" s="173"/>
      <c r="S53" s="173"/>
      <c r="T53" s="173"/>
      <c r="U53" s="173"/>
      <c r="AA53" s="353"/>
      <c r="AB53" s="9"/>
      <c r="AC53" s="353"/>
      <c r="AD53" s="16"/>
      <c r="AE53" s="250"/>
      <c r="AF53" s="2"/>
      <c r="AG53" s="173"/>
      <c r="AH53" s="173"/>
      <c r="AI53" s="184"/>
      <c r="AJ53" s="251"/>
      <c r="AK53" s="160"/>
      <c r="AL53" s="2"/>
      <c r="AM53" s="155"/>
      <c r="AN53" s="16"/>
      <c r="AO53" s="16"/>
      <c r="AP53" s="16"/>
      <c r="AQ53" s="16"/>
      <c r="AS53" s="16"/>
      <c r="AT53" s="377"/>
      <c r="AU53" s="377"/>
      <c r="AW53" s="16"/>
      <c r="AX53" s="71"/>
      <c r="AY53" s="16"/>
      <c r="AZ53" s="16"/>
      <c r="BA53" s="155"/>
      <c r="BB53" s="17"/>
      <c r="BC53" s="17"/>
      <c r="BD53" s="125"/>
      <c r="BE53" s="186"/>
      <c r="BF53" s="220" t="s">
        <v>174</v>
      </c>
      <c r="BG53" s="383">
        <v>5</v>
      </c>
      <c r="BH53" s="383">
        <v>5</v>
      </c>
      <c r="BI53" s="220" t="s">
        <v>174</v>
      </c>
      <c r="BJ53" s="189"/>
      <c r="BK53" s="122"/>
      <c r="BL53" s="9"/>
      <c r="BM53" s="9"/>
      <c r="BN53" s="9"/>
      <c r="BQ53" s="16"/>
      <c r="BV53" s="233"/>
      <c r="BZ53" s="10"/>
      <c r="CA53" s="9"/>
      <c r="CB53" s="160"/>
      <c r="CC53" s="2"/>
      <c r="CD53" s="159"/>
      <c r="CE53" s="377"/>
      <c r="CF53" s="16"/>
      <c r="CJ53" s="16"/>
      <c r="CM53" s="353"/>
      <c r="CN53" s="353"/>
      <c r="CO53" s="16"/>
      <c r="CQ53" s="16"/>
      <c r="CR53" s="16"/>
      <c r="CU53" s="356"/>
      <c r="CV53" s="356"/>
      <c r="DA53" s="16"/>
      <c r="DB53" s="356"/>
      <c r="DC53" s="160"/>
      <c r="DJ53" s="173"/>
      <c r="DK53" s="173"/>
      <c r="DL53" s="9"/>
      <c r="DM53" s="81"/>
      <c r="DN53" s="81"/>
      <c r="DO53" s="16"/>
      <c r="DP53" s="16"/>
    </row>
    <row r="54" spans="1:120" s="5" customFormat="1" ht="19.5" customHeight="1" x14ac:dyDescent="0.25">
      <c r="A54" s="155"/>
      <c r="C54" s="17"/>
      <c r="J54" s="17"/>
      <c r="K54" s="17"/>
      <c r="N54" s="173"/>
      <c r="O54" s="155"/>
      <c r="P54" s="173"/>
      <c r="Q54" s="173"/>
      <c r="R54" s="173"/>
      <c r="S54" s="173"/>
      <c r="T54" s="173"/>
      <c r="U54" s="173"/>
      <c r="AA54" s="353"/>
      <c r="AB54" s="9"/>
      <c r="AC54" s="353"/>
      <c r="AD54" s="16"/>
      <c r="AE54" s="250"/>
      <c r="AF54" s="173"/>
      <c r="AG54" s="254" t="s">
        <v>180</v>
      </c>
      <c r="AH54" s="173"/>
      <c r="AI54" s="184"/>
      <c r="AJ54" s="251"/>
      <c r="AK54" s="160"/>
      <c r="AL54" s="2"/>
      <c r="AM54" s="155"/>
      <c r="AN54" s="16"/>
      <c r="AO54" s="16"/>
      <c r="AP54" s="16"/>
      <c r="AQ54" s="16"/>
      <c r="AR54" s="16"/>
      <c r="AS54" s="16"/>
      <c r="AT54" s="384"/>
      <c r="AU54" s="384"/>
      <c r="AV54" s="16"/>
      <c r="AW54" s="16"/>
      <c r="AX54" s="17"/>
      <c r="AY54" s="16"/>
      <c r="AZ54" s="16"/>
      <c r="BA54" s="155"/>
      <c r="BB54" s="17"/>
      <c r="BC54" s="17"/>
      <c r="BD54" s="255"/>
      <c r="BE54" s="9"/>
      <c r="BF54" s="9"/>
      <c r="BG54" s="218"/>
      <c r="BH54" s="218"/>
      <c r="BI54" s="173"/>
      <c r="BJ54" s="9"/>
      <c r="BK54" s="16"/>
      <c r="BL54" s="9"/>
      <c r="BM54" s="9"/>
      <c r="BN54" s="9"/>
      <c r="BQ54" s="16"/>
      <c r="BT54" s="9"/>
      <c r="BU54" s="688" t="s">
        <v>181</v>
      </c>
      <c r="BV54" s="688"/>
      <c r="BW54" s="688"/>
      <c r="BX54" s="9"/>
      <c r="BY54" s="9"/>
      <c r="BZ54" s="10"/>
      <c r="CA54" s="9"/>
      <c r="CB54" s="160"/>
      <c r="CC54" s="2"/>
      <c r="CD54" s="159"/>
      <c r="CE54" s="16"/>
      <c r="CF54" s="16"/>
      <c r="CG54" s="16"/>
      <c r="CH54" s="354"/>
      <c r="CI54" s="354"/>
      <c r="CJ54" s="16"/>
      <c r="CO54" s="16"/>
      <c r="CQ54" s="16"/>
      <c r="CR54" s="16"/>
      <c r="CV54" s="16"/>
      <c r="CW54" s="16"/>
      <c r="DA54" s="16"/>
      <c r="DB54" s="356"/>
      <c r="DC54" s="160"/>
      <c r="DJ54" s="173"/>
      <c r="DK54" s="173"/>
      <c r="DL54" s="16"/>
      <c r="DM54" s="9"/>
      <c r="DN54" s="9"/>
      <c r="DO54" s="16"/>
      <c r="DP54" s="16"/>
    </row>
    <row r="55" spans="1:120" s="5" customFormat="1" ht="19.5" customHeight="1" x14ac:dyDescent="0.2">
      <c r="A55" s="155"/>
      <c r="B55" s="17"/>
      <c r="C55" s="17"/>
      <c r="D55" s="17"/>
      <c r="E55" s="17"/>
      <c r="F55" s="17"/>
      <c r="G55" s="17"/>
      <c r="H55" s="17"/>
      <c r="I55" s="17"/>
      <c r="J55" s="17"/>
      <c r="K55" s="17"/>
      <c r="N55" s="173"/>
      <c r="O55" s="173"/>
      <c r="P55" s="155"/>
      <c r="Q55" s="173"/>
      <c r="R55" s="173"/>
      <c r="S55" s="173"/>
      <c r="T55" s="173"/>
      <c r="U55" s="173"/>
      <c r="AA55" s="81"/>
      <c r="AB55" s="353"/>
      <c r="AC55" s="81"/>
      <c r="AD55" s="16"/>
      <c r="AE55" s="250"/>
      <c r="AF55" s="173"/>
      <c r="AG55" s="173"/>
      <c r="AH55" s="173"/>
      <c r="AI55" s="184"/>
      <c r="AJ55" s="251"/>
      <c r="AK55" s="160"/>
      <c r="AL55" s="2"/>
      <c r="AM55" s="155"/>
      <c r="AN55" s="16"/>
      <c r="AO55" s="16"/>
      <c r="AP55" s="16"/>
      <c r="AQ55" s="16"/>
      <c r="AR55" s="16"/>
      <c r="AS55" s="16"/>
      <c r="AT55" s="700"/>
      <c r="AU55" s="700"/>
      <c r="AV55" s="16"/>
      <c r="AW55" s="16"/>
      <c r="AX55" s="17"/>
      <c r="AY55" s="256"/>
      <c r="AZ55" s="257"/>
      <c r="BA55" s="155"/>
      <c r="BB55" s="110"/>
      <c r="BC55" s="110"/>
      <c r="BD55" s="255"/>
      <c r="BE55" s="2"/>
      <c r="BF55" s="2"/>
      <c r="BG55" s="9"/>
      <c r="BH55" s="9"/>
      <c r="BI55" s="9"/>
      <c r="BJ55" s="16"/>
      <c r="BK55" s="16"/>
      <c r="BL55" s="2"/>
      <c r="BN55" s="9"/>
      <c r="BT55" s="9"/>
      <c r="BU55" s="9"/>
      <c r="BV55" s="9"/>
      <c r="BW55" s="9"/>
      <c r="BX55" s="9"/>
      <c r="BY55" s="9"/>
      <c r="BZ55" s="10"/>
      <c r="CA55" s="10"/>
      <c r="CB55" s="160"/>
      <c r="CC55" s="2"/>
      <c r="CD55" s="159"/>
      <c r="CE55" s="354"/>
      <c r="CF55" s="16"/>
      <c r="CG55" s="16"/>
      <c r="CH55" s="354"/>
      <c r="CI55" s="354"/>
      <c r="CJ55" s="16"/>
      <c r="CO55" s="16"/>
      <c r="CQ55" s="16"/>
      <c r="CR55" s="16"/>
      <c r="DA55" s="16"/>
      <c r="DB55" s="356"/>
      <c r="DC55" s="160"/>
      <c r="DJ55" s="173"/>
      <c r="DK55" s="173"/>
      <c r="DL55" s="9"/>
      <c r="DM55" s="16"/>
      <c r="DN55" s="16"/>
      <c r="DO55" s="16"/>
      <c r="DP55" s="16"/>
    </row>
    <row r="56" spans="1:120" s="5" customFormat="1" ht="19.5" customHeight="1" x14ac:dyDescent="0.25">
      <c r="A56" s="155"/>
      <c r="B56" s="17"/>
      <c r="C56" s="17"/>
      <c r="D56" s="17"/>
      <c r="E56" s="17"/>
      <c r="F56" s="17"/>
      <c r="G56" s="17"/>
      <c r="H56" s="17"/>
      <c r="I56" s="17"/>
      <c r="J56" s="17"/>
      <c r="K56" s="17"/>
      <c r="N56" s="173"/>
      <c r="O56" s="173"/>
      <c r="P56" s="155"/>
      <c r="Q56" s="173"/>
      <c r="R56" s="173"/>
      <c r="S56" s="173"/>
      <c r="T56" s="173"/>
      <c r="U56" s="173"/>
      <c r="AC56" s="16"/>
      <c r="AD56" s="16"/>
      <c r="AE56" s="250"/>
      <c r="AF56" s="173"/>
      <c r="AG56" s="173"/>
      <c r="AH56" s="173"/>
      <c r="AI56" s="184"/>
      <c r="AJ56" s="251"/>
      <c r="AK56" s="160"/>
      <c r="AL56" s="2"/>
      <c r="AM56" s="155"/>
      <c r="AO56" s="16"/>
      <c r="AP56" s="16"/>
      <c r="AQ56" s="16"/>
      <c r="AR56" s="16"/>
      <c r="AS56" s="17"/>
      <c r="AT56" s="258"/>
      <c r="AU56" s="258"/>
      <c r="AV56" s="16"/>
      <c r="AW56" s="16"/>
      <c r="AX56" s="17"/>
      <c r="AY56" s="17"/>
      <c r="AZ56" s="101"/>
      <c r="BA56" s="155"/>
      <c r="BB56" s="110"/>
      <c r="BC56" s="110"/>
      <c r="BD56" s="255"/>
      <c r="BE56" s="2"/>
      <c r="BF56" s="2"/>
      <c r="BG56" s="2"/>
      <c r="BH56" s="2"/>
      <c r="BK56" s="16"/>
      <c r="BL56" s="2"/>
      <c r="BN56" s="9"/>
      <c r="BT56" s="9"/>
      <c r="BU56" s="9"/>
      <c r="BV56" s="9"/>
      <c r="BW56" s="9"/>
      <c r="BX56" s="9"/>
      <c r="BY56" s="9"/>
      <c r="BZ56" s="10"/>
      <c r="CA56" s="10"/>
      <c r="CB56" s="160"/>
      <c r="CC56" s="2"/>
      <c r="CD56" s="159"/>
      <c r="CE56" s="354"/>
      <c r="CF56" s="16"/>
      <c r="CG56" s="16"/>
      <c r="CH56" s="16"/>
      <c r="CI56" s="16"/>
      <c r="CJ56" s="16"/>
      <c r="CO56" s="16"/>
      <c r="CQ56" s="16"/>
      <c r="CR56" s="16"/>
      <c r="DA56" s="16"/>
      <c r="DB56" s="16"/>
      <c r="DC56" s="160"/>
    </row>
    <row r="57" spans="1:120" s="5" customFormat="1" ht="19.5" customHeight="1" thickBot="1" x14ac:dyDescent="0.3">
      <c r="A57" s="155"/>
      <c r="B57" s="17"/>
      <c r="C57" s="17"/>
      <c r="D57" s="17"/>
      <c r="E57" s="17"/>
      <c r="F57" s="17"/>
      <c r="G57" s="17"/>
      <c r="H57" s="17"/>
      <c r="I57" s="17"/>
      <c r="J57" s="17"/>
      <c r="K57" s="17"/>
      <c r="N57" s="173"/>
      <c r="O57" s="173"/>
      <c r="P57" s="155"/>
      <c r="Q57" s="173"/>
      <c r="R57" s="173"/>
      <c r="S57" s="173"/>
      <c r="T57" s="173"/>
      <c r="U57" s="173"/>
      <c r="AC57" s="16"/>
      <c r="AD57" s="16"/>
      <c r="AE57" s="250"/>
      <c r="AF57" s="173"/>
      <c r="AG57" s="173"/>
      <c r="AH57" s="173"/>
      <c r="AI57" s="184"/>
      <c r="AJ57" s="251"/>
      <c r="AK57" s="160"/>
      <c r="AL57" s="2"/>
      <c r="AM57" s="155"/>
      <c r="AN57" s="685"/>
      <c r="AO57" s="685"/>
      <c r="AP57" s="98"/>
      <c r="AQ57" s="98"/>
      <c r="AR57" s="16"/>
      <c r="AS57" s="17"/>
      <c r="AT57" s="701"/>
      <c r="AU57" s="701"/>
      <c r="AV57" s="17"/>
      <c r="AW57" s="2"/>
      <c r="AX57" s="17"/>
      <c r="AY57" s="17"/>
      <c r="AZ57" s="101"/>
      <c r="BA57" s="155"/>
      <c r="BB57" s="17"/>
      <c r="BC57" s="17"/>
      <c r="BD57" s="255"/>
      <c r="BE57" s="2"/>
      <c r="BF57" s="2"/>
      <c r="BG57" s="2"/>
      <c r="BH57" s="2"/>
      <c r="BK57" s="16"/>
      <c r="BL57" s="2"/>
      <c r="BN57" s="9"/>
      <c r="BT57" s="9"/>
      <c r="BU57" s="9"/>
      <c r="BV57" s="9"/>
      <c r="BW57" s="9"/>
      <c r="BX57" s="9"/>
      <c r="BY57" s="9"/>
      <c r="BZ57" s="10"/>
      <c r="CA57" s="48"/>
      <c r="CB57" s="160"/>
      <c r="CC57" s="2"/>
      <c r="CD57" s="159"/>
      <c r="CE57" s="354"/>
      <c r="CF57" s="16"/>
      <c r="CG57" s="16"/>
      <c r="CH57" s="385"/>
      <c r="CI57" s="385"/>
      <c r="CJ57" s="16"/>
      <c r="CM57" s="41"/>
      <c r="CN57" s="41"/>
      <c r="CO57" s="16"/>
      <c r="CQ57" s="16"/>
      <c r="CR57" s="16"/>
      <c r="CT57" s="16"/>
      <c r="CU57" s="16"/>
      <c r="CV57" s="16"/>
      <c r="CW57" s="16"/>
      <c r="CX57" s="16"/>
      <c r="CY57" s="16"/>
      <c r="CZ57" s="16"/>
      <c r="DA57" s="16"/>
      <c r="DB57" s="16"/>
      <c r="DC57" s="160"/>
    </row>
    <row r="58" spans="1:120" s="5" customFormat="1" ht="19.5" customHeight="1" x14ac:dyDescent="0.25">
      <c r="A58" s="155"/>
      <c r="B58" s="17"/>
      <c r="C58" s="17"/>
      <c r="D58" s="17"/>
      <c r="E58" s="17"/>
      <c r="F58" s="67" t="s">
        <v>209</v>
      </c>
      <c r="G58" s="127"/>
      <c r="H58" s="127"/>
      <c r="I58" s="127"/>
      <c r="J58" s="127"/>
      <c r="K58" s="127"/>
      <c r="N58" s="173"/>
      <c r="O58" s="173"/>
      <c r="P58" s="155"/>
      <c r="Q58" s="173"/>
      <c r="R58" s="173"/>
      <c r="S58" s="173"/>
      <c r="T58" s="173"/>
      <c r="U58" s="173"/>
      <c r="AC58" s="9"/>
      <c r="AD58" s="9"/>
      <c r="AE58" s="250"/>
      <c r="AF58" s="173"/>
      <c r="AG58" s="173"/>
      <c r="AH58" s="173"/>
      <c r="AI58" s="184"/>
      <c r="AJ58" s="251"/>
      <c r="AK58" s="160"/>
      <c r="AL58" s="2"/>
      <c r="AM58" s="155"/>
      <c r="AN58" s="225"/>
      <c r="AO58" s="22" t="s">
        <v>210</v>
      </c>
      <c r="AP58" s="98"/>
      <c r="AQ58" s="98"/>
      <c r="AR58" s="110"/>
      <c r="AS58" s="16"/>
      <c r="AT58" s="357"/>
      <c r="AU58" s="357"/>
      <c r="AV58" s="16"/>
      <c r="AW58" s="16"/>
      <c r="AX58" s="71"/>
      <c r="AY58" s="128"/>
      <c r="AZ58" s="101"/>
      <c r="BA58" s="155"/>
      <c r="BB58" s="128"/>
      <c r="BC58" s="128"/>
      <c r="BD58" s="255"/>
      <c r="BE58" s="2"/>
      <c r="BK58" s="16"/>
      <c r="BL58" s="2"/>
      <c r="BN58" s="9"/>
      <c r="BO58" s="2"/>
      <c r="BT58" s="9"/>
      <c r="BU58" s="690" t="s">
        <v>180</v>
      </c>
      <c r="BV58" s="691"/>
      <c r="BW58" s="691"/>
      <c r="BX58" s="691"/>
      <c r="BY58" s="691"/>
      <c r="BZ58" s="691"/>
      <c r="CA58" s="692"/>
      <c r="CB58" s="160"/>
      <c r="CC58" s="2"/>
      <c r="CD58" s="159"/>
      <c r="CE58" s="354"/>
      <c r="CF58" s="16"/>
      <c r="CG58" s="16"/>
      <c r="CH58" s="385"/>
      <c r="CI58" s="385"/>
      <c r="CJ58" s="16"/>
      <c r="CM58" s="368"/>
      <c r="CN58" s="368"/>
      <c r="CQ58" s="16"/>
      <c r="CR58" s="16"/>
      <c r="CW58" s="396"/>
      <c r="CX58" s="397"/>
      <c r="CY58" s="397"/>
      <c r="CZ58" s="397"/>
      <c r="DA58" s="397"/>
      <c r="DB58" s="398"/>
      <c r="DC58" s="160"/>
    </row>
    <row r="59" spans="1:120" s="5" customFormat="1" ht="19.5" customHeight="1" x14ac:dyDescent="0.25">
      <c r="A59" s="155"/>
      <c r="B59" s="17"/>
      <c r="C59" s="17"/>
      <c r="D59" s="17"/>
      <c r="E59" s="17"/>
      <c r="F59" s="127"/>
      <c r="G59" s="127"/>
      <c r="H59" s="127"/>
      <c r="I59" s="127"/>
      <c r="J59" s="127"/>
      <c r="K59" s="127"/>
      <c r="L59" s="127"/>
      <c r="M59" s="17"/>
      <c r="N59" s="173"/>
      <c r="O59" s="259"/>
      <c r="P59" s="155"/>
      <c r="Q59" s="173"/>
      <c r="R59" s="173"/>
      <c r="S59" s="173"/>
      <c r="T59" s="173"/>
      <c r="U59" s="173"/>
      <c r="AC59" s="16"/>
      <c r="AD59" s="16"/>
      <c r="AE59" s="250"/>
      <c r="AF59" s="173"/>
      <c r="AG59" s="173"/>
      <c r="AH59" s="260"/>
      <c r="AI59" s="184"/>
      <c r="AJ59" s="251"/>
      <c r="AK59" s="160"/>
      <c r="AL59" s="2"/>
      <c r="AM59" s="155"/>
      <c r="AN59" s="420" t="s">
        <v>773</v>
      </c>
      <c r="AO59" s="226"/>
      <c r="AP59" s="215"/>
      <c r="AQ59" s="98"/>
      <c r="AR59" s="16"/>
      <c r="AS59" s="16"/>
      <c r="AT59" s="357"/>
      <c r="AU59" s="357"/>
      <c r="AV59" s="16"/>
      <c r="AW59" s="2"/>
      <c r="AX59" s="71"/>
      <c r="AY59" s="128"/>
      <c r="AZ59" s="101"/>
      <c r="BA59" s="155"/>
      <c r="BB59" s="128"/>
      <c r="BC59" s="128"/>
      <c r="BD59" s="255"/>
      <c r="BE59" s="9"/>
      <c r="BI59" s="9"/>
      <c r="BJ59" s="9"/>
      <c r="BK59" s="9"/>
      <c r="BL59" s="9"/>
      <c r="BM59" s="2"/>
      <c r="BN59" s="2"/>
      <c r="BO59" s="2"/>
      <c r="BT59" s="9"/>
      <c r="BU59" s="693"/>
      <c r="BV59" s="694"/>
      <c r="BW59" s="694"/>
      <c r="BX59" s="694"/>
      <c r="BY59" s="694"/>
      <c r="BZ59" s="694"/>
      <c r="CA59" s="695"/>
      <c r="CB59" s="160"/>
      <c r="CC59" s="2"/>
      <c r="CD59" s="159"/>
      <c r="CE59" s="16"/>
      <c r="CF59" s="16"/>
      <c r="CG59" s="16"/>
      <c r="CH59" s="385"/>
      <c r="CI59" s="385"/>
      <c r="CJ59" s="16"/>
      <c r="CL59" s="16"/>
      <c r="CM59" s="368"/>
      <c r="CN59" s="368"/>
      <c r="CQ59" s="16"/>
      <c r="CR59" s="16"/>
      <c r="CW59" s="20" t="s">
        <v>180</v>
      </c>
      <c r="CX59" s="4"/>
      <c r="CY59" s="4"/>
      <c r="CZ59" s="4"/>
      <c r="DA59" s="4"/>
      <c r="DB59" s="21"/>
      <c r="DC59" s="160"/>
    </row>
    <row r="60" spans="1:120" s="5" customFormat="1" ht="19.5" customHeight="1" x14ac:dyDescent="0.25">
      <c r="A60" s="155"/>
      <c r="B60" s="17"/>
      <c r="C60" s="17"/>
      <c r="D60" s="17"/>
      <c r="E60" s="17"/>
      <c r="F60" s="127"/>
      <c r="G60" s="127"/>
      <c r="H60" s="127"/>
      <c r="I60" s="127"/>
      <c r="J60" s="127"/>
      <c r="K60" s="127"/>
      <c r="L60" s="127"/>
      <c r="M60" s="17"/>
      <c r="N60" s="173"/>
      <c r="O60" s="173"/>
      <c r="P60" s="155"/>
      <c r="Q60" s="173"/>
      <c r="R60" s="173"/>
      <c r="S60" s="173"/>
      <c r="T60" s="173"/>
      <c r="U60" s="173"/>
      <c r="AC60" s="16"/>
      <c r="AD60" s="16"/>
      <c r="AE60" s="250"/>
      <c r="AF60" s="173"/>
      <c r="AG60" s="173"/>
      <c r="AH60" s="260"/>
      <c r="AI60" s="184"/>
      <c r="AJ60" s="251"/>
      <c r="AK60" s="160"/>
      <c r="AL60" s="2"/>
      <c r="AM60" s="155"/>
      <c r="AN60" s="225"/>
      <c r="AP60" s="215"/>
      <c r="AQ60" s="98"/>
      <c r="AR60" s="16"/>
      <c r="AS60" s="110"/>
      <c r="AT60" s="357"/>
      <c r="AU60" s="357"/>
      <c r="AV60" s="110"/>
      <c r="AW60" s="110"/>
      <c r="AX60" s="110"/>
      <c r="AY60" s="128"/>
      <c r="AZ60" s="101"/>
      <c r="BA60" s="155"/>
      <c r="BB60" s="128"/>
      <c r="BC60" s="128"/>
      <c r="BD60" s="255"/>
      <c r="BE60" s="9"/>
      <c r="BI60" s="9"/>
      <c r="BJ60" s="9"/>
      <c r="BK60" s="9"/>
      <c r="BL60" s="9"/>
      <c r="BM60" s="9"/>
      <c r="BN60" s="9"/>
      <c r="BO60" s="9"/>
      <c r="BT60" s="9"/>
      <c r="BU60" s="693"/>
      <c r="BV60" s="694"/>
      <c r="BW60" s="694"/>
      <c r="BX60" s="694"/>
      <c r="BY60" s="694"/>
      <c r="BZ60" s="694"/>
      <c r="CA60" s="695"/>
      <c r="CB60" s="160"/>
      <c r="CC60" s="2"/>
      <c r="CD60" s="159"/>
      <c r="CE60" s="16"/>
      <c r="CF60" s="16"/>
      <c r="CG60" s="16"/>
      <c r="CH60" s="16"/>
      <c r="CI60" s="16"/>
      <c r="CJ60" s="16"/>
      <c r="CL60" s="16"/>
      <c r="CQ60" s="16"/>
      <c r="CR60" s="16"/>
      <c r="CW60" s="20"/>
      <c r="CX60" s="4"/>
      <c r="CY60" s="4"/>
      <c r="CZ60" s="4"/>
      <c r="DA60" s="4"/>
      <c r="DB60" s="21"/>
      <c r="DC60" s="160"/>
    </row>
    <row r="61" spans="1:120" s="5" customFormat="1" ht="19.5" customHeight="1" thickBot="1" x14ac:dyDescent="0.3">
      <c r="A61" s="155"/>
      <c r="B61" s="17"/>
      <c r="C61" s="17"/>
      <c r="D61" s="17"/>
      <c r="E61" s="17"/>
      <c r="F61" s="127"/>
      <c r="G61" s="127"/>
      <c r="H61" s="127"/>
      <c r="I61" s="127"/>
      <c r="J61" s="127"/>
      <c r="K61" s="127"/>
      <c r="L61" s="127"/>
      <c r="M61" s="17"/>
      <c r="N61" s="173"/>
      <c r="O61" s="173"/>
      <c r="P61" s="155"/>
      <c r="Q61" s="173"/>
      <c r="R61" s="173"/>
      <c r="S61" s="173"/>
      <c r="T61" s="173"/>
      <c r="U61" s="173"/>
      <c r="AC61" s="16"/>
      <c r="AD61" s="16"/>
      <c r="AE61" s="261"/>
      <c r="AF61" s="262"/>
      <c r="AG61" s="262"/>
      <c r="AH61" s="263"/>
      <c r="AI61" s="131"/>
      <c r="AJ61" s="264"/>
      <c r="AK61" s="160"/>
      <c r="AL61" s="2"/>
      <c r="AM61" s="155"/>
      <c r="AN61" s="420" t="s">
        <v>773</v>
      </c>
      <c r="AO61" s="226"/>
      <c r="AP61" s="215"/>
      <c r="AQ61" s="98"/>
      <c r="AR61" s="2"/>
      <c r="AX61" s="110"/>
      <c r="AY61" s="110"/>
      <c r="AZ61" s="365"/>
      <c r="BA61" s="155"/>
      <c r="BB61" s="17"/>
      <c r="BC61" s="110"/>
      <c r="BD61" s="132"/>
      <c r="BE61" s="110"/>
      <c r="BG61" s="9"/>
      <c r="BH61" s="9"/>
      <c r="BI61" s="9"/>
      <c r="BJ61" s="9"/>
      <c r="BK61" s="9"/>
      <c r="BL61" s="9"/>
      <c r="BM61" s="9"/>
      <c r="BN61" s="9"/>
      <c r="BO61" s="9"/>
      <c r="BT61" s="9"/>
      <c r="BU61" s="693"/>
      <c r="BV61" s="694"/>
      <c r="BW61" s="694"/>
      <c r="BX61" s="694"/>
      <c r="BY61" s="694"/>
      <c r="BZ61" s="694"/>
      <c r="CA61" s="695"/>
      <c r="CB61" s="160"/>
      <c r="CC61" s="2"/>
      <c r="CD61" s="159"/>
      <c r="CE61" s="16"/>
      <c r="CF61" s="16"/>
      <c r="CG61" s="16"/>
      <c r="CH61" s="16"/>
      <c r="CI61" s="16"/>
      <c r="CJ61" s="16"/>
      <c r="CL61" s="16"/>
      <c r="CM61" s="16"/>
      <c r="CQ61" s="16"/>
      <c r="CR61" s="16"/>
      <c r="CV61" s="23"/>
      <c r="CW61" s="20"/>
      <c r="CX61" s="4"/>
      <c r="CY61" s="4"/>
      <c r="CZ61" s="4"/>
      <c r="DA61" s="4"/>
      <c r="DB61" s="21"/>
      <c r="DC61" s="160"/>
    </row>
    <row r="62" spans="1:120" s="5" customFormat="1" ht="19.5" customHeight="1" x14ac:dyDescent="0.25">
      <c r="A62" s="155"/>
      <c r="B62" s="17"/>
      <c r="C62" s="17"/>
      <c r="D62" s="17"/>
      <c r="E62" s="17"/>
      <c r="F62" s="127"/>
      <c r="G62" s="127"/>
      <c r="H62" s="127"/>
      <c r="I62" s="127"/>
      <c r="J62" s="127"/>
      <c r="K62" s="127"/>
      <c r="L62" s="127"/>
      <c r="M62" s="17"/>
      <c r="N62" s="173"/>
      <c r="O62" s="173"/>
      <c r="P62" s="155"/>
      <c r="Q62" s="173"/>
      <c r="R62" s="173"/>
      <c r="S62" s="173"/>
      <c r="T62" s="173"/>
      <c r="U62" s="173"/>
      <c r="AC62" s="16"/>
      <c r="AD62" s="16"/>
      <c r="AE62" s="349"/>
      <c r="AF62" s="349"/>
      <c r="AG62" s="275"/>
      <c r="AH62" s="49"/>
      <c r="AI62" s="265"/>
      <c r="AJ62" s="49"/>
      <c r="AK62" s="160"/>
      <c r="AL62" s="2"/>
      <c r="AM62" s="155"/>
      <c r="AN62" s="225"/>
      <c r="AO62" s="231"/>
      <c r="AP62" s="215"/>
      <c r="AQ62" s="98"/>
      <c r="AR62" s="16"/>
      <c r="AX62" s="17"/>
      <c r="AY62" s="2"/>
      <c r="AZ62" s="275"/>
      <c r="BA62" s="155"/>
      <c r="BB62" s="133"/>
      <c r="BC62" s="133"/>
      <c r="BD62" s="132"/>
      <c r="BE62" s="110"/>
      <c r="BG62" s="9"/>
      <c r="BH62" s="9"/>
      <c r="BI62" s="9"/>
      <c r="BJ62" s="9"/>
      <c r="BK62" s="9"/>
      <c r="BL62" s="9"/>
      <c r="BM62" s="9"/>
      <c r="BN62" s="9"/>
      <c r="BO62" s="9"/>
      <c r="BT62" s="9"/>
      <c r="BU62" s="693"/>
      <c r="BV62" s="694"/>
      <c r="BW62" s="694"/>
      <c r="BX62" s="694"/>
      <c r="BY62" s="694"/>
      <c r="BZ62" s="694"/>
      <c r="CA62" s="695"/>
      <c r="CB62" s="159"/>
      <c r="CC62" s="2"/>
      <c r="CD62" s="159"/>
      <c r="CE62" s="16"/>
      <c r="CF62" s="16"/>
      <c r="CG62" s="16"/>
      <c r="CH62" s="16"/>
      <c r="CI62" s="16"/>
      <c r="CJ62" s="16"/>
      <c r="CQ62" s="16"/>
      <c r="CR62" s="16"/>
      <c r="CV62" s="9"/>
      <c r="CW62" s="20"/>
      <c r="CX62" s="4"/>
      <c r="CY62" s="4"/>
      <c r="CZ62" s="4"/>
      <c r="DA62" s="4"/>
      <c r="DB62" s="21"/>
      <c r="DC62" s="160"/>
    </row>
    <row r="63" spans="1:120" s="5" customFormat="1" ht="19.5" customHeight="1" x14ac:dyDescent="0.25">
      <c r="A63" s="155"/>
      <c r="B63" s="17"/>
      <c r="C63" s="17"/>
      <c r="D63" s="17"/>
      <c r="E63" s="17"/>
      <c r="F63" s="127"/>
      <c r="G63" s="127"/>
      <c r="H63" s="127"/>
      <c r="I63" s="127"/>
      <c r="J63" s="127"/>
      <c r="K63" s="127"/>
      <c r="L63" s="127"/>
      <c r="M63" s="17"/>
      <c r="N63" s="173"/>
      <c r="O63" s="173"/>
      <c r="P63" s="155"/>
      <c r="Q63" s="173"/>
      <c r="R63" s="173"/>
      <c r="S63" s="173"/>
      <c r="T63" s="173"/>
      <c r="U63" s="173"/>
      <c r="AC63" s="16"/>
      <c r="AD63" s="16"/>
      <c r="AE63" s="686"/>
      <c r="AF63" s="686"/>
      <c r="AG63" s="19"/>
      <c r="AH63" s="22"/>
      <c r="AI63" s="405"/>
      <c r="AJ63" s="70"/>
      <c r="AK63" s="159"/>
      <c r="AL63" s="2"/>
      <c r="AM63" s="155"/>
      <c r="AN63" s="420" t="s">
        <v>773</v>
      </c>
      <c r="AO63" s="226"/>
      <c r="AP63" s="215"/>
      <c r="AQ63" s="98"/>
      <c r="AR63" s="16"/>
      <c r="AT63" s="60"/>
      <c r="AU63" s="60"/>
      <c r="AX63" s="2"/>
      <c r="AY63" s="2"/>
      <c r="AZ63" s="133"/>
      <c r="BA63" s="155"/>
      <c r="BB63" s="133"/>
      <c r="BC63" s="133"/>
      <c r="BD63" s="173"/>
      <c r="BE63" s="266"/>
      <c r="BF63" s="267"/>
      <c r="BG63" s="267"/>
      <c r="BH63" s="159"/>
      <c r="BI63" s="159"/>
      <c r="BJ63" s="159"/>
      <c r="BK63" s="159"/>
      <c r="BL63" s="159"/>
      <c r="BM63" s="159"/>
      <c r="BN63" s="159"/>
      <c r="BO63" s="159"/>
      <c r="BT63" s="173"/>
      <c r="BU63" s="693"/>
      <c r="BV63" s="694"/>
      <c r="BW63" s="694"/>
      <c r="BX63" s="694"/>
      <c r="BY63" s="694"/>
      <c r="BZ63" s="694"/>
      <c r="CA63" s="695"/>
      <c r="CB63" s="159"/>
      <c r="CC63" s="2"/>
      <c r="CD63" s="159"/>
      <c r="CE63" s="16"/>
      <c r="CG63" s="16"/>
      <c r="CH63" s="16"/>
      <c r="CI63" s="16"/>
      <c r="CJ63" s="16"/>
      <c r="CQ63" s="16"/>
      <c r="CR63" s="16"/>
      <c r="CV63" s="9"/>
      <c r="CW63" s="20"/>
      <c r="CX63" s="4"/>
      <c r="CY63" s="4"/>
      <c r="CZ63" s="4"/>
      <c r="DA63" s="4"/>
      <c r="DB63" s="21"/>
      <c r="DC63" s="160"/>
    </row>
    <row r="64" spans="1:120" s="5" customFormat="1" ht="19.5" customHeight="1" thickBot="1" x14ac:dyDescent="0.3">
      <c r="A64" s="155"/>
      <c r="B64" s="17"/>
      <c r="C64" s="17"/>
      <c r="D64" s="17"/>
      <c r="E64" s="17"/>
      <c r="F64" s="127"/>
      <c r="G64" s="127"/>
      <c r="H64" s="127"/>
      <c r="I64" s="127"/>
      <c r="J64" s="127"/>
      <c r="K64" s="127"/>
      <c r="L64" s="127"/>
      <c r="M64" s="17"/>
      <c r="N64" s="173"/>
      <c r="O64" s="173"/>
      <c r="P64" s="155"/>
      <c r="Q64" s="173"/>
      <c r="R64" s="173"/>
      <c r="S64" s="173"/>
      <c r="T64" s="173"/>
      <c r="U64" s="173"/>
      <c r="V64" s="173"/>
      <c r="W64" s="173"/>
      <c r="X64" s="9"/>
      <c r="Y64" s="16"/>
      <c r="Z64" s="16"/>
      <c r="AA64" s="16"/>
      <c r="AB64" s="16"/>
      <c r="AC64" s="16"/>
      <c r="AD64" s="16"/>
      <c r="AE64" s="19"/>
      <c r="AF64" s="19"/>
      <c r="AG64" s="19"/>
      <c r="AH64" s="19"/>
      <c r="AI64" s="177"/>
      <c r="AJ64" s="70"/>
      <c r="AK64" s="159"/>
      <c r="AL64" s="2"/>
      <c r="AM64" s="155"/>
      <c r="AN64" s="225"/>
      <c r="AO64" s="216"/>
      <c r="AP64" s="215"/>
      <c r="AT64" s="60"/>
      <c r="AU64" s="60"/>
      <c r="AW64" s="2"/>
      <c r="AX64" s="2"/>
      <c r="AY64" s="110"/>
      <c r="AZ64" s="110"/>
      <c r="BA64" s="155"/>
      <c r="BB64" s="110"/>
      <c r="BC64" s="110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59"/>
      <c r="BP64" s="173"/>
      <c r="BQ64" s="173"/>
      <c r="BR64" s="173"/>
      <c r="BS64" s="173"/>
      <c r="BT64" s="173"/>
      <c r="BU64" s="693"/>
      <c r="BV64" s="694"/>
      <c r="BW64" s="694"/>
      <c r="BX64" s="694"/>
      <c r="BY64" s="694"/>
      <c r="BZ64" s="694"/>
      <c r="CA64" s="695"/>
      <c r="CB64" s="268"/>
      <c r="CC64" s="2"/>
      <c r="CD64" s="159"/>
      <c r="CH64" s="2"/>
      <c r="CI64" s="2"/>
      <c r="CJ64" s="2"/>
      <c r="CQ64" s="16"/>
      <c r="CR64" s="16"/>
      <c r="CV64" s="9"/>
      <c r="CW64" s="25"/>
      <c r="CX64" s="26"/>
      <c r="CY64" s="26"/>
      <c r="CZ64" s="26"/>
      <c r="DA64" s="26"/>
      <c r="DB64" s="27"/>
      <c r="DC64" s="160"/>
    </row>
    <row r="65" spans="1:197" s="5" customFormat="1" ht="19.5" customHeight="1" x14ac:dyDescent="0.25">
      <c r="A65" s="15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3"/>
      <c r="O65" s="173"/>
      <c r="P65" s="155"/>
      <c r="Q65" s="173"/>
      <c r="R65" s="173"/>
      <c r="S65" s="173"/>
      <c r="T65" s="173"/>
      <c r="U65" s="173"/>
      <c r="V65" s="173"/>
      <c r="W65" s="173"/>
      <c r="X65" s="9"/>
      <c r="Y65" s="9"/>
      <c r="Z65" s="16"/>
      <c r="AA65" s="16"/>
      <c r="AB65" s="16"/>
      <c r="AC65" s="16"/>
      <c r="AD65" s="16"/>
      <c r="AH65" s="687"/>
      <c r="AI65" s="687"/>
      <c r="AJ65" s="687"/>
      <c r="AK65" s="268"/>
      <c r="AL65" s="2"/>
      <c r="AM65" s="155"/>
      <c r="AN65" s="420" t="s">
        <v>773</v>
      </c>
      <c r="AO65" s="226"/>
      <c r="AP65" s="215"/>
      <c r="AT65" s="60"/>
      <c r="AU65" s="60"/>
      <c r="AW65" s="2"/>
      <c r="AX65" s="2"/>
      <c r="AY65" s="110"/>
      <c r="AZ65" s="17"/>
      <c r="BA65" s="155"/>
      <c r="BB65" s="17"/>
      <c r="BC65" s="17"/>
      <c r="BD65" s="17"/>
      <c r="BE65" s="173"/>
      <c r="BF65" s="173"/>
      <c r="BG65" s="173"/>
      <c r="BH65" s="173"/>
      <c r="BI65" s="126" t="s">
        <v>213</v>
      </c>
      <c r="BJ65" s="126"/>
      <c r="BK65" s="173"/>
      <c r="BL65" s="173"/>
      <c r="BM65" s="173"/>
      <c r="BN65" s="173"/>
      <c r="BO65" s="159"/>
      <c r="BP65" s="173"/>
      <c r="BQ65" s="173"/>
      <c r="BR65" s="173"/>
      <c r="BS65" s="173"/>
      <c r="BT65" s="173"/>
      <c r="BU65" s="693"/>
      <c r="BV65" s="694"/>
      <c r="BW65" s="694"/>
      <c r="BX65" s="694"/>
      <c r="BY65" s="694"/>
      <c r="BZ65" s="694"/>
      <c r="CA65" s="695"/>
      <c r="CB65" s="268"/>
      <c r="CC65" s="2"/>
      <c r="CD65" s="159"/>
      <c r="CH65" s="2"/>
      <c r="CI65" s="2"/>
      <c r="CJ65" s="2"/>
      <c r="CQ65" s="16"/>
      <c r="CR65" s="16"/>
      <c r="CV65" s="9"/>
      <c r="CW65" s="9"/>
      <c r="CX65" s="688" t="s">
        <v>181</v>
      </c>
      <c r="CY65" s="688"/>
      <c r="CZ65" s="688"/>
      <c r="DA65" s="10"/>
      <c r="DB65" s="10"/>
      <c r="DC65" s="160"/>
    </row>
    <row r="66" spans="1:197" s="5" customFormat="1" ht="19.5" customHeight="1" x14ac:dyDescent="0.25">
      <c r="A66" s="15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3"/>
      <c r="O66" s="173"/>
      <c r="P66" s="155"/>
      <c r="Q66" s="173"/>
      <c r="R66" s="173"/>
      <c r="S66" s="173"/>
      <c r="T66" s="173"/>
      <c r="U66" s="173"/>
      <c r="V66" s="173"/>
      <c r="W66" s="173"/>
      <c r="X66" s="9"/>
      <c r="Y66" s="9"/>
      <c r="Z66" s="9"/>
      <c r="AA66" s="16"/>
      <c r="AB66" s="16"/>
      <c r="AC66" s="688" t="s">
        <v>200</v>
      </c>
      <c r="AD66" s="688"/>
      <c r="AE66" s="688"/>
      <c r="AF66" s="688"/>
      <c r="AG66" s="260"/>
      <c r="AH66" s="260"/>
      <c r="AI66" s="184"/>
      <c r="AJ66" s="184"/>
      <c r="AK66" s="268"/>
      <c r="AL66" s="2"/>
      <c r="AM66" s="155"/>
      <c r="AN66" s="225"/>
      <c r="AP66" s="16"/>
      <c r="AQ66" s="16"/>
      <c r="AR66" s="16"/>
      <c r="AW66" s="2"/>
      <c r="AX66" s="2"/>
      <c r="AY66" s="110"/>
      <c r="AZ66" s="17"/>
      <c r="BA66" s="155"/>
      <c r="BB66" s="17"/>
      <c r="BC66" s="110"/>
      <c r="BD66" s="110"/>
      <c r="BE66" s="110"/>
      <c r="BF66" s="110"/>
      <c r="BG66" s="173"/>
      <c r="BH66" s="173"/>
      <c r="BI66" s="173"/>
      <c r="BJ66" s="173"/>
      <c r="BK66" s="173"/>
      <c r="BL66" s="173"/>
      <c r="BM66" s="173"/>
      <c r="BN66" s="173"/>
      <c r="BO66" s="159"/>
      <c r="BP66" s="173"/>
      <c r="BQ66" s="173"/>
      <c r="BR66" s="173"/>
      <c r="BS66" s="173"/>
      <c r="BT66" s="173"/>
      <c r="BU66" s="693"/>
      <c r="BV66" s="694"/>
      <c r="BW66" s="694"/>
      <c r="BX66" s="694"/>
      <c r="BY66" s="694"/>
      <c r="BZ66" s="694"/>
      <c r="CA66" s="695"/>
      <c r="CB66" s="268"/>
      <c r="CC66" s="2"/>
      <c r="CD66" s="159"/>
      <c r="CE66" s="9"/>
      <c r="CF66" s="9"/>
      <c r="CG66" s="173"/>
      <c r="CH66" s="2"/>
      <c r="CI66" s="2"/>
      <c r="CJ66" s="2"/>
      <c r="CQ66" s="173"/>
      <c r="CV66" s="9"/>
      <c r="CW66" s="9"/>
      <c r="CX66" s="233"/>
      <c r="CY66" s="233"/>
      <c r="CZ66" s="233"/>
      <c r="DA66" s="10"/>
      <c r="DB66" s="10"/>
      <c r="DC66" s="160"/>
    </row>
    <row r="67" spans="1:197" s="5" customFormat="1" ht="19.5" customHeight="1" x14ac:dyDescent="0.25">
      <c r="A67" s="15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3"/>
      <c r="O67" s="173"/>
      <c r="P67" s="155"/>
      <c r="Q67" s="173"/>
      <c r="R67" s="173"/>
      <c r="S67" s="173"/>
      <c r="T67" s="173"/>
      <c r="U67" s="173"/>
      <c r="V67" s="173"/>
      <c r="W67" s="173"/>
      <c r="X67" s="9"/>
      <c r="Y67" s="81"/>
      <c r="Z67" s="81"/>
      <c r="AA67" s="16"/>
      <c r="AB67" s="16"/>
      <c r="AC67" s="177"/>
      <c r="AD67" s="177"/>
      <c r="AE67" s="177"/>
      <c r="AF67" s="177"/>
      <c r="AG67" s="260"/>
      <c r="AH67" s="85"/>
      <c r="AI67" s="85"/>
      <c r="AJ67" s="184"/>
      <c r="AK67" s="268"/>
      <c r="AL67" s="2"/>
      <c r="AM67" s="155"/>
      <c r="AO67" s="2"/>
      <c r="AP67" s="2"/>
      <c r="AQ67" s="16"/>
      <c r="AR67" s="2"/>
      <c r="AW67" s="2"/>
      <c r="AX67" s="2"/>
      <c r="AY67" s="110"/>
      <c r="AZ67" s="17"/>
      <c r="BA67" s="155"/>
      <c r="BB67" s="101"/>
      <c r="BC67" s="110"/>
      <c r="BD67" s="110"/>
      <c r="BE67" s="110"/>
      <c r="BF67" s="110"/>
      <c r="BG67" s="173"/>
      <c r="BH67" s="173"/>
      <c r="BI67" s="173"/>
      <c r="BJ67" s="173"/>
      <c r="BK67" s="173"/>
      <c r="BL67" s="173"/>
      <c r="BM67" s="173"/>
      <c r="BN67" s="173"/>
      <c r="BO67" s="159"/>
      <c r="BP67" s="173"/>
      <c r="BQ67" s="173"/>
      <c r="BR67" s="173"/>
      <c r="BS67" s="173"/>
      <c r="BT67" s="173"/>
      <c r="BU67" s="693"/>
      <c r="BV67" s="694"/>
      <c r="BW67" s="694"/>
      <c r="BX67" s="694"/>
      <c r="BY67" s="694"/>
      <c r="BZ67" s="694"/>
      <c r="CA67" s="695"/>
      <c r="CB67" s="159"/>
      <c r="CC67" s="2"/>
      <c r="CD67" s="159"/>
      <c r="CE67" s="130"/>
      <c r="CF67" s="9"/>
      <c r="CG67" s="2"/>
      <c r="CH67" s="9"/>
      <c r="CO67" s="173"/>
      <c r="CP67" s="271"/>
      <c r="CQ67" s="173"/>
      <c r="CV67" s="9"/>
      <c r="CW67" s="22" t="s">
        <v>214</v>
      </c>
      <c r="CX67" s="172" t="s">
        <v>174</v>
      </c>
      <c r="CY67" s="172" t="s">
        <v>174</v>
      </c>
      <c r="CZ67" s="172" t="s">
        <v>174</v>
      </c>
      <c r="DA67" s="10"/>
      <c r="DB67" s="10"/>
      <c r="DC67" s="160"/>
    </row>
    <row r="68" spans="1:197" s="5" customFormat="1" ht="19.5" customHeight="1" thickBot="1" x14ac:dyDescent="0.3">
      <c r="A68" s="15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3"/>
      <c r="O68" s="173"/>
      <c r="P68" s="155"/>
      <c r="Q68" s="173"/>
      <c r="R68" s="173"/>
      <c r="S68" s="173"/>
      <c r="T68" s="173"/>
      <c r="U68" s="173"/>
      <c r="V68" s="173"/>
      <c r="W68" s="173"/>
      <c r="X68" s="16"/>
      <c r="Y68" s="9"/>
      <c r="Z68" s="9"/>
      <c r="AA68" s="16"/>
      <c r="AB68" s="22" t="s">
        <v>215</v>
      </c>
      <c r="AC68" s="272" t="s">
        <v>174</v>
      </c>
      <c r="AD68" s="272" t="s">
        <v>174</v>
      </c>
      <c r="AE68" s="272" t="s">
        <v>174</v>
      </c>
      <c r="AF68" s="272" t="s">
        <v>174</v>
      </c>
      <c r="AG68" s="260"/>
      <c r="AH68" s="173"/>
      <c r="AI68" s="173"/>
      <c r="AJ68" s="173"/>
      <c r="AK68" s="159"/>
      <c r="AL68" s="2"/>
      <c r="AM68" s="155"/>
      <c r="AN68" s="88"/>
      <c r="AO68" s="2"/>
      <c r="AP68" s="2"/>
      <c r="AQ68" s="16"/>
      <c r="AR68" s="2"/>
      <c r="AS68" s="110"/>
      <c r="AT68" s="689"/>
      <c r="AU68" s="689"/>
      <c r="AV68" s="110"/>
      <c r="AW68" s="2"/>
      <c r="AX68" s="2"/>
      <c r="AY68" s="110"/>
      <c r="AZ68" s="17"/>
      <c r="BA68" s="155"/>
      <c r="BB68" s="110"/>
      <c r="BC68" s="110"/>
      <c r="BD68" s="110"/>
      <c r="BE68" s="110"/>
      <c r="BF68" s="110"/>
      <c r="BG68" s="173"/>
      <c r="BH68" s="173"/>
      <c r="BI68" s="173"/>
      <c r="BJ68" s="173"/>
      <c r="BK68" s="173"/>
      <c r="BL68" s="173"/>
      <c r="BM68" s="173"/>
      <c r="BN68" s="173"/>
      <c r="BO68" s="159"/>
      <c r="BP68" s="173"/>
      <c r="BQ68" s="173"/>
      <c r="BR68" s="173"/>
      <c r="BS68" s="173"/>
      <c r="BT68" s="173"/>
      <c r="BU68" s="696"/>
      <c r="BV68" s="697"/>
      <c r="BW68" s="697"/>
      <c r="BX68" s="697"/>
      <c r="BY68" s="697"/>
      <c r="BZ68" s="697"/>
      <c r="CA68" s="698"/>
      <c r="CB68" s="159"/>
      <c r="CC68" s="2"/>
      <c r="CD68" s="159"/>
      <c r="CE68" s="9"/>
      <c r="CF68" s="9"/>
      <c r="CG68" s="2"/>
      <c r="CH68" s="9"/>
      <c r="CK68" s="9"/>
      <c r="CL68" s="9"/>
      <c r="CM68" s="9"/>
      <c r="CN68" s="9"/>
      <c r="CO68" s="119"/>
      <c r="CP68" s="271"/>
      <c r="CQ68" s="173"/>
      <c r="CV68" s="9"/>
      <c r="CW68" s="172"/>
      <c r="CX68" s="399">
        <v>5</v>
      </c>
      <c r="CY68" s="400">
        <v>5</v>
      </c>
      <c r="CZ68" s="399">
        <v>5</v>
      </c>
      <c r="DA68" s="9"/>
      <c r="DB68" s="9"/>
      <c r="DC68" s="159"/>
    </row>
    <row r="69" spans="1:197" s="5" customFormat="1" ht="19.5" customHeight="1" thickBot="1" x14ac:dyDescent="0.3">
      <c r="A69" s="15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3"/>
      <c r="O69" s="173"/>
      <c r="P69" s="155"/>
      <c r="Q69" s="173"/>
      <c r="R69" s="173"/>
      <c r="S69" s="173"/>
      <c r="T69" s="173"/>
      <c r="U69" s="173"/>
      <c r="V69" s="173"/>
      <c r="W69" s="173"/>
      <c r="X69" s="9"/>
      <c r="Y69" s="16"/>
      <c r="Z69" s="16"/>
      <c r="AA69" s="16"/>
      <c r="AB69" s="273"/>
      <c r="AC69" s="401">
        <v>5</v>
      </c>
      <c r="AD69" s="401">
        <v>5</v>
      </c>
      <c r="AE69" s="402">
        <v>5</v>
      </c>
      <c r="AF69" s="402">
        <v>5</v>
      </c>
      <c r="AG69" s="273"/>
      <c r="AI69" s="173"/>
      <c r="AJ69" s="173"/>
      <c r="AK69" s="159"/>
      <c r="AL69" s="2"/>
      <c r="AM69" s="155"/>
      <c r="AN69" s="88"/>
      <c r="AO69" s="2"/>
      <c r="AP69" s="2"/>
      <c r="AQ69" s="2"/>
      <c r="AR69" s="2"/>
      <c r="AS69" s="2"/>
      <c r="AT69" s="89"/>
      <c r="AU69" s="89"/>
      <c r="AV69" s="2"/>
      <c r="AW69" s="2"/>
      <c r="AX69" s="2"/>
      <c r="AY69" s="110"/>
      <c r="AZ69" s="17"/>
      <c r="BA69" s="155"/>
      <c r="BB69" s="110"/>
      <c r="BC69" s="110"/>
      <c r="BD69" s="110"/>
      <c r="BE69" s="110"/>
      <c r="BF69" s="110"/>
      <c r="BG69" s="173"/>
      <c r="BH69" s="173"/>
      <c r="BI69" s="173"/>
      <c r="BJ69" s="173"/>
      <c r="BK69" s="173"/>
      <c r="BL69" s="173"/>
      <c r="BM69" s="173"/>
      <c r="BN69" s="173"/>
      <c r="BO69" s="159"/>
      <c r="BP69" s="173"/>
      <c r="BQ69" s="173"/>
      <c r="BR69" s="173"/>
      <c r="BS69" s="173"/>
      <c r="BT69" s="173"/>
      <c r="BU69" s="173"/>
      <c r="BV69" s="259"/>
      <c r="BW69" s="259"/>
      <c r="BX69" s="173"/>
      <c r="BY69" s="19"/>
      <c r="BZ69" s="9"/>
      <c r="CA69" s="9"/>
      <c r="CB69" s="159"/>
      <c r="CC69" s="2"/>
      <c r="CD69" s="159"/>
      <c r="CE69" s="9"/>
      <c r="CF69" s="9"/>
      <c r="CG69" s="2"/>
      <c r="CH69" s="9"/>
      <c r="CJ69" s="9"/>
      <c r="CL69" s="24"/>
      <c r="CM69" s="9"/>
      <c r="CU69" s="2"/>
      <c r="CV69" s="275"/>
      <c r="CW69" s="134"/>
      <c r="CX69" s="135"/>
      <c r="CY69" s="135"/>
      <c r="CZ69" s="136"/>
      <c r="DA69" s="9"/>
      <c r="DB69" s="9"/>
      <c r="DC69" s="159"/>
    </row>
    <row r="70" spans="1:197" s="5" customFormat="1" ht="19.5" customHeight="1" x14ac:dyDescent="0.25">
      <c r="A70" s="15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3"/>
      <c r="O70" s="173"/>
      <c r="P70" s="155"/>
      <c r="Q70" s="173"/>
      <c r="R70" s="173"/>
      <c r="S70" s="173"/>
      <c r="T70" s="173"/>
      <c r="U70" s="173"/>
      <c r="V70" s="173"/>
      <c r="W70" s="173"/>
      <c r="X70" s="173"/>
      <c r="Y70" s="173"/>
      <c r="Z70" s="9"/>
      <c r="AA70" s="9"/>
      <c r="AC70" s="276"/>
      <c r="AD70" s="277"/>
      <c r="AE70" s="277"/>
      <c r="AF70" s="277"/>
      <c r="AG70" s="278"/>
      <c r="AH70" s="260"/>
      <c r="AI70" s="173"/>
      <c r="AJ70" s="173"/>
      <c r="AK70" s="159"/>
      <c r="AL70" s="2"/>
      <c r="AM70" s="155"/>
      <c r="AN70" s="88"/>
      <c r="AO70" s="2"/>
      <c r="AR70" s="16"/>
      <c r="AS70" s="2"/>
      <c r="AT70" s="89"/>
      <c r="AU70" s="89"/>
      <c r="AV70" s="2"/>
      <c r="AW70" s="2"/>
      <c r="AX70" s="2"/>
      <c r="AY70" s="2"/>
      <c r="AZ70" s="2"/>
      <c r="BA70" s="155"/>
      <c r="BB70" s="17"/>
      <c r="BC70" s="17"/>
      <c r="BD70" s="17"/>
      <c r="BE70" s="173"/>
      <c r="BF70" s="170"/>
      <c r="BG70" s="173"/>
      <c r="BH70" s="2"/>
      <c r="BI70" s="2"/>
      <c r="BJ70" s="2"/>
      <c r="BK70" s="2"/>
      <c r="BL70" s="2"/>
      <c r="BM70" s="2"/>
      <c r="BN70" s="2"/>
      <c r="BO70" s="159"/>
      <c r="BP70" s="173"/>
      <c r="BQ70" s="173"/>
      <c r="BR70" s="173"/>
      <c r="BS70" s="173"/>
      <c r="BT70" s="9"/>
      <c r="BU70" s="9"/>
      <c r="BV70" s="9"/>
      <c r="BW70" s="9"/>
      <c r="BX70" s="9"/>
      <c r="BY70" s="19"/>
      <c r="BZ70" s="9"/>
      <c r="CA70" s="9"/>
      <c r="CB70" s="159"/>
      <c r="CC70" s="2"/>
      <c r="CD70" s="159"/>
      <c r="CE70" s="137" t="s">
        <v>213</v>
      </c>
      <c r="CF70" s="138"/>
      <c r="CG70" s="138"/>
      <c r="CH70" s="138"/>
      <c r="CI70" s="138"/>
      <c r="CJ70" s="138"/>
      <c r="CK70" s="138"/>
      <c r="CL70" s="138"/>
      <c r="CM70" s="138"/>
      <c r="CN70" s="138"/>
      <c r="CO70" s="139"/>
      <c r="CP70" s="140"/>
      <c r="CQ70" s="16"/>
      <c r="CR70" s="16"/>
      <c r="CS70" s="16"/>
      <c r="CU70" s="2"/>
      <c r="CV70" s="275"/>
      <c r="CW70" s="141"/>
      <c r="CX70" s="70"/>
      <c r="CY70" s="70"/>
      <c r="CZ70" s="142"/>
      <c r="DA70" s="2"/>
      <c r="DB70" s="2"/>
      <c r="DC70" s="268"/>
    </row>
    <row r="71" spans="1:197" s="5" customFormat="1" ht="19.5" customHeight="1" thickBot="1" x14ac:dyDescent="0.3">
      <c r="A71" s="15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3"/>
      <c r="O71" s="170"/>
      <c r="P71" s="173"/>
      <c r="Q71" s="159"/>
      <c r="R71" s="159"/>
      <c r="S71" s="159"/>
      <c r="T71" s="159"/>
      <c r="U71" s="159"/>
      <c r="V71" s="159"/>
      <c r="W71" s="159"/>
      <c r="X71" s="159"/>
      <c r="Y71" s="173"/>
      <c r="Z71" s="173"/>
      <c r="AA71" s="9"/>
      <c r="AC71" s="279"/>
      <c r="AD71" s="173"/>
      <c r="AE71" s="173"/>
      <c r="AF71" s="173"/>
      <c r="AG71" s="280"/>
      <c r="AH71" s="260"/>
      <c r="AI71" s="2"/>
      <c r="AJ71" s="2"/>
      <c r="AK71" s="159"/>
      <c r="AL71" s="2"/>
      <c r="AM71" s="155"/>
      <c r="AO71" s="2"/>
      <c r="AP71" s="16"/>
      <c r="AQ71" s="16"/>
      <c r="AR71" s="2"/>
      <c r="AS71" s="2"/>
      <c r="AV71" s="17"/>
      <c r="AW71" s="17"/>
      <c r="AX71" s="17"/>
      <c r="AY71" s="17"/>
      <c r="AZ71" s="17"/>
      <c r="BA71" s="155"/>
      <c r="BB71" s="17"/>
      <c r="BC71" s="17"/>
      <c r="BD71" s="17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59"/>
      <c r="BP71" s="173"/>
      <c r="BQ71" s="173"/>
      <c r="BR71" s="173"/>
      <c r="BS71" s="173"/>
      <c r="BT71" s="9"/>
      <c r="BU71" s="413"/>
      <c r="BV71" s="413"/>
      <c r="BW71" s="413"/>
      <c r="BX71" s="413"/>
      <c r="BY71" s="19"/>
      <c r="BZ71" s="9"/>
      <c r="CA71" s="9"/>
      <c r="CB71" s="159"/>
      <c r="CC71" s="2"/>
      <c r="CD71" s="159"/>
      <c r="CE71" s="145"/>
      <c r="CF71" s="146"/>
      <c r="CG71" s="146"/>
      <c r="CH71" s="146"/>
      <c r="CI71" s="146"/>
      <c r="CJ71" s="146"/>
      <c r="CK71" s="146"/>
      <c r="CL71" s="146"/>
      <c r="CM71" s="146"/>
      <c r="CN71" s="146"/>
      <c r="CO71" s="147"/>
      <c r="CP71" s="140"/>
      <c r="CQ71" s="16"/>
      <c r="CR71" s="16"/>
      <c r="CS71" s="16"/>
      <c r="CU71" s="2"/>
      <c r="CV71" s="275"/>
      <c r="CW71" s="141"/>
      <c r="CX71" s="70"/>
      <c r="CY71" s="70"/>
      <c r="CZ71" s="142"/>
      <c r="DA71" s="2"/>
      <c r="DB71" s="2"/>
      <c r="DC71" s="268"/>
    </row>
    <row r="72" spans="1:197" s="5" customFormat="1" ht="19.5" customHeight="1" thickBot="1" x14ac:dyDescent="0.3">
      <c r="A72" s="15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59"/>
      <c r="Y72" s="173"/>
      <c r="Z72" s="173"/>
      <c r="AA72" s="9"/>
      <c r="AC72" s="279"/>
      <c r="AD72" s="173"/>
      <c r="AE72" s="173"/>
      <c r="AF72" s="173"/>
      <c r="AG72" s="280"/>
      <c r="AH72" s="11" t="s">
        <v>216</v>
      </c>
      <c r="AI72" s="12"/>
      <c r="AJ72" s="12"/>
      <c r="AK72" s="159"/>
      <c r="AL72" s="2"/>
      <c r="AM72" s="155"/>
      <c r="AO72" s="2"/>
      <c r="AP72" s="2"/>
      <c r="AQ72" s="2"/>
      <c r="AR72" s="2"/>
      <c r="AS72" s="2"/>
      <c r="AT72" s="88"/>
      <c r="AU72" s="88"/>
      <c r="AV72" s="17"/>
      <c r="AW72" s="17"/>
      <c r="AX72" s="17"/>
      <c r="AY72" s="17"/>
      <c r="AZ72" s="17"/>
      <c r="BA72" s="155"/>
      <c r="BB72" s="17"/>
      <c r="BC72" s="17"/>
      <c r="BD72" s="17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59"/>
      <c r="BP72" s="173"/>
      <c r="BQ72" s="173"/>
      <c r="BR72" s="173"/>
      <c r="BS72" s="173"/>
      <c r="BT72" s="9"/>
      <c r="BU72" s="386"/>
      <c r="BV72" s="386"/>
      <c r="BW72" s="386"/>
      <c r="BX72" s="386"/>
      <c r="BY72" s="9"/>
      <c r="BZ72" s="9"/>
      <c r="CA72" s="9"/>
      <c r="CB72" s="159"/>
      <c r="CC72" s="2"/>
      <c r="CD72" s="159"/>
      <c r="CE72" s="145"/>
      <c r="CF72" s="146"/>
      <c r="CG72" s="146"/>
      <c r="CH72" s="146"/>
      <c r="CI72" s="146"/>
      <c r="CJ72" s="146"/>
      <c r="CK72" s="146"/>
      <c r="CL72" s="146"/>
      <c r="CM72" s="146"/>
      <c r="CN72" s="146"/>
      <c r="CO72" s="147"/>
      <c r="CP72" s="140"/>
      <c r="CQ72" s="16"/>
      <c r="CR72" s="16"/>
      <c r="CS72" s="16"/>
      <c r="CU72" s="2"/>
      <c r="CV72" s="71"/>
      <c r="CW72" s="141"/>
      <c r="CX72" s="70"/>
      <c r="CY72" s="70"/>
      <c r="CZ72" s="142"/>
      <c r="DA72" s="2"/>
      <c r="DB72" s="2"/>
      <c r="DC72" s="268"/>
    </row>
    <row r="73" spans="1:197" s="5" customFormat="1" ht="19.5" customHeight="1" x14ac:dyDescent="0.25">
      <c r="A73" s="15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59"/>
      <c r="Y73" s="173"/>
      <c r="Z73" s="173"/>
      <c r="AA73" s="9"/>
      <c r="AC73" s="279"/>
      <c r="AD73" s="173"/>
      <c r="AE73" s="173"/>
      <c r="AF73" s="173"/>
      <c r="AG73" s="280"/>
      <c r="AH73" s="20"/>
      <c r="AI73" s="4"/>
      <c r="AJ73" s="4"/>
      <c r="AK73" s="159"/>
      <c r="AL73" s="2"/>
      <c r="AM73" s="155"/>
      <c r="AO73" s="2"/>
      <c r="AP73" s="2"/>
      <c r="AQ73" s="2"/>
      <c r="AR73" s="16"/>
      <c r="AS73" s="17"/>
      <c r="AT73" s="88"/>
      <c r="AU73" s="88"/>
      <c r="AV73" s="17"/>
      <c r="AW73" s="17"/>
      <c r="AX73" s="17"/>
      <c r="AY73" s="17"/>
      <c r="AZ73" s="17"/>
      <c r="BA73" s="155"/>
      <c r="BB73" s="17"/>
      <c r="BC73" s="17"/>
      <c r="BD73" s="17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59"/>
      <c r="BP73" s="173"/>
      <c r="BQ73" s="173"/>
      <c r="BR73" s="173"/>
      <c r="BS73" s="173"/>
      <c r="BT73" s="9"/>
      <c r="BU73" s="9"/>
      <c r="BV73" s="9"/>
      <c r="BW73" s="9"/>
      <c r="BX73" s="9"/>
      <c r="BY73" s="9"/>
      <c r="BZ73" s="9"/>
      <c r="CA73" s="9"/>
      <c r="CB73" s="159"/>
      <c r="CC73" s="2"/>
      <c r="CD73" s="159"/>
      <c r="CE73" s="145"/>
      <c r="CF73" s="146"/>
      <c r="CG73" s="146"/>
      <c r="CH73" s="146"/>
      <c r="CI73" s="146"/>
      <c r="CJ73" s="146"/>
      <c r="CK73" s="146"/>
      <c r="CL73" s="146"/>
      <c r="CM73" s="146"/>
      <c r="CN73" s="146"/>
      <c r="CO73" s="147"/>
      <c r="CP73" s="140"/>
      <c r="CQ73" s="16"/>
      <c r="CR73" s="16"/>
      <c r="CS73" s="16"/>
      <c r="CU73" s="71"/>
      <c r="CV73" s="71"/>
      <c r="CW73" s="141"/>
      <c r="CX73" s="70"/>
      <c r="CY73" s="70"/>
      <c r="CZ73" s="142"/>
      <c r="DA73" s="148" t="s">
        <v>217</v>
      </c>
      <c r="DB73" s="35"/>
      <c r="DC73" s="159"/>
    </row>
    <row r="74" spans="1:197" s="5" customFormat="1" ht="19.5" customHeight="1" thickBot="1" x14ac:dyDescent="0.3">
      <c r="A74" s="15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59"/>
      <c r="Y74" s="173"/>
      <c r="Z74" s="173"/>
      <c r="AA74" s="9"/>
      <c r="AC74" s="279"/>
      <c r="AD74" s="173"/>
      <c r="AE74" s="173"/>
      <c r="AF74" s="173"/>
      <c r="AG74" s="280"/>
      <c r="AH74" s="20"/>
      <c r="AI74" s="4"/>
      <c r="AJ74" s="4"/>
      <c r="AK74" s="159"/>
      <c r="AL74" s="2"/>
      <c r="AM74" s="155"/>
      <c r="AN74" s="2"/>
      <c r="AO74" s="2"/>
      <c r="AP74" s="2"/>
      <c r="AQ74" s="2"/>
      <c r="AR74" s="17"/>
      <c r="AS74" s="17"/>
      <c r="AT74" s="17"/>
      <c r="AU74" s="17"/>
      <c r="AV74" s="17"/>
      <c r="AW74" s="17"/>
      <c r="AX74" s="17"/>
      <c r="AY74" s="17"/>
      <c r="AZ74" s="17"/>
      <c r="BA74" s="155"/>
      <c r="BB74" s="17"/>
      <c r="BC74" s="17"/>
      <c r="BD74" s="17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59"/>
      <c r="BP74" s="173"/>
      <c r="BQ74" s="173"/>
      <c r="BR74" s="173"/>
      <c r="BS74" s="173"/>
      <c r="BT74" s="9"/>
      <c r="BU74" s="9"/>
      <c r="BV74" s="9"/>
      <c r="BW74" s="9"/>
      <c r="BX74" s="9"/>
      <c r="BY74" s="9"/>
      <c r="BZ74" s="173"/>
      <c r="CA74" s="173"/>
      <c r="CB74" s="159"/>
      <c r="CC74" s="2"/>
      <c r="CD74" s="159"/>
      <c r="CE74" s="145"/>
      <c r="CF74" s="146"/>
      <c r="CG74" s="146"/>
      <c r="CH74" s="146"/>
      <c r="CI74" s="146"/>
      <c r="CJ74" s="146"/>
      <c r="CK74" s="146"/>
      <c r="CL74" s="146"/>
      <c r="CM74" s="146"/>
      <c r="CN74" s="146"/>
      <c r="CO74" s="147"/>
      <c r="CP74" s="140"/>
      <c r="CQ74" s="71"/>
      <c r="CR74" s="16"/>
      <c r="CS74" s="16"/>
      <c r="CU74" s="71"/>
      <c r="CV74" s="71"/>
      <c r="CW74" s="141"/>
      <c r="CX74" s="70"/>
      <c r="CY74" s="70"/>
      <c r="CZ74" s="142"/>
      <c r="DA74" s="20"/>
      <c r="DB74" s="39"/>
      <c r="DC74" s="159"/>
    </row>
    <row r="75" spans="1:197" s="5" customFormat="1" ht="19.5" customHeight="1" thickBot="1" x14ac:dyDescent="0.3">
      <c r="A75" s="15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59"/>
      <c r="Y75" s="173"/>
      <c r="Z75" s="173"/>
      <c r="AA75" s="173"/>
      <c r="AC75" s="279"/>
      <c r="AD75" s="173"/>
      <c r="AE75" s="173"/>
      <c r="AF75" s="173"/>
      <c r="AG75" s="280"/>
      <c r="AH75" s="20"/>
      <c r="AI75" s="4"/>
      <c r="AJ75" s="4"/>
      <c r="AK75" s="159"/>
      <c r="AL75" s="2"/>
      <c r="AM75" s="155"/>
      <c r="AN75" s="2"/>
      <c r="AO75" s="2"/>
      <c r="AP75" s="2"/>
      <c r="AQ75" s="2"/>
      <c r="AR75" s="2"/>
      <c r="AS75" s="2"/>
      <c r="AT75" s="2"/>
      <c r="AU75" s="2"/>
      <c r="AV75" s="2"/>
      <c r="AW75" s="17"/>
      <c r="AX75" s="17"/>
      <c r="AY75" s="17"/>
      <c r="AZ75" s="17"/>
      <c r="BA75" s="155"/>
      <c r="BB75" s="17"/>
      <c r="BC75" s="17"/>
      <c r="BD75" s="17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59"/>
      <c r="BP75" s="281" t="s">
        <v>218</v>
      </c>
      <c r="BQ75" s="282"/>
      <c r="BR75" s="283"/>
      <c r="BS75" s="173"/>
      <c r="BT75" s="9"/>
      <c r="BU75" s="9"/>
      <c r="BV75" s="9"/>
      <c r="BW75" s="9"/>
      <c r="BZ75" s="134" t="s">
        <v>216</v>
      </c>
      <c r="CA75" s="136"/>
      <c r="CB75" s="159"/>
      <c r="CC75" s="2"/>
      <c r="CD75" s="159"/>
      <c r="CE75" s="149"/>
      <c r="CF75" s="150"/>
      <c r="CG75" s="150"/>
      <c r="CH75" s="150"/>
      <c r="CI75" s="150"/>
      <c r="CJ75" s="150"/>
      <c r="CK75" s="150"/>
      <c r="CL75" s="150"/>
      <c r="CM75" s="150"/>
      <c r="CN75" s="150"/>
      <c r="CO75" s="151"/>
      <c r="CP75" s="143"/>
      <c r="CQ75" s="9"/>
      <c r="CR75" s="9"/>
      <c r="CS75" s="9"/>
      <c r="CT75" s="9"/>
      <c r="CU75" s="71"/>
      <c r="CV75" s="71"/>
      <c r="CW75" s="152"/>
      <c r="CX75" s="153"/>
      <c r="CY75" s="153"/>
      <c r="CZ75" s="154"/>
      <c r="DA75" s="118"/>
      <c r="DB75" s="72"/>
      <c r="DC75" s="159"/>
    </row>
    <row r="76" spans="1:197" s="5" customFormat="1" ht="19.5" customHeight="1" thickBot="1" x14ac:dyDescent="0.3">
      <c r="A76" s="15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59"/>
      <c r="Y76" s="173"/>
      <c r="Z76" s="173"/>
      <c r="AA76" s="173"/>
      <c r="AC76" s="279"/>
      <c r="AD76" s="173"/>
      <c r="AE76" s="173"/>
      <c r="AF76" s="173"/>
      <c r="AG76" s="144"/>
      <c r="AH76" s="20"/>
      <c r="AI76" s="4"/>
      <c r="AJ76" s="4"/>
      <c r="AK76" s="159"/>
      <c r="AL76" s="2"/>
      <c r="AM76" s="155"/>
      <c r="AN76" s="2"/>
      <c r="AO76" s="2"/>
      <c r="AP76" s="2"/>
      <c r="AQ76" s="275"/>
      <c r="AR76" s="275"/>
      <c r="AU76" s="16"/>
      <c r="AV76" s="17"/>
      <c r="AW76" s="17"/>
      <c r="AX76" s="17"/>
      <c r="AY76" s="17"/>
      <c r="AZ76" s="17"/>
      <c r="BA76" s="155"/>
      <c r="BB76" s="17"/>
      <c r="BC76" s="17"/>
      <c r="BD76" s="17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59"/>
      <c r="BP76" s="284"/>
      <c r="BQ76" s="285"/>
      <c r="BR76" s="286"/>
      <c r="BS76" s="173"/>
      <c r="BT76" s="173"/>
      <c r="BU76" s="173"/>
      <c r="BV76" s="173"/>
      <c r="BW76" s="173"/>
      <c r="BZ76" s="152"/>
      <c r="CA76" s="154"/>
      <c r="CB76" s="159"/>
      <c r="CC76" s="2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</row>
    <row r="77" spans="1:197" s="5" customFormat="1" ht="19.5" customHeight="1" x14ac:dyDescent="0.25">
      <c r="A77" s="155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2"/>
      <c r="AM77" s="155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</row>
    <row r="78" spans="1:197" s="5" customFormat="1" ht="19.5" customHeight="1" x14ac:dyDescent="0.25"/>
    <row r="79" spans="1:197" s="5" customFormat="1" ht="19.5" customHeight="1" x14ac:dyDescent="0.25"/>
    <row r="80" spans="1:197" ht="19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</row>
    <row r="81" spans="1:197" ht="19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</row>
  </sheetData>
  <mergeCells count="47">
    <mergeCell ref="A1:DC1"/>
    <mergeCell ref="A6:C8"/>
    <mergeCell ref="AA6:AA9"/>
    <mergeCell ref="BZ6:CA10"/>
    <mergeCell ref="Q9:X18"/>
    <mergeCell ref="CH10:CI10"/>
    <mergeCell ref="M12:N12"/>
    <mergeCell ref="Z13:AH18"/>
    <mergeCell ref="A16:F23"/>
    <mergeCell ref="M18:N18"/>
    <mergeCell ref="N21:O24"/>
    <mergeCell ref="CE23:CI28"/>
    <mergeCell ref="CM23:CN23"/>
    <mergeCell ref="G24:H24"/>
    <mergeCell ref="B26:C26"/>
    <mergeCell ref="AI32:AJ39"/>
    <mergeCell ref="CM26:CN26"/>
    <mergeCell ref="AA34:AB34"/>
    <mergeCell ref="H38:I38"/>
    <mergeCell ref="AA38:AB38"/>
    <mergeCell ref="BO38:BP38"/>
    <mergeCell ref="BZ38:CA38"/>
    <mergeCell ref="AS39:AY39"/>
    <mergeCell ref="BO39:BP39"/>
    <mergeCell ref="CH39:CI39"/>
    <mergeCell ref="P30:R32"/>
    <mergeCell ref="AE30:AF30"/>
    <mergeCell ref="CH30:CI30"/>
    <mergeCell ref="G32:H32"/>
    <mergeCell ref="AI40:AJ48"/>
    <mergeCell ref="BG40:BH40"/>
    <mergeCell ref="CH42:CI42"/>
    <mergeCell ref="AA43:AB43"/>
    <mergeCell ref="AT46:AU46"/>
    <mergeCell ref="CH47:CI47"/>
    <mergeCell ref="AT68:AU68"/>
    <mergeCell ref="BU58:CA68"/>
    <mergeCell ref="CM50:CN50"/>
    <mergeCell ref="CH52:CI52"/>
    <mergeCell ref="BU54:BW54"/>
    <mergeCell ref="AT55:AU55"/>
    <mergeCell ref="AT57:AU57"/>
    <mergeCell ref="AN57:AO57"/>
    <mergeCell ref="AE63:AF63"/>
    <mergeCell ref="AH65:AJ65"/>
    <mergeCell ref="CX65:CZ65"/>
    <mergeCell ref="AC66:AF66"/>
  </mergeCells>
  <conditionalFormatting sqref="K13">
    <cfRule type="duplicateValues" dxfId="95" priority="43"/>
  </conditionalFormatting>
  <conditionalFormatting sqref="L13">
    <cfRule type="duplicateValues" dxfId="94" priority="44"/>
  </conditionalFormatting>
  <conditionalFormatting sqref="N19">
    <cfRule type="duplicateValues" dxfId="93" priority="41"/>
  </conditionalFormatting>
  <conditionalFormatting sqref="N20">
    <cfRule type="duplicateValues" dxfId="92" priority="42"/>
  </conditionalFormatting>
  <conditionalFormatting sqref="AG62">
    <cfRule type="duplicateValues" dxfId="91" priority="9"/>
  </conditionalFormatting>
  <conditionalFormatting sqref="AQ76">
    <cfRule type="duplicateValues" dxfId="90" priority="32"/>
  </conditionalFormatting>
  <conditionalFormatting sqref="AR76">
    <cfRule type="duplicateValues" dxfId="89" priority="31"/>
  </conditionalFormatting>
  <conditionalFormatting sqref="AT58">
    <cfRule type="duplicateValues" dxfId="88" priority="39"/>
  </conditionalFormatting>
  <conditionalFormatting sqref="AT59">
    <cfRule type="duplicateValues" dxfId="87" priority="37"/>
  </conditionalFormatting>
  <conditionalFormatting sqref="AT60">
    <cfRule type="duplicateValues" dxfId="86" priority="36"/>
  </conditionalFormatting>
  <conditionalFormatting sqref="AT61">
    <cfRule type="duplicateValues" dxfId="85" priority="35"/>
  </conditionalFormatting>
  <conditionalFormatting sqref="AU58">
    <cfRule type="duplicateValues" dxfId="84" priority="33"/>
  </conditionalFormatting>
  <conditionalFormatting sqref="AU59">
    <cfRule type="duplicateValues" dxfId="83" priority="38"/>
  </conditionalFormatting>
  <conditionalFormatting sqref="AU60">
    <cfRule type="duplicateValues" dxfId="82" priority="40"/>
  </conditionalFormatting>
  <conditionalFormatting sqref="AU61">
    <cfRule type="duplicateValues" dxfId="81" priority="34"/>
  </conditionalFormatting>
  <conditionalFormatting sqref="AZ59">
    <cfRule type="duplicateValues" dxfId="80" priority="30"/>
  </conditionalFormatting>
  <conditionalFormatting sqref="AZ60">
    <cfRule type="duplicateValues" dxfId="79" priority="11"/>
  </conditionalFormatting>
  <conditionalFormatting sqref="AZ61">
    <cfRule type="duplicateValues" dxfId="78" priority="10"/>
  </conditionalFormatting>
  <conditionalFormatting sqref="AZ62">
    <cfRule type="duplicateValues" dxfId="77" priority="12"/>
  </conditionalFormatting>
  <conditionalFormatting sqref="BG36">
    <cfRule type="duplicateValues" dxfId="76" priority="8"/>
  </conditionalFormatting>
  <conditionalFormatting sqref="BG37">
    <cfRule type="duplicateValues" dxfId="75" priority="7"/>
  </conditionalFormatting>
  <conditionalFormatting sqref="BG38">
    <cfRule type="duplicateValues" dxfId="74" priority="6"/>
  </conditionalFormatting>
  <conditionalFormatting sqref="BG39">
    <cfRule type="duplicateValues" dxfId="73" priority="5"/>
  </conditionalFormatting>
  <conditionalFormatting sqref="BH36">
    <cfRule type="duplicateValues" dxfId="72" priority="1"/>
  </conditionalFormatting>
  <conditionalFormatting sqref="BH37">
    <cfRule type="duplicateValues" dxfId="71" priority="2"/>
  </conditionalFormatting>
  <conditionalFormatting sqref="BH38">
    <cfRule type="duplicateValues" dxfId="70" priority="3"/>
  </conditionalFormatting>
  <conditionalFormatting sqref="BH39">
    <cfRule type="duplicateValues" dxfId="69" priority="4"/>
  </conditionalFormatting>
  <conditionalFormatting sqref="BO26">
    <cfRule type="duplicateValues" dxfId="68" priority="16"/>
  </conditionalFormatting>
  <conditionalFormatting sqref="BO27">
    <cfRule type="duplicateValues" dxfId="67" priority="15"/>
  </conditionalFormatting>
  <conditionalFormatting sqref="BO35">
    <cfRule type="duplicateValues" dxfId="66" priority="22"/>
  </conditionalFormatting>
  <conditionalFormatting sqref="BO36">
    <cfRule type="duplicateValues" dxfId="65" priority="17"/>
  </conditionalFormatting>
  <conditionalFormatting sqref="BO37">
    <cfRule type="duplicateValues" dxfId="64" priority="20"/>
  </conditionalFormatting>
  <conditionalFormatting sqref="BP26">
    <cfRule type="duplicateValues" dxfId="63" priority="13"/>
  </conditionalFormatting>
  <conditionalFormatting sqref="BP27">
    <cfRule type="duplicateValues" dxfId="62" priority="14"/>
  </conditionalFormatting>
  <conditionalFormatting sqref="BP35">
    <cfRule type="duplicateValues" dxfId="61" priority="18"/>
  </conditionalFormatting>
  <conditionalFormatting sqref="BP36">
    <cfRule type="duplicateValues" dxfId="60" priority="21"/>
  </conditionalFormatting>
  <conditionalFormatting sqref="BP37">
    <cfRule type="duplicateValues" dxfId="59" priority="19"/>
  </conditionalFormatting>
  <conditionalFormatting sqref="BU71">
    <cfRule type="duplicateValues" dxfId="58" priority="48"/>
  </conditionalFormatting>
  <conditionalFormatting sqref="BV23">
    <cfRule type="duplicateValues" dxfId="57" priority="23"/>
  </conditionalFormatting>
  <conditionalFormatting sqref="BV71">
    <cfRule type="duplicateValues" dxfId="56" priority="47"/>
  </conditionalFormatting>
  <conditionalFormatting sqref="BW23">
    <cfRule type="duplicateValues" dxfId="55" priority="24"/>
  </conditionalFormatting>
  <conditionalFormatting sqref="BW71">
    <cfRule type="duplicateValues" dxfId="54" priority="46"/>
  </conditionalFormatting>
  <conditionalFormatting sqref="BX71">
    <cfRule type="duplicateValues" dxfId="53" priority="45"/>
  </conditionalFormatting>
  <conditionalFormatting sqref="CE29">
    <cfRule type="duplicateValues" dxfId="52" priority="29"/>
  </conditionalFormatting>
  <conditionalFormatting sqref="CE30">
    <cfRule type="duplicateValues" dxfId="51" priority="28"/>
  </conditionalFormatting>
  <conditionalFormatting sqref="CV69">
    <cfRule type="duplicateValues" dxfId="50" priority="27"/>
  </conditionalFormatting>
  <conditionalFormatting sqref="CV70">
    <cfRule type="duplicateValues" dxfId="49" priority="26"/>
  </conditionalFormatting>
  <conditionalFormatting sqref="CV71">
    <cfRule type="duplicateValues" dxfId="48" priority="25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GO81"/>
  <sheetViews>
    <sheetView topLeftCell="P37" zoomScale="60" zoomScaleNormal="60" workbookViewId="0">
      <selection activeCell="AN57" sqref="AN57:AO66"/>
    </sheetView>
  </sheetViews>
  <sheetFormatPr baseColWidth="10" defaultColWidth="16.7109375" defaultRowHeight="19.5" customHeight="1" x14ac:dyDescent="0.25"/>
  <sheetData>
    <row r="1" spans="1:107" s="1" customFormat="1" ht="19.5" customHeight="1" thickBot="1" x14ac:dyDescent="0.3">
      <c r="A1" s="728" t="s">
        <v>163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  <c r="AK1" s="729"/>
      <c r="AL1" s="729"/>
      <c r="AM1" s="729"/>
      <c r="AN1" s="729"/>
      <c r="AO1" s="729"/>
      <c r="AP1" s="729"/>
      <c r="AQ1" s="729"/>
      <c r="AR1" s="729"/>
      <c r="AS1" s="729"/>
      <c r="AT1" s="729"/>
      <c r="AU1" s="729"/>
      <c r="AV1" s="729"/>
      <c r="AW1" s="729"/>
      <c r="AX1" s="729"/>
      <c r="AY1" s="729"/>
      <c r="AZ1" s="729"/>
      <c r="BA1" s="729"/>
      <c r="BB1" s="729"/>
      <c r="BC1" s="729"/>
      <c r="BD1" s="729"/>
      <c r="BE1" s="729"/>
      <c r="BF1" s="729"/>
      <c r="BG1" s="729"/>
      <c r="BH1" s="729"/>
      <c r="BI1" s="729"/>
      <c r="BJ1" s="729"/>
      <c r="BK1" s="729"/>
      <c r="BL1" s="729"/>
      <c r="BM1" s="729"/>
      <c r="BN1" s="729"/>
      <c r="BO1" s="729"/>
      <c r="BP1" s="729"/>
      <c r="BQ1" s="729"/>
      <c r="BR1" s="729"/>
      <c r="BS1" s="729"/>
      <c r="BT1" s="729"/>
      <c r="BU1" s="729"/>
      <c r="BV1" s="729"/>
      <c r="BW1" s="729"/>
      <c r="BX1" s="729"/>
      <c r="BY1" s="729"/>
      <c r="BZ1" s="729"/>
      <c r="CA1" s="729"/>
      <c r="CB1" s="729"/>
      <c r="CC1" s="729"/>
      <c r="CD1" s="729"/>
      <c r="CE1" s="729"/>
      <c r="CF1" s="729"/>
      <c r="CG1" s="729"/>
      <c r="CH1" s="729"/>
      <c r="CI1" s="729"/>
      <c r="CJ1" s="729"/>
      <c r="CK1" s="729"/>
      <c r="CL1" s="729"/>
      <c r="CM1" s="729"/>
      <c r="CN1" s="729"/>
      <c r="CO1" s="729"/>
      <c r="CP1" s="729"/>
      <c r="CQ1" s="729"/>
      <c r="CR1" s="729"/>
      <c r="CS1" s="729"/>
      <c r="CT1" s="729"/>
      <c r="CU1" s="729"/>
      <c r="CV1" s="729"/>
      <c r="CW1" s="729"/>
      <c r="CX1" s="729"/>
      <c r="CY1" s="729"/>
      <c r="CZ1" s="729"/>
      <c r="DA1" s="729"/>
      <c r="DB1" s="729"/>
      <c r="DC1" s="730"/>
    </row>
    <row r="2" spans="1:107" s="5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" t="s">
        <v>165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3" t="s">
        <v>166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2"/>
      <c r="CX2" s="2"/>
      <c r="CY2" s="2"/>
      <c r="CZ2" s="2"/>
      <c r="DA2" s="2"/>
      <c r="DB2" s="2"/>
      <c r="DC2" s="2"/>
    </row>
    <row r="3" spans="1:107" s="5" customFormat="1" ht="19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2"/>
      <c r="CX3" s="2"/>
      <c r="CY3" s="2"/>
      <c r="CZ3" s="2"/>
      <c r="DA3" s="2"/>
      <c r="DB3" s="2"/>
      <c r="DC3" s="2"/>
    </row>
    <row r="4" spans="1:107" s="5" customFormat="1" ht="19.5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2"/>
      <c r="CX4" s="2"/>
      <c r="CY4" s="2"/>
      <c r="CZ4" s="2"/>
      <c r="DA4" s="2"/>
      <c r="DB4" s="2"/>
      <c r="DC4" s="2"/>
    </row>
    <row r="5" spans="1:107" s="5" customFormat="1" ht="19.5" customHeight="1" thickBot="1" x14ac:dyDescent="0.3">
      <c r="A5" s="155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7"/>
      <c r="AF5" s="158"/>
      <c r="AG5" s="158"/>
      <c r="AH5" s="159"/>
      <c r="AI5" s="160"/>
      <c r="AJ5" s="160"/>
      <c r="AK5" s="160"/>
      <c r="AL5" s="2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61" t="s">
        <v>167</v>
      </c>
      <c r="BR5" s="162"/>
      <c r="BS5" s="163"/>
      <c r="BT5" s="158"/>
      <c r="BU5" s="158"/>
      <c r="BV5" s="158"/>
      <c r="BW5" s="158"/>
      <c r="BX5" s="159"/>
      <c r="BY5" s="159"/>
      <c r="BZ5" s="160"/>
      <c r="CA5" s="160"/>
      <c r="CB5" s="160"/>
      <c r="CC5" s="2"/>
      <c r="CD5" s="155"/>
      <c r="CE5" s="155"/>
      <c r="CF5" s="155"/>
      <c r="CG5" s="155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7"/>
      <c r="CX5" s="158"/>
      <c r="CY5" s="159"/>
      <c r="CZ5" s="159"/>
      <c r="DA5" s="160"/>
      <c r="DB5" s="160"/>
      <c r="DC5" s="160"/>
    </row>
    <row r="6" spans="1:107" s="5" customFormat="1" ht="19.5" customHeight="1" x14ac:dyDescent="0.25">
      <c r="A6" s="702" t="s">
        <v>168</v>
      </c>
      <c r="B6" s="731"/>
      <c r="C6" s="703"/>
      <c r="D6" s="100"/>
      <c r="E6" s="97"/>
      <c r="F6" s="164"/>
      <c r="G6" s="362">
        <v>1250</v>
      </c>
      <c r="H6" s="164"/>
      <c r="I6" s="13"/>
      <c r="J6" s="100"/>
      <c r="K6" s="165"/>
      <c r="L6" s="388">
        <v>340</v>
      </c>
      <c r="M6" s="97"/>
      <c r="N6" s="100"/>
      <c r="O6" s="155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734" t="s">
        <v>175</v>
      </c>
      <c r="AB6" s="167"/>
      <c r="AC6" s="167"/>
      <c r="AD6" s="167"/>
      <c r="AE6" s="167"/>
      <c r="AF6" s="167"/>
      <c r="AG6" s="167"/>
      <c r="AH6" s="167"/>
      <c r="AI6" s="167"/>
      <c r="AJ6" s="167"/>
      <c r="AK6" s="160"/>
      <c r="AL6" s="2"/>
      <c r="AM6" s="155"/>
      <c r="AZ6" s="168"/>
      <c r="BA6" s="169"/>
      <c r="BB6" s="36"/>
      <c r="BC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0"/>
      <c r="BR6" s="170"/>
      <c r="BS6" s="170"/>
      <c r="BT6" s="18"/>
      <c r="BU6" s="18"/>
      <c r="BV6" s="18"/>
      <c r="BW6" s="18"/>
      <c r="BX6" s="18"/>
      <c r="BY6" s="18"/>
      <c r="BZ6" s="735" t="s">
        <v>170</v>
      </c>
      <c r="CA6" s="736"/>
      <c r="CB6" s="160"/>
      <c r="CC6" s="2"/>
      <c r="CD6" s="155"/>
      <c r="CE6" s="2"/>
      <c r="CF6" s="9"/>
      <c r="CH6" s="348"/>
      <c r="CI6" s="349"/>
      <c r="CJ6" s="349"/>
      <c r="CK6" s="349"/>
      <c r="CL6" s="349"/>
      <c r="CM6" s="349"/>
      <c r="CN6" s="16"/>
      <c r="CO6" s="16"/>
      <c r="CP6" s="16"/>
      <c r="CS6" s="350"/>
      <c r="CT6" s="351"/>
      <c r="CU6" s="351"/>
      <c r="CV6" s="351"/>
      <c r="CW6" s="351"/>
      <c r="CX6" s="351"/>
      <c r="CY6" s="351"/>
      <c r="CZ6" s="351"/>
      <c r="DA6" s="19"/>
      <c r="DB6" s="19"/>
      <c r="DC6" s="160"/>
    </row>
    <row r="7" spans="1:107" s="5" customFormat="1" ht="19.5" customHeight="1" x14ac:dyDescent="0.25">
      <c r="A7" s="704"/>
      <c r="B7" s="732"/>
      <c r="C7" s="705"/>
      <c r="G7" s="171" t="s">
        <v>171</v>
      </c>
      <c r="H7" s="22" t="s">
        <v>172</v>
      </c>
      <c r="I7" s="28"/>
      <c r="J7" s="29"/>
      <c r="K7" s="22" t="s">
        <v>173</v>
      </c>
      <c r="L7" s="172" t="s">
        <v>174</v>
      </c>
      <c r="M7" s="16"/>
      <c r="N7" s="29"/>
      <c r="O7" s="155"/>
      <c r="P7" s="166"/>
      <c r="Q7" s="166"/>
      <c r="R7" s="166"/>
      <c r="S7" s="166"/>
      <c r="T7" s="166"/>
      <c r="U7" s="170"/>
      <c r="V7" s="170"/>
      <c r="W7" s="166"/>
      <c r="X7" s="166"/>
      <c r="Y7" s="173"/>
      <c r="Z7" s="173"/>
      <c r="AA7" s="734"/>
      <c r="AB7" s="167"/>
      <c r="AC7" s="167"/>
      <c r="AD7" s="167"/>
      <c r="AE7" s="167"/>
      <c r="AF7" s="167"/>
      <c r="AG7" s="167"/>
      <c r="AH7" s="167"/>
      <c r="AI7" s="167"/>
      <c r="AJ7" s="167"/>
      <c r="AK7" s="160"/>
      <c r="AL7" s="2"/>
      <c r="AM7" s="155"/>
      <c r="AZ7" s="175"/>
      <c r="BA7" s="176"/>
      <c r="BB7" s="36"/>
      <c r="BC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0"/>
      <c r="BR7" s="170"/>
      <c r="BS7" s="170"/>
      <c r="BT7" s="18"/>
      <c r="BU7" s="18"/>
      <c r="BV7" s="18"/>
      <c r="BW7" s="18"/>
      <c r="BX7" s="18"/>
      <c r="BY7" s="18"/>
      <c r="BZ7" s="737"/>
      <c r="CA7" s="738"/>
      <c r="CB7" s="160"/>
      <c r="CC7" s="2"/>
      <c r="CD7" s="155"/>
      <c r="CE7" s="351"/>
      <c r="CF7" s="23"/>
      <c r="CG7" s="6"/>
      <c r="CH7" s="6"/>
      <c r="CI7" s="24"/>
      <c r="CJ7" s="24"/>
      <c r="CK7" s="24"/>
      <c r="CL7" s="24"/>
      <c r="CM7" s="24"/>
      <c r="CN7" s="24"/>
      <c r="CO7" s="24"/>
      <c r="CP7" s="16"/>
      <c r="CQ7" s="16"/>
      <c r="CR7" s="16"/>
      <c r="DA7" s="19"/>
      <c r="DB7" s="19"/>
      <c r="DC7" s="160"/>
    </row>
    <row r="8" spans="1:107" s="5" customFormat="1" ht="19.5" customHeight="1" thickBot="1" x14ac:dyDescent="0.3">
      <c r="A8" s="714"/>
      <c r="B8" s="733"/>
      <c r="C8" s="715"/>
      <c r="G8" s="177"/>
      <c r="H8" s="28"/>
      <c r="I8" s="28"/>
      <c r="J8" s="28"/>
      <c r="K8" s="16"/>
      <c r="L8" s="177"/>
      <c r="M8" s="16"/>
      <c r="N8" s="16"/>
      <c r="O8" s="155"/>
      <c r="P8" s="166"/>
      <c r="Q8" s="166"/>
      <c r="R8" s="166"/>
      <c r="S8" s="166"/>
      <c r="T8" s="166"/>
      <c r="U8" s="170"/>
      <c r="V8" s="170"/>
      <c r="W8" s="166"/>
      <c r="X8" s="166"/>
      <c r="Y8" s="173"/>
      <c r="Z8" s="173"/>
      <c r="AA8" s="734"/>
      <c r="AB8" s="167"/>
      <c r="AC8" s="167"/>
      <c r="AD8" s="167"/>
      <c r="AE8" s="167"/>
      <c r="AF8" s="167"/>
      <c r="AG8" s="167"/>
      <c r="AH8" s="167"/>
      <c r="AI8" s="167"/>
      <c r="AJ8" s="167"/>
      <c r="AK8" s="160"/>
      <c r="AL8" s="2"/>
      <c r="AM8" s="155"/>
      <c r="AZ8" s="175"/>
      <c r="BA8" s="176"/>
      <c r="BC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6"/>
      <c r="BR8" s="6"/>
      <c r="BS8" s="6"/>
      <c r="BT8" s="30"/>
      <c r="BU8" s="30"/>
      <c r="BV8" s="6"/>
      <c r="BW8" s="6"/>
      <c r="BX8" s="9"/>
      <c r="BY8" s="9"/>
      <c r="BZ8" s="737"/>
      <c r="CA8" s="738"/>
      <c r="CB8" s="160"/>
      <c r="CC8" s="2"/>
      <c r="CD8" s="155"/>
      <c r="CE8" s="2"/>
      <c r="CF8" s="23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9"/>
      <c r="DB8" s="19"/>
      <c r="DC8" s="160"/>
    </row>
    <row r="9" spans="1:107" s="5" customFormat="1" ht="19.5" customHeight="1" x14ac:dyDescent="0.25">
      <c r="A9" s="31"/>
      <c r="B9" s="32"/>
      <c r="C9" s="32"/>
      <c r="G9" s="178" t="s">
        <v>176</v>
      </c>
      <c r="H9" s="178"/>
      <c r="L9" s="179" t="s">
        <v>177</v>
      </c>
      <c r="N9" s="16"/>
      <c r="O9" s="155"/>
      <c r="P9" s="166"/>
      <c r="Q9" s="690" t="s">
        <v>169</v>
      </c>
      <c r="R9" s="691"/>
      <c r="S9" s="691"/>
      <c r="T9" s="691"/>
      <c r="U9" s="691"/>
      <c r="V9" s="691"/>
      <c r="W9" s="691"/>
      <c r="X9" s="692"/>
      <c r="Y9" s="173"/>
      <c r="Z9" s="173"/>
      <c r="AA9" s="734"/>
      <c r="AB9" s="167"/>
      <c r="AC9" s="167"/>
      <c r="AD9" s="167"/>
      <c r="AE9" s="167"/>
      <c r="AF9" s="167"/>
      <c r="AG9" s="167"/>
      <c r="AH9" s="167"/>
      <c r="AI9" s="167"/>
      <c r="AJ9" s="167"/>
      <c r="AK9" s="160"/>
      <c r="AL9" s="2"/>
      <c r="AM9" s="155"/>
      <c r="AZ9" s="175"/>
      <c r="BA9" s="176"/>
      <c r="BB9" s="36"/>
      <c r="BC9" s="17"/>
      <c r="BI9" s="17"/>
      <c r="BJ9" s="17"/>
      <c r="BK9" s="17"/>
      <c r="BL9" s="17"/>
      <c r="BM9" s="17"/>
      <c r="BN9" s="17"/>
      <c r="BO9" s="17"/>
      <c r="BP9" s="17"/>
      <c r="BQ9" s="6"/>
      <c r="BR9" s="6"/>
      <c r="BS9" s="6"/>
      <c r="BT9" s="9"/>
      <c r="BU9" s="6"/>
      <c r="BV9" s="6"/>
      <c r="BW9" s="6"/>
      <c r="BX9" s="9"/>
      <c r="BY9" s="9"/>
      <c r="BZ9" s="737"/>
      <c r="CA9" s="738"/>
      <c r="CB9" s="160"/>
      <c r="CC9" s="2"/>
      <c r="CD9" s="155"/>
      <c r="CE9" s="351"/>
      <c r="CF9" s="23"/>
      <c r="CQ9" s="16"/>
      <c r="CR9" s="16"/>
      <c r="CS9" s="16"/>
      <c r="CT9" s="16"/>
      <c r="CX9" s="16"/>
      <c r="CY9" s="16"/>
      <c r="CZ9" s="16"/>
      <c r="DA9" s="37"/>
      <c r="DB9" s="37"/>
      <c r="DC9" s="160"/>
    </row>
    <row r="10" spans="1:107" s="5" customFormat="1" ht="19.5" customHeight="1" thickBot="1" x14ac:dyDescent="0.3">
      <c r="A10" s="38"/>
      <c r="B10" s="16"/>
      <c r="C10" s="16"/>
      <c r="D10" s="16"/>
      <c r="J10" s="16"/>
      <c r="K10" s="32"/>
      <c r="L10" s="16"/>
      <c r="M10" s="16"/>
      <c r="N10" s="16"/>
      <c r="O10" s="155"/>
      <c r="P10" s="166"/>
      <c r="Q10" s="693"/>
      <c r="R10" s="694"/>
      <c r="S10" s="694"/>
      <c r="T10" s="694"/>
      <c r="U10" s="694"/>
      <c r="V10" s="694"/>
      <c r="W10" s="694"/>
      <c r="X10" s="695"/>
      <c r="Y10" s="173"/>
      <c r="Z10" s="173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80"/>
      <c r="AL10" s="2"/>
      <c r="AM10" s="155"/>
      <c r="AZ10" s="175"/>
      <c r="BA10" s="176"/>
      <c r="BB10" s="17"/>
      <c r="BC10" s="17"/>
      <c r="BG10" s="34"/>
      <c r="BH10" s="34"/>
      <c r="BI10" s="17"/>
      <c r="BJ10" s="17"/>
      <c r="BK10" s="17"/>
      <c r="BL10" s="17"/>
      <c r="BM10" s="17"/>
      <c r="BN10" s="17"/>
      <c r="BO10" s="17"/>
      <c r="BP10" s="17"/>
      <c r="BQ10" s="6"/>
      <c r="BR10" s="6"/>
      <c r="BS10" s="6"/>
      <c r="BT10" s="6"/>
      <c r="BU10" s="6"/>
      <c r="BV10" s="9"/>
      <c r="BW10" s="9"/>
      <c r="BX10" s="9"/>
      <c r="BY10" s="9"/>
      <c r="BZ10" s="739"/>
      <c r="CA10" s="740"/>
      <c r="CB10" s="180"/>
      <c r="CC10" s="2"/>
      <c r="CD10" s="156"/>
      <c r="CE10" s="16"/>
      <c r="CF10" s="23"/>
      <c r="CH10" s="688" t="s">
        <v>178</v>
      </c>
      <c r="CI10" s="688"/>
      <c r="CQ10" s="16"/>
      <c r="CR10" s="16"/>
      <c r="CS10" s="16"/>
      <c r="CT10" s="16"/>
      <c r="CV10" s="16"/>
      <c r="CX10" s="16"/>
      <c r="CY10" s="16"/>
      <c r="CZ10" s="16"/>
      <c r="DA10" s="19"/>
      <c r="DB10" s="37"/>
      <c r="DC10" s="181"/>
    </row>
    <row r="11" spans="1:107" s="5" customFormat="1" ht="19.5" customHeight="1" thickBot="1" x14ac:dyDescent="0.3">
      <c r="A11" s="31"/>
      <c r="B11" s="16"/>
      <c r="C11" s="16"/>
      <c r="D11" s="42"/>
      <c r="E11" s="29"/>
      <c r="F11" s="9"/>
      <c r="G11" s="9"/>
      <c r="H11" s="29"/>
      <c r="I11" s="16"/>
      <c r="J11" s="16"/>
      <c r="K11" s="16"/>
      <c r="L11" s="16"/>
      <c r="M11" s="16"/>
      <c r="N11" s="16"/>
      <c r="O11" s="155"/>
      <c r="P11" s="166"/>
      <c r="Q11" s="693"/>
      <c r="R11" s="694"/>
      <c r="S11" s="694"/>
      <c r="T11" s="694"/>
      <c r="U11" s="694"/>
      <c r="V11" s="694"/>
      <c r="W11" s="694"/>
      <c r="X11" s="695"/>
      <c r="Y11" s="166"/>
      <c r="Z11" s="166"/>
      <c r="AA11" s="166"/>
      <c r="AB11" s="182"/>
      <c r="AC11" s="183"/>
      <c r="AD11" s="183"/>
      <c r="AE11" s="173"/>
      <c r="AF11" s="173"/>
      <c r="AG11" s="173"/>
      <c r="AH11" s="173"/>
      <c r="AI11" s="170"/>
      <c r="AJ11" s="184"/>
      <c r="AK11" s="180"/>
      <c r="AL11" s="2"/>
      <c r="AM11" s="155"/>
      <c r="AZ11" s="175"/>
      <c r="BA11" s="176"/>
      <c r="BB11" s="36"/>
      <c r="BC11" s="17"/>
      <c r="BG11" s="34"/>
      <c r="BH11" s="34"/>
      <c r="BI11" s="43"/>
      <c r="BJ11" s="17"/>
      <c r="BK11" s="17"/>
      <c r="BL11" s="17"/>
      <c r="BM11" s="17"/>
      <c r="BN11" s="17"/>
      <c r="BO11" s="17"/>
      <c r="BP11" s="17"/>
      <c r="BQ11" s="6"/>
      <c r="BR11" s="6"/>
      <c r="BS11" s="6"/>
      <c r="BT11" s="6"/>
      <c r="BU11" s="6"/>
      <c r="BV11" s="9"/>
      <c r="BW11" s="9"/>
      <c r="BX11" s="9"/>
      <c r="BY11" s="9"/>
      <c r="BZ11" s="170"/>
      <c r="CA11" s="184"/>
      <c r="CB11" s="180"/>
      <c r="CC11" s="2"/>
      <c r="CD11" s="156"/>
      <c r="CE11" s="351"/>
      <c r="CF11" s="9"/>
      <c r="CG11" s="22" t="s">
        <v>179</v>
      </c>
      <c r="CH11" s="165"/>
      <c r="CI11" s="165"/>
      <c r="CQ11" s="16"/>
      <c r="CR11" s="16"/>
      <c r="CS11" s="16"/>
      <c r="CX11" s="16"/>
      <c r="CY11" s="16"/>
      <c r="CZ11" s="16"/>
      <c r="DA11" s="19"/>
      <c r="DB11" s="37"/>
      <c r="DC11" s="181"/>
    </row>
    <row r="12" spans="1:107" s="5" customFormat="1" ht="19.5" customHeight="1" thickBot="1" x14ac:dyDescent="0.3">
      <c r="A12" s="185" t="s">
        <v>180</v>
      </c>
      <c r="B12" s="16"/>
      <c r="C12" s="45"/>
      <c r="D12" s="186"/>
      <c r="E12" s="13"/>
      <c r="F12" s="14"/>
      <c r="G12" s="14"/>
      <c r="H12" s="13"/>
      <c r="I12" s="187"/>
      <c r="J12" s="47"/>
      <c r="K12" s="16"/>
      <c r="L12" s="16"/>
      <c r="M12" s="741" t="s">
        <v>200</v>
      </c>
      <c r="N12" s="741"/>
      <c r="O12" s="155"/>
      <c r="P12" s="166"/>
      <c r="Q12" s="693"/>
      <c r="R12" s="694"/>
      <c r="S12" s="694"/>
      <c r="T12" s="694"/>
      <c r="U12" s="694"/>
      <c r="V12" s="694"/>
      <c r="W12" s="694"/>
      <c r="X12" s="695"/>
      <c r="AK12" s="180"/>
      <c r="AL12" s="2"/>
      <c r="AM12" s="155"/>
      <c r="AZ12" s="175"/>
      <c r="BA12" s="176"/>
      <c r="BC12" s="17"/>
      <c r="BG12" s="34"/>
      <c r="BH12" s="34"/>
      <c r="BI12" s="43"/>
      <c r="BJ12" s="17"/>
      <c r="BK12" s="17"/>
      <c r="BL12" s="17"/>
      <c r="BM12" s="17"/>
      <c r="BN12" s="17"/>
      <c r="BO12" s="17"/>
      <c r="BP12" s="17"/>
      <c r="BQ12" s="6"/>
      <c r="BR12" s="6"/>
      <c r="BS12" s="6"/>
      <c r="BT12" s="9"/>
      <c r="BU12" s="9"/>
      <c r="BV12" s="9"/>
      <c r="BW12" s="2"/>
      <c r="BX12" s="2"/>
      <c r="BY12" s="2"/>
      <c r="BZ12" s="170"/>
      <c r="CA12" s="48"/>
      <c r="CB12" s="180"/>
      <c r="CC12" s="2"/>
      <c r="CD12" s="156"/>
      <c r="CE12" s="24"/>
      <c r="CF12" s="188"/>
      <c r="CG12" s="172" t="s">
        <v>174</v>
      </c>
      <c r="CH12" s="294">
        <v>340</v>
      </c>
      <c r="CI12" s="294">
        <v>340</v>
      </c>
      <c r="CJ12" s="172" t="s">
        <v>174</v>
      </c>
      <c r="CK12" s="189"/>
      <c r="CM12" s="40"/>
      <c r="CN12" s="351"/>
      <c r="CQ12" s="16"/>
      <c r="CR12" s="16"/>
      <c r="CS12" s="16"/>
      <c r="CT12" s="16"/>
      <c r="CU12" s="40"/>
      <c r="CV12" s="351"/>
      <c r="CW12" s="16"/>
      <c r="CX12" s="16"/>
      <c r="CZ12" s="16"/>
      <c r="DA12" s="19"/>
      <c r="DB12" s="37"/>
      <c r="DC12" s="181"/>
    </row>
    <row r="13" spans="1:107" s="5" customFormat="1" ht="19.5" customHeight="1" x14ac:dyDescent="0.25">
      <c r="A13" s="190"/>
      <c r="B13" s="16"/>
      <c r="C13" s="45"/>
      <c r="D13" s="186"/>
      <c r="E13" s="13"/>
      <c r="F13" s="14"/>
      <c r="G13" s="14"/>
      <c r="H13" s="13"/>
      <c r="I13" s="187"/>
      <c r="J13" s="47"/>
      <c r="K13" s="275"/>
      <c r="L13" s="275"/>
      <c r="M13" s="22" t="s">
        <v>182</v>
      </c>
      <c r="N13" s="191"/>
      <c r="O13" s="155"/>
      <c r="P13" s="166"/>
      <c r="Q13" s="693"/>
      <c r="R13" s="694"/>
      <c r="S13" s="694"/>
      <c r="T13" s="694"/>
      <c r="U13" s="694"/>
      <c r="V13" s="694"/>
      <c r="W13" s="694"/>
      <c r="X13" s="695"/>
      <c r="Z13" s="742" t="s">
        <v>183</v>
      </c>
      <c r="AA13" s="743"/>
      <c r="AB13" s="743"/>
      <c r="AC13" s="743"/>
      <c r="AD13" s="743"/>
      <c r="AE13" s="743"/>
      <c r="AF13" s="743"/>
      <c r="AG13" s="743"/>
      <c r="AH13" s="744"/>
      <c r="AK13" s="180"/>
      <c r="AL13" s="2"/>
      <c r="AM13" s="155"/>
      <c r="AZ13" s="175"/>
      <c r="BA13" s="176"/>
      <c r="BB13" s="36"/>
      <c r="BC13" s="17"/>
      <c r="BG13" s="34"/>
      <c r="BH13" s="34"/>
      <c r="BI13" s="17"/>
      <c r="BJ13" s="17"/>
      <c r="BK13" s="17"/>
      <c r="BL13" s="17"/>
      <c r="BM13" s="17"/>
      <c r="BN13" s="17"/>
      <c r="BO13" s="17"/>
      <c r="BP13" s="17"/>
      <c r="BQ13" s="6"/>
      <c r="BR13" s="6"/>
      <c r="BS13" s="6"/>
      <c r="CB13" s="180"/>
      <c r="CC13" s="2"/>
      <c r="CD13" s="156"/>
      <c r="CE13" s="351"/>
      <c r="CF13" s="188"/>
      <c r="CG13" s="172" t="s">
        <v>174</v>
      </c>
      <c r="CH13" s="352">
        <v>340</v>
      </c>
      <c r="CI13" s="352">
        <v>340</v>
      </c>
      <c r="CJ13" s="172" t="s">
        <v>174</v>
      </c>
      <c r="CK13" s="189"/>
      <c r="CM13" s="354"/>
      <c r="CN13" s="351"/>
      <c r="CR13" s="16"/>
      <c r="CS13" s="16"/>
      <c r="CT13" s="16"/>
      <c r="CU13" s="40"/>
      <c r="CV13" s="351"/>
      <c r="CW13" s="16"/>
      <c r="CX13" s="16"/>
      <c r="CZ13" s="16"/>
      <c r="DA13" s="19"/>
      <c r="DB13" s="84"/>
      <c r="DC13" s="181"/>
    </row>
    <row r="14" spans="1:107" s="5" customFormat="1" ht="19.5" customHeight="1" x14ac:dyDescent="0.25">
      <c r="A14" s="190"/>
      <c r="C14" s="45"/>
      <c r="D14" s="186"/>
      <c r="E14" s="13"/>
      <c r="F14" s="14"/>
      <c r="G14" s="14"/>
      <c r="H14" s="13"/>
      <c r="I14" s="187"/>
      <c r="J14" s="47"/>
      <c r="K14" s="40"/>
      <c r="L14" s="40"/>
      <c r="M14" s="192" t="s">
        <v>174</v>
      </c>
      <c r="N14" s="274">
        <v>440</v>
      </c>
      <c r="O14" s="155"/>
      <c r="P14" s="166"/>
      <c r="Q14" s="693"/>
      <c r="R14" s="694"/>
      <c r="S14" s="694"/>
      <c r="T14" s="694"/>
      <c r="U14" s="694"/>
      <c r="V14" s="694"/>
      <c r="W14" s="694"/>
      <c r="X14" s="695"/>
      <c r="Z14" s="745"/>
      <c r="AA14" s="746"/>
      <c r="AB14" s="746"/>
      <c r="AC14" s="746"/>
      <c r="AD14" s="746"/>
      <c r="AE14" s="746"/>
      <c r="AF14" s="746"/>
      <c r="AG14" s="746"/>
      <c r="AH14" s="747"/>
      <c r="AK14" s="180"/>
      <c r="AL14" s="2"/>
      <c r="AM14" s="155"/>
      <c r="AZ14" s="175"/>
      <c r="BA14" s="176"/>
      <c r="BB14" s="17"/>
      <c r="BC14" s="17"/>
      <c r="BG14" s="34"/>
      <c r="BH14" s="34"/>
      <c r="BI14" s="17"/>
      <c r="BJ14" s="17"/>
      <c r="BK14" s="17"/>
      <c r="BL14" s="17"/>
      <c r="BM14" s="17"/>
      <c r="BN14" s="17"/>
      <c r="BO14" s="17"/>
      <c r="BP14" s="17"/>
      <c r="BQ14" s="6"/>
      <c r="BR14" s="6"/>
      <c r="BS14" s="6"/>
      <c r="CB14" s="180"/>
      <c r="CC14" s="2"/>
      <c r="CD14" s="156"/>
      <c r="CE14" s="24"/>
      <c r="CF14" s="23"/>
      <c r="CG14" s="16"/>
      <c r="CH14" s="165"/>
      <c r="CI14" s="165"/>
      <c r="CL14" s="16"/>
      <c r="CM14" s="40"/>
      <c r="CN14" s="351"/>
      <c r="CP14" s="16"/>
      <c r="CQ14" s="16"/>
      <c r="CR14" s="16"/>
      <c r="CS14" s="16"/>
      <c r="CT14" s="16"/>
      <c r="CW14" s="16"/>
      <c r="CX14" s="16"/>
      <c r="CZ14" s="16"/>
      <c r="DA14" s="19"/>
      <c r="DB14" s="84"/>
      <c r="DC14" s="181"/>
    </row>
    <row r="15" spans="1:107" s="5" customFormat="1" ht="19.5" customHeight="1" thickBot="1" x14ac:dyDescent="0.3">
      <c r="A15" s="193"/>
      <c r="B15" s="50"/>
      <c r="C15" s="50"/>
      <c r="D15" s="50"/>
      <c r="E15" s="46"/>
      <c r="F15" s="32"/>
      <c r="G15" s="32"/>
      <c r="H15" s="47"/>
      <c r="I15" s="32"/>
      <c r="J15" s="32"/>
      <c r="K15" s="32"/>
      <c r="L15" s="194"/>
      <c r="M15" s="192" t="s">
        <v>174</v>
      </c>
      <c r="N15" s="274">
        <v>440</v>
      </c>
      <c r="O15" s="155"/>
      <c r="P15" s="166"/>
      <c r="Q15" s="693"/>
      <c r="R15" s="694"/>
      <c r="S15" s="694"/>
      <c r="T15" s="694"/>
      <c r="U15" s="694"/>
      <c r="V15" s="694"/>
      <c r="W15" s="694"/>
      <c r="X15" s="695"/>
      <c r="Z15" s="745"/>
      <c r="AA15" s="746"/>
      <c r="AB15" s="746"/>
      <c r="AC15" s="746"/>
      <c r="AD15" s="746"/>
      <c r="AE15" s="746"/>
      <c r="AF15" s="746"/>
      <c r="AG15" s="746"/>
      <c r="AH15" s="747"/>
      <c r="AK15" s="180"/>
      <c r="AL15" s="2"/>
      <c r="AM15" s="155"/>
      <c r="AZ15" s="175"/>
      <c r="BA15" s="176"/>
      <c r="BB15" s="17"/>
      <c r="BC15" s="17"/>
      <c r="BF15" s="51"/>
      <c r="BG15" s="34"/>
      <c r="BH15" s="34"/>
      <c r="BJ15" s="17"/>
      <c r="BK15" s="17"/>
      <c r="BL15" s="17"/>
      <c r="BM15" s="17"/>
      <c r="BN15" s="17"/>
      <c r="BO15" s="17"/>
      <c r="BP15" s="17"/>
      <c r="BQ15" s="6"/>
      <c r="BR15" s="6"/>
      <c r="BS15" s="6"/>
      <c r="BT15" s="2"/>
      <c r="BU15" s="2"/>
      <c r="BV15" s="2"/>
      <c r="BW15" s="2"/>
      <c r="BX15" s="52"/>
      <c r="BY15" s="53"/>
      <c r="BZ15" s="195"/>
      <c r="CA15" s="53"/>
      <c r="CB15" s="180"/>
      <c r="CC15" s="2"/>
      <c r="CD15" s="156"/>
      <c r="CE15" s="351"/>
      <c r="CF15" s="23"/>
      <c r="CG15" s="9"/>
      <c r="CL15" s="16"/>
      <c r="CP15" s="16"/>
      <c r="CQ15" s="16"/>
      <c r="CR15" s="16"/>
      <c r="CS15" s="16"/>
      <c r="CT15" s="16"/>
      <c r="CU15" s="16"/>
      <c r="CV15" s="16"/>
      <c r="CW15" s="16"/>
      <c r="CX15" s="16"/>
      <c r="CZ15" s="16"/>
      <c r="DA15" s="19"/>
      <c r="DB15" s="361"/>
      <c r="DC15" s="181"/>
    </row>
    <row r="16" spans="1:107" s="5" customFormat="1" ht="19.5" customHeight="1" thickBot="1" x14ac:dyDescent="0.3">
      <c r="A16" s="751" t="s">
        <v>185</v>
      </c>
      <c r="B16" s="752"/>
      <c r="C16" s="752"/>
      <c r="D16" s="752"/>
      <c r="E16" s="752"/>
      <c r="F16" s="753"/>
      <c r="G16" s="57"/>
      <c r="H16" s="58"/>
      <c r="I16" s="16"/>
      <c r="J16" s="16"/>
      <c r="K16" s="59"/>
      <c r="L16" s="194"/>
      <c r="M16" s="192" t="s">
        <v>174</v>
      </c>
      <c r="N16" s="355">
        <v>340</v>
      </c>
      <c r="O16" s="155"/>
      <c r="P16" s="166"/>
      <c r="Q16" s="693"/>
      <c r="R16" s="694"/>
      <c r="S16" s="694"/>
      <c r="T16" s="694"/>
      <c r="U16" s="694"/>
      <c r="V16" s="694"/>
      <c r="W16" s="694"/>
      <c r="X16" s="695"/>
      <c r="Z16" s="745"/>
      <c r="AA16" s="746"/>
      <c r="AB16" s="746"/>
      <c r="AC16" s="746"/>
      <c r="AD16" s="746"/>
      <c r="AE16" s="746"/>
      <c r="AF16" s="746"/>
      <c r="AG16" s="746"/>
      <c r="AH16" s="747"/>
      <c r="AK16" s="180"/>
      <c r="AL16" s="2"/>
      <c r="AM16" s="155"/>
      <c r="AZ16" s="175"/>
      <c r="BA16" s="176"/>
      <c r="BB16" s="36"/>
      <c r="BC16" s="17"/>
      <c r="BF16" s="51"/>
      <c r="BG16" s="356"/>
      <c r="BH16" s="356"/>
      <c r="BI16" s="17"/>
      <c r="BJ16" s="17"/>
      <c r="BK16" s="17"/>
      <c r="BL16" s="17"/>
      <c r="BM16" s="59"/>
      <c r="BN16" s="120"/>
      <c r="BO16" s="37"/>
      <c r="BP16" s="37"/>
      <c r="BQ16" s="6"/>
      <c r="BR16" s="6"/>
      <c r="BS16" s="6"/>
      <c r="BT16" s="6"/>
      <c r="BU16" s="6"/>
      <c r="BV16" s="6"/>
      <c r="BW16" s="2"/>
      <c r="CB16" s="180"/>
      <c r="CC16" s="2"/>
      <c r="CD16" s="156"/>
      <c r="CE16" s="24"/>
      <c r="CF16" s="24"/>
      <c r="CG16" s="43"/>
      <c r="CH16" s="6"/>
      <c r="CI16" s="9"/>
      <c r="CJ16" s="16"/>
      <c r="CM16" s="33"/>
      <c r="CN16" s="33"/>
      <c r="CO16" s="16"/>
      <c r="CP16" s="16"/>
      <c r="CQ16" s="16"/>
      <c r="CR16" s="16"/>
      <c r="CS16" s="16"/>
      <c r="CT16" s="16"/>
      <c r="CW16" s="16"/>
      <c r="CX16" s="16"/>
      <c r="CZ16" s="16"/>
      <c r="DA16" s="19"/>
      <c r="DB16" s="361"/>
      <c r="DC16" s="181"/>
    </row>
    <row r="17" spans="1:107" s="5" customFormat="1" ht="19.5" customHeight="1" x14ac:dyDescent="0.25">
      <c r="A17" s="754"/>
      <c r="B17" s="755"/>
      <c r="C17" s="755"/>
      <c r="D17" s="755"/>
      <c r="E17" s="755"/>
      <c r="F17" s="756"/>
      <c r="G17" s="62"/>
      <c r="H17" s="63"/>
      <c r="I17" s="16"/>
      <c r="J17" s="16"/>
      <c r="K17" s="16"/>
      <c r="L17" s="194"/>
      <c r="M17" s="192" t="s">
        <v>174</v>
      </c>
      <c r="N17" s="355">
        <v>340</v>
      </c>
      <c r="O17" s="155"/>
      <c r="P17" s="166"/>
      <c r="Q17" s="693"/>
      <c r="R17" s="694"/>
      <c r="S17" s="694"/>
      <c r="T17" s="694"/>
      <c r="U17" s="694"/>
      <c r="V17" s="694"/>
      <c r="W17" s="694"/>
      <c r="X17" s="695"/>
      <c r="Z17" s="745"/>
      <c r="AA17" s="746"/>
      <c r="AB17" s="746"/>
      <c r="AC17" s="746"/>
      <c r="AD17" s="746"/>
      <c r="AE17" s="746"/>
      <c r="AF17" s="746"/>
      <c r="AG17" s="746"/>
      <c r="AH17" s="747"/>
      <c r="AK17" s="180"/>
      <c r="AL17" s="2"/>
      <c r="AM17" s="155"/>
      <c r="AQ17" s="64" t="s">
        <v>184</v>
      </c>
      <c r="AR17" s="65"/>
      <c r="AS17" s="65"/>
      <c r="AZ17" s="175"/>
      <c r="BA17" s="176"/>
      <c r="BB17" s="17"/>
      <c r="BC17" s="17"/>
      <c r="BD17" s="17"/>
      <c r="BF17" s="51"/>
      <c r="BG17" s="356"/>
      <c r="BH17" s="356"/>
      <c r="BI17" s="9"/>
      <c r="BJ17" s="17"/>
      <c r="BK17" s="17"/>
      <c r="BL17" s="17"/>
      <c r="BM17" s="17"/>
      <c r="BN17" s="66"/>
      <c r="BO17" s="67"/>
      <c r="BP17" s="67"/>
      <c r="BQ17" s="68"/>
      <c r="BR17" s="69"/>
      <c r="BS17" s="6"/>
      <c r="BT17" s="70"/>
      <c r="BU17" s="6"/>
      <c r="BV17" s="6"/>
      <c r="BW17" s="6"/>
      <c r="BX17" s="6"/>
      <c r="BY17" s="2"/>
      <c r="BZ17" s="2"/>
      <c r="CA17" s="2"/>
      <c r="CB17" s="180"/>
      <c r="CC17" s="2"/>
      <c r="CD17" s="156"/>
      <c r="CE17" s="351"/>
      <c r="CF17" s="71"/>
      <c r="CG17" s="43"/>
      <c r="CH17" s="354"/>
      <c r="CI17" s="354"/>
      <c r="CJ17" s="16"/>
      <c r="CP17" s="16"/>
      <c r="CQ17" s="16"/>
      <c r="CR17" s="16"/>
      <c r="CS17" s="16"/>
      <c r="CT17" s="16"/>
      <c r="CU17" s="16"/>
      <c r="CV17" s="16"/>
      <c r="CW17" s="16"/>
      <c r="CX17" s="16"/>
      <c r="CZ17" s="16"/>
      <c r="DA17" s="19"/>
      <c r="DB17" s="367"/>
      <c r="DC17" s="181"/>
    </row>
    <row r="18" spans="1:107" s="5" customFormat="1" ht="19.5" customHeight="1" thickBot="1" x14ac:dyDescent="0.3">
      <c r="A18" s="754"/>
      <c r="B18" s="755"/>
      <c r="C18" s="755"/>
      <c r="D18" s="755"/>
      <c r="E18" s="755"/>
      <c r="F18" s="756"/>
      <c r="G18" s="62"/>
      <c r="H18" s="63"/>
      <c r="I18" s="16"/>
      <c r="J18" s="16"/>
      <c r="K18" s="17"/>
      <c r="M18" s="741" t="s">
        <v>181</v>
      </c>
      <c r="N18" s="741"/>
      <c r="O18" s="155"/>
      <c r="P18" s="166"/>
      <c r="Q18" s="696"/>
      <c r="R18" s="697"/>
      <c r="S18" s="697"/>
      <c r="T18" s="697"/>
      <c r="U18" s="697"/>
      <c r="V18" s="697"/>
      <c r="W18" s="697"/>
      <c r="X18" s="698"/>
      <c r="Z18" s="748"/>
      <c r="AA18" s="749"/>
      <c r="AB18" s="749"/>
      <c r="AC18" s="749"/>
      <c r="AD18" s="749"/>
      <c r="AE18" s="749"/>
      <c r="AF18" s="749"/>
      <c r="AG18" s="749"/>
      <c r="AH18" s="750"/>
      <c r="AK18" s="180"/>
      <c r="AL18" s="2"/>
      <c r="AM18" s="155"/>
      <c r="AZ18" s="175"/>
      <c r="BA18" s="176"/>
      <c r="BB18" s="36"/>
      <c r="BC18" s="17"/>
      <c r="BD18" s="17"/>
      <c r="BG18" s="17"/>
      <c r="BH18" s="17"/>
      <c r="BI18" s="17"/>
      <c r="BM18" s="186"/>
      <c r="BN18" s="177"/>
      <c r="BO18" s="14"/>
      <c r="BP18" s="14"/>
      <c r="BQ18" s="177"/>
      <c r="BR18" s="187"/>
      <c r="BT18" s="70"/>
      <c r="BU18" s="6"/>
      <c r="BV18" s="6"/>
      <c r="BW18" s="6"/>
      <c r="BX18" s="6"/>
      <c r="BY18" s="70"/>
      <c r="BZ18" s="73"/>
      <c r="CA18" s="6"/>
      <c r="CB18" s="180"/>
      <c r="CC18" s="2"/>
      <c r="CD18" s="156"/>
      <c r="CE18" s="23"/>
      <c r="CF18" s="71"/>
      <c r="CG18" s="43"/>
      <c r="CH18" s="354"/>
      <c r="CI18" s="354"/>
      <c r="CJ18" s="16"/>
      <c r="CK18" s="188"/>
      <c r="CP18" s="189"/>
      <c r="CQ18" s="9"/>
      <c r="CR18" s="16"/>
      <c r="CS18" s="16"/>
      <c r="CT18" s="16"/>
      <c r="CU18" s="16"/>
      <c r="CV18" s="16"/>
      <c r="CW18" s="16"/>
      <c r="CX18" s="16"/>
      <c r="CZ18" s="16"/>
      <c r="DA18" s="16"/>
      <c r="DB18" s="367"/>
      <c r="DC18" s="181"/>
    </row>
    <row r="19" spans="1:107" s="5" customFormat="1" ht="19.5" customHeight="1" thickBot="1" x14ac:dyDescent="0.3">
      <c r="A19" s="754"/>
      <c r="B19" s="755"/>
      <c r="C19" s="755"/>
      <c r="D19" s="755"/>
      <c r="E19" s="755"/>
      <c r="F19" s="756"/>
      <c r="G19" s="74"/>
      <c r="H19" s="63"/>
      <c r="I19" s="16"/>
      <c r="J19" s="16"/>
      <c r="K19" s="16"/>
      <c r="N19" s="357"/>
      <c r="O19" s="155"/>
      <c r="P19" s="166"/>
      <c r="S19" s="166"/>
      <c r="T19" s="166"/>
      <c r="U19" s="166"/>
      <c r="V19" s="166"/>
      <c r="W19" s="166"/>
      <c r="X19" s="166"/>
      <c r="AA19" s="349"/>
      <c r="AB19" s="349"/>
      <c r="AD19" s="16"/>
      <c r="AE19" s="349"/>
      <c r="AF19" s="349"/>
      <c r="AG19" s="16"/>
      <c r="AH19" s="16"/>
      <c r="AK19" s="180"/>
      <c r="AL19" s="2"/>
      <c r="AM19" s="155"/>
      <c r="AZ19" s="198"/>
      <c r="BA19" s="199"/>
      <c r="BB19" s="17" t="s">
        <v>186</v>
      </c>
      <c r="BC19" s="17"/>
      <c r="BD19" s="17"/>
      <c r="BG19" s="17"/>
      <c r="BH19" s="17"/>
      <c r="BI19" s="17"/>
      <c r="BJ19" s="17"/>
      <c r="BM19" s="186"/>
      <c r="BN19" s="177"/>
      <c r="BO19" s="14"/>
      <c r="BP19" s="14"/>
      <c r="BQ19" s="177"/>
      <c r="BR19" s="187"/>
      <c r="BS19" s="43"/>
      <c r="BT19" s="70"/>
      <c r="BU19" s="6"/>
      <c r="BV19" s="356"/>
      <c r="BW19" s="356"/>
      <c r="BX19" s="2"/>
      <c r="BY19" s="10"/>
      <c r="BZ19" s="19"/>
      <c r="CA19" s="6"/>
      <c r="CB19" s="180"/>
      <c r="CC19" s="2"/>
      <c r="CD19" s="156"/>
      <c r="CE19" s="71"/>
      <c r="CF19" s="71"/>
      <c r="CG19" s="43"/>
      <c r="CH19" s="358"/>
      <c r="CI19" s="358"/>
      <c r="CJ19" s="16"/>
      <c r="CK19" s="188"/>
      <c r="CP19" s="189"/>
      <c r="CQ19" s="9"/>
      <c r="CR19" s="16"/>
      <c r="CS19" s="16"/>
      <c r="CT19" s="16"/>
      <c r="CU19" s="16"/>
      <c r="CV19" s="16"/>
      <c r="CW19" s="16"/>
      <c r="CX19" s="16"/>
      <c r="CZ19" s="16"/>
      <c r="DA19" s="16"/>
      <c r="DB19" s="367"/>
      <c r="DC19" s="181"/>
    </row>
    <row r="20" spans="1:107" s="5" customFormat="1" ht="19.5" customHeight="1" thickBot="1" x14ac:dyDescent="0.3">
      <c r="A20" s="754"/>
      <c r="B20" s="755"/>
      <c r="C20" s="755"/>
      <c r="D20" s="755"/>
      <c r="E20" s="755"/>
      <c r="F20" s="756"/>
      <c r="G20" s="76"/>
      <c r="H20" s="63"/>
      <c r="I20" s="16"/>
      <c r="K20" s="9"/>
      <c r="N20" s="357"/>
      <c r="O20" s="155"/>
      <c r="P20" s="166"/>
      <c r="T20" s="173"/>
      <c r="U20" s="173"/>
      <c r="V20" s="173"/>
      <c r="W20" s="200"/>
      <c r="X20" s="182"/>
      <c r="AA20" s="349"/>
      <c r="AB20" s="349"/>
      <c r="AE20" s="349"/>
      <c r="AF20" s="349"/>
      <c r="AH20" s="16"/>
      <c r="AK20" s="180"/>
      <c r="AL20" s="2"/>
      <c r="AM20" s="155"/>
      <c r="AZ20" s="17"/>
      <c r="BA20" s="17"/>
      <c r="BB20" s="17"/>
      <c r="BC20" s="17"/>
      <c r="BD20" s="17"/>
      <c r="BG20" s="17"/>
      <c r="BH20" s="17"/>
      <c r="BI20" s="17"/>
      <c r="BJ20" s="17"/>
      <c r="BK20" s="9"/>
      <c r="BM20" s="186"/>
      <c r="BN20" s="177"/>
      <c r="BO20" s="14"/>
      <c r="BP20" s="14"/>
      <c r="BQ20" s="177"/>
      <c r="BR20" s="187"/>
      <c r="BS20" s="43"/>
      <c r="BU20" s="6"/>
      <c r="BV20" s="356"/>
      <c r="BW20" s="356"/>
      <c r="BX20" s="2"/>
      <c r="BY20" s="10"/>
      <c r="BZ20" s="19"/>
      <c r="CA20" s="6"/>
      <c r="CB20" s="180"/>
      <c r="CC20" s="2"/>
      <c r="CD20" s="156"/>
      <c r="CE20" s="71"/>
      <c r="CF20" s="71"/>
      <c r="CG20" s="43"/>
      <c r="CH20" s="358"/>
      <c r="CI20" s="358"/>
      <c r="CJ20" s="16"/>
      <c r="CM20" s="353"/>
      <c r="CN20" s="353"/>
      <c r="CQ20" s="8"/>
      <c r="CR20" s="16"/>
      <c r="CS20" s="16"/>
      <c r="CT20" s="16"/>
      <c r="CU20" s="16"/>
      <c r="CV20" s="16"/>
      <c r="CW20" s="16"/>
      <c r="CX20" s="16"/>
      <c r="CZ20" s="16"/>
      <c r="DA20" s="16"/>
      <c r="DB20" s="367"/>
      <c r="DC20" s="181"/>
    </row>
    <row r="21" spans="1:107" s="5" customFormat="1" ht="19.5" customHeight="1" x14ac:dyDescent="0.25">
      <c r="A21" s="754"/>
      <c r="B21" s="755"/>
      <c r="C21" s="755"/>
      <c r="D21" s="755"/>
      <c r="E21" s="755"/>
      <c r="F21" s="756"/>
      <c r="G21" s="78"/>
      <c r="H21" s="79"/>
      <c r="I21" s="16"/>
      <c r="J21" s="71"/>
      <c r="K21" s="9"/>
      <c r="N21" s="757" t="s">
        <v>187</v>
      </c>
      <c r="O21" s="758"/>
      <c r="P21" s="166"/>
      <c r="T21" s="200"/>
      <c r="U21" s="200"/>
      <c r="V21" s="200"/>
      <c r="W21" s="200"/>
      <c r="X21" s="200"/>
      <c r="AA21" s="349"/>
      <c r="AB21" s="349"/>
      <c r="AE21" s="349"/>
      <c r="AF21" s="349"/>
      <c r="AH21" s="16"/>
      <c r="AK21" s="180"/>
      <c r="AL21" s="2"/>
      <c r="AM21" s="155"/>
      <c r="AZ21" s="17"/>
      <c r="BA21" s="17"/>
      <c r="BB21" s="17"/>
      <c r="BC21" s="17"/>
      <c r="BD21" s="17"/>
      <c r="BE21" s="201" t="s">
        <v>188</v>
      </c>
      <c r="BF21" s="202"/>
      <c r="BG21" s="202"/>
      <c r="BH21" s="202"/>
      <c r="BI21" s="203"/>
      <c r="BM21" s="186"/>
      <c r="BN21" s="177"/>
      <c r="BO21" s="14"/>
      <c r="BP21" s="14"/>
      <c r="BQ21" s="177"/>
      <c r="BR21" s="187"/>
      <c r="BV21" s="356"/>
      <c r="BW21" s="356"/>
      <c r="BX21" s="2"/>
      <c r="BY21" s="2"/>
      <c r="BZ21" s="2"/>
      <c r="CA21" s="2"/>
      <c r="CB21" s="180"/>
      <c r="CC21" s="2"/>
      <c r="CD21" s="156"/>
      <c r="CE21" s="71"/>
      <c r="CF21" s="71"/>
      <c r="CG21" s="43"/>
      <c r="CH21" s="358"/>
      <c r="CI21" s="358"/>
      <c r="CJ21" s="16"/>
      <c r="CM21" s="353"/>
      <c r="CN21" s="353"/>
      <c r="CR21" s="16"/>
      <c r="CS21" s="16"/>
      <c r="CT21" s="16"/>
      <c r="CU21" s="16"/>
      <c r="CV21" s="16"/>
      <c r="CW21" s="16"/>
      <c r="CX21" s="16"/>
      <c r="CZ21" s="16"/>
      <c r="DA21" s="16"/>
      <c r="DC21" s="181"/>
    </row>
    <row r="22" spans="1:107" s="5" customFormat="1" ht="19.5" customHeight="1" thickBot="1" x14ac:dyDescent="0.3">
      <c r="A22" s="754"/>
      <c r="B22" s="755"/>
      <c r="C22" s="755"/>
      <c r="D22" s="755"/>
      <c r="E22" s="755"/>
      <c r="F22" s="756"/>
      <c r="G22" s="62"/>
      <c r="H22" s="63"/>
      <c r="I22" s="16"/>
      <c r="J22" s="71"/>
      <c r="K22" s="9"/>
      <c r="N22" s="759"/>
      <c r="O22" s="760"/>
      <c r="P22" s="166"/>
      <c r="T22" s="200"/>
      <c r="U22" s="200"/>
      <c r="V22" s="80"/>
      <c r="W22" s="80"/>
      <c r="X22" s="80"/>
      <c r="Z22" s="16"/>
      <c r="AA22" s="349"/>
      <c r="AB22" s="349"/>
      <c r="AC22" s="16"/>
      <c r="AE22" s="349"/>
      <c r="AF22" s="349"/>
      <c r="AK22" s="180"/>
      <c r="AL22" s="2"/>
      <c r="AM22" s="155"/>
      <c r="AZ22" s="80"/>
      <c r="BA22" s="17"/>
      <c r="BB22" s="17"/>
      <c r="BC22" s="17"/>
      <c r="BD22" s="17"/>
      <c r="BE22" s="205"/>
      <c r="BF22" s="167"/>
      <c r="BG22" s="167"/>
      <c r="BH22" s="167"/>
      <c r="BI22" s="206"/>
      <c r="BN22" s="37"/>
      <c r="BO22" s="67"/>
      <c r="BP22" s="67"/>
      <c r="BQ22" s="37"/>
      <c r="BV22" s="34"/>
      <c r="BW22" s="34"/>
      <c r="BY22" s="2"/>
      <c r="BZ22" s="2"/>
      <c r="CA22" s="2"/>
      <c r="CB22" s="180"/>
      <c r="CC22" s="2"/>
      <c r="CD22" s="156"/>
      <c r="CE22" s="23"/>
      <c r="CF22" s="23"/>
      <c r="CG22" s="43"/>
      <c r="CH22" s="6"/>
      <c r="CI22" s="6"/>
      <c r="CJ22" s="16"/>
      <c r="CM22" s="44"/>
      <c r="CN22" s="44"/>
      <c r="CP22" s="16"/>
      <c r="CR22" s="16"/>
      <c r="CS22" s="16"/>
      <c r="CT22" s="16"/>
      <c r="CU22" s="83"/>
      <c r="CV22" s="83"/>
      <c r="CW22" s="16"/>
      <c r="CX22" s="16"/>
      <c r="CZ22" s="16"/>
      <c r="DA22" s="16"/>
      <c r="DC22" s="181"/>
    </row>
    <row r="23" spans="1:107" s="5" customFormat="1" ht="19.5" customHeight="1" thickBot="1" x14ac:dyDescent="0.3">
      <c r="A23" s="754"/>
      <c r="B23" s="755"/>
      <c r="C23" s="755"/>
      <c r="D23" s="755"/>
      <c r="E23" s="755"/>
      <c r="F23" s="756"/>
      <c r="G23" s="62"/>
      <c r="H23" s="63"/>
      <c r="I23" s="16"/>
      <c r="J23" s="81"/>
      <c r="K23" s="16"/>
      <c r="N23" s="759"/>
      <c r="O23" s="760"/>
      <c r="P23" s="166"/>
      <c r="V23" s="173"/>
      <c r="W23" s="173"/>
      <c r="X23" s="173"/>
      <c r="Z23" s="16"/>
      <c r="AA23" s="349"/>
      <c r="AB23" s="349"/>
      <c r="AE23" s="349"/>
      <c r="AF23" s="349"/>
      <c r="AK23" s="180"/>
      <c r="AL23" s="2"/>
      <c r="AM23" s="155"/>
      <c r="AZ23" s="17"/>
      <c r="BA23" s="17"/>
      <c r="BB23" s="17"/>
      <c r="BC23" s="17"/>
      <c r="BD23" s="17"/>
      <c r="BE23" s="205"/>
      <c r="BF23" s="167"/>
      <c r="BG23" s="167"/>
      <c r="BH23" s="167"/>
      <c r="BI23" s="206"/>
      <c r="BO23" s="37"/>
      <c r="BP23" s="37"/>
      <c r="BV23" s="6"/>
      <c r="BW23" s="6"/>
      <c r="BY23" s="2"/>
      <c r="BZ23" s="2"/>
      <c r="CA23" s="2"/>
      <c r="CB23" s="180"/>
      <c r="CC23" s="2"/>
      <c r="CD23" s="159"/>
      <c r="CE23" s="763" t="s">
        <v>180</v>
      </c>
      <c r="CF23" s="764"/>
      <c r="CG23" s="764"/>
      <c r="CH23" s="764"/>
      <c r="CI23" s="765"/>
      <c r="CJ23" s="351"/>
      <c r="CM23" s="771"/>
      <c r="CN23" s="771"/>
      <c r="CR23" s="16"/>
      <c r="CS23" s="16"/>
      <c r="CT23" s="16"/>
      <c r="CU23" s="360"/>
      <c r="CV23" s="360"/>
      <c r="CW23" s="16"/>
      <c r="CX23" s="16"/>
      <c r="CZ23" s="16"/>
      <c r="DA23" s="16"/>
      <c r="DC23" s="181"/>
    </row>
    <row r="24" spans="1:107" s="5" customFormat="1" ht="19.5" customHeight="1" thickBot="1" x14ac:dyDescent="0.3">
      <c r="A24" s="204"/>
      <c r="B24" s="155"/>
      <c r="C24" s="55"/>
      <c r="D24" s="55"/>
      <c r="E24" s="55"/>
      <c r="F24" s="55"/>
      <c r="G24" s="685" t="s">
        <v>176</v>
      </c>
      <c r="H24" s="685"/>
      <c r="I24" s="86"/>
      <c r="J24" s="16"/>
      <c r="K24" s="16"/>
      <c r="N24" s="761"/>
      <c r="O24" s="762"/>
      <c r="P24" s="166"/>
      <c r="R24" s="166"/>
      <c r="S24" s="208"/>
      <c r="U24" s="173"/>
      <c r="V24" s="173"/>
      <c r="W24" s="173"/>
      <c r="X24" s="173"/>
      <c r="Z24" s="16"/>
      <c r="AA24" s="349"/>
      <c r="AB24" s="349"/>
      <c r="AE24" s="88"/>
      <c r="AF24" s="88"/>
      <c r="AK24" s="180"/>
      <c r="AL24" s="2"/>
      <c r="AM24" s="155"/>
      <c r="AZ24" s="17"/>
      <c r="BA24" s="17"/>
      <c r="BB24" s="17"/>
      <c r="BC24" s="17"/>
      <c r="BD24" s="17"/>
      <c r="BE24" s="205"/>
      <c r="BF24" s="167"/>
      <c r="BG24" s="167"/>
      <c r="BH24" s="167"/>
      <c r="BI24" s="206"/>
      <c r="BO24" s="33"/>
      <c r="BP24" s="33"/>
      <c r="BT24" s="2"/>
      <c r="BX24" s="2"/>
      <c r="BY24" s="2"/>
      <c r="BZ24" s="2"/>
      <c r="CA24" s="2"/>
      <c r="CB24" s="180"/>
      <c r="CC24" s="2"/>
      <c r="CD24" s="159"/>
      <c r="CE24" s="766"/>
      <c r="CF24" s="694"/>
      <c r="CG24" s="694"/>
      <c r="CH24" s="694"/>
      <c r="CI24" s="767"/>
      <c r="CJ24" s="351"/>
      <c r="CM24" s="16"/>
      <c r="CN24" s="16"/>
      <c r="CQ24" s="8"/>
      <c r="CR24" s="16"/>
      <c r="CS24" s="16"/>
      <c r="CT24" s="16"/>
      <c r="CU24" s="83"/>
      <c r="CV24" s="83"/>
      <c r="CW24" s="16"/>
      <c r="CX24" s="16"/>
      <c r="CZ24" s="16"/>
      <c r="DA24" s="16"/>
      <c r="DC24" s="181"/>
    </row>
    <row r="25" spans="1:107" s="5" customFormat="1" ht="19.5" customHeight="1" thickBot="1" x14ac:dyDescent="0.3">
      <c r="A25" s="155"/>
      <c r="E25" s="16"/>
      <c r="F25" s="22" t="s">
        <v>189</v>
      </c>
      <c r="G25" s="209"/>
      <c r="H25" s="209"/>
      <c r="I25" s="210" t="s">
        <v>190</v>
      </c>
      <c r="J25" s="16"/>
      <c r="K25" s="16"/>
      <c r="N25" s="155"/>
      <c r="O25" s="155"/>
      <c r="P25" s="166"/>
      <c r="R25" s="166"/>
      <c r="S25" s="173"/>
      <c r="T25" s="173"/>
      <c r="U25" s="173"/>
      <c r="V25" s="173"/>
      <c r="W25" s="173"/>
      <c r="X25" s="173"/>
      <c r="Z25" s="16"/>
      <c r="AA25" s="349"/>
      <c r="AB25" s="349"/>
      <c r="AE25" s="88"/>
      <c r="AF25" s="88"/>
      <c r="AK25" s="180"/>
      <c r="AL25" s="2"/>
      <c r="AM25" s="155"/>
      <c r="AZ25" s="91"/>
      <c r="BA25" s="17"/>
      <c r="BB25" s="17"/>
      <c r="BC25" s="17"/>
      <c r="BD25" s="17"/>
      <c r="BE25" s="211"/>
      <c r="BF25" s="212"/>
      <c r="BG25" s="212"/>
      <c r="BH25" s="212"/>
      <c r="BI25" s="213"/>
      <c r="BT25" s="19"/>
      <c r="BU25" s="18"/>
      <c r="BV25" s="83"/>
      <c r="BW25" s="83"/>
      <c r="BX25" s="2"/>
      <c r="BY25" s="2"/>
      <c r="BZ25" s="2"/>
      <c r="CA25" s="88"/>
      <c r="CB25" s="180"/>
      <c r="CC25" s="2"/>
      <c r="CD25" s="159"/>
      <c r="CE25" s="766"/>
      <c r="CF25" s="694"/>
      <c r="CG25" s="694"/>
      <c r="CH25" s="694"/>
      <c r="CI25" s="767"/>
      <c r="CJ25" s="351"/>
      <c r="CM25" s="16"/>
      <c r="CN25" s="16"/>
      <c r="CQ25" s="8"/>
      <c r="CR25" s="16"/>
      <c r="CS25" s="16"/>
      <c r="CT25" s="16"/>
      <c r="CU25" s="360"/>
      <c r="CV25" s="360"/>
      <c r="CW25" s="16"/>
      <c r="CX25" s="16"/>
      <c r="DA25" s="16"/>
      <c r="DC25" s="181"/>
    </row>
    <row r="26" spans="1:107" s="5" customFormat="1" ht="19.5" customHeight="1" thickBot="1" x14ac:dyDescent="0.3">
      <c r="A26" s="155"/>
      <c r="B26" s="685" t="s">
        <v>176</v>
      </c>
      <c r="C26" s="685"/>
      <c r="E26" s="214"/>
      <c r="F26" s="171" t="s">
        <v>171</v>
      </c>
      <c r="G26" s="362">
        <v>1250</v>
      </c>
      <c r="H26" s="363">
        <v>1250</v>
      </c>
      <c r="I26" s="171" t="s">
        <v>171</v>
      </c>
      <c r="J26" s="215"/>
      <c r="K26" s="16"/>
      <c r="N26" s="16"/>
      <c r="O26" s="155"/>
      <c r="P26" s="166"/>
      <c r="R26" s="173"/>
      <c r="S26" s="173"/>
      <c r="T26" s="173"/>
      <c r="U26" s="173"/>
      <c r="V26" s="173"/>
      <c r="W26" s="173"/>
      <c r="X26" s="173"/>
      <c r="Z26" s="16"/>
      <c r="AA26" s="16"/>
      <c r="AB26" s="403"/>
      <c r="AH26" s="16"/>
      <c r="AK26" s="180"/>
      <c r="AL26" s="2"/>
      <c r="AM26" s="155"/>
      <c r="AZ26" s="93"/>
      <c r="BA26" s="17"/>
      <c r="BB26" s="17"/>
      <c r="BC26" s="17"/>
      <c r="BD26" s="17"/>
      <c r="BE26" s="2"/>
      <c r="BF26" s="2"/>
      <c r="BG26" s="2"/>
      <c r="BH26" s="2"/>
      <c r="BL26" s="9"/>
      <c r="BO26" s="365"/>
      <c r="BP26" s="365"/>
      <c r="BQ26" s="16"/>
      <c r="BT26" s="2"/>
      <c r="BU26" s="19"/>
      <c r="BV26" s="360"/>
      <c r="BW26" s="360"/>
      <c r="BX26" s="2"/>
      <c r="BY26" s="2"/>
      <c r="BZ26" s="2"/>
      <c r="CA26" s="366"/>
      <c r="CB26" s="180"/>
      <c r="CC26" s="2"/>
      <c r="CD26" s="159"/>
      <c r="CE26" s="766"/>
      <c r="CF26" s="694"/>
      <c r="CG26" s="694"/>
      <c r="CH26" s="694"/>
      <c r="CI26" s="767"/>
      <c r="CJ26" s="351"/>
      <c r="CM26" s="716" t="s">
        <v>191</v>
      </c>
      <c r="CN26" s="716"/>
      <c r="CR26" s="16"/>
      <c r="CS26" s="16"/>
      <c r="CX26" s="16"/>
      <c r="CZ26" s="16"/>
      <c r="DA26" s="16"/>
      <c r="DB26" s="367"/>
      <c r="DC26" s="181"/>
    </row>
    <row r="27" spans="1:107" s="5" customFormat="1" ht="19.5" customHeight="1" x14ac:dyDescent="0.25">
      <c r="A27" s="155"/>
      <c r="B27" s="304">
        <v>1250</v>
      </c>
      <c r="C27" s="171" t="s">
        <v>171</v>
      </c>
      <c r="D27" s="215"/>
      <c r="E27" s="216"/>
      <c r="F27" s="216"/>
      <c r="G27" s="209"/>
      <c r="H27" s="209"/>
      <c r="I27" s="216"/>
      <c r="J27" s="216"/>
      <c r="K27" s="16"/>
      <c r="N27" s="16"/>
      <c r="O27" s="155"/>
      <c r="P27" s="166"/>
      <c r="Q27" s="166"/>
      <c r="R27" s="173"/>
      <c r="S27" s="173"/>
      <c r="T27" s="173"/>
      <c r="U27" s="173"/>
      <c r="V27" s="173"/>
      <c r="W27" s="173"/>
      <c r="X27" s="173"/>
      <c r="Z27" s="16"/>
      <c r="AA27" s="89"/>
      <c r="AB27" s="90"/>
      <c r="AE27" s="88"/>
      <c r="AF27" s="88"/>
      <c r="AK27" s="180"/>
      <c r="AL27" s="2"/>
      <c r="AM27" s="155"/>
      <c r="AZ27" s="217"/>
      <c r="BA27" s="169"/>
      <c r="BB27" s="17"/>
      <c r="BC27" s="17"/>
      <c r="BD27" s="17"/>
      <c r="BE27" s="2"/>
      <c r="BF27" s="2"/>
      <c r="BG27" s="2"/>
      <c r="BH27" s="2"/>
      <c r="BI27" s="2"/>
      <c r="BJ27" s="2"/>
      <c r="BL27" s="2"/>
      <c r="BM27" s="96"/>
      <c r="BO27" s="275"/>
      <c r="BP27" s="275"/>
      <c r="BQ27" s="16"/>
      <c r="BT27" s="2"/>
      <c r="BU27" s="9"/>
      <c r="BV27" s="89"/>
      <c r="BW27" s="89"/>
      <c r="BX27" s="2"/>
      <c r="BY27" s="2"/>
      <c r="BZ27" s="2"/>
      <c r="CA27" s="88"/>
      <c r="CB27" s="180"/>
      <c r="CC27" s="2"/>
      <c r="CD27" s="159"/>
      <c r="CE27" s="766"/>
      <c r="CF27" s="694"/>
      <c r="CG27" s="694"/>
      <c r="CH27" s="694"/>
      <c r="CI27" s="767"/>
      <c r="CJ27" s="351"/>
      <c r="CL27" s="22" t="s">
        <v>192</v>
      </c>
      <c r="CM27" s="218"/>
      <c r="CN27" s="218"/>
      <c r="CO27" s="207" t="s">
        <v>190</v>
      </c>
      <c r="CR27" s="16"/>
      <c r="CS27" s="16"/>
      <c r="CX27" s="16"/>
      <c r="CZ27" s="16"/>
      <c r="DA27" s="16"/>
      <c r="DB27" s="367"/>
      <c r="DC27" s="181"/>
    </row>
    <row r="28" spans="1:107" s="5" customFormat="1" ht="19.5" customHeight="1" thickBot="1" x14ac:dyDescent="0.3">
      <c r="A28" s="155"/>
      <c r="B28" s="97"/>
      <c r="C28" s="22"/>
      <c r="E28" s="214"/>
      <c r="F28" s="171" t="s">
        <v>171</v>
      </c>
      <c r="G28" s="363">
        <v>1250</v>
      </c>
      <c r="H28" s="363">
        <v>1250</v>
      </c>
      <c r="I28" s="171" t="s">
        <v>171</v>
      </c>
      <c r="J28" s="215"/>
      <c r="K28" s="16"/>
      <c r="N28" s="16"/>
      <c r="O28" s="155"/>
      <c r="P28" s="166"/>
      <c r="Q28" s="166"/>
      <c r="R28" s="166"/>
      <c r="S28" s="173"/>
      <c r="T28" s="173"/>
      <c r="U28" s="173"/>
      <c r="V28" s="173"/>
      <c r="W28" s="173"/>
      <c r="X28" s="9"/>
      <c r="Z28" s="16"/>
      <c r="AA28" s="364"/>
      <c r="AB28" s="90"/>
      <c r="AE28" s="366"/>
      <c r="AF28" s="366"/>
      <c r="AH28" s="16"/>
      <c r="AK28" s="180"/>
      <c r="AL28" s="2"/>
      <c r="AM28" s="155"/>
      <c r="AZ28" s="175"/>
      <c r="BA28" s="176"/>
      <c r="BB28" s="17"/>
      <c r="BC28" s="17"/>
      <c r="BD28" s="17"/>
      <c r="BE28" s="2"/>
      <c r="BF28" s="2"/>
      <c r="BG28" s="2"/>
      <c r="BH28" s="2"/>
      <c r="BI28" s="2"/>
      <c r="BJ28" s="2"/>
      <c r="BM28" s="96"/>
      <c r="BQ28" s="16"/>
      <c r="BV28" s="364"/>
      <c r="BW28" s="364"/>
      <c r="BX28" s="2"/>
      <c r="BY28" s="2"/>
      <c r="BZ28" s="2"/>
      <c r="CA28" s="2"/>
      <c r="CB28" s="180"/>
      <c r="CC28" s="2"/>
      <c r="CD28" s="159"/>
      <c r="CE28" s="768"/>
      <c r="CF28" s="769"/>
      <c r="CG28" s="769"/>
      <c r="CH28" s="769"/>
      <c r="CI28" s="770"/>
      <c r="CJ28" s="351"/>
      <c r="CL28" s="220" t="s">
        <v>194</v>
      </c>
      <c r="CM28" s="363">
        <v>500</v>
      </c>
      <c r="CN28" s="363">
        <v>500</v>
      </c>
      <c r="CO28" s="220" t="s">
        <v>194</v>
      </c>
      <c r="CQ28" s="16"/>
      <c r="CR28" s="16"/>
      <c r="CS28" s="16"/>
      <c r="CX28" s="16"/>
      <c r="CZ28" s="16"/>
      <c r="DA28" s="16"/>
      <c r="DB28" s="367"/>
      <c r="DC28" s="181"/>
    </row>
    <row r="29" spans="1:107" s="5" customFormat="1" ht="19.5" customHeight="1" thickBot="1" x14ac:dyDescent="0.3">
      <c r="A29" s="155"/>
      <c r="B29" s="97"/>
      <c r="E29" s="216"/>
      <c r="F29" s="216"/>
      <c r="G29" s="209"/>
      <c r="H29" s="209"/>
      <c r="I29" s="216"/>
      <c r="J29" s="216"/>
      <c r="K29" s="98"/>
      <c r="N29" s="356"/>
      <c r="O29" s="155"/>
      <c r="P29" s="166"/>
      <c r="Q29" s="166"/>
      <c r="R29" s="166"/>
      <c r="S29" s="173"/>
      <c r="T29" s="173"/>
      <c r="U29" s="173"/>
      <c r="V29" s="173"/>
      <c r="W29" s="173"/>
      <c r="X29" s="9"/>
      <c r="Z29" s="16"/>
      <c r="AA29" s="364"/>
      <c r="AB29" s="90"/>
      <c r="AE29" s="366"/>
      <c r="AF29" s="366"/>
      <c r="AH29" s="16"/>
      <c r="AK29" s="180"/>
      <c r="AL29" s="2"/>
      <c r="AM29" s="155"/>
      <c r="AZ29" s="175"/>
      <c r="BA29" s="176"/>
      <c r="BB29" s="17"/>
      <c r="BC29" s="17"/>
      <c r="BE29" s="2"/>
      <c r="BF29" s="2"/>
      <c r="BG29" s="2"/>
      <c r="BH29" s="2"/>
      <c r="BI29" s="2"/>
      <c r="BJ29" s="2"/>
      <c r="BL29" s="19"/>
      <c r="BM29" s="2"/>
      <c r="BV29"/>
      <c r="BW29"/>
      <c r="BX29" s="2"/>
      <c r="BY29" s="2"/>
      <c r="BZ29" s="2"/>
      <c r="CA29" s="2"/>
      <c r="CB29" s="180"/>
      <c r="CC29" s="2"/>
      <c r="CD29" s="159"/>
      <c r="CE29" s="365"/>
      <c r="CF29" s="16"/>
      <c r="CG29" s="16"/>
      <c r="CJ29" s="16"/>
      <c r="CL29" s="220" t="s">
        <v>194</v>
      </c>
      <c r="CM29" s="362">
        <v>500</v>
      </c>
      <c r="CN29" s="362">
        <v>500</v>
      </c>
      <c r="CO29" s="220" t="s">
        <v>194</v>
      </c>
      <c r="CS29" s="16"/>
      <c r="CT29" s="16"/>
      <c r="CU29" s="368"/>
      <c r="CV29" s="368"/>
      <c r="CW29" s="16"/>
      <c r="CX29" s="16"/>
      <c r="CZ29" s="16"/>
      <c r="DA29" s="16"/>
      <c r="DB29" s="367"/>
      <c r="DC29" s="181"/>
    </row>
    <row r="30" spans="1:107" s="5" customFormat="1" ht="19.5" customHeight="1" thickBot="1" x14ac:dyDescent="0.3">
      <c r="A30" s="155"/>
      <c r="B30" s="97"/>
      <c r="E30" s="214"/>
      <c r="F30" s="171" t="s">
        <v>171</v>
      </c>
      <c r="G30" s="362">
        <v>1250</v>
      </c>
      <c r="H30" s="363">
        <v>1250</v>
      </c>
      <c r="I30" s="171" t="s">
        <v>171</v>
      </c>
      <c r="J30" s="215"/>
      <c r="K30" s="16"/>
      <c r="N30" s="356"/>
      <c r="O30" s="155"/>
      <c r="P30" s="722" t="s">
        <v>169</v>
      </c>
      <c r="Q30" s="723"/>
      <c r="R30" s="723"/>
      <c r="S30" s="202"/>
      <c r="T30" s="202"/>
      <c r="U30" s="202"/>
      <c r="V30" s="202"/>
      <c r="W30" s="203"/>
      <c r="X30" s="16"/>
      <c r="Y30" s="16"/>
      <c r="AA30" s="364"/>
      <c r="AB30" s="90"/>
      <c r="AE30" s="726"/>
      <c r="AF30" s="726"/>
      <c r="AH30" s="16"/>
      <c r="AJ30" s="48"/>
      <c r="AK30" s="180"/>
      <c r="AL30" s="2"/>
      <c r="AM30" s="155"/>
      <c r="AZ30" s="198"/>
      <c r="BA30" s="199"/>
      <c r="BB30" s="2"/>
      <c r="BC30" s="17"/>
      <c r="BE30" s="2"/>
      <c r="BF30" s="2"/>
      <c r="BG30" s="2"/>
      <c r="BH30" s="2"/>
      <c r="BI30" s="2"/>
      <c r="BJ30" s="2"/>
      <c r="BL30" s="67"/>
      <c r="BM30" s="99"/>
      <c r="BT30" s="2"/>
      <c r="BU30" s="2"/>
      <c r="BV30"/>
      <c r="BW30"/>
      <c r="BX30" s="2"/>
      <c r="BY30" s="2"/>
      <c r="BZ30" s="2"/>
      <c r="CA30" s="2"/>
      <c r="CB30" s="160"/>
      <c r="CC30" s="2"/>
      <c r="CD30" s="159"/>
      <c r="CE30" s="365"/>
      <c r="CF30" s="16"/>
      <c r="CH30" s="727" t="s">
        <v>195</v>
      </c>
      <c r="CI30" s="727"/>
      <c r="CJ30" s="16"/>
      <c r="CL30" s="220" t="s">
        <v>194</v>
      </c>
      <c r="CM30" s="387">
        <v>500</v>
      </c>
      <c r="CN30" s="387">
        <v>500</v>
      </c>
      <c r="CO30" s="220" t="s">
        <v>194</v>
      </c>
      <c r="CS30" s="16"/>
      <c r="CT30" s="16"/>
      <c r="CU30" s="368"/>
      <c r="CV30" s="368"/>
      <c r="CZ30" s="16"/>
      <c r="DA30" s="16"/>
      <c r="DB30" s="16"/>
      <c r="DC30" s="160"/>
    </row>
    <row r="31" spans="1:107" s="5" customFormat="1" ht="19.5" customHeight="1" thickBot="1" x14ac:dyDescent="0.3">
      <c r="A31" s="155"/>
      <c r="B31" s="97"/>
      <c r="C31" s="29"/>
      <c r="E31" s="16"/>
      <c r="F31" s="16"/>
      <c r="G31" s="209"/>
      <c r="H31" s="209"/>
      <c r="I31" s="216"/>
      <c r="J31" s="216"/>
      <c r="K31" s="98"/>
      <c r="N31" s="356"/>
      <c r="O31" s="155"/>
      <c r="P31" s="724"/>
      <c r="Q31" s="725"/>
      <c r="R31" s="725"/>
      <c r="S31" s="167"/>
      <c r="T31" s="167"/>
      <c r="U31" s="167"/>
      <c r="V31" s="167"/>
      <c r="W31" s="206"/>
      <c r="X31" s="9"/>
      <c r="Z31" s="22" t="s">
        <v>196</v>
      </c>
      <c r="AA31" s="165"/>
      <c r="AB31" s="165"/>
      <c r="AC31" s="16"/>
      <c r="AE31" s="356"/>
      <c r="AF31" s="356"/>
      <c r="AH31" s="16"/>
      <c r="AI31" s="18"/>
      <c r="AK31" s="160"/>
      <c r="AL31" s="2"/>
      <c r="AM31" s="155"/>
      <c r="AZ31" s="17"/>
      <c r="BA31" s="17"/>
      <c r="BB31" s="71"/>
      <c r="BC31" s="17"/>
      <c r="BE31" s="2"/>
      <c r="BF31" s="2"/>
      <c r="BG31" s="2"/>
      <c r="BH31" s="2"/>
      <c r="BI31" s="2"/>
      <c r="BJ31" s="2"/>
      <c r="BL31" s="2"/>
      <c r="BM31" s="96"/>
      <c r="BO31" s="353"/>
      <c r="BP31" s="353"/>
      <c r="BV31" s="16"/>
      <c r="BW31" s="16"/>
      <c r="BX31" s="2"/>
      <c r="BY31" s="2"/>
      <c r="CA31" s="412"/>
      <c r="CB31" s="180"/>
      <c r="CC31" s="2"/>
      <c r="CD31" s="159"/>
      <c r="CE31" s="414"/>
      <c r="CF31" s="102"/>
      <c r="CG31" s="22" t="s">
        <v>197</v>
      </c>
      <c r="CH31" s="222"/>
      <c r="CI31" s="222"/>
      <c r="CL31" s="220" t="s">
        <v>194</v>
      </c>
      <c r="CM31" s="362">
        <v>500</v>
      </c>
      <c r="CN31" s="362">
        <v>500</v>
      </c>
      <c r="CO31" s="220" t="s">
        <v>194</v>
      </c>
      <c r="CS31" s="16"/>
      <c r="CT31" s="16"/>
      <c r="CU31" s="368"/>
      <c r="CV31" s="368"/>
      <c r="CW31" s="16"/>
      <c r="CZ31" s="16"/>
      <c r="DA31" s="16"/>
      <c r="DB31" s="29"/>
      <c r="DC31" s="181"/>
    </row>
    <row r="32" spans="1:107" s="5" customFormat="1" ht="19.5" customHeight="1" x14ac:dyDescent="0.25">
      <c r="A32" s="155"/>
      <c r="B32" s="100"/>
      <c r="C32" s="13"/>
      <c r="D32" s="187"/>
      <c r="E32" s="16"/>
      <c r="F32" s="16"/>
      <c r="G32" s="685" t="s">
        <v>191</v>
      </c>
      <c r="H32" s="685"/>
      <c r="I32" s="216"/>
      <c r="J32" s="216"/>
      <c r="K32" s="16"/>
      <c r="L32" s="16"/>
      <c r="N32" s="356"/>
      <c r="O32" s="155"/>
      <c r="P32" s="724"/>
      <c r="Q32" s="725"/>
      <c r="R32" s="725"/>
      <c r="S32" s="167"/>
      <c r="T32" s="167"/>
      <c r="U32" s="167"/>
      <c r="V32" s="167"/>
      <c r="W32" s="206"/>
      <c r="X32" s="9"/>
      <c r="Y32" s="186"/>
      <c r="Z32" s="172" t="s">
        <v>174</v>
      </c>
      <c r="AA32" s="369">
        <v>340</v>
      </c>
      <c r="AB32" s="370">
        <v>340</v>
      </c>
      <c r="AC32" s="172" t="s">
        <v>174</v>
      </c>
      <c r="AD32" s="187"/>
      <c r="AE32" s="356"/>
      <c r="AF32" s="356"/>
      <c r="AI32" s="702" t="s">
        <v>168</v>
      </c>
      <c r="AJ32" s="703"/>
      <c r="AK32" s="180"/>
      <c r="AL32" s="2"/>
      <c r="AM32" s="155"/>
      <c r="AZ32" s="70"/>
      <c r="BA32" s="17"/>
      <c r="BC32" s="17"/>
      <c r="BE32" s="2"/>
      <c r="BF32" s="2"/>
      <c r="BG32" s="356"/>
      <c r="BH32" s="356"/>
      <c r="BI32" s="16"/>
      <c r="BK32" s="16"/>
      <c r="BM32" s="96"/>
      <c r="BO32" s="353"/>
      <c r="BP32" s="353"/>
      <c r="BQ32" s="16"/>
      <c r="BY32" s="2"/>
      <c r="BZ32" s="2"/>
      <c r="CA32" s="364"/>
      <c r="CB32" s="180"/>
      <c r="CC32" s="2"/>
      <c r="CD32" s="159"/>
      <c r="CE32" s="16"/>
      <c r="CF32" s="186"/>
      <c r="CG32" s="223" t="s">
        <v>174</v>
      </c>
      <c r="CH32" s="371">
        <v>250</v>
      </c>
      <c r="CI32" s="371">
        <v>250</v>
      </c>
      <c r="CJ32" s="223" t="s">
        <v>174</v>
      </c>
      <c r="CK32" s="187"/>
      <c r="CL32" s="16"/>
      <c r="CM32" s="218"/>
      <c r="CN32" s="218"/>
      <c r="CO32" s="16"/>
      <c r="CQ32" s="16"/>
      <c r="CS32" s="16"/>
      <c r="CW32" s="16"/>
      <c r="CX32" s="16"/>
      <c r="CZ32" s="37"/>
      <c r="DA32" s="29"/>
      <c r="DB32" s="19"/>
      <c r="DC32" s="181"/>
    </row>
    <row r="33" spans="1:120" s="5" customFormat="1" ht="19.5" customHeight="1" x14ac:dyDescent="0.25">
      <c r="A33" s="155"/>
      <c r="B33" s="372"/>
      <c r="C33" s="103"/>
      <c r="E33" s="104"/>
      <c r="F33" s="22" t="s">
        <v>198</v>
      </c>
      <c r="G33" s="225"/>
      <c r="H33" s="225"/>
      <c r="I33" s="216"/>
      <c r="J33" s="216"/>
      <c r="K33" s="98"/>
      <c r="L33" s="16"/>
      <c r="O33" s="155"/>
      <c r="P33" s="205"/>
      <c r="Q33" s="167"/>
      <c r="R33" s="167"/>
      <c r="S33" s="167"/>
      <c r="T33" s="167"/>
      <c r="U33" s="167"/>
      <c r="V33" s="167"/>
      <c r="W33" s="206"/>
      <c r="X33" s="16"/>
      <c r="AA33" s="165"/>
      <c r="AB33" s="165"/>
      <c r="AE33" s="356"/>
      <c r="AF33" s="356"/>
      <c r="AI33" s="704"/>
      <c r="AJ33" s="705"/>
      <c r="AK33" s="180"/>
      <c r="AL33" s="2"/>
      <c r="AM33" s="155"/>
      <c r="AZ33" s="48"/>
      <c r="BA33" s="48"/>
      <c r="BB33" s="96"/>
      <c r="BC33" s="17"/>
      <c r="BE33" s="2"/>
      <c r="BF33" s="2"/>
      <c r="BG33" s="356"/>
      <c r="BH33" s="356"/>
      <c r="BI33" s="16"/>
      <c r="BK33" s="16"/>
      <c r="BM33" s="9"/>
      <c r="BO33" s="353"/>
      <c r="BP33" s="353"/>
      <c r="BQ33" s="16"/>
      <c r="BY33" s="2"/>
      <c r="BZ33" s="2"/>
      <c r="CA33" s="364"/>
      <c r="CB33" s="180"/>
      <c r="CC33" s="2"/>
      <c r="CD33" s="159"/>
      <c r="CE33" s="360"/>
      <c r="CF33" s="188"/>
      <c r="CG33" s="223" t="s">
        <v>174</v>
      </c>
      <c r="CH33" s="371">
        <v>250</v>
      </c>
      <c r="CI33" s="371">
        <v>250</v>
      </c>
      <c r="CJ33" s="223" t="s">
        <v>174</v>
      </c>
      <c r="CK33" s="189"/>
      <c r="CM33" s="373"/>
      <c r="CN33" s="373"/>
      <c r="CQ33" s="16"/>
      <c r="CS33" s="16"/>
      <c r="CW33" s="16"/>
      <c r="CX33" s="16"/>
      <c r="CZ33" s="186"/>
      <c r="DA33" s="177"/>
      <c r="DB33" s="14"/>
      <c r="DC33" s="181"/>
    </row>
    <row r="34" spans="1:120" s="5" customFormat="1" ht="19.5" customHeight="1" x14ac:dyDescent="0.25">
      <c r="A34" s="155"/>
      <c r="B34" s="97"/>
      <c r="C34" s="13"/>
      <c r="E34" s="214"/>
      <c r="F34" s="226" t="s">
        <v>194</v>
      </c>
      <c r="G34" s="309">
        <v>500</v>
      </c>
      <c r="H34" s="309">
        <v>500</v>
      </c>
      <c r="I34" s="226" t="s">
        <v>194</v>
      </c>
      <c r="J34" s="215"/>
      <c r="K34" s="16"/>
      <c r="L34" s="16"/>
      <c r="N34" s="361"/>
      <c r="O34" s="155"/>
      <c r="P34" s="205"/>
      <c r="Q34" s="167"/>
      <c r="R34" s="167"/>
      <c r="S34" s="167"/>
      <c r="T34" s="167"/>
      <c r="U34" s="167"/>
      <c r="V34" s="167"/>
      <c r="W34" s="206"/>
      <c r="X34" s="9"/>
      <c r="Y34" s="81"/>
      <c r="AA34" s="717" t="s">
        <v>181</v>
      </c>
      <c r="AB34" s="717"/>
      <c r="AC34" s="186"/>
      <c r="AD34" s="16"/>
      <c r="AE34" s="37"/>
      <c r="AF34" s="37"/>
      <c r="AG34" s="16"/>
      <c r="AI34" s="704"/>
      <c r="AJ34" s="705"/>
      <c r="AK34" s="180"/>
      <c r="AL34" s="2"/>
      <c r="AM34" s="155"/>
      <c r="AZ34" s="227"/>
      <c r="BA34" s="227"/>
      <c r="BB34" s="96"/>
      <c r="BC34" s="96"/>
      <c r="BE34" s="2"/>
      <c r="BF34" s="2"/>
      <c r="BG34" s="356"/>
      <c r="BH34" s="356"/>
      <c r="BI34" s="16"/>
      <c r="BK34" s="16"/>
      <c r="BL34" s="19"/>
      <c r="BM34" s="2"/>
      <c r="BQ34" s="16"/>
      <c r="BY34" s="2"/>
      <c r="BZ34" s="2"/>
      <c r="CB34" s="180"/>
      <c r="CC34" s="2"/>
      <c r="CD34" s="159"/>
      <c r="CE34" s="360"/>
      <c r="CF34" s="188"/>
      <c r="CG34" s="223" t="s">
        <v>174</v>
      </c>
      <c r="CH34" s="371">
        <v>250</v>
      </c>
      <c r="CI34" s="371">
        <v>250</v>
      </c>
      <c r="CJ34" s="223" t="s">
        <v>174</v>
      </c>
      <c r="CK34" s="189"/>
      <c r="CS34" s="16"/>
      <c r="CT34" s="16"/>
      <c r="CW34" s="16"/>
      <c r="CX34" s="16"/>
      <c r="CZ34" s="186"/>
      <c r="DA34" s="177"/>
      <c r="DB34" s="14"/>
      <c r="DC34" s="181"/>
    </row>
    <row r="35" spans="1:120" s="5" customFormat="1" ht="19.5" customHeight="1" x14ac:dyDescent="0.25">
      <c r="A35" s="155"/>
      <c r="D35" s="105"/>
      <c r="E35" s="216"/>
      <c r="F35" s="216"/>
      <c r="G35" s="225"/>
      <c r="H35" s="225"/>
      <c r="I35" s="216"/>
      <c r="J35" s="215"/>
      <c r="K35" s="16"/>
      <c r="L35" s="16"/>
      <c r="N35" s="361"/>
      <c r="O35" s="155"/>
      <c r="P35" s="205"/>
      <c r="Q35" s="167"/>
      <c r="R35" s="167"/>
      <c r="S35" s="167"/>
      <c r="T35" s="167"/>
      <c r="U35" s="167"/>
      <c r="V35" s="167"/>
      <c r="W35" s="206"/>
      <c r="X35" s="9"/>
      <c r="Y35" s="9"/>
      <c r="AD35" s="37"/>
      <c r="AE35" s="67"/>
      <c r="AF35" s="67"/>
      <c r="AG35" s="37"/>
      <c r="AI35" s="704"/>
      <c r="AJ35" s="705"/>
      <c r="AK35" s="180"/>
      <c r="AL35" s="2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2"/>
      <c r="BC35" s="9"/>
      <c r="BD35" s="9"/>
      <c r="BE35" s="2"/>
      <c r="BF35" s="2"/>
      <c r="BG35" s="2"/>
      <c r="BH35" s="2"/>
      <c r="BI35" s="16"/>
      <c r="BK35" s="16"/>
      <c r="BL35" s="2"/>
      <c r="BM35" s="2"/>
      <c r="BO35" s="357"/>
      <c r="BP35" s="357"/>
      <c r="BQ35" s="16"/>
      <c r="BT35" s="9"/>
      <c r="BY35" s="2"/>
      <c r="CA35" s="360"/>
      <c r="CB35" s="160"/>
      <c r="CC35" s="2"/>
      <c r="CD35" s="159"/>
      <c r="CE35" s="360"/>
      <c r="CF35" s="16"/>
      <c r="CG35" s="16"/>
      <c r="CH35" s="228"/>
      <c r="CI35" s="228"/>
      <c r="CJ35" s="16"/>
      <c r="CK35" s="186"/>
      <c r="CP35" s="187"/>
      <c r="CS35" s="16"/>
      <c r="CU35" s="7"/>
      <c r="CV35" s="9"/>
      <c r="CW35" s="16"/>
      <c r="CX35" s="16"/>
      <c r="CZ35" s="186"/>
      <c r="DA35" s="177"/>
      <c r="DB35" s="14"/>
      <c r="DC35" s="160"/>
    </row>
    <row r="36" spans="1:120" s="5" customFormat="1" ht="19.5" customHeight="1" x14ac:dyDescent="0.25">
      <c r="A36" s="155"/>
      <c r="E36" s="214"/>
      <c r="F36" s="226" t="s">
        <v>194</v>
      </c>
      <c r="G36" s="374">
        <v>500</v>
      </c>
      <c r="H36" s="374">
        <v>500</v>
      </c>
      <c r="I36" s="226">
        <v>500</v>
      </c>
      <c r="J36" s="215"/>
      <c r="K36" s="229"/>
      <c r="L36" s="16"/>
      <c r="O36" s="155"/>
      <c r="P36" s="205"/>
      <c r="Q36" s="167"/>
      <c r="R36" s="167"/>
      <c r="S36" s="167"/>
      <c r="T36" s="167"/>
      <c r="U36" s="167"/>
      <c r="V36" s="167"/>
      <c r="W36" s="206"/>
      <c r="X36" s="9"/>
      <c r="AD36" s="177"/>
      <c r="AE36" s="106"/>
      <c r="AF36" s="106"/>
      <c r="AG36" s="177"/>
      <c r="AH36" s="187"/>
      <c r="AI36" s="704"/>
      <c r="AJ36" s="705"/>
      <c r="AK36" s="160"/>
      <c r="AL36" s="2"/>
      <c r="AM36" s="155"/>
      <c r="AN36" s="358"/>
      <c r="AO36" s="71"/>
      <c r="AP36" s="357"/>
      <c r="AQ36" s="71"/>
      <c r="AR36" s="230"/>
      <c r="AS36" s="375">
        <v>440</v>
      </c>
      <c r="AT36" s="230"/>
      <c r="AU36" s="375">
        <v>440</v>
      </c>
      <c r="AV36" s="230"/>
      <c r="AW36" s="375">
        <v>440</v>
      </c>
      <c r="AX36" s="230"/>
      <c r="AY36" s="375">
        <v>440</v>
      </c>
      <c r="AZ36" s="230"/>
      <c r="BA36" s="155"/>
      <c r="BB36" s="2"/>
      <c r="BC36" s="2"/>
      <c r="BD36" s="2"/>
      <c r="BE36" s="2"/>
      <c r="BF36" s="2"/>
      <c r="BG36" s="365"/>
      <c r="BH36" s="365"/>
      <c r="BK36" s="16"/>
      <c r="BL36" s="2"/>
      <c r="BM36" s="2"/>
      <c r="BO36" s="357"/>
      <c r="BP36" s="357"/>
      <c r="BQ36" s="16"/>
      <c r="BT36" s="9"/>
      <c r="BV36" s="366"/>
      <c r="BW36" s="366"/>
      <c r="BX36" s="2"/>
      <c r="BY36" s="2"/>
      <c r="BZ36" s="2"/>
      <c r="CA36" s="360"/>
      <c r="CB36" s="180"/>
      <c r="CC36" s="2"/>
      <c r="CD36" s="159"/>
      <c r="CE36" s="360"/>
      <c r="CF36" s="16"/>
      <c r="CG36" s="16"/>
      <c r="CH36" s="356"/>
      <c r="CI36" s="356"/>
      <c r="CJ36" s="16"/>
      <c r="CK36" s="186"/>
      <c r="CP36" s="187"/>
      <c r="CS36" s="16"/>
      <c r="CU36" s="13"/>
      <c r="CV36" s="13"/>
      <c r="CW36" s="16"/>
      <c r="CX36" s="16"/>
      <c r="CZ36" s="186"/>
      <c r="DA36" s="177"/>
      <c r="DB36" s="14"/>
      <c r="DC36" s="181"/>
    </row>
    <row r="37" spans="1:120" s="5" customFormat="1" ht="19.5" customHeight="1" x14ac:dyDescent="0.25">
      <c r="A37" s="155"/>
      <c r="E37" s="16"/>
      <c r="F37" s="16"/>
      <c r="G37" s="225"/>
      <c r="H37" s="225"/>
      <c r="J37" s="92"/>
      <c r="K37" s="98"/>
      <c r="L37" s="16"/>
      <c r="N37" s="356"/>
      <c r="O37" s="155"/>
      <c r="P37" s="205"/>
      <c r="Q37" s="167"/>
      <c r="R37" s="167"/>
      <c r="S37" s="167"/>
      <c r="T37" s="167"/>
      <c r="U37" s="167"/>
      <c r="V37" s="167"/>
      <c r="W37" s="206"/>
      <c r="X37" s="9"/>
      <c r="Y37" s="81"/>
      <c r="Z37" s="16"/>
      <c r="AA37" s="358"/>
      <c r="AB37" s="358"/>
      <c r="AC37" s="186"/>
      <c r="AD37" s="177"/>
      <c r="AE37" s="106"/>
      <c r="AF37" s="106"/>
      <c r="AG37" s="177"/>
      <c r="AH37" s="187"/>
      <c r="AI37" s="704"/>
      <c r="AJ37" s="705"/>
      <c r="AK37" s="180"/>
      <c r="AL37" s="2"/>
      <c r="AM37" s="155"/>
      <c r="AN37" s="17"/>
      <c r="AO37" s="71"/>
      <c r="AP37" s="406"/>
      <c r="AQ37" s="101"/>
      <c r="AR37" s="22" t="s">
        <v>199</v>
      </c>
      <c r="AS37" s="192" t="s">
        <v>174</v>
      </c>
      <c r="AU37" s="192" t="s">
        <v>174</v>
      </c>
      <c r="AV37" s="231"/>
      <c r="AW37" s="192" t="s">
        <v>174</v>
      </c>
      <c r="AX37" s="216"/>
      <c r="AY37" s="192" t="s">
        <v>174</v>
      </c>
      <c r="AZ37" s="17"/>
      <c r="BA37" s="155"/>
      <c r="BB37" s="17"/>
      <c r="BE37" s="2"/>
      <c r="BF37" s="2"/>
      <c r="BG37" s="365"/>
      <c r="BH37" s="365"/>
      <c r="BI37" s="71"/>
      <c r="BK37" s="16"/>
      <c r="BL37" s="2"/>
      <c r="BO37" s="357"/>
      <c r="BP37" s="357"/>
      <c r="BQ37" s="16"/>
      <c r="BT37" s="9"/>
      <c r="BU37" s="9"/>
      <c r="BV37" s="366"/>
      <c r="BW37" s="366"/>
      <c r="BX37" s="2"/>
      <c r="BY37" s="2"/>
      <c r="BZ37" s="2"/>
      <c r="CA37" s="360"/>
      <c r="CB37" s="180"/>
      <c r="CC37" s="2"/>
      <c r="CD37" s="159"/>
      <c r="CE37" s="376"/>
      <c r="CF37" s="16"/>
      <c r="CG37" s="16"/>
      <c r="CH37" s="356"/>
      <c r="CI37" s="356"/>
      <c r="CJ37" s="16"/>
      <c r="CK37" s="188"/>
      <c r="CP37" s="189"/>
      <c r="CT37" s="29"/>
      <c r="CU37" s="14"/>
      <c r="CV37" s="14"/>
      <c r="CW37" s="107"/>
      <c r="CZ37" s="186"/>
      <c r="DA37" s="177"/>
      <c r="DB37" s="14"/>
      <c r="DC37" s="181"/>
    </row>
    <row r="38" spans="1:120" s="5" customFormat="1" ht="19.5" customHeight="1" x14ac:dyDescent="0.25">
      <c r="A38" s="155"/>
      <c r="F38" s="94"/>
      <c r="G38" s="16"/>
      <c r="H38" s="688" t="s">
        <v>177</v>
      </c>
      <c r="I38" s="688"/>
      <c r="J38" s="16"/>
      <c r="K38" s="16"/>
      <c r="L38" s="16"/>
      <c r="N38" s="356"/>
      <c r="O38" s="155"/>
      <c r="P38" s="205"/>
      <c r="Q38" s="167"/>
      <c r="R38" s="167"/>
      <c r="S38" s="167"/>
      <c r="T38" s="167"/>
      <c r="U38" s="167"/>
      <c r="V38" s="167"/>
      <c r="W38" s="206"/>
      <c r="X38" s="16"/>
      <c r="Y38" s="9"/>
      <c r="AA38" s="718"/>
      <c r="AB38" s="718"/>
      <c r="AD38" s="37"/>
      <c r="AE38" s="67"/>
      <c r="AF38" s="67"/>
      <c r="AG38" s="37"/>
      <c r="AI38" s="704"/>
      <c r="AJ38" s="705"/>
      <c r="AK38" s="180"/>
      <c r="AL38" s="2"/>
      <c r="AM38" s="155"/>
      <c r="AN38" s="16"/>
      <c r="AO38" s="71"/>
      <c r="AP38" s="16"/>
      <c r="AQ38" s="16"/>
      <c r="AR38" s="16"/>
      <c r="AS38" s="177"/>
      <c r="AT38" s="231"/>
      <c r="AU38" s="177"/>
      <c r="AV38" s="231"/>
      <c r="AW38" s="177"/>
      <c r="AX38" s="232"/>
      <c r="AY38" s="177"/>
      <c r="AZ38" s="17"/>
      <c r="BA38" s="155"/>
      <c r="BB38" s="17"/>
      <c r="BE38" s="2"/>
      <c r="BF38" s="2"/>
      <c r="BG38" s="365"/>
      <c r="BH38" s="365"/>
      <c r="BI38" s="71"/>
      <c r="BK38" s="16"/>
      <c r="BL38" s="2"/>
      <c r="BO38" s="718"/>
      <c r="BP38" s="718"/>
      <c r="BQ38" s="16"/>
      <c r="BT38" s="9"/>
      <c r="BU38" s="9"/>
      <c r="BV38" s="349"/>
      <c r="BW38" s="349"/>
      <c r="BX38" s="2"/>
      <c r="BY38" s="2"/>
      <c r="BZ38" s="719"/>
      <c r="CA38" s="719"/>
      <c r="CB38" s="180"/>
      <c r="CC38" s="2"/>
      <c r="CD38" s="159"/>
      <c r="CE38" s="376"/>
      <c r="CF38" s="16"/>
      <c r="CG38" s="16"/>
      <c r="CH38" s="34"/>
      <c r="CI38" s="34"/>
      <c r="CJ38" s="16"/>
      <c r="CK38" s="188"/>
      <c r="CP38" s="189"/>
      <c r="CQ38" s="16"/>
      <c r="CS38" s="186"/>
      <c r="CT38" s="177"/>
      <c r="CU38" s="14"/>
      <c r="CV38" s="14"/>
      <c r="CW38" s="177"/>
      <c r="CX38" s="187"/>
      <c r="CZ38" s="186"/>
      <c r="DA38" s="177"/>
      <c r="DB38" s="14"/>
      <c r="DC38" s="181"/>
    </row>
    <row r="39" spans="1:120" s="5" customFormat="1" ht="19.5" customHeight="1" thickBot="1" x14ac:dyDescent="0.3">
      <c r="A39" s="155"/>
      <c r="F39" s="177"/>
      <c r="G39" s="177"/>
      <c r="H39" s="233"/>
      <c r="I39" s="17"/>
      <c r="J39" s="17"/>
      <c r="K39" s="17"/>
      <c r="L39" s="17"/>
      <c r="O39" s="155"/>
      <c r="P39" s="205"/>
      <c r="Q39" s="167"/>
      <c r="R39" s="167"/>
      <c r="S39" s="167"/>
      <c r="T39" s="167"/>
      <c r="U39" s="167"/>
      <c r="V39" s="167"/>
      <c r="W39" s="206"/>
      <c r="X39" s="9"/>
      <c r="Y39" s="16"/>
      <c r="AA39" s="34"/>
      <c r="AB39" s="34"/>
      <c r="AC39" s="16"/>
      <c r="AD39" s="16"/>
      <c r="AE39" s="37"/>
      <c r="AF39" s="37"/>
      <c r="AG39" s="16"/>
      <c r="AI39" s="714"/>
      <c r="AJ39" s="715"/>
      <c r="AK39" s="180"/>
      <c r="AL39" s="2"/>
      <c r="AM39" s="155"/>
      <c r="AN39" s="44"/>
      <c r="AO39" s="71"/>
      <c r="AP39" s="16"/>
      <c r="AQ39" s="16"/>
      <c r="AR39" s="16"/>
      <c r="AS39" s="720" t="s">
        <v>200</v>
      </c>
      <c r="AT39" s="720"/>
      <c r="AU39" s="720"/>
      <c r="AV39" s="720"/>
      <c r="AW39" s="720"/>
      <c r="AX39" s="720"/>
      <c r="AY39" s="720"/>
      <c r="AZ39" s="17"/>
      <c r="BA39" s="155"/>
      <c r="BB39" s="17"/>
      <c r="BE39" s="2"/>
      <c r="BF39" s="2"/>
      <c r="BG39" s="275"/>
      <c r="BH39" s="275"/>
      <c r="BI39" s="71"/>
      <c r="BK39" s="16"/>
      <c r="BL39" s="9"/>
      <c r="BM39" s="187"/>
      <c r="BO39" s="716" t="s">
        <v>181</v>
      </c>
      <c r="BP39" s="716"/>
      <c r="BT39" s="9"/>
      <c r="BU39" s="9"/>
      <c r="BV39" s="349"/>
      <c r="BW39" s="349"/>
      <c r="BX39" s="2"/>
      <c r="BY39" s="2"/>
      <c r="BZ39" s="2"/>
      <c r="CA39" s="2"/>
      <c r="CB39" s="180"/>
      <c r="CC39" s="2"/>
      <c r="CD39" s="159"/>
      <c r="CE39" s="376"/>
      <c r="CF39" s="16"/>
      <c r="CG39" s="16"/>
      <c r="CH39" s="721"/>
      <c r="CI39" s="721"/>
      <c r="CJ39" s="16"/>
      <c r="CK39" s="186"/>
      <c r="CP39" s="187"/>
      <c r="CS39" s="186"/>
      <c r="CT39" s="177"/>
      <c r="CU39" s="14"/>
      <c r="CV39" s="14"/>
      <c r="CW39" s="177"/>
      <c r="CX39" s="187"/>
      <c r="CZ39" s="115"/>
      <c r="DA39" s="68"/>
      <c r="DB39" s="19"/>
      <c r="DC39" s="181"/>
    </row>
    <row r="40" spans="1:120" s="5" customFormat="1" ht="19.5" customHeight="1" x14ac:dyDescent="0.25">
      <c r="A40" s="155"/>
      <c r="F40" s="177"/>
      <c r="G40" s="177"/>
      <c r="H40" s="234" t="s">
        <v>174</v>
      </c>
      <c r="I40" s="234" t="s">
        <v>174</v>
      </c>
      <c r="J40" s="22" t="s">
        <v>201</v>
      </c>
      <c r="K40" s="59"/>
      <c r="L40" s="59"/>
      <c r="O40" s="155"/>
      <c r="P40" s="205"/>
      <c r="Q40" s="167"/>
      <c r="R40" s="167"/>
      <c r="S40" s="167"/>
      <c r="T40" s="167"/>
      <c r="U40" s="167"/>
      <c r="V40" s="167"/>
      <c r="W40" s="206"/>
      <c r="X40" s="9"/>
      <c r="Y40" s="16"/>
      <c r="AA40" s="356"/>
      <c r="AB40" s="356"/>
      <c r="AI40" s="702" t="s">
        <v>202</v>
      </c>
      <c r="AJ40" s="703"/>
      <c r="AK40" s="180"/>
      <c r="AL40" s="2"/>
      <c r="AM40" s="155"/>
      <c r="AN40" s="353"/>
      <c r="AO40" s="16"/>
      <c r="AP40" s="16"/>
      <c r="AQ40" s="16"/>
      <c r="AR40" s="17"/>
      <c r="AS40" s="17"/>
      <c r="AW40" s="17"/>
      <c r="AX40" s="17"/>
      <c r="AY40" s="109"/>
      <c r="AZ40" s="17"/>
      <c r="BA40" s="155"/>
      <c r="BB40" s="17"/>
      <c r="BE40" s="2"/>
      <c r="BF40" s="2"/>
      <c r="BG40" s="708"/>
      <c r="BH40" s="708"/>
      <c r="BK40" s="16"/>
      <c r="BM40" s="187"/>
      <c r="BN40" s="22" t="s">
        <v>772</v>
      </c>
      <c r="BO40" s="172"/>
      <c r="BP40" s="172"/>
      <c r="BQ40" s="207" t="s">
        <v>552</v>
      </c>
      <c r="BT40" s="9"/>
      <c r="BU40" s="9"/>
      <c r="BV40" s="9"/>
      <c r="BW40" s="9"/>
      <c r="BX40" s="9"/>
      <c r="BY40" s="9"/>
      <c r="BZ40" s="2"/>
      <c r="CA40" s="2"/>
      <c r="CB40" s="160"/>
      <c r="CC40" s="2"/>
      <c r="CD40" s="159"/>
      <c r="CE40" s="376"/>
      <c r="CF40" s="16"/>
      <c r="CG40" s="16"/>
      <c r="CH40" s="358"/>
      <c r="CI40" s="358"/>
      <c r="CJ40" s="16"/>
      <c r="CR40" s="16"/>
      <c r="CS40" s="186"/>
      <c r="CT40" s="177"/>
      <c r="CU40" s="14"/>
      <c r="CV40" s="14"/>
      <c r="CW40" s="177"/>
      <c r="CX40" s="187"/>
      <c r="DB40" s="68"/>
      <c r="DC40" s="160"/>
      <c r="DJ40" s="173"/>
      <c r="DK40" s="173"/>
      <c r="DL40" s="9"/>
      <c r="DM40" s="9"/>
      <c r="DN40" s="9"/>
      <c r="DO40" s="16"/>
      <c r="DP40" s="16"/>
    </row>
    <row r="41" spans="1:120" s="5" customFormat="1" ht="19.5" customHeight="1" x14ac:dyDescent="0.25">
      <c r="A41" s="155"/>
      <c r="D41" s="356"/>
      <c r="E41" s="379"/>
      <c r="F41" s="235"/>
      <c r="G41" s="236"/>
      <c r="H41" s="380">
        <v>340</v>
      </c>
      <c r="I41" s="380">
        <v>340</v>
      </c>
      <c r="J41" s="372"/>
      <c r="O41" s="155"/>
      <c r="P41" s="205"/>
      <c r="Q41" s="167"/>
      <c r="R41" s="167"/>
      <c r="S41" s="167"/>
      <c r="T41" s="167"/>
      <c r="U41" s="167"/>
      <c r="V41" s="167"/>
      <c r="W41" s="206"/>
      <c r="X41" s="9"/>
      <c r="Y41" s="9"/>
      <c r="AA41" s="356"/>
      <c r="AB41" s="356"/>
      <c r="AI41" s="704"/>
      <c r="AJ41" s="705"/>
      <c r="AK41" s="160"/>
      <c r="AL41" s="2"/>
      <c r="AM41" s="155"/>
      <c r="AN41" s="353"/>
      <c r="AP41" s="16"/>
      <c r="AQ41" s="16"/>
      <c r="AR41" s="17"/>
      <c r="AS41" s="110"/>
      <c r="AW41" s="17"/>
      <c r="AX41" s="17"/>
      <c r="AY41" s="17"/>
      <c r="AZ41" s="17"/>
      <c r="BA41" s="155"/>
      <c r="BB41" s="17"/>
      <c r="BE41" s="2"/>
      <c r="BF41" s="2"/>
      <c r="BK41" s="16"/>
      <c r="BM41" s="186"/>
      <c r="BN41" s="172" t="s">
        <v>174</v>
      </c>
      <c r="BO41" s="389">
        <v>340</v>
      </c>
      <c r="BP41" s="389">
        <v>340</v>
      </c>
      <c r="BQ41" s="172" t="s">
        <v>174</v>
      </c>
      <c r="BR41" s="187"/>
      <c r="BT41" s="2"/>
      <c r="BU41" s="2"/>
      <c r="BV41" s="2"/>
      <c r="BW41" s="2"/>
      <c r="BX41" s="2"/>
      <c r="BY41" s="2"/>
      <c r="BZ41" s="2"/>
      <c r="CA41" s="366"/>
      <c r="CB41" s="180"/>
      <c r="CC41" s="2"/>
      <c r="CD41" s="159"/>
      <c r="CE41" s="376"/>
      <c r="CF41" s="16"/>
      <c r="CG41" s="16"/>
      <c r="CH41" s="358"/>
      <c r="CI41" s="358"/>
      <c r="CJ41" s="16"/>
      <c r="CR41" s="16"/>
      <c r="CS41" s="16"/>
      <c r="CT41" s="107"/>
      <c r="CU41" s="7"/>
      <c r="CV41" s="9"/>
      <c r="CW41" s="111"/>
      <c r="CX41" s="95"/>
      <c r="CZ41" s="16"/>
      <c r="DA41" s="117"/>
      <c r="DB41" s="117"/>
      <c r="DC41" s="181"/>
      <c r="DJ41" s="173"/>
      <c r="DK41" s="173"/>
      <c r="DL41" s="9"/>
      <c r="DM41" s="81"/>
      <c r="DN41" s="81"/>
      <c r="DO41" s="16"/>
      <c r="DP41" s="16"/>
    </row>
    <row r="42" spans="1:120" s="5" customFormat="1" ht="19.5" customHeight="1" x14ac:dyDescent="0.25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205"/>
      <c r="Q42" s="167"/>
      <c r="R42" s="167"/>
      <c r="S42" s="167"/>
      <c r="T42" s="167"/>
      <c r="U42" s="167"/>
      <c r="V42" s="167"/>
      <c r="W42" s="206"/>
      <c r="X42" s="9"/>
      <c r="Y42" s="9"/>
      <c r="AA42" s="16"/>
      <c r="AB42" s="16"/>
      <c r="AI42" s="704"/>
      <c r="AJ42" s="705"/>
      <c r="AK42" s="180"/>
      <c r="AL42" s="2"/>
      <c r="AM42" s="155"/>
      <c r="AN42" s="407"/>
      <c r="AP42" s="16"/>
      <c r="AQ42" s="16"/>
      <c r="AR42" s="16"/>
      <c r="AS42" s="16"/>
      <c r="AV42" s="110"/>
      <c r="AW42" s="17"/>
      <c r="AX42" s="17"/>
      <c r="AY42" s="17"/>
      <c r="AZ42" s="17"/>
      <c r="BA42" s="381"/>
      <c r="BB42" s="17"/>
      <c r="BE42" s="2"/>
      <c r="BF42" s="2"/>
      <c r="BG42" s="367"/>
      <c r="BH42" s="367"/>
      <c r="BI42" s="16"/>
      <c r="BK42" s="16"/>
      <c r="BM42" s="188"/>
      <c r="BN42" s="172" t="s">
        <v>174</v>
      </c>
      <c r="BO42" s="389">
        <v>340</v>
      </c>
      <c r="BP42" s="389">
        <v>340</v>
      </c>
      <c r="BQ42" s="172" t="s">
        <v>174</v>
      </c>
      <c r="BR42" s="187"/>
      <c r="BT42" s="2"/>
      <c r="BU42" s="2"/>
      <c r="BV42" s="2"/>
      <c r="BW42" s="2"/>
      <c r="BX42" s="2"/>
      <c r="BY42" s="2"/>
      <c r="BZ42" s="2"/>
      <c r="CA42" s="366"/>
      <c r="CB42" s="180"/>
      <c r="CC42" s="2"/>
      <c r="CD42" s="159"/>
      <c r="CE42" s="377"/>
      <c r="CF42" s="16"/>
      <c r="CG42" s="16"/>
      <c r="CH42" s="709"/>
      <c r="CI42" s="709"/>
      <c r="CJ42" s="16"/>
      <c r="CM42" s="197"/>
      <c r="CN42" s="197"/>
      <c r="CR42" s="16"/>
      <c r="CS42" s="16"/>
      <c r="CU42" s="112"/>
      <c r="CV42" s="112"/>
      <c r="DC42" s="181"/>
      <c r="DJ42" s="173"/>
      <c r="DK42" s="173"/>
      <c r="DL42" s="16"/>
      <c r="DM42" s="9"/>
      <c r="DN42" s="9"/>
      <c r="DO42" s="16"/>
      <c r="DP42" s="16"/>
    </row>
    <row r="43" spans="1:120" s="5" customFormat="1" ht="19.5" customHeight="1" x14ac:dyDescent="0.25">
      <c r="A43" s="155"/>
      <c r="O43" s="155"/>
      <c r="P43" s="205"/>
      <c r="Q43" s="167"/>
      <c r="R43" s="167"/>
      <c r="S43" s="167"/>
      <c r="T43" s="167"/>
      <c r="U43" s="167"/>
      <c r="V43" s="167"/>
      <c r="W43" s="206"/>
      <c r="X43" s="9"/>
      <c r="Y43" s="81"/>
      <c r="AA43" s="710"/>
      <c r="AB43" s="710"/>
      <c r="AI43" s="704"/>
      <c r="AJ43" s="705"/>
      <c r="AK43" s="180"/>
      <c r="AL43" s="2"/>
      <c r="AM43" s="155"/>
      <c r="AN43" s="17"/>
      <c r="AO43" s="16"/>
      <c r="AP43" s="16"/>
      <c r="AQ43" s="16"/>
      <c r="AR43" s="16"/>
      <c r="AS43" s="16"/>
      <c r="AW43" s="2"/>
      <c r="AX43" s="2"/>
      <c r="AY43" s="17"/>
      <c r="AZ43" s="17"/>
      <c r="BA43" s="238"/>
      <c r="BB43" s="17"/>
      <c r="BE43" s="2"/>
      <c r="BF43" s="2"/>
      <c r="BG43" s="410"/>
      <c r="BH43" s="410"/>
      <c r="BI43" s="16"/>
      <c r="BK43" s="16"/>
      <c r="BM43" s="188"/>
      <c r="BN43" s="172" t="s">
        <v>174</v>
      </c>
      <c r="BO43" s="390">
        <v>340</v>
      </c>
      <c r="BP43" s="390">
        <v>340</v>
      </c>
      <c r="BQ43" s="172" t="s">
        <v>174</v>
      </c>
      <c r="BR43" s="187"/>
      <c r="BT43" s="2"/>
      <c r="BU43" s="2"/>
      <c r="BV43" s="2"/>
      <c r="BW43" s="2"/>
      <c r="BX43" s="2"/>
      <c r="BY43" s="2"/>
      <c r="BZ43" s="2"/>
      <c r="CA43" s="88"/>
      <c r="CB43" s="180"/>
      <c r="CC43" s="2"/>
      <c r="CD43" s="159"/>
      <c r="CE43" s="108"/>
      <c r="CF43" s="16"/>
      <c r="CG43" s="16"/>
      <c r="CI43" s="391"/>
      <c r="CJ43" s="16"/>
      <c r="CQ43" s="16"/>
      <c r="CR43" s="16"/>
      <c r="CS43" s="16"/>
      <c r="DC43" s="181"/>
      <c r="DJ43" s="173"/>
      <c r="DK43" s="173"/>
      <c r="DL43" s="9"/>
      <c r="DM43" s="16"/>
      <c r="DN43" s="16"/>
      <c r="DO43" s="16"/>
      <c r="DP43" s="16"/>
    </row>
    <row r="44" spans="1:120" s="5" customFormat="1" ht="19.5" customHeight="1" x14ac:dyDescent="0.25">
      <c r="A44" s="155"/>
      <c r="C44" s="17"/>
      <c r="D44" s="17"/>
      <c r="E44" s="17"/>
      <c r="G44" s="17"/>
      <c r="H44" s="17"/>
      <c r="I44" s="17"/>
      <c r="J44" s="17"/>
      <c r="K44" s="17"/>
      <c r="O44" s="155"/>
      <c r="P44" s="205"/>
      <c r="Q44" s="167"/>
      <c r="R44" s="167"/>
      <c r="S44" s="167"/>
      <c r="T44" s="167"/>
      <c r="U44" s="167"/>
      <c r="V44" s="167"/>
      <c r="W44" s="206"/>
      <c r="X44" s="16"/>
      <c r="Y44" s="9"/>
      <c r="AA44" s="404"/>
      <c r="AB44" s="404"/>
      <c r="AI44" s="704"/>
      <c r="AJ44" s="705"/>
      <c r="AK44" s="180"/>
      <c r="AL44" s="2"/>
      <c r="AM44" s="155"/>
      <c r="AN44" s="408"/>
      <c r="AO44" s="113"/>
      <c r="AP44" s="16"/>
      <c r="AQ44" s="16"/>
      <c r="AR44" s="16"/>
      <c r="AT44" s="408"/>
      <c r="AU44" s="408"/>
      <c r="AV44" s="17"/>
      <c r="AW44" s="2"/>
      <c r="AX44" s="2"/>
      <c r="AY44" s="17"/>
      <c r="AZ44" s="17"/>
      <c r="BA44" s="238"/>
      <c r="BB44" s="17"/>
      <c r="BD44" s="17"/>
      <c r="BE44" s="2"/>
      <c r="BF44" s="2"/>
      <c r="BG44" s="411"/>
      <c r="BH44" s="411"/>
      <c r="BI44" s="2"/>
      <c r="BK44" s="16"/>
      <c r="BO44" s="172"/>
      <c r="BP44" s="172"/>
      <c r="BT44" s="2"/>
      <c r="BU44" s="2"/>
      <c r="BV44" s="2"/>
      <c r="BW44" s="2"/>
      <c r="BX44" s="2"/>
      <c r="BY44" s="2"/>
      <c r="CA44" s="408"/>
      <c r="CB44" s="180"/>
      <c r="CC44" s="2"/>
      <c r="CD44" s="159"/>
      <c r="CE44" s="415"/>
      <c r="CF44" s="16"/>
      <c r="CG44" s="16"/>
      <c r="CH44" s="419"/>
      <c r="CI44" s="419"/>
      <c r="CJ44" s="16"/>
      <c r="CM44" s="416"/>
      <c r="CN44" s="416"/>
      <c r="CO44" s="16"/>
      <c r="CQ44" s="16"/>
      <c r="CR44" s="16"/>
      <c r="CS44" s="16"/>
      <c r="CU44" s="417"/>
      <c r="CV44" s="417"/>
      <c r="CX44" s="16"/>
      <c r="DB44" s="418"/>
      <c r="DC44" s="181"/>
      <c r="DJ44" s="173"/>
      <c r="DK44" s="173"/>
      <c r="DL44" s="9"/>
      <c r="DM44" s="16"/>
      <c r="DN44" s="16"/>
      <c r="DO44" s="16"/>
      <c r="DP44" s="9"/>
    </row>
    <row r="45" spans="1:120" s="5" customFormat="1" ht="19.5" customHeight="1" x14ac:dyDescent="0.25">
      <c r="A45" s="155"/>
      <c r="C45" s="17"/>
      <c r="D45" s="17"/>
      <c r="E45" s="17"/>
      <c r="G45" s="17"/>
      <c r="H45" s="17"/>
      <c r="I45" s="17"/>
      <c r="J45" s="17"/>
      <c r="K45" s="17"/>
      <c r="O45" s="155"/>
      <c r="P45" s="205"/>
      <c r="Q45" s="167"/>
      <c r="R45" s="167"/>
      <c r="S45" s="167"/>
      <c r="T45" s="167"/>
      <c r="U45" s="167"/>
      <c r="V45" s="167"/>
      <c r="W45" s="206"/>
      <c r="X45" s="9"/>
      <c r="Y45" s="16"/>
      <c r="AA45" s="404"/>
      <c r="AB45" s="404"/>
      <c r="AI45" s="704"/>
      <c r="AJ45" s="705"/>
      <c r="AK45" s="180"/>
      <c r="AL45" s="2"/>
      <c r="AM45" s="155"/>
      <c r="AN45" s="88"/>
      <c r="AO45" s="114"/>
      <c r="AP45" s="16"/>
      <c r="AQ45" s="16"/>
      <c r="AR45" s="110"/>
      <c r="AT45" s="88"/>
      <c r="AU45" s="88"/>
      <c r="AV45" s="2"/>
      <c r="AW45" s="2"/>
      <c r="AX45" s="2"/>
      <c r="AY45" s="17"/>
      <c r="AZ45" s="17"/>
      <c r="BA45" s="238"/>
      <c r="BB45" s="17"/>
      <c r="BD45" s="17"/>
      <c r="BE45" s="2"/>
      <c r="BF45" s="2"/>
      <c r="BG45" s="84"/>
      <c r="BH45" s="84"/>
      <c r="BI45" s="2"/>
      <c r="BK45" s="16"/>
      <c r="BN45" s="2"/>
      <c r="BO45" s="2"/>
      <c r="BP45" s="2"/>
      <c r="BQ45" s="16"/>
      <c r="BT45" s="2"/>
      <c r="BU45" s="2"/>
      <c r="BV45" s="2"/>
      <c r="BW45" s="2"/>
      <c r="BX45" s="2"/>
      <c r="BY45" s="2"/>
      <c r="CA45" s="88"/>
      <c r="CB45" s="180"/>
      <c r="CC45" s="2"/>
      <c r="CD45" s="159"/>
      <c r="CE45" s="108"/>
      <c r="CH45" s="359"/>
      <c r="CI45" s="359"/>
      <c r="CM45" s="82"/>
      <c r="CN45" s="82"/>
      <c r="CO45" s="16"/>
      <c r="CQ45" s="16"/>
      <c r="CR45" s="16"/>
      <c r="CS45" s="16"/>
      <c r="CU45" s="410"/>
      <c r="CV45" s="410"/>
      <c r="DB45" s="34"/>
      <c r="DC45" s="181"/>
      <c r="DJ45" s="173"/>
      <c r="DK45" s="173"/>
      <c r="DL45" s="9"/>
      <c r="DM45" s="9"/>
      <c r="DN45" s="16"/>
      <c r="DO45" s="16"/>
      <c r="DP45" s="16"/>
    </row>
    <row r="46" spans="1:120" s="5" customFormat="1" ht="19.5" customHeight="1" thickBot="1" x14ac:dyDescent="0.3">
      <c r="A46" s="155"/>
      <c r="C46" s="17"/>
      <c r="D46" s="17"/>
      <c r="E46" s="17"/>
      <c r="G46" s="17"/>
      <c r="H46" s="17"/>
      <c r="I46" s="17"/>
      <c r="J46" s="17"/>
      <c r="K46" s="17"/>
      <c r="O46" s="155"/>
      <c r="P46" s="211"/>
      <c r="Q46" s="212"/>
      <c r="R46" s="212"/>
      <c r="S46" s="212"/>
      <c r="T46" s="212"/>
      <c r="U46" s="212"/>
      <c r="V46" s="212"/>
      <c r="W46" s="213"/>
      <c r="X46" s="9"/>
      <c r="Y46" s="16"/>
      <c r="Z46" s="16"/>
      <c r="AA46" s="349"/>
      <c r="AB46" s="349"/>
      <c r="AI46" s="704"/>
      <c r="AJ46" s="705"/>
      <c r="AK46" s="180"/>
      <c r="AL46" s="2"/>
      <c r="AM46" s="155"/>
      <c r="AN46" s="366"/>
      <c r="AO46" s="71"/>
      <c r="AP46" s="71"/>
      <c r="AQ46" s="71"/>
      <c r="AR46" s="110"/>
      <c r="AT46" s="711"/>
      <c r="AU46" s="712"/>
      <c r="AW46" s="2"/>
      <c r="AX46" s="2"/>
      <c r="AY46" s="17"/>
      <c r="AZ46" s="17"/>
      <c r="BA46" s="238"/>
      <c r="BB46" s="17"/>
      <c r="BE46" s="2"/>
      <c r="BF46" s="2"/>
      <c r="BK46" s="16"/>
      <c r="BN46" s="2"/>
      <c r="BO46" s="377"/>
      <c r="BP46" s="377"/>
      <c r="BQ46" s="16"/>
      <c r="BT46" s="2"/>
      <c r="BU46" s="2"/>
      <c r="BV46" s="2"/>
      <c r="BW46" s="2"/>
      <c r="BX46" s="2"/>
      <c r="BY46" s="2"/>
      <c r="CA46" s="366"/>
      <c r="CB46" s="159"/>
      <c r="CC46" s="2"/>
      <c r="CD46" s="159"/>
      <c r="CE46" s="377"/>
      <c r="CH46" s="358"/>
      <c r="CI46" s="358"/>
      <c r="CM46" s="378"/>
      <c r="CN46" s="378"/>
      <c r="CO46" s="16"/>
      <c r="CQ46" s="16"/>
      <c r="CR46" s="16"/>
      <c r="CS46" s="16"/>
      <c r="CU46" s="367"/>
      <c r="CV46" s="367"/>
      <c r="CW46" s="16"/>
      <c r="CX46" s="16"/>
      <c r="DB46" s="356"/>
      <c r="DC46" s="159"/>
    </row>
    <row r="47" spans="1:120" s="5" customFormat="1" ht="19.5" customHeight="1" x14ac:dyDescent="0.25">
      <c r="A47" s="155"/>
      <c r="C47" s="17"/>
      <c r="D47" s="17"/>
      <c r="E47" s="17"/>
      <c r="G47" s="17"/>
      <c r="H47" s="17"/>
      <c r="I47" s="17"/>
      <c r="J47" s="17"/>
      <c r="K47" s="17"/>
      <c r="O47" s="155"/>
      <c r="P47" s="239"/>
      <c r="Q47" s="173"/>
      <c r="R47" s="173"/>
      <c r="S47" s="173"/>
      <c r="T47" s="173"/>
      <c r="U47" s="173"/>
      <c r="V47" s="173"/>
      <c r="W47" s="173"/>
      <c r="X47" s="9"/>
      <c r="Y47" s="9"/>
      <c r="Z47" s="16"/>
      <c r="AA47" s="16"/>
      <c r="AB47" s="16"/>
      <c r="AC47" s="16"/>
      <c r="AI47" s="704"/>
      <c r="AJ47" s="705"/>
      <c r="AK47" s="159"/>
      <c r="AL47" s="2"/>
      <c r="AM47" s="155"/>
      <c r="AN47" s="366"/>
      <c r="AO47" s="71"/>
      <c r="AP47" s="71"/>
      <c r="AQ47" s="71"/>
      <c r="AR47" s="101"/>
      <c r="AS47" s="116"/>
      <c r="AT47" s="353"/>
      <c r="AU47" s="353"/>
      <c r="AW47" s="2"/>
      <c r="AX47" s="2"/>
      <c r="AY47" s="17"/>
      <c r="AZ47" s="17"/>
      <c r="BA47" s="240"/>
      <c r="BB47" s="17"/>
      <c r="BC47" s="17"/>
      <c r="BD47" s="17"/>
      <c r="BE47" s="2"/>
      <c r="BF47" s="2"/>
      <c r="BK47" s="16"/>
      <c r="BN47" s="16"/>
      <c r="BQ47" s="16"/>
      <c r="BV47" s="233"/>
      <c r="CA47" s="2"/>
      <c r="CB47" s="180"/>
      <c r="CC47" s="2"/>
      <c r="CD47" s="159"/>
      <c r="CE47" s="377"/>
      <c r="CH47" s="713" t="s">
        <v>255</v>
      </c>
      <c r="CI47" s="713"/>
      <c r="CM47" s="378"/>
      <c r="CN47" s="378"/>
      <c r="CQ47" s="16"/>
      <c r="CR47" s="16"/>
      <c r="CS47" s="16"/>
      <c r="CU47" s="367"/>
      <c r="CV47" s="367"/>
      <c r="CW47" s="16"/>
      <c r="CX47" s="16"/>
      <c r="DB47" s="356"/>
      <c r="DC47" s="181"/>
    </row>
    <row r="48" spans="1:120" s="5" customFormat="1" ht="19.5" customHeight="1" thickBot="1" x14ac:dyDescent="0.3">
      <c r="A48" s="155"/>
      <c r="C48" s="17"/>
      <c r="D48" s="17"/>
      <c r="E48" s="17"/>
      <c r="F48" s="17"/>
      <c r="G48" s="17"/>
      <c r="H48" s="17"/>
      <c r="I48" s="17"/>
      <c r="J48" s="17"/>
      <c r="K48" s="17"/>
      <c r="O48" s="155"/>
      <c r="P48" s="239"/>
      <c r="Q48" s="173"/>
      <c r="R48" s="173"/>
      <c r="S48" s="173"/>
      <c r="T48" s="173"/>
      <c r="U48" s="173"/>
      <c r="AC48" s="16"/>
      <c r="AI48" s="706"/>
      <c r="AJ48" s="707"/>
      <c r="AK48" s="180"/>
      <c r="AL48" s="2"/>
      <c r="AM48" s="155"/>
      <c r="AN48" s="366"/>
      <c r="AO48" s="16"/>
      <c r="AP48" s="16"/>
      <c r="AQ48" s="16"/>
      <c r="AR48" s="16"/>
      <c r="AS48" s="16"/>
      <c r="AT48" s="353"/>
      <c r="AU48" s="353"/>
      <c r="AW48" s="2"/>
      <c r="AX48" s="16"/>
      <c r="AY48" s="16"/>
      <c r="AZ48" s="16"/>
      <c r="BA48" s="155"/>
      <c r="BB48" s="17"/>
      <c r="BC48" s="17"/>
      <c r="BD48" s="17"/>
      <c r="BE48" s="2"/>
      <c r="BG48" s="221" t="s">
        <v>195</v>
      </c>
      <c r="BH48" s="221"/>
      <c r="BJ48" s="16"/>
      <c r="BK48" s="16"/>
      <c r="BL48" s="9"/>
      <c r="BN48" s="16"/>
      <c r="BO48" s="377"/>
      <c r="BP48" s="377"/>
      <c r="BQ48" s="16"/>
      <c r="BV48" s="241" t="s">
        <v>174</v>
      </c>
      <c r="BZ48" s="2"/>
      <c r="CA48" s="2"/>
      <c r="CB48" s="180"/>
      <c r="CC48" s="2"/>
      <c r="CD48" s="159"/>
      <c r="CF48" s="16"/>
      <c r="CG48" s="22" t="s">
        <v>199</v>
      </c>
      <c r="CH48" s="242"/>
      <c r="CI48" s="242"/>
      <c r="CJ48" s="16"/>
      <c r="CM48" s="378"/>
      <c r="CN48" s="378"/>
      <c r="CO48" s="16"/>
      <c r="CQ48" s="16"/>
      <c r="CR48" s="16"/>
      <c r="CS48" s="16"/>
      <c r="CT48" s="16"/>
      <c r="CU48" s="367"/>
      <c r="CV48" s="367"/>
      <c r="CW48" s="16"/>
      <c r="CX48" s="16"/>
      <c r="CZ48" s="16"/>
      <c r="DA48" s="16"/>
      <c r="DB48" s="356"/>
      <c r="DC48" s="181"/>
    </row>
    <row r="49" spans="1:120" s="5" customFormat="1" ht="19.5" customHeight="1" thickBot="1" x14ac:dyDescent="0.3">
      <c r="A49" s="155"/>
      <c r="C49" s="17"/>
      <c r="D49" s="17"/>
      <c r="E49" s="17"/>
      <c r="F49" s="17"/>
      <c r="G49" s="17"/>
      <c r="H49" s="17"/>
      <c r="I49" s="17"/>
      <c r="J49" s="17"/>
      <c r="K49" s="17"/>
      <c r="O49" s="155"/>
      <c r="P49" s="239"/>
      <c r="Q49" s="173"/>
      <c r="R49" s="173"/>
      <c r="S49" s="173"/>
      <c r="T49" s="173"/>
      <c r="U49" s="173"/>
      <c r="AC49" s="16"/>
      <c r="AD49" s="16"/>
      <c r="AE49" s="243"/>
      <c r="AF49" s="244"/>
      <c r="AG49" s="244"/>
      <c r="AH49" s="244"/>
      <c r="AI49" s="245"/>
      <c r="AJ49" s="246"/>
      <c r="AK49" s="180"/>
      <c r="AL49" s="2"/>
      <c r="AM49" s="155"/>
      <c r="AN49" s="366"/>
      <c r="AO49" s="71"/>
      <c r="AP49" s="71"/>
      <c r="AQ49" s="71"/>
      <c r="AR49" s="71"/>
      <c r="AS49" s="16"/>
      <c r="AT49" s="353"/>
      <c r="AU49" s="353"/>
      <c r="AV49" s="16"/>
      <c r="AW49" s="2"/>
      <c r="AX49" s="2"/>
      <c r="AY49" s="17"/>
      <c r="AZ49" s="17"/>
      <c r="BA49" s="155"/>
      <c r="BB49" s="17"/>
      <c r="BC49" s="17"/>
      <c r="BD49" s="17"/>
      <c r="BE49" s="119"/>
      <c r="BF49" s="22" t="s">
        <v>203</v>
      </c>
      <c r="BG49" s="218"/>
      <c r="BH49" s="218"/>
      <c r="BI49" s="247" t="s">
        <v>204</v>
      </c>
      <c r="BJ49" s="16"/>
      <c r="BK49" s="16"/>
      <c r="BN49" s="16"/>
      <c r="BO49" s="377"/>
      <c r="BP49" s="377"/>
      <c r="BQ49" s="16"/>
      <c r="BT49" s="22" t="s">
        <v>205</v>
      </c>
      <c r="BU49" s="248" t="s">
        <v>256</v>
      </c>
      <c r="BV49" s="352">
        <v>340</v>
      </c>
      <c r="BW49" s="248" t="s">
        <v>256</v>
      </c>
      <c r="BZ49" s="2"/>
      <c r="CA49" s="2"/>
      <c r="CB49" s="180"/>
      <c r="CC49" s="2"/>
      <c r="CD49" s="159"/>
      <c r="CE49" s="121" t="s">
        <v>206</v>
      </c>
      <c r="CF49" s="186"/>
      <c r="CG49" s="249" t="s">
        <v>174</v>
      </c>
      <c r="CH49" s="382">
        <v>340</v>
      </c>
      <c r="CI49" s="382">
        <v>340</v>
      </c>
      <c r="CJ49" s="249" t="s">
        <v>174</v>
      </c>
      <c r="CK49" s="187"/>
      <c r="CQ49" s="16"/>
      <c r="CR49" s="16"/>
      <c r="CS49" s="16"/>
      <c r="CT49" s="16"/>
      <c r="CU49" s="16"/>
      <c r="CV49" s="16"/>
      <c r="CW49" s="16"/>
      <c r="CX49" s="16"/>
      <c r="DA49" s="16"/>
      <c r="DB49" s="356"/>
      <c r="DC49" s="181"/>
    </row>
    <row r="50" spans="1:120" s="5" customFormat="1" ht="19.5" customHeight="1" thickBot="1" x14ac:dyDescent="0.3">
      <c r="A50" s="155"/>
      <c r="C50" s="17"/>
      <c r="D50" s="17"/>
      <c r="E50" s="17"/>
      <c r="F50" s="17"/>
      <c r="G50" s="17"/>
      <c r="H50" s="17"/>
      <c r="I50" s="17"/>
      <c r="J50" s="17"/>
      <c r="K50" s="17"/>
      <c r="O50" s="155"/>
      <c r="P50" s="173"/>
      <c r="Q50" s="173"/>
      <c r="R50" s="173"/>
      <c r="S50" s="173"/>
      <c r="T50" s="173"/>
      <c r="U50" s="173"/>
      <c r="AC50" s="16"/>
      <c r="AD50" s="16"/>
      <c r="AE50" s="250"/>
      <c r="AF50" s="173"/>
      <c r="AG50" s="173"/>
      <c r="AH50" s="173"/>
      <c r="AI50" s="184"/>
      <c r="AJ50" s="251"/>
      <c r="AK50" s="180"/>
      <c r="AL50" s="2"/>
      <c r="AM50" s="155"/>
      <c r="AN50" s="366"/>
      <c r="AO50" s="16"/>
      <c r="AP50" s="16"/>
      <c r="AQ50" s="16"/>
      <c r="AR50" s="16"/>
      <c r="AS50" s="16"/>
      <c r="AT50" s="353"/>
      <c r="AU50" s="353"/>
      <c r="AV50" s="16"/>
      <c r="AW50" s="2"/>
      <c r="AX50" s="17"/>
      <c r="AY50" s="17"/>
      <c r="AZ50" s="353"/>
      <c r="BA50" s="155"/>
      <c r="BB50" s="17"/>
      <c r="BC50" s="17"/>
      <c r="BD50" s="17"/>
      <c r="BE50" s="186"/>
      <c r="BF50" s="220" t="s">
        <v>174</v>
      </c>
      <c r="BG50" s="383">
        <v>250</v>
      </c>
      <c r="BH50" s="383">
        <v>250</v>
      </c>
      <c r="BI50" s="220" t="s">
        <v>174</v>
      </c>
      <c r="BJ50" s="189"/>
      <c r="BK50" s="122"/>
      <c r="BL50" s="9"/>
      <c r="BM50" s="19"/>
      <c r="BN50" s="16"/>
      <c r="BO50" s="377"/>
      <c r="BP50" s="377"/>
      <c r="BQ50" s="16"/>
      <c r="BS50" s="252"/>
      <c r="BT50" s="241" t="s">
        <v>174</v>
      </c>
      <c r="BU50" s="352">
        <v>340</v>
      </c>
      <c r="BV50" s="248" t="s">
        <v>257</v>
      </c>
      <c r="BW50" s="352">
        <v>340</v>
      </c>
      <c r="BX50" s="241" t="s">
        <v>174</v>
      </c>
      <c r="BY50" s="253"/>
      <c r="BZ50" s="2"/>
      <c r="CA50" s="2"/>
      <c r="CB50" s="180"/>
      <c r="CC50" s="2"/>
      <c r="CD50" s="159"/>
      <c r="CE50" s="121" t="s">
        <v>207</v>
      </c>
      <c r="CF50" s="188"/>
      <c r="CG50" s="249" t="s">
        <v>174</v>
      </c>
      <c r="CH50" s="382">
        <v>340</v>
      </c>
      <c r="CI50" s="382">
        <v>340</v>
      </c>
      <c r="CJ50" s="249" t="s">
        <v>174</v>
      </c>
      <c r="CK50" s="187"/>
      <c r="CM50" s="699"/>
      <c r="CN50" s="699"/>
      <c r="CO50" s="16"/>
      <c r="CQ50" s="16"/>
      <c r="CR50" s="16"/>
      <c r="DA50" s="16"/>
      <c r="DC50" s="181"/>
    </row>
    <row r="51" spans="1:120" s="5" customFormat="1" ht="19.5" customHeight="1" thickBot="1" x14ac:dyDescent="0.3">
      <c r="A51" s="155"/>
      <c r="C51" s="17"/>
      <c r="D51" s="17"/>
      <c r="E51" s="17"/>
      <c r="F51" s="17"/>
      <c r="G51" s="17"/>
      <c r="H51" s="17"/>
      <c r="I51" s="17"/>
      <c r="J51" s="17"/>
      <c r="K51" s="17"/>
      <c r="O51" s="155"/>
      <c r="P51" s="173"/>
      <c r="Q51" s="173"/>
      <c r="R51" s="173"/>
      <c r="S51" s="173"/>
      <c r="T51" s="173"/>
      <c r="U51" s="173"/>
      <c r="AA51" s="9"/>
      <c r="AD51" s="16"/>
      <c r="AE51" s="250"/>
      <c r="AF51" s="173"/>
      <c r="AG51" s="173"/>
      <c r="AH51" s="173"/>
      <c r="AI51" s="184"/>
      <c r="AJ51" s="251"/>
      <c r="AK51" s="180"/>
      <c r="AL51" s="2"/>
      <c r="AM51" s="155"/>
      <c r="AN51" s="366"/>
      <c r="AO51" s="16"/>
      <c r="AP51" s="16"/>
      <c r="AQ51" s="16"/>
      <c r="AR51" s="16"/>
      <c r="AS51" s="16"/>
      <c r="AT51" s="16"/>
      <c r="AU51" s="16"/>
      <c r="AV51" s="2"/>
      <c r="AW51" s="17"/>
      <c r="AX51" s="17"/>
      <c r="AZ51" s="353"/>
      <c r="BA51" s="155"/>
      <c r="BB51" s="17"/>
      <c r="BC51" s="123" t="s">
        <v>206</v>
      </c>
      <c r="BD51" s="124"/>
      <c r="BE51" s="188"/>
      <c r="BF51" s="220" t="s">
        <v>174</v>
      </c>
      <c r="BG51" s="383">
        <v>250</v>
      </c>
      <c r="BH51" s="383">
        <v>250</v>
      </c>
      <c r="BI51" s="220" t="s">
        <v>174</v>
      </c>
      <c r="BJ51" s="189"/>
      <c r="BK51" s="122"/>
      <c r="BL51" s="9"/>
      <c r="BM51" s="9"/>
      <c r="BN51" s="9"/>
      <c r="BO51" s="9"/>
      <c r="BP51" s="9"/>
      <c r="BQ51" s="9"/>
      <c r="BU51" s="248" t="s">
        <v>256</v>
      </c>
      <c r="BV51" s="352">
        <v>340</v>
      </c>
      <c r="BW51" s="248" t="s">
        <v>256</v>
      </c>
      <c r="BZ51" s="2"/>
      <c r="CA51" s="2"/>
      <c r="CB51" s="160"/>
      <c r="CC51" s="2"/>
      <c r="CD51" s="159"/>
      <c r="CE51" s="16"/>
      <c r="CF51" s="16"/>
      <c r="CG51" s="16"/>
      <c r="CH51" s="242"/>
      <c r="CI51" s="242"/>
      <c r="CJ51" s="16"/>
      <c r="CM51" s="353"/>
      <c r="CN51" s="353"/>
      <c r="CO51" s="16"/>
      <c r="CQ51" s="16"/>
      <c r="CR51" s="16"/>
      <c r="CU51" s="356"/>
      <c r="CV51" s="356"/>
      <c r="DA51" s="16"/>
      <c r="DB51" s="356"/>
      <c r="DC51" s="160"/>
    </row>
    <row r="52" spans="1:120" s="5" customFormat="1" ht="19.5" customHeight="1" x14ac:dyDescent="0.25">
      <c r="A52" s="155"/>
      <c r="C52" s="17"/>
      <c r="D52" s="17"/>
      <c r="E52" s="17"/>
      <c r="F52" s="17"/>
      <c r="G52" s="17"/>
      <c r="H52" s="17"/>
      <c r="I52" s="17"/>
      <c r="J52" s="17"/>
      <c r="K52" s="17"/>
      <c r="O52" s="155"/>
      <c r="P52" s="173"/>
      <c r="Q52" s="173"/>
      <c r="R52" s="173"/>
      <c r="S52" s="173"/>
      <c r="T52" s="173"/>
      <c r="U52" s="173"/>
      <c r="AB52" s="353"/>
      <c r="AC52" s="81"/>
      <c r="AD52" s="9"/>
      <c r="AE52" s="250"/>
      <c r="AF52" s="173"/>
      <c r="AG52" s="173"/>
      <c r="AH52" s="173"/>
      <c r="AI52" s="184"/>
      <c r="AJ52" s="251"/>
      <c r="AK52" s="160"/>
      <c r="AL52" s="2"/>
      <c r="AM52" s="155"/>
      <c r="AN52" s="16"/>
      <c r="AO52" s="16"/>
      <c r="AP52" s="16"/>
      <c r="AQ52" s="16"/>
      <c r="AR52" s="16"/>
      <c r="AS52" s="110"/>
      <c r="AT52" s="377"/>
      <c r="AU52" s="377"/>
      <c r="AV52" s="16"/>
      <c r="AW52" s="17"/>
      <c r="AX52" s="71"/>
      <c r="AZ52" s="409"/>
      <c r="BA52" s="155"/>
      <c r="BB52" s="155"/>
      <c r="BC52" s="155"/>
      <c r="BD52" s="155"/>
      <c r="BE52" s="188"/>
      <c r="BF52" s="220" t="s">
        <v>174</v>
      </c>
      <c r="BG52" s="383">
        <v>250</v>
      </c>
      <c r="BH52" s="383">
        <v>250</v>
      </c>
      <c r="BI52" s="220" t="s">
        <v>174</v>
      </c>
      <c r="BJ52" s="189"/>
      <c r="BK52" s="122"/>
      <c r="BL52" s="9"/>
      <c r="BM52" s="9"/>
      <c r="BN52" s="16"/>
      <c r="BQ52" s="16"/>
      <c r="BV52" s="241" t="s">
        <v>174</v>
      </c>
      <c r="BZ52" s="10"/>
      <c r="CA52" s="9"/>
      <c r="CB52" s="160"/>
      <c r="CC52" s="2"/>
      <c r="CD52" s="159"/>
      <c r="CE52" s="377"/>
      <c r="CF52" s="16"/>
      <c r="CH52" s="688" t="s">
        <v>181</v>
      </c>
      <c r="CI52" s="688"/>
      <c r="CJ52" s="16"/>
      <c r="CM52" s="353"/>
      <c r="CN52" s="353"/>
      <c r="CQ52" s="16"/>
      <c r="CR52" s="16"/>
      <c r="CU52" s="356"/>
      <c r="CV52" s="356"/>
      <c r="DA52" s="16"/>
      <c r="DB52" s="356"/>
      <c r="DC52" s="160"/>
    </row>
    <row r="53" spans="1:120" s="5" customFormat="1" ht="19.5" customHeight="1" x14ac:dyDescent="0.25">
      <c r="A53" s="155"/>
      <c r="C53" s="17"/>
      <c r="D53" s="17"/>
      <c r="E53" s="17"/>
      <c r="F53" s="17"/>
      <c r="G53" s="17"/>
      <c r="H53" s="17"/>
      <c r="I53" s="17"/>
      <c r="J53" s="17"/>
      <c r="K53" s="17"/>
      <c r="O53" s="155"/>
      <c r="Q53" s="173"/>
      <c r="R53" s="173"/>
      <c r="S53" s="173"/>
      <c r="T53" s="173"/>
      <c r="U53" s="173"/>
      <c r="AA53" s="353"/>
      <c r="AB53" s="9"/>
      <c r="AC53" s="353"/>
      <c r="AD53" s="16"/>
      <c r="AE53" s="250"/>
      <c r="AF53" s="2"/>
      <c r="AG53" s="173"/>
      <c r="AH53" s="173"/>
      <c r="AI53" s="184"/>
      <c r="AJ53" s="251"/>
      <c r="AK53" s="160"/>
      <c r="AL53" s="2"/>
      <c r="AM53" s="155"/>
      <c r="AN53" s="16"/>
      <c r="AO53" s="16"/>
      <c r="AP53" s="16"/>
      <c r="AQ53" s="16"/>
      <c r="AS53" s="16"/>
      <c r="AT53" s="377"/>
      <c r="AU53" s="377"/>
      <c r="AW53" s="16"/>
      <c r="AX53" s="71"/>
      <c r="AY53" s="16"/>
      <c r="AZ53" s="16"/>
      <c r="BA53" s="155"/>
      <c r="BB53" s="17"/>
      <c r="BC53" s="17"/>
      <c r="BD53" s="125"/>
      <c r="BE53" s="186"/>
      <c r="BF53" s="220" t="s">
        <v>174</v>
      </c>
      <c r="BG53" s="383">
        <v>250</v>
      </c>
      <c r="BH53" s="383">
        <v>250</v>
      </c>
      <c r="BI53" s="220" t="s">
        <v>174</v>
      </c>
      <c r="BJ53" s="189"/>
      <c r="BK53" s="122"/>
      <c r="BL53" s="9"/>
      <c r="BM53" s="9"/>
      <c r="BN53" s="9"/>
      <c r="BQ53" s="16"/>
      <c r="BV53" s="233"/>
      <c r="BZ53" s="10"/>
      <c r="CA53" s="9"/>
      <c r="CB53" s="160"/>
      <c r="CC53" s="2"/>
      <c r="CD53" s="159"/>
      <c r="CE53" s="377"/>
      <c r="CF53" s="16"/>
      <c r="CJ53" s="16"/>
      <c r="CM53" s="353"/>
      <c r="CN53" s="353"/>
      <c r="CO53" s="16"/>
      <c r="CQ53" s="16"/>
      <c r="CR53" s="16"/>
      <c r="CU53" s="356"/>
      <c r="CV53" s="356"/>
      <c r="DA53" s="16"/>
      <c r="DB53" s="356"/>
      <c r="DC53" s="160"/>
      <c r="DJ53" s="173"/>
      <c r="DK53" s="173"/>
      <c r="DL53" s="9"/>
      <c r="DM53" s="81"/>
      <c r="DN53" s="81"/>
      <c r="DO53" s="16"/>
      <c r="DP53" s="16"/>
    </row>
    <row r="54" spans="1:120" s="5" customFormat="1" ht="19.5" customHeight="1" x14ac:dyDescent="0.25">
      <c r="A54" s="155"/>
      <c r="C54" s="17"/>
      <c r="J54" s="17"/>
      <c r="K54" s="17"/>
      <c r="N54" s="173"/>
      <c r="O54" s="155"/>
      <c r="P54" s="173"/>
      <c r="Q54" s="173"/>
      <c r="R54" s="173"/>
      <c r="S54" s="173"/>
      <c r="T54" s="173"/>
      <c r="U54" s="173"/>
      <c r="AA54" s="353"/>
      <c r="AB54" s="9"/>
      <c r="AC54" s="353"/>
      <c r="AD54" s="16"/>
      <c r="AE54" s="250"/>
      <c r="AF54" s="173"/>
      <c r="AG54" s="254" t="s">
        <v>180</v>
      </c>
      <c r="AH54" s="173"/>
      <c r="AI54" s="184"/>
      <c r="AJ54" s="251"/>
      <c r="AK54" s="160"/>
      <c r="AL54" s="2"/>
      <c r="AM54" s="155"/>
      <c r="AN54" s="16"/>
      <c r="AO54" s="16"/>
      <c r="AP54" s="16"/>
      <c r="AQ54" s="16"/>
      <c r="AR54" s="16"/>
      <c r="AS54" s="16"/>
      <c r="AT54" s="384"/>
      <c r="AU54" s="384"/>
      <c r="AV54" s="16"/>
      <c r="AW54" s="16"/>
      <c r="AX54" s="17"/>
      <c r="AY54" s="16"/>
      <c r="AZ54" s="16"/>
      <c r="BA54" s="155"/>
      <c r="BB54" s="17"/>
      <c r="BC54" s="17"/>
      <c r="BD54" s="255"/>
      <c r="BE54" s="9"/>
      <c r="BF54" s="9"/>
      <c r="BG54" s="218"/>
      <c r="BH54" s="218"/>
      <c r="BI54" s="173"/>
      <c r="BJ54" s="9"/>
      <c r="BK54" s="16"/>
      <c r="BL54" s="9"/>
      <c r="BM54" s="9"/>
      <c r="BN54" s="9"/>
      <c r="BQ54" s="16"/>
      <c r="BT54" s="9"/>
      <c r="BU54" s="688" t="s">
        <v>181</v>
      </c>
      <c r="BV54" s="688"/>
      <c r="BW54" s="688"/>
      <c r="BX54" s="9"/>
      <c r="BY54" s="9"/>
      <c r="BZ54" s="10"/>
      <c r="CA54" s="9"/>
      <c r="CB54" s="160"/>
      <c r="CC54" s="2"/>
      <c r="CD54" s="159"/>
      <c r="CE54" s="16"/>
      <c r="CF54" s="16"/>
      <c r="CG54" s="16"/>
      <c r="CH54" s="354"/>
      <c r="CI54" s="354"/>
      <c r="CJ54" s="16"/>
      <c r="CO54" s="16"/>
      <c r="CQ54" s="16"/>
      <c r="CR54" s="16"/>
      <c r="CV54" s="16"/>
      <c r="CW54" s="16"/>
      <c r="DA54" s="16"/>
      <c r="DB54" s="356"/>
      <c r="DC54" s="160"/>
      <c r="DJ54" s="173"/>
      <c r="DK54" s="173"/>
      <c r="DL54" s="16"/>
      <c r="DM54" s="9"/>
      <c r="DN54" s="9"/>
      <c r="DO54" s="16"/>
      <c r="DP54" s="16"/>
    </row>
    <row r="55" spans="1:120" s="5" customFormat="1" ht="19.5" customHeight="1" x14ac:dyDescent="0.2">
      <c r="A55" s="155"/>
      <c r="B55" s="17"/>
      <c r="C55" s="17"/>
      <c r="D55" s="17"/>
      <c r="E55" s="17"/>
      <c r="F55" s="17"/>
      <c r="G55" s="17"/>
      <c r="H55" s="17"/>
      <c r="I55" s="17"/>
      <c r="J55" s="17"/>
      <c r="K55" s="17"/>
      <c r="N55" s="173"/>
      <c r="O55" s="173"/>
      <c r="P55" s="155"/>
      <c r="Q55" s="173"/>
      <c r="R55" s="173"/>
      <c r="S55" s="173"/>
      <c r="T55" s="173"/>
      <c r="U55" s="173"/>
      <c r="AA55" s="81"/>
      <c r="AB55" s="353"/>
      <c r="AC55" s="81"/>
      <c r="AD55" s="16"/>
      <c r="AE55" s="250"/>
      <c r="AF55" s="173"/>
      <c r="AG55" s="173"/>
      <c r="AH55" s="173"/>
      <c r="AI55" s="184"/>
      <c r="AJ55" s="251"/>
      <c r="AK55" s="160"/>
      <c r="AL55" s="2"/>
      <c r="AM55" s="155"/>
      <c r="AN55" s="16"/>
      <c r="AO55" s="16"/>
      <c r="AP55" s="16"/>
      <c r="AQ55" s="16"/>
      <c r="AR55" s="16"/>
      <c r="AS55" s="16"/>
      <c r="AT55" s="700"/>
      <c r="AU55" s="700"/>
      <c r="AV55" s="16"/>
      <c r="AW55" s="16"/>
      <c r="AX55" s="17"/>
      <c r="AY55" s="256"/>
      <c r="AZ55" s="257"/>
      <c r="BA55" s="155"/>
      <c r="BB55" s="110"/>
      <c r="BC55" s="110"/>
      <c r="BD55" s="255"/>
      <c r="BE55" s="2"/>
      <c r="BF55" s="2"/>
      <c r="BG55" s="9"/>
      <c r="BH55" s="9"/>
      <c r="BI55" s="9"/>
      <c r="BJ55" s="16"/>
      <c r="BK55" s="16"/>
      <c r="BL55" s="2"/>
      <c r="BN55" s="9"/>
      <c r="BT55" s="9"/>
      <c r="BU55" s="9"/>
      <c r="BV55" s="9"/>
      <c r="BW55" s="9"/>
      <c r="BX55" s="9"/>
      <c r="BY55" s="9"/>
      <c r="BZ55" s="10"/>
      <c r="CA55" s="10"/>
      <c r="CB55" s="160"/>
      <c r="CC55" s="2"/>
      <c r="CD55" s="159"/>
      <c r="CE55" s="354"/>
      <c r="CF55" s="16"/>
      <c r="CG55" s="16"/>
      <c r="CH55" s="354"/>
      <c r="CI55" s="354"/>
      <c r="CJ55" s="16"/>
      <c r="CO55" s="16"/>
      <c r="CQ55" s="16"/>
      <c r="CR55" s="16"/>
      <c r="DA55" s="16"/>
      <c r="DB55" s="356"/>
      <c r="DC55" s="160"/>
      <c r="DJ55" s="173"/>
      <c r="DK55" s="173"/>
      <c r="DL55" s="9"/>
      <c r="DM55" s="16"/>
      <c r="DN55" s="16"/>
      <c r="DO55" s="16"/>
      <c r="DP55" s="16"/>
    </row>
    <row r="56" spans="1:120" s="5" customFormat="1" ht="19.5" customHeight="1" x14ac:dyDescent="0.25">
      <c r="A56" s="155"/>
      <c r="B56" s="17"/>
      <c r="C56" s="17"/>
      <c r="D56" s="17"/>
      <c r="E56" s="17"/>
      <c r="F56" s="17"/>
      <c r="G56" s="17"/>
      <c r="H56" s="17"/>
      <c r="I56" s="17"/>
      <c r="J56" s="17"/>
      <c r="K56" s="17"/>
      <c r="N56" s="173"/>
      <c r="O56" s="173"/>
      <c r="P56" s="155"/>
      <c r="Q56" s="173"/>
      <c r="R56" s="173"/>
      <c r="S56" s="173"/>
      <c r="T56" s="173"/>
      <c r="U56" s="173"/>
      <c r="AC56" s="16"/>
      <c r="AD56" s="16"/>
      <c r="AE56" s="250"/>
      <c r="AF56" s="173"/>
      <c r="AG56" s="173"/>
      <c r="AH56" s="173"/>
      <c r="AI56" s="184"/>
      <c r="AJ56" s="251"/>
      <c r="AK56" s="160"/>
      <c r="AL56" s="2"/>
      <c r="AM56" s="155"/>
      <c r="AO56" s="16"/>
      <c r="AP56" s="16"/>
      <c r="AQ56" s="16"/>
      <c r="AR56" s="16"/>
      <c r="AS56" s="17"/>
      <c r="AT56" s="258"/>
      <c r="AU56" s="258"/>
      <c r="AV56" s="16"/>
      <c r="AW56" s="16"/>
      <c r="AX56" s="17"/>
      <c r="AY56" s="17"/>
      <c r="AZ56" s="101"/>
      <c r="BA56" s="155"/>
      <c r="BB56" s="110"/>
      <c r="BC56" s="110"/>
      <c r="BD56" s="255"/>
      <c r="BE56" s="2"/>
      <c r="BF56" s="2"/>
      <c r="BG56" s="2"/>
      <c r="BH56" s="2"/>
      <c r="BK56" s="16"/>
      <c r="BL56" s="2"/>
      <c r="BN56" s="9"/>
      <c r="BT56" s="9"/>
      <c r="BU56" s="9"/>
      <c r="BV56" s="9"/>
      <c r="BW56" s="9"/>
      <c r="BX56" s="9"/>
      <c r="BY56" s="9"/>
      <c r="BZ56" s="10"/>
      <c r="CA56" s="10"/>
      <c r="CB56" s="160"/>
      <c r="CC56" s="2"/>
      <c r="CD56" s="159"/>
      <c r="CE56" s="354"/>
      <c r="CF56" s="16"/>
      <c r="CG56" s="16"/>
      <c r="CH56" s="16"/>
      <c r="CI56" s="16"/>
      <c r="CJ56" s="16"/>
      <c r="CO56" s="16"/>
      <c r="CQ56" s="16"/>
      <c r="CR56" s="16"/>
      <c r="DA56" s="16"/>
      <c r="DB56" s="16"/>
      <c r="DC56" s="160"/>
    </row>
    <row r="57" spans="1:120" s="5" customFormat="1" ht="19.5" customHeight="1" thickBot="1" x14ac:dyDescent="0.3">
      <c r="A57" s="155"/>
      <c r="B57" s="17"/>
      <c r="C57" s="17"/>
      <c r="D57" s="17"/>
      <c r="E57" s="17"/>
      <c r="F57" s="17"/>
      <c r="G57" s="17"/>
      <c r="H57" s="17"/>
      <c r="I57" s="17"/>
      <c r="J57" s="17"/>
      <c r="K57" s="17"/>
      <c r="N57" s="173"/>
      <c r="O57" s="173"/>
      <c r="P57" s="155"/>
      <c r="Q57" s="173"/>
      <c r="R57" s="173"/>
      <c r="S57" s="173"/>
      <c r="T57" s="173"/>
      <c r="U57" s="173"/>
      <c r="AC57" s="16"/>
      <c r="AD57" s="16"/>
      <c r="AE57" s="250"/>
      <c r="AF57" s="173"/>
      <c r="AG57" s="173"/>
      <c r="AH57" s="173"/>
      <c r="AI57" s="184"/>
      <c r="AJ57" s="251"/>
      <c r="AK57" s="160"/>
      <c r="AL57" s="2"/>
      <c r="AM57" s="155"/>
      <c r="AN57" s="685"/>
      <c r="AO57" s="685"/>
      <c r="AP57" s="98"/>
      <c r="AQ57" s="98"/>
      <c r="AR57" s="16"/>
      <c r="AS57" s="17"/>
      <c r="AT57" s="701"/>
      <c r="AU57" s="701"/>
      <c r="AV57" s="17"/>
      <c r="AW57" s="2"/>
      <c r="AX57" s="17"/>
      <c r="AY57" s="17"/>
      <c r="AZ57" s="101"/>
      <c r="BA57" s="155"/>
      <c r="BB57" s="17"/>
      <c r="BC57" s="17"/>
      <c r="BD57" s="255"/>
      <c r="BE57" s="2"/>
      <c r="BF57" s="2"/>
      <c r="BG57" s="2"/>
      <c r="BH57" s="2"/>
      <c r="BK57" s="16"/>
      <c r="BL57" s="2"/>
      <c r="BN57" s="9"/>
      <c r="BT57" s="9"/>
      <c r="BU57" s="9"/>
      <c r="BV57" s="9"/>
      <c r="BW57" s="9"/>
      <c r="BX57" s="9"/>
      <c r="BY57" s="9"/>
      <c r="BZ57" s="10"/>
      <c r="CA57" s="48"/>
      <c r="CB57" s="160"/>
      <c r="CC57" s="2"/>
      <c r="CD57" s="159"/>
      <c r="CE57" s="354"/>
      <c r="CF57" s="16"/>
      <c r="CG57" s="16"/>
      <c r="CH57" s="385"/>
      <c r="CI57" s="385"/>
      <c r="CJ57" s="16"/>
      <c r="CM57" s="41"/>
      <c r="CN57" s="41"/>
      <c r="CO57" s="16"/>
      <c r="CQ57" s="16"/>
      <c r="CR57" s="16"/>
      <c r="CT57" s="16"/>
      <c r="CU57" s="16"/>
      <c r="CV57" s="16"/>
      <c r="CW57" s="16"/>
      <c r="CX57" s="16"/>
      <c r="CY57" s="16"/>
      <c r="CZ57" s="16"/>
      <c r="DA57" s="16"/>
      <c r="DB57" s="16"/>
      <c r="DC57" s="160"/>
    </row>
    <row r="58" spans="1:120" s="5" customFormat="1" ht="19.5" customHeight="1" x14ac:dyDescent="0.25">
      <c r="A58" s="155"/>
      <c r="B58" s="17"/>
      <c r="C58" s="17"/>
      <c r="D58" s="17"/>
      <c r="E58" s="17"/>
      <c r="F58" s="67" t="s">
        <v>209</v>
      </c>
      <c r="G58" s="127"/>
      <c r="H58" s="127"/>
      <c r="I58" s="127"/>
      <c r="J58" s="127"/>
      <c r="K58" s="127"/>
      <c r="N58" s="173"/>
      <c r="O58" s="173"/>
      <c r="P58" s="155"/>
      <c r="Q58" s="173"/>
      <c r="R58" s="173"/>
      <c r="S58" s="173"/>
      <c r="T58" s="173"/>
      <c r="U58" s="173"/>
      <c r="AC58" s="9"/>
      <c r="AD58" s="9"/>
      <c r="AE58" s="250"/>
      <c r="AF58" s="173"/>
      <c r="AG58" s="173"/>
      <c r="AH58" s="173"/>
      <c r="AI58" s="184"/>
      <c r="AJ58" s="251"/>
      <c r="AK58" s="160"/>
      <c r="AL58" s="2"/>
      <c r="AM58" s="155"/>
      <c r="AN58" s="225"/>
      <c r="AO58" s="22" t="s">
        <v>210</v>
      </c>
      <c r="AP58" s="98"/>
      <c r="AQ58" s="98"/>
      <c r="AR58" s="110"/>
      <c r="AS58" s="16"/>
      <c r="AT58" s="357"/>
      <c r="AU58" s="357"/>
      <c r="AV58" s="16"/>
      <c r="AW58" s="16"/>
      <c r="AX58" s="71"/>
      <c r="AY58" s="128"/>
      <c r="AZ58" s="101"/>
      <c r="BA58" s="155"/>
      <c r="BB58" s="128"/>
      <c r="BC58" s="128"/>
      <c r="BD58" s="255"/>
      <c r="BE58" s="2"/>
      <c r="BK58" s="16"/>
      <c r="BL58" s="2"/>
      <c r="BN58" s="9"/>
      <c r="BO58" s="2"/>
      <c r="BT58" s="9"/>
      <c r="BU58" s="690" t="s">
        <v>180</v>
      </c>
      <c r="BV58" s="691"/>
      <c r="BW58" s="691"/>
      <c r="BX58" s="691"/>
      <c r="BY58" s="691"/>
      <c r="BZ58" s="691"/>
      <c r="CA58" s="692"/>
      <c r="CB58" s="160"/>
      <c r="CC58" s="2"/>
      <c r="CD58" s="159"/>
      <c r="CE58" s="354"/>
      <c r="CF58" s="16"/>
      <c r="CG58" s="16"/>
      <c r="CH58" s="385"/>
      <c r="CI58" s="385"/>
      <c r="CJ58" s="16"/>
      <c r="CM58" s="368"/>
      <c r="CN58" s="368"/>
      <c r="CQ58" s="16"/>
      <c r="CR58" s="16"/>
      <c r="CW58" s="396"/>
      <c r="CX58" s="397"/>
      <c r="CY58" s="397"/>
      <c r="CZ58" s="397"/>
      <c r="DA58" s="397"/>
      <c r="DB58" s="398"/>
      <c r="DC58" s="160"/>
    </row>
    <row r="59" spans="1:120" s="5" customFormat="1" ht="19.5" customHeight="1" x14ac:dyDescent="0.25">
      <c r="A59" s="155"/>
      <c r="B59" s="17"/>
      <c r="C59" s="17"/>
      <c r="D59" s="17"/>
      <c r="E59" s="17"/>
      <c r="F59" s="127"/>
      <c r="G59" s="127"/>
      <c r="H59" s="127"/>
      <c r="I59" s="127"/>
      <c r="J59" s="127"/>
      <c r="K59" s="127"/>
      <c r="L59" s="127"/>
      <c r="M59" s="17"/>
      <c r="N59" s="173"/>
      <c r="O59" s="259"/>
      <c r="P59" s="155"/>
      <c r="Q59" s="173"/>
      <c r="R59" s="173"/>
      <c r="S59" s="173"/>
      <c r="T59" s="173"/>
      <c r="U59" s="173"/>
      <c r="AC59" s="16"/>
      <c r="AD59" s="16"/>
      <c r="AE59" s="250"/>
      <c r="AF59" s="173"/>
      <c r="AG59" s="173"/>
      <c r="AH59" s="260"/>
      <c r="AI59" s="184"/>
      <c r="AJ59" s="251"/>
      <c r="AK59" s="160"/>
      <c r="AL59" s="2"/>
      <c r="AM59" s="155"/>
      <c r="AN59" s="420" t="s">
        <v>773</v>
      </c>
      <c r="AO59" s="226"/>
      <c r="AP59" s="215"/>
      <c r="AQ59" s="98"/>
      <c r="AR59" s="16"/>
      <c r="AS59" s="16"/>
      <c r="AT59" s="357"/>
      <c r="AU59" s="357"/>
      <c r="AV59" s="16"/>
      <c r="AW59" s="2"/>
      <c r="AX59" s="71"/>
      <c r="AY59" s="128"/>
      <c r="AZ59" s="101"/>
      <c r="BA59" s="155"/>
      <c r="BB59" s="128"/>
      <c r="BC59" s="128"/>
      <c r="BD59" s="255"/>
      <c r="BE59" s="9"/>
      <c r="BI59" s="9"/>
      <c r="BJ59" s="9"/>
      <c r="BK59" s="9"/>
      <c r="BL59" s="9"/>
      <c r="BM59" s="2"/>
      <c r="BN59" s="2"/>
      <c r="BO59" s="2"/>
      <c r="BT59" s="9"/>
      <c r="BU59" s="693"/>
      <c r="BV59" s="694"/>
      <c r="BW59" s="694"/>
      <c r="BX59" s="694"/>
      <c r="BY59" s="694"/>
      <c r="BZ59" s="694"/>
      <c r="CA59" s="695"/>
      <c r="CB59" s="160"/>
      <c r="CC59" s="2"/>
      <c r="CD59" s="159"/>
      <c r="CE59" s="16"/>
      <c r="CF59" s="16"/>
      <c r="CG59" s="16"/>
      <c r="CH59" s="385"/>
      <c r="CI59" s="385"/>
      <c r="CJ59" s="16"/>
      <c r="CL59" s="16"/>
      <c r="CM59" s="368"/>
      <c r="CN59" s="368"/>
      <c r="CQ59" s="16"/>
      <c r="CR59" s="16"/>
      <c r="CW59" s="20" t="s">
        <v>180</v>
      </c>
      <c r="CX59" s="4"/>
      <c r="CY59" s="4"/>
      <c r="CZ59" s="4"/>
      <c r="DA59" s="4"/>
      <c r="DB59" s="21"/>
      <c r="DC59" s="160"/>
    </row>
    <row r="60" spans="1:120" s="5" customFormat="1" ht="19.5" customHeight="1" x14ac:dyDescent="0.25">
      <c r="A60" s="155"/>
      <c r="B60" s="17"/>
      <c r="C60" s="17"/>
      <c r="D60" s="17"/>
      <c r="E60" s="17"/>
      <c r="F60" s="127"/>
      <c r="G60" s="127"/>
      <c r="H60" s="127"/>
      <c r="I60" s="127"/>
      <c r="J60" s="127"/>
      <c r="K60" s="127"/>
      <c r="L60" s="127"/>
      <c r="M60" s="17"/>
      <c r="N60" s="173"/>
      <c r="O60" s="173"/>
      <c r="P60" s="155"/>
      <c r="Q60" s="173"/>
      <c r="R60" s="173"/>
      <c r="S60" s="173"/>
      <c r="T60" s="173"/>
      <c r="U60" s="173"/>
      <c r="AC60" s="16"/>
      <c r="AD60" s="16"/>
      <c r="AE60" s="250"/>
      <c r="AF60" s="173"/>
      <c r="AG60" s="173"/>
      <c r="AH60" s="260"/>
      <c r="AI60" s="184"/>
      <c r="AJ60" s="251"/>
      <c r="AK60" s="160"/>
      <c r="AL60" s="2"/>
      <c r="AM60" s="155"/>
      <c r="AN60" s="225"/>
      <c r="AP60" s="215"/>
      <c r="AQ60" s="98"/>
      <c r="AR60" s="16"/>
      <c r="AS60" s="110"/>
      <c r="AT60" s="357"/>
      <c r="AU60" s="357"/>
      <c r="AV60" s="110"/>
      <c r="AW60" s="110"/>
      <c r="AX60" s="110"/>
      <c r="AY60" s="128"/>
      <c r="AZ60" s="101"/>
      <c r="BA60" s="155"/>
      <c r="BB60" s="128"/>
      <c r="BC60" s="128"/>
      <c r="BD60" s="255"/>
      <c r="BE60" s="9"/>
      <c r="BI60" s="9"/>
      <c r="BJ60" s="9"/>
      <c r="BK60" s="9"/>
      <c r="BL60" s="9"/>
      <c r="BM60" s="9"/>
      <c r="BN60" s="9"/>
      <c r="BO60" s="9"/>
      <c r="BT60" s="9"/>
      <c r="BU60" s="693"/>
      <c r="BV60" s="694"/>
      <c r="BW60" s="694"/>
      <c r="BX60" s="694"/>
      <c r="BY60" s="694"/>
      <c r="BZ60" s="694"/>
      <c r="CA60" s="695"/>
      <c r="CB60" s="160"/>
      <c r="CC60" s="2"/>
      <c r="CD60" s="159"/>
      <c r="CE60" s="16"/>
      <c r="CF60" s="16"/>
      <c r="CG60" s="16"/>
      <c r="CH60" s="16"/>
      <c r="CI60" s="16"/>
      <c r="CJ60" s="16"/>
      <c r="CL60" s="16"/>
      <c r="CQ60" s="16"/>
      <c r="CR60" s="16"/>
      <c r="CW60" s="20"/>
      <c r="CX60" s="4"/>
      <c r="CY60" s="4"/>
      <c r="CZ60" s="4"/>
      <c r="DA60" s="4"/>
      <c r="DB60" s="21"/>
      <c r="DC60" s="160"/>
    </row>
    <row r="61" spans="1:120" s="5" customFormat="1" ht="19.5" customHeight="1" thickBot="1" x14ac:dyDescent="0.3">
      <c r="A61" s="155"/>
      <c r="B61" s="17"/>
      <c r="C61" s="17"/>
      <c r="D61" s="17"/>
      <c r="E61" s="17"/>
      <c r="F61" s="127"/>
      <c r="G61" s="127"/>
      <c r="H61" s="127"/>
      <c r="I61" s="127"/>
      <c r="J61" s="127"/>
      <c r="K61" s="127"/>
      <c r="L61" s="127"/>
      <c r="M61" s="17"/>
      <c r="N61" s="173"/>
      <c r="O61" s="173"/>
      <c r="P61" s="155"/>
      <c r="Q61" s="173"/>
      <c r="R61" s="173"/>
      <c r="S61" s="173"/>
      <c r="T61" s="173"/>
      <c r="U61" s="173"/>
      <c r="AC61" s="16"/>
      <c r="AD61" s="16"/>
      <c r="AE61" s="261"/>
      <c r="AF61" s="262"/>
      <c r="AG61" s="262"/>
      <c r="AH61" s="263"/>
      <c r="AI61" s="131"/>
      <c r="AJ61" s="264"/>
      <c r="AK61" s="160"/>
      <c r="AL61" s="2"/>
      <c r="AM61" s="155"/>
      <c r="AN61" s="420" t="s">
        <v>773</v>
      </c>
      <c r="AO61" s="226"/>
      <c r="AP61" s="215"/>
      <c r="AQ61" s="98"/>
      <c r="AR61" s="2"/>
      <c r="AX61" s="110"/>
      <c r="AY61" s="110"/>
      <c r="AZ61" s="365"/>
      <c r="BA61" s="155"/>
      <c r="BB61" s="17"/>
      <c r="BC61" s="110"/>
      <c r="BD61" s="132"/>
      <c r="BE61" s="110"/>
      <c r="BG61" s="9"/>
      <c r="BH61" s="9"/>
      <c r="BI61" s="9"/>
      <c r="BJ61" s="9"/>
      <c r="BK61" s="9"/>
      <c r="BL61" s="9"/>
      <c r="BM61" s="9"/>
      <c r="BN61" s="9"/>
      <c r="BO61" s="9"/>
      <c r="BT61" s="9"/>
      <c r="BU61" s="693"/>
      <c r="BV61" s="694"/>
      <c r="BW61" s="694"/>
      <c r="BX61" s="694"/>
      <c r="BY61" s="694"/>
      <c r="BZ61" s="694"/>
      <c r="CA61" s="695"/>
      <c r="CB61" s="160"/>
      <c r="CC61" s="2"/>
      <c r="CD61" s="159"/>
      <c r="CE61" s="16"/>
      <c r="CF61" s="16"/>
      <c r="CG61" s="16"/>
      <c r="CH61" s="16"/>
      <c r="CI61" s="16"/>
      <c r="CJ61" s="16"/>
      <c r="CL61" s="16"/>
      <c r="CM61" s="16"/>
      <c r="CQ61" s="16"/>
      <c r="CR61" s="16"/>
      <c r="CV61" s="23"/>
      <c r="CW61" s="20"/>
      <c r="CX61" s="4"/>
      <c r="CY61" s="4"/>
      <c r="CZ61" s="4"/>
      <c r="DA61" s="4"/>
      <c r="DB61" s="21"/>
      <c r="DC61" s="160"/>
    </row>
    <row r="62" spans="1:120" s="5" customFormat="1" ht="19.5" customHeight="1" x14ac:dyDescent="0.25">
      <c r="A62" s="155"/>
      <c r="B62" s="17"/>
      <c r="C62" s="17"/>
      <c r="D62" s="17"/>
      <c r="E62" s="17"/>
      <c r="F62" s="127"/>
      <c r="G62" s="127"/>
      <c r="H62" s="127"/>
      <c r="I62" s="127"/>
      <c r="J62" s="127"/>
      <c r="K62" s="127"/>
      <c r="L62" s="127"/>
      <c r="M62" s="17"/>
      <c r="N62" s="173"/>
      <c r="O62" s="173"/>
      <c r="P62" s="155"/>
      <c r="Q62" s="173"/>
      <c r="R62" s="173"/>
      <c r="S62" s="173"/>
      <c r="T62" s="173"/>
      <c r="U62" s="173"/>
      <c r="AC62" s="16"/>
      <c r="AD62" s="16"/>
      <c r="AE62" s="349"/>
      <c r="AF62" s="349"/>
      <c r="AG62" s="275"/>
      <c r="AH62" s="49"/>
      <c r="AI62" s="265"/>
      <c r="AJ62" s="49"/>
      <c r="AK62" s="160"/>
      <c r="AL62" s="2"/>
      <c r="AM62" s="155"/>
      <c r="AN62" s="225"/>
      <c r="AO62" s="231"/>
      <c r="AP62" s="215"/>
      <c r="AQ62" s="98"/>
      <c r="AR62" s="16"/>
      <c r="AX62" s="17"/>
      <c r="AY62" s="2"/>
      <c r="AZ62" s="275"/>
      <c r="BA62" s="155"/>
      <c r="BB62" s="133"/>
      <c r="BC62" s="133"/>
      <c r="BD62" s="132"/>
      <c r="BE62" s="110"/>
      <c r="BG62" s="9"/>
      <c r="BH62" s="9"/>
      <c r="BI62" s="9"/>
      <c r="BJ62" s="9"/>
      <c r="BK62" s="9"/>
      <c r="BL62" s="9"/>
      <c r="BM62" s="9"/>
      <c r="BN62" s="9"/>
      <c r="BO62" s="9"/>
      <c r="BT62" s="9"/>
      <c r="BU62" s="693"/>
      <c r="BV62" s="694"/>
      <c r="BW62" s="694"/>
      <c r="BX62" s="694"/>
      <c r="BY62" s="694"/>
      <c r="BZ62" s="694"/>
      <c r="CA62" s="695"/>
      <c r="CB62" s="159"/>
      <c r="CC62" s="2"/>
      <c r="CD62" s="159"/>
      <c r="CE62" s="16"/>
      <c r="CF62" s="16"/>
      <c r="CG62" s="16"/>
      <c r="CH62" s="16"/>
      <c r="CI62" s="16"/>
      <c r="CJ62" s="16"/>
      <c r="CQ62" s="16"/>
      <c r="CR62" s="16"/>
      <c r="CV62" s="9"/>
      <c r="CW62" s="20"/>
      <c r="CX62" s="4"/>
      <c r="CY62" s="4"/>
      <c r="CZ62" s="4"/>
      <c r="DA62" s="4"/>
      <c r="DB62" s="21"/>
      <c r="DC62" s="160"/>
    </row>
    <row r="63" spans="1:120" s="5" customFormat="1" ht="19.5" customHeight="1" x14ac:dyDescent="0.25">
      <c r="A63" s="155"/>
      <c r="B63" s="17"/>
      <c r="C63" s="17"/>
      <c r="D63" s="17"/>
      <c r="E63" s="17"/>
      <c r="F63" s="127"/>
      <c r="G63" s="127"/>
      <c r="H63" s="127"/>
      <c r="I63" s="127"/>
      <c r="J63" s="127"/>
      <c r="K63" s="127"/>
      <c r="L63" s="127"/>
      <c r="M63" s="17"/>
      <c r="N63" s="173"/>
      <c r="O63" s="173"/>
      <c r="P63" s="155"/>
      <c r="Q63" s="173"/>
      <c r="R63" s="173"/>
      <c r="S63" s="173"/>
      <c r="T63" s="173"/>
      <c r="U63" s="173"/>
      <c r="AC63" s="16"/>
      <c r="AD63" s="16"/>
      <c r="AE63" s="686"/>
      <c r="AF63" s="686"/>
      <c r="AG63" s="19"/>
      <c r="AH63" s="22"/>
      <c r="AI63" s="405"/>
      <c r="AJ63" s="70"/>
      <c r="AK63" s="159"/>
      <c r="AL63" s="2"/>
      <c r="AM63" s="155"/>
      <c r="AN63" s="420" t="s">
        <v>773</v>
      </c>
      <c r="AO63" s="226"/>
      <c r="AP63" s="215"/>
      <c r="AQ63" s="98"/>
      <c r="AR63" s="16"/>
      <c r="AT63" s="60"/>
      <c r="AU63" s="60"/>
      <c r="AX63" s="2"/>
      <c r="AY63" s="2"/>
      <c r="AZ63" s="133"/>
      <c r="BA63" s="155"/>
      <c r="BB63" s="133"/>
      <c r="BC63" s="133"/>
      <c r="BD63" s="173"/>
      <c r="BE63" s="266"/>
      <c r="BF63" s="267"/>
      <c r="BG63" s="267"/>
      <c r="BH63" s="159"/>
      <c r="BI63" s="159"/>
      <c r="BJ63" s="159"/>
      <c r="BK63" s="159"/>
      <c r="BL63" s="159"/>
      <c r="BM63" s="159"/>
      <c r="BN63" s="159"/>
      <c r="BO63" s="159"/>
      <c r="BT63" s="173"/>
      <c r="BU63" s="693"/>
      <c r="BV63" s="694"/>
      <c r="BW63" s="694"/>
      <c r="BX63" s="694"/>
      <c r="BY63" s="694"/>
      <c r="BZ63" s="694"/>
      <c r="CA63" s="695"/>
      <c r="CB63" s="159"/>
      <c r="CC63" s="2"/>
      <c r="CD63" s="159"/>
      <c r="CE63" s="16"/>
      <c r="CG63" s="16"/>
      <c r="CH63" s="16"/>
      <c r="CI63" s="16"/>
      <c r="CJ63" s="16"/>
      <c r="CQ63" s="16"/>
      <c r="CR63" s="16"/>
      <c r="CV63" s="9"/>
      <c r="CW63" s="20"/>
      <c r="CX63" s="4"/>
      <c r="CY63" s="4"/>
      <c r="CZ63" s="4"/>
      <c r="DA63" s="4"/>
      <c r="DB63" s="21"/>
      <c r="DC63" s="160"/>
    </row>
    <row r="64" spans="1:120" s="5" customFormat="1" ht="19.5" customHeight="1" thickBot="1" x14ac:dyDescent="0.3">
      <c r="A64" s="155"/>
      <c r="B64" s="17"/>
      <c r="C64" s="17"/>
      <c r="D64" s="17"/>
      <c r="E64" s="17"/>
      <c r="F64" s="127"/>
      <c r="G64" s="127"/>
      <c r="H64" s="127"/>
      <c r="I64" s="127"/>
      <c r="J64" s="127"/>
      <c r="K64" s="127"/>
      <c r="L64" s="127"/>
      <c r="M64" s="17"/>
      <c r="N64" s="173"/>
      <c r="O64" s="173"/>
      <c r="P64" s="155"/>
      <c r="Q64" s="173"/>
      <c r="R64" s="173"/>
      <c r="S64" s="173"/>
      <c r="T64" s="173"/>
      <c r="U64" s="173"/>
      <c r="V64" s="173"/>
      <c r="W64" s="173"/>
      <c r="X64" s="9"/>
      <c r="Y64" s="16"/>
      <c r="Z64" s="16"/>
      <c r="AA64" s="16"/>
      <c r="AB64" s="16"/>
      <c r="AC64" s="16"/>
      <c r="AD64" s="16"/>
      <c r="AE64" s="19"/>
      <c r="AF64" s="19"/>
      <c r="AG64" s="19"/>
      <c r="AH64" s="19"/>
      <c r="AI64" s="177"/>
      <c r="AJ64" s="70"/>
      <c r="AK64" s="159"/>
      <c r="AL64" s="2"/>
      <c r="AM64" s="155"/>
      <c r="AN64" s="225"/>
      <c r="AO64" s="216"/>
      <c r="AP64" s="215"/>
      <c r="AT64" s="60"/>
      <c r="AU64" s="60"/>
      <c r="AW64" s="2"/>
      <c r="AX64" s="2"/>
      <c r="AY64" s="110"/>
      <c r="AZ64" s="110"/>
      <c r="BA64" s="155"/>
      <c r="BB64" s="110"/>
      <c r="BC64" s="110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59"/>
      <c r="BP64" s="173"/>
      <c r="BQ64" s="173"/>
      <c r="BR64" s="173"/>
      <c r="BS64" s="173"/>
      <c r="BT64" s="173"/>
      <c r="BU64" s="693"/>
      <c r="BV64" s="694"/>
      <c r="BW64" s="694"/>
      <c r="BX64" s="694"/>
      <c r="BY64" s="694"/>
      <c r="BZ64" s="694"/>
      <c r="CA64" s="695"/>
      <c r="CB64" s="268"/>
      <c r="CC64" s="2"/>
      <c r="CD64" s="159"/>
      <c r="CH64" s="2"/>
      <c r="CI64" s="2"/>
      <c r="CJ64" s="2"/>
      <c r="CQ64" s="16"/>
      <c r="CR64" s="16"/>
      <c r="CV64" s="9"/>
      <c r="CW64" s="25"/>
      <c r="CX64" s="26"/>
      <c r="CY64" s="26"/>
      <c r="CZ64" s="26"/>
      <c r="DA64" s="26"/>
      <c r="DB64" s="27"/>
      <c r="DC64" s="160"/>
    </row>
    <row r="65" spans="1:197" s="5" customFormat="1" ht="19.5" customHeight="1" x14ac:dyDescent="0.25">
      <c r="A65" s="155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3"/>
      <c r="O65" s="173"/>
      <c r="P65" s="155"/>
      <c r="Q65" s="173"/>
      <c r="R65" s="173"/>
      <c r="S65" s="173"/>
      <c r="T65" s="173"/>
      <c r="U65" s="173"/>
      <c r="V65" s="173"/>
      <c r="W65" s="173"/>
      <c r="X65" s="9"/>
      <c r="Y65" s="9"/>
      <c r="Z65" s="16"/>
      <c r="AA65" s="16"/>
      <c r="AB65" s="16"/>
      <c r="AC65" s="16"/>
      <c r="AD65" s="16"/>
      <c r="AH65" s="687"/>
      <c r="AI65" s="687"/>
      <c r="AJ65" s="687"/>
      <c r="AK65" s="268"/>
      <c r="AL65" s="2"/>
      <c r="AM65" s="155"/>
      <c r="AN65" s="420" t="s">
        <v>773</v>
      </c>
      <c r="AO65" s="226"/>
      <c r="AP65" s="215"/>
      <c r="AT65" s="60"/>
      <c r="AU65" s="60"/>
      <c r="AW65" s="2"/>
      <c r="AX65" s="2"/>
      <c r="AY65" s="110"/>
      <c r="AZ65" s="17"/>
      <c r="BA65" s="155"/>
      <c r="BB65" s="17"/>
      <c r="BC65" s="17"/>
      <c r="BD65" s="17"/>
      <c r="BE65" s="173"/>
      <c r="BF65" s="173"/>
      <c r="BG65" s="173"/>
      <c r="BH65" s="173"/>
      <c r="BI65" s="126" t="s">
        <v>213</v>
      </c>
      <c r="BJ65" s="126"/>
      <c r="BK65" s="173"/>
      <c r="BL65" s="173"/>
      <c r="BM65" s="173"/>
      <c r="BN65" s="173"/>
      <c r="BO65" s="159"/>
      <c r="BP65" s="173"/>
      <c r="BQ65" s="173"/>
      <c r="BR65" s="173"/>
      <c r="BS65" s="173"/>
      <c r="BT65" s="173"/>
      <c r="BU65" s="693"/>
      <c r="BV65" s="694"/>
      <c r="BW65" s="694"/>
      <c r="BX65" s="694"/>
      <c r="BY65" s="694"/>
      <c r="BZ65" s="694"/>
      <c r="CA65" s="695"/>
      <c r="CB65" s="268"/>
      <c r="CC65" s="2"/>
      <c r="CD65" s="159"/>
      <c r="CH65" s="2"/>
      <c r="CI65" s="2"/>
      <c r="CJ65" s="2"/>
      <c r="CQ65" s="16"/>
      <c r="CR65" s="16"/>
      <c r="CV65" s="9"/>
      <c r="CW65" s="9"/>
      <c r="CX65" s="688" t="s">
        <v>181</v>
      </c>
      <c r="CY65" s="688"/>
      <c r="CZ65" s="688"/>
      <c r="DA65" s="10"/>
      <c r="DB65" s="10"/>
      <c r="DC65" s="160"/>
    </row>
    <row r="66" spans="1:197" s="5" customFormat="1" ht="19.5" customHeight="1" x14ac:dyDescent="0.25">
      <c r="A66" s="155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3"/>
      <c r="O66" s="173"/>
      <c r="P66" s="155"/>
      <c r="Q66" s="173"/>
      <c r="R66" s="173"/>
      <c r="S66" s="173"/>
      <c r="T66" s="173"/>
      <c r="U66" s="173"/>
      <c r="V66" s="173"/>
      <c r="W66" s="173"/>
      <c r="X66" s="9"/>
      <c r="Y66" s="9"/>
      <c r="Z66" s="9"/>
      <c r="AA66" s="16"/>
      <c r="AB66" s="16"/>
      <c r="AC66" s="688" t="s">
        <v>200</v>
      </c>
      <c r="AD66" s="688"/>
      <c r="AE66" s="688"/>
      <c r="AF66" s="688"/>
      <c r="AG66" s="260"/>
      <c r="AH66" s="260"/>
      <c r="AI66" s="184"/>
      <c r="AJ66" s="184"/>
      <c r="AK66" s="268"/>
      <c r="AL66" s="2"/>
      <c r="AM66" s="155"/>
      <c r="AN66" s="225"/>
      <c r="AP66" s="16"/>
      <c r="AQ66" s="16"/>
      <c r="AR66" s="16"/>
      <c r="AW66" s="2"/>
      <c r="AX66" s="2"/>
      <c r="AY66" s="110"/>
      <c r="AZ66" s="17"/>
      <c r="BA66" s="155"/>
      <c r="BB66" s="17"/>
      <c r="BC66" s="110"/>
      <c r="BD66" s="110"/>
      <c r="BE66" s="110"/>
      <c r="BF66" s="110"/>
      <c r="BG66" s="173"/>
      <c r="BH66" s="173"/>
      <c r="BI66" s="173"/>
      <c r="BJ66" s="173"/>
      <c r="BK66" s="173"/>
      <c r="BL66" s="173"/>
      <c r="BM66" s="173"/>
      <c r="BN66" s="173"/>
      <c r="BO66" s="159"/>
      <c r="BP66" s="173"/>
      <c r="BQ66" s="173"/>
      <c r="BR66" s="173"/>
      <c r="BS66" s="173"/>
      <c r="BT66" s="173"/>
      <c r="BU66" s="693"/>
      <c r="BV66" s="694"/>
      <c r="BW66" s="694"/>
      <c r="BX66" s="694"/>
      <c r="BY66" s="694"/>
      <c r="BZ66" s="694"/>
      <c r="CA66" s="695"/>
      <c r="CB66" s="268"/>
      <c r="CC66" s="2"/>
      <c r="CD66" s="159"/>
      <c r="CE66" s="9"/>
      <c r="CF66" s="9"/>
      <c r="CG66" s="173"/>
      <c r="CH66" s="2"/>
      <c r="CI66" s="2"/>
      <c r="CJ66" s="2"/>
      <c r="CQ66" s="173"/>
      <c r="CV66" s="9"/>
      <c r="CW66" s="9"/>
      <c r="CX66" s="233"/>
      <c r="CY66" s="233"/>
      <c r="CZ66" s="233"/>
      <c r="DA66" s="10"/>
      <c r="DB66" s="10"/>
      <c r="DC66" s="160"/>
    </row>
    <row r="67" spans="1:197" s="5" customFormat="1" ht="19.5" customHeight="1" x14ac:dyDescent="0.25">
      <c r="A67" s="15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3"/>
      <c r="O67" s="173"/>
      <c r="P67" s="155"/>
      <c r="Q67" s="173"/>
      <c r="R67" s="173"/>
      <c r="S67" s="173"/>
      <c r="T67" s="173"/>
      <c r="U67" s="173"/>
      <c r="V67" s="173"/>
      <c r="W67" s="173"/>
      <c r="X67" s="9"/>
      <c r="Y67" s="81"/>
      <c r="Z67" s="81"/>
      <c r="AA67" s="16"/>
      <c r="AB67" s="16"/>
      <c r="AC67" s="177"/>
      <c r="AD67" s="177"/>
      <c r="AE67" s="177"/>
      <c r="AF67" s="177"/>
      <c r="AG67" s="260"/>
      <c r="AH67" s="85"/>
      <c r="AI67" s="85"/>
      <c r="AJ67" s="184"/>
      <c r="AK67" s="268"/>
      <c r="AL67" s="2"/>
      <c r="AM67" s="155"/>
      <c r="AO67" s="2"/>
      <c r="AP67" s="2"/>
      <c r="AQ67" s="16"/>
      <c r="AR67" s="2"/>
      <c r="AW67" s="2"/>
      <c r="AX67" s="2"/>
      <c r="AY67" s="110"/>
      <c r="AZ67" s="17"/>
      <c r="BA67" s="155"/>
      <c r="BB67" s="101"/>
      <c r="BC67" s="110"/>
      <c r="BD67" s="110"/>
      <c r="BE67" s="110"/>
      <c r="BF67" s="110"/>
      <c r="BG67" s="173"/>
      <c r="BH67" s="173"/>
      <c r="BI67" s="173"/>
      <c r="BJ67" s="173"/>
      <c r="BK67" s="173"/>
      <c r="BL67" s="173"/>
      <c r="BM67" s="173"/>
      <c r="BN67" s="173"/>
      <c r="BO67" s="159"/>
      <c r="BP67" s="173"/>
      <c r="BQ67" s="173"/>
      <c r="BR67" s="173"/>
      <c r="BS67" s="173"/>
      <c r="BT67" s="173"/>
      <c r="BU67" s="693"/>
      <c r="BV67" s="694"/>
      <c r="BW67" s="694"/>
      <c r="BX67" s="694"/>
      <c r="BY67" s="694"/>
      <c r="BZ67" s="694"/>
      <c r="CA67" s="695"/>
      <c r="CB67" s="159"/>
      <c r="CC67" s="2"/>
      <c r="CD67" s="159"/>
      <c r="CE67" s="130"/>
      <c r="CF67" s="9"/>
      <c r="CG67" s="2"/>
      <c r="CH67" s="9"/>
      <c r="CO67" s="173"/>
      <c r="CP67" s="271"/>
      <c r="CQ67" s="173"/>
      <c r="CV67" s="9"/>
      <c r="CW67" s="22" t="s">
        <v>214</v>
      </c>
      <c r="CX67" s="172" t="s">
        <v>174</v>
      </c>
      <c r="CY67" s="172" t="s">
        <v>174</v>
      </c>
      <c r="CZ67" s="172" t="s">
        <v>174</v>
      </c>
      <c r="DA67" s="10"/>
      <c r="DB67" s="10"/>
      <c r="DC67" s="160"/>
    </row>
    <row r="68" spans="1:197" s="5" customFormat="1" ht="19.5" customHeight="1" thickBot="1" x14ac:dyDescent="0.3">
      <c r="A68" s="15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3"/>
      <c r="O68" s="173"/>
      <c r="P68" s="155"/>
      <c r="Q68" s="173"/>
      <c r="R68" s="173"/>
      <c r="S68" s="173"/>
      <c r="T68" s="173"/>
      <c r="U68" s="173"/>
      <c r="V68" s="173"/>
      <c r="W68" s="173"/>
      <c r="X68" s="16"/>
      <c r="Y68" s="9"/>
      <c r="Z68" s="9"/>
      <c r="AA68" s="16"/>
      <c r="AB68" s="22" t="s">
        <v>215</v>
      </c>
      <c r="AC68" s="272" t="s">
        <v>174</v>
      </c>
      <c r="AD68" s="272" t="s">
        <v>174</v>
      </c>
      <c r="AE68" s="272" t="s">
        <v>174</v>
      </c>
      <c r="AF68" s="272" t="s">
        <v>174</v>
      </c>
      <c r="AG68" s="260"/>
      <c r="AH68" s="173"/>
      <c r="AI68" s="173"/>
      <c r="AJ68" s="173"/>
      <c r="AK68" s="159"/>
      <c r="AL68" s="2"/>
      <c r="AM68" s="155"/>
      <c r="AN68" s="88"/>
      <c r="AO68" s="2"/>
      <c r="AP68" s="2"/>
      <c r="AQ68" s="16"/>
      <c r="AR68" s="2"/>
      <c r="AS68" s="110"/>
      <c r="AT68" s="689"/>
      <c r="AU68" s="689"/>
      <c r="AV68" s="110"/>
      <c r="AW68" s="2"/>
      <c r="AX68" s="2"/>
      <c r="AY68" s="110"/>
      <c r="AZ68" s="17"/>
      <c r="BA68" s="155"/>
      <c r="BB68" s="110"/>
      <c r="BC68" s="110"/>
      <c r="BD68" s="110"/>
      <c r="BE68" s="110"/>
      <c r="BF68" s="110"/>
      <c r="BG68" s="173"/>
      <c r="BH68" s="173"/>
      <c r="BI68" s="173"/>
      <c r="BJ68" s="173"/>
      <c r="BK68" s="173"/>
      <c r="BL68" s="173"/>
      <c r="BM68" s="173"/>
      <c r="BN68" s="173"/>
      <c r="BO68" s="159"/>
      <c r="BP68" s="173"/>
      <c r="BQ68" s="173"/>
      <c r="BR68" s="173"/>
      <c r="BS68" s="173"/>
      <c r="BT68" s="173"/>
      <c r="BU68" s="696"/>
      <c r="BV68" s="697"/>
      <c r="BW68" s="697"/>
      <c r="BX68" s="697"/>
      <c r="BY68" s="697"/>
      <c r="BZ68" s="697"/>
      <c r="CA68" s="698"/>
      <c r="CB68" s="159"/>
      <c r="CC68" s="2"/>
      <c r="CD68" s="159"/>
      <c r="CE68" s="9"/>
      <c r="CF68" s="9"/>
      <c r="CG68" s="2"/>
      <c r="CH68" s="9"/>
      <c r="CK68" s="9"/>
      <c r="CL68" s="9"/>
      <c r="CM68" s="9"/>
      <c r="CN68" s="9"/>
      <c r="CO68" s="119"/>
      <c r="CP68" s="271"/>
      <c r="CQ68" s="173"/>
      <c r="CV68" s="9"/>
      <c r="CW68" s="172"/>
      <c r="CX68" s="399">
        <v>340</v>
      </c>
      <c r="CY68" s="400">
        <v>340</v>
      </c>
      <c r="CZ68" s="399">
        <v>340</v>
      </c>
      <c r="DA68" s="9"/>
      <c r="DB68" s="9"/>
      <c r="DC68" s="159"/>
    </row>
    <row r="69" spans="1:197" s="5" customFormat="1" ht="19.5" customHeight="1" thickBot="1" x14ac:dyDescent="0.3">
      <c r="A69" s="15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3"/>
      <c r="O69" s="173"/>
      <c r="P69" s="155"/>
      <c r="Q69" s="173"/>
      <c r="R69" s="173"/>
      <c r="S69" s="173"/>
      <c r="T69" s="173"/>
      <c r="U69" s="173"/>
      <c r="V69" s="173"/>
      <c r="W69" s="173"/>
      <c r="X69" s="9"/>
      <c r="Y69" s="16"/>
      <c r="Z69" s="16"/>
      <c r="AA69" s="16"/>
      <c r="AB69" s="273"/>
      <c r="AC69" s="401">
        <v>440</v>
      </c>
      <c r="AD69" s="401">
        <v>440</v>
      </c>
      <c r="AE69" s="402">
        <v>440</v>
      </c>
      <c r="AF69" s="402">
        <v>440</v>
      </c>
      <c r="AG69" s="273"/>
      <c r="AI69" s="173"/>
      <c r="AJ69" s="173"/>
      <c r="AK69" s="159"/>
      <c r="AL69" s="2"/>
      <c r="AM69" s="155"/>
      <c r="AN69" s="88"/>
      <c r="AO69" s="2"/>
      <c r="AP69" s="2"/>
      <c r="AQ69" s="2"/>
      <c r="AR69" s="2"/>
      <c r="AS69" s="2"/>
      <c r="AT69" s="89"/>
      <c r="AU69" s="89"/>
      <c r="AV69" s="2"/>
      <c r="AW69" s="2"/>
      <c r="AX69" s="2"/>
      <c r="AY69" s="110"/>
      <c r="AZ69" s="17"/>
      <c r="BA69" s="155"/>
      <c r="BB69" s="110"/>
      <c r="BC69" s="110"/>
      <c r="BD69" s="110"/>
      <c r="BE69" s="110"/>
      <c r="BF69" s="110"/>
      <c r="BG69" s="173"/>
      <c r="BH69" s="173"/>
      <c r="BI69" s="173"/>
      <c r="BJ69" s="173"/>
      <c r="BK69" s="173"/>
      <c r="BL69" s="173"/>
      <c r="BM69" s="173"/>
      <c r="BN69" s="173"/>
      <c r="BO69" s="159"/>
      <c r="BP69" s="173"/>
      <c r="BQ69" s="173"/>
      <c r="BR69" s="173"/>
      <c r="BS69" s="173"/>
      <c r="BT69" s="173"/>
      <c r="BU69" s="173"/>
      <c r="BV69" s="259"/>
      <c r="BW69" s="259"/>
      <c r="BX69" s="173"/>
      <c r="BY69" s="19"/>
      <c r="BZ69" s="9"/>
      <c r="CA69" s="9"/>
      <c r="CB69" s="159"/>
      <c r="CC69" s="2"/>
      <c r="CD69" s="159"/>
      <c r="CE69" s="9"/>
      <c r="CF69" s="9"/>
      <c r="CG69" s="2"/>
      <c r="CH69" s="9"/>
      <c r="CJ69" s="9"/>
      <c r="CL69" s="24"/>
      <c r="CM69" s="9"/>
      <c r="CU69" s="2"/>
      <c r="CV69" s="275"/>
      <c r="CW69" s="134"/>
      <c r="CX69" s="135"/>
      <c r="CY69" s="135"/>
      <c r="CZ69" s="136"/>
      <c r="DA69" s="9"/>
      <c r="DB69" s="9"/>
      <c r="DC69" s="159"/>
    </row>
    <row r="70" spans="1:197" s="5" customFormat="1" ht="19.5" customHeight="1" x14ac:dyDescent="0.25">
      <c r="A70" s="155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3"/>
      <c r="O70" s="173"/>
      <c r="P70" s="155"/>
      <c r="Q70" s="173"/>
      <c r="R70" s="173"/>
      <c r="S70" s="173"/>
      <c r="T70" s="173"/>
      <c r="U70" s="173"/>
      <c r="V70" s="173"/>
      <c r="W70" s="173"/>
      <c r="X70" s="173"/>
      <c r="Y70" s="173"/>
      <c r="Z70" s="9"/>
      <c r="AA70" s="9"/>
      <c r="AC70" s="276"/>
      <c r="AD70" s="277"/>
      <c r="AE70" s="277"/>
      <c r="AF70" s="277"/>
      <c r="AG70" s="278"/>
      <c r="AH70" s="260"/>
      <c r="AI70" s="173"/>
      <c r="AJ70" s="173"/>
      <c r="AK70" s="159"/>
      <c r="AL70" s="2"/>
      <c r="AM70" s="155"/>
      <c r="AN70" s="88"/>
      <c r="AO70" s="2"/>
      <c r="AR70" s="16"/>
      <c r="AS70" s="2"/>
      <c r="AT70" s="89"/>
      <c r="AU70" s="89"/>
      <c r="AV70" s="2"/>
      <c r="AW70" s="2"/>
      <c r="AX70" s="2"/>
      <c r="AY70" s="2"/>
      <c r="AZ70" s="2"/>
      <c r="BA70" s="155"/>
      <c r="BB70" s="17"/>
      <c r="BC70" s="17"/>
      <c r="BD70" s="17"/>
      <c r="BE70" s="173"/>
      <c r="BF70" s="170"/>
      <c r="BG70" s="173"/>
      <c r="BH70" s="2"/>
      <c r="BI70" s="2"/>
      <c r="BJ70" s="2"/>
      <c r="BK70" s="2"/>
      <c r="BL70" s="2"/>
      <c r="BM70" s="2"/>
      <c r="BN70" s="2"/>
      <c r="BO70" s="159"/>
      <c r="BP70" s="173"/>
      <c r="BQ70" s="173"/>
      <c r="BR70" s="173"/>
      <c r="BS70" s="173"/>
      <c r="BT70" s="9"/>
      <c r="BU70" s="9"/>
      <c r="BV70" s="9"/>
      <c r="BW70" s="9"/>
      <c r="BX70" s="9"/>
      <c r="BY70" s="19"/>
      <c r="BZ70" s="9"/>
      <c r="CA70" s="9"/>
      <c r="CB70" s="159"/>
      <c r="CC70" s="2"/>
      <c r="CD70" s="159"/>
      <c r="CE70" s="137" t="s">
        <v>213</v>
      </c>
      <c r="CF70" s="138"/>
      <c r="CG70" s="138"/>
      <c r="CH70" s="138"/>
      <c r="CI70" s="138"/>
      <c r="CJ70" s="138"/>
      <c r="CK70" s="138"/>
      <c r="CL70" s="138"/>
      <c r="CM70" s="138"/>
      <c r="CN70" s="138"/>
      <c r="CO70" s="139"/>
      <c r="CP70" s="140"/>
      <c r="CQ70" s="16"/>
      <c r="CR70" s="16"/>
      <c r="CS70" s="16"/>
      <c r="CU70" s="2"/>
      <c r="CV70" s="275"/>
      <c r="CW70" s="141"/>
      <c r="CX70" s="70"/>
      <c r="CY70" s="70"/>
      <c r="CZ70" s="142"/>
      <c r="DA70" s="2"/>
      <c r="DB70" s="2"/>
      <c r="DC70" s="268"/>
    </row>
    <row r="71" spans="1:197" s="5" customFormat="1" ht="19.5" customHeight="1" thickBot="1" x14ac:dyDescent="0.3">
      <c r="A71" s="15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3"/>
      <c r="O71" s="170"/>
      <c r="P71" s="173"/>
      <c r="Q71" s="159"/>
      <c r="R71" s="159"/>
      <c r="S71" s="159"/>
      <c r="T71" s="159"/>
      <c r="U71" s="159"/>
      <c r="V71" s="159"/>
      <c r="W71" s="159"/>
      <c r="X71" s="159"/>
      <c r="Y71" s="173"/>
      <c r="Z71" s="173"/>
      <c r="AA71" s="9"/>
      <c r="AC71" s="279"/>
      <c r="AD71" s="173"/>
      <c r="AE71" s="173"/>
      <c r="AF71" s="173"/>
      <c r="AG71" s="280"/>
      <c r="AH71" s="260"/>
      <c r="AI71" s="2"/>
      <c r="AJ71" s="2"/>
      <c r="AK71" s="159"/>
      <c r="AL71" s="2"/>
      <c r="AM71" s="155"/>
      <c r="AO71" s="2"/>
      <c r="AP71" s="16"/>
      <c r="AQ71" s="16"/>
      <c r="AR71" s="2"/>
      <c r="AS71" s="2"/>
      <c r="AV71" s="17"/>
      <c r="AW71" s="17"/>
      <c r="AX71" s="17"/>
      <c r="AY71" s="17"/>
      <c r="AZ71" s="17"/>
      <c r="BA71" s="155"/>
      <c r="BB71" s="17"/>
      <c r="BC71" s="17"/>
      <c r="BD71" s="17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59"/>
      <c r="BP71" s="173"/>
      <c r="BQ71" s="173"/>
      <c r="BR71" s="173"/>
      <c r="BS71" s="173"/>
      <c r="BT71" s="9"/>
      <c r="BU71" s="413"/>
      <c r="BV71" s="413"/>
      <c r="BW71" s="413"/>
      <c r="BX71" s="413"/>
      <c r="BY71" s="19"/>
      <c r="BZ71" s="9"/>
      <c r="CA71" s="9"/>
      <c r="CB71" s="159"/>
      <c r="CC71" s="2"/>
      <c r="CD71" s="159"/>
      <c r="CE71" s="145"/>
      <c r="CF71" s="146"/>
      <c r="CG71" s="146"/>
      <c r="CH71" s="146"/>
      <c r="CI71" s="146"/>
      <c r="CJ71" s="146"/>
      <c r="CK71" s="146"/>
      <c r="CL71" s="146"/>
      <c r="CM71" s="146"/>
      <c r="CN71" s="146"/>
      <c r="CO71" s="147"/>
      <c r="CP71" s="140"/>
      <c r="CQ71" s="16"/>
      <c r="CR71" s="16"/>
      <c r="CS71" s="16"/>
      <c r="CU71" s="2"/>
      <c r="CV71" s="275"/>
      <c r="CW71" s="141"/>
      <c r="CX71" s="70"/>
      <c r="CY71" s="70"/>
      <c r="CZ71" s="142"/>
      <c r="DA71" s="2"/>
      <c r="DB71" s="2"/>
      <c r="DC71" s="268"/>
    </row>
    <row r="72" spans="1:197" s="5" customFormat="1" ht="19.5" customHeight="1" thickBot="1" x14ac:dyDescent="0.3">
      <c r="A72" s="15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59"/>
      <c r="Y72" s="173"/>
      <c r="Z72" s="173"/>
      <c r="AA72" s="9"/>
      <c r="AC72" s="279"/>
      <c r="AD72" s="173"/>
      <c r="AE72" s="173"/>
      <c r="AF72" s="173"/>
      <c r="AG72" s="280"/>
      <c r="AH72" s="11" t="s">
        <v>216</v>
      </c>
      <c r="AI72" s="12"/>
      <c r="AJ72" s="12"/>
      <c r="AK72" s="159"/>
      <c r="AL72" s="2"/>
      <c r="AM72" s="155"/>
      <c r="AO72" s="2"/>
      <c r="AP72" s="2"/>
      <c r="AQ72" s="2"/>
      <c r="AR72" s="2"/>
      <c r="AS72" s="2"/>
      <c r="AT72" s="88"/>
      <c r="AU72" s="88"/>
      <c r="AV72" s="17"/>
      <c r="AW72" s="17"/>
      <c r="AX72" s="17"/>
      <c r="AY72" s="17"/>
      <c r="AZ72" s="17"/>
      <c r="BA72" s="155"/>
      <c r="BB72" s="17"/>
      <c r="BC72" s="17"/>
      <c r="BD72" s="17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59"/>
      <c r="BP72" s="173"/>
      <c r="BQ72" s="173"/>
      <c r="BR72" s="173"/>
      <c r="BS72" s="173"/>
      <c r="BT72" s="9"/>
      <c r="BU72" s="386"/>
      <c r="BV72" s="386"/>
      <c r="BW72" s="386"/>
      <c r="BX72" s="386"/>
      <c r="BY72" s="9"/>
      <c r="BZ72" s="9"/>
      <c r="CA72" s="9"/>
      <c r="CB72" s="159"/>
      <c r="CC72" s="2"/>
      <c r="CD72" s="159"/>
      <c r="CE72" s="145"/>
      <c r="CF72" s="146"/>
      <c r="CG72" s="146"/>
      <c r="CH72" s="146"/>
      <c r="CI72" s="146"/>
      <c r="CJ72" s="146"/>
      <c r="CK72" s="146"/>
      <c r="CL72" s="146"/>
      <c r="CM72" s="146"/>
      <c r="CN72" s="146"/>
      <c r="CO72" s="147"/>
      <c r="CP72" s="140"/>
      <c r="CQ72" s="16"/>
      <c r="CR72" s="16"/>
      <c r="CS72" s="16"/>
      <c r="CU72" s="2"/>
      <c r="CV72" s="71"/>
      <c r="CW72" s="141"/>
      <c r="CX72" s="70"/>
      <c r="CY72" s="70"/>
      <c r="CZ72" s="142"/>
      <c r="DA72" s="2"/>
      <c r="DB72" s="2"/>
      <c r="DC72" s="268"/>
    </row>
    <row r="73" spans="1:197" s="5" customFormat="1" ht="19.5" customHeight="1" x14ac:dyDescent="0.25">
      <c r="A73" s="15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59"/>
      <c r="Y73" s="173"/>
      <c r="Z73" s="173"/>
      <c r="AA73" s="9"/>
      <c r="AC73" s="279"/>
      <c r="AD73" s="173"/>
      <c r="AE73" s="173"/>
      <c r="AF73" s="173"/>
      <c r="AG73" s="280"/>
      <c r="AH73" s="20"/>
      <c r="AI73" s="4"/>
      <c r="AJ73" s="4"/>
      <c r="AK73" s="159"/>
      <c r="AL73" s="2"/>
      <c r="AM73" s="155"/>
      <c r="AO73" s="2"/>
      <c r="AP73" s="2"/>
      <c r="AQ73" s="2"/>
      <c r="AR73" s="16"/>
      <c r="AS73" s="17"/>
      <c r="AT73" s="88"/>
      <c r="AU73" s="88"/>
      <c r="AV73" s="17"/>
      <c r="AW73" s="17"/>
      <c r="AX73" s="17"/>
      <c r="AY73" s="17"/>
      <c r="AZ73" s="17"/>
      <c r="BA73" s="155"/>
      <c r="BB73" s="17"/>
      <c r="BC73" s="17"/>
      <c r="BD73" s="17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59"/>
      <c r="BP73" s="173"/>
      <c r="BQ73" s="173"/>
      <c r="BR73" s="173"/>
      <c r="BS73" s="173"/>
      <c r="BT73" s="9"/>
      <c r="BU73" s="9"/>
      <c r="BV73" s="9"/>
      <c r="BW73" s="9"/>
      <c r="BX73" s="9"/>
      <c r="BY73" s="9"/>
      <c r="BZ73" s="9"/>
      <c r="CA73" s="9"/>
      <c r="CB73" s="159"/>
      <c r="CC73" s="2"/>
      <c r="CD73" s="159"/>
      <c r="CE73" s="145"/>
      <c r="CF73" s="146"/>
      <c r="CG73" s="146"/>
      <c r="CH73" s="146"/>
      <c r="CI73" s="146"/>
      <c r="CJ73" s="146"/>
      <c r="CK73" s="146"/>
      <c r="CL73" s="146"/>
      <c r="CM73" s="146"/>
      <c r="CN73" s="146"/>
      <c r="CO73" s="147"/>
      <c r="CP73" s="140"/>
      <c r="CQ73" s="16"/>
      <c r="CR73" s="16"/>
      <c r="CS73" s="16"/>
      <c r="CU73" s="71"/>
      <c r="CV73" s="71"/>
      <c r="CW73" s="141"/>
      <c r="CX73" s="70"/>
      <c r="CY73" s="70"/>
      <c r="CZ73" s="142"/>
      <c r="DA73" s="148" t="s">
        <v>217</v>
      </c>
      <c r="DB73" s="35"/>
      <c r="DC73" s="159"/>
    </row>
    <row r="74" spans="1:197" s="5" customFormat="1" ht="19.5" customHeight="1" thickBot="1" x14ac:dyDescent="0.3">
      <c r="A74" s="15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59"/>
      <c r="Y74" s="173"/>
      <c r="Z74" s="173"/>
      <c r="AA74" s="9"/>
      <c r="AC74" s="279"/>
      <c r="AD74" s="173"/>
      <c r="AE74" s="173"/>
      <c r="AF74" s="173"/>
      <c r="AG74" s="280"/>
      <c r="AH74" s="20"/>
      <c r="AI74" s="4"/>
      <c r="AJ74" s="4"/>
      <c r="AK74" s="159"/>
      <c r="AL74" s="2"/>
      <c r="AM74" s="155"/>
      <c r="AN74" s="2"/>
      <c r="AO74" s="2"/>
      <c r="AP74" s="2"/>
      <c r="AQ74" s="2"/>
      <c r="AR74" s="17"/>
      <c r="AS74" s="17"/>
      <c r="AT74" s="17"/>
      <c r="AU74" s="17"/>
      <c r="AV74" s="17"/>
      <c r="AW74" s="17"/>
      <c r="AX74" s="17"/>
      <c r="AY74" s="17"/>
      <c r="AZ74" s="17"/>
      <c r="BA74" s="155"/>
      <c r="BB74" s="17"/>
      <c r="BC74" s="17"/>
      <c r="BD74" s="17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59"/>
      <c r="BP74" s="173"/>
      <c r="BQ74" s="173"/>
      <c r="BR74" s="173"/>
      <c r="BS74" s="173"/>
      <c r="BT74" s="9"/>
      <c r="BU74" s="9"/>
      <c r="BV74" s="9"/>
      <c r="BW74" s="9"/>
      <c r="BX74" s="9"/>
      <c r="BY74" s="9"/>
      <c r="BZ74" s="173"/>
      <c r="CA74" s="173"/>
      <c r="CB74" s="159"/>
      <c r="CC74" s="2"/>
      <c r="CD74" s="159"/>
      <c r="CE74" s="145"/>
      <c r="CF74" s="146"/>
      <c r="CG74" s="146"/>
      <c r="CH74" s="146"/>
      <c r="CI74" s="146"/>
      <c r="CJ74" s="146"/>
      <c r="CK74" s="146"/>
      <c r="CL74" s="146"/>
      <c r="CM74" s="146"/>
      <c r="CN74" s="146"/>
      <c r="CO74" s="147"/>
      <c r="CP74" s="140"/>
      <c r="CQ74" s="71"/>
      <c r="CR74" s="16"/>
      <c r="CS74" s="16"/>
      <c r="CU74" s="71"/>
      <c r="CV74" s="71"/>
      <c r="CW74" s="141"/>
      <c r="CX74" s="70"/>
      <c r="CY74" s="70"/>
      <c r="CZ74" s="142"/>
      <c r="DA74" s="20"/>
      <c r="DB74" s="39"/>
      <c r="DC74" s="159"/>
    </row>
    <row r="75" spans="1:197" s="5" customFormat="1" ht="19.5" customHeight="1" thickBot="1" x14ac:dyDescent="0.3">
      <c r="A75" s="15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59"/>
      <c r="Y75" s="173"/>
      <c r="Z75" s="173"/>
      <c r="AA75" s="173"/>
      <c r="AC75" s="279"/>
      <c r="AD75" s="173"/>
      <c r="AE75" s="173"/>
      <c r="AF75" s="173"/>
      <c r="AG75" s="280"/>
      <c r="AH75" s="20"/>
      <c r="AI75" s="4"/>
      <c r="AJ75" s="4"/>
      <c r="AK75" s="159"/>
      <c r="AL75" s="2"/>
      <c r="AM75" s="155"/>
      <c r="AN75" s="2"/>
      <c r="AO75" s="2"/>
      <c r="AP75" s="2"/>
      <c r="AQ75" s="2"/>
      <c r="AR75" s="2"/>
      <c r="AS75" s="2"/>
      <c r="AT75" s="2"/>
      <c r="AU75" s="2"/>
      <c r="AV75" s="2"/>
      <c r="AW75" s="17"/>
      <c r="AX75" s="17"/>
      <c r="AY75" s="17"/>
      <c r="AZ75" s="17"/>
      <c r="BA75" s="155"/>
      <c r="BB75" s="17"/>
      <c r="BC75" s="17"/>
      <c r="BD75" s="17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59"/>
      <c r="BP75" s="281" t="s">
        <v>218</v>
      </c>
      <c r="BQ75" s="282"/>
      <c r="BR75" s="283"/>
      <c r="BS75" s="173"/>
      <c r="BT75" s="9"/>
      <c r="BU75" s="9"/>
      <c r="BV75" s="9"/>
      <c r="BW75" s="9"/>
      <c r="BZ75" s="134" t="s">
        <v>216</v>
      </c>
      <c r="CA75" s="136"/>
      <c r="CB75" s="159"/>
      <c r="CC75" s="2"/>
      <c r="CD75" s="159"/>
      <c r="CE75" s="149"/>
      <c r="CF75" s="150"/>
      <c r="CG75" s="150"/>
      <c r="CH75" s="150"/>
      <c r="CI75" s="150"/>
      <c r="CJ75" s="150"/>
      <c r="CK75" s="150"/>
      <c r="CL75" s="150"/>
      <c r="CM75" s="150"/>
      <c r="CN75" s="150"/>
      <c r="CO75" s="151"/>
      <c r="CP75" s="143"/>
      <c r="CQ75" s="9"/>
      <c r="CR75" s="9"/>
      <c r="CS75" s="9"/>
      <c r="CT75" s="9"/>
      <c r="CU75" s="71"/>
      <c r="CV75" s="71"/>
      <c r="CW75" s="152"/>
      <c r="CX75" s="153"/>
      <c r="CY75" s="153"/>
      <c r="CZ75" s="154"/>
      <c r="DA75" s="118"/>
      <c r="DB75" s="72"/>
      <c r="DC75" s="159"/>
    </row>
    <row r="76" spans="1:197" s="5" customFormat="1" ht="19.5" customHeight="1" thickBot="1" x14ac:dyDescent="0.3">
      <c r="A76" s="15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59"/>
      <c r="Y76" s="173"/>
      <c r="Z76" s="173"/>
      <c r="AA76" s="173"/>
      <c r="AC76" s="279"/>
      <c r="AD76" s="173"/>
      <c r="AE76" s="173"/>
      <c r="AF76" s="173"/>
      <c r="AG76" s="144"/>
      <c r="AH76" s="20"/>
      <c r="AI76" s="4"/>
      <c r="AJ76" s="4"/>
      <c r="AK76" s="159"/>
      <c r="AL76" s="2"/>
      <c r="AM76" s="155"/>
      <c r="AN76" s="2"/>
      <c r="AO76" s="2"/>
      <c r="AP76" s="2"/>
      <c r="AQ76" s="275"/>
      <c r="AR76" s="275"/>
      <c r="AU76" s="16"/>
      <c r="AV76" s="17"/>
      <c r="AW76" s="17"/>
      <c r="AX76" s="17"/>
      <c r="AY76" s="17"/>
      <c r="AZ76" s="17"/>
      <c r="BA76" s="155"/>
      <c r="BB76" s="17"/>
      <c r="BC76" s="17"/>
      <c r="BD76" s="17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59"/>
      <c r="BP76" s="284"/>
      <c r="BQ76" s="285"/>
      <c r="BR76" s="286"/>
      <c r="BS76" s="173"/>
      <c r="BT76" s="173"/>
      <c r="BU76" s="173"/>
      <c r="BV76" s="173"/>
      <c r="BW76" s="173"/>
      <c r="BZ76" s="152"/>
      <c r="CA76" s="154"/>
      <c r="CB76" s="159"/>
      <c r="CC76" s="2"/>
      <c r="CD76" s="159"/>
      <c r="CE76" s="159"/>
      <c r="CF76" s="159"/>
      <c r="CG76" s="159"/>
      <c r="CH76" s="159"/>
      <c r="CI76" s="159"/>
      <c r="CJ76" s="159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59"/>
      <c r="CW76" s="159"/>
      <c r="CX76" s="159"/>
      <c r="CY76" s="159"/>
      <c r="CZ76" s="159"/>
      <c r="DA76" s="159"/>
      <c r="DB76" s="159"/>
      <c r="DC76" s="159"/>
    </row>
    <row r="77" spans="1:197" s="5" customFormat="1" ht="19.5" customHeight="1" x14ac:dyDescent="0.25">
      <c r="A77" s="155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2"/>
      <c r="AM77" s="155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  <c r="BH77" s="159"/>
      <c r="BI77" s="159"/>
      <c r="BJ77" s="159"/>
      <c r="BK77" s="159"/>
      <c r="BL77" s="159"/>
      <c r="BM77" s="159"/>
      <c r="BN77" s="159"/>
      <c r="BO77" s="159"/>
      <c r="BP77" s="159"/>
      <c r="BQ77" s="159"/>
      <c r="BR77" s="159"/>
      <c r="BS77" s="159"/>
      <c r="BT77" s="159"/>
      <c r="BU77" s="159"/>
      <c r="BV77" s="159"/>
      <c r="BW77" s="159"/>
      <c r="BX77" s="159"/>
      <c r="BY77" s="159"/>
      <c r="BZ77" s="159"/>
      <c r="CA77" s="159"/>
      <c r="CB77" s="159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</row>
    <row r="78" spans="1:197" s="5" customFormat="1" ht="19.5" customHeight="1" x14ac:dyDescent="0.25"/>
    <row r="79" spans="1:197" s="5" customFormat="1" ht="19.5" customHeight="1" x14ac:dyDescent="0.25"/>
    <row r="80" spans="1:197" ht="19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</row>
    <row r="81" spans="1:197" ht="19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</row>
  </sheetData>
  <mergeCells count="47">
    <mergeCell ref="A1:DC1"/>
    <mergeCell ref="A6:C8"/>
    <mergeCell ref="AA6:AA9"/>
    <mergeCell ref="BZ6:CA10"/>
    <mergeCell ref="Q9:X18"/>
    <mergeCell ref="CH10:CI10"/>
    <mergeCell ref="M12:N12"/>
    <mergeCell ref="Z13:AH18"/>
    <mergeCell ref="A16:F23"/>
    <mergeCell ref="M18:N18"/>
    <mergeCell ref="N21:O24"/>
    <mergeCell ref="CE23:CI28"/>
    <mergeCell ref="CM23:CN23"/>
    <mergeCell ref="G24:H24"/>
    <mergeCell ref="B26:C26"/>
    <mergeCell ref="AI32:AJ39"/>
    <mergeCell ref="CM26:CN26"/>
    <mergeCell ref="AA34:AB34"/>
    <mergeCell ref="H38:I38"/>
    <mergeCell ref="AA38:AB38"/>
    <mergeCell ref="BO38:BP38"/>
    <mergeCell ref="BZ38:CA38"/>
    <mergeCell ref="AS39:AY39"/>
    <mergeCell ref="BO39:BP39"/>
    <mergeCell ref="CH39:CI39"/>
    <mergeCell ref="P30:R32"/>
    <mergeCell ref="AE30:AF30"/>
    <mergeCell ref="CH30:CI30"/>
    <mergeCell ref="G32:H32"/>
    <mergeCell ref="AI40:AJ48"/>
    <mergeCell ref="BG40:BH40"/>
    <mergeCell ref="CH42:CI42"/>
    <mergeCell ref="AA43:AB43"/>
    <mergeCell ref="AT46:AU46"/>
    <mergeCell ref="CH47:CI47"/>
    <mergeCell ref="AT68:AU68"/>
    <mergeCell ref="BU58:CA68"/>
    <mergeCell ref="CM50:CN50"/>
    <mergeCell ref="CH52:CI52"/>
    <mergeCell ref="BU54:BW54"/>
    <mergeCell ref="AT55:AU55"/>
    <mergeCell ref="AT57:AU57"/>
    <mergeCell ref="AN57:AO57"/>
    <mergeCell ref="AE63:AF63"/>
    <mergeCell ref="AH65:AJ65"/>
    <mergeCell ref="CX65:CZ65"/>
    <mergeCell ref="AC66:AF66"/>
  </mergeCells>
  <conditionalFormatting sqref="K13">
    <cfRule type="duplicateValues" dxfId="47" priority="43"/>
  </conditionalFormatting>
  <conditionalFormatting sqref="L13">
    <cfRule type="duplicateValues" dxfId="46" priority="44"/>
  </conditionalFormatting>
  <conditionalFormatting sqref="N19">
    <cfRule type="duplicateValues" dxfId="45" priority="41"/>
  </conditionalFormatting>
  <conditionalFormatting sqref="N20">
    <cfRule type="duplicateValues" dxfId="44" priority="42"/>
  </conditionalFormatting>
  <conditionalFormatting sqref="AG62">
    <cfRule type="duplicateValues" dxfId="43" priority="9"/>
  </conditionalFormatting>
  <conditionalFormatting sqref="AQ76">
    <cfRule type="duplicateValues" dxfId="42" priority="32"/>
  </conditionalFormatting>
  <conditionalFormatting sqref="AR76">
    <cfRule type="duplicateValues" dxfId="41" priority="31"/>
  </conditionalFormatting>
  <conditionalFormatting sqref="AT58">
    <cfRule type="duplicateValues" dxfId="40" priority="39"/>
  </conditionalFormatting>
  <conditionalFormatting sqref="AT59">
    <cfRule type="duplicateValues" dxfId="39" priority="37"/>
  </conditionalFormatting>
  <conditionalFormatting sqref="AT60">
    <cfRule type="duplicateValues" dxfId="38" priority="36"/>
  </conditionalFormatting>
  <conditionalFormatting sqref="AT61">
    <cfRule type="duplicateValues" dxfId="37" priority="35"/>
  </conditionalFormatting>
  <conditionalFormatting sqref="AU58">
    <cfRule type="duplicateValues" dxfId="36" priority="33"/>
  </conditionalFormatting>
  <conditionalFormatting sqref="AU59">
    <cfRule type="duplicateValues" dxfId="35" priority="38"/>
  </conditionalFormatting>
  <conditionalFormatting sqref="AU60">
    <cfRule type="duplicateValues" dxfId="34" priority="40"/>
  </conditionalFormatting>
  <conditionalFormatting sqref="AU61">
    <cfRule type="duplicateValues" dxfId="33" priority="34"/>
  </conditionalFormatting>
  <conditionalFormatting sqref="AZ59">
    <cfRule type="duplicateValues" dxfId="32" priority="30"/>
  </conditionalFormatting>
  <conditionalFormatting sqref="AZ60">
    <cfRule type="duplicateValues" dxfId="31" priority="11"/>
  </conditionalFormatting>
  <conditionalFormatting sqref="AZ61">
    <cfRule type="duplicateValues" dxfId="30" priority="10"/>
  </conditionalFormatting>
  <conditionalFormatting sqref="AZ62">
    <cfRule type="duplicateValues" dxfId="29" priority="12"/>
  </conditionalFormatting>
  <conditionalFormatting sqref="BG36">
    <cfRule type="duplicateValues" dxfId="28" priority="8"/>
  </conditionalFormatting>
  <conditionalFormatting sqref="BG37">
    <cfRule type="duplicateValues" dxfId="27" priority="7"/>
  </conditionalFormatting>
  <conditionalFormatting sqref="BG38">
    <cfRule type="duplicateValues" dxfId="26" priority="6"/>
  </conditionalFormatting>
  <conditionalFormatting sqref="BG39">
    <cfRule type="duplicateValues" dxfId="25" priority="5"/>
  </conditionalFormatting>
  <conditionalFormatting sqref="BH36">
    <cfRule type="duplicateValues" dxfId="24" priority="1"/>
  </conditionalFormatting>
  <conditionalFormatting sqref="BH37">
    <cfRule type="duplicateValues" dxfId="23" priority="2"/>
  </conditionalFormatting>
  <conditionalFormatting sqref="BH38">
    <cfRule type="duplicateValues" dxfId="22" priority="3"/>
  </conditionalFormatting>
  <conditionalFormatting sqref="BH39">
    <cfRule type="duplicateValues" dxfId="21" priority="4"/>
  </conditionalFormatting>
  <conditionalFormatting sqref="BO26">
    <cfRule type="duplicateValues" dxfId="20" priority="16"/>
  </conditionalFormatting>
  <conditionalFormatting sqref="BO27">
    <cfRule type="duplicateValues" dxfId="19" priority="15"/>
  </conditionalFormatting>
  <conditionalFormatting sqref="BO35">
    <cfRule type="duplicateValues" dxfId="18" priority="22"/>
  </conditionalFormatting>
  <conditionalFormatting sqref="BO36">
    <cfRule type="duplicateValues" dxfId="17" priority="17"/>
  </conditionalFormatting>
  <conditionalFormatting sqref="BO37">
    <cfRule type="duplicateValues" dxfId="16" priority="20"/>
  </conditionalFormatting>
  <conditionalFormatting sqref="BP26">
    <cfRule type="duplicateValues" dxfId="15" priority="13"/>
  </conditionalFormatting>
  <conditionalFormatting sqref="BP27">
    <cfRule type="duplicateValues" dxfId="14" priority="14"/>
  </conditionalFormatting>
  <conditionalFormatting sqref="BP35">
    <cfRule type="duplicateValues" dxfId="13" priority="18"/>
  </conditionalFormatting>
  <conditionalFormatting sqref="BP36">
    <cfRule type="duplicateValues" dxfId="12" priority="21"/>
  </conditionalFormatting>
  <conditionalFormatting sqref="BP37">
    <cfRule type="duplicateValues" dxfId="11" priority="19"/>
  </conditionalFormatting>
  <conditionalFormatting sqref="BU71">
    <cfRule type="duplicateValues" dxfId="10" priority="48"/>
  </conditionalFormatting>
  <conditionalFormatting sqref="BV23">
    <cfRule type="duplicateValues" dxfId="9" priority="23"/>
  </conditionalFormatting>
  <conditionalFormatting sqref="BV71">
    <cfRule type="duplicateValues" dxfId="8" priority="47"/>
  </conditionalFormatting>
  <conditionalFormatting sqref="BW23">
    <cfRule type="duplicateValues" dxfId="7" priority="24"/>
  </conditionalFormatting>
  <conditionalFormatting sqref="BW71">
    <cfRule type="duplicateValues" dxfId="6" priority="46"/>
  </conditionalFormatting>
  <conditionalFormatting sqref="BX71">
    <cfRule type="duplicateValues" dxfId="5" priority="45"/>
  </conditionalFormatting>
  <conditionalFormatting sqref="CE29">
    <cfRule type="duplicateValues" dxfId="4" priority="29"/>
  </conditionalFormatting>
  <conditionalFormatting sqref="CE30">
    <cfRule type="duplicateValues" dxfId="3" priority="28"/>
  </conditionalFormatting>
  <conditionalFormatting sqref="CV69">
    <cfRule type="duplicateValues" dxfId="2" priority="27"/>
  </conditionalFormatting>
  <conditionalFormatting sqref="CV70">
    <cfRule type="duplicateValues" dxfId="1" priority="26"/>
  </conditionalFormatting>
  <conditionalFormatting sqref="CV71">
    <cfRule type="duplicateValues" dxfId="0" priority="2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2025-10-28T19:24:43Z</dcterms:modified>
</cp:coreProperties>
</file>