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RABAJO\informacion_Entregas\DATA IA\"/>
    </mc:Choice>
  </mc:AlternateContent>
  <xr:revisionPtr revIDLastSave="0" documentId="13_ncr:1_{589CE948-B1BF-41B3-B2D0-A46D93F6F461}" xr6:coauthVersionLast="47" xr6:coauthVersionMax="47" xr10:uidLastSave="{00000000-0000-0000-0000-000000000000}"/>
  <bookViews>
    <workbookView xWindow="-11670" yWindow="-21720" windowWidth="51840" windowHeight="21120" tabRatio="796" xr2:uid="{00000000-000D-0000-FFFF-FFFF00000000}"/>
  </bookViews>
  <sheets>
    <sheet name="Licencias Actual" sheetId="50" r:id="rId1"/>
    <sheet name="Layout Actual" sheetId="51" r:id="rId2"/>
    <sheet name="Denominacion" sheetId="66" r:id="rId3"/>
    <sheet name="Apuesta Minima" sheetId="67" r:id="rId4"/>
  </sheets>
  <definedNames>
    <definedName name="_abb88">#REF!</definedName>
    <definedName name="FUMAR" localSheetId="1">'Layout Actual'!#REF!</definedName>
    <definedName name="P" localSheetId="1">'Layout Actual'!#REF!</definedName>
    <definedName name="P" localSheetId="0">'Licencias Actual'!#REF!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75" i="51" l="1"/>
  <c r="E475" i="51"/>
  <c r="N474" i="51"/>
  <c r="E474" i="51"/>
  <c r="N473" i="51"/>
  <c r="E473" i="51"/>
  <c r="N472" i="51"/>
  <c r="E472" i="51"/>
  <c r="N471" i="51"/>
  <c r="E471" i="51"/>
  <c r="N470" i="51"/>
  <c r="E470" i="51"/>
  <c r="N469" i="51"/>
  <c r="E469" i="51"/>
  <c r="N468" i="51"/>
  <c r="E468" i="51"/>
  <c r="N467" i="51"/>
  <c r="E467" i="51"/>
  <c r="N466" i="51"/>
  <c r="N476" i="51" s="1"/>
  <c r="E466" i="51"/>
  <c r="E476" i="51" s="1"/>
  <c r="N463" i="51"/>
  <c r="E463" i="51"/>
  <c r="N462" i="51"/>
  <c r="E462" i="51"/>
  <c r="N461" i="51"/>
  <c r="E461" i="51"/>
  <c r="N460" i="51"/>
  <c r="E460" i="51"/>
  <c r="N459" i="51"/>
  <c r="E459" i="51"/>
  <c r="N458" i="51"/>
  <c r="E458" i="51"/>
  <c r="N457" i="51"/>
  <c r="E457" i="51"/>
  <c r="N456" i="51"/>
  <c r="E456" i="51"/>
  <c r="N455" i="51"/>
  <c r="E455" i="51"/>
  <c r="N454" i="51"/>
  <c r="E454" i="51"/>
  <c r="N453" i="51"/>
  <c r="E453" i="51"/>
  <c r="N452" i="51"/>
  <c r="N464" i="51" s="1"/>
  <c r="E452" i="51"/>
  <c r="E464" i="51" s="1"/>
  <c r="N450" i="51"/>
  <c r="N449" i="51"/>
  <c r="E449" i="51"/>
  <c r="N448" i="51"/>
  <c r="E448" i="51"/>
  <c r="N447" i="51"/>
  <c r="E447" i="51"/>
  <c r="N446" i="51"/>
  <c r="E446" i="51"/>
  <c r="E450" i="51" s="1"/>
  <c r="N443" i="51"/>
  <c r="E443" i="51"/>
  <c r="N442" i="51"/>
  <c r="E442" i="51"/>
  <c r="N441" i="51"/>
  <c r="E441" i="51"/>
  <c r="N440" i="51"/>
  <c r="E440" i="51"/>
  <c r="N439" i="51"/>
  <c r="E439" i="51"/>
  <c r="N438" i="51"/>
  <c r="N444" i="51" s="1"/>
  <c r="E438" i="51"/>
  <c r="E444" i="51" s="1"/>
  <c r="N436" i="51"/>
  <c r="N435" i="51"/>
  <c r="E435" i="51"/>
  <c r="N434" i="51"/>
  <c r="E434" i="51"/>
  <c r="N433" i="51"/>
  <c r="E433" i="51"/>
  <c r="N432" i="51"/>
  <c r="E432" i="51"/>
  <c r="N431" i="51"/>
  <c r="E431" i="51"/>
  <c r="N430" i="51"/>
  <c r="E430" i="51"/>
  <c r="N429" i="51"/>
  <c r="E429" i="51"/>
  <c r="N428" i="51"/>
  <c r="E428" i="51"/>
  <c r="N427" i="51"/>
  <c r="E427" i="51"/>
  <c r="N426" i="51"/>
  <c r="E426" i="51"/>
  <c r="N425" i="51"/>
  <c r="E425" i="51"/>
  <c r="N424" i="51"/>
  <c r="E424" i="51"/>
  <c r="N423" i="51"/>
  <c r="E423" i="51"/>
  <c r="N422" i="51"/>
  <c r="E422" i="51"/>
  <c r="N421" i="51"/>
  <c r="E421" i="51"/>
  <c r="N420" i="51"/>
  <c r="E420" i="51"/>
  <c r="N419" i="51"/>
  <c r="E419" i="51"/>
  <c r="N418" i="51"/>
  <c r="E418" i="51"/>
  <c r="N417" i="51"/>
  <c r="E417" i="51"/>
  <c r="N416" i="51"/>
  <c r="E416" i="51"/>
  <c r="N415" i="51"/>
  <c r="E415" i="51"/>
  <c r="N414" i="51"/>
  <c r="E414" i="51"/>
  <c r="N411" i="51"/>
  <c r="E411" i="51"/>
  <c r="N410" i="51"/>
  <c r="E410" i="51"/>
  <c r="N409" i="51"/>
  <c r="E409" i="51"/>
  <c r="N408" i="51"/>
  <c r="E408" i="51"/>
  <c r="N407" i="51"/>
  <c r="E407" i="51"/>
  <c r="N406" i="51"/>
  <c r="E406" i="51"/>
  <c r="N405" i="51"/>
  <c r="E405" i="51"/>
  <c r="N404" i="51"/>
  <c r="E404" i="51"/>
  <c r="N403" i="51"/>
  <c r="E403" i="51"/>
  <c r="N402" i="51"/>
  <c r="E402" i="51"/>
  <c r="N401" i="51"/>
  <c r="E401" i="51"/>
  <c r="N400" i="51"/>
  <c r="E400" i="51"/>
  <c r="N399" i="51"/>
  <c r="E399" i="51"/>
  <c r="N398" i="51"/>
  <c r="E398" i="51"/>
  <c r="N397" i="51"/>
  <c r="E397" i="51"/>
  <c r="N396" i="51"/>
  <c r="E396" i="51"/>
  <c r="N395" i="51"/>
  <c r="E395" i="51"/>
  <c r="N394" i="51"/>
  <c r="E394" i="51"/>
  <c r="N393" i="51"/>
  <c r="E393" i="51"/>
  <c r="N392" i="51"/>
  <c r="E392" i="51"/>
  <c r="N391" i="51"/>
  <c r="E391" i="51"/>
  <c r="N390" i="51"/>
  <c r="E390" i="51"/>
  <c r="N389" i="51"/>
  <c r="E389" i="51"/>
  <c r="N388" i="51"/>
  <c r="E388" i="51"/>
  <c r="N387" i="51"/>
  <c r="E387" i="51"/>
  <c r="N386" i="51"/>
  <c r="E386" i="51"/>
  <c r="N385" i="51"/>
  <c r="E385" i="51"/>
  <c r="N384" i="51"/>
  <c r="E384" i="51"/>
  <c r="N383" i="51"/>
  <c r="E383" i="51"/>
  <c r="N382" i="51"/>
  <c r="E382" i="51"/>
  <c r="N381" i="51"/>
  <c r="E381" i="51"/>
  <c r="N380" i="51"/>
  <c r="E380" i="51"/>
  <c r="N379" i="51"/>
  <c r="E379" i="51"/>
  <c r="N378" i="51"/>
  <c r="E378" i="51"/>
  <c r="N377" i="51"/>
  <c r="E377" i="51"/>
  <c r="N376" i="51"/>
  <c r="E376" i="51"/>
  <c r="N375" i="51"/>
  <c r="E375" i="51"/>
  <c r="N374" i="51"/>
  <c r="E374" i="51"/>
  <c r="N373" i="51"/>
  <c r="E373" i="51"/>
  <c r="N372" i="51"/>
  <c r="E372" i="51"/>
  <c r="N371" i="51"/>
  <c r="E371" i="51"/>
  <c r="N370" i="51"/>
  <c r="E370" i="51"/>
  <c r="N369" i="51"/>
  <c r="E369" i="51"/>
  <c r="N368" i="51"/>
  <c r="E368" i="51"/>
  <c r="N367" i="51"/>
  <c r="E367" i="51"/>
  <c r="N366" i="51"/>
  <c r="E366" i="51"/>
  <c r="N365" i="51"/>
  <c r="E365" i="51"/>
  <c r="N364" i="51"/>
  <c r="E364" i="51"/>
  <c r="N363" i="51"/>
  <c r="E363" i="51"/>
  <c r="N362" i="51"/>
  <c r="E362" i="51"/>
  <c r="N361" i="51"/>
  <c r="E361" i="51"/>
  <c r="N360" i="51"/>
  <c r="E360" i="51"/>
  <c r="N359" i="51"/>
  <c r="E359" i="51"/>
  <c r="N358" i="51"/>
  <c r="E358" i="51"/>
  <c r="N357" i="51"/>
  <c r="E357" i="51"/>
  <c r="N356" i="51"/>
  <c r="E356" i="51"/>
  <c r="N355" i="51"/>
  <c r="E355" i="51"/>
  <c r="N354" i="51"/>
  <c r="E354" i="51"/>
  <c r="N353" i="51"/>
  <c r="E353" i="51"/>
  <c r="N352" i="51"/>
  <c r="E352" i="51"/>
  <c r="N351" i="51"/>
  <c r="E351" i="51"/>
  <c r="N350" i="51"/>
  <c r="E350" i="51"/>
  <c r="N349" i="51"/>
  <c r="E349" i="51"/>
  <c r="N348" i="51"/>
  <c r="E348" i="51"/>
  <c r="N347" i="51"/>
  <c r="E347" i="51"/>
  <c r="N346" i="51"/>
  <c r="E346" i="51"/>
  <c r="N345" i="51"/>
  <c r="E345" i="51"/>
  <c r="N344" i="51"/>
  <c r="E344" i="51"/>
  <c r="N343" i="51"/>
  <c r="E343" i="51"/>
  <c r="N342" i="51"/>
  <c r="E342" i="51"/>
  <c r="N341" i="51"/>
  <c r="E341" i="51"/>
  <c r="N340" i="51"/>
  <c r="E340" i="51"/>
  <c r="N339" i="51"/>
  <c r="E339" i="51"/>
  <c r="N338" i="51"/>
  <c r="E338" i="51"/>
  <c r="N337" i="51"/>
  <c r="E337" i="51"/>
  <c r="N336" i="51"/>
  <c r="E336" i="51"/>
  <c r="N335" i="51"/>
  <c r="E335" i="51"/>
  <c r="N334" i="51"/>
  <c r="N412" i="51" s="1"/>
  <c r="E334" i="51"/>
  <c r="E412" i="51" s="1"/>
  <c r="N332" i="51"/>
  <c r="N331" i="51"/>
  <c r="E331" i="51"/>
  <c r="N330" i="51"/>
  <c r="E330" i="51"/>
  <c r="N329" i="51"/>
  <c r="E329" i="51"/>
  <c r="N328" i="51"/>
  <c r="E328" i="51"/>
  <c r="N327" i="51"/>
  <c r="E327" i="51"/>
  <c r="N326" i="51"/>
  <c r="E326" i="51"/>
  <c r="N325" i="51"/>
  <c r="E325" i="51"/>
  <c r="N324" i="51"/>
  <c r="E324" i="51"/>
  <c r="N323" i="51"/>
  <c r="E323" i="51"/>
  <c r="N322" i="51"/>
  <c r="E322" i="51"/>
  <c r="N321" i="51"/>
  <c r="E321" i="51"/>
  <c r="N320" i="51"/>
  <c r="E320" i="51"/>
  <c r="N319" i="51"/>
  <c r="E319" i="51"/>
  <c r="N318" i="51"/>
  <c r="E318" i="51"/>
  <c r="N317" i="51"/>
  <c r="E317" i="51"/>
  <c r="N316" i="51"/>
  <c r="E316" i="51"/>
  <c r="N315" i="51"/>
  <c r="E315" i="51"/>
  <c r="N314" i="51"/>
  <c r="E314" i="51"/>
  <c r="N313" i="51"/>
  <c r="E313" i="51"/>
  <c r="N312" i="51"/>
  <c r="E312" i="51"/>
  <c r="N311" i="51"/>
  <c r="E311" i="51"/>
  <c r="N310" i="51"/>
  <c r="E310" i="51"/>
  <c r="N309" i="51"/>
  <c r="E309" i="51"/>
  <c r="N308" i="51"/>
  <c r="E308" i="51"/>
  <c r="N307" i="51"/>
  <c r="E307" i="51"/>
  <c r="N306" i="51"/>
  <c r="E306" i="51"/>
  <c r="N305" i="51"/>
  <c r="E305" i="51"/>
  <c r="N304" i="51"/>
  <c r="E304" i="51"/>
  <c r="M290" i="51"/>
  <c r="D290" i="51"/>
  <c r="P290" i="51" s="1"/>
  <c r="Q290" i="51" s="1"/>
  <c r="M289" i="51"/>
  <c r="D289" i="51"/>
  <c r="P289" i="51" s="1"/>
  <c r="Q289" i="51" s="1"/>
  <c r="M288" i="51"/>
  <c r="D288" i="51"/>
  <c r="P288" i="51" s="1"/>
  <c r="Q288" i="51" s="1"/>
  <c r="M287" i="51"/>
  <c r="D287" i="51"/>
  <c r="P287" i="51" s="1"/>
  <c r="Q287" i="51" s="1"/>
  <c r="M286" i="51"/>
  <c r="P286" i="51" s="1"/>
  <c r="Q286" i="51" s="1"/>
  <c r="D286" i="51"/>
  <c r="M285" i="51"/>
  <c r="D285" i="51"/>
  <c r="P285" i="51" s="1"/>
  <c r="Q285" i="51" s="1"/>
  <c r="M284" i="51"/>
  <c r="D284" i="51"/>
  <c r="P284" i="51" s="1"/>
  <c r="Q284" i="51" s="1"/>
  <c r="M283" i="51"/>
  <c r="D283" i="51"/>
  <c r="P283" i="51" s="1"/>
  <c r="Q283" i="51" s="1"/>
  <c r="M282" i="51"/>
  <c r="D282" i="51"/>
  <c r="P282" i="51" s="1"/>
  <c r="Q282" i="51" s="1"/>
  <c r="M281" i="51"/>
  <c r="D281" i="51"/>
  <c r="P281" i="51" s="1"/>
  <c r="Q281" i="51" s="1"/>
  <c r="M280" i="51"/>
  <c r="D280" i="51"/>
  <c r="P280" i="51" s="1"/>
  <c r="Q280" i="51" s="1"/>
  <c r="P279" i="51"/>
  <c r="Q279" i="51" s="1"/>
  <c r="M279" i="51"/>
  <c r="D279" i="51"/>
  <c r="M278" i="51"/>
  <c r="D278" i="51"/>
  <c r="P278" i="51" s="1"/>
  <c r="Q278" i="51" s="1"/>
  <c r="M277" i="51"/>
  <c r="D277" i="51"/>
  <c r="P277" i="51" s="1"/>
  <c r="Q277" i="51" s="1"/>
  <c r="M276" i="51"/>
  <c r="D276" i="51"/>
  <c r="P276" i="51" s="1"/>
  <c r="Q276" i="51" s="1"/>
  <c r="M275" i="51"/>
  <c r="D275" i="51"/>
  <c r="P275" i="51" s="1"/>
  <c r="Q275" i="51" s="1"/>
  <c r="M274" i="51"/>
  <c r="D274" i="51"/>
  <c r="P274" i="51" s="1"/>
  <c r="Q274" i="51" s="1"/>
  <c r="P273" i="51"/>
  <c r="Q273" i="51" s="1"/>
  <c r="M273" i="51"/>
  <c r="D273" i="51"/>
  <c r="M272" i="51"/>
  <c r="D272" i="51"/>
  <c r="P272" i="51" s="1"/>
  <c r="Q272" i="51" s="1"/>
  <c r="M271" i="51"/>
  <c r="D271" i="51"/>
  <c r="P271" i="51" s="1"/>
  <c r="Q271" i="51" s="1"/>
  <c r="M270" i="51"/>
  <c r="D270" i="51"/>
  <c r="P270" i="51" s="1"/>
  <c r="Q270" i="51" s="1"/>
  <c r="M269" i="51"/>
  <c r="D269" i="51"/>
  <c r="P269" i="51" s="1"/>
  <c r="Q269" i="51" s="1"/>
  <c r="M268" i="51"/>
  <c r="D268" i="51"/>
  <c r="P268" i="51" s="1"/>
  <c r="Q268" i="51" s="1"/>
  <c r="M267" i="51"/>
  <c r="D267" i="51"/>
  <c r="P267" i="51" s="1"/>
  <c r="Q267" i="51" s="1"/>
  <c r="M266" i="51"/>
  <c r="D266" i="51"/>
  <c r="P266" i="51" s="1"/>
  <c r="Q266" i="51" s="1"/>
  <c r="M265" i="51"/>
  <c r="D265" i="51"/>
  <c r="P265" i="51" s="1"/>
  <c r="Q265" i="51" s="1"/>
  <c r="M264" i="51"/>
  <c r="P264" i="51" s="1"/>
  <c r="Q264" i="51" s="1"/>
  <c r="D264" i="51"/>
  <c r="M263" i="51"/>
  <c r="D263" i="51"/>
  <c r="P263" i="51" s="1"/>
  <c r="Q263" i="51" s="1"/>
  <c r="M262" i="51"/>
  <c r="D262" i="51"/>
  <c r="P262" i="51" s="1"/>
  <c r="Q262" i="51" s="1"/>
  <c r="M261" i="51"/>
  <c r="D261" i="51"/>
  <c r="P261" i="51" s="1"/>
  <c r="Q261" i="51" s="1"/>
  <c r="M260" i="51"/>
  <c r="D260" i="51"/>
  <c r="P260" i="51" s="1"/>
  <c r="Q260" i="51" s="1"/>
  <c r="M259" i="51"/>
  <c r="D259" i="51"/>
  <c r="P259" i="51" s="1"/>
  <c r="Q259" i="51" s="1"/>
  <c r="M258" i="51"/>
  <c r="P258" i="51" s="1"/>
  <c r="Q258" i="51" s="1"/>
  <c r="D258" i="51"/>
  <c r="M257" i="51"/>
  <c r="D257" i="51"/>
  <c r="P257" i="51" s="1"/>
  <c r="Q257" i="51" s="1"/>
  <c r="M256" i="51"/>
  <c r="D256" i="51"/>
  <c r="P256" i="51" s="1"/>
  <c r="Q256" i="51" s="1"/>
  <c r="M255" i="51"/>
  <c r="D255" i="51"/>
  <c r="P255" i="51" s="1"/>
  <c r="Q255" i="51" s="1"/>
  <c r="M254" i="51"/>
  <c r="D254" i="51"/>
  <c r="P254" i="51" s="1"/>
  <c r="Q254" i="51" s="1"/>
  <c r="M253" i="51"/>
  <c r="D253" i="51"/>
  <c r="P253" i="51" s="1"/>
  <c r="Q253" i="51" s="1"/>
  <c r="M252" i="51"/>
  <c r="D252" i="51"/>
  <c r="P252" i="51" s="1"/>
  <c r="Q252" i="51" s="1"/>
  <c r="M251" i="51"/>
  <c r="D251" i="51"/>
  <c r="P251" i="51" s="1"/>
  <c r="Q251" i="51" s="1"/>
  <c r="M250" i="51"/>
  <c r="D250" i="51"/>
  <c r="P250" i="51" s="1"/>
  <c r="Q250" i="51" s="1"/>
  <c r="M249" i="51"/>
  <c r="D249" i="51"/>
  <c r="P249" i="51" s="1"/>
  <c r="Q249" i="51" s="1"/>
  <c r="M248" i="51"/>
  <c r="D248" i="51"/>
  <c r="P248" i="51" s="1"/>
  <c r="Q248" i="51" s="1"/>
  <c r="M247" i="51"/>
  <c r="D247" i="51"/>
  <c r="P247" i="51" s="1"/>
  <c r="Q247" i="51" s="1"/>
  <c r="M246" i="51"/>
  <c r="D246" i="51"/>
  <c r="P246" i="51" s="1"/>
  <c r="Q246" i="51" s="1"/>
  <c r="M245" i="51"/>
  <c r="D245" i="51"/>
  <c r="P245" i="51" s="1"/>
  <c r="Q245" i="51" s="1"/>
  <c r="M244" i="51"/>
  <c r="D244" i="51"/>
  <c r="P244" i="51" s="1"/>
  <c r="Q244" i="51" s="1"/>
  <c r="M243" i="51"/>
  <c r="D243" i="51"/>
  <c r="Q242" i="51"/>
  <c r="M242" i="51"/>
  <c r="D242" i="51"/>
  <c r="P242" i="51" s="1"/>
  <c r="P241" i="51"/>
  <c r="Q241" i="51" s="1"/>
  <c r="M241" i="51"/>
  <c r="D241" i="51"/>
  <c r="M240" i="51"/>
  <c r="D240" i="51"/>
  <c r="P240" i="51" s="1"/>
  <c r="Q240" i="51" s="1"/>
  <c r="M239" i="51"/>
  <c r="D239" i="51"/>
  <c r="P239" i="51" s="1"/>
  <c r="Q239" i="51" s="1"/>
  <c r="P238" i="51"/>
  <c r="Q238" i="51" s="1"/>
  <c r="M238" i="51"/>
  <c r="D238" i="51"/>
  <c r="M237" i="51"/>
  <c r="D237" i="51"/>
  <c r="P237" i="51" s="1"/>
  <c r="Q237" i="51" s="1"/>
  <c r="Q236" i="51"/>
  <c r="M236" i="51"/>
  <c r="D236" i="51"/>
  <c r="P236" i="51" s="1"/>
  <c r="P235" i="51"/>
  <c r="Q235" i="51" s="1"/>
  <c r="M235" i="51"/>
  <c r="D235" i="51"/>
  <c r="M234" i="51"/>
  <c r="N218" i="51" s="1"/>
  <c r="D234" i="51"/>
  <c r="Q233" i="51"/>
  <c r="M233" i="51"/>
  <c r="D233" i="51"/>
  <c r="P233" i="51" s="1"/>
  <c r="M232" i="51"/>
  <c r="P232" i="51" s="1"/>
  <c r="D232" i="51"/>
  <c r="M231" i="51"/>
  <c r="D231" i="51"/>
  <c r="P231" i="51" s="1"/>
  <c r="Q231" i="51" s="1"/>
  <c r="P230" i="51"/>
  <c r="Q230" i="51" s="1"/>
  <c r="M230" i="51"/>
  <c r="D230" i="51"/>
  <c r="M229" i="51"/>
  <c r="P229" i="51" s="1"/>
  <c r="Q229" i="51" s="1"/>
  <c r="D229" i="51"/>
  <c r="M228" i="51"/>
  <c r="D228" i="51"/>
  <c r="P228" i="51" s="1"/>
  <c r="Q228" i="51" s="1"/>
  <c r="Q227" i="51"/>
  <c r="P227" i="51"/>
  <c r="M227" i="51"/>
  <c r="D227" i="51"/>
  <c r="M226" i="51"/>
  <c r="P226" i="51" s="1"/>
  <c r="Q226" i="51" s="1"/>
  <c r="D226" i="51"/>
  <c r="M225" i="51"/>
  <c r="D225" i="51"/>
  <c r="P225" i="51" s="1"/>
  <c r="Q225" i="51" s="1"/>
  <c r="Q224" i="51"/>
  <c r="P224" i="51"/>
  <c r="M224" i="51"/>
  <c r="D224" i="51"/>
  <c r="M223" i="51"/>
  <c r="P223" i="51" s="1"/>
  <c r="Q223" i="51" s="1"/>
  <c r="D223" i="51"/>
  <c r="M222" i="51"/>
  <c r="D222" i="51"/>
  <c r="P222" i="51" s="1"/>
  <c r="Q222" i="51" s="1"/>
  <c r="P221" i="51"/>
  <c r="Q221" i="51" s="1"/>
  <c r="M221" i="51"/>
  <c r="D221" i="51"/>
  <c r="M220" i="51"/>
  <c r="P220" i="51" s="1"/>
  <c r="Q220" i="51" s="1"/>
  <c r="D220" i="51"/>
  <c r="M219" i="51"/>
  <c r="D219" i="51"/>
  <c r="E218" i="51" s="1"/>
  <c r="M217" i="51"/>
  <c r="D217" i="51"/>
  <c r="P217" i="51" s="1"/>
  <c r="Q217" i="51" s="1"/>
  <c r="M216" i="51"/>
  <c r="D216" i="51"/>
  <c r="P216" i="51" s="1"/>
  <c r="Q216" i="51" s="1"/>
  <c r="M215" i="51"/>
  <c r="P215" i="51" s="1"/>
  <c r="Q215" i="51" s="1"/>
  <c r="D215" i="51"/>
  <c r="M214" i="51"/>
  <c r="D214" i="51"/>
  <c r="P214" i="51" s="1"/>
  <c r="Q214" i="51" s="1"/>
  <c r="M213" i="51"/>
  <c r="D213" i="51"/>
  <c r="P213" i="51" s="1"/>
  <c r="Q213" i="51" s="1"/>
  <c r="M212" i="51"/>
  <c r="D212" i="51"/>
  <c r="P212" i="51" s="1"/>
  <c r="Q212" i="51" s="1"/>
  <c r="M211" i="51"/>
  <c r="D211" i="51"/>
  <c r="P211" i="51" s="1"/>
  <c r="Q211" i="51" s="1"/>
  <c r="M210" i="51"/>
  <c r="D210" i="51"/>
  <c r="P210" i="51" s="1"/>
  <c r="Q210" i="51" s="1"/>
  <c r="P209" i="51"/>
  <c r="Q209" i="51" s="1"/>
  <c r="M209" i="51"/>
  <c r="D209" i="51"/>
  <c r="M208" i="51"/>
  <c r="D208" i="51"/>
  <c r="P208" i="51" s="1"/>
  <c r="Q208" i="51" s="1"/>
  <c r="M207" i="51"/>
  <c r="D207" i="51"/>
  <c r="P207" i="51" s="1"/>
  <c r="Q207" i="51" s="1"/>
  <c r="M206" i="51"/>
  <c r="D206" i="51"/>
  <c r="P206" i="51" s="1"/>
  <c r="Q206" i="51" s="1"/>
  <c r="M205" i="51"/>
  <c r="D205" i="51"/>
  <c r="P205" i="51" s="1"/>
  <c r="Q205" i="51" s="1"/>
  <c r="M204" i="51"/>
  <c r="D204" i="51"/>
  <c r="P204" i="51" s="1"/>
  <c r="Q204" i="51" s="1"/>
  <c r="M203" i="51"/>
  <c r="D203" i="51"/>
  <c r="P203" i="51" s="1"/>
  <c r="Q203" i="51" s="1"/>
  <c r="M202" i="51"/>
  <c r="D202" i="51"/>
  <c r="P202" i="51" s="1"/>
  <c r="Q202" i="51" s="1"/>
  <c r="M201" i="51"/>
  <c r="D201" i="51"/>
  <c r="P201" i="51" s="1"/>
  <c r="Q201" i="51" s="1"/>
  <c r="M200" i="51"/>
  <c r="D200" i="51"/>
  <c r="P200" i="51" s="1"/>
  <c r="Q200" i="51" s="1"/>
  <c r="M199" i="51"/>
  <c r="D199" i="51"/>
  <c r="P199" i="51" s="1"/>
  <c r="Q199" i="51" s="1"/>
  <c r="M198" i="51"/>
  <c r="D198" i="51"/>
  <c r="P198" i="51" s="1"/>
  <c r="Q198" i="51" s="1"/>
  <c r="M197" i="51"/>
  <c r="D197" i="51"/>
  <c r="P197" i="51" s="1"/>
  <c r="Q197" i="51" s="1"/>
  <c r="M196" i="51"/>
  <c r="D196" i="51"/>
  <c r="P196" i="51" s="1"/>
  <c r="Q196" i="51" s="1"/>
  <c r="M195" i="51"/>
  <c r="D195" i="51"/>
  <c r="P195" i="51" s="1"/>
  <c r="Q195" i="51" s="1"/>
  <c r="P194" i="51"/>
  <c r="Q194" i="51" s="1"/>
  <c r="M194" i="51"/>
  <c r="D194" i="51"/>
  <c r="Q172" i="51"/>
  <c r="P172" i="51"/>
  <c r="G172" i="51"/>
  <c r="P171" i="51"/>
  <c r="G171" i="51"/>
  <c r="Q171" i="51" s="1"/>
  <c r="P170" i="51"/>
  <c r="G170" i="51"/>
  <c r="Q170" i="51" s="1"/>
  <c r="P169" i="51"/>
  <c r="G169" i="51"/>
  <c r="Q168" i="51"/>
  <c r="P168" i="51"/>
  <c r="G168" i="51"/>
  <c r="P167" i="51"/>
  <c r="G167" i="51"/>
  <c r="Q167" i="51" s="1"/>
  <c r="P166" i="51"/>
  <c r="G166" i="51"/>
  <c r="Q166" i="51" s="1"/>
  <c r="P165" i="51"/>
  <c r="G165" i="51"/>
  <c r="Q165" i="51" s="1"/>
  <c r="Q164" i="51"/>
  <c r="P164" i="51"/>
  <c r="G164" i="51"/>
  <c r="P163" i="51"/>
  <c r="G163" i="51"/>
  <c r="Q163" i="51" s="1"/>
  <c r="P162" i="51"/>
  <c r="G162" i="51"/>
  <c r="Q162" i="51" s="1"/>
  <c r="P161" i="51"/>
  <c r="G161" i="51"/>
  <c r="Q161" i="51" s="1"/>
  <c r="Q160" i="51"/>
  <c r="P160" i="51"/>
  <c r="G160" i="51"/>
  <c r="P159" i="51"/>
  <c r="G159" i="51"/>
  <c r="Q159" i="51" s="1"/>
  <c r="P158" i="51"/>
  <c r="G158" i="51"/>
  <c r="Q158" i="51" s="1"/>
  <c r="P157" i="51"/>
  <c r="G157" i="51"/>
  <c r="Q157" i="51" s="1"/>
  <c r="Q156" i="51"/>
  <c r="P156" i="51"/>
  <c r="G156" i="51"/>
  <c r="P155" i="51"/>
  <c r="G155" i="51"/>
  <c r="Q155" i="51" s="1"/>
  <c r="P154" i="51"/>
  <c r="G154" i="51"/>
  <c r="Q154" i="51" s="1"/>
  <c r="P153" i="51"/>
  <c r="G153" i="51"/>
  <c r="Q152" i="51"/>
  <c r="P152" i="51"/>
  <c r="G152" i="51"/>
  <c r="P151" i="51"/>
  <c r="G151" i="51"/>
  <c r="Q151" i="51" s="1"/>
  <c r="P150" i="51"/>
  <c r="G150" i="51"/>
  <c r="Q150" i="51" s="1"/>
  <c r="P149" i="51"/>
  <c r="G149" i="51"/>
  <c r="Q149" i="51" s="1"/>
  <c r="Q148" i="51"/>
  <c r="P148" i="51"/>
  <c r="G148" i="51"/>
  <c r="P147" i="51"/>
  <c r="G147" i="51"/>
  <c r="Q147" i="51" s="1"/>
  <c r="P146" i="51"/>
  <c r="G146" i="51"/>
  <c r="Q146" i="51" s="1"/>
  <c r="P145" i="51"/>
  <c r="G145" i="51"/>
  <c r="Q144" i="51"/>
  <c r="P144" i="51"/>
  <c r="G144" i="51"/>
  <c r="P143" i="51"/>
  <c r="G143" i="51"/>
  <c r="Q143" i="51" s="1"/>
  <c r="P142" i="51"/>
  <c r="G142" i="51"/>
  <c r="Q142" i="51" s="1"/>
  <c r="P141" i="51"/>
  <c r="G141" i="51"/>
  <c r="Q141" i="51" s="1"/>
  <c r="Q140" i="51"/>
  <c r="P140" i="51"/>
  <c r="G140" i="51"/>
  <c r="P139" i="51"/>
  <c r="G139" i="51"/>
  <c r="Q139" i="51" s="1"/>
  <c r="P138" i="51"/>
  <c r="G138" i="51"/>
  <c r="Q138" i="51" s="1"/>
  <c r="P137" i="51"/>
  <c r="G137" i="51"/>
  <c r="Q136" i="51"/>
  <c r="P136" i="51"/>
  <c r="G136" i="51"/>
  <c r="P135" i="51"/>
  <c r="G135" i="51"/>
  <c r="Q135" i="51" s="1"/>
  <c r="P134" i="51"/>
  <c r="G134" i="51"/>
  <c r="Q134" i="51" s="1"/>
  <c r="P132" i="51"/>
  <c r="G132" i="51"/>
  <c r="Q132" i="51" s="1"/>
  <c r="Q131" i="51"/>
  <c r="P131" i="51"/>
  <c r="G131" i="51"/>
  <c r="P130" i="51"/>
  <c r="G130" i="51"/>
  <c r="Q130" i="51" s="1"/>
  <c r="P129" i="51"/>
  <c r="G129" i="51"/>
  <c r="Q129" i="51" s="1"/>
  <c r="P128" i="51"/>
  <c r="G128" i="51"/>
  <c r="Q126" i="51"/>
  <c r="P126" i="51"/>
  <c r="G126" i="51"/>
  <c r="P125" i="51"/>
  <c r="G125" i="51"/>
  <c r="Q125" i="51" s="1"/>
  <c r="P124" i="51"/>
  <c r="G124" i="51"/>
  <c r="Q124" i="51" s="1"/>
  <c r="P123" i="51"/>
  <c r="G123" i="51"/>
  <c r="Q123" i="51" s="1"/>
  <c r="Q122" i="51"/>
  <c r="P122" i="51"/>
  <c r="G122" i="51"/>
  <c r="P121" i="51"/>
  <c r="G121" i="51"/>
  <c r="Q121" i="51" s="1"/>
  <c r="P120" i="51"/>
  <c r="G120" i="51"/>
  <c r="Q120" i="51" s="1"/>
  <c r="P119" i="51"/>
  <c r="G119" i="51"/>
  <c r="Q118" i="51"/>
  <c r="P118" i="51"/>
  <c r="G118" i="51"/>
  <c r="P117" i="51"/>
  <c r="G117" i="51"/>
  <c r="Q117" i="51" s="1"/>
  <c r="P115" i="51"/>
  <c r="G115" i="51"/>
  <c r="Q115" i="51" s="1"/>
  <c r="P114" i="51"/>
  <c r="G114" i="51"/>
  <c r="Q114" i="51" s="1"/>
  <c r="Q112" i="51"/>
  <c r="P112" i="51"/>
  <c r="G112" i="51"/>
  <c r="P111" i="51"/>
  <c r="G111" i="51"/>
  <c r="Q111" i="51" s="1"/>
  <c r="P110" i="51"/>
  <c r="G110" i="51"/>
  <c r="Q110" i="51" s="1"/>
  <c r="P109" i="51"/>
  <c r="G109" i="51"/>
  <c r="Q108" i="51"/>
  <c r="P108" i="51"/>
  <c r="G108" i="51"/>
  <c r="P107" i="51"/>
  <c r="G107" i="51"/>
  <c r="Q107" i="51" s="1"/>
  <c r="P106" i="51"/>
  <c r="G106" i="51"/>
  <c r="Q106" i="51" s="1"/>
  <c r="P105" i="51"/>
  <c r="G105" i="51"/>
  <c r="Q105" i="51" s="1"/>
  <c r="Q104" i="51"/>
  <c r="P104" i="51"/>
  <c r="G104" i="51"/>
  <c r="P103" i="51"/>
  <c r="G103" i="51"/>
  <c r="Q103" i="51" s="1"/>
  <c r="P102" i="51"/>
  <c r="G102" i="51"/>
  <c r="Q102" i="51" s="1"/>
  <c r="P101" i="51"/>
  <c r="G101" i="51"/>
  <c r="Q100" i="51"/>
  <c r="P100" i="51"/>
  <c r="G100" i="51"/>
  <c r="P99" i="51"/>
  <c r="G99" i="51"/>
  <c r="Q99" i="51" s="1"/>
  <c r="P97" i="51"/>
  <c r="G97" i="51"/>
  <c r="Q97" i="51" s="1"/>
  <c r="P96" i="51"/>
  <c r="G96" i="51"/>
  <c r="Q96" i="51" s="1"/>
  <c r="Q95" i="51"/>
  <c r="P95" i="51"/>
  <c r="G95" i="51"/>
  <c r="P94" i="51"/>
  <c r="G94" i="51"/>
  <c r="Q94" i="51" s="1"/>
  <c r="P92" i="51"/>
  <c r="G92" i="51"/>
  <c r="Q92" i="51" s="1"/>
  <c r="P91" i="51"/>
  <c r="G91" i="51"/>
  <c r="Q90" i="51"/>
  <c r="P90" i="51"/>
  <c r="G90" i="51"/>
  <c r="P88" i="51"/>
  <c r="G88" i="51"/>
  <c r="Q88" i="51" s="1"/>
  <c r="P87" i="51"/>
  <c r="G87" i="51"/>
  <c r="Q87" i="51" s="1"/>
  <c r="P86" i="51"/>
  <c r="P173" i="51" s="1"/>
  <c r="O81" i="51" s="1"/>
  <c r="G86" i="51"/>
  <c r="G173" i="51" s="1"/>
  <c r="F81" i="51" s="1"/>
  <c r="J79" i="51" l="1"/>
  <c r="O301" i="51"/>
  <c r="E193" i="51"/>
  <c r="F186" i="51"/>
  <c r="Q101" i="51"/>
  <c r="Q119" i="51"/>
  <c r="Q137" i="51"/>
  <c r="Q153" i="51"/>
  <c r="Q169" i="51"/>
  <c r="N193" i="51"/>
  <c r="O186" i="51"/>
  <c r="P234" i="51"/>
  <c r="Q234" i="51" s="1"/>
  <c r="P243" i="51"/>
  <c r="E436" i="51"/>
  <c r="Q91" i="51"/>
  <c r="Q109" i="51"/>
  <c r="Q128" i="51"/>
  <c r="Q145" i="51"/>
  <c r="E332" i="51"/>
  <c r="F301" i="51" s="1"/>
  <c r="E299" i="51" s="1"/>
  <c r="F188" i="51"/>
  <c r="P219" i="51"/>
  <c r="Q219" i="51" s="1"/>
  <c r="Q86" i="51"/>
  <c r="O188" i="51"/>
  <c r="Q173" i="51" l="1"/>
  <c r="F184" i="51"/>
  <c r="O184" i="51"/>
  <c r="J73" i="51" l="1"/>
</calcChain>
</file>

<file path=xl/sharedStrings.xml><?xml version="1.0" encoding="utf-8"?>
<sst xmlns="http://schemas.openxmlformats.org/spreadsheetml/2006/main" count="2108" uniqueCount="730">
  <si>
    <t>PICK&amp;WIN1</t>
  </si>
  <si>
    <t>PICK AND WIN 1</t>
  </si>
  <si>
    <t>PICK&amp;WIN2</t>
  </si>
  <si>
    <t>PICK AND WIN 2</t>
  </si>
  <si>
    <t>PICK&amp;WIN3</t>
  </si>
  <si>
    <t>PICK AND WIN 3</t>
  </si>
  <si>
    <t>HOT DEAL</t>
  </si>
  <si>
    <t>HDEAL</t>
  </si>
  <si>
    <t>LINK KING</t>
  </si>
  <si>
    <t>KING</t>
  </si>
  <si>
    <t>LINK ME</t>
  </si>
  <si>
    <t>LKM</t>
  </si>
  <si>
    <t>HIT</t>
  </si>
  <si>
    <t>BLZPRLS</t>
  </si>
  <si>
    <t>BLAZING PEARLS</t>
  </si>
  <si>
    <t>SPIN HIT</t>
  </si>
  <si>
    <t>LSHK</t>
  </si>
  <si>
    <t>PICK AND WIN SE</t>
  </si>
  <si>
    <t>PICK&amp;WINSE</t>
  </si>
  <si>
    <t>LINK SHOCK</t>
  </si>
  <si>
    <t>88 MULTI</t>
  </si>
  <si>
    <t>88MULTI</t>
  </si>
  <si>
    <t>88 LINK LUCKY CHARMS</t>
  </si>
  <si>
    <t>88LKLCH</t>
  </si>
  <si>
    <t>88 LINK WILD DUELS</t>
  </si>
  <si>
    <t>88LKWDLS</t>
  </si>
  <si>
    <t>BASHIBA</t>
  </si>
  <si>
    <t>BSHIBA</t>
  </si>
  <si>
    <t>BLAZING PEARLS II</t>
  </si>
  <si>
    <t>BLZPRLSII</t>
  </si>
  <si>
    <t>GUNS &amp; GOLD</t>
  </si>
  <si>
    <t>G&amp;G</t>
  </si>
  <si>
    <t>GUNS &amp; GOLD II</t>
  </si>
  <si>
    <t>G&amp;GII</t>
  </si>
  <si>
    <t>HIT ME UP</t>
  </si>
  <si>
    <t>HTMUP</t>
  </si>
  <si>
    <t>HIT ME UP II</t>
  </si>
  <si>
    <t>HTMUPII</t>
  </si>
  <si>
    <t>LINK KING II</t>
  </si>
  <si>
    <t>KINGII</t>
  </si>
  <si>
    <t>LINK ME II</t>
  </si>
  <si>
    <t>LKMII</t>
  </si>
  <si>
    <t>PICK AND WIN 24</t>
  </si>
  <si>
    <t>P&amp;W24</t>
  </si>
  <si>
    <t>PICK AND WIN 24 / HOT DEAL</t>
  </si>
  <si>
    <t>24HDEAL</t>
  </si>
  <si>
    <t>PICK AND WIN 24 / SPIN HIT</t>
  </si>
  <si>
    <t>24HIT</t>
  </si>
  <si>
    <t>SMART SPINS</t>
  </si>
  <si>
    <t>SSPINS</t>
  </si>
  <si>
    <t>SMART SPINS II</t>
  </si>
  <si>
    <t>SSPINSII</t>
  </si>
  <si>
    <t>88 LINK SHOCK</t>
  </si>
  <si>
    <t>88LKSHK</t>
  </si>
  <si>
    <t>88 MULTI SHOCK</t>
  </si>
  <si>
    <t>88MULTISHK</t>
  </si>
  <si>
    <t>LINK ME SHOCK</t>
  </si>
  <si>
    <t>LKMSHK</t>
  </si>
  <si>
    <t>LINK SHOCK II</t>
  </si>
  <si>
    <t>LSHKII</t>
  </si>
  <si>
    <t>88 LINK MULTIPLIER</t>
  </si>
  <si>
    <t>88LKMULTI</t>
  </si>
  <si>
    <t>BASHIBA ALLURE</t>
  </si>
  <si>
    <t>BSHIBAAALL</t>
  </si>
  <si>
    <t>BASHIBA EGYPTIAN</t>
  </si>
  <si>
    <t>BSHIBAEGYP</t>
  </si>
  <si>
    <t>5 TO WIN</t>
  </si>
  <si>
    <t>5WIN</t>
  </si>
  <si>
    <t>DOUBLE LINK</t>
  </si>
  <si>
    <t>DBLK</t>
  </si>
  <si>
    <t>HOT DEAL II</t>
  </si>
  <si>
    <t>HDEALII</t>
  </si>
  <si>
    <t>LIKE IT</t>
  </si>
  <si>
    <t>LKIT</t>
  </si>
  <si>
    <t>LINK UP</t>
  </si>
  <si>
    <t>LKUP</t>
  </si>
  <si>
    <t>F10LWDR</t>
  </si>
  <si>
    <t>F10HL</t>
  </si>
  <si>
    <t>HIGH LIFE</t>
  </si>
  <si>
    <t>LONG WANG DRAGON</t>
  </si>
  <si>
    <t>BLSTD</t>
  </si>
  <si>
    <t>BLAST DYNASTY</t>
  </si>
  <si>
    <t>MEISHK</t>
  </si>
  <si>
    <t>MEI SHI MEI KE</t>
  </si>
  <si>
    <t>WLEG</t>
  </si>
  <si>
    <t>WHEEL OF LEGENDS</t>
  </si>
  <si>
    <t>DBLKMW</t>
  </si>
  <si>
    <t>DOUBLE LINK MULTIPLIER WARRIORS</t>
  </si>
  <si>
    <t>88LKMS</t>
  </si>
  <si>
    <t>88 LINK MS</t>
  </si>
  <si>
    <t>BSHIBALUXMS</t>
  </si>
  <si>
    <t>BASHIBA LUXOR MS</t>
  </si>
  <si>
    <t>DLMWMS</t>
  </si>
  <si>
    <t>DOUBLE LINK MULTIPLIER WARRIOS MS</t>
  </si>
  <si>
    <t>KING2MS</t>
  </si>
  <si>
    <t>LINK KING 2 MS</t>
  </si>
  <si>
    <t>KING3MS</t>
  </si>
  <si>
    <t>LINK KING 3 MS</t>
  </si>
  <si>
    <t>KING4MS</t>
  </si>
  <si>
    <t>LINK KING 4 MS</t>
  </si>
  <si>
    <t>LKM2MS</t>
  </si>
  <si>
    <t>LINK ME 2 MS</t>
  </si>
  <si>
    <t>MKING</t>
  </si>
  <si>
    <t>MEGA KING</t>
  </si>
  <si>
    <t>F10MG</t>
  </si>
  <si>
    <t>FORTUNE 10 MULTIGAME</t>
  </si>
  <si>
    <t>SPIGUA</t>
  </si>
  <si>
    <t>BISMUS</t>
  </si>
  <si>
    <t>BISON MUSTANG</t>
  </si>
  <si>
    <t>FUSHOU</t>
  </si>
  <si>
    <t>RTWIST</t>
  </si>
  <si>
    <t>ROYAL TWIST</t>
  </si>
  <si>
    <t>MHAM</t>
  </si>
  <si>
    <t>FRWLK</t>
  </si>
  <si>
    <t>FAR WEST LINK</t>
  </si>
  <si>
    <t>FRWLKWM</t>
  </si>
  <si>
    <t>FAR WEST LINK WOLF MUSTANG</t>
  </si>
  <si>
    <t>LTMPL</t>
  </si>
  <si>
    <t>LIGHT TEMPLE</t>
  </si>
  <si>
    <t>MROOTS</t>
  </si>
  <si>
    <t>MAGIC ROOTS</t>
  </si>
  <si>
    <t>LKWLD</t>
  </si>
  <si>
    <t>WILD LINK</t>
  </si>
  <si>
    <t>CHSTS</t>
  </si>
  <si>
    <t>COLFIRE</t>
  </si>
  <si>
    <t>COLOSSUS FIRE</t>
  </si>
  <si>
    <t>BACK TO THE WILD</t>
  </si>
  <si>
    <t>BKWLD</t>
  </si>
  <si>
    <t>LINK KING BOOST</t>
  </si>
  <si>
    <t>KINGB</t>
  </si>
  <si>
    <t>LINK ME BOOST</t>
  </si>
  <si>
    <t>LKMB</t>
  </si>
  <si>
    <t>EPIC KINGDOM</t>
  </si>
  <si>
    <t>EPKNG</t>
  </si>
  <si>
    <t>LTMPLv2</t>
  </si>
  <si>
    <t>MROOTSv2</t>
  </si>
  <si>
    <t>MAGIC ROOTS v2</t>
  </si>
  <si>
    <t>MHAMU</t>
  </si>
  <si>
    <t>FUPTS</t>
  </si>
  <si>
    <t>FUSHLK</t>
  </si>
  <si>
    <t>SPIN GUARDIANS</t>
  </si>
  <si>
    <t>ETERNITY GONG</t>
  </si>
  <si>
    <t>EGONG</t>
  </si>
  <si>
    <t>FORTUNE KEEPERS</t>
  </si>
  <si>
    <t>FORTK</t>
  </si>
  <si>
    <t>FU FROG</t>
  </si>
  <si>
    <t>FUFRG</t>
  </si>
  <si>
    <t>FU POTS</t>
  </si>
  <si>
    <t>FU SHOU LINK</t>
  </si>
  <si>
    <t>FU SHOU QI TIAN LINK</t>
  </si>
  <si>
    <t>RAINING MONEY</t>
  </si>
  <si>
    <t>RMON</t>
  </si>
  <si>
    <t>SEVEN CHESTS</t>
  </si>
  <si>
    <t>MIGHTY HAMMER LINK UP</t>
  </si>
  <si>
    <t>MIGHTY HAMMER ULTIMATE</t>
  </si>
  <si>
    <t>ENERGY LINK RODILLOS</t>
  </si>
  <si>
    <t>ELINKR</t>
  </si>
  <si>
    <t>LIGHT TEMPLE v2</t>
  </si>
  <si>
    <t>LUN PAN DU</t>
  </si>
  <si>
    <t>LPANDU</t>
  </si>
  <si>
    <t xml:space="preserve">ID 6 0 0 1 -  C O D E R E  - M E N E O </t>
  </si>
  <si>
    <t>D.F.</t>
  </si>
  <si>
    <t>1er NIVEL</t>
  </si>
  <si>
    <t>CAJAS</t>
  </si>
  <si>
    <t>R</t>
  </si>
  <si>
    <t>E</t>
  </si>
  <si>
    <t>S</t>
  </si>
  <si>
    <t>T</t>
  </si>
  <si>
    <t>A</t>
  </si>
  <si>
    <t>U</t>
  </si>
  <si>
    <t>N</t>
  </si>
  <si>
    <t>NIVEL</t>
  </si>
  <si>
    <t>ACCESO</t>
  </si>
  <si>
    <t>SALON VIP</t>
  </si>
  <si>
    <t>PLANTA ALTA</t>
  </si>
  <si>
    <t>BOOK</t>
  </si>
  <si>
    <t>RULETA</t>
  </si>
  <si>
    <t>BJ</t>
  </si>
  <si>
    <t>TERRAZA</t>
  </si>
  <si>
    <t>ENTRADA</t>
  </si>
  <si>
    <t>escaleras 1er nivel</t>
  </si>
  <si>
    <t>MESAS</t>
  </si>
  <si>
    <t>MIN JUG $1.50</t>
  </si>
  <si>
    <t>25c</t>
  </si>
  <si>
    <t>MIN JUG $1.00</t>
  </si>
  <si>
    <t>IGT</t>
  </si>
  <si>
    <t>EGT</t>
  </si>
  <si>
    <t>Zi</t>
  </si>
  <si>
    <t>KON POD</t>
  </si>
  <si>
    <t>ISLA 10</t>
  </si>
  <si>
    <t>ISLA 11</t>
  </si>
  <si>
    <t>2c</t>
  </si>
  <si>
    <t>KN</t>
  </si>
  <si>
    <t>MIN JUG $3.40</t>
  </si>
  <si>
    <t>MER</t>
  </si>
  <si>
    <t>B05</t>
  </si>
  <si>
    <t>B06</t>
  </si>
  <si>
    <t>POP DRAGON</t>
  </si>
  <si>
    <t>ISLA 1</t>
  </si>
  <si>
    <t>5c</t>
  </si>
  <si>
    <t>ISLA 2</t>
  </si>
  <si>
    <t>5C</t>
  </si>
  <si>
    <t>25C</t>
  </si>
  <si>
    <t>B10</t>
  </si>
  <si>
    <t>B11</t>
  </si>
  <si>
    <t>SERVICIOS</t>
  </si>
  <si>
    <t>ISLA 3</t>
  </si>
  <si>
    <t>ISLA 4</t>
  </si>
  <si>
    <t>PASILLO DE SERVICIO Y PROVEEDORES</t>
  </si>
  <si>
    <t>SALIDA EMERGENCIA</t>
  </si>
  <si>
    <t>CAJA</t>
  </si>
  <si>
    <t>MIN JUG $2.50</t>
  </si>
  <si>
    <t>ACCESO A FUMAR</t>
  </si>
  <si>
    <t>B13</t>
  </si>
  <si>
    <t>B14</t>
  </si>
  <si>
    <t>B15</t>
  </si>
  <si>
    <t>ISLA 5</t>
  </si>
  <si>
    <t>ISLA 6</t>
  </si>
  <si>
    <t>ISLA 7</t>
  </si>
  <si>
    <t>APEX</t>
  </si>
  <si>
    <t>BAR</t>
  </si>
  <si>
    <t>Salida de Emergencia</t>
  </si>
  <si>
    <t>BAÑOS</t>
  </si>
  <si>
    <t>TOTAL SALA</t>
  </si>
  <si>
    <t>2308-25</t>
  </si>
  <si>
    <t>DETALLE POR AREAS</t>
  </si>
  <si>
    <t>TOTAL BRYKE</t>
  </si>
  <si>
    <t>TOTAL FUMAR BRYKE</t>
  </si>
  <si>
    <t>TOTAL NO FUMAR BRYKE</t>
  </si>
  <si>
    <t>BRYKE</t>
  </si>
  <si>
    <t>TOTAL</t>
  </si>
  <si>
    <t>TOTAL PACK</t>
  </si>
  <si>
    <t>ALLURE - ILLUSION</t>
  </si>
  <si>
    <t>ILLUSION</t>
  </si>
  <si>
    <t>ALLURE</t>
  </si>
  <si>
    <t>FORTUNE 10</t>
  </si>
  <si>
    <t>ALTIUS</t>
  </si>
  <si>
    <t>SHOCK LOUNGE</t>
  </si>
  <si>
    <t>DETALLE COMPETENCIA</t>
  </si>
  <si>
    <t>DETALLE POR AREAS COMPETENCIA</t>
  </si>
  <si>
    <t>TOTAL FUMAR COMPETENCIA</t>
  </si>
  <si>
    <t>TOTAL NO FUMAR COMPETENCIA</t>
  </si>
  <si>
    <t>TOTAL FUMAR COMPETENCIA BINGO</t>
  </si>
  <si>
    <t>TOTAL NO FUMAR COMPETENCIA BINGO</t>
  </si>
  <si>
    <t>TOTAL FUMAR COMPETENCIA RODILLOS</t>
  </si>
  <si>
    <t>TOTAL NO FUMAR COMPETENCIA RODILLOS</t>
  </si>
  <si>
    <t>TOTAL GENERAL</t>
  </si>
  <si>
    <t>PROVEEDOR</t>
  </si>
  <si>
    <t>MAQUINAS</t>
  </si>
  <si>
    <t>% SALA</t>
  </si>
  <si>
    <t>B I N G O</t>
  </si>
  <si>
    <t>BINGO</t>
  </si>
  <si>
    <t>ZITRO</t>
  </si>
  <si>
    <t>EIBE</t>
  </si>
  <si>
    <t>AMBRA GAMING</t>
  </si>
  <si>
    <t>AMBRA</t>
  </si>
  <si>
    <t>METRONIA / BEMEX</t>
  </si>
  <si>
    <t>MET</t>
  </si>
  <si>
    <t>SABIA</t>
  </si>
  <si>
    <t>SAB</t>
  </si>
  <si>
    <t>FBM</t>
  </si>
  <si>
    <t>JESTRONIC</t>
  </si>
  <si>
    <t>R. FRANCO</t>
  </si>
  <si>
    <t>FRANCO</t>
  </si>
  <si>
    <t>KONAMI BINGO</t>
  </si>
  <si>
    <t>KNBINGO</t>
  </si>
  <si>
    <t>WINPOT / DREIDEL</t>
  </si>
  <si>
    <t>WINPOT</t>
  </si>
  <si>
    <t>SLEIC (OTIUM - UNIDESA)</t>
  </si>
  <si>
    <t>SLEIC</t>
  </si>
  <si>
    <t>PACHINKO</t>
  </si>
  <si>
    <t>BLUBERI</t>
  </si>
  <si>
    <t>BLUB</t>
  </si>
  <si>
    <t>BETSTONE BINGO</t>
  </si>
  <si>
    <t>BTSB</t>
  </si>
  <si>
    <t>SHOWBALL</t>
  </si>
  <si>
    <t>SHOW</t>
  </si>
  <si>
    <t>LATINA WORLD GAMING</t>
  </si>
  <si>
    <t>LATINWG</t>
  </si>
  <si>
    <t>LUDICUS/IGT Bingo</t>
  </si>
  <si>
    <t>LUD/IGT B</t>
  </si>
  <si>
    <t>AGS</t>
  </si>
  <si>
    <t>AGSB</t>
  </si>
  <si>
    <t>VDK2</t>
  </si>
  <si>
    <t>VDK</t>
  </si>
  <si>
    <t>DEGESTEC BINGO</t>
  </si>
  <si>
    <t>DEGESTEC B</t>
  </si>
  <si>
    <t>JCB GAMING</t>
  </si>
  <si>
    <t>JCB</t>
  </si>
  <si>
    <t>RCT BINGO</t>
  </si>
  <si>
    <t>RCT</t>
  </si>
  <si>
    <t>RCT B</t>
  </si>
  <si>
    <t>INTERVISION BINGO</t>
  </si>
  <si>
    <t>INTERVISION</t>
  </si>
  <si>
    <t>INTVB</t>
  </si>
  <si>
    <t>OTROS BINGO</t>
  </si>
  <si>
    <t>OTROS B</t>
  </si>
  <si>
    <t>R O D I L L O S</t>
  </si>
  <si>
    <t>RODILLOS</t>
  </si>
  <si>
    <t>AINSWORTH</t>
  </si>
  <si>
    <t>AW</t>
  </si>
  <si>
    <t>ADMIRAL</t>
  </si>
  <si>
    <t>ADMI</t>
  </si>
  <si>
    <t>ATLAS</t>
  </si>
  <si>
    <t>AGT</t>
  </si>
  <si>
    <t>ALFASTREET</t>
  </si>
  <si>
    <t>AST</t>
  </si>
  <si>
    <t>AMATIC</t>
  </si>
  <si>
    <t>AMA</t>
  </si>
  <si>
    <t>AMUSGO</t>
  </si>
  <si>
    <t>AMGO</t>
  </si>
  <si>
    <t>ARISTOCRAT</t>
  </si>
  <si>
    <t>AR</t>
  </si>
  <si>
    <t>ARUZE</t>
  </si>
  <si>
    <t>ARU</t>
  </si>
  <si>
    <t>ASTRO</t>
  </si>
  <si>
    <t>ATRONIC</t>
  </si>
  <si>
    <t>AT</t>
  </si>
  <si>
    <t>AURIFY</t>
  </si>
  <si>
    <t>AFI</t>
  </si>
  <si>
    <t>AVANTIME</t>
  </si>
  <si>
    <t>AV</t>
  </si>
  <si>
    <t>BELATRA (MULTIVISION)</t>
  </si>
  <si>
    <t>BEL</t>
  </si>
  <si>
    <t>BETSTONE</t>
  </si>
  <si>
    <t>BTS</t>
  </si>
  <si>
    <t>BLU</t>
  </si>
  <si>
    <t>BRAVO GAMES</t>
  </si>
  <si>
    <t>BGAMES</t>
  </si>
  <si>
    <t>CASINO TECHNOLOGY</t>
  </si>
  <si>
    <t>CT</t>
  </si>
  <si>
    <t>CELEBRITY</t>
  </si>
  <si>
    <t>CELE</t>
  </si>
  <si>
    <t>CV GAMES</t>
  </si>
  <si>
    <t>CV G</t>
  </si>
  <si>
    <t>CYBERVIEW</t>
  </si>
  <si>
    <t>CYB</t>
  </si>
  <si>
    <t>DEGESTEC</t>
  </si>
  <si>
    <t>DIGIDEAL</t>
  </si>
  <si>
    <t>DGD</t>
  </si>
  <si>
    <t>DIXPA GAMES</t>
  </si>
  <si>
    <t>DIXG</t>
  </si>
  <si>
    <t>E-GAMING (MULTI JUEGOS)</t>
  </si>
  <si>
    <t>E-GAM</t>
  </si>
  <si>
    <t>EIBE SLOTS</t>
  </si>
  <si>
    <t>EIBE-SLT</t>
  </si>
  <si>
    <t>EIBE SLOTS OTIUM</t>
  </si>
  <si>
    <t>EIBE-SLTOTIUM</t>
  </si>
  <si>
    <t>ENCORE</t>
  </si>
  <si>
    <t>ENCO</t>
  </si>
  <si>
    <t>EVERI</t>
  </si>
  <si>
    <t>EVER</t>
  </si>
  <si>
    <t>FBM RODILLOS</t>
  </si>
  <si>
    <t>FBMRO</t>
  </si>
  <si>
    <t>GAME MEDIA WORKS</t>
  </si>
  <si>
    <t>GMW</t>
  </si>
  <si>
    <t>GAMES UNLIMITED</t>
  </si>
  <si>
    <t>GU</t>
  </si>
  <si>
    <t>GAMINATOR</t>
  </si>
  <si>
    <t>GTOR</t>
  </si>
  <si>
    <t>GOLDEN GAMING</t>
  </si>
  <si>
    <t>GGAM</t>
  </si>
  <si>
    <t>GOLDEN SYSTEM</t>
  </si>
  <si>
    <t>GSYM</t>
  </si>
  <si>
    <t>GT SOURCE</t>
  </si>
  <si>
    <t>GTS</t>
  </si>
  <si>
    <t>HEAL TECNOLOGY</t>
  </si>
  <si>
    <t>HTEC</t>
  </si>
  <si>
    <t>ID GAMMING</t>
  </si>
  <si>
    <t>IDG</t>
  </si>
  <si>
    <t>INCREDIBLE TECHNOLOGIES</t>
  </si>
  <si>
    <t>INCTECH</t>
  </si>
  <si>
    <t>INTERACTIVE</t>
  </si>
  <si>
    <t>INTER</t>
  </si>
  <si>
    <t>INTERBLOCK</t>
  </si>
  <si>
    <t>INTB</t>
  </si>
  <si>
    <t>INTV</t>
  </si>
  <si>
    <t>JAMES</t>
  </si>
  <si>
    <t>JMES</t>
  </si>
  <si>
    <t>JESTRE</t>
  </si>
  <si>
    <t>JES</t>
  </si>
  <si>
    <t>JVL</t>
  </si>
  <si>
    <t>KONAMI</t>
  </si>
  <si>
    <t>LEGENDARY GAMING/BAUM GAMES</t>
  </si>
  <si>
    <t>BAUM</t>
  </si>
  <si>
    <t>MERKUR</t>
  </si>
  <si>
    <t>MULTI MEDIA GAMES</t>
  </si>
  <si>
    <t>MMG</t>
  </si>
  <si>
    <t>NOVOMATIC</t>
  </si>
  <si>
    <t>NOV</t>
  </si>
  <si>
    <t>OPERADORA CLASS LK</t>
  </si>
  <si>
    <t>CLASSLK</t>
  </si>
  <si>
    <t>ORION</t>
  </si>
  <si>
    <t>ORI</t>
  </si>
  <si>
    <t>PAULA</t>
  </si>
  <si>
    <t>PAU</t>
  </si>
  <si>
    <t>PRIOR 2 ARRIVAL</t>
  </si>
  <si>
    <t>P2A</t>
  </si>
  <si>
    <t>PROMATIC</t>
  </si>
  <si>
    <t>PMAT</t>
  </si>
  <si>
    <t>SB</t>
  </si>
  <si>
    <t>LIGHT &amp; WONDER</t>
  </si>
  <si>
    <t>SCIGA</t>
  </si>
  <si>
    <t>SCORPIO GAMING INTERNATIONAL</t>
  </si>
  <si>
    <t>SGINT</t>
  </si>
  <si>
    <t>SEGA SAMMY CREATION</t>
  </si>
  <si>
    <t>SAMMY</t>
  </si>
  <si>
    <t>SHOWBALL RODILLOS</t>
  </si>
  <si>
    <t>SHOWRO</t>
  </si>
  <si>
    <t>SLEIC RODILLOS</t>
  </si>
  <si>
    <t>SLERO</t>
  </si>
  <si>
    <t>SPIELO</t>
  </si>
  <si>
    <t>SPLO</t>
  </si>
  <si>
    <t>TECNOVISION</t>
  </si>
  <si>
    <t>TCNO</t>
  </si>
  <si>
    <t>VEGAVISION</t>
  </si>
  <si>
    <t>VEGA</t>
  </si>
  <si>
    <t>VGT</t>
  </si>
  <si>
    <t>WINPOT / DREIDEL SL</t>
  </si>
  <si>
    <t>WINPOTSL</t>
  </si>
  <si>
    <t>WIN SYSTEM</t>
  </si>
  <si>
    <t>WS</t>
  </si>
  <si>
    <t>OTROS SLOTS</t>
  </si>
  <si>
    <t>OTROS SL</t>
  </si>
  <si>
    <t>TABLA DE SIGNS SLOTS</t>
  </si>
  <si>
    <t>TOTAL SIGNS SALA</t>
  </si>
  <si>
    <t xml:space="preserve">TOTAL FUMAR </t>
  </si>
  <si>
    <t>TOTAL NO FUMAR</t>
  </si>
  <si>
    <t>FRAMELESS 1 CARA</t>
  </si>
  <si>
    <t>5 TO WIN 1 CARA</t>
  </si>
  <si>
    <t>SIGN 5TW-1</t>
  </si>
  <si>
    <t>88 LINK 1 CARA</t>
  </si>
  <si>
    <t>SIGN 88LINK-1</t>
  </si>
  <si>
    <t>BACK TO THE WILD 1 CARA</t>
  </si>
  <si>
    <t>SIGN BWILD-1</t>
  </si>
  <si>
    <t>BASHIBA 1 CARA</t>
  </si>
  <si>
    <t>SIGN BASHIBA-1</t>
  </si>
  <si>
    <t>BLAST DINASTY 1 CARA</t>
  </si>
  <si>
    <t>SIGN BLAST-1</t>
  </si>
  <si>
    <t>COLFIRE 1 CARA</t>
  </si>
  <si>
    <t>SIGN COLF-1</t>
  </si>
  <si>
    <t>DOUBLE LINK 1 CARA</t>
  </si>
  <si>
    <t>SIGN DBLK-1</t>
  </si>
  <si>
    <t>ENERGY LINK RODILLOS 1 CARA</t>
  </si>
  <si>
    <t>SIGN ELINKR-1</t>
  </si>
  <si>
    <t>FU FROG 1 CARA</t>
  </si>
  <si>
    <t>SIGN FUFRG-1</t>
  </si>
  <si>
    <t>FU POTS 1 CARA</t>
  </si>
  <si>
    <t>SIGN FUPTS-1</t>
  </si>
  <si>
    <t>LIGHT TEMPLE 1 CARA</t>
  </si>
  <si>
    <t>SIGN LTMPL-1</t>
  </si>
  <si>
    <t>LIGHT TEMPLE V2 1 CARA</t>
  </si>
  <si>
    <t>SIGN LTMPLV2-1</t>
  </si>
  <si>
    <t>LINK KING 1 CARA</t>
  </si>
  <si>
    <t>SIGN LK-1</t>
  </si>
  <si>
    <t>LINK KING II 1 CARA</t>
  </si>
  <si>
    <t>SIGN LK2-1</t>
  </si>
  <si>
    <t>LINK KING II MEGA SHARE 1 CARA</t>
  </si>
  <si>
    <t>SIGN LK2MS-1</t>
  </si>
  <si>
    <t>LINK KING BOOST 1 CARA</t>
  </si>
  <si>
    <t>SIGN LKB-1</t>
  </si>
  <si>
    <t>LINK ME 1 CARA</t>
  </si>
  <si>
    <t>SIGN LM-1</t>
  </si>
  <si>
    <t>LINK ME II 1 CARA</t>
  </si>
  <si>
    <t>SIGN LM2-1</t>
  </si>
  <si>
    <t>LINK ME II MEGA SHARE 1 CARA</t>
  </si>
  <si>
    <t>SIGN LM2MS-1</t>
  </si>
  <si>
    <t>LINK ME BOOST 1 CARA</t>
  </si>
  <si>
    <t>SIGN LMB-1</t>
  </si>
  <si>
    <t>LINK SHOCK 1 CARA</t>
  </si>
  <si>
    <t>SIGN LSHOCK-1</t>
  </si>
  <si>
    <t>LINK UP 1 CARA</t>
  </si>
  <si>
    <t>SIGN LKUP-1</t>
  </si>
  <si>
    <t>MAGIC ROOTS V2 1 CARA</t>
  </si>
  <si>
    <t>SIGN MROOTSV2-1</t>
  </si>
  <si>
    <t>MEGA KING 1 CARA</t>
  </si>
  <si>
    <t>SIGN MKING-1</t>
  </si>
  <si>
    <t>MIGHTY HAMMER 1 CARA</t>
  </si>
  <si>
    <t>SIGN MHAM-1</t>
  </si>
  <si>
    <t>MEI SHI MEI KE 1 CARA</t>
  </si>
  <si>
    <t>SIGN MEISHI-1</t>
  </si>
  <si>
    <t>PICK &amp; WIN 1 CARA</t>
  </si>
  <si>
    <t>SIGN P&amp;W-1</t>
  </si>
  <si>
    <t>WILD LINK 1 CARA</t>
  </si>
  <si>
    <t>SIGN WILDLINK-1</t>
  </si>
  <si>
    <t>FRAMELESS 2 CARAS</t>
  </si>
  <si>
    <t>5 TO WIN 2 CARAS</t>
  </si>
  <si>
    <t>SIGN 5TW-2</t>
  </si>
  <si>
    <t>88 LINK 2 CARAS</t>
  </si>
  <si>
    <t>SIGN 88LINK-2</t>
  </si>
  <si>
    <t>88 LINK MEGA SHARE 2 CARAS</t>
  </si>
  <si>
    <t>SIGN 88LINKMS-2</t>
  </si>
  <si>
    <t>BACK TO THE WILD 2 CARAS</t>
  </si>
  <si>
    <t>SIGN BWILD-2</t>
  </si>
  <si>
    <t>BASHIBA 2 CARAS</t>
  </si>
  <si>
    <t>SIGN BASHIBA-2</t>
  </si>
  <si>
    <t>BLAST DINASTY 2 CARAS</t>
  </si>
  <si>
    <t>SIGN BLAST-2</t>
  </si>
  <si>
    <t>COLOSSUS FIRE 2 CARAS</t>
  </si>
  <si>
    <t>SIGN COLF-2</t>
  </si>
  <si>
    <t>DOUBLE LINK 2 CARAS</t>
  </si>
  <si>
    <t>SIGN DBLK-2</t>
  </si>
  <si>
    <t>ENERGY LINK RODILLOS 2 CARAS</t>
  </si>
  <si>
    <t>SIGN ELINKR-2</t>
  </si>
  <si>
    <t>FU FROG 2 CARAS</t>
  </si>
  <si>
    <t>SIGN FUFRG-2</t>
  </si>
  <si>
    <t>FU POTS 2 CARAS</t>
  </si>
  <si>
    <t>SIGN FUPTS-2</t>
  </si>
  <si>
    <t>FU FROG / FU POTS 2 CARAS</t>
  </si>
  <si>
    <t>SIGN FUFRG/FUPTS-2</t>
  </si>
  <si>
    <t>LIGHT TEMPLE 2 CARAS</t>
  </si>
  <si>
    <t>SIGN LTMPL-2</t>
  </si>
  <si>
    <t>LIGHT TEMPLE V2 2 CARAS</t>
  </si>
  <si>
    <t>SIGN LTMPLV2-2</t>
  </si>
  <si>
    <t>LIGHT TEMPLE V2 / BASHIBBA 2 CARAS</t>
  </si>
  <si>
    <t>SIGN LTMPLV2/BASHIBA-2</t>
  </si>
  <si>
    <t>LIGHT TEMPLE V2 / DOUBLE LINK 2 CARAS</t>
  </si>
  <si>
    <t>SIGN LTMPLV2/DBLK-2</t>
  </si>
  <si>
    <t>LINK KING 2 CARAS</t>
  </si>
  <si>
    <t>SIGN LK-2</t>
  </si>
  <si>
    <t>LINK KING II MEGA SHARE 2 CARAS</t>
  </si>
  <si>
    <t>SIGN LK2MS-2</t>
  </si>
  <si>
    <t>LINK KING BOOST 2 CARAS</t>
  </si>
  <si>
    <t>SIGN LKB-2</t>
  </si>
  <si>
    <t>LINK ME 2 CARAS</t>
  </si>
  <si>
    <t>SIGN LM-2</t>
  </si>
  <si>
    <t>LINK ME II MEGA SHARE 2 CARAS</t>
  </si>
  <si>
    <t>SIGN LM2MS-2</t>
  </si>
  <si>
    <t>LINK ME BOOST 2 CARAS</t>
  </si>
  <si>
    <t>SIGN LMB-2</t>
  </si>
  <si>
    <t>LINK ME BOOST / ENERGY LINK RODILLOS 2 CARAS</t>
  </si>
  <si>
    <t>SIGN LMB/ELINKR-2</t>
  </si>
  <si>
    <t>LINK ME / ENERGY LINK RODILLOS 2 CARAS</t>
  </si>
  <si>
    <t>SIGN LM/ELINKR-2</t>
  </si>
  <si>
    <t>LINK KING / ENERGY LINK RODILLOS 2 CARAS</t>
  </si>
  <si>
    <t>SIGN LK/ELINKR-2</t>
  </si>
  <si>
    <t>LINK SHOCK 2 CARAS</t>
  </si>
  <si>
    <t>SIGN LSHOCK-2</t>
  </si>
  <si>
    <t>LINK KING / LINK ME 2 CARAS</t>
  </si>
  <si>
    <t>SIGN LK/LM-2</t>
  </si>
  <si>
    <t>LINK KING / LINK KING II MEGA SHARE 2 CARAS</t>
  </si>
  <si>
    <t>SIGN LK/LK2MS-2</t>
  </si>
  <si>
    <t>LINK KING / LINK KING BOOST 2 CARAS</t>
  </si>
  <si>
    <t>SIGN LK/LKB-2</t>
  </si>
  <si>
    <t>LINK KING / LINK ME BOOST 2 CARAS</t>
  </si>
  <si>
    <t>SIGN LK/LMB-2</t>
  </si>
  <si>
    <t>LINK KING BOOST / LINK ME BOOST 2 CARAS</t>
  </si>
  <si>
    <t>SIGN LKB/LMB-2</t>
  </si>
  <si>
    <t>LINK ME / LINK KING II MEGA SHARE 2 CARAS</t>
  </si>
  <si>
    <t>SIGN LM/LK2MS-2</t>
  </si>
  <si>
    <t>LINK ME II MEGA SHARE / LINK KING II MEGA SHARE 2 CARAS</t>
  </si>
  <si>
    <t>SIGN LM2MS/LK2MS-2</t>
  </si>
  <si>
    <t>LINK ME II MEGA SHARE / LINK ME BOOST  2 CARAS</t>
  </si>
  <si>
    <t>SIGN LM2MS/LMB-2</t>
  </si>
  <si>
    <t>LINK ME / LINK ME BOOST 2 CARAS</t>
  </si>
  <si>
    <t>SIGN LM/LMB-2</t>
  </si>
  <si>
    <t>LINK KING / LINK SHOCK 2 CARAS</t>
  </si>
  <si>
    <t>SIGN LK/ LSHOCK-2</t>
  </si>
  <si>
    <t>LINK ME / LINK SHOCK 2 CARAS</t>
  </si>
  <si>
    <t>SIGN LM/ LSHOCK-2</t>
  </si>
  <si>
    <t>LINK KING BOOST / LINK SHOCK 2 CARAS</t>
  </si>
  <si>
    <t>SIGN LKB/ LSHOCK-2</t>
  </si>
  <si>
    <t>LINK ME BOOST / LINK SHOCK 2 CARAS</t>
  </si>
  <si>
    <t>SIGN LMB/ LSHOCK-2</t>
  </si>
  <si>
    <t>LINK ME BOOST / MEGA SHARE 2 CARAS</t>
  </si>
  <si>
    <t>SIGN LMB/MS-2</t>
  </si>
  <si>
    <t>PICK &amp; WIN 2 CARAS</t>
  </si>
  <si>
    <t>SIGN P&amp;W-2</t>
  </si>
  <si>
    <t>5TW / MIGHTY HAMMER 2 CARAS</t>
  </si>
  <si>
    <t>SIGN 5TW/MHAM-2</t>
  </si>
  <si>
    <t>5TW / LINK KING 2 CARAS</t>
  </si>
  <si>
    <t>SIGN 5TW/LK-2</t>
  </si>
  <si>
    <t>5TW / LINK KING II MEGA SHARE 2 CARAS</t>
  </si>
  <si>
    <t>SIGN 5TW/LK2MS-2</t>
  </si>
  <si>
    <t>5TW / LINK ME 2 CARAS</t>
  </si>
  <si>
    <t>SIGN 5TW/LM-2</t>
  </si>
  <si>
    <t>5TW / LINK ME II MEGA SHARE  2 CARAS</t>
  </si>
  <si>
    <t>SIGN 5TW/LM2MS-2</t>
  </si>
  <si>
    <t>5TW / LINK KING BOOST 2 CARAS</t>
  </si>
  <si>
    <t>SIGN 5TW/LKB-2</t>
  </si>
  <si>
    <t>5TW / LINK ME BOOST 2 CARAS</t>
  </si>
  <si>
    <t>SIGN 5TW/LMB-2</t>
  </si>
  <si>
    <t>5TW / LINK SHOCK 2 CARAS</t>
  </si>
  <si>
    <t>SIGN 5TW/LSHOCK-2</t>
  </si>
  <si>
    <t>88 LINK / BLAST DINASTY 2 CARAS</t>
  </si>
  <si>
    <t>SIGN 88LINK/BLAST-2</t>
  </si>
  <si>
    <t>COLOSSUS FIRE / LIGH TEMPLE 2 CARAS</t>
  </si>
  <si>
    <t>SIGN COLF/LTMPL-2</t>
  </si>
  <si>
    <t>DOUBLE LINK / BASHIBA 2 CARAS</t>
  </si>
  <si>
    <t>SIGN DBLK/BASHIBA-2</t>
  </si>
  <si>
    <t>DOUBLE LINK / BLAST DINASTY 2 CARAS</t>
  </si>
  <si>
    <t>SIGN DBLK/BLAST-2</t>
  </si>
  <si>
    <t>DOUBLE LINK / COLOSSUS FIRE 2 CARAS</t>
  </si>
  <si>
    <t>SIGN DBLK/COLF-2</t>
  </si>
  <si>
    <t>DOUBLE LINK / DOUBLE LINK MULTI WARRIOR 2 CARAS</t>
  </si>
  <si>
    <t>SIGN DBLK/DBLKMW-2</t>
  </si>
  <si>
    <t>MAGIC ROOTS V2  2 CARAS</t>
  </si>
  <si>
    <t>SIGN MROOTSV2-2</t>
  </si>
  <si>
    <t>MAGIC ROOTS V2 / LINK KING  2 CARAS</t>
  </si>
  <si>
    <t>SIGN MROOTSV2/LK-2</t>
  </si>
  <si>
    <t>MAGIC ROOTS V2 / LINK ME  2 CARAS</t>
  </si>
  <si>
    <t>MEGA KING 2 CARAS</t>
  </si>
  <si>
    <t>SIGN MKING-2</t>
  </si>
  <si>
    <t>MEGA KING / BLAST DINASTY</t>
  </si>
  <si>
    <t>SIGN MKING/BLAST-2</t>
  </si>
  <si>
    <t>MEGA KING / ENERGY LINK RODILLOS 2 CARAS</t>
  </si>
  <si>
    <t>SIGN MKING/ELINKR-2</t>
  </si>
  <si>
    <t>MEGA KING / LINK KING 2 CARAS</t>
  </si>
  <si>
    <t>SIGN MKING/LK-2</t>
  </si>
  <si>
    <t>MEGA KING / LINK KING BOOST 2 CARAS</t>
  </si>
  <si>
    <t>SIGN MKING/LKB-2</t>
  </si>
  <si>
    <t>MEGA KING / LINK ME 2 CARAS</t>
  </si>
  <si>
    <t>SIGN MKING/LM-2</t>
  </si>
  <si>
    <t>MEGA KING / LIGHT TEMPLE 2 CARAS</t>
  </si>
  <si>
    <t>SIGN MKING/LTMPL-2</t>
  </si>
  <si>
    <t>MEGA KING / MIGHTY HAMMER 2 CARAS</t>
  </si>
  <si>
    <t>SIGN MKING/MHAM-2</t>
  </si>
  <si>
    <t>MEGA KING / 88LINK 2 CARAS</t>
  </si>
  <si>
    <t>SIGN MKING/88LINK-2</t>
  </si>
  <si>
    <t>MIGHTY HAMMER 2 CARAS</t>
  </si>
  <si>
    <t>SIGN MHAM-2</t>
  </si>
  <si>
    <t>MIGHTY HAMMER / BASHIBA 2 CARAS</t>
  </si>
  <si>
    <t>SIGN MHAM/BASHIBA-2</t>
  </si>
  <si>
    <t>MIGHTY HAMMER / COLOSSUS FIRE 2 CARAS</t>
  </si>
  <si>
    <t>SIGN MHAM/COLF-2</t>
  </si>
  <si>
    <t>MIGHTY HAMMER / DOUBLE LINK 2 CARAS</t>
  </si>
  <si>
    <t>SIGN MHAM/DBLK-2</t>
  </si>
  <si>
    <t>MIGHTY HAMMER / LIGHT TEMPLE 2 CARAS</t>
  </si>
  <si>
    <t>SIGN MHAM/LTMPL-2</t>
  </si>
  <si>
    <t>MIGHTY HAMMER / 88LINK 2 CARAS</t>
  </si>
  <si>
    <t>SIGN MHAM/88LINK-2</t>
  </si>
  <si>
    <t>MEGA SHARE</t>
  </si>
  <si>
    <t>SIGN MS-2</t>
  </si>
  <si>
    <t>MEI SHI MEI KE 2 CARAS</t>
  </si>
  <si>
    <t>SIGN MEISHI-2</t>
  </si>
  <si>
    <t>MEI SHI MEI KE / BLAST DINASTY 2 CARAS</t>
  </si>
  <si>
    <t>SIGN MEISHI/BLAST-2</t>
  </si>
  <si>
    <t>WILD LINK 2 CARAS</t>
  </si>
  <si>
    <t>SIGN WILDLINK-2</t>
  </si>
  <si>
    <t>CIRCULAR LED</t>
  </si>
  <si>
    <t>88 LINK</t>
  </si>
  <si>
    <t>SIGN CRLED-88LINK</t>
  </si>
  <si>
    <t>88 LINK CON ACUMULADO</t>
  </si>
  <si>
    <t>SIGN CRLEDA-88LINK</t>
  </si>
  <si>
    <t>88 LINK MEGA SHARE</t>
  </si>
  <si>
    <t>SIGN CRLED-88LINKMS</t>
  </si>
  <si>
    <t>88 LINK MEGA SHARE CON ACUMULADO</t>
  </si>
  <si>
    <t>SIGN CRLEDA-88LINKMS</t>
  </si>
  <si>
    <t>BASHIBA LUXOR MEGA SHARE</t>
  </si>
  <si>
    <t>SIGN CRLED-BASHIBALUXORMS</t>
  </si>
  <si>
    <t>BASHIBA LUXOR MEGA SHARE CON ACUMULADO</t>
  </si>
  <si>
    <t>SIGN CRLEDA-BASHIBALUXORMS</t>
  </si>
  <si>
    <t>BASHIBA LUXOR MEGA SHARE / DOUBLE LINK</t>
  </si>
  <si>
    <t>SIGN CRLED-BASHIBALUXORMS/DBLK</t>
  </si>
  <si>
    <t>BASHIBA LUXOR MEGA SHARE / DOUBLE LINK CON ACUMULADO</t>
  </si>
  <si>
    <t>SIGN CRLEDA-BASHIBALUXORMS/DBLK</t>
  </si>
  <si>
    <t>SIGN CRLED-COLF</t>
  </si>
  <si>
    <t>COLOSSUS FIRE CON ACUMULADO</t>
  </si>
  <si>
    <t>SIGN CRLEDA-COLF</t>
  </si>
  <si>
    <t>DOUBLE LINK MEGA SHARE</t>
  </si>
  <si>
    <t>SIGN CRLED-DBLKMS</t>
  </si>
  <si>
    <t>DOUBLE LINK MEGA SHARE CON ACUMULADO</t>
  </si>
  <si>
    <t>SIGN CRLEDA-DBLKMS</t>
  </si>
  <si>
    <t>SIGN CRLED.LTMPL</t>
  </si>
  <si>
    <t>LIGHT TEMPLE CON ACUMULADO</t>
  </si>
  <si>
    <t>SIGN CRLEDA-LTMPL</t>
  </si>
  <si>
    <t>LINK KING MEGA SHARE</t>
  </si>
  <si>
    <t>SIGN CRLED-LKMS</t>
  </si>
  <si>
    <t>LINK KING MEGA SHARE CON ACUMULADO</t>
  </si>
  <si>
    <t>SIGN CRLEDA-LKMS</t>
  </si>
  <si>
    <t>LINK ME MEGA SHARE</t>
  </si>
  <si>
    <t>SIGN CRLED-LMMS</t>
  </si>
  <si>
    <t>LINK ME MEGA SHARE CON ACUMULADO</t>
  </si>
  <si>
    <t>SIGN CRLEDA-LMMS</t>
  </si>
  <si>
    <t>SIGN CRLED-MKING</t>
  </si>
  <si>
    <t>MEGA KING CON ACUMULADO</t>
  </si>
  <si>
    <t>SIGN CRLEDA-MKING</t>
  </si>
  <si>
    <t>MIGHTY HAMMER</t>
  </si>
  <si>
    <t>SIGN CRLED-MHAM</t>
  </si>
  <si>
    <t>MIGHTY HAMMER CON ACUMULADO</t>
  </si>
  <si>
    <t>SIGN CRLEDA-MHAM</t>
  </si>
  <si>
    <t>BINGO LINK</t>
  </si>
  <si>
    <t>SIGN BL5TW-1</t>
  </si>
  <si>
    <t>SIGN BL5TW-2</t>
  </si>
  <si>
    <t>SIGN BLLK-1</t>
  </si>
  <si>
    <t>SIGN BLLK-2</t>
  </si>
  <si>
    <t>SIGN BLLM-1</t>
  </si>
  <si>
    <t>SIGN BLLM-2</t>
  </si>
  <si>
    <t>SIGN BP5TW-1</t>
  </si>
  <si>
    <t>SIGN BP5TW-2</t>
  </si>
  <si>
    <t>BLAZING PEARLS 1 CARA</t>
  </si>
  <si>
    <t>SIGN BP-1</t>
  </si>
  <si>
    <t>BLAZING PEARLS 2 CARAS</t>
  </si>
  <si>
    <t>SIGN BP-2</t>
  </si>
  <si>
    <t>CUADRADO LED</t>
  </si>
  <si>
    <t>SIGN CDLED-88LSHOCK</t>
  </si>
  <si>
    <t>SIGN CDLED-88LINKMS</t>
  </si>
  <si>
    <t>88 LINK - 88 MULTI</t>
  </si>
  <si>
    <t>SIGN CDLED-88LK/88MULTI</t>
  </si>
  <si>
    <t>SIGN CDLED-5TW</t>
  </si>
  <si>
    <t>SIGN CDLED-COLF</t>
  </si>
  <si>
    <t>SIGN CDLED-DBLK</t>
  </si>
  <si>
    <t>SIGN CDLED-LK</t>
  </si>
  <si>
    <t>SIGN CDLED-LM</t>
  </si>
  <si>
    <t>LINK KING / LINK ME</t>
  </si>
  <si>
    <t>SIGN CDLED-LK/LM</t>
  </si>
  <si>
    <t>SIGN CDLED-LTMPL</t>
  </si>
  <si>
    <t>SIGN CDLED-MHAM</t>
  </si>
  <si>
    <t>SIGN CDLED-MKING</t>
  </si>
  <si>
    <t>PORTICO</t>
  </si>
  <si>
    <t>FU SHOU 1 CARA</t>
  </si>
  <si>
    <t>SIGN PORTICO-FSHOU-1</t>
  </si>
  <si>
    <t>FU SHOU 2 CARAS</t>
  </si>
  <si>
    <t>SIGN PORTICO-FSHOU-2</t>
  </si>
  <si>
    <t>FU SHOU LINK 1 CARA</t>
  </si>
  <si>
    <t>SIGN PORTICO-FSHOULK-1</t>
  </si>
  <si>
    <t>FU SHOU LINK 2 CARAS</t>
  </si>
  <si>
    <t>SIGN PORTICO-FSHOULK-2</t>
  </si>
  <si>
    <t>WHEEL OF LEGENDS 1 CARA</t>
  </si>
  <si>
    <t>SIGN PORTICO-WLEG-1</t>
  </si>
  <si>
    <t>WHEEL OF LEGENDS 2 CARAS</t>
  </si>
  <si>
    <t>SIGN PORTICO-WLEG-2</t>
  </si>
  <si>
    <t>EPICK KINGDOM 1 CARA</t>
  </si>
  <si>
    <t>SIGN PORTICO-EPKNG-1</t>
  </si>
  <si>
    <t>EPICK KINGDOM 2 CARAS</t>
  </si>
  <si>
    <t>SIGN PORTICO-EPKNG-2</t>
  </si>
  <si>
    <t>SEVEN CHESTS 1 CARA</t>
  </si>
  <si>
    <t>SIGN PORTICO-CHESTS-1</t>
  </si>
  <si>
    <t>SEVEN CHESTS 2 CARAS</t>
  </si>
  <si>
    <t>SIGN PORTICO-CHESTS-2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</si>
</sst>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\$* #,##0_);_(\$* \(#,##0\);_(\$* &quot;-&quot;_);_(@_)"/>
    <numFmt numFmtId="169" formatCode="_-&quot;€&quot;* #,##0.00_-;\-&quot;€&quot;* #,##0.00_-;_-&quot;€&quot;* &quot;-&quot;??_-;_-@_-"/>
    <numFmt numFmtId="170" formatCode="_-* #,##0\ _€_-;\-* #,##0\ _€_-;_-* &quot;-&quot;\ _€_-;_-@_-"/>
    <numFmt numFmtId="171" formatCode="0000000"/>
  </numFmts>
  <fonts count="13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  <charset val="1"/>
    </font>
    <font>
      <sz val="10"/>
      <color indexed="8"/>
      <name val="Arial"/>
      <family val="2"/>
    </font>
    <font>
      <u/>
      <sz val="7"/>
      <color indexed="12"/>
      <name val="Tahoma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Helv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rgb="FFFFFF00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18"/>
      <color theme="2"/>
      <name val="Calibri"/>
      <family val="2"/>
      <scheme val="minor"/>
    </font>
    <font>
      <b/>
      <sz val="18"/>
      <color theme="9"/>
      <name val="Calibri"/>
      <family val="2"/>
      <scheme val="minor"/>
    </font>
    <font>
      <b/>
      <sz val="18"/>
      <color rgb="FFDDDDDD"/>
      <name val="Calibri"/>
      <family val="2"/>
      <scheme val="minor"/>
    </font>
    <font>
      <b/>
      <sz val="18"/>
      <color theme="9" tint="-0.499984740745262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8"/>
      <color rgb="FF7030A0"/>
      <name val="Calibri"/>
      <family val="2"/>
      <scheme val="minor"/>
    </font>
    <font>
      <b/>
      <sz val="18"/>
      <color theme="9" tint="0.79998168889431442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8"/>
      <color rgb="FFFF3399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theme="7" tint="-0.49998474074526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7" tint="-0.249977111117893"/>
      <name val="Calibri"/>
      <family val="2"/>
      <scheme val="minor"/>
    </font>
    <font>
      <b/>
      <sz val="18"/>
      <color theme="3" tint="-0.249977111117893"/>
      <name val="Calibri"/>
      <family val="2"/>
      <scheme val="minor"/>
    </font>
    <font>
      <b/>
      <sz val="18"/>
      <color theme="5" tint="0.3999755851924192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8"/>
      <color theme="5" tint="0.79998168889431442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26"/>
      <color rgb="FF000000"/>
      <name val="Calibri"/>
      <family val="2"/>
    </font>
    <font>
      <b/>
      <sz val="22"/>
      <name val="Arial"/>
      <family val="2"/>
    </font>
    <font>
      <b/>
      <sz val="14"/>
      <color rgb="FF000000"/>
      <name val="Calibri"/>
      <family val="2"/>
    </font>
    <font>
      <sz val="8"/>
      <name val="Arial"/>
      <family val="2"/>
    </font>
    <font>
      <b/>
      <sz val="8"/>
      <color rgb="FF000000"/>
      <name val="Calibri"/>
      <family val="2"/>
    </font>
    <font>
      <b/>
      <sz val="10"/>
      <name val="Calibri"/>
      <family val="2"/>
    </font>
    <font>
      <b/>
      <sz val="14"/>
      <name val="Arial"/>
      <family val="2"/>
    </font>
    <font>
      <b/>
      <sz val="12"/>
      <name val="Calibri"/>
      <family val="2"/>
    </font>
    <font>
      <b/>
      <sz val="18"/>
      <color rgb="FFFFFF00"/>
      <name val="Arial"/>
      <family val="2"/>
    </font>
    <font>
      <b/>
      <sz val="8"/>
      <name val="Arial"/>
      <family val="2"/>
    </font>
    <font>
      <b/>
      <sz val="14"/>
      <color rgb="FFFFFFFF"/>
      <name val="Arial"/>
      <family val="2"/>
    </font>
    <font>
      <b/>
      <sz val="11"/>
      <color rgb="FFFF0000"/>
      <name val="Calibri"/>
      <family val="2"/>
    </font>
    <font>
      <b/>
      <sz val="18"/>
      <color rgb="FFFF0000"/>
      <name val="Calibri"/>
      <family val="2"/>
    </font>
    <font>
      <b/>
      <sz val="20"/>
      <color rgb="FFFF0000"/>
      <name val="Arial"/>
      <family val="2"/>
    </font>
    <font>
      <b/>
      <sz val="16"/>
      <color rgb="FFFF0000"/>
      <name val="Arial"/>
      <family val="2"/>
    </font>
    <font>
      <b/>
      <sz val="12"/>
      <name val="Arial"/>
      <family val="2"/>
    </font>
    <font>
      <b/>
      <sz val="12"/>
      <color rgb="FFFF0000"/>
      <name val="Calibri"/>
      <family val="2"/>
    </font>
    <font>
      <b/>
      <sz val="14"/>
      <color rgb="FF0F253F"/>
      <name val="Arial"/>
      <family val="2"/>
    </font>
    <font>
      <b/>
      <sz val="14"/>
      <color rgb="FFFFFFFF"/>
      <name val="Calibri"/>
      <family val="2"/>
    </font>
    <font>
      <b/>
      <sz val="12"/>
      <color rgb="FFFFFFFF"/>
      <name val="Arial"/>
      <family val="2"/>
    </font>
    <font>
      <b/>
      <sz val="18"/>
      <name val="Arial"/>
      <family val="2"/>
    </font>
    <font>
      <b/>
      <sz val="12"/>
      <color rgb="FFFF0000"/>
      <name val="Arial"/>
      <family val="2"/>
    </font>
    <font>
      <b/>
      <sz val="12"/>
      <color rgb="FFFFFFFF"/>
      <name val="Calibri"/>
      <family val="2"/>
    </font>
    <font>
      <sz val="7"/>
      <name val="Arial"/>
      <family val="2"/>
    </font>
    <font>
      <b/>
      <sz val="16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8"/>
      <color rgb="FF1F4A7E"/>
      <name val="Calibri"/>
      <family val="2"/>
    </font>
    <font>
      <sz val="11"/>
      <color indexed="10"/>
      <name val="Calibri"/>
      <family val="2"/>
    </font>
    <font>
      <b/>
      <sz val="12"/>
      <color theme="0"/>
      <name val="Calibri"/>
      <family val="2"/>
      <scheme val="minor"/>
    </font>
    <font>
      <b/>
      <sz val="14"/>
      <color rgb="FFFF0000"/>
      <name val="Arial"/>
      <family val="2"/>
    </font>
    <font>
      <b/>
      <sz val="11"/>
      <color rgb="FF00B0F0"/>
      <name val="Calibri"/>
      <family val="2"/>
      <scheme val="minor"/>
    </font>
    <font>
      <b/>
      <sz val="11"/>
      <color rgb="FF00B0F0"/>
      <name val="Calibri"/>
      <family val="2"/>
    </font>
    <font>
      <b/>
      <sz val="12"/>
      <color indexed="63"/>
      <name val="Calibri"/>
      <family val="2"/>
    </font>
    <font>
      <sz val="18"/>
      <color rgb="FF000000"/>
      <name val="Calibri"/>
      <family val="2"/>
    </font>
    <font>
      <b/>
      <sz val="12"/>
      <color indexed="10"/>
      <name val="Arial"/>
      <family val="2"/>
    </font>
    <font>
      <b/>
      <sz val="12"/>
      <color rgb="FF4A4529"/>
      <name val="Calibri"/>
      <family val="2"/>
    </font>
    <font>
      <b/>
      <sz val="11"/>
      <color indexed="8"/>
      <name val="Calibri"/>
      <family val="2"/>
    </font>
    <font>
      <b/>
      <sz val="12"/>
      <color rgb="FF00B0F0"/>
      <name val="Arial"/>
      <family val="2"/>
    </font>
    <font>
      <b/>
      <sz val="18"/>
      <color rgb="FFFFFF00"/>
      <name val="Calibri"/>
      <family val="2"/>
    </font>
    <font>
      <b/>
      <sz val="18"/>
      <color rgb="FFDDDDDD"/>
      <name val="Calibri"/>
      <family val="2"/>
    </font>
    <font>
      <b/>
      <sz val="18"/>
      <color indexed="13"/>
      <name val="Calibri"/>
      <family val="2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</font>
    <font>
      <b/>
      <sz val="18"/>
      <color indexed="9"/>
      <name val="Calibri"/>
      <family val="2"/>
    </font>
    <font>
      <b/>
      <sz val="11"/>
      <color indexed="10"/>
      <name val="Calibri"/>
      <family val="2"/>
    </font>
    <font>
      <b/>
      <sz val="11"/>
      <color indexed="63"/>
      <name val="Calibri"/>
      <family val="2"/>
    </font>
    <font>
      <sz val="10"/>
      <color indexed="9"/>
      <name val="Arial"/>
      <family val="2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sz val="12"/>
      <color rgb="FF000000"/>
      <name val="Calibri"/>
      <family val="2"/>
    </font>
    <font>
      <sz val="24"/>
      <name val="Arial"/>
      <family val="2"/>
    </font>
    <font>
      <sz val="10"/>
      <name val="Tahoma"/>
      <family val="2"/>
    </font>
    <font>
      <b/>
      <sz val="16"/>
      <color indexed="10"/>
      <name val="Arial"/>
      <family val="2"/>
    </font>
    <font>
      <b/>
      <sz val="18"/>
      <color indexed="8"/>
      <name val="Calibri"/>
      <family val="2"/>
      <scheme val="minor"/>
    </font>
    <font>
      <b/>
      <sz val="16"/>
      <color theme="0"/>
      <name val="Arial"/>
      <family val="2"/>
    </font>
    <font>
      <sz val="9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2"/>
      <name val="Arial"/>
      <family val="2"/>
    </font>
    <font>
      <b/>
      <sz val="2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Arial"/>
      <family val="2"/>
    </font>
    <font>
      <b/>
      <sz val="12"/>
      <name val="Calibri"/>
      <family val="2"/>
      <scheme val="minor"/>
    </font>
    <font>
      <b/>
      <sz val="12"/>
      <color theme="3" tint="0.39997558519241921"/>
      <name val="Calibri"/>
      <family val="2"/>
      <scheme val="minor"/>
    </font>
    <font>
      <b/>
      <sz val="12"/>
      <color theme="2" tint="-0.74999237037263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3"/>
      <name val="Calibri"/>
      <family val="2"/>
      <scheme val="minor"/>
    </font>
    <font>
      <b/>
      <sz val="12"/>
      <color theme="9" tint="0.3999755851924192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6" tint="-0.249977111117893"/>
      <name val="Calibri"/>
      <family val="2"/>
      <scheme val="minor"/>
    </font>
    <font>
      <b/>
      <sz val="12"/>
      <color theme="9"/>
      <name val="Arial"/>
      <family val="2"/>
    </font>
    <font>
      <b/>
      <sz val="12"/>
      <color theme="8" tint="0.79998168889431442"/>
      <name val="Arial"/>
      <family val="2"/>
    </font>
    <font>
      <b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Arial"/>
      <family val="2"/>
    </font>
  </fonts>
  <fills count="17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D3D3D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gray125">
        <fgColor theme="0"/>
        <bgColor theme="6"/>
      </patternFill>
    </fill>
    <fill>
      <patternFill patternType="gray125">
        <fgColor theme="0"/>
        <bgColor rgb="FFEEF321"/>
      </patternFill>
    </fill>
    <fill>
      <patternFill patternType="gray125">
        <fgColor theme="0"/>
        <bgColor theme="4" tint="0.3999450666829432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theme="3" tint="0.39991454817346722"/>
      </patternFill>
    </fill>
    <fill>
      <patternFill patternType="solid">
        <fgColor rgb="FFC00000"/>
        <bgColor indexed="64"/>
      </patternFill>
    </fill>
    <fill>
      <patternFill patternType="gray0625">
        <fgColor theme="5" tint="-0.24994659260841701"/>
        <bgColor theme="1"/>
      </patternFill>
    </fill>
    <fill>
      <patternFill patternType="gray0625">
        <fgColor theme="3" tint="0.39991454817346722"/>
        <bgColor theme="1"/>
      </patternFill>
    </fill>
    <fill>
      <patternFill patternType="gray125">
        <fgColor theme="0"/>
        <bgColor theme="9"/>
      </patternFill>
    </fill>
    <fill>
      <patternFill patternType="gray125">
        <fgColor theme="0"/>
        <bgColor theme="9" tint="-0.499984740745262"/>
      </patternFill>
    </fill>
    <fill>
      <patternFill patternType="gray0625">
        <fgColor theme="5"/>
        <bgColor theme="7" tint="0.79998168889431442"/>
      </patternFill>
    </fill>
    <fill>
      <patternFill patternType="gray0625">
        <fgColor theme="3" tint="0.39991454817346722"/>
        <bgColor theme="4" tint="-0.499984740745262"/>
      </patternFill>
    </fill>
    <fill>
      <patternFill patternType="gray0625">
        <fgColor theme="3" tint="0.39991454817346722"/>
        <bgColor rgb="FFFF0000"/>
      </patternFill>
    </fill>
    <fill>
      <patternFill patternType="gray125">
        <fgColor theme="0"/>
        <bgColor rgb="FF7030A0"/>
      </patternFill>
    </fill>
    <fill>
      <patternFill patternType="gray125">
        <fgColor theme="0"/>
        <bgColor rgb="FF00B0F0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auto="1"/>
      </patternFill>
    </fill>
    <fill>
      <patternFill patternType="solid">
        <fgColor rgb="FFFFC000"/>
        <bgColor auto="1"/>
      </patternFill>
    </fill>
    <fill>
      <patternFill patternType="gray125">
        <fgColor auto="1"/>
        <bgColor theme="9" tint="-0.499984740745262"/>
      </patternFill>
    </fill>
    <fill>
      <patternFill patternType="solid">
        <fgColor rgb="FFF61EA9"/>
        <bgColor auto="1"/>
      </patternFill>
    </fill>
    <fill>
      <patternFill patternType="lightGray">
        <fgColor auto="1"/>
        <bgColor theme="9" tint="-0.24994659260841701"/>
      </patternFill>
    </fill>
    <fill>
      <patternFill patternType="gray125">
        <fgColor theme="0"/>
        <bgColor theme="7" tint="0.5999938962981048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auto="1"/>
      </patternFill>
    </fill>
    <fill>
      <patternFill patternType="solid">
        <fgColor rgb="FF00B0F0"/>
        <bgColor auto="1"/>
      </patternFill>
    </fill>
    <fill>
      <patternFill patternType="gray0625">
        <fgColor auto="1"/>
        <bgColor rgb="FF00B050"/>
      </patternFill>
    </fill>
    <fill>
      <patternFill patternType="gray0625">
        <fgColor auto="1"/>
        <bgColor rgb="FFAB1D05"/>
      </patternFill>
    </fill>
    <fill>
      <patternFill patternType="gray0625">
        <fgColor auto="1"/>
        <bgColor theme="6" tint="0.39994506668294322"/>
      </patternFill>
    </fill>
    <fill>
      <patternFill patternType="solid">
        <fgColor theme="6" tint="0.39991454817346722"/>
        <bgColor auto="1"/>
      </patternFill>
    </fill>
    <fill>
      <patternFill patternType="solid">
        <fgColor theme="6"/>
        <bgColor auto="1"/>
      </patternFill>
    </fill>
    <fill>
      <patternFill patternType="solid">
        <fgColor rgb="FF98EE26"/>
        <bgColor auto="1"/>
      </patternFill>
    </fill>
    <fill>
      <patternFill patternType="gray0625">
        <fgColor auto="1"/>
        <bgColor rgb="FFFFFF99"/>
      </patternFill>
    </fill>
    <fill>
      <patternFill patternType="gray0625">
        <fgColor auto="1"/>
        <bgColor rgb="FFCCFF99"/>
      </patternFill>
    </fill>
    <fill>
      <patternFill patternType="gray0625">
        <fgColor auto="1"/>
        <bgColor theme="2" tint="-0.24994659260841701"/>
      </patternFill>
    </fill>
    <fill>
      <patternFill patternType="darkVertical">
        <fgColor auto="1"/>
        <bgColor rgb="FFFF0000"/>
      </patternFill>
    </fill>
    <fill>
      <patternFill patternType="lightUp">
        <fgColor auto="1"/>
        <bgColor theme="3"/>
      </patternFill>
    </fill>
    <fill>
      <patternFill patternType="solid">
        <fgColor theme="7" tint="0.59996337778862885"/>
        <bgColor auto="1"/>
      </patternFill>
    </fill>
    <fill>
      <patternFill patternType="gray0625">
        <fgColor auto="1"/>
        <bgColor theme="6" tint="0.79998168889431442"/>
      </patternFill>
    </fill>
    <fill>
      <patternFill patternType="gray0625">
        <fgColor auto="1"/>
        <bgColor theme="3" tint="0.39997558519241921"/>
      </patternFill>
    </fill>
    <fill>
      <patternFill patternType="gray0625">
        <fgColor auto="1"/>
        <bgColor rgb="FF00B0F0"/>
      </patternFill>
    </fill>
    <fill>
      <patternFill patternType="gray0625">
        <fgColor auto="1"/>
        <bgColor rgb="FF40DA16"/>
      </patternFill>
    </fill>
    <fill>
      <patternFill patternType="gray0625">
        <fgColor auto="1"/>
        <bgColor theme="8" tint="0.39994506668294322"/>
      </patternFill>
    </fill>
    <fill>
      <patternFill patternType="lightGray">
        <fgColor auto="1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fgColor auto="1"/>
        <bgColor theme="4" tint="0.59996337778862885"/>
      </patternFill>
    </fill>
    <fill>
      <patternFill patternType="solid">
        <fgColor theme="4" tint="0.59996337778862885"/>
        <bgColor auto="1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gray0625">
        <fgColor auto="1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gray0625">
        <fgColor auto="1"/>
        <bgColor theme="7" tint="0.59999389629810485"/>
      </patternFill>
    </fill>
    <fill>
      <patternFill patternType="solid">
        <fgColor theme="5" tint="-0.249977111117893"/>
        <bgColor theme="0" tint="-4.9989318521683403E-2"/>
      </patternFill>
    </fill>
    <fill>
      <patternFill patternType="solid">
        <fgColor theme="3"/>
        <bgColor auto="1"/>
      </patternFill>
    </fill>
    <fill>
      <patternFill patternType="gray0625">
        <fgColor auto="1"/>
        <bgColor rgb="FF92D050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gray0625">
        <fgColor auto="1"/>
        <bgColor theme="8" tint="0.39997558519241921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BD4B4"/>
        <bgColor indexed="64"/>
      </patternFill>
    </fill>
    <fill>
      <patternFill patternType="lightHorizontal"/>
    </fill>
    <fill>
      <patternFill patternType="lightVertical"/>
    </fill>
    <fill>
      <patternFill patternType="solid">
        <fgColor rgb="FFC0C0C0"/>
        <bgColor indexed="64"/>
      </patternFill>
    </fill>
    <fill>
      <patternFill patternType="solid">
        <fgColor rgb="FF595959"/>
        <bgColor rgb="FF595959"/>
      </patternFill>
    </fill>
    <fill>
      <patternFill patternType="solid">
        <fgColor rgb="FFB1A0C7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rgb="FFFF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595959"/>
        <bgColor indexed="64"/>
      </patternFill>
    </fill>
    <fill>
      <patternFill patternType="gray125">
        <bgColor rgb="FF974706"/>
      </patternFill>
    </fill>
    <fill>
      <patternFill patternType="gray0625">
        <fgColor rgb="FF568FD4"/>
        <bgColor rgb="FF254061"/>
      </patternFill>
    </fill>
    <fill>
      <patternFill patternType="gray125">
        <fgColor rgb="FFFFFFFF"/>
        <bgColor rgb="FF7030A0"/>
      </patternFill>
    </fill>
    <fill>
      <patternFill patternType="solid">
        <fgColor rgb="FF000000"/>
      </patternFill>
    </fill>
    <fill>
      <patternFill patternType="gray0625">
        <fgColor rgb="FF568FD4"/>
        <bgColor rgb="FFFF0000"/>
      </patternFill>
    </fill>
    <fill>
      <patternFill patternType="solid">
        <fgColor rgb="FFB2A1C6"/>
        <bgColor indexed="64"/>
      </patternFill>
    </fill>
    <fill>
      <patternFill patternType="gray0625">
        <bgColor rgb="FFC2D69B"/>
      </patternFill>
    </fill>
    <fill>
      <patternFill patternType="solid">
        <fgColor theme="6" tint="0.39997558519241921"/>
        <bgColor indexed="64"/>
      </patternFill>
    </fill>
    <fill>
      <patternFill patternType="gray125">
        <fgColor rgb="FFFFFFFF"/>
        <bgColor rgb="FF9ABA58"/>
      </patternFill>
    </fill>
    <fill>
      <patternFill patternType="gray0625">
        <bgColor rgb="FF568FD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gradientFill degree="270">
        <stop position="0">
          <color rgb="FFC00000"/>
        </stop>
        <stop position="1">
          <color theme="4" tint="-0.25098422193060094"/>
        </stop>
      </gradient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C04D9"/>
        <bgColor indexed="64"/>
      </patternFill>
    </fill>
    <fill>
      <patternFill patternType="solid">
        <fgColor theme="0" tint="-4.9989318521683403E-2"/>
        <bgColor rgb="FF0066CC"/>
      </patternFill>
    </fill>
    <fill>
      <patternFill patternType="solid">
        <fgColor rgb="FF00B0F0"/>
        <bgColor rgb="FF0066CC"/>
      </patternFill>
    </fill>
    <fill>
      <patternFill patternType="solid">
        <fgColor theme="2" tint="-0.499984740745262"/>
        <bgColor rgb="FF0066CC"/>
      </patternFill>
    </fill>
    <fill>
      <patternFill patternType="solid">
        <fgColor theme="3" tint="-0.249977111117893"/>
        <bgColor rgb="FF0066CC"/>
      </patternFill>
    </fill>
    <fill>
      <patternFill patternType="solid">
        <fgColor theme="6" tint="0.59999389629810485"/>
        <bgColor rgb="FF0066CC"/>
      </patternFill>
    </fill>
    <fill>
      <patternFill patternType="solid">
        <fgColor rgb="FFC00000"/>
        <bgColor rgb="FF0066CC"/>
      </patternFill>
    </fill>
    <fill>
      <patternFill patternType="solid">
        <fgColor theme="3" tint="0.39997558519241921"/>
        <bgColor rgb="FF0066C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3366FF"/>
        <bgColor rgb="FF0066CC"/>
      </patternFill>
    </fill>
    <fill>
      <gradientFill degree="90">
        <stop position="0">
          <color theme="7" tint="0.80001220740379042"/>
        </stop>
        <stop position="1">
          <color theme="7" tint="-0.2509842219306009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rgb="FF0066CC"/>
      </patternFill>
    </fill>
    <fill>
      <patternFill patternType="solid">
        <fgColor theme="8" tint="0.39997558519241921"/>
        <bgColor rgb="FF0066CC"/>
      </patternFill>
    </fill>
    <fill>
      <patternFill patternType="solid">
        <fgColor theme="0" tint="-0.499984740745262"/>
        <bgColor rgb="FF0066C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rgb="FF0066CC"/>
      </patternFill>
    </fill>
    <fill>
      <patternFill patternType="solid">
        <fgColor theme="6"/>
        <bgColor rgb="FF0066CC"/>
      </patternFill>
    </fill>
    <fill>
      <patternFill patternType="solid">
        <fgColor theme="6" tint="-0.499984740745262"/>
        <bgColor rgb="FF0066CC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rgb="FF0066CC"/>
      </patternFill>
    </fill>
    <fill>
      <patternFill patternType="solid">
        <fgColor rgb="FF0066FF"/>
        <bgColor rgb="FF0066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rgb="FF0066CC"/>
      </patternFill>
    </fill>
    <fill>
      <patternFill patternType="solid">
        <fgColor theme="7"/>
        <bgColor rgb="FF0066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medium">
        <color indexed="64"/>
      </left>
      <right/>
      <top style="medium">
        <color rgb="FF505050"/>
      </top>
      <bottom/>
      <diagonal/>
    </border>
    <border>
      <left/>
      <right style="medium">
        <color indexed="64"/>
      </right>
      <top style="medium">
        <color rgb="FF505050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medium">
        <color indexed="64"/>
      </right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 style="thin">
        <color indexed="64"/>
      </bottom>
      <diagonal/>
    </border>
    <border>
      <left/>
      <right style="thick">
        <color rgb="FFFF0000"/>
      </right>
      <top/>
      <bottom style="thin">
        <color indexed="64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245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6" applyNumberFormat="0" applyAlignment="0" applyProtection="0"/>
    <xf numFmtId="0" fontId="14" fillId="22" borderId="7" applyNumberFormat="0" applyAlignment="0" applyProtection="0"/>
    <xf numFmtId="0" fontId="15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7" fillId="29" borderId="6" applyNumberFormat="0" applyAlignment="0" applyProtection="0"/>
    <xf numFmtId="0" fontId="4" fillId="0" borderId="0">
      <alignment vertical="top"/>
    </xf>
    <xf numFmtId="0" fontId="1" fillId="0" borderId="0"/>
    <xf numFmtId="0" fontId="7" fillId="30" borderId="0"/>
    <xf numFmtId="0" fontId="18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9" fillId="31" borderId="0" applyNumberFormat="0" applyBorder="0" applyAlignment="0" applyProtection="0"/>
    <xf numFmtId="168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4" fillId="0" borderId="0"/>
    <xf numFmtId="43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4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0" fillId="32" borderId="0" applyNumberFormat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9" fillId="0" borderId="0">
      <alignment vertical="center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10" fillId="0" borderId="0"/>
    <xf numFmtId="0" fontId="4" fillId="0" borderId="0"/>
    <xf numFmtId="0" fontId="2" fillId="0" borderId="0">
      <alignment vertical="top"/>
    </xf>
    <xf numFmtId="0" fontId="2" fillId="0" borderId="0">
      <protection locked="0"/>
    </xf>
    <xf numFmtId="0" fontId="4" fillId="0" borderId="0"/>
    <xf numFmtId="0" fontId="4" fillId="0" borderId="0"/>
    <xf numFmtId="0" fontId="2" fillId="0" borderId="0">
      <alignment vertical="top"/>
    </xf>
    <xf numFmtId="0" fontId="4" fillId="0" borderId="0"/>
    <xf numFmtId="0" fontId="4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>
      <protection locked="0"/>
    </xf>
    <xf numFmtId="0" fontId="22" fillId="0" borderId="0" applyNumberFormat="0" applyBorder="0" applyProtection="0"/>
    <xf numFmtId="0" fontId="2" fillId="0" borderId="0">
      <protection locked="0"/>
    </xf>
    <xf numFmtId="0" fontId="2" fillId="0" borderId="0"/>
    <xf numFmtId="0" fontId="2" fillId="0" borderId="0"/>
    <xf numFmtId="0" fontId="10" fillId="0" borderId="0"/>
    <xf numFmtId="0" fontId="22" fillId="0" borderId="0" applyNumberFormat="0" applyBorder="0" applyProtection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3" fillId="0" borderId="0">
      <alignment vertical="top"/>
    </xf>
    <xf numFmtId="0" fontId="2" fillId="0" borderId="0"/>
    <xf numFmtId="0" fontId="2" fillId="0" borderId="0">
      <protection locked="0"/>
    </xf>
    <xf numFmtId="0" fontId="10" fillId="0" borderId="0"/>
    <xf numFmtId="0" fontId="2" fillId="0" borderId="0">
      <alignment vertical="top"/>
    </xf>
    <xf numFmtId="0" fontId="3" fillId="0" borderId="0">
      <alignment vertical="top"/>
    </xf>
    <xf numFmtId="0" fontId="4" fillId="0" borderId="0">
      <alignment vertical="top"/>
    </xf>
    <xf numFmtId="0" fontId="2" fillId="0" borderId="0">
      <alignment vertical="top"/>
    </xf>
    <xf numFmtId="0" fontId="4" fillId="0" borderId="0">
      <alignment vertical="top"/>
    </xf>
    <xf numFmtId="0" fontId="1" fillId="0" borderId="0"/>
    <xf numFmtId="0" fontId="2" fillId="0" borderId="0"/>
    <xf numFmtId="0" fontId="4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4" fillId="0" borderId="0"/>
    <xf numFmtId="0" fontId="2" fillId="0" borderId="0">
      <alignment vertical="top"/>
    </xf>
    <xf numFmtId="0" fontId="1" fillId="0" borderId="0"/>
    <xf numFmtId="0" fontId="10" fillId="0" borderId="0"/>
    <xf numFmtId="0" fontId="10" fillId="0" borderId="0"/>
    <xf numFmtId="0" fontId="2" fillId="0" borderId="0">
      <alignment vertical="top"/>
    </xf>
    <xf numFmtId="0" fontId="10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8" fillId="0" borderId="0"/>
    <xf numFmtId="0" fontId="10" fillId="33" borderId="9" applyNumberFormat="0" applyFont="0" applyAlignment="0" applyProtection="0"/>
    <xf numFmtId="0" fontId="10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3" fillId="21" borderId="10" applyNumberFormat="0" applyAlignment="0" applyProtection="0"/>
    <xf numFmtId="0" fontId="4" fillId="0" borderId="0">
      <alignment vertical="top"/>
    </xf>
    <xf numFmtId="0" fontId="4" fillId="0" borderId="0">
      <alignment vertical="top"/>
    </xf>
    <xf numFmtId="0" fontId="22" fillId="0" borderId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1" applyNumberFormat="0" applyFill="0" applyAlignment="0" applyProtection="0"/>
    <xf numFmtId="0" fontId="28" fillId="0" borderId="12" applyNumberFormat="0" applyFill="0" applyAlignment="0" applyProtection="0"/>
    <xf numFmtId="0" fontId="16" fillId="0" borderId="13" applyNumberFormat="0" applyFill="0" applyAlignment="0" applyProtection="0"/>
    <xf numFmtId="0" fontId="29" fillId="0" borderId="14" applyNumberFormat="0" applyFill="0" applyAlignment="0" applyProtection="0"/>
    <xf numFmtId="0" fontId="2" fillId="0" borderId="0">
      <alignment vertical="top"/>
    </xf>
    <xf numFmtId="167" fontId="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2" fillId="0" borderId="0"/>
    <xf numFmtId="0" fontId="1" fillId="0" borderId="0" applyFont="0" applyFill="0" applyBorder="0" applyAlignment="0" applyProtection="0"/>
    <xf numFmtId="0" fontId="2" fillId="0" borderId="0">
      <alignment vertical="top"/>
    </xf>
    <xf numFmtId="0" fontId="2" fillId="0" borderId="0">
      <protection locked="0"/>
    </xf>
    <xf numFmtId="0" fontId="1" fillId="0" borderId="0">
      <protection locked="0"/>
    </xf>
    <xf numFmtId="0" fontId="21" fillId="0" borderId="0">
      <protection locked="0"/>
    </xf>
    <xf numFmtId="0" fontId="110" fillId="0" borderId="0">
      <alignment vertical="top"/>
    </xf>
  </cellStyleXfs>
  <cellXfs count="873">
    <xf numFmtId="0" fontId="0" fillId="0" borderId="0" xfId="0"/>
    <xf numFmtId="0" fontId="29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57" fillId="0" borderId="16" xfId="0" applyFont="1" applyBorder="1" applyAlignment="1">
      <alignment horizontal="center"/>
    </xf>
    <xf numFmtId="0" fontId="57" fillId="0" borderId="17" xfId="0" applyFont="1" applyBorder="1" applyAlignment="1">
      <alignment horizontal="center"/>
    </xf>
    <xf numFmtId="0" fontId="21" fillId="0" borderId="17" xfId="0" applyFont="1" applyBorder="1"/>
    <xf numFmtId="0" fontId="21" fillId="0" borderId="18" xfId="0" applyFont="1" applyBorder="1"/>
    <xf numFmtId="0" fontId="0" fillId="0" borderId="0" xfId="0" applyAlignment="1">
      <alignment vertical="center"/>
    </xf>
    <xf numFmtId="0" fontId="21" fillId="0" borderId="20" xfId="0" applyFont="1" applyBorder="1"/>
    <xf numFmtId="0" fontId="21" fillId="0" borderId="21" xfId="0" applyFont="1" applyBorder="1"/>
    <xf numFmtId="0" fontId="21" fillId="0" borderId="22" xfId="0" applyFont="1" applyBorder="1"/>
    <xf numFmtId="0" fontId="21" fillId="0" borderId="4" xfId="0" applyFont="1" applyBorder="1"/>
    <xf numFmtId="0" fontId="21" fillId="0" borderId="19" xfId="0" applyFont="1" applyBorder="1"/>
    <xf numFmtId="0" fontId="21" fillId="0" borderId="5" xfId="0" applyFont="1" applyBorder="1"/>
    <xf numFmtId="0" fontId="57" fillId="0" borderId="23" xfId="0" applyFont="1" applyBorder="1" applyAlignment="1">
      <alignment horizontal="center"/>
    </xf>
    <xf numFmtId="0" fontId="21" fillId="0" borderId="0" xfId="0" applyFont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1" fillId="0" borderId="24" xfId="0" applyFont="1" applyBorder="1"/>
    <xf numFmtId="0" fontId="21" fillId="0" borderId="15" xfId="0" applyFont="1" applyBorder="1"/>
    <xf numFmtId="0" fontId="21" fillId="0" borderId="25" xfId="0" applyFont="1" applyBorder="1"/>
    <xf numFmtId="0" fontId="59" fillId="0" borderId="0" xfId="0" applyFont="1" applyAlignment="1">
      <alignment horizontal="center" vertical="center"/>
    </xf>
    <xf numFmtId="0" fontId="60" fillId="0" borderId="0" xfId="0" applyFont="1"/>
    <xf numFmtId="0" fontId="52" fillId="0" borderId="15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2" fillId="0" borderId="25" xfId="0" applyFont="1" applyBorder="1" applyAlignment="1">
      <alignment horizontal="center" vertical="center"/>
    </xf>
    <xf numFmtId="0" fontId="57" fillId="0" borderId="15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6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62" fillId="0" borderId="24" xfId="0" applyFont="1" applyBorder="1" applyAlignment="1">
      <alignment horizontal="center" vertical="center" shrinkToFit="1"/>
    </xf>
    <xf numFmtId="0" fontId="52" fillId="35" borderId="0" xfId="0" applyFont="1" applyFill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59" fillId="0" borderId="21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63" fillId="0" borderId="21" xfId="0" applyFont="1" applyBorder="1" applyAlignment="1">
      <alignment horizontal="center" vertical="center"/>
    </xf>
    <xf numFmtId="0" fontId="64" fillId="0" borderId="21" xfId="0" applyFont="1" applyBorder="1" applyAlignment="1">
      <alignment horizontal="center" vertical="center" shrinkToFit="1"/>
    </xf>
    <xf numFmtId="0" fontId="62" fillId="0" borderId="22" xfId="0" applyFont="1" applyBorder="1" applyAlignment="1">
      <alignment horizontal="center" vertical="center" shrinkToFit="1"/>
    </xf>
    <xf numFmtId="0" fontId="21" fillId="0" borderId="28" xfId="0" applyFont="1" applyBorder="1"/>
    <xf numFmtId="0" fontId="21" fillId="0" borderId="29" xfId="0" applyFont="1" applyBorder="1"/>
    <xf numFmtId="0" fontId="2" fillId="0" borderId="15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5" fillId="0" borderId="0" xfId="0" applyFont="1" applyAlignment="1">
      <alignment horizontal="center"/>
    </xf>
    <xf numFmtId="0" fontId="21" fillId="0" borderId="23" xfId="0" applyFont="1" applyBorder="1" applyAlignment="1">
      <alignment horizontal="center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 shrinkToFit="1"/>
    </xf>
    <xf numFmtId="0" fontId="66" fillId="0" borderId="25" xfId="130" applyFont="1" applyBorder="1" applyAlignment="1">
      <alignment horizontal="center" vertical="center" shrinkToFit="1"/>
    </xf>
    <xf numFmtId="0" fontId="3" fillId="0" borderId="22" xfId="148" applyBorder="1" applyAlignment="1">
      <alignment vertical="center"/>
    </xf>
    <xf numFmtId="0" fontId="67" fillId="88" borderId="0" xfId="148" applyFont="1" applyFill="1" applyAlignment="1">
      <alignment wrapText="1"/>
    </xf>
    <xf numFmtId="0" fontId="21" fillId="0" borderId="0" xfId="148" applyFont="1" applyAlignment="1"/>
    <xf numFmtId="0" fontId="70" fillId="0" borderId="0" xfId="0" applyFont="1" applyAlignment="1">
      <alignment vertical="center"/>
    </xf>
    <xf numFmtId="0" fontId="70" fillId="0" borderId="24" xfId="0" applyFont="1" applyBorder="1" applyAlignment="1">
      <alignment vertical="center"/>
    </xf>
    <xf numFmtId="0" fontId="71" fillId="0" borderId="0" xfId="0" applyFont="1" applyAlignment="1">
      <alignment horizontal="center"/>
    </xf>
    <xf numFmtId="0" fontId="52" fillId="0" borderId="25" xfId="148" applyFont="1" applyBorder="1" applyAlignment="1">
      <alignment horizontal="center" vertical="center"/>
    </xf>
    <xf numFmtId="0" fontId="72" fillId="0" borderId="0" xfId="148" applyFont="1" applyAlignment="1">
      <alignment horizontal="center" vertical="center"/>
    </xf>
    <xf numFmtId="0" fontId="2" fillId="0" borderId="0" xfId="148" applyFont="1" applyAlignment="1">
      <alignment horizontal="center" vertical="center"/>
    </xf>
    <xf numFmtId="0" fontId="2" fillId="108" borderId="24" xfId="0" applyFont="1" applyFill="1" applyBorder="1" applyAlignment="1">
      <alignment horizontal="center"/>
    </xf>
    <xf numFmtId="0" fontId="73" fillId="0" borderId="0" xfId="130" applyFont="1" applyAlignment="1">
      <alignment horizontal="center" vertical="center" shrinkToFit="1"/>
    </xf>
    <xf numFmtId="0" fontId="73" fillId="0" borderId="1" xfId="130" applyFont="1" applyBorder="1" applyAlignment="1">
      <alignment horizontal="center" vertical="center" shrinkToFit="1"/>
    </xf>
    <xf numFmtId="0" fontId="62" fillId="0" borderId="0" xfId="141" applyFont="1" applyAlignment="1" applyProtection="1">
      <alignment horizontal="center" vertical="center" shrinkToFit="1"/>
    </xf>
    <xf numFmtId="0" fontId="59" fillId="0" borderId="25" xfId="0" applyFont="1" applyBorder="1" applyAlignment="1">
      <alignment horizontal="center" vertical="center"/>
    </xf>
    <xf numFmtId="0" fontId="74" fillId="0" borderId="0" xfId="148" applyFont="1" applyAlignment="1">
      <alignment horizontal="center" vertical="center"/>
    </xf>
    <xf numFmtId="0" fontId="52" fillId="0" borderId="0" xfId="148" applyFont="1" applyAlignment="1">
      <alignment horizontal="center" vertical="center"/>
    </xf>
    <xf numFmtId="0" fontId="2" fillId="0" borderId="0" xfId="0" applyFont="1" applyAlignment="1">
      <alignment horizontal="center" shrinkToFit="1"/>
    </xf>
    <xf numFmtId="0" fontId="75" fillId="0" borderId="0" xfId="130" applyFont="1" applyAlignment="1">
      <alignment horizontal="center" vertical="center" shrinkToFit="1"/>
    </xf>
    <xf numFmtId="0" fontId="75" fillId="0" borderId="0" xfId="0" applyFont="1" applyAlignment="1">
      <alignment horizontal="center" vertical="center" shrinkToFit="1"/>
    </xf>
    <xf numFmtId="0" fontId="21" fillId="0" borderId="23" xfId="0" applyFont="1" applyBorder="1"/>
    <xf numFmtId="0" fontId="2" fillId="0" borderId="25" xfId="0" applyFont="1" applyBorder="1" applyAlignment="1">
      <alignment horizontal="center"/>
    </xf>
    <xf numFmtId="0" fontId="21" fillId="0" borderId="25" xfId="148" applyFont="1" applyBorder="1" applyAlignment="1"/>
    <xf numFmtId="0" fontId="21" fillId="0" borderId="38" xfId="0" applyFont="1" applyBorder="1"/>
    <xf numFmtId="0" fontId="2" fillId="0" borderId="29" xfId="0" applyFont="1" applyBorder="1" applyAlignment="1">
      <alignment horizontal="center"/>
    </xf>
    <xf numFmtId="0" fontId="2" fillId="108" borderId="38" xfId="0" applyFont="1" applyFill="1" applyBorder="1" applyAlignment="1">
      <alignment horizontal="center"/>
    </xf>
    <xf numFmtId="0" fontId="21" fillId="0" borderId="39" xfId="0" applyFont="1" applyBorder="1"/>
    <xf numFmtId="0" fontId="21" fillId="0" borderId="40" xfId="0" applyFont="1" applyBorder="1"/>
    <xf numFmtId="0" fontId="76" fillId="0" borderId="23" xfId="0" applyFont="1" applyBorder="1"/>
    <xf numFmtId="0" fontId="21" fillId="109" borderId="0" xfId="148" applyFont="1" applyFill="1" applyAlignment="1"/>
    <xf numFmtId="0" fontId="2" fillId="110" borderId="41" xfId="0" applyFont="1" applyFill="1" applyBorder="1" applyAlignment="1">
      <alignment horizontal="center"/>
    </xf>
    <xf numFmtId="0" fontId="2" fillId="110" borderId="42" xfId="0" applyFont="1" applyFill="1" applyBorder="1" applyAlignment="1">
      <alignment horizontal="center"/>
    </xf>
    <xf numFmtId="0" fontId="2" fillId="110" borderId="43" xfId="0" applyFont="1" applyFill="1" applyBorder="1" applyAlignment="1">
      <alignment horizontal="center"/>
    </xf>
    <xf numFmtId="0" fontId="2" fillId="110" borderId="44" xfId="0" applyFont="1" applyFill="1" applyBorder="1" applyAlignment="1">
      <alignment horizontal="center"/>
    </xf>
    <xf numFmtId="0" fontId="2" fillId="110" borderId="45" xfId="0" applyFont="1" applyFill="1" applyBorder="1" applyAlignment="1">
      <alignment horizontal="center"/>
    </xf>
    <xf numFmtId="0" fontId="2" fillId="110" borderId="46" xfId="0" applyFont="1" applyFill="1" applyBorder="1" applyAlignment="1">
      <alignment horizontal="center"/>
    </xf>
    <xf numFmtId="0" fontId="52" fillId="109" borderId="0" xfId="148" applyFont="1" applyFill="1" applyAlignment="1"/>
    <xf numFmtId="0" fontId="2" fillId="0" borderId="25" xfId="148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65" fillId="0" borderId="0" xfId="0" applyFont="1" applyAlignment="1">
      <alignment horizontal="center" vertical="center"/>
    </xf>
    <xf numFmtId="0" fontId="77" fillId="35" borderId="0" xfId="115" applyFont="1" applyFill="1" applyAlignment="1">
      <alignment horizontal="center" vertical="center"/>
    </xf>
    <xf numFmtId="0" fontId="21" fillId="0" borderId="22" xfId="148" applyFont="1" applyBorder="1" applyAlignment="1"/>
    <xf numFmtId="0" fontId="52" fillId="109" borderId="0" xfId="148" applyFont="1" applyFill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78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79" fillId="0" borderId="0" xfId="0" applyFont="1" applyAlignment="1">
      <alignment horizontal="center" vertical="center" shrinkToFit="1"/>
    </xf>
    <xf numFmtId="0" fontId="2" fillId="52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0" fillId="0" borderId="0" xfId="0" applyFont="1" applyAlignment="1">
      <alignment vertical="center"/>
    </xf>
    <xf numFmtId="0" fontId="75" fillId="111" borderId="0" xfId="0" applyFont="1" applyFill="1" applyAlignment="1">
      <alignment horizontal="center" vertical="center"/>
    </xf>
    <xf numFmtId="0" fontId="82" fillId="0" borderId="0" xfId="0" applyFont="1" applyAlignment="1">
      <alignment horizontal="center" vertical="center" shrinkToFit="1"/>
    </xf>
    <xf numFmtId="0" fontId="83" fillId="0" borderId="0" xfId="132" applyFont="1" applyAlignment="1" applyProtection="1">
      <alignment horizontal="center" vertical="center" shrinkToFi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84" fillId="112" borderId="1" xfId="148" applyFont="1" applyFill="1" applyBorder="1" applyAlignment="1">
      <alignment horizontal="center"/>
    </xf>
    <xf numFmtId="0" fontId="1" fillId="0" borderId="0" xfId="0" applyFont="1"/>
    <xf numFmtId="0" fontId="85" fillId="113" borderId="1" xfId="0" applyFont="1" applyFill="1" applyBorder="1" applyAlignment="1">
      <alignment horizontal="center"/>
    </xf>
    <xf numFmtId="0" fontId="86" fillId="114" borderId="47" xfId="141" applyFont="1" applyFill="1" applyBorder="1" applyAlignment="1" applyProtection="1">
      <alignment horizontal="center" vertical="center" shrinkToFit="1"/>
    </xf>
    <xf numFmtId="0" fontId="53" fillId="0" borderId="0" xfId="0" applyFont="1" applyAlignment="1">
      <alignment horizontal="center" vertical="center" shrinkToFit="1"/>
    </xf>
    <xf numFmtId="0" fontId="62" fillId="115" borderId="0" xfId="141" applyFont="1" applyFill="1" applyAlignment="1" applyProtection="1">
      <alignment horizontal="center" vertical="center" shrinkToFit="1"/>
    </xf>
    <xf numFmtId="0" fontId="87" fillId="0" borderId="0" xfId="0" applyFont="1"/>
    <xf numFmtId="0" fontId="88" fillId="0" borderId="0" xfId="0" applyFont="1" applyAlignment="1">
      <alignment horizontal="center"/>
    </xf>
    <xf numFmtId="0" fontId="67" fillId="98" borderId="0" xfId="0" applyFont="1" applyFill="1" applyAlignment="1">
      <alignment wrapText="1"/>
    </xf>
    <xf numFmtId="0" fontId="67" fillId="98" borderId="20" xfId="0" applyFont="1" applyFill="1" applyBorder="1" applyAlignment="1">
      <alignment wrapText="1"/>
    </xf>
    <xf numFmtId="0" fontId="67" fillId="98" borderId="21" xfId="0" applyFont="1" applyFill="1" applyBorder="1" applyAlignment="1">
      <alignment wrapText="1"/>
    </xf>
    <xf numFmtId="0" fontId="2" fillId="0" borderId="21" xfId="0" applyFont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1" fillId="0" borderId="0" xfId="0" applyFont="1" applyAlignment="1">
      <alignment vertical="center"/>
    </xf>
    <xf numFmtId="0" fontId="29" fillId="0" borderId="0" xfId="0" applyFont="1"/>
    <xf numFmtId="0" fontId="36" fillId="42" borderId="48" xfId="128" applyFont="1" applyFill="1" applyBorder="1" applyAlignment="1">
      <alignment horizontal="center" vertical="center" shrinkToFit="1"/>
    </xf>
    <xf numFmtId="0" fontId="29" fillId="0" borderId="0" xfId="0" applyFont="1" applyAlignment="1">
      <alignment horizontal="left" vertical="top"/>
    </xf>
    <xf numFmtId="0" fontId="0" fillId="0" borderId="25" xfId="0" applyBorder="1" applyAlignment="1">
      <alignment vertical="center"/>
    </xf>
    <xf numFmtId="0" fontId="2" fillId="98" borderId="0" xfId="0" applyFont="1" applyFill="1" applyAlignment="1">
      <alignment horizontal="center" vertical="center"/>
    </xf>
    <xf numFmtId="0" fontId="89" fillId="96" borderId="48" xfId="148" applyFont="1" applyFill="1" applyBorder="1" applyAlignment="1">
      <alignment horizontal="center"/>
    </xf>
    <xf numFmtId="0" fontId="90" fillId="0" borderId="0" xfId="0" applyFont="1"/>
    <xf numFmtId="0" fontId="81" fillId="35" borderId="0" xfId="115" applyFont="1" applyFill="1" applyAlignment="1">
      <alignment horizontal="center" vertical="center" wrapText="1"/>
    </xf>
    <xf numFmtId="0" fontId="91" fillId="35" borderId="0" xfId="115" applyFont="1" applyFill="1" applyAlignment="1">
      <alignment horizontal="center" vertical="center"/>
    </xf>
    <xf numFmtId="0" fontId="92" fillId="95" borderId="1" xfId="126" applyFont="1" applyFill="1" applyBorder="1" applyAlignment="1">
      <alignment horizontal="center"/>
    </xf>
    <xf numFmtId="0" fontId="67" fillId="0" borderId="0" xfId="0" applyFont="1" applyAlignment="1">
      <alignment wrapText="1"/>
    </xf>
    <xf numFmtId="0" fontId="93" fillId="0" borderId="0" xfId="0" applyFont="1" applyAlignment="1">
      <alignment horizontal="center"/>
    </xf>
    <xf numFmtId="0" fontId="3" fillId="0" borderId="0" xfId="148" applyAlignment="1">
      <alignment vertical="center"/>
    </xf>
    <xf numFmtId="0" fontId="63" fillId="52" borderId="0" xfId="0" applyFont="1" applyFill="1" applyAlignment="1">
      <alignment horizontal="center" vertical="center"/>
    </xf>
    <xf numFmtId="0" fontId="72" fillId="35" borderId="0" xfId="148" applyFont="1" applyFill="1" applyAlignment="1">
      <alignment horizontal="center" vertical="center"/>
    </xf>
    <xf numFmtId="0" fontId="94" fillId="0" borderId="0" xfId="0" applyFont="1" applyAlignment="1">
      <alignment horizontal="center" vertical="center" shrinkToFit="1"/>
    </xf>
    <xf numFmtId="0" fontId="35" fillId="116" borderId="0" xfId="115" applyFont="1" applyFill="1" applyAlignment="1">
      <alignment horizontal="center" vertical="center"/>
    </xf>
    <xf numFmtId="0" fontId="93" fillId="117" borderId="0" xfId="115" applyFont="1" applyFill="1" applyAlignment="1">
      <alignment horizontal="center" vertical="center"/>
    </xf>
    <xf numFmtId="0" fontId="75" fillId="118" borderId="0" xfId="0" applyFont="1" applyFill="1" applyAlignment="1">
      <alignment horizontal="center" vertical="center"/>
    </xf>
    <xf numFmtId="0" fontId="95" fillId="119" borderId="48" xfId="132" applyFont="1" applyFill="1" applyBorder="1" applyAlignment="1" applyProtection="1">
      <alignment horizontal="center" vertical="center" shrinkToFit="1"/>
    </xf>
    <xf numFmtId="0" fontId="96" fillId="120" borderId="1" xfId="132" applyFont="1" applyFill="1" applyBorder="1" applyAlignment="1" applyProtection="1">
      <alignment horizontal="center" vertical="center" shrinkToFit="1"/>
    </xf>
    <xf numFmtId="0" fontId="97" fillId="121" borderId="1" xfId="132" applyFont="1" applyFill="1" applyBorder="1" applyAlignment="1" applyProtection="1">
      <alignment horizontal="center" vertical="center" shrinkToFit="1"/>
    </xf>
    <xf numFmtId="0" fontId="21" fillId="0" borderId="15" xfId="0" applyFont="1" applyBorder="1" applyAlignment="1">
      <alignment horizontal="center"/>
    </xf>
    <xf numFmtId="0" fontId="68" fillId="122" borderId="48" xfId="132" applyFont="1" applyFill="1" applyBorder="1" applyAlignment="1" applyProtection="1">
      <alignment horizontal="center" vertical="center" shrinkToFit="1"/>
    </xf>
    <xf numFmtId="0" fontId="96" fillId="123" borderId="1" xfId="132" applyFont="1" applyFill="1" applyBorder="1" applyAlignment="1" applyProtection="1">
      <alignment horizontal="center" vertical="center" shrinkToFit="1"/>
    </xf>
    <xf numFmtId="0" fontId="21" fillId="0" borderId="0" xfId="148" applyFont="1" applyAlignment="1">
      <alignment horizontal="center"/>
    </xf>
    <xf numFmtId="0" fontId="91" fillId="98" borderId="0" xfId="0" applyFont="1" applyFill="1" applyAlignment="1">
      <alignment vertical="center" wrapText="1"/>
    </xf>
    <xf numFmtId="0" fontId="63" fillId="0" borderId="0" xfId="0" applyFont="1" applyAlignment="1">
      <alignment horizontal="center"/>
    </xf>
    <xf numFmtId="0" fontId="29" fillId="0" borderId="0" xfId="115" applyFont="1" applyAlignment="1">
      <alignment horizontal="center" vertical="center"/>
    </xf>
    <xf numFmtId="0" fontId="63" fillId="0" borderId="2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52" fillId="0" borderId="0" xfId="0" applyFont="1"/>
    <xf numFmtId="0" fontId="93" fillId="124" borderId="0" xfId="115" applyFont="1" applyFill="1" applyAlignment="1">
      <alignment horizontal="center" vertical="center"/>
    </xf>
    <xf numFmtId="0" fontId="34" fillId="82" borderId="48" xfId="128" applyFont="1" applyFill="1" applyBorder="1" applyAlignment="1">
      <alignment horizontal="center" vertical="center" shrinkToFit="1"/>
    </xf>
    <xf numFmtId="0" fontId="83" fillId="125" borderId="1" xfId="132" applyFont="1" applyFill="1" applyBorder="1" applyAlignment="1" applyProtection="1">
      <alignment horizontal="center" vertical="center" shrinkToFit="1"/>
    </xf>
    <xf numFmtId="0" fontId="98" fillId="0" borderId="0" xfId="0" applyFont="1" applyAlignment="1">
      <alignment horizontal="center" vertical="center"/>
    </xf>
    <xf numFmtId="0" fontId="63" fillId="0" borderId="0" xfId="0" applyFont="1" applyAlignment="1">
      <alignment horizontal="left"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21" fillId="0" borderId="29" xfId="0" applyFont="1" applyBorder="1" applyAlignment="1">
      <alignment horizontal="center"/>
    </xf>
    <xf numFmtId="0" fontId="21" fillId="0" borderId="25" xfId="0" applyFont="1" applyBorder="1" applyAlignment="1">
      <alignment horizontal="center"/>
    </xf>
    <xf numFmtId="0" fontId="6" fillId="0" borderId="0" xfId="0" applyFont="1" applyAlignment="1">
      <alignment horizontal="right" vertical="center" shrinkToFit="1"/>
    </xf>
    <xf numFmtId="0" fontId="21" fillId="0" borderId="30" xfId="0" applyFont="1" applyBorder="1" applyAlignment="1">
      <alignment horizontal="center"/>
    </xf>
    <xf numFmtId="0" fontId="78" fillId="0" borderId="0" xfId="0" applyFont="1" applyAlignment="1">
      <alignment horizontal="center" vertical="center"/>
    </xf>
    <xf numFmtId="0" fontId="21" fillId="0" borderId="0" xfId="0" applyFont="1" applyProtection="1">
      <protection locked="0"/>
    </xf>
    <xf numFmtId="0" fontId="21" fillId="0" borderId="22" xfId="0" applyFont="1" applyBorder="1" applyAlignment="1">
      <alignment horizontal="center"/>
    </xf>
    <xf numFmtId="0" fontId="99" fillId="126" borderId="0" xfId="115" applyFont="1" applyFill="1" applyAlignment="1">
      <alignment horizontal="center" vertical="center"/>
    </xf>
    <xf numFmtId="0" fontId="100" fillId="104" borderId="0" xfId="111" applyFont="1" applyFill="1" applyAlignment="1">
      <alignment horizontal="center" vertical="center"/>
    </xf>
    <xf numFmtId="0" fontId="2" fillId="0" borderId="60" xfId="148" applyFont="1" applyBorder="1" applyAlignment="1">
      <alignment horizontal="center" vertical="center"/>
    </xf>
    <xf numFmtId="0" fontId="83" fillId="127" borderId="1" xfId="132" applyFont="1" applyFill="1" applyBorder="1" applyAlignment="1" applyProtection="1">
      <alignment horizontal="center" vertical="center" shrinkToFit="1"/>
    </xf>
    <xf numFmtId="0" fontId="33" fillId="34" borderId="48" xfId="128" applyFont="1" applyFill="1" applyBorder="1" applyAlignment="1">
      <alignment horizontal="center" vertical="center" shrinkToFit="1"/>
    </xf>
    <xf numFmtId="0" fontId="101" fillId="128" borderId="48" xfId="132" applyFont="1" applyFill="1" applyBorder="1" applyAlignment="1" applyProtection="1">
      <alignment horizontal="center" vertical="center" shrinkToFit="1"/>
    </xf>
    <xf numFmtId="0" fontId="84" fillId="0" borderId="0" xfId="0" applyFont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37" fillId="91" borderId="48" xfId="128" applyFont="1" applyFill="1" applyBorder="1" applyAlignment="1">
      <alignment horizontal="center" vertical="center" shrinkToFit="1"/>
    </xf>
    <xf numFmtId="0" fontId="59" fillId="0" borderId="0" xfId="148" applyFont="1" applyAlignment="1">
      <alignment horizontal="center" vertical="center"/>
    </xf>
    <xf numFmtId="0" fontId="91" fillId="98" borderId="0" xfId="0" applyFont="1" applyFill="1" applyAlignment="1">
      <alignment vertical="center"/>
    </xf>
    <xf numFmtId="0" fontId="102" fillId="98" borderId="0" xfId="0" applyFont="1" applyFill="1"/>
    <xf numFmtId="0" fontId="103" fillId="96" borderId="48" xfId="148" applyFont="1" applyFill="1" applyBorder="1" applyAlignment="1">
      <alignment horizontal="center"/>
    </xf>
    <xf numFmtId="0" fontId="104" fillId="0" borderId="0" xfId="0" applyFont="1" applyAlignment="1">
      <alignment horizontal="center" vertical="center" shrinkToFit="1"/>
    </xf>
    <xf numFmtId="0" fontId="59" fillId="98" borderId="0" xfId="0" applyFont="1" applyFill="1" applyAlignment="1">
      <alignment horizontal="center" vertical="center"/>
    </xf>
    <xf numFmtId="0" fontId="93" fillId="0" borderId="0" xfId="115" applyFont="1" applyAlignment="1">
      <alignment horizontal="center" vertical="center"/>
    </xf>
    <xf numFmtId="0" fontId="93" fillId="98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77" fillId="0" borderId="15" xfId="130" applyFont="1" applyBorder="1" applyAlignment="1">
      <alignment horizontal="center" vertical="center" shrinkToFit="1"/>
    </xf>
    <xf numFmtId="0" fontId="84" fillId="0" borderId="15" xfId="0" applyFont="1" applyBorder="1" applyAlignment="1">
      <alignment horizontal="center"/>
    </xf>
    <xf numFmtId="0" fontId="105" fillId="0" borderId="0" xfId="243" applyFont="1" applyAlignment="1" applyProtection="1">
      <alignment horizontal="center"/>
    </xf>
    <xf numFmtId="0" fontId="103" fillId="0" borderId="0" xfId="0" applyFont="1" applyAlignment="1">
      <alignment horizontal="center"/>
    </xf>
    <xf numFmtId="0" fontId="106" fillId="129" borderId="1" xfId="0" applyFont="1" applyFill="1" applyBorder="1" applyAlignment="1">
      <alignment horizontal="center"/>
    </xf>
    <xf numFmtId="0" fontId="21" fillId="0" borderId="30" xfId="0" applyFont="1" applyBorder="1"/>
    <xf numFmtId="0" fontId="107" fillId="0" borderId="0" xfId="243" applyFont="1" applyAlignment="1" applyProtection="1">
      <alignment vertical="center"/>
    </xf>
    <xf numFmtId="0" fontId="21" fillId="109" borderId="0" xfId="0" applyFont="1" applyFill="1"/>
    <xf numFmtId="0" fontId="70" fillId="0" borderId="0" xfId="148" applyFont="1" applyAlignment="1">
      <alignment vertical="center"/>
    </xf>
    <xf numFmtId="0" fontId="70" fillId="0" borderId="24" xfId="148" applyFont="1" applyBorder="1" applyAlignment="1">
      <alignment vertical="center"/>
    </xf>
    <xf numFmtId="0" fontId="63" fillId="0" borderId="0" xfId="0" applyFont="1" applyAlignment="1">
      <alignment horizontal="center" vertical="center" shrinkToFit="1"/>
    </xf>
    <xf numFmtId="0" fontId="2" fillId="108" borderId="24" xfId="148" applyFont="1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108" fillId="0" borderId="0" xfId="243" applyFont="1" applyAlignment="1" applyProtection="1">
      <alignment horizontal="center"/>
    </xf>
    <xf numFmtId="0" fontId="63" fillId="0" borderId="0" xfId="130" applyFont="1" applyAlignment="1">
      <alignment horizontal="center" vertical="center" shrinkToFit="1"/>
    </xf>
    <xf numFmtId="0" fontId="6" fillId="0" borderId="40" xfId="0" applyFont="1" applyBorder="1" applyAlignment="1">
      <alignment horizontal="center" vertical="center" wrapText="1"/>
    </xf>
    <xf numFmtId="0" fontId="2" fillId="108" borderId="38" xfId="148" applyFont="1" applyFill="1" applyBorder="1" applyAlignment="1">
      <alignment horizontal="center"/>
    </xf>
    <xf numFmtId="0" fontId="2" fillId="0" borderId="41" xfId="148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103" fillId="0" borderId="40" xfId="0" applyFont="1" applyBorder="1" applyAlignment="1">
      <alignment horizontal="center"/>
    </xf>
    <xf numFmtId="0" fontId="2" fillId="0" borderId="40" xfId="0" applyFont="1" applyBorder="1" applyAlignment="1">
      <alignment horizontal="center" vertical="center"/>
    </xf>
    <xf numFmtId="0" fontId="109" fillId="0" borderId="15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28" xfId="0" applyFont="1" applyBorder="1" applyAlignment="1">
      <alignment horizontal="center"/>
    </xf>
    <xf numFmtId="0" fontId="52" fillId="0" borderId="0" xfId="0" applyFont="1" applyProtection="1">
      <protection locked="0"/>
    </xf>
    <xf numFmtId="0" fontId="21" fillId="0" borderId="0" xfId="0" quotePrefix="1" applyFont="1" applyProtection="1">
      <protection locked="0"/>
    </xf>
    <xf numFmtId="0" fontId="9" fillId="0" borderId="0" xfId="0" applyFont="1" applyProtection="1">
      <protection locked="0"/>
    </xf>
    <xf numFmtId="0" fontId="2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113" fillId="0" borderId="0" xfId="244" applyFont="1" applyAlignment="1" applyProtection="1">
      <alignment horizontal="center" vertical="top" shrinkToFit="1"/>
      <protection locked="0"/>
    </xf>
    <xf numFmtId="0" fontId="111" fillId="0" borderId="0" xfId="244" applyFont="1" applyAlignment="1" applyProtection="1">
      <alignment horizontal="center" vertical="top" shrinkToFit="1"/>
      <protection locked="0"/>
    </xf>
    <xf numFmtId="0" fontId="112" fillId="0" borderId="0" xfId="244" applyFont="1" applyAlignment="1">
      <alignment horizontal="center" vertical="center" shrinkToFit="1"/>
    </xf>
    <xf numFmtId="0" fontId="31" fillId="0" borderId="0" xfId="0" applyFont="1" applyProtection="1">
      <protection locked="0"/>
    </xf>
    <xf numFmtId="0" fontId="6" fillId="0" borderId="0" xfId="128" applyFont="1" applyAlignment="1" applyProtection="1">
      <alignment horizontal="center" vertical="center"/>
      <protection locked="0"/>
    </xf>
    <xf numFmtId="0" fontId="114" fillId="0" borderId="0" xfId="0" applyFont="1" applyProtection="1">
      <protection locked="0"/>
    </xf>
    <xf numFmtId="0" fontId="115" fillId="0" borderId="0" xfId="0" applyFont="1" applyAlignment="1" applyProtection="1">
      <alignment horizontal="center" vertical="center"/>
      <protection locked="0"/>
    </xf>
    <xf numFmtId="0" fontId="118" fillId="0" borderId="0" xfId="0" applyFont="1" applyAlignment="1" applyProtection="1">
      <alignment horizontal="center" vertical="center"/>
      <protection locked="0"/>
    </xf>
    <xf numFmtId="0" fontId="85" fillId="131" borderId="1" xfId="0" applyFont="1" applyFill="1" applyBorder="1" applyAlignment="1">
      <alignment horizontal="center" vertical="center"/>
    </xf>
    <xf numFmtId="0" fontId="106" fillId="133" borderId="5" xfId="0" applyFont="1" applyFill="1" applyBorder="1" applyAlignment="1">
      <alignment horizontal="center" vertical="center"/>
    </xf>
    <xf numFmtId="0" fontId="71" fillId="0" borderId="64" xfId="139" applyFont="1" applyBorder="1" applyAlignment="1" applyProtection="1">
      <alignment horizontal="left" vertical="center" shrinkToFit="1"/>
      <protection locked="0"/>
    </xf>
    <xf numFmtId="0" fontId="71" fillId="0" borderId="45" xfId="139" applyFont="1" applyBorder="1" applyAlignment="1" applyProtection="1">
      <alignment horizontal="left" vertical="center" shrinkToFit="1"/>
      <protection locked="0"/>
    </xf>
    <xf numFmtId="0" fontId="119" fillId="0" borderId="45" xfId="139" applyFont="1" applyBorder="1" applyAlignment="1" applyProtection="1">
      <alignment vertical="center" shrinkToFit="1"/>
      <protection locked="0"/>
    </xf>
    <xf numFmtId="0" fontId="119" fillId="0" borderId="48" xfId="139" applyFont="1" applyBorder="1" applyAlignment="1" applyProtection="1">
      <alignment vertical="center" shrinkToFit="1"/>
      <protection locked="0"/>
    </xf>
    <xf numFmtId="0" fontId="32" fillId="53" borderId="48" xfId="128" applyFont="1" applyFill="1" applyBorder="1" applyAlignment="1">
      <alignment horizontal="center" vertical="center" shrinkToFit="1"/>
    </xf>
    <xf numFmtId="41" fontId="0" fillId="0" borderId="48" xfId="0" applyNumberFormat="1" applyBorder="1" applyAlignment="1">
      <alignment horizontal="center" vertical="center"/>
    </xf>
    <xf numFmtId="41" fontId="62" fillId="0" borderId="1" xfId="128" applyNumberFormat="1" applyFont="1" applyBorder="1" applyAlignment="1">
      <alignment horizontal="center" vertical="center" shrinkToFit="1"/>
    </xf>
    <xf numFmtId="0" fontId="32" fillId="54" borderId="48" xfId="128" applyFont="1" applyFill="1" applyBorder="1" applyAlignment="1">
      <alignment horizontal="center" vertical="center" shrinkToFit="1"/>
    </xf>
    <xf numFmtId="0" fontId="33" fillId="55" borderId="48" xfId="128" applyFont="1" applyFill="1" applyBorder="1" applyAlignment="1">
      <alignment horizontal="center" vertical="center" shrinkToFit="1"/>
    </xf>
    <xf numFmtId="0" fontId="119" fillId="132" borderId="45" xfId="139" applyFont="1" applyFill="1" applyBorder="1" applyAlignment="1" applyProtection="1">
      <alignment vertical="center" shrinkToFit="1"/>
      <protection locked="0"/>
    </xf>
    <xf numFmtId="0" fontId="119" fillId="132" borderId="48" xfId="139" applyFont="1" applyFill="1" applyBorder="1" applyAlignment="1" applyProtection="1">
      <alignment vertical="center" shrinkToFit="1"/>
      <protection locked="0"/>
    </xf>
    <xf numFmtId="0" fontId="119" fillId="132" borderId="41" xfId="139" applyFont="1" applyFill="1" applyBorder="1" applyAlignment="1" applyProtection="1">
      <alignment vertical="center" shrinkToFit="1"/>
      <protection locked="0"/>
    </xf>
    <xf numFmtId="41" fontId="0" fillId="132" borderId="48" xfId="0" applyNumberFormat="1" applyFill="1" applyBorder="1" applyAlignment="1">
      <alignment horizontal="center" vertical="center"/>
    </xf>
    <xf numFmtId="41" fontId="62" fillId="132" borderId="1" xfId="128" applyNumberFormat="1" applyFont="1" applyFill="1" applyBorder="1" applyAlignment="1">
      <alignment horizontal="center" vertical="center" shrinkToFit="1"/>
    </xf>
    <xf numFmtId="0" fontId="34" fillId="36" borderId="48" xfId="128" applyFont="1" applyFill="1" applyBorder="1" applyAlignment="1">
      <alignment horizontal="center" vertical="center" shrinkToFit="1"/>
    </xf>
    <xf numFmtId="0" fontId="34" fillId="56" borderId="48" xfId="128" applyFont="1" applyFill="1" applyBorder="1" applyAlignment="1">
      <alignment horizontal="center" vertical="center" shrinkToFit="1"/>
    </xf>
    <xf numFmtId="0" fontId="34" fillId="37" borderId="48" xfId="128" applyFont="1" applyFill="1" applyBorder="1" applyAlignment="1">
      <alignment horizontal="center" vertical="center" shrinkToFit="1"/>
    </xf>
    <xf numFmtId="0" fontId="47" fillId="79" borderId="48" xfId="128" applyFont="1" applyFill="1" applyBorder="1" applyAlignment="1">
      <alignment horizontal="center" vertical="center" shrinkToFit="1"/>
    </xf>
    <xf numFmtId="0" fontId="33" fillId="57" borderId="48" xfId="128" applyFont="1" applyFill="1" applyBorder="1" applyAlignment="1">
      <alignment horizontal="center" vertical="center" shrinkToFit="1"/>
    </xf>
    <xf numFmtId="0" fontId="40" fillId="58" borderId="48" xfId="128" applyFont="1" applyFill="1" applyBorder="1" applyAlignment="1">
      <alignment horizontal="center" vertical="center" shrinkToFit="1"/>
    </xf>
    <xf numFmtId="0" fontId="33" fillId="50" borderId="48" xfId="128" applyFont="1" applyFill="1" applyBorder="1" applyAlignment="1">
      <alignment horizontal="center" vertical="center" shrinkToFit="1"/>
    </xf>
    <xf numFmtId="0" fontId="40" fillId="35" borderId="48" xfId="128" applyFont="1" applyFill="1" applyBorder="1" applyAlignment="1">
      <alignment horizontal="center" vertical="center" shrinkToFit="1"/>
    </xf>
    <xf numFmtId="0" fontId="40" fillId="59" borderId="48" xfId="128" applyFont="1" applyFill="1" applyBorder="1" applyAlignment="1">
      <alignment horizontal="center" vertical="center" shrinkToFit="1"/>
    </xf>
    <xf numFmtId="0" fontId="48" fillId="99" borderId="48" xfId="128" applyFont="1" applyFill="1" applyBorder="1" applyAlignment="1">
      <alignment horizontal="center" vertical="center" shrinkToFit="1"/>
    </xf>
    <xf numFmtId="0" fontId="48" fillId="100" borderId="48" xfId="128" applyFont="1" applyFill="1" applyBorder="1" applyAlignment="1">
      <alignment horizontal="center" vertical="center" shrinkToFit="1"/>
    </xf>
    <xf numFmtId="0" fontId="48" fillId="59" borderId="48" xfId="128" applyFont="1" applyFill="1" applyBorder="1" applyAlignment="1">
      <alignment horizontal="center" vertical="center" shrinkToFit="1"/>
    </xf>
    <xf numFmtId="0" fontId="48" fillId="101" borderId="48" xfId="128" applyFont="1" applyFill="1" applyBorder="1" applyAlignment="1">
      <alignment horizontal="center" vertical="center" shrinkToFit="1"/>
    </xf>
    <xf numFmtId="0" fontId="41" fillId="80" borderId="48" xfId="128" applyFont="1" applyFill="1" applyBorder="1" applyAlignment="1">
      <alignment horizontal="center" vertical="center" shrinkToFit="1"/>
    </xf>
    <xf numFmtId="0" fontId="48" fillId="102" borderId="48" xfId="128" applyFont="1" applyFill="1" applyBorder="1" applyAlignment="1">
      <alignment horizontal="center" vertical="center" shrinkToFit="1"/>
    </xf>
    <xf numFmtId="0" fontId="41" fillId="60" borderId="48" xfId="128" applyFont="1" applyFill="1" applyBorder="1" applyAlignment="1">
      <alignment horizontal="center" vertical="center" shrinkToFit="1"/>
    </xf>
    <xf numFmtId="0" fontId="48" fillId="103" borderId="48" xfId="128" applyFont="1" applyFill="1" applyBorder="1" applyAlignment="1">
      <alignment horizontal="center" vertical="center" shrinkToFit="1"/>
    </xf>
    <xf numFmtId="0" fontId="42" fillId="81" borderId="48" xfId="128" applyFont="1" applyFill="1" applyBorder="1" applyAlignment="1">
      <alignment horizontal="center" vertical="center" shrinkToFit="1"/>
    </xf>
    <xf numFmtId="0" fontId="48" fillId="88" borderId="48" xfId="128" applyFont="1" applyFill="1" applyBorder="1" applyAlignment="1">
      <alignment horizontal="center" vertical="center" shrinkToFit="1"/>
    </xf>
    <xf numFmtId="0" fontId="42" fillId="61" borderId="48" xfId="128" applyFont="1" applyFill="1" applyBorder="1" applyAlignment="1">
      <alignment horizontal="center" vertical="center" shrinkToFit="1"/>
    </xf>
    <xf numFmtId="0" fontId="0" fillId="0" borderId="45" xfId="0" applyBorder="1" applyProtection="1">
      <protection locked="0"/>
    </xf>
    <xf numFmtId="0" fontId="0" fillId="0" borderId="48" xfId="0" applyBorder="1" applyProtection="1">
      <protection locked="0"/>
    </xf>
    <xf numFmtId="0" fontId="34" fillId="62" borderId="48" xfId="128" applyFont="1" applyFill="1" applyBorder="1" applyAlignment="1">
      <alignment horizontal="center" vertical="center" shrinkToFit="1"/>
    </xf>
    <xf numFmtId="0" fontId="33" fillId="63" borderId="48" xfId="128" applyFont="1" applyFill="1" applyBorder="1" applyAlignment="1">
      <alignment horizontal="center" vertical="center" shrinkToFit="1"/>
    </xf>
    <xf numFmtId="0" fontId="43" fillId="55" borderId="48" xfId="128" applyFont="1" applyFill="1" applyBorder="1" applyAlignment="1">
      <alignment horizontal="center" vertical="center" shrinkToFit="1"/>
    </xf>
    <xf numFmtId="0" fontId="34" fillId="38" borderId="48" xfId="128" applyFont="1" applyFill="1" applyBorder="1" applyAlignment="1">
      <alignment horizontal="center" vertical="center" shrinkToFit="1"/>
    </xf>
    <xf numFmtId="0" fontId="50" fillId="89" borderId="48" xfId="128" applyFont="1" applyFill="1" applyBorder="1" applyAlignment="1">
      <alignment horizontal="center" vertical="center" shrinkToFit="1"/>
    </xf>
    <xf numFmtId="0" fontId="34" fillId="64" borderId="48" xfId="128" applyFont="1" applyFill="1" applyBorder="1" applyAlignment="1">
      <alignment horizontal="center" vertical="center" shrinkToFit="1"/>
    </xf>
    <xf numFmtId="0" fontId="44" fillId="65" borderId="48" xfId="128" applyFont="1" applyFill="1" applyBorder="1" applyAlignment="1">
      <alignment horizontal="center" vertical="center" shrinkToFit="1"/>
    </xf>
    <xf numFmtId="0" fontId="45" fillId="65" borderId="48" xfId="128" applyFont="1" applyFill="1" applyBorder="1" applyAlignment="1">
      <alignment horizontal="center" vertical="center" shrinkToFit="1"/>
    </xf>
    <xf numFmtId="0" fontId="46" fillId="65" borderId="48" xfId="128" applyFont="1" applyFill="1" applyBorder="1" applyAlignment="1">
      <alignment horizontal="center" vertical="center" shrinkToFit="1"/>
    </xf>
    <xf numFmtId="0" fontId="33" fillId="61" borderId="48" xfId="128" applyFont="1" applyFill="1" applyBorder="1" applyAlignment="1">
      <alignment horizontal="center" vertical="center" shrinkToFit="1"/>
    </xf>
    <xf numFmtId="0" fontId="54" fillId="104" borderId="48" xfId="128" applyFont="1" applyFill="1" applyBorder="1" applyAlignment="1">
      <alignment horizontal="center" vertical="center" shrinkToFit="1"/>
    </xf>
    <xf numFmtId="0" fontId="34" fillId="39" borderId="48" xfId="128" applyFont="1" applyFill="1" applyBorder="1" applyAlignment="1">
      <alignment horizontal="center" vertical="center" shrinkToFit="1"/>
    </xf>
    <xf numFmtId="0" fontId="34" fillId="40" borderId="48" xfId="128" applyFont="1" applyFill="1" applyBorder="1" applyAlignment="1">
      <alignment horizontal="center" vertical="center" shrinkToFit="1"/>
    </xf>
    <xf numFmtId="0" fontId="35" fillId="41" borderId="48" xfId="128" applyFont="1" applyFill="1" applyBorder="1" applyAlignment="1">
      <alignment horizontal="center" vertical="center" shrinkToFit="1"/>
    </xf>
    <xf numFmtId="0" fontId="35" fillId="66" borderId="48" xfId="128" applyFont="1" applyFill="1" applyBorder="1" applyAlignment="1">
      <alignment horizontal="center" vertical="center" shrinkToFit="1"/>
    </xf>
    <xf numFmtId="0" fontId="34" fillId="67" borderId="48" xfId="128" applyFont="1" applyFill="1" applyBorder="1" applyAlignment="1">
      <alignment horizontal="center" vertical="center" shrinkToFit="1"/>
    </xf>
    <xf numFmtId="41" fontId="62" fillId="0" borderId="2" xfId="128" applyNumberFormat="1" applyFont="1" applyBorder="1" applyAlignment="1">
      <alignment horizontal="center" vertical="center" shrinkToFit="1"/>
    </xf>
    <xf numFmtId="0" fontId="36" fillId="43" borderId="48" xfId="128" applyFont="1" applyFill="1" applyBorder="1" applyAlignment="1">
      <alignment horizontal="center" vertical="center" shrinkToFit="1"/>
    </xf>
    <xf numFmtId="0" fontId="33" fillId="90" borderId="48" xfId="128" applyFont="1" applyFill="1" applyBorder="1" applyAlignment="1">
      <alignment horizontal="center" vertical="center" shrinkToFit="1"/>
    </xf>
    <xf numFmtId="0" fontId="34" fillId="44" borderId="48" xfId="128" applyFont="1" applyFill="1" applyBorder="1" applyAlignment="1">
      <alignment horizontal="center" vertical="center" shrinkToFit="1"/>
    </xf>
    <xf numFmtId="0" fontId="37" fillId="45" borderId="48" xfId="128" applyFont="1" applyFill="1" applyBorder="1" applyAlignment="1">
      <alignment horizontal="center" vertical="center" shrinkToFit="1"/>
    </xf>
    <xf numFmtId="0" fontId="34" fillId="105" borderId="48" xfId="128" applyFont="1" applyFill="1" applyBorder="1" applyAlignment="1">
      <alignment horizontal="center" vertical="center" shrinkToFit="1"/>
    </xf>
    <xf numFmtId="0" fontId="48" fillId="83" borderId="48" xfId="128" applyFont="1" applyFill="1" applyBorder="1" applyAlignment="1">
      <alignment horizontal="center" vertical="center" shrinkToFit="1"/>
    </xf>
    <xf numFmtId="0" fontId="49" fillId="84" borderId="48" xfId="128" applyFont="1" applyFill="1" applyBorder="1" applyAlignment="1">
      <alignment horizontal="center" vertical="center" shrinkToFit="1"/>
    </xf>
    <xf numFmtId="0" fontId="34" fillId="68" borderId="48" xfId="128" applyFont="1" applyFill="1" applyBorder="1" applyAlignment="1">
      <alignment horizontal="center" vertical="center" shrinkToFit="1"/>
    </xf>
    <xf numFmtId="0" fontId="34" fillId="46" borderId="48" xfId="128" applyFont="1" applyFill="1" applyBorder="1" applyAlignment="1">
      <alignment horizontal="center" vertical="center" shrinkToFit="1"/>
    </xf>
    <xf numFmtId="0" fontId="34" fillId="69" borderId="48" xfId="128" applyFont="1" applyFill="1" applyBorder="1" applyAlignment="1">
      <alignment horizontal="center" vertical="center" shrinkToFit="1"/>
    </xf>
    <xf numFmtId="0" fontId="34" fillId="70" borderId="48" xfId="128" applyFont="1" applyFill="1" applyBorder="1" applyAlignment="1">
      <alignment horizontal="center" vertical="center" shrinkToFit="1"/>
    </xf>
    <xf numFmtId="0" fontId="35" fillId="71" borderId="48" xfId="128" applyFont="1" applyFill="1" applyBorder="1" applyAlignment="1">
      <alignment horizontal="center" vertical="center" shrinkToFit="1"/>
    </xf>
    <xf numFmtId="0" fontId="33" fillId="72" borderId="48" xfId="128" applyFont="1" applyFill="1" applyBorder="1" applyAlignment="1">
      <alignment horizontal="center" vertical="center" shrinkToFit="1"/>
    </xf>
    <xf numFmtId="0" fontId="33" fillId="85" borderId="48" xfId="128" applyFont="1" applyFill="1" applyBorder="1" applyAlignment="1">
      <alignment horizontal="center" vertical="center" shrinkToFit="1"/>
    </xf>
    <xf numFmtId="0" fontId="55" fillId="35" borderId="48" xfId="128" applyFont="1" applyFill="1" applyBorder="1" applyAlignment="1">
      <alignment horizontal="center" vertical="center" shrinkToFit="1"/>
    </xf>
    <xf numFmtId="0" fontId="38" fillId="73" borderId="48" xfId="128" applyFont="1" applyFill="1" applyBorder="1" applyAlignment="1">
      <alignment horizontal="center" vertical="center" shrinkToFit="1"/>
    </xf>
    <xf numFmtId="0" fontId="34" fillId="74" borderId="48" xfId="128" applyFont="1" applyFill="1" applyBorder="1" applyAlignment="1">
      <alignment horizontal="center" vertical="center" shrinkToFit="1"/>
    </xf>
    <xf numFmtId="0" fontId="35" fillId="75" borderId="48" xfId="128" applyFont="1" applyFill="1" applyBorder="1" applyAlignment="1">
      <alignment horizontal="center" vertical="center" shrinkToFit="1"/>
    </xf>
    <xf numFmtId="0" fontId="35" fillId="76" borderId="48" xfId="128" applyFont="1" applyFill="1" applyBorder="1" applyAlignment="1">
      <alignment horizontal="center" vertical="center" shrinkToFit="1"/>
    </xf>
    <xf numFmtId="0" fontId="35" fillId="92" borderId="48" xfId="128" applyFont="1" applyFill="1" applyBorder="1" applyAlignment="1">
      <alignment horizontal="center" vertical="center" shrinkToFit="1"/>
    </xf>
    <xf numFmtId="0" fontId="35" fillId="77" borderId="48" xfId="128" applyFont="1" applyFill="1" applyBorder="1" applyAlignment="1">
      <alignment horizontal="center" vertical="center" shrinkToFit="1"/>
    </xf>
    <xf numFmtId="0" fontId="48" fillId="106" borderId="48" xfId="128" applyFont="1" applyFill="1" applyBorder="1" applyAlignment="1">
      <alignment horizontal="center" vertical="center" shrinkToFit="1"/>
    </xf>
    <xf numFmtId="0" fontId="39" fillId="47" borderId="48" xfId="128" applyFont="1" applyFill="1" applyBorder="1" applyAlignment="1">
      <alignment horizontal="center" vertical="center" shrinkToFit="1"/>
    </xf>
    <xf numFmtId="0" fontId="39" fillId="48" borderId="48" xfId="128" applyFont="1" applyFill="1" applyBorder="1" applyAlignment="1">
      <alignment horizontal="center" vertical="center" shrinkToFit="1"/>
    </xf>
    <xf numFmtId="0" fontId="33" fillId="45" borderId="48" xfId="128" applyFont="1" applyFill="1" applyBorder="1" applyAlignment="1">
      <alignment horizontal="center" vertical="center" shrinkToFit="1"/>
    </xf>
    <xf numFmtId="0" fontId="33" fillId="49" borderId="48" xfId="128" applyFont="1" applyFill="1" applyBorder="1" applyAlignment="1">
      <alignment horizontal="center" vertical="center" shrinkToFit="1"/>
    </xf>
    <xf numFmtId="0" fontId="47" fillId="86" borderId="48" xfId="128" applyFont="1" applyFill="1" applyBorder="1" applyAlignment="1">
      <alignment horizontal="center" vertical="center" shrinkToFit="1"/>
    </xf>
    <xf numFmtId="0" fontId="51" fillId="93" borderId="48" xfId="128" applyFont="1" applyFill="1" applyBorder="1" applyAlignment="1">
      <alignment horizontal="center" vertical="center" shrinkToFit="1"/>
    </xf>
    <xf numFmtId="0" fontId="33" fillId="86" borderId="48" xfId="128" applyFont="1" applyFill="1" applyBorder="1" applyAlignment="1">
      <alignment horizontal="center" vertical="center" shrinkToFit="1"/>
    </xf>
    <xf numFmtId="0" fontId="34" fillId="51" borderId="48" xfId="128" applyFont="1" applyFill="1" applyBorder="1" applyAlignment="1">
      <alignment horizontal="center" vertical="center" shrinkToFit="1"/>
    </xf>
    <xf numFmtId="0" fontId="34" fillId="52" borderId="48" xfId="128" applyFont="1" applyFill="1" applyBorder="1" applyAlignment="1">
      <alignment horizontal="center" vertical="center" shrinkToFit="1"/>
    </xf>
    <xf numFmtId="0" fontId="34" fillId="78" borderId="48" xfId="128" applyFont="1" applyFill="1" applyBorder="1" applyAlignment="1">
      <alignment horizontal="center" vertical="center" shrinkToFit="1"/>
    </xf>
    <xf numFmtId="0" fontId="34" fillId="87" borderId="48" xfId="128" applyFont="1" applyFill="1" applyBorder="1" applyAlignment="1">
      <alignment horizontal="center" vertical="center" shrinkToFit="1"/>
    </xf>
    <xf numFmtId="0" fontId="119" fillId="0" borderId="41" xfId="139" applyFont="1" applyBorder="1" applyAlignment="1" applyProtection="1">
      <alignment vertical="center" shrinkToFit="1"/>
      <protection locked="0"/>
    </xf>
    <xf numFmtId="0" fontId="116" fillId="0" borderId="4" xfId="0" applyFont="1" applyBorder="1" applyAlignment="1" applyProtection="1">
      <alignment horizontal="center"/>
      <protection locked="0"/>
    </xf>
    <xf numFmtId="0" fontId="116" fillId="0" borderId="19" xfId="0" applyFont="1" applyBorder="1" applyAlignment="1" applyProtection="1">
      <alignment horizontal="center"/>
      <protection locked="0"/>
    </xf>
    <xf numFmtId="0" fontId="116" fillId="0" borderId="0" xfId="0" applyFont="1" applyAlignment="1" applyProtection="1">
      <alignment horizontal="center"/>
      <protection locked="0"/>
    </xf>
    <xf numFmtId="0" fontId="117" fillId="0" borderId="0" xfId="0" applyFont="1" applyAlignment="1">
      <alignment horizontal="center"/>
    </xf>
    <xf numFmtId="0" fontId="99" fillId="0" borderId="3" xfId="0" applyFont="1" applyBorder="1" applyAlignment="1" applyProtection="1">
      <alignment horizontal="center" vertical="center"/>
      <protection locked="0"/>
    </xf>
    <xf numFmtId="0" fontId="99" fillId="0" borderId="67" xfId="0" applyFont="1" applyBorder="1" applyAlignment="1" applyProtection="1">
      <alignment horizontal="center" vertical="center"/>
      <protection locked="0"/>
    </xf>
    <xf numFmtId="0" fontId="99" fillId="0" borderId="68" xfId="0" applyFont="1" applyBorder="1" applyAlignment="1" applyProtection="1">
      <alignment horizontal="center" vertical="center"/>
      <protection locked="0"/>
    </xf>
    <xf numFmtId="0" fontId="86" fillId="114" borderId="47" xfId="139" applyFont="1" applyFill="1" applyBorder="1" applyAlignment="1">
      <alignment horizontal="center" vertical="center" shrinkToFit="1"/>
    </xf>
    <xf numFmtId="41" fontId="0" fillId="0" borderId="72" xfId="0" applyNumberFormat="1" applyBorder="1" applyAlignment="1">
      <alignment horizontal="center" vertical="center"/>
    </xf>
    <xf numFmtId="41" fontId="0" fillId="0" borderId="73" xfId="209" applyNumberFormat="1" applyFont="1" applyFill="1" applyBorder="1" applyAlignment="1" applyProtection="1">
      <alignment horizontal="center" vertical="center"/>
    </xf>
    <xf numFmtId="0" fontId="106" fillId="96" borderId="48" xfId="126" applyFont="1" applyFill="1" applyBorder="1" applyAlignment="1">
      <alignment horizontal="center"/>
    </xf>
    <xf numFmtId="0" fontId="85" fillId="134" borderId="0" xfId="0" applyFont="1" applyFill="1" applyAlignment="1">
      <alignment horizontal="center" vertical="center"/>
    </xf>
    <xf numFmtId="0" fontId="124" fillId="88" borderId="48" xfId="126" applyFont="1" applyFill="1" applyBorder="1" applyAlignment="1">
      <alignment horizontal="center"/>
    </xf>
    <xf numFmtId="0" fontId="123" fillId="135" borderId="48" xfId="126" applyFont="1" applyFill="1" applyBorder="1" applyAlignment="1">
      <alignment horizontal="center"/>
    </xf>
    <xf numFmtId="0" fontId="106" fillId="94" borderId="48" xfId="126" applyFont="1" applyFill="1" applyBorder="1" applyAlignment="1">
      <alignment horizontal="center"/>
    </xf>
    <xf numFmtId="0" fontId="85" fillId="41" borderId="48" xfId="126" applyFont="1" applyFill="1" applyBorder="1" applyAlignment="1">
      <alignment horizontal="center"/>
    </xf>
    <xf numFmtId="0" fontId="106" fillId="136" borderId="48" xfId="126" applyFont="1" applyFill="1" applyBorder="1" applyAlignment="1">
      <alignment horizontal="center"/>
    </xf>
    <xf numFmtId="0" fontId="125" fillId="96" borderId="1" xfId="126" applyFont="1" applyFill="1" applyBorder="1" applyAlignment="1">
      <alignment horizontal="center"/>
    </xf>
    <xf numFmtId="0" fontId="106" fillId="80" borderId="48" xfId="126" applyFont="1" applyFill="1" applyBorder="1" applyAlignment="1">
      <alignment horizontal="center"/>
    </xf>
    <xf numFmtId="0" fontId="106" fillId="137" borderId="48" xfId="126" applyFont="1" applyFill="1" applyBorder="1" applyAlignment="1">
      <alignment horizontal="center"/>
    </xf>
    <xf numFmtId="0" fontId="106" fillId="82" borderId="48" xfId="126" applyFont="1" applyFill="1" applyBorder="1" applyAlignment="1">
      <alignment horizontal="center"/>
    </xf>
    <xf numFmtId="0" fontId="126" fillId="138" borderId="48" xfId="128" applyFont="1" applyFill="1" applyBorder="1" applyAlignment="1">
      <alignment horizontal="center" vertical="center" shrinkToFit="1"/>
    </xf>
    <xf numFmtId="0" fontId="106" fillId="136" borderId="1" xfId="126" applyFont="1" applyFill="1" applyBorder="1" applyAlignment="1">
      <alignment horizontal="center"/>
    </xf>
    <xf numFmtId="0" fontId="126" fillId="139" borderId="48" xfId="128" applyFont="1" applyFill="1" applyBorder="1" applyAlignment="1">
      <alignment horizontal="center" vertical="center" shrinkToFit="1"/>
    </xf>
    <xf numFmtId="0" fontId="126" fillId="140" borderId="48" xfId="128" applyFont="1" applyFill="1" applyBorder="1" applyAlignment="1">
      <alignment horizontal="center" vertical="center" shrinkToFit="1"/>
    </xf>
    <xf numFmtId="0" fontId="127" fillId="136" borderId="1" xfId="126" applyFont="1" applyFill="1" applyBorder="1" applyAlignment="1">
      <alignment horizontal="center"/>
    </xf>
    <xf numFmtId="0" fontId="128" fillId="97" borderId="1" xfId="0" applyFont="1" applyFill="1" applyBorder="1" applyAlignment="1">
      <alignment horizontal="center"/>
    </xf>
    <xf numFmtId="0" fontId="122" fillId="141" borderId="48" xfId="128" applyFont="1" applyFill="1" applyBorder="1" applyAlignment="1">
      <alignment horizontal="center" vertical="center" shrinkToFit="1"/>
    </xf>
    <xf numFmtId="0" fontId="71" fillId="142" borderId="48" xfId="128" applyFont="1" applyFill="1" applyBorder="1" applyAlignment="1">
      <alignment horizontal="center" vertical="center" shrinkToFit="1"/>
    </xf>
    <xf numFmtId="0" fontId="122" fillId="143" borderId="48" xfId="128" applyFont="1" applyFill="1" applyBorder="1" applyAlignment="1">
      <alignment horizontal="center" vertical="center" shrinkToFit="1"/>
    </xf>
    <xf numFmtId="0" fontId="122" fillId="144" borderId="48" xfId="128" applyFont="1" applyFill="1" applyBorder="1" applyAlignment="1">
      <alignment horizontal="center" vertical="center" shrinkToFit="1"/>
    </xf>
    <xf numFmtId="0" fontId="106" fillId="145" borderId="1" xfId="0" applyFont="1" applyFill="1" applyBorder="1" applyAlignment="1">
      <alignment horizontal="center"/>
    </xf>
    <xf numFmtId="0" fontId="85" fillId="146" borderId="1" xfId="126" applyFont="1" applyFill="1" applyBorder="1" applyAlignment="1">
      <alignment horizontal="center"/>
    </xf>
    <xf numFmtId="0" fontId="71" fillId="59" borderId="1" xfId="128" applyFont="1" applyFill="1" applyBorder="1" applyAlignment="1">
      <alignment horizontal="center" vertical="center" shrinkToFit="1"/>
    </xf>
    <xf numFmtId="0" fontId="129" fillId="147" borderId="1" xfId="0" applyFont="1" applyFill="1" applyBorder="1" applyAlignment="1">
      <alignment horizontal="center"/>
    </xf>
    <xf numFmtId="0" fontId="106" fillId="147" borderId="1" xfId="0" applyFont="1" applyFill="1" applyBorder="1" applyAlignment="1">
      <alignment horizontal="center"/>
    </xf>
    <xf numFmtId="0" fontId="106" fillId="52" borderId="1" xfId="0" applyFont="1" applyFill="1" applyBorder="1" applyAlignment="1">
      <alignment horizontal="center"/>
    </xf>
    <xf numFmtId="0" fontId="71" fillId="133" borderId="1" xfId="128" applyFont="1" applyFill="1" applyBorder="1" applyAlignment="1">
      <alignment horizontal="center" vertical="center" shrinkToFit="1"/>
    </xf>
    <xf numFmtId="0" fontId="85" fillId="131" borderId="1" xfId="126" applyFont="1" applyFill="1" applyBorder="1" applyAlignment="1">
      <alignment horizontal="center"/>
    </xf>
    <xf numFmtId="0" fontId="122" fillId="148" borderId="1" xfId="128" applyFont="1" applyFill="1" applyBorder="1" applyAlignment="1">
      <alignment horizontal="center" vertical="center" shrinkToFit="1"/>
    </xf>
    <xf numFmtId="0" fontId="123" fillId="130" borderId="1" xfId="0" applyFont="1" applyFill="1" applyBorder="1" applyAlignment="1">
      <alignment horizontal="center"/>
    </xf>
    <xf numFmtId="0" fontId="71" fillId="149" borderId="1" xfId="128" applyFont="1" applyFill="1" applyBorder="1" applyAlignment="1">
      <alignment horizontal="center" vertical="center" shrinkToFit="1"/>
    </xf>
    <xf numFmtId="0" fontId="122" fillId="150" borderId="1" xfId="128" applyFont="1" applyFill="1" applyBorder="1" applyAlignment="1">
      <alignment horizontal="center" vertical="center" shrinkToFit="1"/>
    </xf>
    <xf numFmtId="0" fontId="130" fillId="52" borderId="1" xfId="0" applyFont="1" applyFill="1" applyBorder="1" applyAlignment="1">
      <alignment horizontal="center"/>
    </xf>
    <xf numFmtId="0" fontId="126" fillId="138" borderId="1" xfId="128" applyFont="1" applyFill="1" applyBorder="1" applyAlignment="1">
      <alignment horizontal="center" vertical="center" shrinkToFit="1"/>
    </xf>
    <xf numFmtId="0" fontId="131" fillId="151" borderId="1" xfId="126" applyFont="1" applyFill="1" applyBorder="1" applyAlignment="1">
      <alignment horizontal="center"/>
    </xf>
    <xf numFmtId="0" fontId="122" fillId="152" borderId="1" xfId="128" applyFont="1" applyFill="1" applyBorder="1" applyAlignment="1">
      <alignment horizontal="center" vertical="center" shrinkToFit="1"/>
    </xf>
    <xf numFmtId="0" fontId="130" fillId="35" borderId="48" xfId="0" applyFont="1" applyFill="1" applyBorder="1" applyAlignment="1">
      <alignment horizontal="center"/>
    </xf>
    <xf numFmtId="0" fontId="129" fillId="153" borderId="1" xfId="0" applyFont="1" applyFill="1" applyBorder="1" applyAlignment="1">
      <alignment horizontal="center"/>
    </xf>
    <xf numFmtId="0" fontId="106" fillId="154" borderId="1" xfId="0" applyFont="1" applyFill="1" applyBorder="1" applyAlignment="1">
      <alignment horizontal="center"/>
    </xf>
    <xf numFmtId="0" fontId="71" fillId="142" borderId="1" xfId="128" applyFont="1" applyFill="1" applyBorder="1" applyAlignment="1">
      <alignment horizontal="center" vertical="center" shrinkToFit="1"/>
    </xf>
    <xf numFmtId="0" fontId="106" fillId="35" borderId="1" xfId="0" applyFont="1" applyFill="1" applyBorder="1" applyAlignment="1">
      <alignment horizontal="center"/>
    </xf>
    <xf numFmtId="0" fontId="85" fillId="136" borderId="1" xfId="0" applyFont="1" applyFill="1" applyBorder="1" applyAlignment="1">
      <alignment horizontal="center"/>
    </xf>
    <xf numFmtId="0" fontId="122" fillId="155" borderId="1" xfId="128" applyFont="1" applyFill="1" applyBorder="1" applyAlignment="1">
      <alignment horizontal="center" vertical="center" shrinkToFit="1"/>
    </xf>
    <xf numFmtId="0" fontId="132" fillId="131" borderId="1" xfId="128" applyFont="1" applyFill="1" applyBorder="1" applyAlignment="1">
      <alignment horizontal="center" vertical="center" shrinkToFit="1"/>
    </xf>
    <xf numFmtId="0" fontId="77" fillId="131" borderId="1" xfId="128" applyFont="1" applyFill="1" applyBorder="1" applyAlignment="1">
      <alignment horizontal="center" vertical="center" shrinkToFit="1"/>
    </xf>
    <xf numFmtId="0" fontId="133" fillId="97" borderId="1" xfId="128" applyFont="1" applyFill="1" applyBorder="1" applyAlignment="1">
      <alignment horizontal="center" vertical="center" shrinkToFit="1"/>
    </xf>
    <xf numFmtId="0" fontId="126" fillId="156" borderId="1" xfId="128" applyFont="1" applyFill="1" applyBorder="1" applyAlignment="1" applyProtection="1">
      <alignment horizontal="center" vertical="center" shrinkToFit="1"/>
      <protection locked="0"/>
    </xf>
    <xf numFmtId="0" fontId="122" fillId="157" borderId="1" xfId="128" applyFont="1" applyFill="1" applyBorder="1" applyAlignment="1">
      <alignment horizontal="center" vertical="center" shrinkToFit="1"/>
    </xf>
    <xf numFmtId="0" fontId="106" fillId="41" borderId="1" xfId="0" applyFont="1" applyFill="1" applyBorder="1" applyAlignment="1">
      <alignment horizontal="center"/>
    </xf>
    <xf numFmtId="0" fontId="71" fillId="39" borderId="1" xfId="128" applyFont="1" applyFill="1" applyBorder="1" applyAlignment="1">
      <alignment horizontal="center" vertical="center" shrinkToFit="1"/>
    </xf>
    <xf numFmtId="0" fontId="77" fillId="82" borderId="1" xfId="128" applyFont="1" applyFill="1" applyBorder="1" applyAlignment="1" applyProtection="1">
      <alignment horizontal="center" vertical="center" shrinkToFit="1"/>
      <protection locked="0"/>
    </xf>
    <xf numFmtId="0" fontId="126" fillId="158" borderId="1" xfId="128" applyFont="1" applyFill="1" applyBorder="1" applyAlignment="1">
      <alignment horizontal="center" vertical="center" shrinkToFit="1"/>
    </xf>
    <xf numFmtId="0" fontId="106" fillId="159" borderId="1" xfId="0" applyFont="1" applyFill="1" applyBorder="1" applyAlignment="1">
      <alignment horizontal="center"/>
    </xf>
    <xf numFmtId="0" fontId="106" fillId="97" borderId="1" xfId="0" applyFont="1" applyFill="1" applyBorder="1" applyAlignment="1">
      <alignment horizontal="center"/>
    </xf>
    <xf numFmtId="0" fontId="130" fillId="145" borderId="1" xfId="126" applyFont="1" applyFill="1" applyBorder="1" applyAlignment="1">
      <alignment horizontal="center"/>
    </xf>
    <xf numFmtId="0" fontId="106" fillId="82" borderId="1" xfId="0" applyFont="1" applyFill="1" applyBorder="1" applyAlignment="1">
      <alignment horizontal="center"/>
    </xf>
    <xf numFmtId="0" fontId="106" fillId="148" borderId="1" xfId="0" applyFont="1" applyFill="1" applyBorder="1" applyAlignment="1">
      <alignment horizontal="center"/>
    </xf>
    <xf numFmtId="0" fontId="126" fillId="160" borderId="1" xfId="128" applyFont="1" applyFill="1" applyBorder="1" applyAlignment="1">
      <alignment horizontal="center" vertical="center" shrinkToFit="1"/>
    </xf>
    <xf numFmtId="0" fontId="126" fillId="161" borderId="1" xfId="128" applyFont="1" applyFill="1" applyBorder="1" applyAlignment="1">
      <alignment horizontal="center" vertical="center" shrinkToFit="1"/>
    </xf>
    <xf numFmtId="0" fontId="122" fillId="162" borderId="1" xfId="128" applyFont="1" applyFill="1" applyBorder="1" applyAlignment="1">
      <alignment horizontal="center" vertical="center" shrinkToFit="1"/>
    </xf>
    <xf numFmtId="0" fontId="125" fillId="39" borderId="1" xfId="126" applyFont="1" applyFill="1" applyBorder="1" applyAlignment="1">
      <alignment horizontal="center"/>
    </xf>
    <xf numFmtId="0" fontId="106" fillId="101" borderId="1" xfId="0" applyFont="1" applyFill="1" applyBorder="1" applyAlignment="1">
      <alignment horizontal="center"/>
    </xf>
    <xf numFmtId="0" fontId="106" fillId="100" borderId="1" xfId="126" applyFont="1" applyFill="1" applyBorder="1" applyAlignment="1">
      <alignment horizontal="center"/>
    </xf>
    <xf numFmtId="0" fontId="106" fillId="163" borderId="1" xfId="0" applyFont="1" applyFill="1" applyBorder="1" applyAlignment="1">
      <alignment horizontal="center"/>
    </xf>
    <xf numFmtId="0" fontId="126" fillId="164" borderId="1" xfId="128" applyFont="1" applyFill="1" applyBorder="1" applyAlignment="1">
      <alignment horizontal="center" vertical="center" shrinkToFit="1"/>
    </xf>
    <xf numFmtId="0" fontId="122" fillId="165" borderId="1" xfId="128" applyFont="1" applyFill="1" applyBorder="1" applyAlignment="1">
      <alignment horizontal="center" vertical="center" shrinkToFit="1"/>
    </xf>
    <xf numFmtId="0" fontId="106" fillId="81" borderId="1" xfId="0" applyFont="1" applyFill="1" applyBorder="1" applyAlignment="1">
      <alignment horizontal="center"/>
    </xf>
    <xf numFmtId="0" fontId="106" fillId="166" borderId="1" xfId="0" applyFont="1" applyFill="1" applyBorder="1" applyAlignment="1">
      <alignment horizontal="center"/>
    </xf>
    <xf numFmtId="0" fontId="71" fillId="167" borderId="1" xfId="128" applyFont="1" applyFill="1" applyBorder="1" applyAlignment="1">
      <alignment horizontal="center" vertical="center" shrinkToFit="1"/>
    </xf>
    <xf numFmtId="0" fontId="106" fillId="168" borderId="1" xfId="0" applyFont="1" applyFill="1" applyBorder="1" applyAlignment="1">
      <alignment horizontal="center"/>
    </xf>
    <xf numFmtId="0" fontId="122" fillId="139" borderId="1" xfId="128" applyFont="1" applyFill="1" applyBorder="1" applyAlignment="1">
      <alignment horizontal="center" vertical="center" shrinkToFit="1"/>
    </xf>
    <xf numFmtId="0" fontId="77" fillId="169" borderId="1" xfId="128" applyFont="1" applyFill="1" applyBorder="1" applyAlignment="1">
      <alignment horizontal="center" vertical="center" shrinkToFit="1"/>
    </xf>
    <xf numFmtId="0" fontId="122" fillId="170" borderId="1" xfId="128" applyFont="1" applyFill="1" applyBorder="1" applyAlignment="1">
      <alignment horizontal="center" vertical="center" shrinkToFit="1"/>
    </xf>
    <xf numFmtId="0" fontId="71" fillId="171" borderId="1" xfId="128" applyFont="1" applyFill="1" applyBorder="1" applyAlignment="1">
      <alignment horizontal="center" vertical="center" shrinkToFit="1"/>
    </xf>
    <xf numFmtId="0" fontId="106" fillId="151" borderId="1" xfId="0" applyFont="1" applyFill="1" applyBorder="1" applyAlignment="1">
      <alignment horizontal="center"/>
    </xf>
    <xf numFmtId="41" fontId="0" fillId="0" borderId="74" xfId="0" applyNumberFormat="1" applyBorder="1" applyAlignment="1">
      <alignment horizontal="center" vertical="center"/>
    </xf>
    <xf numFmtId="41" fontId="0" fillId="0" borderId="75" xfId="209" applyNumberFormat="1" applyFont="1" applyFill="1" applyBorder="1" applyAlignment="1" applyProtection="1">
      <alignment horizontal="center" vertical="center"/>
    </xf>
    <xf numFmtId="170" fontId="135" fillId="0" borderId="3" xfId="0" applyNumberFormat="1" applyFont="1" applyBorder="1" applyAlignment="1">
      <alignment horizontal="center" vertical="center"/>
    </xf>
    <xf numFmtId="0" fontId="30" fillId="35" borderId="0" xfId="0" applyFont="1" applyFill="1" applyAlignment="1">
      <alignment horizontal="center" vertical="center"/>
    </xf>
    <xf numFmtId="170" fontId="137" fillId="172" borderId="1" xfId="128" applyNumberFormat="1" applyFont="1" applyFill="1" applyBorder="1" applyAlignment="1">
      <alignment vertical="center" shrinkToFit="1"/>
    </xf>
    <xf numFmtId="0" fontId="89" fillId="0" borderId="48" xfId="148" applyFont="1" applyBorder="1" applyAlignment="1">
      <alignment horizontal="center"/>
    </xf>
    <xf numFmtId="0" fontId="92" fillId="0" borderId="1" xfId="126" applyFont="1" applyBorder="1" applyAlignment="1">
      <alignment horizontal="center"/>
    </xf>
    <xf numFmtId="0" fontId="84" fillId="0" borderId="1" xfId="148" applyFont="1" applyBorder="1" applyAlignment="1">
      <alignment horizontal="center"/>
    </xf>
    <xf numFmtId="0" fontId="85" fillId="0" borderId="1" xfId="0" applyFont="1" applyBorder="1" applyAlignment="1">
      <alignment horizontal="center"/>
    </xf>
    <xf numFmtId="0" fontId="103" fillId="0" borderId="48" xfId="148" applyFont="1" applyBorder="1" applyAlignment="1">
      <alignment horizontal="center"/>
    </xf>
    <xf numFmtId="0" fontId="106" fillId="0" borderId="1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67" fillId="88" borderId="31" xfId="148" applyFont="1" applyFill="1" applyBorder="1" applyAlignment="1">
      <alignment horizontal="center" vertical="center" wrapText="1"/>
    </xf>
    <xf numFmtId="0" fontId="67" fillId="88" borderId="32" xfId="148" applyFont="1" applyFill="1" applyBorder="1" applyAlignment="1">
      <alignment horizontal="center" vertical="center" wrapText="1"/>
    </xf>
    <xf numFmtId="0" fontId="67" fillId="88" borderId="33" xfId="148" applyFont="1" applyFill="1" applyBorder="1" applyAlignment="1">
      <alignment horizontal="center" vertical="center" wrapText="1"/>
    </xf>
    <xf numFmtId="0" fontId="68" fillId="35" borderId="15" xfId="0" applyFont="1" applyFill="1" applyBorder="1" applyAlignment="1">
      <alignment horizontal="center" vertical="center"/>
    </xf>
    <xf numFmtId="0" fontId="68" fillId="35" borderId="0" xfId="0" applyFont="1" applyFill="1" applyAlignment="1">
      <alignment horizontal="center" vertical="center"/>
    </xf>
    <xf numFmtId="0" fontId="68" fillId="35" borderId="36" xfId="0" applyFont="1" applyFill="1" applyBorder="1" applyAlignment="1">
      <alignment horizontal="center" vertical="center"/>
    </xf>
    <xf numFmtId="0" fontId="68" fillId="35" borderId="37" xfId="0" applyFont="1" applyFill="1" applyBorder="1" applyAlignment="1">
      <alignment horizontal="center" vertical="center"/>
    </xf>
    <xf numFmtId="0" fontId="69" fillId="35" borderId="0" xfId="0" applyFont="1" applyFill="1" applyAlignment="1">
      <alignment horizontal="center"/>
    </xf>
    <xf numFmtId="0" fontId="56" fillId="107" borderId="15" xfId="148" applyFont="1" applyFill="1" applyBorder="1" applyAlignment="1">
      <alignment horizontal="center" vertical="center"/>
    </xf>
    <xf numFmtId="0" fontId="56" fillId="107" borderId="0" xfId="148" applyFont="1" applyFill="1" applyAlignment="1">
      <alignment horizontal="center" vertical="center"/>
    </xf>
    <xf numFmtId="0" fontId="57" fillId="98" borderId="0" xfId="148" applyFont="1" applyFill="1" applyAlignment="1">
      <alignment horizontal="center" vertical="center"/>
    </xf>
    <xf numFmtId="0" fontId="58" fillId="35" borderId="4" xfId="0" applyFont="1" applyFill="1" applyBorder="1" applyAlignment="1">
      <alignment horizontal="center" vertical="center"/>
    </xf>
    <xf numFmtId="0" fontId="58" fillId="35" borderId="19" xfId="0" applyFont="1" applyFill="1" applyBorder="1" applyAlignment="1">
      <alignment horizontal="center" vertical="center"/>
    </xf>
    <xf numFmtId="0" fontId="52" fillId="0" borderId="20" xfId="0" applyFont="1" applyBorder="1" applyAlignment="1">
      <alignment horizontal="center" vertical="center"/>
    </xf>
    <xf numFmtId="0" fontId="52" fillId="0" borderId="21" xfId="0" applyFont="1" applyBorder="1" applyAlignment="1">
      <alignment horizontal="center" vertical="center"/>
    </xf>
    <xf numFmtId="0" fontId="52" fillId="0" borderId="22" xfId="0" applyFont="1" applyBorder="1" applyAlignment="1">
      <alignment horizontal="center" vertical="center"/>
    </xf>
    <xf numFmtId="0" fontId="52" fillId="0" borderId="15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2" fillId="0" borderId="25" xfId="0" applyFont="1" applyBorder="1" applyAlignment="1">
      <alignment horizontal="center" vertical="center"/>
    </xf>
    <xf numFmtId="0" fontId="52" fillId="0" borderId="28" xfId="0" applyFont="1" applyBorder="1" applyAlignment="1">
      <alignment horizontal="center" vertical="center"/>
    </xf>
    <xf numFmtId="0" fontId="52" fillId="0" borderId="29" xfId="0" applyFont="1" applyBorder="1" applyAlignment="1">
      <alignment horizontal="center" vertical="center"/>
    </xf>
    <xf numFmtId="0" fontId="52" fillId="0" borderId="3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77" fillId="0" borderId="0" xfId="115" applyFont="1" applyAlignment="1">
      <alignment horizontal="center" vertical="center"/>
    </xf>
    <xf numFmtId="0" fontId="81" fillId="35" borderId="0" xfId="115" applyFont="1" applyFill="1" applyAlignment="1">
      <alignment horizontal="right" vertical="center"/>
    </xf>
    <xf numFmtId="0" fontId="91" fillId="35" borderId="0" xfId="115" applyFont="1" applyFill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81" fillId="35" borderId="0" xfId="115" applyFont="1" applyFill="1" applyAlignment="1">
      <alignment horizontal="center" vertical="center" wrapText="1"/>
    </xf>
    <xf numFmtId="0" fontId="63" fillId="0" borderId="57" xfId="0" applyFont="1" applyBorder="1" applyAlignment="1">
      <alignment horizontal="center" vertical="center"/>
    </xf>
    <xf numFmtId="0" fontId="63" fillId="0" borderId="50" xfId="0" applyFont="1" applyBorder="1" applyAlignment="1">
      <alignment horizontal="center" vertical="center"/>
    </xf>
    <xf numFmtId="0" fontId="63" fillId="0" borderId="58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3" fillId="0" borderId="25" xfId="0" applyFont="1" applyBorder="1" applyAlignment="1">
      <alignment horizontal="center" vertical="center"/>
    </xf>
    <xf numFmtId="0" fontId="63" fillId="0" borderId="28" xfId="0" applyFont="1" applyBorder="1" applyAlignment="1">
      <alignment horizontal="center" vertical="center"/>
    </xf>
    <xf numFmtId="0" fontId="63" fillId="0" borderId="29" xfId="0" applyFont="1" applyBorder="1" applyAlignment="1">
      <alignment horizontal="center" vertical="center"/>
    </xf>
    <xf numFmtId="0" fontId="63" fillId="0" borderId="30" xfId="0" applyFont="1" applyBorder="1" applyAlignment="1">
      <alignment horizontal="center" vertical="center"/>
    </xf>
    <xf numFmtId="0" fontId="91" fillId="35" borderId="0" xfId="115" applyFont="1" applyFill="1" applyAlignment="1">
      <alignment horizontal="center" vertical="center" wrapText="1"/>
    </xf>
    <xf numFmtId="0" fontId="86" fillId="35" borderId="20" xfId="242" applyFont="1" applyFill="1" applyBorder="1" applyAlignment="1" applyProtection="1">
      <alignment horizontal="center" vertical="center" wrapText="1"/>
    </xf>
    <xf numFmtId="0" fontId="86" fillId="35" borderId="21" xfId="242" applyFont="1" applyFill="1" applyBorder="1" applyAlignment="1" applyProtection="1">
      <alignment horizontal="center" vertical="center" wrapText="1"/>
    </xf>
    <xf numFmtId="0" fontId="86" fillId="35" borderId="22" xfId="242" applyFont="1" applyFill="1" applyBorder="1" applyAlignment="1" applyProtection="1">
      <alignment horizontal="center" vertical="center" wrapText="1"/>
    </xf>
    <xf numFmtId="0" fontId="86" fillId="35" borderId="28" xfId="242" applyFont="1" applyFill="1" applyBorder="1" applyAlignment="1" applyProtection="1">
      <alignment horizontal="center" vertical="center" wrapText="1"/>
    </xf>
    <xf numFmtId="0" fontId="86" fillId="35" borderId="29" xfId="242" applyFont="1" applyFill="1" applyBorder="1" applyAlignment="1" applyProtection="1">
      <alignment horizontal="center" vertical="center" wrapText="1"/>
    </xf>
    <xf numFmtId="0" fontId="86" fillId="35" borderId="30" xfId="242" applyFont="1" applyFill="1" applyBorder="1" applyAlignment="1" applyProtection="1">
      <alignment horizontal="center" vertical="center" wrapText="1"/>
    </xf>
    <xf numFmtId="0" fontId="21" fillId="0" borderId="56" xfId="0" applyFont="1" applyBorder="1" applyAlignment="1">
      <alignment horizontal="center"/>
    </xf>
    <xf numFmtId="0" fontId="21" fillId="0" borderId="61" xfId="0" applyFont="1" applyBorder="1" applyAlignment="1">
      <alignment horizontal="center"/>
    </xf>
    <xf numFmtId="0" fontId="62" fillId="0" borderId="20" xfId="0" applyFont="1" applyBorder="1" applyAlignment="1">
      <alignment horizontal="center" vertical="center"/>
    </xf>
    <xf numFmtId="0" fontId="62" fillId="0" borderId="21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2" fillId="0" borderId="25" xfId="0" applyFont="1" applyBorder="1" applyAlignment="1">
      <alignment horizontal="center" vertical="center"/>
    </xf>
    <xf numFmtId="0" fontId="62" fillId="0" borderId="15" xfId="0" applyFont="1" applyBorder="1" applyAlignment="1">
      <alignment horizontal="center" vertical="center"/>
    </xf>
    <xf numFmtId="0" fontId="62" fillId="0" borderId="28" xfId="0" applyFont="1" applyBorder="1" applyAlignment="1">
      <alignment horizontal="center" vertical="center"/>
    </xf>
    <xf numFmtId="0" fontId="62" fillId="0" borderId="29" xfId="0" applyFont="1" applyBorder="1" applyAlignment="1">
      <alignment horizontal="center" vertical="center"/>
    </xf>
    <xf numFmtId="0" fontId="62" fillId="0" borderId="30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2" fillId="0" borderId="15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25" xfId="0" applyFont="1" applyBorder="1" applyAlignment="1">
      <alignment horizontal="center" vertical="center" wrapText="1"/>
    </xf>
    <xf numFmtId="0" fontId="67" fillId="35" borderId="4" xfId="0" applyFont="1" applyFill="1" applyBorder="1" applyAlignment="1">
      <alignment horizontal="center" vertical="center"/>
    </xf>
    <xf numFmtId="0" fontId="67" fillId="35" borderId="19" xfId="0" applyFont="1" applyFill="1" applyBorder="1" applyAlignment="1">
      <alignment horizontal="center" vertical="center"/>
    </xf>
    <xf numFmtId="0" fontId="67" fillId="35" borderId="5" xfId="0" applyFont="1" applyFill="1" applyBorder="1" applyAlignment="1">
      <alignment horizontal="center" vertical="center"/>
    </xf>
    <xf numFmtId="0" fontId="77" fillId="0" borderId="29" xfId="115" applyFont="1" applyBorder="1" applyAlignment="1">
      <alignment horizontal="center" vertical="center"/>
    </xf>
    <xf numFmtId="0" fontId="77" fillId="0" borderId="30" xfId="115" applyFont="1" applyBorder="1" applyAlignment="1">
      <alignment horizontal="center" vertical="center"/>
    </xf>
    <xf numFmtId="0" fontId="21" fillId="0" borderId="59" xfId="0" applyFont="1" applyBorder="1" applyAlignment="1">
      <alignment horizontal="center"/>
    </xf>
    <xf numFmtId="0" fontId="86" fillId="0" borderId="0" xfId="0" applyFont="1" applyAlignment="1">
      <alignment horizontal="center" vertical="center"/>
    </xf>
    <xf numFmtId="0" fontId="76" fillId="0" borderId="20" xfId="0" applyFont="1" applyBorder="1" applyAlignment="1">
      <alignment horizontal="center" vertical="center"/>
    </xf>
    <xf numFmtId="0" fontId="76" fillId="0" borderId="21" xfId="0" applyFont="1" applyBorder="1" applyAlignment="1">
      <alignment horizontal="center" vertical="center"/>
    </xf>
    <xf numFmtId="0" fontId="76" fillId="0" borderId="22" xfId="0" applyFont="1" applyBorder="1" applyAlignment="1">
      <alignment horizontal="center" vertical="center"/>
    </xf>
    <xf numFmtId="0" fontId="76" fillId="0" borderId="15" xfId="0" applyFont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6" fillId="0" borderId="25" xfId="0" applyFont="1" applyBorder="1" applyAlignment="1">
      <alignment horizontal="center" vertical="center"/>
    </xf>
    <xf numFmtId="0" fontId="76" fillId="0" borderId="28" xfId="0" applyFont="1" applyBorder="1" applyAlignment="1">
      <alignment horizontal="center" vertical="center"/>
    </xf>
    <xf numFmtId="0" fontId="76" fillId="0" borderId="29" xfId="0" applyFont="1" applyBorder="1" applyAlignment="1">
      <alignment horizontal="center" vertical="center"/>
    </xf>
    <xf numFmtId="0" fontId="76" fillId="0" borderId="30" xfId="0" applyFont="1" applyBorder="1" applyAlignment="1">
      <alignment horizontal="center" vertical="center"/>
    </xf>
    <xf numFmtId="0" fontId="77" fillId="35" borderId="20" xfId="0" applyFont="1" applyFill="1" applyBorder="1" applyAlignment="1">
      <alignment horizontal="center" vertical="center" wrapText="1"/>
    </xf>
    <xf numFmtId="0" fontId="77" fillId="35" borderId="22" xfId="0" applyFont="1" applyFill="1" applyBorder="1" applyAlignment="1">
      <alignment horizontal="center" vertical="center" wrapText="1"/>
    </xf>
    <xf numFmtId="0" fontId="77" fillId="35" borderId="28" xfId="0" applyFont="1" applyFill="1" applyBorder="1" applyAlignment="1">
      <alignment horizontal="center" vertical="center" wrapText="1"/>
    </xf>
    <xf numFmtId="0" fontId="77" fillId="35" borderId="30" xfId="0" applyFont="1" applyFill="1" applyBorder="1" applyAlignment="1">
      <alignment horizontal="center" vertical="center" wrapText="1"/>
    </xf>
    <xf numFmtId="0" fontId="111" fillId="0" borderId="4" xfId="244" applyFont="1" applyBorder="1" applyAlignment="1" applyProtection="1">
      <alignment horizontal="center" vertical="top" shrinkToFit="1"/>
      <protection locked="0"/>
    </xf>
    <xf numFmtId="0" fontId="111" fillId="0" borderId="19" xfId="244" applyFont="1" applyBorder="1" applyAlignment="1" applyProtection="1">
      <alignment horizontal="center" vertical="top" shrinkToFit="1"/>
      <protection locked="0"/>
    </xf>
    <xf numFmtId="0" fontId="111" fillId="0" borderId="5" xfId="244" applyFont="1" applyBorder="1" applyAlignment="1" applyProtection="1">
      <alignment horizontal="center" vertical="top" shrinkToFit="1"/>
      <protection locked="0"/>
    </xf>
    <xf numFmtId="41" fontId="112" fillId="0" borderId="4" xfId="244" applyNumberFormat="1" applyFont="1" applyBorder="1" applyAlignment="1">
      <alignment horizontal="center" vertical="center" shrinkToFit="1"/>
    </xf>
    <xf numFmtId="41" fontId="112" fillId="0" borderId="19" xfId="244" applyNumberFormat="1" applyFont="1" applyBorder="1" applyAlignment="1">
      <alignment horizontal="center" vertical="center" shrinkToFit="1"/>
    </xf>
    <xf numFmtId="41" fontId="112" fillId="0" borderId="5" xfId="244" applyNumberFormat="1" applyFont="1" applyBorder="1" applyAlignment="1">
      <alignment horizontal="center" vertical="center" shrinkToFit="1"/>
    </xf>
    <xf numFmtId="0" fontId="115" fillId="35" borderId="0" xfId="0" applyFont="1" applyFill="1" applyAlignment="1" applyProtection="1">
      <alignment horizontal="center" vertical="center"/>
      <protection locked="0"/>
    </xf>
    <xf numFmtId="0" fontId="116" fillId="130" borderId="4" xfId="0" applyFont="1" applyFill="1" applyBorder="1" applyAlignment="1" applyProtection="1">
      <alignment horizontal="center" vertical="center"/>
      <protection locked="0"/>
    </xf>
    <xf numFmtId="0" fontId="116" fillId="130" borderId="19" xfId="0" applyFont="1" applyFill="1" applyBorder="1" applyAlignment="1" applyProtection="1">
      <alignment horizontal="center" vertical="center"/>
      <protection locked="0"/>
    </xf>
    <xf numFmtId="0" fontId="116" fillId="130" borderId="5" xfId="0" applyFont="1" applyFill="1" applyBorder="1" applyAlignment="1" applyProtection="1">
      <alignment horizontal="center" vertical="center"/>
      <protection locked="0"/>
    </xf>
    <xf numFmtId="41" fontId="117" fillId="131" borderId="4" xfId="0" applyNumberFormat="1" applyFont="1" applyFill="1" applyBorder="1" applyAlignment="1">
      <alignment horizontal="center" vertical="center"/>
    </xf>
    <xf numFmtId="41" fontId="117" fillId="131" borderId="5" xfId="0" applyNumberFormat="1" applyFont="1" applyFill="1" applyBorder="1" applyAlignment="1">
      <alignment horizontal="center" vertical="center"/>
    </xf>
    <xf numFmtId="0" fontId="116" fillId="35" borderId="4" xfId="0" applyFont="1" applyFill="1" applyBorder="1" applyAlignment="1" applyProtection="1">
      <alignment horizontal="center"/>
      <protection locked="0"/>
    </xf>
    <xf numFmtId="0" fontId="116" fillId="35" borderId="19" xfId="0" applyFont="1" applyFill="1" applyBorder="1" applyAlignment="1" applyProtection="1">
      <alignment horizontal="center"/>
      <protection locked="0"/>
    </xf>
    <xf numFmtId="0" fontId="116" fillId="35" borderId="5" xfId="0" applyFont="1" applyFill="1" applyBorder="1" applyAlignment="1" applyProtection="1">
      <alignment horizontal="center"/>
      <protection locked="0"/>
    </xf>
    <xf numFmtId="0" fontId="71" fillId="0" borderId="64" xfId="139" applyFont="1" applyBorder="1" applyAlignment="1" applyProtection="1">
      <alignment horizontal="left" vertical="center" shrinkToFit="1"/>
      <protection locked="0"/>
    </xf>
    <xf numFmtId="0" fontId="71" fillId="0" borderId="45" xfId="139" applyFont="1" applyBorder="1" applyAlignment="1" applyProtection="1">
      <alignment horizontal="left" vertical="center" shrinkToFit="1"/>
      <protection locked="0"/>
    </xf>
    <xf numFmtId="0" fontId="71" fillId="132" borderId="64" xfId="139" applyFont="1" applyFill="1" applyBorder="1" applyAlignment="1" applyProtection="1">
      <alignment horizontal="left" vertical="center" shrinkToFit="1"/>
      <protection locked="0"/>
    </xf>
    <xf numFmtId="0" fontId="71" fillId="132" borderId="45" xfId="139" applyFont="1" applyFill="1" applyBorder="1" applyAlignment="1" applyProtection="1">
      <alignment horizontal="left" vertical="center" shrinkToFit="1"/>
      <protection locked="0"/>
    </xf>
    <xf numFmtId="0" fontId="71" fillId="132" borderId="16" xfId="128" applyFont="1" applyFill="1" applyBorder="1" applyAlignment="1" applyProtection="1">
      <alignment horizontal="center" vertical="center" shrinkToFit="1"/>
      <protection locked="0"/>
    </xf>
    <xf numFmtId="0" fontId="71" fillId="132" borderId="17" xfId="128" applyFont="1" applyFill="1" applyBorder="1" applyAlignment="1" applyProtection="1">
      <alignment horizontal="center" vertical="center" shrinkToFit="1"/>
      <protection locked="0"/>
    </xf>
    <xf numFmtId="0" fontId="71" fillId="132" borderId="18" xfId="128" applyFont="1" applyFill="1" applyBorder="1" applyAlignment="1" applyProtection="1">
      <alignment horizontal="center" vertical="center" shrinkToFit="1"/>
      <protection locked="0"/>
    </xf>
    <xf numFmtId="0" fontId="0" fillId="0" borderId="45" xfId="0" applyBorder="1" applyAlignment="1">
      <alignment horizontal="left" vertical="center" shrinkToFit="1"/>
    </xf>
    <xf numFmtId="0" fontId="71" fillId="0" borderId="64" xfId="139" applyFont="1" applyBorder="1" applyAlignment="1" applyProtection="1">
      <alignment horizontal="right" vertical="center" shrinkToFit="1"/>
      <protection locked="0"/>
    </xf>
    <xf numFmtId="0" fontId="71" fillId="0" borderId="45" xfId="139" applyFont="1" applyBorder="1" applyAlignment="1" applyProtection="1">
      <alignment horizontal="right" vertical="center" shrinkToFit="1"/>
      <protection locked="0"/>
    </xf>
    <xf numFmtId="0" fontId="116" fillId="0" borderId="4" xfId="0" applyFont="1" applyBorder="1" applyAlignment="1" applyProtection="1">
      <alignment horizontal="center"/>
      <protection locked="0"/>
    </xf>
    <xf numFmtId="0" fontId="116" fillId="0" borderId="19" xfId="0" applyFont="1" applyBorder="1" applyAlignment="1" applyProtection="1">
      <alignment horizontal="center"/>
      <protection locked="0"/>
    </xf>
    <xf numFmtId="0" fontId="116" fillId="0" borderId="5" xfId="0" applyFont="1" applyBorder="1" applyAlignment="1" applyProtection="1">
      <alignment horizontal="center"/>
      <protection locked="0"/>
    </xf>
    <xf numFmtId="0" fontId="118" fillId="131" borderId="0" xfId="0" applyFont="1" applyFill="1" applyAlignment="1" applyProtection="1">
      <alignment horizontal="center" vertical="center"/>
      <protection locked="0"/>
    </xf>
    <xf numFmtId="0" fontId="120" fillId="35" borderId="0" xfId="0" applyFont="1" applyFill="1" applyAlignment="1" applyProtection="1">
      <alignment horizontal="center" vertical="center"/>
      <protection locked="0"/>
    </xf>
    <xf numFmtId="0" fontId="123" fillId="0" borderId="64" xfId="119" applyFont="1" applyBorder="1" applyAlignment="1" applyProtection="1">
      <alignment horizontal="left" shrinkToFit="1"/>
      <protection locked="0"/>
    </xf>
    <xf numFmtId="0" fontId="123" fillId="0" borderId="71" xfId="119" applyFont="1" applyBorder="1" applyAlignment="1" applyProtection="1">
      <alignment horizontal="left" shrinkToFit="1"/>
      <protection locked="0"/>
    </xf>
    <xf numFmtId="0" fontId="123" fillId="0" borderId="64" xfId="119" applyFont="1" applyBorder="1" applyAlignment="1">
      <alignment horizontal="left" shrinkToFit="1"/>
    </xf>
    <xf numFmtId="0" fontId="123" fillId="0" borderId="48" xfId="119" applyFont="1" applyBorder="1" applyAlignment="1">
      <alignment horizontal="left" shrinkToFit="1"/>
    </xf>
    <xf numFmtId="0" fontId="121" fillId="131" borderId="65" xfId="0" applyFont="1" applyFill="1" applyBorder="1" applyAlignment="1">
      <alignment horizontal="center" vertical="center"/>
    </xf>
    <xf numFmtId="0" fontId="121" fillId="131" borderId="66" xfId="0" applyFont="1" applyFill="1" applyBorder="1" applyAlignment="1">
      <alignment horizontal="center" vertical="center"/>
    </xf>
    <xf numFmtId="0" fontId="99" fillId="0" borderId="4" xfId="0" applyFont="1" applyBorder="1" applyAlignment="1" applyProtection="1">
      <alignment horizontal="center"/>
      <protection locked="0"/>
    </xf>
    <xf numFmtId="0" fontId="99" fillId="0" borderId="19" xfId="0" applyFont="1" applyBorder="1" applyAlignment="1" applyProtection="1">
      <alignment horizontal="center"/>
      <protection locked="0"/>
    </xf>
    <xf numFmtId="0" fontId="99" fillId="0" borderId="4" xfId="0" applyFont="1" applyBorder="1" applyAlignment="1" applyProtection="1">
      <alignment horizontal="center" vertical="center"/>
      <protection locked="0"/>
    </xf>
    <xf numFmtId="0" fontId="99" fillId="0" borderId="5" xfId="0" applyFont="1" applyBorder="1" applyAlignment="1" applyProtection="1">
      <alignment horizontal="center" vertical="center"/>
      <protection locked="0"/>
    </xf>
    <xf numFmtId="0" fontId="122" fillId="131" borderId="40" xfId="128" applyFont="1" applyFill="1" applyBorder="1" applyAlignment="1" applyProtection="1">
      <alignment horizontal="center" vertical="center" shrinkToFit="1"/>
      <protection locked="0"/>
    </xf>
    <xf numFmtId="0" fontId="122" fillId="131" borderId="0" xfId="128" applyFont="1" applyFill="1" applyAlignment="1" applyProtection="1">
      <alignment horizontal="center" vertical="center" shrinkToFit="1"/>
      <protection locked="0"/>
    </xf>
    <xf numFmtId="0" fontId="122" fillId="131" borderId="69" xfId="128" applyFont="1" applyFill="1" applyBorder="1" applyAlignment="1" applyProtection="1">
      <alignment horizontal="center" vertical="center" shrinkToFit="1"/>
      <protection locked="0"/>
    </xf>
    <xf numFmtId="0" fontId="122" fillId="131" borderId="70" xfId="128" applyFont="1" applyFill="1" applyBorder="1" applyAlignment="1" applyProtection="1">
      <alignment horizontal="center" vertical="center" shrinkToFit="1"/>
      <protection locked="0"/>
    </xf>
    <xf numFmtId="0" fontId="122" fillId="131" borderId="45" xfId="128" applyFont="1" applyFill="1" applyBorder="1" applyAlignment="1" applyProtection="1">
      <alignment horizontal="center" vertical="center" shrinkToFit="1"/>
      <protection locked="0"/>
    </xf>
    <xf numFmtId="0" fontId="122" fillId="131" borderId="48" xfId="128" applyFont="1" applyFill="1" applyBorder="1" applyAlignment="1" applyProtection="1">
      <alignment horizontal="center" vertical="center" shrinkToFit="1"/>
      <protection locked="0"/>
    </xf>
    <xf numFmtId="0" fontId="62" fillId="0" borderId="4" xfId="0" applyFont="1" applyBorder="1" applyAlignment="1">
      <alignment horizontal="center" vertical="center" wrapText="1" shrinkToFit="1"/>
    </xf>
    <xf numFmtId="0" fontId="62" fillId="0" borderId="19" xfId="0" applyFont="1" applyBorder="1" applyAlignment="1">
      <alignment horizontal="center" vertical="center" wrapText="1" shrinkToFit="1"/>
    </xf>
    <xf numFmtId="0" fontId="62" fillId="0" borderId="5" xfId="0" applyFont="1" applyBorder="1" applyAlignment="1">
      <alignment horizontal="center" vertical="center" wrapText="1" shrinkToFit="1"/>
    </xf>
    <xf numFmtId="0" fontId="134" fillId="35" borderId="0" xfId="0" applyFont="1" applyFill="1" applyAlignment="1" applyProtection="1">
      <alignment horizontal="center" vertical="center"/>
      <protection locked="0"/>
    </xf>
    <xf numFmtId="0" fontId="30" fillId="168" borderId="4" xfId="0" applyFont="1" applyFill="1" applyBorder="1" applyAlignment="1">
      <alignment horizontal="center" vertical="center"/>
    </xf>
    <xf numFmtId="0" fontId="30" fillId="168" borderId="19" xfId="0" applyFont="1" applyFill="1" applyBorder="1" applyAlignment="1">
      <alignment horizontal="center" vertical="center"/>
    </xf>
    <xf numFmtId="0" fontId="30" fillId="168" borderId="5" xfId="0" applyFont="1" applyFill="1" applyBorder="1" applyAlignment="1">
      <alignment horizontal="center" vertical="center"/>
    </xf>
    <xf numFmtId="0" fontId="136" fillId="0" borderId="64" xfId="139" applyFont="1" applyBorder="1" applyAlignment="1">
      <alignment horizontal="left" vertical="center" shrinkToFit="1"/>
    </xf>
    <xf numFmtId="0" fontId="136" fillId="0" borderId="45" xfId="139" applyFont="1" applyBorder="1" applyAlignment="1">
      <alignment horizontal="left" vertical="center" shrinkToFit="1"/>
    </xf>
    <xf numFmtId="0" fontId="136" fillId="0" borderId="48" xfId="139" applyFont="1" applyBorder="1" applyAlignment="1">
      <alignment horizontal="left" vertical="center" shrinkToFit="1"/>
    </xf>
    <xf numFmtId="0" fontId="71" fillId="0" borderId="1" xfId="0" applyFont="1" applyBorder="1" applyAlignment="1">
      <alignment horizontal="left" vertical="center" wrapText="1" shrinkToFit="1"/>
    </xf>
    <xf numFmtId="0" fontId="71" fillId="0" borderId="76" xfId="0" applyFont="1" applyBorder="1" applyAlignment="1">
      <alignment horizontal="left" vertical="center" wrapText="1" shrinkToFit="1"/>
    </xf>
    <xf numFmtId="0" fontId="71" fillId="0" borderId="77" xfId="0" applyFont="1" applyBorder="1" applyAlignment="1">
      <alignment horizontal="left" vertical="center" wrapText="1" shrinkToFit="1"/>
    </xf>
    <xf numFmtId="0" fontId="71" fillId="0" borderId="78" xfId="0" applyFont="1" applyBorder="1" applyAlignment="1">
      <alignment horizontal="left" vertical="center" wrapText="1" shrinkToFit="1"/>
    </xf>
    <xf numFmtId="171" fontId="56" fillId="107" borderId="15" xfId="148" applyNumberFormat="1" applyFont="1" applyFill="1" applyBorder="1" applyAlignment="1">
      <alignment horizontal="center" vertical="center"/>
    </xf>
    <xf numFmtId="171" fontId="56" fillId="107" borderId="0" xfId="148" applyNumberFormat="1" applyFont="1" applyFill="1" applyAlignment="1">
      <alignment horizontal="center" vertical="center"/>
    </xf>
    <xf numFmtId="171" fontId="0" fillId="0" borderId="0" xfId="0" applyNumberFormat="1"/>
    <xf numFmtId="171" fontId="57" fillId="98" borderId="0" xfId="148" applyNumberFormat="1" applyFont="1" applyFill="1" applyAlignment="1">
      <alignment horizontal="center" vertical="center"/>
    </xf>
    <xf numFmtId="171" fontId="57" fillId="0" borderId="0" xfId="0" applyNumberFormat="1" applyFont="1" applyAlignment="1">
      <alignment horizontal="center"/>
    </xf>
    <xf numFmtId="171" fontId="57" fillId="0" borderId="16" xfId="0" applyNumberFormat="1" applyFont="1" applyBorder="1" applyAlignment="1">
      <alignment horizontal="center"/>
    </xf>
    <xf numFmtId="171" fontId="57" fillId="0" borderId="17" xfId="0" applyNumberFormat="1" applyFont="1" applyBorder="1" applyAlignment="1">
      <alignment horizontal="center"/>
    </xf>
    <xf numFmtId="171" fontId="21" fillId="0" borderId="17" xfId="0" applyNumberFormat="1" applyFont="1" applyBorder="1"/>
    <xf numFmtId="171" fontId="21" fillId="0" borderId="18" xfId="0" applyNumberFormat="1" applyFont="1" applyBorder="1"/>
    <xf numFmtId="171" fontId="0" fillId="0" borderId="0" xfId="0" applyNumberFormat="1" applyAlignment="1">
      <alignment vertical="center"/>
    </xf>
    <xf numFmtId="171" fontId="58" fillId="35" borderId="4" xfId="0" applyNumberFormat="1" applyFont="1" applyFill="1" applyBorder="1" applyAlignment="1">
      <alignment horizontal="center" vertical="center"/>
    </xf>
    <xf numFmtId="171" fontId="58" fillId="35" borderId="19" xfId="0" applyNumberFormat="1" applyFont="1" applyFill="1" applyBorder="1" applyAlignment="1">
      <alignment horizontal="center" vertical="center"/>
    </xf>
    <xf numFmtId="171" fontId="21" fillId="0" borderId="20" xfId="0" applyNumberFormat="1" applyFont="1" applyBorder="1"/>
    <xf numFmtId="171" fontId="21" fillId="0" borderId="21" xfId="0" applyNumberFormat="1" applyFont="1" applyBorder="1"/>
    <xf numFmtId="171" fontId="21" fillId="0" borderId="22" xfId="0" applyNumberFormat="1" applyFont="1" applyBorder="1"/>
    <xf numFmtId="171" fontId="21" fillId="0" borderId="4" xfId="0" applyNumberFormat="1" applyFont="1" applyBorder="1"/>
    <xf numFmtId="171" fontId="21" fillId="0" borderId="19" xfId="0" applyNumberFormat="1" applyFont="1" applyBorder="1"/>
    <xf numFmtId="171" fontId="21" fillId="0" borderId="5" xfId="0" applyNumberFormat="1" applyFont="1" applyBorder="1"/>
    <xf numFmtId="171" fontId="52" fillId="0" borderId="20" xfId="0" applyNumberFormat="1" applyFont="1" applyBorder="1" applyAlignment="1">
      <alignment horizontal="center" vertical="center"/>
    </xf>
    <xf numFmtId="171" fontId="52" fillId="0" borderId="21" xfId="0" applyNumberFormat="1" applyFont="1" applyBorder="1" applyAlignment="1">
      <alignment horizontal="center" vertical="center"/>
    </xf>
    <xf numFmtId="171" fontId="52" fillId="0" borderId="22" xfId="0" applyNumberFormat="1" applyFont="1" applyBorder="1" applyAlignment="1">
      <alignment horizontal="center" vertical="center"/>
    </xf>
    <xf numFmtId="171" fontId="57" fillId="0" borderId="23" xfId="0" applyNumberFormat="1" applyFont="1" applyBorder="1" applyAlignment="1">
      <alignment horizontal="center"/>
    </xf>
    <xf numFmtId="171" fontId="21" fillId="0" borderId="0" xfId="0" applyNumberFormat="1" applyFont="1"/>
    <xf numFmtId="171" fontId="6" fillId="0" borderId="0" xfId="0" applyNumberFormat="1" applyFont="1" applyAlignment="1">
      <alignment horizontal="center"/>
    </xf>
    <xf numFmtId="171" fontId="2" fillId="0" borderId="0" xfId="0" applyNumberFormat="1" applyFont="1" applyAlignment="1">
      <alignment horizontal="center"/>
    </xf>
    <xf numFmtId="171" fontId="21" fillId="0" borderId="24" xfId="0" applyNumberFormat="1" applyFont="1" applyBorder="1"/>
    <xf numFmtId="171" fontId="21" fillId="0" borderId="15" xfId="0" applyNumberFormat="1" applyFont="1" applyBorder="1"/>
    <xf numFmtId="171" fontId="21" fillId="0" borderId="25" xfId="0" applyNumberFormat="1" applyFont="1" applyBorder="1"/>
    <xf numFmtId="171" fontId="59" fillId="0" borderId="0" xfId="0" applyNumberFormat="1" applyFont="1" applyAlignment="1">
      <alignment horizontal="center" vertical="center"/>
    </xf>
    <xf numFmtId="171" fontId="60" fillId="0" borderId="0" xfId="0" applyNumberFormat="1" applyFont="1"/>
    <xf numFmtId="171" fontId="52" fillId="0" borderId="15" xfId="0" applyNumberFormat="1" applyFont="1" applyBorder="1" applyAlignment="1">
      <alignment horizontal="center" vertical="center"/>
    </xf>
    <xf numFmtId="171" fontId="52" fillId="0" borderId="0" xfId="0" applyNumberFormat="1" applyFont="1" applyAlignment="1">
      <alignment horizontal="center" vertical="center"/>
    </xf>
    <xf numFmtId="171" fontId="52" fillId="0" borderId="25" xfId="0" applyNumberFormat="1" applyFont="1" applyBorder="1" applyAlignment="1">
      <alignment horizontal="center" vertical="center"/>
    </xf>
    <xf numFmtId="171" fontId="57" fillId="0" borderId="15" xfId="0" applyNumberFormat="1" applyFont="1" applyBorder="1" applyAlignment="1">
      <alignment horizontal="center"/>
    </xf>
    <xf numFmtId="171" fontId="2" fillId="0" borderId="0" xfId="0" applyNumberFormat="1" applyFont="1" applyAlignment="1">
      <alignment horizontal="center"/>
    </xf>
    <xf numFmtId="171" fontId="21" fillId="0" borderId="0" xfId="0" applyNumberFormat="1" applyFont="1" applyAlignment="1">
      <alignment horizontal="center"/>
    </xf>
    <xf numFmtId="171" fontId="61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 vertical="center" shrinkToFit="1"/>
    </xf>
    <xf numFmtId="171" fontId="62" fillId="0" borderId="24" xfId="0" applyNumberFormat="1" applyFont="1" applyBorder="1" applyAlignment="1">
      <alignment horizontal="center" vertical="center" shrinkToFit="1"/>
    </xf>
    <xf numFmtId="171" fontId="52" fillId="35" borderId="0" xfId="0" applyNumberFormat="1" applyFont="1" applyFill="1" applyAlignment="1">
      <alignment horizontal="center"/>
    </xf>
    <xf numFmtId="171" fontId="52" fillId="0" borderId="0" xfId="0" applyNumberFormat="1" applyFont="1" applyAlignment="1">
      <alignment horizontal="center" vertical="center"/>
    </xf>
    <xf numFmtId="171" fontId="2" fillId="0" borderId="20" xfId="0" applyNumberFormat="1" applyFont="1" applyBorder="1" applyAlignment="1">
      <alignment horizontal="center"/>
    </xf>
    <xf numFmtId="171" fontId="2" fillId="0" borderId="21" xfId="0" applyNumberFormat="1" applyFont="1" applyBorder="1" applyAlignment="1">
      <alignment horizontal="center"/>
    </xf>
    <xf numFmtId="171" fontId="2" fillId="0" borderId="26" xfId="0" applyNumberFormat="1" applyFont="1" applyBorder="1" applyAlignment="1">
      <alignment horizontal="center"/>
    </xf>
    <xf numFmtId="171" fontId="2" fillId="0" borderId="27" xfId="0" applyNumberFormat="1" applyFont="1" applyBorder="1" applyAlignment="1">
      <alignment horizontal="center"/>
    </xf>
    <xf numFmtId="171" fontId="59" fillId="0" borderId="21" xfId="0" applyNumberFormat="1" applyFont="1" applyBorder="1" applyAlignment="1">
      <alignment horizontal="center"/>
    </xf>
    <xf numFmtId="171" fontId="21" fillId="0" borderId="27" xfId="0" applyNumberFormat="1" applyFont="1" applyBorder="1" applyAlignment="1">
      <alignment horizontal="center"/>
    </xf>
    <xf numFmtId="171" fontId="21" fillId="0" borderId="21" xfId="0" applyNumberFormat="1" applyFont="1" applyBorder="1" applyAlignment="1">
      <alignment horizontal="center"/>
    </xf>
    <xf numFmtId="171" fontId="63" fillId="0" borderId="21" xfId="0" applyNumberFormat="1" applyFont="1" applyBorder="1" applyAlignment="1">
      <alignment horizontal="center" vertical="center"/>
    </xf>
    <xf numFmtId="171" fontId="64" fillId="0" borderId="21" xfId="0" applyNumberFormat="1" applyFont="1" applyBorder="1" applyAlignment="1">
      <alignment horizontal="center" vertical="center" shrinkToFit="1"/>
    </xf>
    <xf numFmtId="171" fontId="62" fillId="0" borderId="22" xfId="0" applyNumberFormat="1" applyFont="1" applyBorder="1" applyAlignment="1">
      <alignment horizontal="center" vertical="center" shrinkToFit="1"/>
    </xf>
    <xf numFmtId="171" fontId="21" fillId="0" borderId="28" xfId="0" applyNumberFormat="1" applyFont="1" applyBorder="1"/>
    <xf numFmtId="171" fontId="21" fillId="0" borderId="29" xfId="0" applyNumberFormat="1" applyFont="1" applyBorder="1"/>
    <xf numFmtId="171" fontId="52" fillId="0" borderId="28" xfId="0" applyNumberFormat="1" applyFont="1" applyBorder="1" applyAlignment="1">
      <alignment horizontal="center" vertical="center"/>
    </xf>
    <xf numFmtId="171" fontId="52" fillId="0" borderId="29" xfId="0" applyNumberFormat="1" applyFont="1" applyBorder="1" applyAlignment="1">
      <alignment horizontal="center" vertical="center"/>
    </xf>
    <xf numFmtId="171" fontId="52" fillId="0" borderId="30" xfId="0" applyNumberFormat="1" applyFont="1" applyBorder="1" applyAlignment="1">
      <alignment horizontal="center" vertical="center"/>
    </xf>
    <xf numFmtId="171" fontId="2" fillId="0" borderId="15" xfId="0" applyNumberFormat="1" applyFont="1" applyBorder="1" applyAlignment="1">
      <alignment horizontal="center"/>
    </xf>
    <xf numFmtId="171" fontId="2" fillId="0" borderId="24" xfId="0" applyNumberFormat="1" applyFont="1" applyBorder="1" applyAlignment="1">
      <alignment horizontal="center"/>
    </xf>
    <xf numFmtId="171" fontId="2" fillId="0" borderId="23" xfId="0" applyNumberFormat="1" applyFont="1" applyBorder="1" applyAlignment="1">
      <alignment horizontal="center"/>
    </xf>
    <xf numFmtId="171" fontId="2" fillId="0" borderId="16" xfId="0" applyNumberFormat="1" applyFont="1" applyBorder="1" applyAlignment="1">
      <alignment horizontal="center" vertical="center"/>
    </xf>
    <xf numFmtId="171" fontId="2" fillId="0" borderId="18" xfId="0" applyNumberFormat="1" applyFont="1" applyBorder="1" applyAlignment="1">
      <alignment horizontal="center" vertical="center"/>
    </xf>
    <xf numFmtId="171" fontId="2" fillId="0" borderId="1" xfId="0" applyNumberFormat="1" applyFont="1" applyBorder="1" applyAlignment="1">
      <alignment horizontal="center"/>
    </xf>
    <xf numFmtId="171" fontId="6" fillId="0" borderId="1" xfId="0" applyNumberFormat="1" applyFont="1" applyBorder="1" applyAlignment="1">
      <alignment horizontal="center"/>
    </xf>
    <xf numFmtId="171" fontId="65" fillId="0" borderId="0" xfId="0" applyNumberFormat="1" applyFont="1" applyAlignment="1">
      <alignment horizontal="center"/>
    </xf>
    <xf numFmtId="171" fontId="21" fillId="0" borderId="23" xfId="0" applyNumberFormat="1" applyFont="1" applyBorder="1" applyAlignment="1">
      <alignment horizontal="center"/>
    </xf>
    <xf numFmtId="171" fontId="63" fillId="0" borderId="0" xfId="0" applyNumberFormat="1" applyFont="1" applyAlignment="1">
      <alignment horizontal="center" vertical="center"/>
    </xf>
    <xf numFmtId="171" fontId="64" fillId="0" borderId="0" xfId="0" applyNumberFormat="1" applyFont="1" applyAlignment="1">
      <alignment horizontal="center" vertical="center" shrinkToFit="1"/>
    </xf>
    <xf numFmtId="171" fontId="66" fillId="0" borderId="25" xfId="130" applyNumberFormat="1" applyFont="1" applyBorder="1" applyAlignment="1">
      <alignment horizontal="center" vertical="center" shrinkToFit="1"/>
    </xf>
    <xf numFmtId="171" fontId="52" fillId="0" borderId="15" xfId="0" applyNumberFormat="1" applyFont="1" applyBorder="1" applyAlignment="1">
      <alignment horizontal="center" vertical="center"/>
    </xf>
    <xf numFmtId="171" fontId="3" fillId="0" borderId="22" xfId="148" applyNumberFormat="1" applyBorder="1" applyAlignment="1">
      <alignment vertical="center"/>
    </xf>
    <xf numFmtId="171" fontId="67" fillId="88" borderId="0" xfId="148" applyNumberFormat="1" applyFont="1" applyFill="1" applyAlignment="1">
      <alignment wrapText="1"/>
    </xf>
    <xf numFmtId="171" fontId="67" fillId="88" borderId="31" xfId="148" applyNumberFormat="1" applyFont="1" applyFill="1" applyBorder="1" applyAlignment="1">
      <alignment horizontal="center" vertical="center" wrapText="1"/>
    </xf>
    <xf numFmtId="171" fontId="67" fillId="88" borderId="32" xfId="148" applyNumberFormat="1" applyFont="1" applyFill="1" applyBorder="1" applyAlignment="1">
      <alignment horizontal="center" vertical="center" wrapText="1"/>
    </xf>
    <xf numFmtId="171" fontId="67" fillId="88" borderId="33" xfId="148" applyNumberFormat="1" applyFont="1" applyFill="1" applyBorder="1" applyAlignment="1">
      <alignment horizontal="center" vertical="center" wrapText="1"/>
    </xf>
    <xf numFmtId="171" fontId="21" fillId="0" borderId="0" xfId="148" applyNumberFormat="1" applyFont="1" applyAlignment="1"/>
    <xf numFmtId="171" fontId="68" fillId="35" borderId="15" xfId="0" applyNumberFormat="1" applyFont="1" applyFill="1" applyBorder="1" applyAlignment="1">
      <alignment horizontal="center" vertical="center"/>
    </xf>
    <xf numFmtId="171" fontId="68" fillId="35" borderId="0" xfId="0" applyNumberFormat="1" applyFont="1" applyFill="1" applyAlignment="1">
      <alignment horizontal="center" vertical="center"/>
    </xf>
    <xf numFmtId="171" fontId="69" fillId="35" borderId="0" xfId="0" applyNumberFormat="1" applyFont="1" applyFill="1" applyAlignment="1">
      <alignment horizontal="center"/>
    </xf>
    <xf numFmtId="171" fontId="70" fillId="0" borderId="0" xfId="0" applyNumberFormat="1" applyFont="1" applyAlignment="1">
      <alignment vertical="center"/>
    </xf>
    <xf numFmtId="171" fontId="70" fillId="0" borderId="24" xfId="0" applyNumberFormat="1" applyFont="1" applyBorder="1" applyAlignment="1">
      <alignment vertical="center"/>
    </xf>
    <xf numFmtId="171" fontId="2" fillId="0" borderId="34" xfId="0" applyNumberFormat="1" applyFont="1" applyBorder="1" applyAlignment="1">
      <alignment horizontal="center" vertical="center"/>
    </xf>
    <xf numFmtId="171" fontId="2" fillId="0" borderId="35" xfId="0" applyNumberFormat="1" applyFont="1" applyBorder="1" applyAlignment="1">
      <alignment horizontal="center" vertical="center"/>
    </xf>
    <xf numFmtId="171" fontId="71" fillId="0" borderId="0" xfId="0" applyNumberFormat="1" applyFont="1" applyAlignment="1">
      <alignment horizontal="center"/>
    </xf>
    <xf numFmtId="171" fontId="52" fillId="0" borderId="25" xfId="148" applyNumberFormat="1" applyFont="1" applyBorder="1" applyAlignment="1">
      <alignment horizontal="center" vertical="center"/>
    </xf>
    <xf numFmtId="171" fontId="72" fillId="0" borderId="0" xfId="148" applyNumberFormat="1" applyFont="1" applyAlignment="1">
      <alignment horizontal="center" vertical="center"/>
    </xf>
    <xf numFmtId="171" fontId="2" fillId="0" borderId="0" xfId="148" applyNumberFormat="1" applyFont="1" applyAlignment="1">
      <alignment horizontal="center" vertical="center"/>
    </xf>
    <xf numFmtId="171" fontId="68" fillId="35" borderId="36" xfId="0" applyNumberFormat="1" applyFont="1" applyFill="1" applyBorder="1" applyAlignment="1">
      <alignment horizontal="center" vertical="center"/>
    </xf>
    <xf numFmtId="171" fontId="68" fillId="35" borderId="37" xfId="0" applyNumberFormat="1" applyFont="1" applyFill="1" applyBorder="1" applyAlignment="1">
      <alignment horizontal="center" vertical="center"/>
    </xf>
    <xf numFmtId="171" fontId="2" fillId="108" borderId="24" xfId="0" applyNumberFormat="1" applyFont="1" applyFill="1" applyBorder="1" applyAlignment="1">
      <alignment horizontal="center"/>
    </xf>
    <xf numFmtId="171" fontId="73" fillId="0" borderId="0" xfId="130" applyNumberFormat="1" applyFont="1" applyAlignment="1">
      <alignment horizontal="center" vertical="center" shrinkToFit="1"/>
    </xf>
    <xf numFmtId="171" fontId="73" fillId="0" borderId="1" xfId="130" applyNumberFormat="1" applyFont="1" applyBorder="1" applyAlignment="1">
      <alignment horizontal="center" vertical="center" shrinkToFit="1"/>
    </xf>
    <xf numFmtId="171" fontId="62" fillId="0" borderId="0" xfId="141" applyNumberFormat="1" applyFont="1" applyAlignment="1" applyProtection="1">
      <alignment horizontal="center" vertical="center" shrinkToFit="1"/>
    </xf>
    <xf numFmtId="171" fontId="59" fillId="0" borderId="25" xfId="0" applyNumberFormat="1" applyFont="1" applyBorder="1" applyAlignment="1">
      <alignment horizontal="center" vertical="center"/>
    </xf>
    <xf numFmtId="171" fontId="74" fillId="0" borderId="0" xfId="148" applyNumberFormat="1" applyFont="1" applyAlignment="1">
      <alignment horizontal="center" vertical="center"/>
    </xf>
    <xf numFmtId="171" fontId="52" fillId="0" borderId="0" xfId="148" applyNumberFormat="1" applyFont="1" applyAlignment="1">
      <alignment horizontal="center" vertical="center"/>
    </xf>
    <xf numFmtId="171" fontId="2" fillId="0" borderId="0" xfId="0" applyNumberFormat="1" applyFont="1" applyAlignment="1">
      <alignment horizontal="center" shrinkToFit="1"/>
    </xf>
    <xf numFmtId="171" fontId="75" fillId="0" borderId="0" xfId="130" applyNumberFormat="1" applyFont="1" applyAlignment="1">
      <alignment horizontal="center" vertical="center" shrinkToFit="1"/>
    </xf>
    <xf numFmtId="171" fontId="75" fillId="0" borderId="0" xfId="0" applyNumberFormat="1" applyFont="1" applyAlignment="1">
      <alignment horizontal="center" vertical="center" shrinkToFit="1"/>
    </xf>
    <xf numFmtId="171" fontId="21" fillId="0" borderId="23" xfId="0" applyNumberFormat="1" applyFont="1" applyBorder="1"/>
    <xf numFmtId="171" fontId="2" fillId="0" borderId="25" xfId="0" applyNumberFormat="1" applyFont="1" applyBorder="1" applyAlignment="1">
      <alignment horizontal="center"/>
    </xf>
    <xf numFmtId="171" fontId="21" fillId="0" borderId="25" xfId="148" applyNumberFormat="1" applyFont="1" applyBorder="1" applyAlignment="1"/>
    <xf numFmtId="171" fontId="21" fillId="0" borderId="38" xfId="0" applyNumberFormat="1" applyFont="1" applyBorder="1"/>
    <xf numFmtId="171" fontId="2" fillId="0" borderId="29" xfId="0" applyNumberFormat="1" applyFont="1" applyBorder="1" applyAlignment="1">
      <alignment horizontal="center"/>
    </xf>
    <xf numFmtId="171" fontId="2" fillId="108" borderId="38" xfId="0" applyNumberFormat="1" applyFont="1" applyFill="1" applyBorder="1" applyAlignment="1">
      <alignment horizontal="center"/>
    </xf>
    <xf numFmtId="171" fontId="21" fillId="0" borderId="39" xfId="0" applyNumberFormat="1" applyFont="1" applyBorder="1"/>
    <xf numFmtId="171" fontId="21" fillId="0" borderId="40" xfId="0" applyNumberFormat="1" applyFont="1" applyBorder="1"/>
    <xf numFmtId="171" fontId="76" fillId="0" borderId="23" xfId="0" applyNumberFormat="1" applyFont="1" applyBorder="1"/>
    <xf numFmtId="171" fontId="21" fillId="109" borderId="0" xfId="148" applyNumberFormat="1" applyFont="1" applyFill="1" applyAlignment="1"/>
    <xf numFmtId="171" fontId="2" fillId="110" borderId="41" xfId="0" applyNumberFormat="1" applyFont="1" applyFill="1" applyBorder="1" applyAlignment="1">
      <alignment horizontal="center"/>
    </xf>
    <xf numFmtId="171" fontId="2" fillId="110" borderId="42" xfId="0" applyNumberFormat="1" applyFont="1" applyFill="1" applyBorder="1" applyAlignment="1">
      <alignment horizontal="center"/>
    </xf>
    <xf numFmtId="171" fontId="2" fillId="110" borderId="43" xfId="0" applyNumberFormat="1" applyFont="1" applyFill="1" applyBorder="1" applyAlignment="1">
      <alignment horizontal="center"/>
    </xf>
    <xf numFmtId="171" fontId="2" fillId="110" borderId="44" xfId="0" applyNumberFormat="1" applyFont="1" applyFill="1" applyBorder="1" applyAlignment="1">
      <alignment horizontal="center"/>
    </xf>
    <xf numFmtId="171" fontId="2" fillId="110" borderId="45" xfId="0" applyNumberFormat="1" applyFont="1" applyFill="1" applyBorder="1" applyAlignment="1">
      <alignment horizontal="center"/>
    </xf>
    <xf numFmtId="171" fontId="2" fillId="110" borderId="46" xfId="0" applyNumberFormat="1" applyFont="1" applyFill="1" applyBorder="1" applyAlignment="1">
      <alignment horizontal="center"/>
    </xf>
    <xf numFmtId="171" fontId="52" fillId="109" borderId="0" xfId="148" applyNumberFormat="1" applyFont="1" applyFill="1" applyAlignment="1"/>
    <xf numFmtId="171" fontId="77" fillId="0" borderId="0" xfId="115" applyNumberFormat="1" applyFont="1" applyAlignment="1">
      <alignment horizontal="center" vertical="center"/>
    </xf>
    <xf numFmtId="171" fontId="2" fillId="0" borderId="25" xfId="148" applyNumberFormat="1" applyFont="1" applyBorder="1" applyAlignment="1">
      <alignment horizontal="center" vertical="center"/>
    </xf>
    <xf numFmtId="171" fontId="0" fillId="0" borderId="15" xfId="0" applyNumberFormat="1" applyBorder="1" applyAlignment="1">
      <alignment vertical="center"/>
    </xf>
    <xf numFmtId="171" fontId="65" fillId="0" borderId="0" xfId="0" applyNumberFormat="1" applyFont="1" applyAlignment="1">
      <alignment horizontal="center" vertical="center"/>
    </xf>
    <xf numFmtId="171" fontId="77" fillId="35" borderId="0" xfId="115" applyNumberFormat="1" applyFont="1" applyFill="1" applyAlignment="1">
      <alignment horizontal="center" vertical="center"/>
    </xf>
    <xf numFmtId="171" fontId="21" fillId="0" borderId="22" xfId="148" applyNumberFormat="1" applyFont="1" applyBorder="1" applyAlignment="1"/>
    <xf numFmtId="171" fontId="52" fillId="109" borderId="0" xfId="148" applyNumberFormat="1" applyFont="1" applyFill="1" applyAlignment="1">
      <alignment horizontal="center"/>
    </xf>
    <xf numFmtId="171" fontId="2" fillId="0" borderId="15" xfId="0" applyNumberFormat="1" applyFont="1" applyBorder="1" applyAlignment="1">
      <alignment horizontal="center" vertical="center"/>
    </xf>
    <xf numFmtId="171" fontId="78" fillId="0" borderId="0" xfId="0" applyNumberFormat="1" applyFont="1" applyAlignment="1">
      <alignment horizontal="center"/>
    </xf>
    <xf numFmtId="171" fontId="2" fillId="0" borderId="0" xfId="0" applyNumberFormat="1" applyFont="1" applyAlignment="1">
      <alignment horizontal="center" vertical="center"/>
    </xf>
    <xf numFmtId="171" fontId="79" fillId="0" borderId="0" xfId="0" applyNumberFormat="1" applyFont="1" applyAlignment="1">
      <alignment horizontal="center" vertical="center" shrinkToFit="1"/>
    </xf>
    <xf numFmtId="171" fontId="2" fillId="52" borderId="0" xfId="0" applyNumberFormat="1" applyFont="1" applyFill="1" applyAlignment="1">
      <alignment horizontal="center" vertical="center"/>
    </xf>
    <xf numFmtId="171" fontId="29" fillId="0" borderId="0" xfId="0" applyNumberFormat="1" applyFont="1" applyAlignment="1">
      <alignment horizontal="center" vertical="center"/>
    </xf>
    <xf numFmtId="171" fontId="80" fillId="0" borderId="0" xfId="0" applyNumberFormat="1" applyFont="1" applyAlignment="1">
      <alignment vertical="center"/>
    </xf>
    <xf numFmtId="171" fontId="75" fillId="111" borderId="0" xfId="0" applyNumberFormat="1" applyFont="1" applyFill="1" applyAlignment="1">
      <alignment horizontal="center" vertical="center"/>
    </xf>
    <xf numFmtId="171" fontId="81" fillId="35" borderId="0" xfId="115" applyNumberFormat="1" applyFont="1" applyFill="1" applyAlignment="1">
      <alignment horizontal="right" vertical="center"/>
    </xf>
    <xf numFmtId="171" fontId="82" fillId="0" borderId="0" xfId="0" applyNumberFormat="1" applyFont="1" applyAlignment="1">
      <alignment horizontal="center" vertical="center" shrinkToFit="1"/>
    </xf>
    <xf numFmtId="171" fontId="83" fillId="0" borderId="0" xfId="132" applyNumberFormat="1" applyFont="1" applyAlignment="1" applyProtection="1">
      <alignment horizontal="center" vertical="center" shrinkToFit="1"/>
    </xf>
    <xf numFmtId="171" fontId="6" fillId="0" borderId="0" xfId="0" applyNumberFormat="1" applyFont="1" applyAlignment="1">
      <alignment vertical="center"/>
    </xf>
    <xf numFmtId="171" fontId="6" fillId="0" borderId="0" xfId="0" applyNumberFormat="1" applyFont="1" applyAlignment="1">
      <alignment horizontal="center" vertical="center"/>
    </xf>
    <xf numFmtId="171" fontId="84" fillId="0" borderId="1" xfId="148" applyNumberFormat="1" applyFont="1" applyBorder="1" applyAlignment="1">
      <alignment horizontal="center"/>
    </xf>
    <xf numFmtId="171" fontId="1" fillId="0" borderId="0" xfId="0" applyNumberFormat="1" applyFont="1"/>
    <xf numFmtId="171" fontId="85" fillId="0" borderId="1" xfId="0" applyNumberFormat="1" applyFont="1" applyBorder="1" applyAlignment="1">
      <alignment horizontal="center"/>
    </xf>
    <xf numFmtId="171" fontId="86" fillId="114" borderId="47" xfId="141" applyNumberFormat="1" applyFont="1" applyFill="1" applyBorder="1" applyAlignment="1" applyProtection="1">
      <alignment horizontal="center" vertical="center" shrinkToFit="1"/>
    </xf>
    <xf numFmtId="171" fontId="53" fillId="0" borderId="0" xfId="0" applyNumberFormat="1" applyFont="1" applyAlignment="1">
      <alignment horizontal="center" vertical="center" shrinkToFit="1"/>
    </xf>
    <xf numFmtId="171" fontId="62" fillId="115" borderId="0" xfId="141" applyNumberFormat="1" applyFont="1" applyFill="1" applyAlignment="1" applyProtection="1">
      <alignment horizontal="center" vertical="center" shrinkToFit="1"/>
    </xf>
    <xf numFmtId="171" fontId="87" fillId="0" borderId="0" xfId="0" applyNumberFormat="1" applyFont="1"/>
    <xf numFmtId="171" fontId="88" fillId="0" borderId="0" xfId="0" applyNumberFormat="1" applyFont="1" applyAlignment="1">
      <alignment horizontal="center"/>
    </xf>
    <xf numFmtId="171" fontId="67" fillId="98" borderId="0" xfId="0" applyNumberFormat="1" applyFont="1" applyFill="1" applyAlignment="1">
      <alignment wrapText="1"/>
    </xf>
    <xf numFmtId="171" fontId="67" fillId="98" borderId="20" xfId="0" applyNumberFormat="1" applyFont="1" applyFill="1" applyBorder="1" applyAlignment="1">
      <alignment wrapText="1"/>
    </xf>
    <xf numFmtId="171" fontId="67" fillId="98" borderId="21" xfId="0" applyNumberFormat="1" applyFont="1" applyFill="1" applyBorder="1" applyAlignment="1">
      <alignment wrapText="1"/>
    </xf>
    <xf numFmtId="171" fontId="2" fillId="0" borderId="21" xfId="0" applyNumberFormat="1" applyFont="1" applyBorder="1" applyAlignment="1">
      <alignment horizontal="center" vertical="center"/>
    </xf>
    <xf numFmtId="171" fontId="0" fillId="0" borderId="21" xfId="0" applyNumberFormat="1" applyBorder="1" applyAlignment="1">
      <alignment vertical="center"/>
    </xf>
    <xf numFmtId="171" fontId="0" fillId="0" borderId="22" xfId="0" applyNumberFormat="1" applyBorder="1" applyAlignment="1">
      <alignment vertical="center"/>
    </xf>
    <xf numFmtId="171" fontId="1" fillId="0" borderId="0" xfId="0" applyNumberFormat="1" applyFont="1" applyAlignment="1">
      <alignment vertical="center"/>
    </xf>
    <xf numFmtId="171" fontId="29" fillId="0" borderId="0" xfId="0" applyNumberFormat="1" applyFont="1"/>
    <xf numFmtId="171" fontId="36" fillId="42" borderId="48" xfId="128" applyNumberFormat="1" applyFont="1" applyFill="1" applyBorder="1" applyAlignment="1">
      <alignment horizontal="center" vertical="center" shrinkToFit="1"/>
    </xf>
    <xf numFmtId="171" fontId="29" fillId="0" borderId="0" xfId="0" applyNumberFormat="1" applyFont="1" applyAlignment="1">
      <alignment horizontal="left" vertical="top"/>
    </xf>
    <xf numFmtId="171" fontId="0" fillId="0" borderId="25" xfId="0" applyNumberFormat="1" applyBorder="1" applyAlignment="1">
      <alignment vertical="center"/>
    </xf>
    <xf numFmtId="171" fontId="2" fillId="98" borderId="0" xfId="0" applyNumberFormat="1" applyFont="1" applyFill="1" applyAlignment="1">
      <alignment horizontal="center" vertical="center"/>
    </xf>
    <xf numFmtId="171" fontId="89" fillId="0" borderId="48" xfId="148" applyNumberFormat="1" applyFont="1" applyBorder="1" applyAlignment="1">
      <alignment horizontal="center"/>
    </xf>
    <xf numFmtId="171" fontId="29" fillId="0" borderId="0" xfId="0" applyNumberFormat="1" applyFont="1" applyAlignment="1">
      <alignment horizontal="center"/>
    </xf>
    <xf numFmtId="171" fontId="90" fillId="0" borderId="0" xfId="0" applyNumberFormat="1" applyFont="1"/>
    <xf numFmtId="171" fontId="81" fillId="35" borderId="0" xfId="115" applyNumberFormat="1" applyFont="1" applyFill="1" applyAlignment="1">
      <alignment horizontal="center" vertical="center" wrapText="1"/>
    </xf>
    <xf numFmtId="171" fontId="91" fillId="35" borderId="0" xfId="115" applyNumberFormat="1" applyFont="1" applyFill="1" applyAlignment="1">
      <alignment horizontal="center" vertical="center"/>
    </xf>
    <xf numFmtId="171" fontId="92" fillId="0" borderId="1" xfId="126" applyNumberFormat="1" applyFont="1" applyBorder="1" applyAlignment="1">
      <alignment horizontal="center"/>
    </xf>
    <xf numFmtId="171" fontId="67" fillId="0" borderId="0" xfId="0" applyNumberFormat="1" applyFont="1" applyAlignment="1">
      <alignment wrapText="1"/>
    </xf>
    <xf numFmtId="171" fontId="93" fillId="0" borderId="0" xfId="0" applyNumberFormat="1" applyFont="1" applyAlignment="1">
      <alignment horizontal="center"/>
    </xf>
    <xf numFmtId="171" fontId="3" fillId="0" borderId="0" xfId="148" applyNumberFormat="1" applyAlignment="1">
      <alignment vertical="center"/>
    </xf>
    <xf numFmtId="171" fontId="63" fillId="52" borderId="0" xfId="0" applyNumberFormat="1" applyFont="1" applyFill="1" applyAlignment="1">
      <alignment horizontal="center" vertical="center"/>
    </xf>
    <xf numFmtId="171" fontId="72" fillId="35" borderId="0" xfId="148" applyNumberFormat="1" applyFont="1" applyFill="1" applyAlignment="1">
      <alignment horizontal="center" vertical="center"/>
    </xf>
    <xf numFmtId="171" fontId="94" fillId="0" borderId="0" xfId="0" applyNumberFormat="1" applyFont="1" applyAlignment="1">
      <alignment horizontal="center" vertical="center" shrinkToFit="1"/>
    </xf>
    <xf numFmtId="171" fontId="35" fillId="116" borderId="0" xfId="115" applyNumberFormat="1" applyFont="1" applyFill="1" applyAlignment="1">
      <alignment horizontal="center" vertical="center"/>
    </xf>
    <xf numFmtId="171" fontId="93" fillId="117" borderId="0" xfId="115" applyNumberFormat="1" applyFont="1" applyFill="1" applyAlignment="1">
      <alignment horizontal="center" vertical="center"/>
    </xf>
    <xf numFmtId="171" fontId="75" fillId="118" borderId="0" xfId="0" applyNumberFormat="1" applyFont="1" applyFill="1" applyAlignment="1">
      <alignment horizontal="center" vertical="center"/>
    </xf>
    <xf numFmtId="171" fontId="95" fillId="119" borderId="48" xfId="132" applyNumberFormat="1" applyFont="1" applyFill="1" applyBorder="1" applyAlignment="1" applyProtection="1">
      <alignment horizontal="center" vertical="center" shrinkToFit="1"/>
    </xf>
    <xf numFmtId="171" fontId="96" fillId="120" borderId="1" xfId="132" applyNumberFormat="1" applyFont="1" applyFill="1" applyBorder="1" applyAlignment="1" applyProtection="1">
      <alignment horizontal="center" vertical="center" shrinkToFit="1"/>
    </xf>
    <xf numFmtId="171" fontId="97" fillId="121" borderId="1" xfId="132" applyNumberFormat="1" applyFont="1" applyFill="1" applyBorder="1" applyAlignment="1" applyProtection="1">
      <alignment horizontal="center" vertical="center" shrinkToFit="1"/>
    </xf>
    <xf numFmtId="171" fontId="21" fillId="0" borderId="15" xfId="0" applyNumberFormat="1" applyFont="1" applyBorder="1" applyAlignment="1">
      <alignment horizontal="center"/>
    </xf>
    <xf numFmtId="171" fontId="68" fillId="122" borderId="48" xfId="132" applyNumberFormat="1" applyFont="1" applyFill="1" applyBorder="1" applyAlignment="1" applyProtection="1">
      <alignment horizontal="center" vertical="center" shrinkToFit="1"/>
    </xf>
    <xf numFmtId="171" fontId="96" fillId="123" borderId="1" xfId="132" applyNumberFormat="1" applyFont="1" applyFill="1" applyBorder="1" applyAlignment="1" applyProtection="1">
      <alignment horizontal="center" vertical="center" shrinkToFit="1"/>
    </xf>
    <xf numFmtId="171" fontId="2" fillId="0" borderId="49" xfId="0" applyNumberFormat="1" applyFont="1" applyBorder="1" applyAlignment="1">
      <alignment horizontal="center" vertical="center"/>
    </xf>
    <xf numFmtId="171" fontId="2" fillId="0" borderId="50" xfId="0" applyNumberFormat="1" applyFont="1" applyBorder="1" applyAlignment="1">
      <alignment horizontal="center" vertical="center"/>
    </xf>
    <xf numFmtId="171" fontId="2" fillId="0" borderId="51" xfId="0" applyNumberFormat="1" applyFont="1" applyBorder="1" applyAlignment="1">
      <alignment horizontal="center" vertical="center"/>
    </xf>
    <xf numFmtId="171" fontId="2" fillId="0" borderId="52" xfId="0" applyNumberFormat="1" applyFont="1" applyBorder="1" applyAlignment="1">
      <alignment horizontal="center" vertical="center"/>
    </xf>
    <xf numFmtId="171" fontId="2" fillId="0" borderId="0" xfId="0" applyNumberFormat="1" applyFont="1" applyAlignment="1">
      <alignment horizontal="center" vertical="center"/>
    </xf>
    <xf numFmtId="171" fontId="2" fillId="0" borderId="53" xfId="0" applyNumberFormat="1" applyFont="1" applyBorder="1" applyAlignment="1">
      <alignment horizontal="center" vertical="center"/>
    </xf>
    <xf numFmtId="171" fontId="21" fillId="0" borderId="0" xfId="148" applyNumberFormat="1" applyFont="1" applyAlignment="1">
      <alignment horizontal="center"/>
    </xf>
    <xf numFmtId="171" fontId="91" fillId="98" borderId="0" xfId="0" applyNumberFormat="1" applyFont="1" applyFill="1" applyAlignment="1">
      <alignment vertical="center" wrapText="1"/>
    </xf>
    <xf numFmtId="171" fontId="63" fillId="0" borderId="0" xfId="0" applyNumberFormat="1" applyFont="1" applyAlignment="1">
      <alignment horizontal="center"/>
    </xf>
    <xf numFmtId="171" fontId="29" fillId="0" borderId="0" xfId="115" applyNumberFormat="1" applyFont="1" applyAlignment="1">
      <alignment horizontal="center" vertical="center"/>
    </xf>
    <xf numFmtId="171" fontId="63" fillId="0" borderId="25" xfId="0" applyNumberFormat="1" applyFont="1" applyBorder="1" applyAlignment="1">
      <alignment horizontal="center" vertical="center"/>
    </xf>
    <xf numFmtId="171" fontId="2" fillId="0" borderId="0" xfId="0" applyNumberFormat="1" applyFont="1" applyAlignment="1">
      <alignment horizontal="center" vertical="center" shrinkToFit="1"/>
    </xf>
    <xf numFmtId="171" fontId="81" fillId="35" borderId="0" xfId="115" applyNumberFormat="1" applyFont="1" applyFill="1" applyAlignment="1">
      <alignment horizontal="center" vertical="center" wrapText="1"/>
    </xf>
    <xf numFmtId="171" fontId="52" fillId="0" borderId="0" xfId="0" applyNumberFormat="1" applyFont="1"/>
    <xf numFmtId="171" fontId="93" fillId="124" borderId="0" xfId="115" applyNumberFormat="1" applyFont="1" applyFill="1" applyAlignment="1">
      <alignment horizontal="center" vertical="center"/>
    </xf>
    <xf numFmtId="171" fontId="52" fillId="0" borderId="15" xfId="0" applyNumberFormat="1" applyFont="1" applyBorder="1" applyAlignment="1">
      <alignment horizontal="center" vertical="center" wrapText="1"/>
    </xf>
    <xf numFmtId="171" fontId="52" fillId="0" borderId="0" xfId="0" applyNumberFormat="1" applyFont="1" applyAlignment="1">
      <alignment horizontal="center" vertical="center" wrapText="1"/>
    </xf>
    <xf numFmtId="171" fontId="52" fillId="0" borderId="25" xfId="0" applyNumberFormat="1" applyFont="1" applyBorder="1" applyAlignment="1">
      <alignment horizontal="center" vertical="center" wrapText="1"/>
    </xf>
    <xf numFmtId="171" fontId="52" fillId="0" borderId="25" xfId="0" applyNumberFormat="1" applyFont="1" applyBorder="1" applyAlignment="1">
      <alignment horizontal="center" vertical="center"/>
    </xf>
    <xf numFmtId="171" fontId="34" fillId="82" borderId="48" xfId="128" applyNumberFormat="1" applyFont="1" applyFill="1" applyBorder="1" applyAlignment="1">
      <alignment horizontal="center" vertical="center" shrinkToFit="1"/>
    </xf>
    <xf numFmtId="171" fontId="83" fillId="125" borderId="1" xfId="132" applyNumberFormat="1" applyFont="1" applyFill="1" applyBorder="1" applyAlignment="1" applyProtection="1">
      <alignment horizontal="center" vertical="center" shrinkToFit="1"/>
    </xf>
    <xf numFmtId="171" fontId="67" fillId="35" borderId="4" xfId="0" applyNumberFormat="1" applyFont="1" applyFill="1" applyBorder="1" applyAlignment="1">
      <alignment horizontal="center" vertical="center"/>
    </xf>
    <xf numFmtId="171" fontId="67" fillId="35" borderId="19" xfId="0" applyNumberFormat="1" applyFont="1" applyFill="1" applyBorder="1" applyAlignment="1">
      <alignment horizontal="center" vertical="center"/>
    </xf>
    <xf numFmtId="171" fontId="67" fillId="35" borderId="5" xfId="0" applyNumberFormat="1" applyFont="1" applyFill="1" applyBorder="1" applyAlignment="1">
      <alignment horizontal="center" vertical="center"/>
    </xf>
    <xf numFmtId="171" fontId="98" fillId="0" borderId="0" xfId="0" applyNumberFormat="1" applyFont="1" applyAlignment="1">
      <alignment horizontal="center" vertical="center"/>
    </xf>
    <xf numFmtId="171" fontId="63" fillId="0" borderId="0" xfId="0" applyNumberFormat="1" applyFont="1" applyAlignment="1">
      <alignment horizontal="left" vertical="center"/>
    </xf>
    <xf numFmtId="171" fontId="2" fillId="0" borderId="54" xfId="0" applyNumberFormat="1" applyFont="1" applyBorder="1" applyAlignment="1">
      <alignment horizontal="center" vertical="center"/>
    </xf>
    <xf numFmtId="171" fontId="2" fillId="0" borderId="37" xfId="0" applyNumberFormat="1" applyFont="1" applyBorder="1" applyAlignment="1">
      <alignment horizontal="center" vertical="center"/>
    </xf>
    <xf numFmtId="171" fontId="2" fillId="0" borderId="55" xfId="0" applyNumberFormat="1" applyFont="1" applyBorder="1" applyAlignment="1">
      <alignment horizontal="center" vertical="center"/>
    </xf>
    <xf numFmtId="171" fontId="0" fillId="0" borderId="28" xfId="0" applyNumberFormat="1" applyBorder="1" applyAlignment="1">
      <alignment vertical="center"/>
    </xf>
    <xf numFmtId="171" fontId="0" fillId="0" borderId="29" xfId="0" applyNumberFormat="1" applyBorder="1" applyAlignment="1">
      <alignment vertical="center"/>
    </xf>
    <xf numFmtId="171" fontId="21" fillId="0" borderId="29" xfId="0" applyNumberFormat="1" applyFont="1" applyBorder="1" applyAlignment="1">
      <alignment horizontal="center"/>
    </xf>
    <xf numFmtId="171" fontId="77" fillId="0" borderId="29" xfId="115" applyNumberFormat="1" applyFont="1" applyBorder="1" applyAlignment="1">
      <alignment horizontal="center" vertical="center"/>
    </xf>
    <xf numFmtId="171" fontId="77" fillId="0" borderId="30" xfId="115" applyNumberFormat="1" applyFont="1" applyBorder="1" applyAlignment="1">
      <alignment horizontal="center" vertical="center"/>
    </xf>
    <xf numFmtId="171" fontId="21" fillId="0" borderId="25" xfId="0" applyNumberFormat="1" applyFont="1" applyBorder="1" applyAlignment="1">
      <alignment horizontal="center"/>
    </xf>
    <xf numFmtId="171" fontId="6" fillId="0" borderId="0" xfId="0" applyNumberFormat="1" applyFont="1" applyAlignment="1">
      <alignment horizontal="right" vertical="center" shrinkToFit="1"/>
    </xf>
    <xf numFmtId="171" fontId="21" fillId="0" borderId="56" xfId="0" applyNumberFormat="1" applyFont="1" applyBorder="1" applyAlignment="1">
      <alignment horizontal="center"/>
    </xf>
    <xf numFmtId="171" fontId="63" fillId="0" borderId="57" xfId="0" applyNumberFormat="1" applyFont="1" applyBorder="1" applyAlignment="1">
      <alignment horizontal="center" vertical="center"/>
    </xf>
    <xf numFmtId="171" fontId="63" fillId="0" borderId="50" xfId="0" applyNumberFormat="1" applyFont="1" applyBorder="1" applyAlignment="1">
      <alignment horizontal="center" vertical="center"/>
    </xf>
    <xf numFmtId="171" fontId="63" fillId="0" borderId="58" xfId="0" applyNumberFormat="1" applyFont="1" applyBorder="1" applyAlignment="1">
      <alignment horizontal="center" vertical="center"/>
    </xf>
    <xf numFmtId="171" fontId="21" fillId="0" borderId="30" xfId="0" applyNumberFormat="1" applyFont="1" applyBorder="1" applyAlignment="1">
      <alignment horizontal="center"/>
    </xf>
    <xf numFmtId="171" fontId="21" fillId="0" borderId="59" xfId="0" applyNumberFormat="1" applyFont="1" applyBorder="1" applyAlignment="1">
      <alignment horizontal="center"/>
    </xf>
    <xf numFmtId="171" fontId="91" fillId="35" borderId="0" xfId="115" applyNumberFormat="1" applyFont="1" applyFill="1" applyAlignment="1">
      <alignment horizontal="center" vertical="center" wrapText="1"/>
    </xf>
    <xf numFmtId="171" fontId="63" fillId="0" borderId="15" xfId="0" applyNumberFormat="1" applyFont="1" applyBorder="1" applyAlignment="1">
      <alignment horizontal="center" vertical="center"/>
    </xf>
    <xf numFmtId="171" fontId="63" fillId="0" borderId="0" xfId="0" applyNumberFormat="1" applyFont="1" applyAlignment="1">
      <alignment horizontal="center" vertical="center"/>
    </xf>
    <xf numFmtId="171" fontId="63" fillId="0" borderId="25" xfId="0" applyNumberFormat="1" applyFont="1" applyBorder="1" applyAlignment="1">
      <alignment horizontal="center" vertical="center"/>
    </xf>
    <xf numFmtId="171" fontId="78" fillId="0" borderId="0" xfId="0" applyNumberFormat="1" applyFont="1" applyAlignment="1">
      <alignment horizontal="center" vertical="center"/>
    </xf>
    <xf numFmtId="171" fontId="86" fillId="35" borderId="20" xfId="242" applyNumberFormat="1" applyFont="1" applyFill="1" applyBorder="1" applyAlignment="1" applyProtection="1">
      <alignment horizontal="center" vertical="center" wrapText="1"/>
    </xf>
    <xf numFmtId="171" fontId="86" fillId="35" borderId="21" xfId="242" applyNumberFormat="1" applyFont="1" applyFill="1" applyBorder="1" applyAlignment="1" applyProtection="1">
      <alignment horizontal="center" vertical="center" wrapText="1"/>
    </xf>
    <xf numFmtId="171" fontId="86" fillId="35" borderId="22" xfId="242" applyNumberFormat="1" applyFont="1" applyFill="1" applyBorder="1" applyAlignment="1" applyProtection="1">
      <alignment horizontal="center" vertical="center" wrapText="1"/>
    </xf>
    <xf numFmtId="171" fontId="91" fillId="35" borderId="0" xfId="115" applyNumberFormat="1" applyFont="1" applyFill="1" applyAlignment="1">
      <alignment horizontal="center" vertical="center"/>
    </xf>
    <xf numFmtId="171" fontId="86" fillId="35" borderId="28" xfId="242" applyNumberFormat="1" applyFont="1" applyFill="1" applyBorder="1" applyAlignment="1" applyProtection="1">
      <alignment horizontal="center" vertical="center" wrapText="1"/>
    </xf>
    <xf numFmtId="171" fontId="86" fillId="35" borderId="29" xfId="242" applyNumberFormat="1" applyFont="1" applyFill="1" applyBorder="1" applyAlignment="1" applyProtection="1">
      <alignment horizontal="center" vertical="center" wrapText="1"/>
    </xf>
    <xf numFmtId="171" fontId="86" fillId="35" borderId="30" xfId="242" applyNumberFormat="1" applyFont="1" applyFill="1" applyBorder="1" applyAlignment="1" applyProtection="1">
      <alignment horizontal="center" vertical="center" wrapText="1"/>
    </xf>
    <xf numFmtId="171" fontId="21" fillId="0" borderId="0" xfId="0" applyNumberFormat="1" applyFont="1" applyProtection="1">
      <protection locked="0"/>
    </xf>
    <xf numFmtId="171" fontId="21" fillId="0" borderId="22" xfId="0" applyNumberFormat="1" applyFont="1" applyBorder="1" applyAlignment="1">
      <alignment horizontal="center"/>
    </xf>
    <xf numFmtId="171" fontId="99" fillId="126" borderId="0" xfId="115" applyNumberFormat="1" applyFont="1" applyFill="1" applyAlignment="1">
      <alignment horizontal="center" vertical="center"/>
    </xf>
    <xf numFmtId="171" fontId="100" fillId="104" borderId="0" xfId="130" applyNumberFormat="1" applyFont="1" applyFill="1" applyAlignment="1">
      <alignment horizontal="center" vertical="center"/>
    </xf>
    <xf numFmtId="171" fontId="2" fillId="0" borderId="60" xfId="148" applyNumberFormat="1" applyFont="1" applyBorder="1" applyAlignment="1">
      <alignment horizontal="center" vertical="center"/>
    </xf>
    <xf numFmtId="171" fontId="83" fillId="127" borderId="1" xfId="132" applyNumberFormat="1" applyFont="1" applyFill="1" applyBorder="1" applyAlignment="1" applyProtection="1">
      <alignment horizontal="center" vertical="center" shrinkToFit="1"/>
    </xf>
    <xf numFmtId="171" fontId="33" fillId="34" borderId="48" xfId="128" applyNumberFormat="1" applyFont="1" applyFill="1" applyBorder="1" applyAlignment="1">
      <alignment horizontal="center" vertical="center" shrinkToFit="1"/>
    </xf>
    <xf numFmtId="171" fontId="101" fillId="128" borderId="48" xfId="132" applyNumberFormat="1" applyFont="1" applyFill="1" applyBorder="1" applyAlignment="1" applyProtection="1">
      <alignment horizontal="center" vertical="center" shrinkToFit="1"/>
    </xf>
    <xf numFmtId="171" fontId="84" fillId="0" borderId="0" xfId="0" applyNumberFormat="1" applyFont="1" applyAlignment="1">
      <alignment horizontal="center"/>
    </xf>
    <xf numFmtId="171" fontId="2" fillId="0" borderId="25" xfId="0" applyNumberFormat="1" applyFont="1" applyBorder="1" applyAlignment="1">
      <alignment horizontal="center" vertical="center"/>
    </xf>
    <xf numFmtId="171" fontId="37" fillId="91" borderId="48" xfId="128" applyNumberFormat="1" applyFont="1" applyFill="1" applyBorder="1" applyAlignment="1">
      <alignment horizontal="center" vertical="center" shrinkToFit="1"/>
    </xf>
    <xf numFmtId="171" fontId="21" fillId="0" borderId="61" xfId="0" applyNumberFormat="1" applyFont="1" applyBorder="1" applyAlignment="1">
      <alignment horizontal="center"/>
    </xf>
    <xf numFmtId="171" fontId="59" fillId="0" borderId="0" xfId="148" applyNumberFormat="1" applyFont="1" applyAlignment="1">
      <alignment horizontal="center" vertical="center"/>
    </xf>
    <xf numFmtId="171" fontId="91" fillId="98" borderId="0" xfId="0" applyNumberFormat="1" applyFont="1" applyFill="1" applyAlignment="1">
      <alignment vertical="center"/>
    </xf>
    <xf numFmtId="171" fontId="102" fillId="98" borderId="0" xfId="0" applyNumberFormat="1" applyFont="1" applyFill="1"/>
    <xf numFmtId="171" fontId="103" fillId="0" borderId="48" xfId="148" applyNumberFormat="1" applyFont="1" applyBorder="1" applyAlignment="1">
      <alignment horizontal="center"/>
    </xf>
    <xf numFmtId="171" fontId="104" fillId="0" borderId="0" xfId="0" applyNumberFormat="1" applyFont="1" applyAlignment="1">
      <alignment horizontal="center" vertical="center" shrinkToFit="1"/>
    </xf>
    <xf numFmtId="171" fontId="59" fillId="98" borderId="0" xfId="0" applyNumberFormat="1" applyFont="1" applyFill="1" applyAlignment="1">
      <alignment horizontal="center" vertical="center"/>
    </xf>
    <xf numFmtId="171" fontId="93" fillId="0" borderId="0" xfId="115" applyNumberFormat="1" applyFont="1" applyAlignment="1">
      <alignment horizontal="center" vertical="center"/>
    </xf>
    <xf numFmtId="171" fontId="93" fillId="98" borderId="0" xfId="0" applyNumberFormat="1" applyFont="1" applyFill="1" applyAlignment="1">
      <alignment horizontal="center" vertical="center"/>
    </xf>
    <xf numFmtId="171" fontId="21" fillId="0" borderId="0" xfId="0" applyNumberFormat="1" applyFont="1" applyAlignment="1">
      <alignment horizontal="center" vertical="center"/>
    </xf>
    <xf numFmtId="171" fontId="63" fillId="0" borderId="28" xfId="0" applyNumberFormat="1" applyFont="1" applyBorder="1" applyAlignment="1">
      <alignment horizontal="center" vertical="center"/>
    </xf>
    <xf numFmtId="171" fontId="63" fillId="0" borderId="29" xfId="0" applyNumberFormat="1" applyFont="1" applyBorder="1" applyAlignment="1">
      <alignment horizontal="center" vertical="center"/>
    </xf>
    <xf numFmtId="171" fontId="63" fillId="0" borderId="30" xfId="0" applyNumberFormat="1" applyFont="1" applyBorder="1" applyAlignment="1">
      <alignment horizontal="center" vertical="center"/>
    </xf>
    <xf numFmtId="171" fontId="77" fillId="0" borderId="15" xfId="130" applyNumberFormat="1" applyFont="1" applyBorder="1" applyAlignment="1">
      <alignment horizontal="center" vertical="center" shrinkToFit="1"/>
    </xf>
    <xf numFmtId="171" fontId="86" fillId="0" borderId="0" xfId="0" applyNumberFormat="1" applyFont="1" applyAlignment="1">
      <alignment horizontal="center" vertical="center"/>
    </xf>
    <xf numFmtId="171" fontId="84" fillId="0" borderId="15" xfId="0" applyNumberFormat="1" applyFont="1" applyBorder="1" applyAlignment="1">
      <alignment horizontal="center"/>
    </xf>
    <xf numFmtId="171" fontId="105" fillId="0" borderId="0" xfId="243" applyNumberFormat="1" applyFont="1" applyAlignment="1" applyProtection="1">
      <alignment horizontal="center"/>
    </xf>
    <xf numFmtId="171" fontId="103" fillId="0" borderId="0" xfId="0" applyNumberFormat="1" applyFont="1" applyAlignment="1">
      <alignment horizontal="center"/>
    </xf>
    <xf numFmtId="171" fontId="106" fillId="0" borderId="1" xfId="0" applyNumberFormat="1" applyFont="1" applyBorder="1" applyAlignment="1">
      <alignment horizontal="center"/>
    </xf>
    <xf numFmtId="171" fontId="21" fillId="0" borderId="30" xfId="0" applyNumberFormat="1" applyFont="1" applyBorder="1"/>
    <xf numFmtId="171" fontId="107" fillId="0" borderId="0" xfId="243" applyNumberFormat="1" applyFont="1" applyAlignment="1" applyProtection="1">
      <alignment vertical="center"/>
    </xf>
    <xf numFmtId="171" fontId="21" fillId="109" borderId="0" xfId="0" applyNumberFormat="1" applyFont="1" applyFill="1"/>
    <xf numFmtId="171" fontId="70" fillId="0" borderId="0" xfId="148" applyNumberFormat="1" applyFont="1" applyAlignment="1">
      <alignment vertical="center"/>
    </xf>
    <xf numFmtId="171" fontId="70" fillId="0" borderId="24" xfId="148" applyNumberFormat="1" applyFont="1" applyBorder="1" applyAlignment="1">
      <alignment vertical="center"/>
    </xf>
    <xf numFmtId="171" fontId="63" fillId="0" borderId="0" xfId="0" applyNumberFormat="1" applyFont="1" applyAlignment="1">
      <alignment horizontal="center" vertical="center" shrinkToFit="1"/>
    </xf>
    <xf numFmtId="171" fontId="76" fillId="0" borderId="20" xfId="0" applyNumberFormat="1" applyFont="1" applyBorder="1" applyAlignment="1">
      <alignment horizontal="center" vertical="center"/>
    </xf>
    <xf numFmtId="171" fontId="76" fillId="0" borderId="21" xfId="0" applyNumberFormat="1" applyFont="1" applyBorder="1" applyAlignment="1">
      <alignment horizontal="center" vertical="center"/>
    </xf>
    <xf numFmtId="171" fontId="76" fillId="0" borderId="22" xfId="0" applyNumberFormat="1" applyFont="1" applyBorder="1" applyAlignment="1">
      <alignment horizontal="center" vertical="center"/>
    </xf>
    <xf numFmtId="171" fontId="2" fillId="108" borderId="24" xfId="148" applyNumberFormat="1" applyFont="1" applyFill="1" applyBorder="1" applyAlignment="1">
      <alignment horizontal="center"/>
    </xf>
    <xf numFmtId="171" fontId="77" fillId="35" borderId="20" xfId="0" applyNumberFormat="1" applyFont="1" applyFill="1" applyBorder="1" applyAlignment="1">
      <alignment horizontal="center" vertical="center" wrapText="1"/>
    </xf>
    <xf numFmtId="171" fontId="77" fillId="35" borderId="22" xfId="0" applyNumberFormat="1" applyFont="1" applyFill="1" applyBorder="1" applyAlignment="1">
      <alignment horizontal="center" vertical="center" wrapText="1"/>
    </xf>
    <xf numFmtId="171" fontId="6" fillId="0" borderId="0" xfId="0" applyNumberFormat="1" applyFont="1" applyAlignment="1">
      <alignment horizontal="center" vertical="center" wrapText="1"/>
    </xf>
    <xf numFmtId="171" fontId="76" fillId="0" borderId="15" xfId="0" applyNumberFormat="1" applyFont="1" applyBorder="1" applyAlignment="1">
      <alignment horizontal="center" vertical="center"/>
    </xf>
    <xf numFmtId="171" fontId="76" fillId="0" borderId="0" xfId="0" applyNumberFormat="1" applyFont="1" applyAlignment="1">
      <alignment horizontal="center" vertical="center"/>
    </xf>
    <xf numFmtId="171" fontId="76" fillId="0" borderId="25" xfId="0" applyNumberFormat="1" applyFont="1" applyBorder="1" applyAlignment="1">
      <alignment horizontal="center" vertical="center"/>
    </xf>
    <xf numFmtId="171" fontId="108" fillId="0" borderId="0" xfId="243" applyNumberFormat="1" applyFont="1" applyAlignment="1" applyProtection="1">
      <alignment horizontal="center"/>
    </xf>
    <xf numFmtId="171" fontId="63" fillId="0" borderId="0" xfId="130" applyNumberFormat="1" applyFont="1" applyAlignment="1">
      <alignment horizontal="center" vertical="center" shrinkToFit="1"/>
    </xf>
    <xf numFmtId="171" fontId="77" fillId="35" borderId="28" xfId="0" applyNumberFormat="1" applyFont="1" applyFill="1" applyBorder="1" applyAlignment="1">
      <alignment horizontal="center" vertical="center" wrapText="1"/>
    </xf>
    <xf numFmtId="171" fontId="77" fillId="35" borderId="30" xfId="0" applyNumberFormat="1" applyFont="1" applyFill="1" applyBorder="1" applyAlignment="1">
      <alignment horizontal="center" vertical="center" wrapText="1"/>
    </xf>
    <xf numFmtId="171" fontId="6" fillId="0" borderId="40" xfId="0" applyNumberFormat="1" applyFont="1" applyBorder="1" applyAlignment="1">
      <alignment horizontal="center" vertical="center" wrapText="1"/>
    </xf>
    <xf numFmtId="171" fontId="76" fillId="0" borderId="28" xfId="0" applyNumberFormat="1" applyFont="1" applyBorder="1" applyAlignment="1">
      <alignment horizontal="center" vertical="center"/>
    </xf>
    <xf numFmtId="171" fontId="76" fillId="0" borderId="29" xfId="0" applyNumberFormat="1" applyFont="1" applyBorder="1" applyAlignment="1">
      <alignment horizontal="center" vertical="center"/>
    </xf>
    <xf numFmtId="171" fontId="76" fillId="0" borderId="30" xfId="0" applyNumberFormat="1" applyFont="1" applyBorder="1" applyAlignment="1">
      <alignment horizontal="center" vertical="center"/>
    </xf>
    <xf numFmtId="171" fontId="2" fillId="108" borderId="38" xfId="148" applyNumberFormat="1" applyFont="1" applyFill="1" applyBorder="1" applyAlignment="1">
      <alignment horizontal="center"/>
    </xf>
    <xf numFmtId="171" fontId="2" fillId="0" borderId="41" xfId="148" applyNumberFormat="1" applyFont="1" applyBorder="1" applyAlignment="1">
      <alignment horizontal="center" vertical="center"/>
    </xf>
    <xf numFmtId="171" fontId="2" fillId="0" borderId="62" xfId="0" applyNumberFormat="1" applyFont="1" applyBorder="1" applyAlignment="1">
      <alignment horizontal="center" vertical="center"/>
    </xf>
    <xf numFmtId="171" fontId="103" fillId="0" borderId="40" xfId="0" applyNumberFormat="1" applyFont="1" applyBorder="1" applyAlignment="1">
      <alignment horizontal="center"/>
    </xf>
    <xf numFmtId="171" fontId="2" fillId="0" borderId="40" xfId="0" applyNumberFormat="1" applyFont="1" applyBorder="1" applyAlignment="1">
      <alignment horizontal="center" vertical="center"/>
    </xf>
    <xf numFmtId="171" fontId="109" fillId="0" borderId="15" xfId="0" applyNumberFormat="1" applyFont="1" applyBorder="1" applyAlignment="1">
      <alignment horizontal="center"/>
    </xf>
    <xf numFmtId="171" fontId="62" fillId="0" borderId="20" xfId="0" applyNumberFormat="1" applyFont="1" applyBorder="1" applyAlignment="1">
      <alignment horizontal="center" vertical="center"/>
    </xf>
    <xf numFmtId="171" fontId="62" fillId="0" borderId="21" xfId="0" applyNumberFormat="1" applyFont="1" applyBorder="1" applyAlignment="1">
      <alignment horizontal="center" vertical="center"/>
    </xf>
    <xf numFmtId="171" fontId="62" fillId="0" borderId="0" xfId="0" applyNumberFormat="1" applyFont="1" applyAlignment="1">
      <alignment horizontal="center" vertical="center"/>
    </xf>
    <xf numFmtId="171" fontId="62" fillId="0" borderId="25" xfId="0" applyNumberFormat="1" applyFont="1" applyBorder="1" applyAlignment="1">
      <alignment horizontal="center" vertical="center"/>
    </xf>
    <xf numFmtId="171" fontId="2" fillId="0" borderId="63" xfId="0" applyNumberFormat="1" applyFont="1" applyBorder="1" applyAlignment="1">
      <alignment horizontal="center"/>
    </xf>
    <xf numFmtId="171" fontId="6" fillId="0" borderId="63" xfId="0" applyNumberFormat="1" applyFont="1" applyBorder="1" applyAlignment="1">
      <alignment horizontal="center" vertical="center"/>
    </xf>
    <xf numFmtId="171" fontId="2" fillId="0" borderId="17" xfId="0" applyNumberFormat="1" applyFont="1" applyBorder="1" applyAlignment="1">
      <alignment horizontal="center"/>
    </xf>
    <xf numFmtId="171" fontId="2" fillId="0" borderId="41" xfId="0" applyNumberFormat="1" applyFont="1" applyBorder="1" applyAlignment="1">
      <alignment horizontal="center"/>
    </xf>
    <xf numFmtId="171" fontId="62" fillId="0" borderId="15" xfId="0" applyNumberFormat="1" applyFont="1" applyBorder="1" applyAlignment="1">
      <alignment horizontal="center" vertical="center"/>
    </xf>
    <xf numFmtId="171" fontId="6" fillId="0" borderId="0" xfId="0" applyNumberFormat="1" applyFont="1" applyAlignment="1">
      <alignment horizontal="center" vertical="center"/>
    </xf>
    <xf numFmtId="171" fontId="2" fillId="0" borderId="0" xfId="0" applyNumberFormat="1" applyFont="1" applyAlignment="1">
      <alignment horizontal="left" vertical="center"/>
    </xf>
    <xf numFmtId="171" fontId="2" fillId="0" borderId="28" xfId="0" applyNumberFormat="1" applyFont="1" applyBorder="1" applyAlignment="1">
      <alignment horizontal="center"/>
    </xf>
    <xf numFmtId="171" fontId="62" fillId="0" borderId="28" xfId="0" applyNumberFormat="1" applyFont="1" applyBorder="1" applyAlignment="1">
      <alignment horizontal="center" vertical="center"/>
    </xf>
    <xf numFmtId="171" fontId="62" fillId="0" borderId="29" xfId="0" applyNumberFormat="1" applyFont="1" applyBorder="1" applyAlignment="1">
      <alignment horizontal="center" vertical="center"/>
    </xf>
    <xf numFmtId="171" fontId="62" fillId="0" borderId="30" xfId="0" applyNumberFormat="1" applyFont="1" applyBorder="1" applyAlignment="1">
      <alignment horizontal="center" vertical="center"/>
    </xf>
    <xf numFmtId="171" fontId="52" fillId="0" borderId="0" xfId="0" applyNumberFormat="1" applyFont="1" applyProtection="1">
      <protection locked="0"/>
    </xf>
    <xf numFmtId="171" fontId="21" fillId="0" borderId="0" xfId="0" quotePrefix="1" applyNumberFormat="1" applyFont="1" applyProtection="1">
      <protection locked="0"/>
    </xf>
    <xf numFmtId="171" fontId="9" fillId="0" borderId="0" xfId="0" applyNumberFormat="1" applyFont="1" applyProtection="1">
      <protection locked="0"/>
    </xf>
    <xf numFmtId="171" fontId="21" fillId="0" borderId="0" xfId="0" applyNumberFormat="1" applyFont="1" applyAlignment="1" applyProtection="1">
      <alignment horizontal="left" vertical="center"/>
      <protection locked="0"/>
    </xf>
  </cellXfs>
  <cellStyles count="245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29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stilo 1" xfId="31" xr:uid="{00000000-0005-0000-0000-00001E000000}"/>
    <cellStyle name="Excel Built-in Normal" xfId="32" xr:uid="{00000000-0005-0000-0000-00001F000000}"/>
    <cellStyle name="headerStyle" xfId="33" xr:uid="{00000000-0005-0000-0000-000020000000}"/>
    <cellStyle name="Hipervínculo 2" xfId="34" xr:uid="{00000000-0005-0000-0000-000021000000}"/>
    <cellStyle name="Hipervínculo 3" xfId="35" xr:uid="{00000000-0005-0000-0000-000022000000}"/>
    <cellStyle name="Incorrecto" xfId="36" builtinId="27" customBuiltin="1"/>
    <cellStyle name="Millares 2" xfId="37" xr:uid="{00000000-0005-0000-0000-000024000000}"/>
    <cellStyle name="Millares 3" xfId="38" xr:uid="{00000000-0005-0000-0000-000025000000}"/>
    <cellStyle name="Millares 3 2" xfId="39" xr:uid="{00000000-0005-0000-0000-000026000000}"/>
    <cellStyle name="Millares 3 2 2" xfId="40" xr:uid="{00000000-0005-0000-0000-000027000000}"/>
    <cellStyle name="Millares 3 2 2 2" xfId="234" xr:uid="{00000000-0005-0000-0000-000028000000}"/>
    <cellStyle name="Millares 3 3" xfId="41" xr:uid="{00000000-0005-0000-0000-000029000000}"/>
    <cellStyle name="Millares 3 3 2" xfId="42" xr:uid="{00000000-0005-0000-0000-00002A000000}"/>
    <cellStyle name="Millares 3 4" xfId="43" xr:uid="{00000000-0005-0000-0000-00002B000000}"/>
    <cellStyle name="Millares 3 5" xfId="44" xr:uid="{00000000-0005-0000-0000-00002C000000}"/>
    <cellStyle name="Millares 4" xfId="45" xr:uid="{00000000-0005-0000-0000-00002D000000}"/>
    <cellStyle name="Millares 4 2" xfId="46" xr:uid="{00000000-0005-0000-0000-00002E000000}"/>
    <cellStyle name="Millares 4 2 2" xfId="47" xr:uid="{00000000-0005-0000-0000-00002F000000}"/>
    <cellStyle name="Millares 4 3" xfId="48" xr:uid="{00000000-0005-0000-0000-000030000000}"/>
    <cellStyle name="Millares 4 3 2" xfId="49" xr:uid="{00000000-0005-0000-0000-000031000000}"/>
    <cellStyle name="Millares 4 4" xfId="50" xr:uid="{00000000-0005-0000-0000-000032000000}"/>
    <cellStyle name="Millares 5" xfId="51" xr:uid="{00000000-0005-0000-0000-000033000000}"/>
    <cellStyle name="Millares 5 2" xfId="52" xr:uid="{00000000-0005-0000-0000-000034000000}"/>
    <cellStyle name="Millares 5 2 2" xfId="53" xr:uid="{00000000-0005-0000-0000-000035000000}"/>
    <cellStyle name="Millares 5 2 2 2" xfId="54" xr:uid="{00000000-0005-0000-0000-000036000000}"/>
    <cellStyle name="Millares 5 2 2 2 2" xfId="55" xr:uid="{00000000-0005-0000-0000-000037000000}"/>
    <cellStyle name="Millares 5 2 2 2 2 2" xfId="56" xr:uid="{00000000-0005-0000-0000-000038000000}"/>
    <cellStyle name="Millares 5 2 2 2 2 3" xfId="57" xr:uid="{00000000-0005-0000-0000-000039000000}"/>
    <cellStyle name="Millares 5 2 2 2 2 4" xfId="58" xr:uid="{00000000-0005-0000-0000-00003A000000}"/>
    <cellStyle name="Millares 5 2 2 2 3" xfId="59" xr:uid="{00000000-0005-0000-0000-00003B000000}"/>
    <cellStyle name="Millares 5 2 2 2 4" xfId="60" xr:uid="{00000000-0005-0000-0000-00003C000000}"/>
    <cellStyle name="Millares 5 2 2 3" xfId="61" xr:uid="{00000000-0005-0000-0000-00003D000000}"/>
    <cellStyle name="Millares 5 2 2 3 2" xfId="62" xr:uid="{00000000-0005-0000-0000-00003E000000}"/>
    <cellStyle name="Millares 5 2 2 3 2 2" xfId="63" xr:uid="{00000000-0005-0000-0000-00003F000000}"/>
    <cellStyle name="Millares 5 2 2 3 2 3" xfId="64" xr:uid="{00000000-0005-0000-0000-000040000000}"/>
    <cellStyle name="Millares 5 2 2 3 2 4" xfId="65" xr:uid="{00000000-0005-0000-0000-000041000000}"/>
    <cellStyle name="Millares 5 2 2 3 3" xfId="66" xr:uid="{00000000-0005-0000-0000-000042000000}"/>
    <cellStyle name="Millares 5 2 2 3 4" xfId="67" xr:uid="{00000000-0005-0000-0000-000043000000}"/>
    <cellStyle name="Millares 5 2 2 4" xfId="68" xr:uid="{00000000-0005-0000-0000-000044000000}"/>
    <cellStyle name="Millares 5 2 2 4 2" xfId="69" xr:uid="{00000000-0005-0000-0000-000045000000}"/>
    <cellStyle name="Millares 5 2 2 4 3" xfId="70" xr:uid="{00000000-0005-0000-0000-000046000000}"/>
    <cellStyle name="Millares 5 2 2 4 4" xfId="71" xr:uid="{00000000-0005-0000-0000-000047000000}"/>
    <cellStyle name="Millares 5 2 2 5" xfId="72" xr:uid="{00000000-0005-0000-0000-000048000000}"/>
    <cellStyle name="Millares 5 2 2 6" xfId="73" xr:uid="{00000000-0005-0000-0000-000049000000}"/>
    <cellStyle name="Millares 5 2 3" xfId="74" xr:uid="{00000000-0005-0000-0000-00004A000000}"/>
    <cellStyle name="Millares 5 3" xfId="75" xr:uid="{00000000-0005-0000-0000-00004B000000}"/>
    <cellStyle name="Millares 5 4" xfId="76" xr:uid="{00000000-0005-0000-0000-00004C000000}"/>
    <cellStyle name="Millares 6" xfId="77" xr:uid="{00000000-0005-0000-0000-00004D000000}"/>
    <cellStyle name="Millares 6 2" xfId="78" xr:uid="{00000000-0005-0000-0000-00004E000000}"/>
    <cellStyle name="Moneda 2" xfId="79" xr:uid="{00000000-0005-0000-0000-00004F000000}"/>
    <cellStyle name="Moneda 2 2" xfId="80" xr:uid="{00000000-0005-0000-0000-000050000000}"/>
    <cellStyle name="Moneda 2 2 2" xfId="81" xr:uid="{00000000-0005-0000-0000-000051000000}"/>
    <cellStyle name="Moneda 2 2 2 2" xfId="82" xr:uid="{00000000-0005-0000-0000-000052000000}"/>
    <cellStyle name="Moneda 2 2 2 3" xfId="83" xr:uid="{00000000-0005-0000-0000-000053000000}"/>
    <cellStyle name="Moneda 2 2 2 4" xfId="84" xr:uid="{00000000-0005-0000-0000-000054000000}"/>
    <cellStyle name="Moneda 2 2 3" xfId="85" xr:uid="{00000000-0005-0000-0000-000055000000}"/>
    <cellStyle name="Moneda 2 2 4" xfId="86" xr:uid="{00000000-0005-0000-0000-000056000000}"/>
    <cellStyle name="Moneda 2 3" xfId="87" xr:uid="{00000000-0005-0000-0000-000057000000}"/>
    <cellStyle name="Moneda 2 4" xfId="88" xr:uid="{00000000-0005-0000-0000-000058000000}"/>
    <cellStyle name="Moneda 2 4 2" xfId="89" xr:uid="{00000000-0005-0000-0000-000059000000}"/>
    <cellStyle name="Moneda 2 4 3" xfId="90" xr:uid="{00000000-0005-0000-0000-00005A000000}"/>
    <cellStyle name="Moneda 2 4 4" xfId="91" xr:uid="{00000000-0005-0000-0000-00005B000000}"/>
    <cellStyle name="Moneda 2 5" xfId="92" xr:uid="{00000000-0005-0000-0000-00005C000000}"/>
    <cellStyle name="Moneda 2 5 2 2" xfId="239" xr:uid="{00000000-0005-0000-0000-00005D000000}"/>
    <cellStyle name="Moneda 2 6" xfId="93" xr:uid="{00000000-0005-0000-0000-00005E000000}"/>
    <cellStyle name="Moneda 3" xfId="94" xr:uid="{00000000-0005-0000-0000-00005F000000}"/>
    <cellStyle name="Moneda 3 2" xfId="95" xr:uid="{00000000-0005-0000-0000-000060000000}"/>
    <cellStyle name="Moneda 3 3" xfId="96" xr:uid="{00000000-0005-0000-0000-000061000000}"/>
    <cellStyle name="Moneda 3 4" xfId="97" xr:uid="{00000000-0005-0000-0000-000062000000}"/>
    <cellStyle name="Moneda 4" xfId="98" xr:uid="{00000000-0005-0000-0000-000063000000}"/>
    <cellStyle name="Moneda 4 3" xfId="99" xr:uid="{00000000-0005-0000-0000-000064000000}"/>
    <cellStyle name="Neutral" xfId="100" builtinId="28" customBuiltin="1"/>
    <cellStyle name="Normal" xfId="0" builtinId="0"/>
    <cellStyle name="Normal 10" xfId="101" xr:uid="{00000000-0005-0000-0000-000067000000}"/>
    <cellStyle name="Normal 11" xfId="102" xr:uid="{00000000-0005-0000-0000-000068000000}"/>
    <cellStyle name="Normal 12" xfId="103" xr:uid="{00000000-0005-0000-0000-000069000000}"/>
    <cellStyle name="Normal 124" xfId="104" xr:uid="{00000000-0005-0000-0000-00006A000000}"/>
    <cellStyle name="Normal 125" xfId="105" xr:uid="{00000000-0005-0000-0000-00006B000000}"/>
    <cellStyle name="Normal 13" xfId="106" xr:uid="{00000000-0005-0000-0000-00006C000000}"/>
    <cellStyle name="Normal 14" xfId="107" xr:uid="{00000000-0005-0000-0000-00006D000000}"/>
    <cellStyle name="Normal 14 2" xfId="235" xr:uid="{00000000-0005-0000-0000-00006E000000}"/>
    <cellStyle name="Normal 14 2 3" xfId="242" xr:uid="{F44F2285-BFA4-44FD-9645-8063CF13C9F8}"/>
    <cellStyle name="Normal 15" xfId="108" xr:uid="{00000000-0005-0000-0000-00006F000000}"/>
    <cellStyle name="Normal 17" xfId="109" xr:uid="{00000000-0005-0000-0000-000070000000}"/>
    <cellStyle name="Normal 18" xfId="236" xr:uid="{00000000-0005-0000-0000-000071000000}"/>
    <cellStyle name="Normal 19" xfId="110" xr:uid="{00000000-0005-0000-0000-000072000000}"/>
    <cellStyle name="Normal 2" xfId="111" xr:uid="{00000000-0005-0000-0000-000073000000}"/>
    <cellStyle name="Normal 2 10 2" xfId="112" xr:uid="{00000000-0005-0000-0000-000074000000}"/>
    <cellStyle name="Normal 2 10 2 2" xfId="113" xr:uid="{00000000-0005-0000-0000-000075000000}"/>
    <cellStyle name="Normal 2 100" xfId="114" xr:uid="{00000000-0005-0000-0000-000076000000}"/>
    <cellStyle name="Normal 2 100 2" xfId="115" xr:uid="{00000000-0005-0000-0000-000077000000}"/>
    <cellStyle name="Normal 2 2" xfId="116" xr:uid="{00000000-0005-0000-0000-000078000000}"/>
    <cellStyle name="Normal 2 2 10" xfId="117" xr:uid="{00000000-0005-0000-0000-000079000000}"/>
    <cellStyle name="Normal 2 2 10 2" xfId="118" xr:uid="{00000000-0005-0000-0000-00007A000000}"/>
    <cellStyle name="Normal 2 2 2" xfId="119" xr:uid="{00000000-0005-0000-0000-00007B000000}"/>
    <cellStyle name="Normal 2 2 2 2" xfId="120" xr:uid="{00000000-0005-0000-0000-00007C000000}"/>
    <cellStyle name="Normal 2 2 2 3" xfId="121" xr:uid="{00000000-0005-0000-0000-00007D000000}"/>
    <cellStyle name="Normal 2 2 2 4" xfId="122" xr:uid="{00000000-0005-0000-0000-00007E000000}"/>
    <cellStyle name="Normal 2 2 3" xfId="123" xr:uid="{00000000-0005-0000-0000-00007F000000}"/>
    <cellStyle name="Normal 2 2 4" xfId="124" xr:uid="{00000000-0005-0000-0000-000080000000}"/>
    <cellStyle name="Normal 2 2 4 2" xfId="125" xr:uid="{00000000-0005-0000-0000-000081000000}"/>
    <cellStyle name="Normal 2 2 4 3" xfId="126" xr:uid="{00000000-0005-0000-0000-000082000000}"/>
    <cellStyle name="Normal 2 2 4 3 2" xfId="243" xr:uid="{D7848F9C-0C46-4542-8725-F762BB0C5E28}"/>
    <cellStyle name="Normal 2 2 4 5" xfId="237" xr:uid="{00000000-0005-0000-0000-000083000000}"/>
    <cellStyle name="Normal 2 2 5" xfId="127" xr:uid="{00000000-0005-0000-0000-000084000000}"/>
    <cellStyle name="Normal 2 3" xfId="128" xr:uid="{00000000-0005-0000-0000-000085000000}"/>
    <cellStyle name="Normal 2 3 2" xfId="129" xr:uid="{00000000-0005-0000-0000-000086000000}"/>
    <cellStyle name="Normal 2 3 2 2" xfId="130" xr:uid="{00000000-0005-0000-0000-000087000000}"/>
    <cellStyle name="Normal 2 3 2 2 2 2" xfId="131" xr:uid="{00000000-0005-0000-0000-000088000000}"/>
    <cellStyle name="Normal 2 3 2 3" xfId="132" xr:uid="{00000000-0005-0000-0000-000089000000}"/>
    <cellStyle name="Normal 2 3 3" xfId="133" xr:uid="{00000000-0005-0000-0000-00008A000000}"/>
    <cellStyle name="Normal 2 3 4" xfId="134" xr:uid="{00000000-0005-0000-0000-00008B000000}"/>
    <cellStyle name="Normal 2 3 5" xfId="135" xr:uid="{00000000-0005-0000-0000-00008C000000}"/>
    <cellStyle name="Normal 2 3 6" xfId="136" xr:uid="{00000000-0005-0000-0000-00008D000000}"/>
    <cellStyle name="Normal 2 3 7" xfId="241" xr:uid="{00000000-0005-0000-0000-00008E000000}"/>
    <cellStyle name="Normal 2 4" xfId="137" xr:uid="{00000000-0005-0000-0000-00008F000000}"/>
    <cellStyle name="Normal 2 5" xfId="138" xr:uid="{00000000-0005-0000-0000-000090000000}"/>
    <cellStyle name="Normal 2 6" xfId="139" xr:uid="{00000000-0005-0000-0000-000091000000}"/>
    <cellStyle name="Normal 2 6 10" xfId="140" xr:uid="{00000000-0005-0000-0000-000092000000}"/>
    <cellStyle name="Normal 2 6 10 2" xfId="141" xr:uid="{00000000-0005-0000-0000-000093000000}"/>
    <cellStyle name="Normal 2 6 2" xfId="233" xr:uid="{00000000-0005-0000-0000-000094000000}"/>
    <cellStyle name="Normal 2 6 2 2" xfId="240" xr:uid="{00000000-0005-0000-0000-000095000000}"/>
    <cellStyle name="Normal 2 7" xfId="142" xr:uid="{00000000-0005-0000-0000-000096000000}"/>
    <cellStyle name="Normal 2 9" xfId="143" xr:uid="{00000000-0005-0000-0000-000097000000}"/>
    <cellStyle name="Normal 2_2010 Enero METEPEC(1)" xfId="144" xr:uid="{00000000-0005-0000-0000-000098000000}"/>
    <cellStyle name="Normal 21" xfId="145" xr:uid="{00000000-0005-0000-0000-000099000000}"/>
    <cellStyle name="Normal 22" xfId="146" xr:uid="{00000000-0005-0000-0000-00009A000000}"/>
    <cellStyle name="Normal 23" xfId="147" xr:uid="{00000000-0005-0000-0000-00009B000000}"/>
    <cellStyle name="Normal 3" xfId="148" xr:uid="{00000000-0005-0000-0000-00009C000000}"/>
    <cellStyle name="Normal 3 2" xfId="149" xr:uid="{00000000-0005-0000-0000-00009D000000}"/>
    <cellStyle name="Normal 3 2 2" xfId="150" xr:uid="{00000000-0005-0000-0000-00009E000000}"/>
    <cellStyle name="Normal 3 2 2 2" xfId="238" xr:uid="{00000000-0005-0000-0000-00009F000000}"/>
    <cellStyle name="Normal 3 3" xfId="151" xr:uid="{00000000-0005-0000-0000-0000A0000000}"/>
    <cellStyle name="Normal 3 4" xfId="152" xr:uid="{00000000-0005-0000-0000-0000A1000000}"/>
    <cellStyle name="Normal 3 5" xfId="153" xr:uid="{00000000-0005-0000-0000-0000A2000000}"/>
    <cellStyle name="Normal 3 5 2" xfId="154" xr:uid="{00000000-0005-0000-0000-0000A3000000}"/>
    <cellStyle name="Normal 3 6" xfId="155" xr:uid="{00000000-0005-0000-0000-0000A4000000}"/>
    <cellStyle name="Normal 3 7" xfId="156" xr:uid="{00000000-0005-0000-0000-0000A5000000}"/>
    <cellStyle name="Normal 3_2010-09-30-PUEBLA(1)" xfId="157" xr:uid="{00000000-0005-0000-0000-0000A6000000}"/>
    <cellStyle name="Normal 4" xfId="158" xr:uid="{00000000-0005-0000-0000-0000A7000000}"/>
    <cellStyle name="Normal 4 2" xfId="159" xr:uid="{00000000-0005-0000-0000-0000A8000000}"/>
    <cellStyle name="Normal 4 3" xfId="160" xr:uid="{00000000-0005-0000-0000-0000A9000000}"/>
    <cellStyle name="Normal 4 4" xfId="161" xr:uid="{00000000-0005-0000-0000-0000AA000000}"/>
    <cellStyle name="Normal 5" xfId="162" xr:uid="{00000000-0005-0000-0000-0000AB000000}"/>
    <cellStyle name="Normal 5 2" xfId="163" xr:uid="{00000000-0005-0000-0000-0000AC000000}"/>
    <cellStyle name="Normal 5 3" xfId="164" xr:uid="{00000000-0005-0000-0000-0000AD000000}"/>
    <cellStyle name="Normal 5 3 2" xfId="165" xr:uid="{00000000-0005-0000-0000-0000AE000000}"/>
    <cellStyle name="Normal 5 4" xfId="166" xr:uid="{00000000-0005-0000-0000-0000AF000000}"/>
    <cellStyle name="Normal 5_CAMBIO DE MIX CAPRI SATELITE CON PWB y FISH 2-11-11(1)" xfId="167" xr:uid="{00000000-0005-0000-0000-0000B0000000}"/>
    <cellStyle name="Normal 6" xfId="168" xr:uid="{00000000-0005-0000-0000-0000B1000000}"/>
    <cellStyle name="Normal 6 2" xfId="169" xr:uid="{00000000-0005-0000-0000-0000B2000000}"/>
    <cellStyle name="Normal 6 3" xfId="170" xr:uid="{00000000-0005-0000-0000-0000B3000000}"/>
    <cellStyle name="Normal 7" xfId="171" xr:uid="{00000000-0005-0000-0000-0000B4000000}"/>
    <cellStyle name="Normal 8" xfId="172" xr:uid="{00000000-0005-0000-0000-0000B5000000}"/>
    <cellStyle name="Normal 8 2" xfId="173" xr:uid="{00000000-0005-0000-0000-0000B6000000}"/>
    <cellStyle name="Normal 8_PROPUESTA MIX PALACE CANCUN 5-03-12-P(1)" xfId="174" xr:uid="{00000000-0005-0000-0000-0000B7000000}"/>
    <cellStyle name="Normal 9" xfId="175" xr:uid="{00000000-0005-0000-0000-0000B8000000}"/>
    <cellStyle name="Normal 9 2 2" xfId="176" xr:uid="{00000000-0005-0000-0000-0000B9000000}"/>
    <cellStyle name="Normal_Hoja1 2" xfId="244" xr:uid="{C68B3A7A-DAFE-46A8-8953-5E65428E5F54}"/>
    <cellStyle name="Notas 2" xfId="177" xr:uid="{00000000-0005-0000-0000-0000BA000000}"/>
    <cellStyle name="Notas 2 2" xfId="178" xr:uid="{00000000-0005-0000-0000-0000BB000000}"/>
    <cellStyle name="Notas 2 2 2" xfId="179" xr:uid="{00000000-0005-0000-0000-0000BC000000}"/>
    <cellStyle name="Notas 2 2 3" xfId="180" xr:uid="{00000000-0005-0000-0000-0000BD000000}"/>
    <cellStyle name="Notas 2 2 4" xfId="181" xr:uid="{00000000-0005-0000-0000-0000BE000000}"/>
    <cellStyle name="Notas 2 3" xfId="182" xr:uid="{00000000-0005-0000-0000-0000BF000000}"/>
    <cellStyle name="Notas 2 4" xfId="183" xr:uid="{00000000-0005-0000-0000-0000C0000000}"/>
    <cellStyle name="Porcentaje 2" xfId="184" xr:uid="{00000000-0005-0000-0000-0000C1000000}"/>
    <cellStyle name="Porcentaje 2 2" xfId="185" xr:uid="{00000000-0005-0000-0000-0000C2000000}"/>
    <cellStyle name="Porcentaje 2 2 2" xfId="186" xr:uid="{00000000-0005-0000-0000-0000C3000000}"/>
    <cellStyle name="Porcentaje 2 2 2 2" xfId="187" xr:uid="{00000000-0005-0000-0000-0000C4000000}"/>
    <cellStyle name="Porcentaje 2 2 2 3" xfId="188" xr:uid="{00000000-0005-0000-0000-0000C5000000}"/>
    <cellStyle name="Porcentaje 2 2 2 4" xfId="189" xr:uid="{00000000-0005-0000-0000-0000C6000000}"/>
    <cellStyle name="Porcentaje 2 2 2 4 2" xfId="190" xr:uid="{00000000-0005-0000-0000-0000C7000000}"/>
    <cellStyle name="Porcentaje 2 2 3" xfId="191" xr:uid="{00000000-0005-0000-0000-0000C8000000}"/>
    <cellStyle name="Porcentaje 2 2 4" xfId="192" xr:uid="{00000000-0005-0000-0000-0000C9000000}"/>
    <cellStyle name="Porcentaje 2 3" xfId="193" xr:uid="{00000000-0005-0000-0000-0000CA000000}"/>
    <cellStyle name="Porcentaje 2 4" xfId="194" xr:uid="{00000000-0005-0000-0000-0000CB000000}"/>
    <cellStyle name="Porcentaje 2 4 2" xfId="195" xr:uid="{00000000-0005-0000-0000-0000CC000000}"/>
    <cellStyle name="Porcentaje 2 4 2 2" xfId="196" xr:uid="{00000000-0005-0000-0000-0000CD000000}"/>
    <cellStyle name="Porcentaje 2 4 2 3" xfId="197" xr:uid="{00000000-0005-0000-0000-0000CE000000}"/>
    <cellStyle name="Porcentaje 2 4 2 4" xfId="198" xr:uid="{00000000-0005-0000-0000-0000CF000000}"/>
    <cellStyle name="Porcentaje 2 4 3" xfId="199" xr:uid="{00000000-0005-0000-0000-0000D0000000}"/>
    <cellStyle name="Porcentaje 2 4 4" xfId="200" xr:uid="{00000000-0005-0000-0000-0000D1000000}"/>
    <cellStyle name="Porcentaje 2 5" xfId="201" xr:uid="{00000000-0005-0000-0000-0000D2000000}"/>
    <cellStyle name="Porcentaje 2 5 2" xfId="202" xr:uid="{00000000-0005-0000-0000-0000D3000000}"/>
    <cellStyle name="Porcentaje 2 5 3" xfId="203" xr:uid="{00000000-0005-0000-0000-0000D4000000}"/>
    <cellStyle name="Porcentaje 2 5 4" xfId="204" xr:uid="{00000000-0005-0000-0000-0000D5000000}"/>
    <cellStyle name="Porcentaje 2 6" xfId="205" xr:uid="{00000000-0005-0000-0000-0000D6000000}"/>
    <cellStyle name="Porcentaje 3" xfId="206" xr:uid="{00000000-0005-0000-0000-0000D7000000}"/>
    <cellStyle name="Porcentaje 3 2" xfId="207" xr:uid="{00000000-0005-0000-0000-0000D8000000}"/>
    <cellStyle name="Porcentaje 4" xfId="208" xr:uid="{00000000-0005-0000-0000-0000D9000000}"/>
    <cellStyle name="Porcentaje 4 2" xfId="209" xr:uid="{00000000-0005-0000-0000-0000DA000000}"/>
    <cellStyle name="Porcentaje 4 2 2" xfId="210" xr:uid="{00000000-0005-0000-0000-0000DB000000}"/>
    <cellStyle name="Porcentaje 4 2 2 2" xfId="211" xr:uid="{00000000-0005-0000-0000-0000DC000000}"/>
    <cellStyle name="Porcentaje 4 2 2 3" xfId="212" xr:uid="{00000000-0005-0000-0000-0000DD000000}"/>
    <cellStyle name="Porcentaje 4 2 2 4" xfId="213" xr:uid="{00000000-0005-0000-0000-0000DE000000}"/>
    <cellStyle name="Porcentaje 4 2 3" xfId="214" xr:uid="{00000000-0005-0000-0000-0000DF000000}"/>
    <cellStyle name="Porcentaje 4 2 4" xfId="215" xr:uid="{00000000-0005-0000-0000-0000E0000000}"/>
    <cellStyle name="Porcentaje 4 3" xfId="216" xr:uid="{00000000-0005-0000-0000-0000E1000000}"/>
    <cellStyle name="Porcentaje 4 4" xfId="217" xr:uid="{00000000-0005-0000-0000-0000E2000000}"/>
    <cellStyle name="Porcentaje 4 5" xfId="218" xr:uid="{00000000-0005-0000-0000-0000E3000000}"/>
    <cellStyle name="Porcentaje 4 6" xfId="219" xr:uid="{00000000-0005-0000-0000-0000E4000000}"/>
    <cellStyle name="Porcentaje 4 7" xfId="220" xr:uid="{00000000-0005-0000-0000-0000E5000000}"/>
    <cellStyle name="Porcentual 2" xfId="221" xr:uid="{00000000-0005-0000-0000-0000E6000000}"/>
    <cellStyle name="Salida" xfId="222" builtinId="21" customBuiltin="1"/>
    <cellStyle name="Style 1 10" xfId="223" xr:uid="{00000000-0005-0000-0000-0000E8000000}"/>
    <cellStyle name="Style 1 12" xfId="224" xr:uid="{00000000-0005-0000-0000-0000E9000000}"/>
    <cellStyle name="TableStyleLight1" xfId="225" xr:uid="{00000000-0005-0000-0000-0000EA000000}"/>
    <cellStyle name="Texto de advertencia" xfId="226" builtinId="11" customBuiltin="1"/>
    <cellStyle name="Texto explicativo" xfId="227" builtinId="53" customBuiltin="1"/>
    <cellStyle name="Título" xfId="228" builtinId="15" customBuiltin="1"/>
    <cellStyle name="Título 2" xfId="230" builtinId="17" customBuiltin="1"/>
    <cellStyle name="Título 3" xfId="231" builtinId="18" customBuiltin="1"/>
    <cellStyle name="Total" xfId="232" builtinId="25" customBuiltin="1"/>
  </cellStyles>
  <dxfs count="7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142874</xdr:colOff>
      <xdr:row>40</xdr:row>
      <xdr:rowOff>91219</xdr:rowOff>
    </xdr:from>
    <xdr:to>
      <xdr:col>19</xdr:col>
      <xdr:colOff>63500</xdr:colOff>
      <xdr:row>46</xdr:row>
      <xdr:rowOff>214312</xdr:rowOff>
    </xdr:to>
    <xdr:pic>
      <xdr:nvPicPr>
        <xdr:cNvPr id="2" name="Imagen 1" descr=" ">
          <a:extLst>
            <a:ext uri="{FF2B5EF4-FFF2-40B4-BE49-F238E27FC236}">
              <a16:creationId xmlns:a16="http://schemas.microsoft.com/office/drawing/2014/main" id="{2A314C76-7DA6-4DF5-B049-12669BC5F2E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14554199" y="11473594"/>
          <a:ext cx="1616076" cy="141849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16</xdr:col>
      <xdr:colOff>142875</xdr:colOff>
      <xdr:row>38</xdr:row>
      <xdr:rowOff>119061</xdr:rowOff>
    </xdr:from>
    <xdr:to>
      <xdr:col>19</xdr:col>
      <xdr:colOff>738187</xdr:colOff>
      <xdr:row>40</xdr:row>
      <xdr:rowOff>138110</xdr:rowOff>
    </xdr:to>
    <xdr:sp macro="" textlink="">
      <xdr:nvSpPr>
        <xdr:cNvPr id="3" name="rect">
          <a:extLst>
            <a:ext uri="{FF2B5EF4-FFF2-40B4-BE49-F238E27FC236}">
              <a16:creationId xmlns:a16="http://schemas.microsoft.com/office/drawing/2014/main" id="{4F751AF3-0AFA-48E3-A80D-6E36B155FD2B}"/>
            </a:ext>
          </a:extLst>
        </xdr:cNvPr>
        <xdr:cNvSpPr/>
      </xdr:nvSpPr>
      <xdr:spPr>
        <a:xfrm>
          <a:off x="13706475" y="10882311"/>
          <a:ext cx="3138487" cy="6381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/>
  </xdr:twoCellAnchor>
  <xdr:twoCellAnchor>
    <xdr:from>
      <xdr:col>35</xdr:col>
      <xdr:colOff>622587</xdr:colOff>
      <xdr:row>45</xdr:row>
      <xdr:rowOff>112774</xdr:rowOff>
    </xdr:from>
    <xdr:to>
      <xdr:col>37</xdr:col>
      <xdr:colOff>460374</xdr:colOff>
      <xdr:row>50</xdr:row>
      <xdr:rowOff>158750</xdr:rowOff>
    </xdr:to>
    <xdr:pic>
      <xdr:nvPicPr>
        <xdr:cNvPr id="4" name="9 Imagen" descr=" ">
          <a:extLst>
            <a:ext uri="{FF2B5EF4-FFF2-40B4-BE49-F238E27FC236}">
              <a16:creationId xmlns:a16="http://schemas.microsoft.com/office/drawing/2014/main" id="{BD16D670-E7DC-465F-B047-0A2670482A4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0292962" y="12590524"/>
          <a:ext cx="1533237" cy="136042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85</xdr:col>
      <xdr:colOff>390072</xdr:colOff>
      <xdr:row>16</xdr:row>
      <xdr:rowOff>158750</xdr:rowOff>
    </xdr:from>
    <xdr:to>
      <xdr:col>87</xdr:col>
      <xdr:colOff>71810</xdr:colOff>
      <xdr:row>21</xdr:row>
      <xdr:rowOff>158750</xdr:rowOff>
    </xdr:to>
    <xdr:pic>
      <xdr:nvPicPr>
        <xdr:cNvPr id="5" name="9 Imagen" descr=" ">
          <a:extLst>
            <a:ext uri="{FF2B5EF4-FFF2-40B4-BE49-F238E27FC236}">
              <a16:creationId xmlns:a16="http://schemas.microsoft.com/office/drawing/2014/main" id="{908CC0C8-E7CD-40A1-9A1E-B59DA477F28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2446697" y="5178425"/>
          <a:ext cx="1377188" cy="13430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35</xdr:col>
      <xdr:colOff>294822</xdr:colOff>
      <xdr:row>42</xdr:row>
      <xdr:rowOff>154214</xdr:rowOff>
    </xdr:from>
    <xdr:to>
      <xdr:col>38</xdr:col>
      <xdr:colOff>202973</xdr:colOff>
      <xdr:row>45</xdr:row>
      <xdr:rowOff>66368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92F584A7-487A-42B5-98A9-0F995022D2DF}"/>
            </a:ext>
          </a:extLst>
        </xdr:cNvPr>
        <xdr:cNvSpPr/>
      </xdr:nvSpPr>
      <xdr:spPr>
        <a:xfrm>
          <a:off x="29965197" y="12031889"/>
          <a:ext cx="2451326" cy="51222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84</xdr:col>
      <xdr:colOff>621393</xdr:colOff>
      <xdr:row>14</xdr:row>
      <xdr:rowOff>145143</xdr:rowOff>
    </xdr:from>
    <xdr:to>
      <xdr:col>87</xdr:col>
      <xdr:colOff>529545</xdr:colOff>
      <xdr:row>15</xdr:row>
      <xdr:rowOff>293154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1DD1E9F7-BCC2-4ED5-89AA-49AB41C53845}"/>
            </a:ext>
          </a:extLst>
        </xdr:cNvPr>
        <xdr:cNvSpPr/>
      </xdr:nvSpPr>
      <xdr:spPr>
        <a:xfrm>
          <a:off x="71830293" y="4602843"/>
          <a:ext cx="2451327" cy="40518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26</xdr:col>
      <xdr:colOff>476250</xdr:colOff>
      <xdr:row>22</xdr:row>
      <xdr:rowOff>190500</xdr:rowOff>
    </xdr:from>
    <xdr:to>
      <xdr:col>29</xdr:col>
      <xdr:colOff>857250</xdr:colOff>
      <xdr:row>23</xdr:row>
      <xdr:rowOff>254000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100EE857-D5A8-4F45-A982-7C2FB05AFAE0}"/>
            </a:ext>
          </a:extLst>
        </xdr:cNvPr>
        <xdr:cNvCxnSpPr/>
      </xdr:nvCxnSpPr>
      <xdr:spPr>
        <a:xfrm>
          <a:off x="22517100" y="6753225"/>
          <a:ext cx="2914650" cy="358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825500</xdr:colOff>
      <xdr:row>20</xdr:row>
      <xdr:rowOff>0</xdr:rowOff>
    </xdr:from>
    <xdr:to>
      <xdr:col>32</xdr:col>
      <xdr:colOff>0</xdr:colOff>
      <xdr:row>35</xdr:row>
      <xdr:rowOff>127000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817BD9D0-A767-4F01-A346-E2C3F43F31F7}"/>
            </a:ext>
          </a:extLst>
        </xdr:cNvPr>
        <xdr:cNvCxnSpPr/>
      </xdr:nvCxnSpPr>
      <xdr:spPr>
        <a:xfrm>
          <a:off x="23714075" y="6134100"/>
          <a:ext cx="3413125" cy="4022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158750</xdr:colOff>
      <xdr:row>23</xdr:row>
      <xdr:rowOff>190500</xdr:rowOff>
    </xdr:from>
    <xdr:to>
      <xdr:col>30</xdr:col>
      <xdr:colOff>825500</xdr:colOff>
      <xdr:row>36</xdr:row>
      <xdr:rowOff>190500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C91FE608-17A3-4556-AF6D-4EA8B3DD7F88}"/>
            </a:ext>
          </a:extLst>
        </xdr:cNvPr>
        <xdr:cNvCxnSpPr/>
      </xdr:nvCxnSpPr>
      <xdr:spPr>
        <a:xfrm>
          <a:off x="22199600" y="7048500"/>
          <a:ext cx="4057650" cy="3467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571500</xdr:colOff>
      <xdr:row>18</xdr:row>
      <xdr:rowOff>222250</xdr:rowOff>
    </xdr:from>
    <xdr:to>
      <xdr:col>40</xdr:col>
      <xdr:colOff>825500</xdr:colOff>
      <xdr:row>36</xdr:row>
      <xdr:rowOff>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B67E1F27-2D73-4F7A-8A10-06F39F00AC5F}"/>
            </a:ext>
          </a:extLst>
        </xdr:cNvPr>
        <xdr:cNvCxnSpPr/>
      </xdr:nvCxnSpPr>
      <xdr:spPr>
        <a:xfrm>
          <a:off x="22612350" y="5765800"/>
          <a:ext cx="12122150" cy="4559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476250</xdr:colOff>
      <xdr:row>26</xdr:row>
      <xdr:rowOff>0</xdr:rowOff>
    </xdr:from>
    <xdr:to>
      <xdr:col>41</xdr:col>
      <xdr:colOff>476250</xdr:colOff>
      <xdr:row>39</xdr:row>
      <xdr:rowOff>0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13BACFCD-D545-4A5D-9628-632191D2721B}"/>
            </a:ext>
          </a:extLst>
        </xdr:cNvPr>
        <xdr:cNvCxnSpPr/>
      </xdr:nvCxnSpPr>
      <xdr:spPr>
        <a:xfrm>
          <a:off x="22517100" y="7753350"/>
          <a:ext cx="12715875" cy="3305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857250</xdr:colOff>
      <xdr:row>22</xdr:row>
      <xdr:rowOff>127000</xdr:rowOff>
    </xdr:from>
    <xdr:to>
      <xdr:col>43</xdr:col>
      <xdr:colOff>857250</xdr:colOff>
      <xdr:row>36</xdr:row>
      <xdr:rowOff>63500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D32163E4-0881-4782-BCFC-6A58FF6B9409}"/>
            </a:ext>
          </a:extLst>
        </xdr:cNvPr>
        <xdr:cNvCxnSpPr/>
      </xdr:nvCxnSpPr>
      <xdr:spPr>
        <a:xfrm>
          <a:off x="23736300" y="6689725"/>
          <a:ext cx="13563600" cy="3698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357188</xdr:colOff>
      <xdr:row>17</xdr:row>
      <xdr:rowOff>71438</xdr:rowOff>
    </xdr:from>
    <xdr:to>
      <xdr:col>84</xdr:col>
      <xdr:colOff>1051314</xdr:colOff>
      <xdr:row>19</xdr:row>
      <xdr:rowOff>46148</xdr:rowOff>
    </xdr:to>
    <xdr:sp macro="" textlink="">
      <xdr:nvSpPr>
        <xdr:cNvPr id="14" name="rect">
          <a:extLst>
            <a:ext uri="{FF2B5EF4-FFF2-40B4-BE49-F238E27FC236}">
              <a16:creationId xmlns:a16="http://schemas.microsoft.com/office/drawing/2014/main" id="{90C2940B-2060-471D-A0A2-5BDFCEAE0D73}"/>
            </a:ext>
          </a:extLst>
        </xdr:cNvPr>
        <xdr:cNvSpPr/>
      </xdr:nvSpPr>
      <xdr:spPr>
        <a:xfrm>
          <a:off x="70718363" y="5319713"/>
          <a:ext cx="1341826" cy="5652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142874</xdr:colOff>
      <xdr:row>40</xdr:row>
      <xdr:rowOff>91219</xdr:rowOff>
    </xdr:from>
    <xdr:to>
      <xdr:col>19</xdr:col>
      <xdr:colOff>63500</xdr:colOff>
      <xdr:row>46</xdr:row>
      <xdr:rowOff>214312</xdr:rowOff>
    </xdr:to>
    <xdr:pic>
      <xdr:nvPicPr>
        <xdr:cNvPr id="2" name="Imagen 1" descr=" ">
          <a:extLst>
            <a:ext uri="{FF2B5EF4-FFF2-40B4-BE49-F238E27FC236}">
              <a16:creationId xmlns:a16="http://schemas.microsoft.com/office/drawing/2014/main" id="{D0010939-0520-4106-B426-E7B6928060B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14554199" y="11473594"/>
          <a:ext cx="1616076" cy="141849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16</xdr:col>
      <xdr:colOff>142875</xdr:colOff>
      <xdr:row>38</xdr:row>
      <xdr:rowOff>119061</xdr:rowOff>
    </xdr:from>
    <xdr:to>
      <xdr:col>19</xdr:col>
      <xdr:colOff>738187</xdr:colOff>
      <xdr:row>40</xdr:row>
      <xdr:rowOff>138110</xdr:rowOff>
    </xdr:to>
    <xdr:sp macro="" textlink="">
      <xdr:nvSpPr>
        <xdr:cNvPr id="3" name="rect">
          <a:extLst>
            <a:ext uri="{FF2B5EF4-FFF2-40B4-BE49-F238E27FC236}">
              <a16:creationId xmlns:a16="http://schemas.microsoft.com/office/drawing/2014/main" id="{C9BD11EA-1C41-4DFE-8EFF-B5BC7BBEA0B8}"/>
            </a:ext>
          </a:extLst>
        </xdr:cNvPr>
        <xdr:cNvSpPr/>
      </xdr:nvSpPr>
      <xdr:spPr>
        <a:xfrm>
          <a:off x="13706475" y="10882311"/>
          <a:ext cx="3138487" cy="6381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/>
  </xdr:twoCellAnchor>
  <xdr:twoCellAnchor>
    <xdr:from>
      <xdr:col>35</xdr:col>
      <xdr:colOff>622587</xdr:colOff>
      <xdr:row>45</xdr:row>
      <xdr:rowOff>112774</xdr:rowOff>
    </xdr:from>
    <xdr:to>
      <xdr:col>37</xdr:col>
      <xdr:colOff>460374</xdr:colOff>
      <xdr:row>50</xdr:row>
      <xdr:rowOff>158750</xdr:rowOff>
    </xdr:to>
    <xdr:pic>
      <xdr:nvPicPr>
        <xdr:cNvPr id="4" name="9 Imagen" descr=" ">
          <a:extLst>
            <a:ext uri="{FF2B5EF4-FFF2-40B4-BE49-F238E27FC236}">
              <a16:creationId xmlns:a16="http://schemas.microsoft.com/office/drawing/2014/main" id="{92CF8157-6979-45FB-8C5C-B7A64A663A3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0292962" y="12590524"/>
          <a:ext cx="1533237" cy="136042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85</xdr:col>
      <xdr:colOff>390072</xdr:colOff>
      <xdr:row>16</xdr:row>
      <xdr:rowOff>158750</xdr:rowOff>
    </xdr:from>
    <xdr:to>
      <xdr:col>87</xdr:col>
      <xdr:colOff>71810</xdr:colOff>
      <xdr:row>21</xdr:row>
      <xdr:rowOff>158750</xdr:rowOff>
    </xdr:to>
    <xdr:pic>
      <xdr:nvPicPr>
        <xdr:cNvPr id="5" name="9 Imagen" descr=" ">
          <a:extLst>
            <a:ext uri="{FF2B5EF4-FFF2-40B4-BE49-F238E27FC236}">
              <a16:creationId xmlns:a16="http://schemas.microsoft.com/office/drawing/2014/main" id="{F985FF61-F222-46DB-A2D0-42447AF64B1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2446697" y="5178425"/>
          <a:ext cx="1377188" cy="13430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35</xdr:col>
      <xdr:colOff>294822</xdr:colOff>
      <xdr:row>42</xdr:row>
      <xdr:rowOff>154214</xdr:rowOff>
    </xdr:from>
    <xdr:to>
      <xdr:col>38</xdr:col>
      <xdr:colOff>202973</xdr:colOff>
      <xdr:row>45</xdr:row>
      <xdr:rowOff>66368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6CBA101D-1D0D-4036-B01B-5381D57B0D21}"/>
            </a:ext>
          </a:extLst>
        </xdr:cNvPr>
        <xdr:cNvSpPr/>
      </xdr:nvSpPr>
      <xdr:spPr>
        <a:xfrm>
          <a:off x="29965197" y="12031889"/>
          <a:ext cx="2451326" cy="51222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84</xdr:col>
      <xdr:colOff>621393</xdr:colOff>
      <xdr:row>14</xdr:row>
      <xdr:rowOff>145143</xdr:rowOff>
    </xdr:from>
    <xdr:to>
      <xdr:col>87</xdr:col>
      <xdr:colOff>529545</xdr:colOff>
      <xdr:row>15</xdr:row>
      <xdr:rowOff>293154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D8A33D92-7380-405B-AF18-DB15554DFF5B}"/>
            </a:ext>
          </a:extLst>
        </xdr:cNvPr>
        <xdr:cNvSpPr/>
      </xdr:nvSpPr>
      <xdr:spPr>
        <a:xfrm>
          <a:off x="71830293" y="4602843"/>
          <a:ext cx="2451327" cy="40518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26</xdr:col>
      <xdr:colOff>476250</xdr:colOff>
      <xdr:row>22</xdr:row>
      <xdr:rowOff>190500</xdr:rowOff>
    </xdr:from>
    <xdr:to>
      <xdr:col>29</xdr:col>
      <xdr:colOff>857250</xdr:colOff>
      <xdr:row>23</xdr:row>
      <xdr:rowOff>254000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955A24D2-7E23-4F6E-BD3A-66A821EFEB1D}"/>
            </a:ext>
          </a:extLst>
        </xdr:cNvPr>
        <xdr:cNvCxnSpPr/>
      </xdr:nvCxnSpPr>
      <xdr:spPr>
        <a:xfrm>
          <a:off x="22517100" y="6753225"/>
          <a:ext cx="2914650" cy="358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825500</xdr:colOff>
      <xdr:row>20</xdr:row>
      <xdr:rowOff>0</xdr:rowOff>
    </xdr:from>
    <xdr:to>
      <xdr:col>32</xdr:col>
      <xdr:colOff>0</xdr:colOff>
      <xdr:row>35</xdr:row>
      <xdr:rowOff>127000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BC29FFAB-0ACD-4C7C-90D8-67281E3C878D}"/>
            </a:ext>
          </a:extLst>
        </xdr:cNvPr>
        <xdr:cNvCxnSpPr/>
      </xdr:nvCxnSpPr>
      <xdr:spPr>
        <a:xfrm>
          <a:off x="23714075" y="6134100"/>
          <a:ext cx="3413125" cy="4022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158750</xdr:colOff>
      <xdr:row>23</xdr:row>
      <xdr:rowOff>190500</xdr:rowOff>
    </xdr:from>
    <xdr:to>
      <xdr:col>30</xdr:col>
      <xdr:colOff>825500</xdr:colOff>
      <xdr:row>36</xdr:row>
      <xdr:rowOff>190500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58A35127-20B3-4078-99E1-CF52C6404704}"/>
            </a:ext>
          </a:extLst>
        </xdr:cNvPr>
        <xdr:cNvCxnSpPr/>
      </xdr:nvCxnSpPr>
      <xdr:spPr>
        <a:xfrm>
          <a:off x="22199600" y="7048500"/>
          <a:ext cx="4057650" cy="3467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571500</xdr:colOff>
      <xdr:row>18</xdr:row>
      <xdr:rowOff>222250</xdr:rowOff>
    </xdr:from>
    <xdr:to>
      <xdr:col>40</xdr:col>
      <xdr:colOff>825500</xdr:colOff>
      <xdr:row>36</xdr:row>
      <xdr:rowOff>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FA86C33E-6281-4C4A-82AA-1B0D0E495B6D}"/>
            </a:ext>
          </a:extLst>
        </xdr:cNvPr>
        <xdr:cNvCxnSpPr/>
      </xdr:nvCxnSpPr>
      <xdr:spPr>
        <a:xfrm>
          <a:off x="22612350" y="5765800"/>
          <a:ext cx="12122150" cy="4559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476250</xdr:colOff>
      <xdr:row>26</xdr:row>
      <xdr:rowOff>0</xdr:rowOff>
    </xdr:from>
    <xdr:to>
      <xdr:col>41</xdr:col>
      <xdr:colOff>476250</xdr:colOff>
      <xdr:row>39</xdr:row>
      <xdr:rowOff>0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0AAB2D9A-69C9-45FA-A19B-F00FB4B52257}"/>
            </a:ext>
          </a:extLst>
        </xdr:cNvPr>
        <xdr:cNvCxnSpPr/>
      </xdr:nvCxnSpPr>
      <xdr:spPr>
        <a:xfrm>
          <a:off x="22517100" y="7753350"/>
          <a:ext cx="12715875" cy="3305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857250</xdr:colOff>
      <xdr:row>22</xdr:row>
      <xdr:rowOff>127000</xdr:rowOff>
    </xdr:from>
    <xdr:to>
      <xdr:col>43</xdr:col>
      <xdr:colOff>857250</xdr:colOff>
      <xdr:row>36</xdr:row>
      <xdr:rowOff>63500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C2A35CC4-4B10-486D-822D-F3BEFE2E8376}"/>
            </a:ext>
          </a:extLst>
        </xdr:cNvPr>
        <xdr:cNvCxnSpPr/>
      </xdr:nvCxnSpPr>
      <xdr:spPr>
        <a:xfrm>
          <a:off x="23736300" y="6689725"/>
          <a:ext cx="13563600" cy="3698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357188</xdr:colOff>
      <xdr:row>17</xdr:row>
      <xdr:rowOff>71438</xdr:rowOff>
    </xdr:from>
    <xdr:to>
      <xdr:col>84</xdr:col>
      <xdr:colOff>1051314</xdr:colOff>
      <xdr:row>19</xdr:row>
      <xdr:rowOff>46148</xdr:rowOff>
    </xdr:to>
    <xdr:sp macro="" textlink="">
      <xdr:nvSpPr>
        <xdr:cNvPr id="14" name="rect">
          <a:extLst>
            <a:ext uri="{FF2B5EF4-FFF2-40B4-BE49-F238E27FC236}">
              <a16:creationId xmlns:a16="http://schemas.microsoft.com/office/drawing/2014/main" id="{C6C7C8A8-6ACB-44E7-B17E-D86EEF5B2B90}"/>
            </a:ext>
          </a:extLst>
        </xdr:cNvPr>
        <xdr:cNvSpPr/>
      </xdr:nvSpPr>
      <xdr:spPr>
        <a:xfrm>
          <a:off x="70718363" y="5319713"/>
          <a:ext cx="1341826" cy="5652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142874</xdr:colOff>
      <xdr:row>40</xdr:row>
      <xdr:rowOff>91219</xdr:rowOff>
    </xdr:from>
    <xdr:to>
      <xdr:col>19</xdr:col>
      <xdr:colOff>63500</xdr:colOff>
      <xdr:row>46</xdr:row>
      <xdr:rowOff>214312</xdr:rowOff>
    </xdr:to>
    <xdr:pic>
      <xdr:nvPicPr>
        <xdr:cNvPr id="2" name="Imagen 1" descr=" ">
          <a:extLst>
            <a:ext uri="{FF2B5EF4-FFF2-40B4-BE49-F238E27FC236}">
              <a16:creationId xmlns:a16="http://schemas.microsoft.com/office/drawing/2014/main" id="{E8F19506-0A89-4F1E-AAF5-3EA3CED7DAF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14554199" y="11473594"/>
          <a:ext cx="1616076" cy="141849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16</xdr:col>
      <xdr:colOff>142875</xdr:colOff>
      <xdr:row>38</xdr:row>
      <xdr:rowOff>119061</xdr:rowOff>
    </xdr:from>
    <xdr:to>
      <xdr:col>19</xdr:col>
      <xdr:colOff>738187</xdr:colOff>
      <xdr:row>40</xdr:row>
      <xdr:rowOff>138110</xdr:rowOff>
    </xdr:to>
    <xdr:sp macro="" textlink="">
      <xdr:nvSpPr>
        <xdr:cNvPr id="3" name="rect">
          <a:extLst>
            <a:ext uri="{FF2B5EF4-FFF2-40B4-BE49-F238E27FC236}">
              <a16:creationId xmlns:a16="http://schemas.microsoft.com/office/drawing/2014/main" id="{8E965BFD-48D1-4301-AA82-2B637A9EB7CA}"/>
            </a:ext>
          </a:extLst>
        </xdr:cNvPr>
        <xdr:cNvSpPr/>
      </xdr:nvSpPr>
      <xdr:spPr>
        <a:xfrm>
          <a:off x="13706475" y="10882311"/>
          <a:ext cx="3138487" cy="6381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/>
  </xdr:twoCellAnchor>
  <xdr:twoCellAnchor>
    <xdr:from>
      <xdr:col>35</xdr:col>
      <xdr:colOff>622587</xdr:colOff>
      <xdr:row>45</xdr:row>
      <xdr:rowOff>112774</xdr:rowOff>
    </xdr:from>
    <xdr:to>
      <xdr:col>37</xdr:col>
      <xdr:colOff>460374</xdr:colOff>
      <xdr:row>50</xdr:row>
      <xdr:rowOff>158750</xdr:rowOff>
    </xdr:to>
    <xdr:pic>
      <xdr:nvPicPr>
        <xdr:cNvPr id="4" name="9 Imagen" descr=" ">
          <a:extLst>
            <a:ext uri="{FF2B5EF4-FFF2-40B4-BE49-F238E27FC236}">
              <a16:creationId xmlns:a16="http://schemas.microsoft.com/office/drawing/2014/main" id="{0BE0C94E-B25F-4048-B8E5-00552C3AE71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0292962" y="12590524"/>
          <a:ext cx="1533237" cy="136042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85</xdr:col>
      <xdr:colOff>390072</xdr:colOff>
      <xdr:row>16</xdr:row>
      <xdr:rowOff>158750</xdr:rowOff>
    </xdr:from>
    <xdr:to>
      <xdr:col>87</xdr:col>
      <xdr:colOff>71810</xdr:colOff>
      <xdr:row>21</xdr:row>
      <xdr:rowOff>158750</xdr:rowOff>
    </xdr:to>
    <xdr:pic>
      <xdr:nvPicPr>
        <xdr:cNvPr id="5" name="9 Imagen" descr=" ">
          <a:extLst>
            <a:ext uri="{FF2B5EF4-FFF2-40B4-BE49-F238E27FC236}">
              <a16:creationId xmlns:a16="http://schemas.microsoft.com/office/drawing/2014/main" id="{216F89E6-CA47-4991-9E75-92C1C95DD08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2446697" y="5178425"/>
          <a:ext cx="1377188" cy="13430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35</xdr:col>
      <xdr:colOff>294822</xdr:colOff>
      <xdr:row>42</xdr:row>
      <xdr:rowOff>154214</xdr:rowOff>
    </xdr:from>
    <xdr:to>
      <xdr:col>38</xdr:col>
      <xdr:colOff>202973</xdr:colOff>
      <xdr:row>45</xdr:row>
      <xdr:rowOff>66368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89F39557-B20E-42A1-9BC5-4A4AB85FB573}"/>
            </a:ext>
          </a:extLst>
        </xdr:cNvPr>
        <xdr:cNvSpPr/>
      </xdr:nvSpPr>
      <xdr:spPr>
        <a:xfrm>
          <a:off x="29965197" y="12031889"/>
          <a:ext cx="2451326" cy="51222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84</xdr:col>
      <xdr:colOff>621393</xdr:colOff>
      <xdr:row>14</xdr:row>
      <xdr:rowOff>145143</xdr:rowOff>
    </xdr:from>
    <xdr:to>
      <xdr:col>87</xdr:col>
      <xdr:colOff>529545</xdr:colOff>
      <xdr:row>15</xdr:row>
      <xdr:rowOff>293154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F22562B1-0AF8-4620-AE4F-382245F6C091}"/>
            </a:ext>
          </a:extLst>
        </xdr:cNvPr>
        <xdr:cNvSpPr/>
      </xdr:nvSpPr>
      <xdr:spPr>
        <a:xfrm>
          <a:off x="71830293" y="4602843"/>
          <a:ext cx="2451327" cy="40518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26</xdr:col>
      <xdr:colOff>476250</xdr:colOff>
      <xdr:row>22</xdr:row>
      <xdr:rowOff>190500</xdr:rowOff>
    </xdr:from>
    <xdr:to>
      <xdr:col>29</xdr:col>
      <xdr:colOff>857250</xdr:colOff>
      <xdr:row>23</xdr:row>
      <xdr:rowOff>254000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2F8E4C12-C71A-4DAE-A987-349D62C4D4F9}"/>
            </a:ext>
          </a:extLst>
        </xdr:cNvPr>
        <xdr:cNvCxnSpPr/>
      </xdr:nvCxnSpPr>
      <xdr:spPr>
        <a:xfrm>
          <a:off x="22517100" y="6753225"/>
          <a:ext cx="2914650" cy="358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825500</xdr:colOff>
      <xdr:row>20</xdr:row>
      <xdr:rowOff>0</xdr:rowOff>
    </xdr:from>
    <xdr:to>
      <xdr:col>32</xdr:col>
      <xdr:colOff>0</xdr:colOff>
      <xdr:row>35</xdr:row>
      <xdr:rowOff>127000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1829CD66-0329-492A-9AE0-265B15DBF36E}"/>
            </a:ext>
          </a:extLst>
        </xdr:cNvPr>
        <xdr:cNvCxnSpPr/>
      </xdr:nvCxnSpPr>
      <xdr:spPr>
        <a:xfrm>
          <a:off x="23714075" y="6134100"/>
          <a:ext cx="3413125" cy="4022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158750</xdr:colOff>
      <xdr:row>23</xdr:row>
      <xdr:rowOff>190500</xdr:rowOff>
    </xdr:from>
    <xdr:to>
      <xdr:col>30</xdr:col>
      <xdr:colOff>825500</xdr:colOff>
      <xdr:row>36</xdr:row>
      <xdr:rowOff>190500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8FEF9AE8-6EFC-4B54-A541-AFFE32EC75C7}"/>
            </a:ext>
          </a:extLst>
        </xdr:cNvPr>
        <xdr:cNvCxnSpPr/>
      </xdr:nvCxnSpPr>
      <xdr:spPr>
        <a:xfrm>
          <a:off x="22199600" y="7048500"/>
          <a:ext cx="4057650" cy="3467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571500</xdr:colOff>
      <xdr:row>18</xdr:row>
      <xdr:rowOff>222250</xdr:rowOff>
    </xdr:from>
    <xdr:to>
      <xdr:col>40</xdr:col>
      <xdr:colOff>825500</xdr:colOff>
      <xdr:row>36</xdr:row>
      <xdr:rowOff>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6FCB29F9-1CCD-475D-BB2A-CD26D016F348}"/>
            </a:ext>
          </a:extLst>
        </xdr:cNvPr>
        <xdr:cNvCxnSpPr/>
      </xdr:nvCxnSpPr>
      <xdr:spPr>
        <a:xfrm>
          <a:off x="22612350" y="5765800"/>
          <a:ext cx="12122150" cy="4559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476250</xdr:colOff>
      <xdr:row>26</xdr:row>
      <xdr:rowOff>0</xdr:rowOff>
    </xdr:from>
    <xdr:to>
      <xdr:col>41</xdr:col>
      <xdr:colOff>476250</xdr:colOff>
      <xdr:row>39</xdr:row>
      <xdr:rowOff>0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4A2ECB0B-DE8C-4742-B24D-0F5BDE2D23B3}"/>
            </a:ext>
          </a:extLst>
        </xdr:cNvPr>
        <xdr:cNvCxnSpPr/>
      </xdr:nvCxnSpPr>
      <xdr:spPr>
        <a:xfrm>
          <a:off x="22517100" y="7753350"/>
          <a:ext cx="12715875" cy="3305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857250</xdr:colOff>
      <xdr:row>22</xdr:row>
      <xdr:rowOff>127000</xdr:rowOff>
    </xdr:from>
    <xdr:to>
      <xdr:col>43</xdr:col>
      <xdr:colOff>857250</xdr:colOff>
      <xdr:row>36</xdr:row>
      <xdr:rowOff>63500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210FEF08-60BF-4FA1-A368-55592F27AD93}"/>
            </a:ext>
          </a:extLst>
        </xdr:cNvPr>
        <xdr:cNvCxnSpPr/>
      </xdr:nvCxnSpPr>
      <xdr:spPr>
        <a:xfrm>
          <a:off x="23736300" y="6689725"/>
          <a:ext cx="13563600" cy="3698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357188</xdr:colOff>
      <xdr:row>17</xdr:row>
      <xdr:rowOff>71438</xdr:rowOff>
    </xdr:from>
    <xdr:to>
      <xdr:col>84</xdr:col>
      <xdr:colOff>1051314</xdr:colOff>
      <xdr:row>19</xdr:row>
      <xdr:rowOff>46148</xdr:rowOff>
    </xdr:to>
    <xdr:sp macro="" textlink="">
      <xdr:nvSpPr>
        <xdr:cNvPr id="14" name="rect">
          <a:extLst>
            <a:ext uri="{FF2B5EF4-FFF2-40B4-BE49-F238E27FC236}">
              <a16:creationId xmlns:a16="http://schemas.microsoft.com/office/drawing/2014/main" id="{49897EB6-8552-4D64-8303-53E7ADFA5297}"/>
            </a:ext>
          </a:extLst>
        </xdr:cNvPr>
        <xdr:cNvSpPr/>
      </xdr:nvSpPr>
      <xdr:spPr>
        <a:xfrm>
          <a:off x="70718363" y="5319713"/>
          <a:ext cx="1341826" cy="5652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142874</xdr:colOff>
      <xdr:row>40</xdr:row>
      <xdr:rowOff>91219</xdr:rowOff>
    </xdr:from>
    <xdr:to>
      <xdr:col>19</xdr:col>
      <xdr:colOff>63500</xdr:colOff>
      <xdr:row>46</xdr:row>
      <xdr:rowOff>214312</xdr:rowOff>
    </xdr:to>
    <xdr:pic>
      <xdr:nvPicPr>
        <xdr:cNvPr id="2" name="Imagen 1" descr=" ">
          <a:extLst>
            <a:ext uri="{FF2B5EF4-FFF2-40B4-BE49-F238E27FC236}">
              <a16:creationId xmlns:a16="http://schemas.microsoft.com/office/drawing/2014/main" id="{82C2196D-B7DB-4B4F-87B4-E137BBE1D6F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14554199" y="11473594"/>
          <a:ext cx="1616076" cy="141849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16</xdr:col>
      <xdr:colOff>142875</xdr:colOff>
      <xdr:row>38</xdr:row>
      <xdr:rowOff>119061</xdr:rowOff>
    </xdr:from>
    <xdr:to>
      <xdr:col>19</xdr:col>
      <xdr:colOff>738187</xdr:colOff>
      <xdr:row>40</xdr:row>
      <xdr:rowOff>138110</xdr:rowOff>
    </xdr:to>
    <xdr:sp macro="" textlink="">
      <xdr:nvSpPr>
        <xdr:cNvPr id="3" name="rect">
          <a:extLst>
            <a:ext uri="{FF2B5EF4-FFF2-40B4-BE49-F238E27FC236}">
              <a16:creationId xmlns:a16="http://schemas.microsoft.com/office/drawing/2014/main" id="{B7467738-397B-41B7-865E-28430189B5B4}"/>
            </a:ext>
          </a:extLst>
        </xdr:cNvPr>
        <xdr:cNvSpPr/>
      </xdr:nvSpPr>
      <xdr:spPr>
        <a:xfrm>
          <a:off x="13706475" y="10882311"/>
          <a:ext cx="3138487" cy="63817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/>
  </xdr:twoCellAnchor>
  <xdr:twoCellAnchor>
    <xdr:from>
      <xdr:col>35</xdr:col>
      <xdr:colOff>622587</xdr:colOff>
      <xdr:row>45</xdr:row>
      <xdr:rowOff>112774</xdr:rowOff>
    </xdr:from>
    <xdr:to>
      <xdr:col>37</xdr:col>
      <xdr:colOff>460374</xdr:colOff>
      <xdr:row>50</xdr:row>
      <xdr:rowOff>158750</xdr:rowOff>
    </xdr:to>
    <xdr:pic>
      <xdr:nvPicPr>
        <xdr:cNvPr id="4" name="9 Imagen" descr=" ">
          <a:extLst>
            <a:ext uri="{FF2B5EF4-FFF2-40B4-BE49-F238E27FC236}">
              <a16:creationId xmlns:a16="http://schemas.microsoft.com/office/drawing/2014/main" id="{F64EF45B-9A2E-4D24-927B-F783E9A111F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0292962" y="12590524"/>
          <a:ext cx="1533237" cy="136042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85</xdr:col>
      <xdr:colOff>390072</xdr:colOff>
      <xdr:row>16</xdr:row>
      <xdr:rowOff>158750</xdr:rowOff>
    </xdr:from>
    <xdr:to>
      <xdr:col>87</xdr:col>
      <xdr:colOff>71810</xdr:colOff>
      <xdr:row>21</xdr:row>
      <xdr:rowOff>158750</xdr:rowOff>
    </xdr:to>
    <xdr:pic>
      <xdr:nvPicPr>
        <xdr:cNvPr id="5" name="9 Imagen" descr=" ">
          <a:extLst>
            <a:ext uri="{FF2B5EF4-FFF2-40B4-BE49-F238E27FC236}">
              <a16:creationId xmlns:a16="http://schemas.microsoft.com/office/drawing/2014/main" id="{03CC4A3C-A67F-4BC4-B405-D3CDE18BE65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2446697" y="5178425"/>
          <a:ext cx="1377188" cy="13430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35</xdr:col>
      <xdr:colOff>294822</xdr:colOff>
      <xdr:row>42</xdr:row>
      <xdr:rowOff>154214</xdr:rowOff>
    </xdr:from>
    <xdr:to>
      <xdr:col>38</xdr:col>
      <xdr:colOff>202973</xdr:colOff>
      <xdr:row>45</xdr:row>
      <xdr:rowOff>66368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1249AFE5-920C-499E-8897-3B7963BD2A1D}"/>
            </a:ext>
          </a:extLst>
        </xdr:cNvPr>
        <xdr:cNvSpPr/>
      </xdr:nvSpPr>
      <xdr:spPr>
        <a:xfrm>
          <a:off x="29965197" y="12031889"/>
          <a:ext cx="2451326" cy="51222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84</xdr:col>
      <xdr:colOff>621393</xdr:colOff>
      <xdr:row>14</xdr:row>
      <xdr:rowOff>145143</xdr:rowOff>
    </xdr:from>
    <xdr:to>
      <xdr:col>87</xdr:col>
      <xdr:colOff>529545</xdr:colOff>
      <xdr:row>15</xdr:row>
      <xdr:rowOff>293154</xdr:rowOff>
    </xdr:to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970FA660-9EFA-42C1-9F5B-11A60559C95C}"/>
            </a:ext>
          </a:extLst>
        </xdr:cNvPr>
        <xdr:cNvSpPr/>
      </xdr:nvSpPr>
      <xdr:spPr>
        <a:xfrm>
          <a:off x="71830293" y="4602843"/>
          <a:ext cx="2451327" cy="40518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26</xdr:col>
      <xdr:colOff>476250</xdr:colOff>
      <xdr:row>22</xdr:row>
      <xdr:rowOff>190500</xdr:rowOff>
    </xdr:from>
    <xdr:to>
      <xdr:col>29</xdr:col>
      <xdr:colOff>857250</xdr:colOff>
      <xdr:row>23</xdr:row>
      <xdr:rowOff>254000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B9800CD9-FD4B-49E0-BD4C-5722B09AD579}"/>
            </a:ext>
          </a:extLst>
        </xdr:cNvPr>
        <xdr:cNvCxnSpPr/>
      </xdr:nvCxnSpPr>
      <xdr:spPr>
        <a:xfrm>
          <a:off x="22517100" y="6753225"/>
          <a:ext cx="2914650" cy="358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825500</xdr:colOff>
      <xdr:row>20</xdr:row>
      <xdr:rowOff>0</xdr:rowOff>
    </xdr:from>
    <xdr:to>
      <xdr:col>32</xdr:col>
      <xdr:colOff>0</xdr:colOff>
      <xdr:row>35</xdr:row>
      <xdr:rowOff>127000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EC2CAB23-F17F-4DAA-8864-64F5B057FEEB}"/>
            </a:ext>
          </a:extLst>
        </xdr:cNvPr>
        <xdr:cNvCxnSpPr/>
      </xdr:nvCxnSpPr>
      <xdr:spPr>
        <a:xfrm>
          <a:off x="23714075" y="6134100"/>
          <a:ext cx="3413125" cy="4022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158750</xdr:colOff>
      <xdr:row>23</xdr:row>
      <xdr:rowOff>190500</xdr:rowOff>
    </xdr:from>
    <xdr:to>
      <xdr:col>30</xdr:col>
      <xdr:colOff>825500</xdr:colOff>
      <xdr:row>36</xdr:row>
      <xdr:rowOff>190500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3DB67D79-C048-48F8-8AE7-BDE9DB5E16FA}"/>
            </a:ext>
          </a:extLst>
        </xdr:cNvPr>
        <xdr:cNvCxnSpPr/>
      </xdr:nvCxnSpPr>
      <xdr:spPr>
        <a:xfrm>
          <a:off x="22199600" y="7048500"/>
          <a:ext cx="4057650" cy="3467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571500</xdr:colOff>
      <xdr:row>18</xdr:row>
      <xdr:rowOff>222250</xdr:rowOff>
    </xdr:from>
    <xdr:to>
      <xdr:col>40</xdr:col>
      <xdr:colOff>825500</xdr:colOff>
      <xdr:row>36</xdr:row>
      <xdr:rowOff>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AD3CC30D-60C4-48D7-A4DD-715D3D1BC889}"/>
            </a:ext>
          </a:extLst>
        </xdr:cNvPr>
        <xdr:cNvCxnSpPr/>
      </xdr:nvCxnSpPr>
      <xdr:spPr>
        <a:xfrm>
          <a:off x="22612350" y="5765800"/>
          <a:ext cx="12122150" cy="4559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476250</xdr:colOff>
      <xdr:row>26</xdr:row>
      <xdr:rowOff>0</xdr:rowOff>
    </xdr:from>
    <xdr:to>
      <xdr:col>41</xdr:col>
      <xdr:colOff>476250</xdr:colOff>
      <xdr:row>39</xdr:row>
      <xdr:rowOff>0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45A69301-2434-4363-8E73-9C546889D33E}"/>
            </a:ext>
          </a:extLst>
        </xdr:cNvPr>
        <xdr:cNvCxnSpPr/>
      </xdr:nvCxnSpPr>
      <xdr:spPr>
        <a:xfrm>
          <a:off x="22517100" y="7753350"/>
          <a:ext cx="12715875" cy="3305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857250</xdr:colOff>
      <xdr:row>22</xdr:row>
      <xdr:rowOff>127000</xdr:rowOff>
    </xdr:from>
    <xdr:to>
      <xdr:col>43</xdr:col>
      <xdr:colOff>857250</xdr:colOff>
      <xdr:row>36</xdr:row>
      <xdr:rowOff>63500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B8C817BA-7102-445C-99C9-7AA76928F6EA}"/>
            </a:ext>
          </a:extLst>
        </xdr:cNvPr>
        <xdr:cNvCxnSpPr/>
      </xdr:nvCxnSpPr>
      <xdr:spPr>
        <a:xfrm>
          <a:off x="23736300" y="6689725"/>
          <a:ext cx="13563600" cy="3698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357188</xdr:colOff>
      <xdr:row>17</xdr:row>
      <xdr:rowOff>71438</xdr:rowOff>
    </xdr:from>
    <xdr:to>
      <xdr:col>84</xdr:col>
      <xdr:colOff>1051314</xdr:colOff>
      <xdr:row>19</xdr:row>
      <xdr:rowOff>46148</xdr:rowOff>
    </xdr:to>
    <xdr:sp macro="" textlink="">
      <xdr:nvSpPr>
        <xdr:cNvPr id="14" name="rect">
          <a:extLst>
            <a:ext uri="{FF2B5EF4-FFF2-40B4-BE49-F238E27FC236}">
              <a16:creationId xmlns:a16="http://schemas.microsoft.com/office/drawing/2014/main" id="{9335656A-B680-4359-89D8-EB92AB4FE39C}"/>
            </a:ext>
          </a:extLst>
        </xdr:cNvPr>
        <xdr:cNvSpPr/>
      </xdr:nvSpPr>
      <xdr:spPr>
        <a:xfrm>
          <a:off x="70718363" y="5319713"/>
          <a:ext cx="1341826" cy="5652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32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1">
    <tabColor theme="1"/>
  </sheetPr>
  <dimension ref="A1:CQ61"/>
  <sheetViews>
    <sheetView tabSelected="1" zoomScale="40" zoomScaleNormal="40" workbookViewId="0">
      <selection sqref="A1:XFD1048576"/>
    </sheetView>
  </sheetViews>
  <sheetFormatPr baseColWidth="10" defaultColWidth="16.7109375" defaultRowHeight="15" x14ac:dyDescent="0.25"/>
  <cols>
    <col min="1" max="92" width="12.7109375" style="566" customWidth="1"/>
    <col min="93" max="16384" width="16.7109375" style="566"/>
  </cols>
  <sheetData>
    <row r="1" spans="1:92" ht="33.75" customHeight="1" x14ac:dyDescent="0.25">
      <c r="A1" s="564" t="s">
        <v>160</v>
      </c>
      <c r="B1" s="565"/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  <c r="O1" s="565"/>
      <c r="P1" s="565"/>
      <c r="Q1" s="565"/>
      <c r="R1" s="565"/>
      <c r="S1" s="565"/>
      <c r="T1" s="565"/>
      <c r="U1" s="565"/>
      <c r="V1" s="565"/>
      <c r="W1" s="565"/>
      <c r="X1" s="565"/>
      <c r="Y1" s="565"/>
      <c r="Z1" s="565"/>
      <c r="AA1" s="565"/>
      <c r="AB1" s="565"/>
      <c r="AC1" s="565"/>
      <c r="AD1" s="565"/>
      <c r="AE1" s="565"/>
      <c r="AF1" s="565"/>
      <c r="AG1" s="565"/>
      <c r="AH1" s="565"/>
      <c r="AI1" s="565"/>
      <c r="AJ1" s="565"/>
      <c r="AK1" s="565"/>
      <c r="AL1" s="565"/>
      <c r="AM1" s="565"/>
      <c r="AN1" s="565"/>
      <c r="AO1" s="565"/>
      <c r="AP1" s="565"/>
      <c r="AQ1" s="565"/>
      <c r="AR1" s="565"/>
      <c r="AS1" s="565"/>
      <c r="AT1" s="565"/>
      <c r="AU1" s="565"/>
      <c r="AV1" s="565"/>
      <c r="AW1" s="565"/>
      <c r="AX1" s="565"/>
      <c r="AY1" s="565"/>
      <c r="AZ1" s="565"/>
      <c r="BA1" s="565"/>
      <c r="BB1" s="565"/>
      <c r="BC1" s="565"/>
      <c r="BD1" s="565"/>
      <c r="BE1" s="565"/>
      <c r="BF1" s="565"/>
      <c r="BG1" s="565"/>
      <c r="BH1" s="565"/>
      <c r="BI1" s="565"/>
      <c r="BJ1" s="565"/>
      <c r="BK1" s="565"/>
      <c r="BL1" s="565"/>
      <c r="BM1" s="565"/>
      <c r="BN1" s="565"/>
      <c r="BO1" s="565"/>
      <c r="BP1" s="565"/>
      <c r="BQ1" s="565"/>
      <c r="BR1" s="565"/>
      <c r="BS1" s="565"/>
      <c r="BT1" s="565"/>
      <c r="BU1" s="565"/>
      <c r="BV1" s="565"/>
      <c r="BW1" s="565"/>
      <c r="BX1" s="565"/>
      <c r="BY1" s="565"/>
      <c r="BZ1" s="565"/>
      <c r="CA1" s="565"/>
      <c r="CB1" s="565"/>
      <c r="CC1" s="565"/>
      <c r="CD1" s="565"/>
      <c r="CE1" s="565"/>
      <c r="CF1" s="565"/>
      <c r="CG1" s="565"/>
      <c r="CH1" s="565"/>
      <c r="CI1" s="565"/>
      <c r="CJ1" s="565"/>
      <c r="CK1" s="565"/>
      <c r="CL1" s="565"/>
      <c r="CM1" s="565"/>
      <c r="CN1" s="565"/>
    </row>
    <row r="2" spans="1:92" ht="28.5" customHeight="1" thickBot="1" x14ac:dyDescent="0.3">
      <c r="A2" s="567" t="s">
        <v>161</v>
      </c>
      <c r="B2" s="567"/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7"/>
      <c r="N2" s="567"/>
      <c r="O2" s="567"/>
      <c r="P2" s="567"/>
      <c r="Q2" s="567"/>
      <c r="R2" s="567"/>
      <c r="S2" s="567"/>
      <c r="T2" s="567"/>
      <c r="U2" s="567"/>
      <c r="V2" s="567"/>
      <c r="W2" s="567"/>
      <c r="X2" s="567"/>
      <c r="Y2" s="567"/>
      <c r="Z2" s="567"/>
      <c r="AA2" s="567"/>
      <c r="AB2" s="567"/>
      <c r="AC2" s="567"/>
      <c r="AD2" s="567"/>
      <c r="AE2" s="567"/>
      <c r="AF2" s="567"/>
      <c r="AG2" s="567"/>
      <c r="AH2" s="567"/>
      <c r="AI2" s="567"/>
      <c r="AJ2" s="567"/>
      <c r="AK2" s="567"/>
      <c r="AL2" s="567"/>
      <c r="AM2" s="567"/>
      <c r="AN2" s="567"/>
      <c r="AO2" s="567"/>
      <c r="AP2" s="567"/>
      <c r="AQ2" s="567"/>
      <c r="AR2" s="567"/>
      <c r="AS2" s="567"/>
      <c r="AT2" s="567"/>
      <c r="AU2" s="567"/>
      <c r="AV2" s="567"/>
      <c r="AW2" s="567"/>
      <c r="AX2" s="567"/>
      <c r="AY2" s="567"/>
      <c r="AZ2" s="567"/>
      <c r="BA2" s="567"/>
      <c r="BB2" s="567"/>
      <c r="BC2" s="567"/>
      <c r="BD2" s="567"/>
      <c r="BE2" s="567"/>
      <c r="BF2" s="567"/>
      <c r="BG2" s="567"/>
      <c r="BH2" s="567"/>
      <c r="BI2" s="567"/>
      <c r="BJ2" s="567"/>
      <c r="BK2" s="567"/>
      <c r="BL2" s="567"/>
      <c r="BM2" s="567"/>
      <c r="BN2" s="567"/>
      <c r="BO2" s="567"/>
      <c r="BP2" s="567"/>
      <c r="BQ2" s="567"/>
      <c r="BR2" s="567"/>
      <c r="BS2" s="567"/>
      <c r="BT2" s="567"/>
      <c r="BU2" s="567"/>
      <c r="BV2" s="567"/>
      <c r="BW2" s="567"/>
      <c r="BX2" s="567"/>
      <c r="BY2" s="567"/>
      <c r="BZ2" s="567"/>
      <c r="CA2" s="567"/>
      <c r="CB2" s="567"/>
      <c r="CC2" s="567"/>
      <c r="CD2" s="567"/>
      <c r="CE2" s="567"/>
      <c r="CF2" s="567"/>
      <c r="CG2" s="567"/>
      <c r="CH2" s="567"/>
      <c r="CI2" s="567"/>
      <c r="CJ2" s="567"/>
      <c r="CK2" s="567"/>
      <c r="CL2" s="567"/>
      <c r="CM2" s="567"/>
      <c r="CN2" s="567"/>
    </row>
    <row r="3" spans="1:92" ht="28.5" thickBot="1" x14ac:dyDescent="0.45">
      <c r="A3" s="568"/>
      <c r="B3" s="568"/>
      <c r="C3" s="568"/>
      <c r="D3" s="568"/>
      <c r="E3" s="568"/>
      <c r="F3" s="568"/>
      <c r="G3" s="568"/>
      <c r="H3" s="568"/>
      <c r="I3" s="568"/>
      <c r="J3" s="568"/>
      <c r="K3" s="568"/>
      <c r="L3" s="568"/>
      <c r="M3" s="568"/>
      <c r="N3" s="568"/>
      <c r="O3" s="568"/>
      <c r="P3" s="568"/>
      <c r="Q3" s="568"/>
      <c r="R3" s="569"/>
      <c r="S3" s="570"/>
      <c r="T3" s="570"/>
      <c r="U3" s="571"/>
      <c r="V3" s="571"/>
      <c r="W3" s="571"/>
      <c r="X3" s="571"/>
      <c r="Y3" s="571"/>
      <c r="Z3" s="571"/>
      <c r="AA3" s="570"/>
      <c r="AB3" s="570"/>
      <c r="AC3" s="570"/>
      <c r="AD3" s="570"/>
      <c r="AE3" s="570"/>
      <c r="AF3" s="570"/>
      <c r="AG3" s="570"/>
      <c r="AH3" s="570"/>
      <c r="AI3" s="570"/>
      <c r="AJ3" s="570"/>
      <c r="AK3" s="570"/>
      <c r="AL3" s="570"/>
      <c r="AM3" s="570"/>
      <c r="AN3" s="570"/>
      <c r="AO3" s="570"/>
      <c r="AP3" s="570"/>
      <c r="AQ3" s="570"/>
      <c r="AR3" s="571"/>
      <c r="AS3" s="571"/>
      <c r="AT3" s="571"/>
      <c r="AU3" s="571"/>
      <c r="AV3" s="571"/>
      <c r="AW3" s="572"/>
      <c r="AX3" s="568"/>
      <c r="AY3" s="573"/>
      <c r="AZ3" s="573"/>
      <c r="BA3" s="574" t="s">
        <v>162</v>
      </c>
      <c r="BB3" s="575"/>
      <c r="BC3" s="575"/>
      <c r="BD3" s="576"/>
      <c r="BE3" s="577"/>
      <c r="BF3" s="577"/>
      <c r="BG3" s="578"/>
      <c r="BH3" s="579"/>
      <c r="BI3" s="577"/>
      <c r="BJ3" s="577"/>
      <c r="BK3" s="580"/>
      <c r="BL3" s="580"/>
      <c r="BM3" s="581"/>
      <c r="BN3" s="576"/>
      <c r="BO3" s="577"/>
      <c r="BP3" s="577"/>
      <c r="BQ3" s="577"/>
      <c r="BR3" s="582" t="s">
        <v>163</v>
      </c>
      <c r="BS3" s="583"/>
      <c r="BT3" s="583"/>
      <c r="BU3" s="583"/>
      <c r="BV3" s="583"/>
      <c r="BW3" s="583"/>
      <c r="BX3" s="583"/>
      <c r="BY3" s="583"/>
      <c r="BZ3" s="583"/>
      <c r="CA3" s="583"/>
      <c r="CB3" s="584"/>
      <c r="CC3" s="573"/>
      <c r="CD3" s="573"/>
      <c r="CE3" s="573"/>
      <c r="CF3" s="573"/>
      <c r="CG3" s="573"/>
      <c r="CH3" s="573"/>
      <c r="CI3" s="573"/>
      <c r="CJ3" s="573"/>
      <c r="CK3" s="573"/>
      <c r="CL3" s="573"/>
    </row>
    <row r="4" spans="1:92" ht="27.75" x14ac:dyDescent="0.4">
      <c r="A4" s="568"/>
      <c r="B4" s="568"/>
      <c r="C4" s="568"/>
      <c r="D4" s="568"/>
      <c r="E4" s="568"/>
      <c r="F4" s="568"/>
      <c r="G4" s="568"/>
      <c r="H4" s="568"/>
      <c r="I4" s="568"/>
      <c r="J4" s="568"/>
      <c r="K4" s="568"/>
      <c r="L4" s="568"/>
      <c r="M4" s="568"/>
      <c r="N4" s="568"/>
      <c r="O4" s="568"/>
      <c r="P4" s="568"/>
      <c r="Q4" s="568"/>
      <c r="R4" s="585"/>
      <c r="S4" s="568"/>
      <c r="T4" s="568"/>
      <c r="U4" s="586"/>
      <c r="V4" s="586"/>
      <c r="W4" s="586"/>
      <c r="X4" s="586"/>
      <c r="Y4" s="586"/>
      <c r="Z4" s="586"/>
      <c r="AA4" s="568"/>
      <c r="AB4" s="568"/>
      <c r="AC4" s="568"/>
      <c r="AD4" s="587" t="s">
        <v>164</v>
      </c>
      <c r="AE4" s="587" t="s">
        <v>165</v>
      </c>
      <c r="AF4" s="587" t="s">
        <v>166</v>
      </c>
      <c r="AG4" s="587" t="s">
        <v>167</v>
      </c>
      <c r="AH4" s="587" t="s">
        <v>168</v>
      </c>
      <c r="AI4" s="587" t="s">
        <v>169</v>
      </c>
      <c r="AJ4" s="587" t="s">
        <v>164</v>
      </c>
      <c r="AK4" s="587" t="s">
        <v>168</v>
      </c>
      <c r="AL4" s="587" t="s">
        <v>170</v>
      </c>
      <c r="AM4" s="587" t="s">
        <v>167</v>
      </c>
      <c r="AN4" s="587" t="s">
        <v>165</v>
      </c>
      <c r="AO4" s="587"/>
      <c r="AP4" s="588"/>
      <c r="AQ4" s="588"/>
      <c r="AR4" s="586"/>
      <c r="AS4" s="586"/>
      <c r="AT4" s="586"/>
      <c r="AU4" s="586"/>
      <c r="AV4" s="586"/>
      <c r="AW4" s="589"/>
      <c r="AX4" s="588"/>
      <c r="AY4" s="573"/>
      <c r="AZ4" s="573"/>
      <c r="BA4" s="590"/>
      <c r="BB4" s="586"/>
      <c r="BC4" s="586"/>
      <c r="BD4" s="590"/>
      <c r="BE4" s="586"/>
      <c r="BF4" s="586"/>
      <c r="BG4" s="591"/>
      <c r="BH4" s="573"/>
      <c r="BI4" s="573"/>
      <c r="BJ4" s="573"/>
      <c r="BK4" s="573"/>
      <c r="BL4" s="573"/>
      <c r="BM4" s="592"/>
      <c r="BN4" s="590"/>
      <c r="BO4" s="593" t="s">
        <v>171</v>
      </c>
      <c r="BP4" s="586"/>
      <c r="BQ4" s="586"/>
      <c r="BR4" s="594"/>
      <c r="BS4" s="595"/>
      <c r="BT4" s="595"/>
      <c r="BU4" s="595"/>
      <c r="BV4" s="595"/>
      <c r="BW4" s="595"/>
      <c r="BX4" s="595"/>
      <c r="BY4" s="595"/>
      <c r="BZ4" s="595"/>
      <c r="CA4" s="595"/>
      <c r="CB4" s="596"/>
      <c r="CC4" s="573"/>
      <c r="CD4" s="573"/>
      <c r="CE4" s="573"/>
      <c r="CF4" s="573"/>
      <c r="CG4" s="573"/>
      <c r="CH4" s="573"/>
      <c r="CI4" s="573"/>
      <c r="CJ4" s="573"/>
      <c r="CK4" s="573"/>
      <c r="CL4" s="573"/>
    </row>
    <row r="5" spans="1:92" ht="28.5" thickBot="1" x14ac:dyDescent="0.45">
      <c r="A5" s="597"/>
      <c r="B5" s="568"/>
      <c r="C5" s="568"/>
      <c r="D5" s="568"/>
      <c r="E5" s="568"/>
      <c r="F5" s="568"/>
      <c r="G5" s="568"/>
      <c r="H5" s="568"/>
      <c r="I5" s="568"/>
      <c r="J5" s="568"/>
      <c r="K5" s="568"/>
      <c r="L5" s="568"/>
      <c r="M5" s="568"/>
      <c r="N5" s="568"/>
      <c r="O5" s="568"/>
      <c r="P5" s="568"/>
      <c r="Q5" s="568"/>
      <c r="R5" s="585"/>
      <c r="S5" s="568"/>
      <c r="T5" s="568"/>
      <c r="U5" s="586"/>
      <c r="V5" s="586"/>
      <c r="W5" s="586"/>
      <c r="X5" s="586"/>
      <c r="Y5" s="586"/>
      <c r="Z5" s="586"/>
      <c r="AA5" s="568"/>
      <c r="AB5" s="568"/>
      <c r="AC5" s="568"/>
      <c r="AD5" s="568"/>
      <c r="AE5" s="598"/>
      <c r="AF5" s="598"/>
      <c r="AG5" s="598"/>
      <c r="AH5" s="598"/>
      <c r="AI5" s="568"/>
      <c r="AJ5" s="568"/>
      <c r="AK5" s="568"/>
      <c r="AL5" s="568"/>
      <c r="AM5" s="568"/>
      <c r="AN5" s="568"/>
      <c r="AO5" s="568"/>
      <c r="AP5" s="568"/>
      <c r="AQ5" s="568"/>
      <c r="AR5" s="599"/>
      <c r="AS5" s="600"/>
      <c r="AT5" s="600"/>
      <c r="AU5" s="600"/>
      <c r="AV5" s="601"/>
      <c r="AW5" s="602"/>
      <c r="AX5" s="588"/>
      <c r="AY5" s="573"/>
      <c r="AZ5" s="573"/>
      <c r="BA5" s="590"/>
      <c r="BB5" s="586"/>
      <c r="BC5" s="603" t="s">
        <v>172</v>
      </c>
      <c r="BD5" s="586"/>
      <c r="BE5" s="604" t="s">
        <v>173</v>
      </c>
      <c r="BF5" s="586"/>
      <c r="BG5" s="591"/>
      <c r="BH5" s="573"/>
      <c r="BI5" s="573"/>
      <c r="BJ5" s="573"/>
      <c r="BK5" s="573"/>
      <c r="BL5" s="573"/>
      <c r="BM5" s="586"/>
      <c r="BN5" s="590"/>
      <c r="BO5" s="586"/>
      <c r="BP5" s="586"/>
      <c r="BQ5" s="586"/>
      <c r="BR5" s="594"/>
      <c r="BS5" s="595"/>
      <c r="BT5" s="595"/>
      <c r="BU5" s="595"/>
      <c r="BV5" s="595"/>
      <c r="BW5" s="595"/>
      <c r="BX5" s="595"/>
      <c r="BY5" s="595"/>
      <c r="BZ5" s="595"/>
      <c r="CA5" s="595"/>
      <c r="CB5" s="596"/>
      <c r="CC5" s="573"/>
      <c r="CD5" s="573"/>
      <c r="CE5" s="573"/>
      <c r="CF5" s="573"/>
      <c r="CG5" s="573"/>
      <c r="CH5" s="573"/>
      <c r="CI5" s="573"/>
      <c r="CJ5" s="573"/>
      <c r="CK5" s="573"/>
      <c r="CL5" s="573"/>
    </row>
    <row r="6" spans="1:92" ht="24" thickBot="1" x14ac:dyDescent="0.3">
      <c r="A6" s="605"/>
      <c r="B6" s="606"/>
      <c r="C6" s="606"/>
      <c r="D6" s="606"/>
      <c r="E6" s="606"/>
      <c r="F6" s="606"/>
      <c r="G6" s="606"/>
      <c r="H6" s="606"/>
      <c r="I6" s="606"/>
      <c r="J6" s="607"/>
      <c r="K6" s="608"/>
      <c r="L6" s="606"/>
      <c r="M6" s="606"/>
      <c r="N6" s="606"/>
      <c r="O6" s="606"/>
      <c r="P6" s="606"/>
      <c r="Q6" s="606"/>
      <c r="R6" s="606"/>
      <c r="S6" s="606"/>
      <c r="T6" s="606"/>
      <c r="U6" s="606"/>
      <c r="V6" s="606"/>
      <c r="W6" s="606"/>
      <c r="X6" s="606"/>
      <c r="Y6" s="606"/>
      <c r="Z6" s="606"/>
      <c r="AA6" s="606"/>
      <c r="AB6" s="606"/>
      <c r="AC6" s="606"/>
      <c r="AD6" s="606"/>
      <c r="AE6" s="606"/>
      <c r="AF6" s="606"/>
      <c r="AG6" s="606"/>
      <c r="AH6" s="606"/>
      <c r="AI6" s="606"/>
      <c r="AJ6" s="606"/>
      <c r="AK6" s="606"/>
      <c r="AL6" s="606"/>
      <c r="AM6" s="606"/>
      <c r="AN6" s="606"/>
      <c r="AO6" s="606"/>
      <c r="AP6" s="606"/>
      <c r="AQ6" s="609"/>
      <c r="AR6" s="610"/>
      <c r="AS6" s="611" t="s">
        <v>174</v>
      </c>
      <c r="AT6" s="611"/>
      <c r="AU6" s="612"/>
      <c r="AV6" s="613"/>
      <c r="AW6" s="614"/>
      <c r="AX6" s="588"/>
      <c r="AY6" s="573"/>
      <c r="AZ6" s="573"/>
      <c r="BA6" s="590"/>
      <c r="BB6" s="586"/>
      <c r="BC6" s="586"/>
      <c r="BD6" s="586"/>
      <c r="BE6" s="586"/>
      <c r="BF6" s="586"/>
      <c r="BG6" s="591"/>
      <c r="BH6" s="586"/>
      <c r="BI6" s="573"/>
      <c r="BJ6" s="573"/>
      <c r="BK6" s="573"/>
      <c r="BL6" s="573"/>
      <c r="BM6" s="586"/>
      <c r="BN6" s="615"/>
      <c r="BO6" s="616"/>
      <c r="BP6" s="616"/>
      <c r="BQ6" s="616"/>
      <c r="BR6" s="617"/>
      <c r="BS6" s="618"/>
      <c r="BT6" s="595"/>
      <c r="BU6" s="595"/>
      <c r="BV6" s="595"/>
      <c r="BW6" s="595"/>
      <c r="BX6" s="595"/>
      <c r="BY6" s="595"/>
      <c r="BZ6" s="595"/>
      <c r="CA6" s="595"/>
      <c r="CB6" s="619"/>
      <c r="CC6" s="573"/>
      <c r="CD6" s="573"/>
      <c r="CE6" s="573"/>
      <c r="CF6" s="573"/>
      <c r="CG6" s="573"/>
      <c r="CH6" s="573"/>
      <c r="CI6" s="573"/>
      <c r="CJ6" s="573"/>
      <c r="CK6" s="573"/>
      <c r="CL6" s="573"/>
    </row>
    <row r="7" spans="1:92" ht="24" thickBot="1" x14ac:dyDescent="0.3">
      <c r="A7" s="620"/>
      <c r="B7" s="588"/>
      <c r="C7" s="588"/>
      <c r="D7" s="588"/>
      <c r="E7" s="588"/>
      <c r="F7" s="588"/>
      <c r="G7" s="588"/>
      <c r="H7" s="588"/>
      <c r="I7" s="588"/>
      <c r="J7" s="621"/>
      <c r="K7" s="622"/>
      <c r="L7" s="588"/>
      <c r="M7" s="588"/>
      <c r="N7" s="588"/>
      <c r="O7" s="588"/>
      <c r="P7" s="588"/>
      <c r="Q7" s="588"/>
      <c r="R7" s="588"/>
      <c r="S7" s="588"/>
      <c r="T7" s="588"/>
      <c r="U7" s="623" t="s">
        <v>175</v>
      </c>
      <c r="V7" s="624"/>
      <c r="W7" s="588"/>
      <c r="X7" s="625"/>
      <c r="Y7" s="587"/>
      <c r="Z7" s="626"/>
      <c r="AA7" s="587"/>
      <c r="AB7" s="626"/>
      <c r="AC7" s="627"/>
      <c r="AD7" s="626"/>
      <c r="AE7" s="587"/>
      <c r="AF7" s="586"/>
      <c r="AG7" s="586"/>
      <c r="AH7" s="586"/>
      <c r="AI7" s="586"/>
      <c r="AJ7" s="587"/>
      <c r="AK7" s="587"/>
      <c r="AL7" s="587"/>
      <c r="AM7" s="587"/>
      <c r="AN7" s="587"/>
      <c r="AO7" s="587"/>
      <c r="AP7" s="587"/>
      <c r="AQ7" s="587"/>
      <c r="AR7" s="628"/>
      <c r="AS7" s="599"/>
      <c r="AT7" s="599"/>
      <c r="AU7" s="629"/>
      <c r="AV7" s="630"/>
      <c r="AW7" s="631"/>
      <c r="AX7" s="588"/>
      <c r="AY7" s="573"/>
      <c r="AZ7" s="573"/>
      <c r="BA7" s="590"/>
      <c r="BB7" s="586"/>
      <c r="BC7" s="586"/>
      <c r="BD7" s="632" t="s">
        <v>176</v>
      </c>
      <c r="BE7" s="586"/>
      <c r="BF7" s="604" t="s">
        <v>177</v>
      </c>
      <c r="BG7" s="591"/>
      <c r="BH7" s="586"/>
      <c r="BI7" s="586"/>
      <c r="BJ7" s="573"/>
      <c r="BK7" s="573"/>
      <c r="BL7" s="573"/>
      <c r="BM7" s="589"/>
      <c r="BN7" s="633"/>
      <c r="BO7" s="634"/>
      <c r="BP7" s="634"/>
      <c r="BQ7" s="634"/>
      <c r="BR7" s="634"/>
      <c r="BS7" s="634"/>
      <c r="BT7" s="635" t="s">
        <v>163</v>
      </c>
      <c r="BU7" s="636"/>
      <c r="BV7" s="636"/>
      <c r="BW7" s="636"/>
      <c r="BX7" s="636"/>
      <c r="BY7" s="636"/>
      <c r="BZ7" s="636"/>
      <c r="CA7" s="637"/>
      <c r="CB7" s="638"/>
      <c r="CC7" s="639" t="s">
        <v>178</v>
      </c>
      <c r="CD7" s="640"/>
      <c r="CE7" s="640"/>
      <c r="CF7" s="640"/>
      <c r="CG7" s="640"/>
      <c r="CH7" s="640"/>
      <c r="CI7" s="640"/>
      <c r="CJ7" s="640"/>
      <c r="CK7" s="640"/>
      <c r="CL7" s="640"/>
      <c r="CM7" s="640"/>
      <c r="CN7" s="640"/>
    </row>
    <row r="8" spans="1:92" ht="28.5" thickBot="1" x14ac:dyDescent="0.45">
      <c r="A8" s="620"/>
      <c r="B8" s="588"/>
      <c r="C8" s="588"/>
      <c r="D8" s="641" t="s">
        <v>179</v>
      </c>
      <c r="E8" s="641"/>
      <c r="F8" s="588"/>
      <c r="G8" s="588"/>
      <c r="H8" s="642" t="s">
        <v>180</v>
      </c>
      <c r="I8" s="643"/>
      <c r="J8" s="573"/>
      <c r="K8" s="622"/>
      <c r="L8" s="588"/>
      <c r="M8" s="588"/>
      <c r="N8" s="588"/>
      <c r="O8" s="588"/>
      <c r="P8" s="588"/>
      <c r="Q8" s="588"/>
      <c r="R8" s="588"/>
      <c r="S8" s="588"/>
      <c r="T8" s="588"/>
      <c r="U8" s="644"/>
      <c r="V8" s="645"/>
      <c r="W8" s="588"/>
      <c r="X8" s="588"/>
      <c r="Y8" s="587"/>
      <c r="Z8" s="587"/>
      <c r="AA8" s="588"/>
      <c r="AB8" s="587"/>
      <c r="AC8" s="587"/>
      <c r="AD8" s="587"/>
      <c r="AE8" s="568"/>
      <c r="AF8" s="646"/>
      <c r="AG8" s="646"/>
      <c r="AH8" s="646"/>
      <c r="AI8" s="646"/>
      <c r="AJ8" s="568"/>
      <c r="AK8" s="588"/>
      <c r="AL8" s="588"/>
      <c r="AM8" s="588"/>
      <c r="AN8" s="588"/>
      <c r="AO8" s="588"/>
      <c r="AP8" s="588"/>
      <c r="AQ8" s="588"/>
      <c r="AR8" s="628"/>
      <c r="AS8" s="599"/>
      <c r="AT8" s="599"/>
      <c r="AU8" s="629"/>
      <c r="AV8" s="630"/>
      <c r="AW8" s="631"/>
      <c r="AX8" s="588"/>
      <c r="AY8" s="573"/>
      <c r="AZ8" s="573"/>
      <c r="BA8" s="590"/>
      <c r="BB8" s="586"/>
      <c r="BC8" s="586"/>
      <c r="BD8" s="590"/>
      <c r="BE8" s="599" t="s">
        <v>181</v>
      </c>
      <c r="BF8" s="586"/>
      <c r="BG8" s="591"/>
      <c r="BH8" s="586"/>
      <c r="BI8" s="586"/>
      <c r="BJ8" s="586"/>
      <c r="BK8" s="586"/>
      <c r="BL8" s="586"/>
      <c r="BM8" s="589"/>
      <c r="BN8" s="647"/>
      <c r="BO8" s="648"/>
      <c r="BP8" s="638"/>
      <c r="BQ8" s="638"/>
      <c r="BR8" s="638"/>
      <c r="BS8" s="638"/>
      <c r="BT8" s="638"/>
      <c r="BU8" s="638"/>
      <c r="BV8" s="638"/>
      <c r="BW8" s="638"/>
      <c r="BX8" s="649"/>
      <c r="BY8" s="638"/>
      <c r="BZ8" s="638"/>
      <c r="CA8" s="638"/>
      <c r="CB8" s="638"/>
      <c r="CC8" s="650"/>
      <c r="CD8" s="651"/>
      <c r="CE8" s="651"/>
      <c r="CF8" s="651"/>
      <c r="CG8" s="651"/>
      <c r="CH8" s="651"/>
      <c r="CI8" s="651"/>
      <c r="CJ8" s="651"/>
      <c r="CK8" s="651"/>
      <c r="CL8" s="651"/>
      <c r="CM8" s="651"/>
      <c r="CN8" s="651"/>
    </row>
    <row r="9" spans="1:92" ht="27.75" x14ac:dyDescent="0.4">
      <c r="A9" s="620"/>
      <c r="B9" s="588"/>
      <c r="C9" s="588"/>
      <c r="D9" s="588"/>
      <c r="E9" s="588"/>
      <c r="F9" s="588"/>
      <c r="G9" s="588"/>
      <c r="H9" s="588"/>
      <c r="I9" s="588"/>
      <c r="J9" s="652"/>
      <c r="K9" s="622"/>
      <c r="L9" s="588"/>
      <c r="M9" s="588"/>
      <c r="N9" s="588"/>
      <c r="O9" s="588"/>
      <c r="P9" s="588"/>
      <c r="Q9" s="588"/>
      <c r="R9" s="588"/>
      <c r="S9" s="588"/>
      <c r="T9" s="588"/>
      <c r="U9" s="588"/>
      <c r="V9" s="588"/>
      <c r="W9" s="588"/>
      <c r="X9" s="625"/>
      <c r="Y9" s="588"/>
      <c r="Z9" s="625"/>
      <c r="AA9" s="588"/>
      <c r="AB9" s="625"/>
      <c r="AC9" s="653"/>
      <c r="AD9" s="654"/>
      <c r="AE9" s="568"/>
      <c r="AF9" s="586"/>
      <c r="AG9" s="586"/>
      <c r="AH9" s="586"/>
      <c r="AI9" s="586"/>
      <c r="AJ9" s="568"/>
      <c r="AK9" s="655"/>
      <c r="AL9" s="655"/>
      <c r="AM9" s="588"/>
      <c r="AN9" s="588"/>
      <c r="AO9" s="588"/>
      <c r="AP9" s="588"/>
      <c r="AQ9" s="588"/>
      <c r="AR9" s="628"/>
      <c r="AS9" s="573"/>
      <c r="AT9" s="573"/>
      <c r="AU9" s="573"/>
      <c r="AV9" s="592"/>
      <c r="AW9" s="656"/>
      <c r="AX9" s="588"/>
      <c r="AY9" s="573"/>
      <c r="AZ9" s="573"/>
      <c r="BA9" s="590"/>
      <c r="BB9" s="586"/>
      <c r="BC9" s="586"/>
      <c r="BD9" s="590"/>
      <c r="BE9" s="586"/>
      <c r="BF9" s="586"/>
      <c r="BG9" s="603" t="s">
        <v>172</v>
      </c>
      <c r="BH9" s="573"/>
      <c r="BI9" s="573"/>
      <c r="BJ9" s="573"/>
      <c r="BK9" s="573"/>
      <c r="BL9" s="573"/>
      <c r="BM9" s="573"/>
      <c r="BN9" s="647"/>
      <c r="BO9" s="657"/>
      <c r="BP9" s="586"/>
      <c r="BQ9" s="586"/>
      <c r="BR9" s="586"/>
      <c r="BS9" s="586"/>
      <c r="BT9" s="586"/>
      <c r="BU9" s="586"/>
      <c r="BV9" s="586"/>
      <c r="BW9" s="586"/>
      <c r="BX9" s="586"/>
      <c r="BY9" s="586"/>
      <c r="CA9" s="638"/>
      <c r="CB9" s="658"/>
      <c r="CC9" s="638"/>
      <c r="CD9" s="638"/>
      <c r="CE9" s="638"/>
      <c r="CF9" s="638"/>
      <c r="CG9" s="638"/>
      <c r="CH9" s="638"/>
      <c r="CI9" s="638"/>
      <c r="CJ9" s="638"/>
      <c r="CK9" s="638"/>
      <c r="CL9" s="638"/>
      <c r="CM9" s="638"/>
      <c r="CN9" s="638"/>
    </row>
    <row r="10" spans="1:92" ht="28.5" thickBot="1" x14ac:dyDescent="0.45">
      <c r="A10" s="620"/>
      <c r="B10" s="621"/>
      <c r="C10" s="588"/>
      <c r="D10" s="588"/>
      <c r="E10" s="588"/>
      <c r="F10" s="588"/>
      <c r="G10" s="588"/>
      <c r="H10" s="588"/>
      <c r="I10" s="588"/>
      <c r="J10" s="652"/>
      <c r="K10" s="622"/>
      <c r="L10" s="588"/>
      <c r="M10" s="659"/>
      <c r="N10" s="659"/>
      <c r="O10" s="588"/>
      <c r="P10" s="588"/>
      <c r="Q10" s="588"/>
      <c r="R10" s="588"/>
      <c r="S10" s="588"/>
      <c r="T10" s="588"/>
      <c r="U10" s="588"/>
      <c r="V10" s="588"/>
      <c r="W10" s="588"/>
      <c r="X10" s="588"/>
      <c r="Y10" s="586"/>
      <c r="Z10" s="586"/>
      <c r="AA10" s="629"/>
      <c r="AB10" s="660"/>
      <c r="AC10" s="661"/>
      <c r="AD10" s="586"/>
      <c r="AE10" s="568"/>
      <c r="AF10" s="568"/>
      <c r="AG10" s="568"/>
      <c r="AH10" s="568"/>
      <c r="AI10" s="568"/>
      <c r="AJ10" s="568"/>
      <c r="AK10" s="588"/>
      <c r="AL10" s="659"/>
      <c r="AM10" s="573"/>
      <c r="AN10" s="588"/>
      <c r="AO10" s="588"/>
      <c r="AP10" s="588"/>
      <c r="AQ10" s="588"/>
      <c r="AR10" s="662"/>
      <c r="AS10" s="573"/>
      <c r="AT10" s="573"/>
      <c r="AU10" s="573"/>
      <c r="AV10" s="588"/>
      <c r="AW10" s="663"/>
      <c r="AX10" s="588"/>
      <c r="AY10" s="573"/>
      <c r="AZ10" s="573"/>
      <c r="BA10" s="590"/>
      <c r="BB10" s="586"/>
      <c r="BC10" s="586"/>
      <c r="BD10" s="615"/>
      <c r="BE10" s="616"/>
      <c r="BF10" s="616"/>
      <c r="BG10" s="616"/>
      <c r="BH10" s="573"/>
      <c r="BI10" s="573"/>
      <c r="BJ10" s="573"/>
      <c r="BK10" s="573"/>
      <c r="BL10" s="573"/>
      <c r="BM10" s="573"/>
      <c r="BN10" s="647"/>
      <c r="BO10" s="657"/>
      <c r="BP10" s="586"/>
      <c r="BQ10" s="586"/>
      <c r="BR10" s="586"/>
      <c r="BS10" s="586"/>
      <c r="BT10" s="586"/>
      <c r="BU10" s="586"/>
      <c r="BV10" s="586"/>
      <c r="BW10" s="586"/>
      <c r="BX10" s="586"/>
      <c r="BY10" s="586"/>
      <c r="CA10" s="658"/>
      <c r="CB10" s="658"/>
      <c r="CC10" s="638"/>
      <c r="CD10" s="638"/>
      <c r="CE10" s="638"/>
      <c r="CF10" s="638"/>
      <c r="CG10" s="638"/>
      <c r="CH10" s="638"/>
      <c r="CI10" s="638"/>
      <c r="CJ10" s="638"/>
      <c r="CK10" s="638"/>
      <c r="CL10" s="638"/>
      <c r="CM10" s="638"/>
      <c r="CN10" s="664"/>
    </row>
    <row r="11" spans="1:92" ht="24" thickBot="1" x14ac:dyDescent="0.4">
      <c r="A11" s="615"/>
      <c r="B11" s="665"/>
      <c r="C11" s="666"/>
      <c r="D11" s="666"/>
      <c r="E11" s="666"/>
      <c r="F11" s="666"/>
      <c r="G11" s="666"/>
      <c r="H11" s="666"/>
      <c r="I11" s="666"/>
      <c r="J11" s="667"/>
      <c r="K11" s="668"/>
      <c r="L11" s="616"/>
      <c r="M11" s="616"/>
      <c r="N11" s="616"/>
      <c r="O11" s="616"/>
      <c r="P11" s="616"/>
      <c r="Q11" s="586"/>
      <c r="R11" s="588"/>
      <c r="S11" s="588"/>
      <c r="T11" s="586"/>
      <c r="U11" s="586"/>
      <c r="V11" s="669"/>
      <c r="W11" s="588"/>
      <c r="X11" s="588"/>
      <c r="Y11" s="588"/>
      <c r="Z11" s="588"/>
      <c r="AA11" s="588"/>
      <c r="AB11" s="588"/>
      <c r="AC11" s="588"/>
      <c r="AD11" s="588"/>
      <c r="AE11" s="588"/>
      <c r="AF11" s="588"/>
      <c r="AG11" s="588"/>
      <c r="AH11" s="588"/>
      <c r="AI11" s="588"/>
      <c r="AJ11" s="588"/>
      <c r="AK11" s="588"/>
      <c r="AL11" s="588"/>
      <c r="AM11" s="588"/>
      <c r="AN11" s="588"/>
      <c r="AO11" s="588"/>
      <c r="AP11" s="588"/>
      <c r="AQ11" s="588"/>
      <c r="AR11" s="670"/>
      <c r="AS11" s="573"/>
      <c r="AT11" s="573"/>
      <c r="AU11" s="573"/>
      <c r="AV11" s="588"/>
      <c r="AW11" s="663"/>
      <c r="AX11" s="588"/>
      <c r="AY11" s="573"/>
      <c r="AZ11" s="573"/>
      <c r="BA11" s="590"/>
      <c r="BB11" s="586"/>
      <c r="BC11" s="586"/>
      <c r="BD11" s="586"/>
      <c r="BE11" s="586"/>
      <c r="BF11" s="586"/>
      <c r="BG11" s="586"/>
      <c r="BH11" s="573"/>
      <c r="BI11" s="573"/>
      <c r="BJ11" s="573"/>
      <c r="BK11" s="573"/>
      <c r="BL11" s="573"/>
      <c r="BM11" s="573"/>
      <c r="BN11" s="664"/>
      <c r="BO11" s="638"/>
      <c r="BP11" s="586"/>
      <c r="BQ11" s="586"/>
      <c r="BR11" s="586"/>
      <c r="BS11" s="586"/>
      <c r="BT11" s="586"/>
      <c r="BU11" s="586"/>
      <c r="BV11" s="586"/>
      <c r="BW11" s="586"/>
      <c r="BX11" s="586"/>
      <c r="BY11" s="586"/>
      <c r="CA11" s="671"/>
      <c r="CB11" s="671"/>
      <c r="CC11" s="638"/>
      <c r="CD11" s="638"/>
      <c r="CE11" s="638"/>
      <c r="CF11" s="638"/>
      <c r="CG11" s="638"/>
      <c r="CH11" s="638"/>
      <c r="CI11" s="638"/>
      <c r="CJ11" s="638"/>
      <c r="CK11" s="638"/>
      <c r="CL11" s="638"/>
      <c r="CM11" s="638"/>
      <c r="CN11" s="664"/>
    </row>
    <row r="12" spans="1:92" ht="15.75" thickBot="1" x14ac:dyDescent="0.3">
      <c r="A12" s="573"/>
      <c r="B12" s="589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672"/>
      <c r="O12" s="672"/>
      <c r="P12" s="673"/>
      <c r="Q12" s="588"/>
      <c r="R12" s="588"/>
      <c r="S12" s="588"/>
      <c r="T12" s="588"/>
      <c r="U12" s="588"/>
      <c r="V12" s="674"/>
      <c r="W12" s="675"/>
      <c r="X12" s="675"/>
      <c r="Y12" s="675"/>
      <c r="Z12" s="675"/>
      <c r="AA12" s="675"/>
      <c r="AB12" s="675"/>
      <c r="AC12" s="675"/>
      <c r="AD12" s="675"/>
      <c r="AE12" s="675"/>
      <c r="AF12" s="675"/>
      <c r="AG12" s="675"/>
      <c r="AH12" s="675"/>
      <c r="AI12" s="675"/>
      <c r="AJ12" s="675"/>
      <c r="AK12" s="675"/>
      <c r="AL12" s="675"/>
      <c r="AM12" s="675"/>
      <c r="AN12" s="676"/>
      <c r="AO12" s="676"/>
      <c r="AP12" s="676"/>
      <c r="AQ12" s="676"/>
      <c r="AR12" s="676"/>
      <c r="AS12" s="676"/>
      <c r="AT12" s="676"/>
      <c r="AU12" s="676"/>
      <c r="AV12" s="676"/>
      <c r="AW12" s="677"/>
      <c r="AX12" s="573"/>
      <c r="AY12" s="573"/>
      <c r="AZ12" s="573"/>
      <c r="BA12" s="615"/>
      <c r="BB12" s="616"/>
      <c r="BC12" s="616"/>
      <c r="BD12" s="616"/>
      <c r="BE12" s="586"/>
      <c r="BF12" s="586"/>
      <c r="BG12" s="586"/>
      <c r="BH12" s="586"/>
      <c r="BI12" s="586"/>
      <c r="BJ12" s="586"/>
      <c r="BK12" s="586"/>
      <c r="BL12" s="586"/>
      <c r="BM12" s="586"/>
      <c r="BN12" s="664"/>
      <c r="BO12" s="638"/>
      <c r="BP12" s="586"/>
      <c r="BQ12" s="586"/>
      <c r="BR12" s="586"/>
      <c r="BS12" s="586"/>
      <c r="BT12" s="586"/>
      <c r="BU12" s="586"/>
      <c r="BV12" s="586"/>
      <c r="BW12" s="586"/>
      <c r="BX12" s="586"/>
      <c r="BY12" s="586"/>
      <c r="CA12" s="678"/>
      <c r="CB12" s="678" t="s">
        <v>172</v>
      </c>
      <c r="CC12" s="638"/>
      <c r="CD12" s="638"/>
      <c r="CE12" s="638"/>
      <c r="CF12" s="638"/>
      <c r="CG12" s="638"/>
      <c r="CH12" s="638"/>
      <c r="CI12" s="638"/>
      <c r="CJ12" s="638"/>
      <c r="CK12" s="638"/>
      <c r="CL12" s="638"/>
      <c r="CM12" s="638"/>
      <c r="CN12" s="664"/>
    </row>
    <row r="13" spans="1:92" ht="15.75" x14ac:dyDescent="0.25">
      <c r="A13" s="573"/>
      <c r="B13" s="589"/>
      <c r="C13" s="573"/>
      <c r="D13" s="573"/>
      <c r="E13" s="573"/>
      <c r="F13" s="573"/>
      <c r="G13" s="679"/>
      <c r="H13" s="679"/>
      <c r="I13" s="679"/>
      <c r="J13" s="679"/>
      <c r="K13" s="573"/>
      <c r="L13" s="573"/>
      <c r="M13" s="573"/>
      <c r="N13" s="573"/>
      <c r="O13" s="573"/>
      <c r="P13" s="573"/>
      <c r="Q13" s="586"/>
      <c r="R13" s="588"/>
      <c r="S13" s="588"/>
      <c r="T13" s="573"/>
      <c r="U13" s="573"/>
      <c r="V13" s="573"/>
      <c r="W13" s="573"/>
      <c r="X13" s="573"/>
      <c r="Y13" s="573"/>
      <c r="Z13" s="573"/>
      <c r="AA13" s="680"/>
      <c r="AC13" s="681"/>
      <c r="AD13" s="586"/>
      <c r="AE13" s="586"/>
      <c r="AF13" s="586"/>
      <c r="AG13" s="586"/>
      <c r="AH13" s="586"/>
      <c r="AI13" s="586"/>
      <c r="AJ13" s="586"/>
      <c r="AK13" s="586"/>
      <c r="AL13" s="586"/>
      <c r="AM13" s="682"/>
      <c r="AN13" s="592"/>
      <c r="AO13" s="586"/>
      <c r="AP13" s="573"/>
      <c r="AQ13" s="604"/>
      <c r="AR13" s="683"/>
      <c r="AS13" s="683"/>
      <c r="AT13" s="683"/>
      <c r="AU13" s="683"/>
      <c r="AV13" s="604"/>
      <c r="AW13" s="573"/>
      <c r="AX13" s="605"/>
      <c r="AY13" s="577"/>
      <c r="AZ13" s="578"/>
      <c r="BA13" s="590"/>
      <c r="BB13" s="586"/>
      <c r="BC13" s="586"/>
      <c r="BD13" s="586"/>
      <c r="BE13" s="576"/>
      <c r="BF13" s="577"/>
      <c r="BG13" s="577"/>
      <c r="BH13" s="577"/>
      <c r="BI13" s="577"/>
      <c r="BJ13" s="577"/>
      <c r="BK13" s="577"/>
      <c r="BL13" s="577"/>
      <c r="BM13" s="577"/>
      <c r="BN13" s="684"/>
      <c r="BO13" s="638"/>
      <c r="BP13" s="586"/>
      <c r="BQ13" s="586"/>
      <c r="BR13" s="586"/>
      <c r="BS13" s="586"/>
      <c r="BT13" s="586"/>
      <c r="BU13" s="586"/>
      <c r="BV13" s="586"/>
      <c r="BW13" s="586"/>
      <c r="BX13" s="586"/>
      <c r="BY13" s="586"/>
      <c r="CA13" s="685"/>
      <c r="CB13" s="685" t="s">
        <v>178</v>
      </c>
      <c r="CC13" s="638"/>
      <c r="CD13" s="638"/>
      <c r="CE13" s="638"/>
      <c r="CF13" s="638"/>
      <c r="CG13" s="638"/>
      <c r="CH13" s="638"/>
      <c r="CI13" s="638"/>
      <c r="CJ13" s="638"/>
      <c r="CK13" s="638"/>
      <c r="CL13" s="638"/>
      <c r="CM13" s="638"/>
      <c r="CN13" s="664"/>
    </row>
    <row r="14" spans="1:92" ht="15.75" x14ac:dyDescent="0.25">
      <c r="A14" s="686"/>
      <c r="B14" s="687"/>
      <c r="C14" s="688"/>
      <c r="D14" s="688"/>
      <c r="E14" s="688"/>
      <c r="F14" s="688"/>
      <c r="G14" s="688"/>
      <c r="H14" s="688"/>
      <c r="I14" s="629"/>
      <c r="J14" s="688"/>
      <c r="K14" s="688"/>
      <c r="L14" s="688"/>
      <c r="M14" s="688"/>
      <c r="N14" s="689"/>
      <c r="O14" s="689"/>
      <c r="P14" s="689"/>
      <c r="Q14" s="688"/>
      <c r="R14" s="588"/>
      <c r="S14" s="588"/>
      <c r="T14" s="688"/>
      <c r="U14" s="688"/>
      <c r="V14" s="688"/>
      <c r="W14" s="688"/>
      <c r="X14" s="688"/>
      <c r="Y14" s="688"/>
      <c r="Z14" s="688"/>
      <c r="AA14" s="680"/>
      <c r="AB14" s="681"/>
      <c r="AC14" s="681"/>
      <c r="AD14" s="586"/>
      <c r="AE14" s="586"/>
      <c r="AF14" s="586"/>
      <c r="AG14" s="586"/>
      <c r="AH14" s="586"/>
      <c r="AI14" s="586"/>
      <c r="AJ14" s="586"/>
      <c r="AK14" s="586"/>
      <c r="AL14" s="586"/>
      <c r="AM14" s="592"/>
      <c r="AN14" s="586"/>
      <c r="AO14" s="690"/>
      <c r="AP14" s="690"/>
      <c r="AQ14" s="690"/>
      <c r="AR14" s="690"/>
      <c r="AS14" s="573"/>
      <c r="AT14" s="690"/>
      <c r="AU14" s="690"/>
      <c r="AV14" s="690"/>
      <c r="AW14" s="690"/>
      <c r="AY14" s="586"/>
      <c r="AZ14" s="591"/>
      <c r="BA14" s="590"/>
      <c r="BB14" s="586"/>
      <c r="BC14" s="586"/>
      <c r="BD14" s="586"/>
      <c r="BE14" s="590"/>
      <c r="BF14" s="586"/>
      <c r="BG14" s="586"/>
      <c r="BH14" s="586"/>
      <c r="BI14" s="586"/>
      <c r="BJ14" s="586"/>
      <c r="BK14" s="586"/>
      <c r="BL14" s="586"/>
      <c r="BM14" s="586"/>
      <c r="BN14" s="664"/>
      <c r="BO14" s="638"/>
      <c r="BP14" s="586"/>
      <c r="BQ14" s="586"/>
      <c r="BR14" s="586"/>
      <c r="BS14" s="586"/>
      <c r="BT14" s="586"/>
      <c r="BU14" s="586"/>
      <c r="BV14" s="586"/>
      <c r="BW14" s="586"/>
      <c r="BX14" s="586"/>
      <c r="BY14" s="586"/>
      <c r="CA14" s="671"/>
      <c r="CB14" s="671"/>
      <c r="CC14" s="638"/>
      <c r="CD14" s="638"/>
      <c r="CE14" s="638"/>
      <c r="CF14" s="638"/>
      <c r="CG14" s="638"/>
      <c r="CH14" s="638"/>
      <c r="CI14" s="638"/>
      <c r="CJ14" s="638"/>
      <c r="CK14" s="638"/>
      <c r="CL14" s="638"/>
      <c r="CM14" s="638"/>
      <c r="CN14" s="664"/>
    </row>
    <row r="15" spans="1:92" ht="20.25" x14ac:dyDescent="0.25">
      <c r="G15" s="688"/>
      <c r="H15" s="688"/>
      <c r="I15" s="691"/>
      <c r="J15" s="629"/>
      <c r="K15" s="688"/>
      <c r="L15" s="688"/>
      <c r="M15" s="688"/>
      <c r="N15" s="688"/>
      <c r="O15" s="692"/>
      <c r="P15" s="688"/>
      <c r="Q15" s="688"/>
      <c r="R15" s="588"/>
      <c r="S15" s="588"/>
      <c r="T15" s="688"/>
      <c r="U15" s="688"/>
      <c r="V15" s="688"/>
      <c r="W15" s="688"/>
      <c r="Z15" s="688"/>
      <c r="AA15" s="680"/>
      <c r="AB15" s="681"/>
      <c r="AC15" s="681"/>
      <c r="AD15" s="586"/>
      <c r="AE15" s="586"/>
      <c r="AF15" s="586"/>
      <c r="AG15" s="586"/>
      <c r="AH15" s="586"/>
      <c r="AI15" s="586"/>
      <c r="AJ15" s="586"/>
      <c r="AK15" s="586"/>
      <c r="AL15" s="586"/>
      <c r="AM15" s="592"/>
      <c r="AN15" s="690"/>
      <c r="AO15" s="693"/>
      <c r="AP15" s="693"/>
      <c r="AQ15" s="693"/>
      <c r="AR15" s="693"/>
      <c r="AS15" s="690"/>
      <c r="AT15" s="693"/>
      <c r="AU15" s="693"/>
      <c r="AV15" s="693"/>
      <c r="AW15" s="693"/>
      <c r="AX15" s="690"/>
      <c r="AY15" s="586"/>
      <c r="AZ15" s="591"/>
      <c r="BA15" s="590"/>
      <c r="BB15" s="586"/>
      <c r="BC15" s="586"/>
      <c r="BD15" s="586"/>
      <c r="BE15" s="590"/>
      <c r="BF15" s="586"/>
      <c r="BG15" s="586"/>
      <c r="BH15" s="586"/>
      <c r="BI15" s="586"/>
      <c r="BJ15" s="586"/>
      <c r="BK15" s="586"/>
      <c r="BL15" s="586"/>
      <c r="BM15" s="586"/>
      <c r="BN15" s="664"/>
      <c r="BO15" s="638"/>
      <c r="BP15" s="586"/>
      <c r="BQ15" s="586"/>
      <c r="BR15" s="586"/>
      <c r="BS15" s="586"/>
      <c r="BT15" s="586"/>
      <c r="BU15" s="586"/>
      <c r="BV15" s="586"/>
      <c r="BW15" s="586"/>
      <c r="BX15" s="586"/>
      <c r="BY15" s="586"/>
      <c r="CA15" s="671"/>
      <c r="CB15" s="671"/>
      <c r="CC15" s="638"/>
      <c r="CD15" s="638"/>
      <c r="CE15" s="638"/>
      <c r="CF15" s="638"/>
      <c r="CG15" s="638"/>
      <c r="CH15" s="638"/>
      <c r="CI15" s="638"/>
      <c r="CJ15" s="638"/>
      <c r="CK15" s="638"/>
      <c r="CL15" s="638"/>
      <c r="CM15" s="638"/>
      <c r="CN15" s="664"/>
    </row>
    <row r="16" spans="1:92" ht="24" thickBot="1" x14ac:dyDescent="0.3">
      <c r="D16" s="694"/>
      <c r="E16" s="694"/>
      <c r="F16" s="695"/>
      <c r="G16" s="691"/>
      <c r="H16" s="691"/>
      <c r="I16" s="696"/>
      <c r="J16" s="691"/>
      <c r="K16" s="694"/>
      <c r="L16" s="694"/>
      <c r="M16" s="599"/>
      <c r="O16" s="586"/>
      <c r="P16" s="697"/>
      <c r="Q16" s="697"/>
      <c r="R16" s="697"/>
      <c r="S16" s="573"/>
      <c r="T16" s="698"/>
      <c r="U16" s="688"/>
      <c r="V16" s="573"/>
      <c r="W16" s="688"/>
      <c r="X16" s="688"/>
      <c r="Y16" s="688"/>
      <c r="Z16" s="573"/>
      <c r="AA16" s="680"/>
      <c r="AB16" s="681"/>
      <c r="AC16" s="681"/>
      <c r="AD16" s="699"/>
      <c r="AE16" s="699"/>
      <c r="AF16" s="699"/>
      <c r="AH16" s="700"/>
      <c r="AJ16" s="701"/>
      <c r="AK16" s="701"/>
      <c r="AL16" s="701"/>
      <c r="AM16" s="573"/>
      <c r="AN16" s="693"/>
      <c r="AO16" s="702"/>
      <c r="AP16" s="702"/>
      <c r="AQ16" s="702"/>
      <c r="AR16" s="702"/>
      <c r="AS16" s="693"/>
      <c r="AT16" s="702"/>
      <c r="AU16" s="702"/>
      <c r="AV16" s="702"/>
      <c r="AW16" s="702"/>
      <c r="AX16" s="693"/>
      <c r="AY16" s="586"/>
      <c r="AZ16" s="591"/>
      <c r="BA16" s="590"/>
      <c r="BB16" s="586"/>
      <c r="BC16" s="586"/>
      <c r="BD16" s="586"/>
      <c r="BE16" s="590"/>
      <c r="BF16" s="586"/>
      <c r="BG16" s="586"/>
      <c r="BH16" s="586"/>
      <c r="BI16" s="586"/>
      <c r="BJ16" s="586"/>
      <c r="BK16" s="586" t="s">
        <v>188</v>
      </c>
      <c r="BL16" s="586"/>
      <c r="BM16" s="586"/>
      <c r="BN16" s="664"/>
      <c r="BO16" s="638"/>
      <c r="BP16" s="638"/>
      <c r="BQ16" s="638"/>
      <c r="BR16" s="638"/>
      <c r="BS16" s="586"/>
      <c r="BT16" s="586"/>
      <c r="BU16" s="586"/>
      <c r="BV16" s="586"/>
      <c r="BW16" s="586"/>
      <c r="BX16" s="586"/>
      <c r="BY16" s="586"/>
      <c r="CB16" s="638"/>
      <c r="CC16" s="638"/>
      <c r="CD16" s="638"/>
      <c r="CE16" s="638"/>
      <c r="CF16" s="638"/>
      <c r="CG16" s="638"/>
      <c r="CH16" s="638"/>
      <c r="CI16" s="638"/>
      <c r="CJ16" s="638"/>
      <c r="CK16" s="638"/>
      <c r="CL16" s="638"/>
      <c r="CM16" s="638"/>
      <c r="CN16" s="664"/>
    </row>
    <row r="17" spans="1:93" ht="18" x14ac:dyDescent="0.25">
      <c r="C17" s="703"/>
      <c r="D17" s="704"/>
      <c r="E17" s="704"/>
      <c r="F17" s="705"/>
      <c r="K17" s="704"/>
      <c r="L17" s="704"/>
      <c r="M17" s="706"/>
      <c r="N17" s="707"/>
      <c r="O17" s="707"/>
      <c r="P17" s="688"/>
      <c r="Q17" s="708"/>
      <c r="R17" s="709"/>
      <c r="S17" s="709"/>
      <c r="T17" s="709"/>
      <c r="U17" s="710"/>
      <c r="V17" s="711"/>
      <c r="W17" s="711"/>
      <c r="X17" s="711"/>
      <c r="Y17" s="712"/>
      <c r="Z17" s="573"/>
      <c r="AA17" s="680"/>
      <c r="AB17" s="681"/>
      <c r="AC17" s="681"/>
      <c r="AD17" s="699"/>
      <c r="AE17" s="699"/>
      <c r="AF17" s="699"/>
      <c r="AH17" s="713"/>
      <c r="AJ17" s="701"/>
      <c r="AK17" s="701"/>
      <c r="AL17" s="701"/>
      <c r="AM17" s="688"/>
      <c r="AN17" s="693"/>
      <c r="AO17" s="702"/>
      <c r="AP17" s="702"/>
      <c r="AQ17" s="702"/>
      <c r="AR17" s="702"/>
      <c r="AS17" s="693"/>
      <c r="AT17" s="702"/>
      <c r="AU17" s="702"/>
      <c r="AV17" s="702"/>
      <c r="AW17" s="702"/>
      <c r="AX17" s="693"/>
      <c r="AY17" s="586"/>
      <c r="AZ17" s="591"/>
      <c r="BA17" s="590"/>
      <c r="BB17" s="586"/>
      <c r="BC17" s="586"/>
      <c r="BD17" s="586"/>
      <c r="BE17" s="590"/>
      <c r="BF17" s="586"/>
      <c r="BG17" s="586"/>
      <c r="BH17" s="586"/>
      <c r="BI17" s="586"/>
      <c r="BJ17" s="586"/>
      <c r="BK17" s="586"/>
      <c r="BL17" s="586"/>
      <c r="BM17" s="586"/>
      <c r="BN17" s="664"/>
      <c r="BO17" s="638"/>
      <c r="BP17" s="638"/>
      <c r="BS17" s="586"/>
      <c r="BT17" s="586"/>
      <c r="BU17" s="586"/>
      <c r="BV17" s="586"/>
      <c r="BW17" s="586"/>
      <c r="BX17" s="586"/>
      <c r="BY17" s="586"/>
      <c r="CA17" s="638"/>
      <c r="CB17" s="586"/>
      <c r="CC17" s="638"/>
      <c r="CD17" s="638"/>
      <c r="CE17" s="638"/>
      <c r="CF17" s="638"/>
      <c r="CG17" s="638"/>
      <c r="CH17" s="638"/>
      <c r="CI17" s="638"/>
      <c r="CJ17" s="638"/>
      <c r="CK17" s="638"/>
      <c r="CL17" s="638"/>
      <c r="CM17" s="638"/>
      <c r="CN17" s="664"/>
    </row>
    <row r="18" spans="1:93" ht="23.25" x14ac:dyDescent="0.25">
      <c r="B18" s="714"/>
      <c r="C18" s="704"/>
      <c r="D18" s="715">
        <v>4003874</v>
      </c>
      <c r="E18" s="715">
        <v>4003868</v>
      </c>
      <c r="F18" s="704"/>
      <c r="G18" s="716"/>
      <c r="I18" s="714"/>
      <c r="J18" s="704"/>
      <c r="K18" s="715">
        <v>4003873</v>
      </c>
      <c r="L18" s="715">
        <v>4003870</v>
      </c>
      <c r="M18" s="704"/>
      <c r="N18" s="716"/>
      <c r="O18" s="573"/>
      <c r="P18" s="697"/>
      <c r="Q18" s="681"/>
      <c r="T18" s="573"/>
      <c r="U18" s="688"/>
      <c r="V18" s="573"/>
      <c r="W18" s="573"/>
      <c r="X18" s="573"/>
      <c r="Y18" s="717"/>
      <c r="Z18" s="573"/>
      <c r="AA18" s="680"/>
      <c r="AB18" s="681"/>
      <c r="AC18" s="681"/>
      <c r="AH18" s="688"/>
      <c r="AI18" s="688"/>
      <c r="AJ18" s="688"/>
      <c r="AK18" s="688"/>
      <c r="AL18" s="688"/>
      <c r="AM18" s="718"/>
      <c r="AN18" s="690"/>
      <c r="AO18" s="693"/>
      <c r="AP18" s="693"/>
      <c r="AQ18" s="693"/>
      <c r="AR18" s="693"/>
      <c r="AS18" s="690"/>
      <c r="AT18" s="693"/>
      <c r="AU18" s="693"/>
      <c r="AV18" s="693"/>
      <c r="AW18" s="693"/>
      <c r="AX18" s="690"/>
      <c r="AY18" s="586"/>
      <c r="AZ18" s="591"/>
      <c r="BA18" s="590"/>
      <c r="BB18" s="586"/>
      <c r="BC18" s="586"/>
      <c r="BD18" s="586"/>
      <c r="BE18" s="590"/>
      <c r="BF18" s="586"/>
      <c r="BG18" s="586"/>
      <c r="BH18" s="586"/>
      <c r="BI18" s="586"/>
      <c r="BJ18" s="586"/>
      <c r="BK18" s="586"/>
      <c r="BL18" s="586"/>
      <c r="BM18" s="586"/>
      <c r="BN18" s="664"/>
      <c r="BO18" s="586"/>
      <c r="BP18" s="638"/>
      <c r="BS18" s="586"/>
      <c r="BT18" s="586"/>
      <c r="BU18" s="586"/>
      <c r="BV18" s="586"/>
      <c r="BW18" s="586"/>
      <c r="BX18" s="586"/>
      <c r="BY18" s="586"/>
      <c r="CA18" s="638"/>
      <c r="CB18" s="586"/>
      <c r="CC18" s="638"/>
      <c r="CD18" s="638"/>
      <c r="CE18" s="638"/>
      <c r="CF18" s="638"/>
      <c r="CG18" s="638"/>
      <c r="CH18" s="638"/>
      <c r="CI18" s="638"/>
      <c r="CJ18" s="638"/>
      <c r="CK18" s="638"/>
      <c r="CL18" s="638"/>
      <c r="CM18" s="638"/>
      <c r="CN18" s="664"/>
    </row>
    <row r="19" spans="1:93" ht="23.25" x14ac:dyDescent="0.25">
      <c r="A19" s="719"/>
      <c r="B19" s="714"/>
      <c r="C19" s="704"/>
      <c r="D19" s="715">
        <v>4003869</v>
      </c>
      <c r="E19" s="715">
        <v>4003867</v>
      </c>
      <c r="F19" s="704"/>
      <c r="G19" s="716"/>
      <c r="I19" s="714"/>
      <c r="J19" s="704"/>
      <c r="K19" s="715">
        <v>4003862</v>
      </c>
      <c r="L19" s="715">
        <v>4003861</v>
      </c>
      <c r="M19" s="704"/>
      <c r="N19" s="716"/>
      <c r="O19" s="573"/>
      <c r="P19" s="688"/>
      <c r="Q19" s="681"/>
      <c r="R19" s="573"/>
      <c r="S19" s="573"/>
      <c r="T19" s="573"/>
      <c r="U19" s="573"/>
      <c r="V19" s="573"/>
      <c r="W19" s="573"/>
      <c r="X19" s="573"/>
      <c r="Y19" s="717"/>
      <c r="Z19" s="573"/>
      <c r="AA19" s="680"/>
      <c r="AB19" s="681"/>
      <c r="AC19" s="681"/>
      <c r="AH19" s="718"/>
      <c r="AI19" s="718"/>
      <c r="AJ19" s="718"/>
      <c r="AK19" s="718"/>
      <c r="AL19" s="718"/>
      <c r="AM19" s="718"/>
      <c r="AN19" s="573"/>
      <c r="AO19" s="690"/>
      <c r="AP19" s="690"/>
      <c r="AQ19" s="690"/>
      <c r="AR19" s="690"/>
      <c r="AS19" s="573"/>
      <c r="AT19" s="690"/>
      <c r="AU19" s="690"/>
      <c r="AV19" s="690"/>
      <c r="AW19" s="690"/>
      <c r="AY19" s="604"/>
      <c r="AZ19" s="591"/>
      <c r="BA19" s="590"/>
      <c r="BB19" s="586"/>
      <c r="BC19" s="586"/>
      <c r="BD19" s="586"/>
      <c r="BE19" s="590"/>
      <c r="BF19" s="586"/>
      <c r="BG19" s="586"/>
      <c r="BH19" s="586"/>
      <c r="BI19" s="586"/>
      <c r="BJ19" s="586"/>
      <c r="BK19" s="586"/>
      <c r="BL19" s="586"/>
      <c r="BM19" s="586"/>
      <c r="BN19" s="664"/>
      <c r="BO19" s="586"/>
      <c r="BP19" s="638"/>
      <c r="BS19" s="586"/>
      <c r="BT19" s="586"/>
      <c r="BU19" s="586"/>
      <c r="BV19" s="586"/>
      <c r="BW19" s="586"/>
      <c r="BX19" s="586"/>
      <c r="BY19" s="586"/>
      <c r="CA19" s="638"/>
      <c r="CB19" s="586"/>
      <c r="CC19" s="638"/>
      <c r="CD19" s="638"/>
      <c r="CE19" s="638"/>
      <c r="CF19" s="638"/>
      <c r="CG19" s="638"/>
      <c r="CH19" s="638"/>
      <c r="CI19" s="638"/>
      <c r="CJ19" s="638"/>
      <c r="CK19" s="638"/>
      <c r="CL19" s="638"/>
      <c r="CM19" s="638"/>
      <c r="CN19" s="664"/>
    </row>
    <row r="20" spans="1:93" ht="23.25" x14ac:dyDescent="0.35">
      <c r="A20" s="719"/>
      <c r="B20" s="714"/>
      <c r="C20" s="704"/>
      <c r="D20" s="715">
        <v>4003865</v>
      </c>
      <c r="E20" s="715">
        <v>4003859</v>
      </c>
      <c r="F20" s="704"/>
      <c r="G20" s="716"/>
      <c r="I20" s="714"/>
      <c r="J20" s="704"/>
      <c r="K20" s="715">
        <v>4013933</v>
      </c>
      <c r="L20" s="715">
        <v>4013929</v>
      </c>
      <c r="M20" s="704"/>
      <c r="N20" s="716"/>
      <c r="O20" s="573"/>
      <c r="P20" s="697"/>
      <c r="Q20" s="681"/>
      <c r="R20" s="573"/>
      <c r="S20" s="573"/>
      <c r="T20" s="573"/>
      <c r="U20" s="573"/>
      <c r="V20" s="573"/>
      <c r="W20" s="573"/>
      <c r="X20" s="573"/>
      <c r="Y20" s="717"/>
      <c r="Z20" s="573"/>
      <c r="AA20" s="680"/>
      <c r="AB20" s="681"/>
      <c r="AC20" s="681"/>
      <c r="AD20" s="720"/>
      <c r="AI20" s="573"/>
      <c r="AJ20" s="688"/>
      <c r="AK20" s="688"/>
      <c r="AL20" s="688"/>
      <c r="AM20" s="688"/>
      <c r="AN20" s="573"/>
      <c r="AO20" s="573"/>
      <c r="AP20" s="573"/>
      <c r="AQ20" s="573"/>
      <c r="AR20" s="573"/>
      <c r="AS20" s="573"/>
      <c r="AT20" s="573"/>
      <c r="AU20" s="573"/>
      <c r="AV20" s="573"/>
      <c r="AW20" s="573"/>
      <c r="AY20" s="721"/>
      <c r="AZ20" s="591"/>
      <c r="BA20" s="590"/>
      <c r="BB20" s="586"/>
      <c r="BC20" s="586"/>
      <c r="BD20" s="586"/>
      <c r="BE20" s="590"/>
      <c r="BF20" s="586"/>
      <c r="BG20" s="586"/>
      <c r="BH20" s="586"/>
      <c r="BI20" s="586"/>
      <c r="BJ20" s="586"/>
      <c r="BK20" s="586"/>
      <c r="BL20" s="586"/>
      <c r="BM20" s="586"/>
      <c r="BN20" s="664"/>
      <c r="BO20" s="586"/>
      <c r="BP20" s="638"/>
      <c r="BS20" s="586"/>
      <c r="BT20" s="586"/>
      <c r="BU20" s="586"/>
      <c r="BV20" s="586"/>
      <c r="BW20" s="586"/>
      <c r="BX20" s="586"/>
      <c r="BY20" s="586"/>
      <c r="CA20" s="638"/>
      <c r="CB20" s="586"/>
      <c r="CC20" s="638"/>
      <c r="CD20" s="638"/>
      <c r="CE20" s="638"/>
      <c r="CF20" s="638"/>
      <c r="CG20" s="638"/>
      <c r="CH20" s="638"/>
      <c r="CI20" s="638"/>
      <c r="CJ20" s="638"/>
      <c r="CK20" s="638"/>
      <c r="CL20" s="638"/>
      <c r="CM20" s="638"/>
      <c r="CN20" s="664"/>
    </row>
    <row r="21" spans="1:93" ht="18" customHeight="1" x14ac:dyDescent="0.25">
      <c r="A21" s="719"/>
      <c r="C21" s="688"/>
      <c r="D21" s="704"/>
      <c r="E21" s="704"/>
      <c r="I21" s="649"/>
      <c r="J21" s="649"/>
      <c r="K21" s="704"/>
      <c r="L21" s="704"/>
      <c r="M21" s="573"/>
      <c r="N21" s="573"/>
      <c r="O21" s="573"/>
      <c r="P21" s="688"/>
      <c r="Q21" s="681"/>
      <c r="R21" s="573"/>
      <c r="S21" s="573"/>
      <c r="T21" s="573"/>
      <c r="U21" s="573"/>
      <c r="V21" s="573"/>
      <c r="W21" s="573"/>
      <c r="X21" s="573"/>
      <c r="Y21" s="717"/>
      <c r="Z21" s="573"/>
      <c r="AA21" s="680"/>
      <c r="AB21" s="681"/>
      <c r="AC21" s="720"/>
      <c r="AD21" s="722"/>
      <c r="AE21" s="722"/>
      <c r="AF21" s="722"/>
      <c r="AI21" s="573"/>
      <c r="AJ21" s="723"/>
      <c r="AK21" s="723"/>
      <c r="AL21" s="723"/>
      <c r="AM21" s="573"/>
      <c r="AN21" s="688"/>
      <c r="AO21" s="688"/>
      <c r="AP21" s="688"/>
      <c r="AQ21" s="688"/>
      <c r="AR21" s="688"/>
      <c r="AS21" s="688"/>
      <c r="AT21" s="688"/>
      <c r="AU21" s="688"/>
      <c r="AV21" s="688"/>
      <c r="AW21" s="688"/>
      <c r="AX21" s="620"/>
      <c r="AY21" s="586"/>
      <c r="AZ21" s="591"/>
      <c r="BA21" s="590"/>
      <c r="BB21" s="586"/>
      <c r="BC21" s="586"/>
      <c r="BD21" s="586"/>
      <c r="BE21" s="590"/>
      <c r="BF21" s="586"/>
      <c r="BG21" s="586"/>
      <c r="BH21" s="586"/>
      <c r="BI21" s="586"/>
      <c r="BJ21" s="586"/>
      <c r="BK21" s="586"/>
      <c r="BL21" s="586"/>
      <c r="BM21" s="586"/>
      <c r="BN21" s="591"/>
      <c r="BO21" s="586"/>
      <c r="BP21" s="638"/>
      <c r="BS21" s="586"/>
      <c r="BT21" s="586"/>
      <c r="BU21" s="586"/>
      <c r="BV21" s="586"/>
      <c r="BW21" s="586"/>
      <c r="BX21" s="586"/>
      <c r="BY21" s="586"/>
      <c r="CA21" s="638"/>
      <c r="CB21" s="586"/>
      <c r="CC21" s="638"/>
      <c r="CD21" s="638"/>
      <c r="CE21" s="638"/>
      <c r="CF21" s="638"/>
      <c r="CG21" s="638"/>
      <c r="CH21" s="638"/>
      <c r="CI21" s="638"/>
      <c r="CJ21" s="638"/>
      <c r="CK21" s="638"/>
      <c r="CL21" s="638"/>
      <c r="CM21" s="638"/>
      <c r="CN21" s="664"/>
    </row>
    <row r="22" spans="1:93" ht="15.75" x14ac:dyDescent="0.25">
      <c r="A22" s="724"/>
      <c r="B22" s="573"/>
      <c r="C22" s="573"/>
      <c r="D22" s="573"/>
      <c r="E22" s="599"/>
      <c r="F22" s="688"/>
      <c r="G22" s="695"/>
      <c r="H22" s="707"/>
      <c r="I22" s="649"/>
      <c r="J22" s="725"/>
      <c r="K22" s="725"/>
      <c r="L22" s="725"/>
      <c r="M22" s="707"/>
      <c r="N22" s="586"/>
      <c r="O22" s="573"/>
      <c r="P22" s="697"/>
      <c r="Q22" s="681"/>
      <c r="R22" s="573"/>
      <c r="S22" s="573"/>
      <c r="T22" s="573"/>
      <c r="U22" s="573"/>
      <c r="V22" s="573"/>
      <c r="W22" s="573"/>
      <c r="X22" s="573"/>
      <c r="Y22" s="717"/>
      <c r="Z22" s="573"/>
      <c r="AA22" s="680"/>
      <c r="AB22" s="681"/>
      <c r="AC22" s="720"/>
      <c r="AD22" s="691"/>
      <c r="AE22" s="691"/>
      <c r="AF22" s="691"/>
      <c r="AI22" s="720"/>
      <c r="AJ22" s="726"/>
      <c r="AK22" s="726"/>
      <c r="AL22" s="726"/>
      <c r="AM22" s="573"/>
      <c r="AN22" s="573"/>
      <c r="AO22" s="690"/>
      <c r="AP22" s="690"/>
      <c r="AQ22" s="690"/>
      <c r="AR22" s="690"/>
      <c r="AS22" s="573"/>
      <c r="AT22" s="690"/>
      <c r="AU22" s="690"/>
      <c r="AV22" s="690"/>
      <c r="AW22" s="690"/>
      <c r="AX22" s="620"/>
      <c r="AY22" s="586"/>
      <c r="AZ22" s="591"/>
      <c r="BA22" s="590"/>
      <c r="BB22" s="586"/>
      <c r="BC22" s="586"/>
      <c r="BD22" s="586"/>
      <c r="BE22" s="590"/>
      <c r="BF22" s="586"/>
      <c r="BG22" s="586"/>
      <c r="BH22" s="586"/>
      <c r="BI22" s="586"/>
      <c r="BJ22" s="586"/>
      <c r="BK22" s="586"/>
      <c r="BL22" s="586"/>
      <c r="BM22" s="586"/>
      <c r="BN22" s="591"/>
      <c r="BO22" s="586"/>
      <c r="BP22" s="727"/>
      <c r="BS22" s="586"/>
      <c r="BT22" s="586"/>
      <c r="BU22" s="586"/>
      <c r="BV22" s="586"/>
      <c r="BW22" s="586"/>
      <c r="BX22" s="586"/>
      <c r="BY22" s="586"/>
      <c r="CA22" s="638"/>
      <c r="CB22" s="586"/>
      <c r="CC22" s="638"/>
      <c r="CD22" s="638"/>
      <c r="CE22" s="638"/>
      <c r="CF22" s="638"/>
      <c r="CG22" s="638"/>
      <c r="CH22" s="638"/>
      <c r="CI22" s="638"/>
      <c r="CJ22" s="638"/>
      <c r="CK22" s="638"/>
      <c r="CL22" s="638"/>
      <c r="CM22" s="638"/>
      <c r="CN22" s="664"/>
    </row>
    <row r="23" spans="1:93" ht="23.25" x14ac:dyDescent="0.25">
      <c r="A23" s="724"/>
      <c r="B23" s="573"/>
      <c r="C23" s="573"/>
      <c r="D23" s="573"/>
      <c r="E23" s="586"/>
      <c r="F23" s="573"/>
      <c r="G23" s="695"/>
      <c r="H23" s="688"/>
      <c r="I23" s="649"/>
      <c r="J23" s="649"/>
      <c r="K23" s="728"/>
      <c r="L23" s="728"/>
      <c r="M23" s="729"/>
      <c r="N23" s="707"/>
      <c r="O23" s="707"/>
      <c r="P23" s="688"/>
      <c r="Q23" s="681"/>
      <c r="R23" s="573"/>
      <c r="S23" s="573"/>
      <c r="T23" s="573"/>
      <c r="U23" s="573"/>
      <c r="V23" s="573"/>
      <c r="W23" s="573"/>
      <c r="X23" s="573"/>
      <c r="Y23" s="717"/>
      <c r="Z23" s="573"/>
      <c r="AA23" s="680"/>
      <c r="AB23" s="681"/>
      <c r="AC23" s="730"/>
      <c r="AD23" s="731"/>
      <c r="AE23" s="731"/>
      <c r="AF23" s="731"/>
      <c r="AI23" s="730"/>
      <c r="AJ23" s="732"/>
      <c r="AK23" s="732"/>
      <c r="AL23" s="732"/>
      <c r="AN23" s="690"/>
      <c r="AO23" s="693"/>
      <c r="AP23" s="693"/>
      <c r="AQ23" s="693"/>
      <c r="AR23" s="693"/>
      <c r="AS23" s="690"/>
      <c r="AT23" s="693"/>
      <c r="AU23" s="693"/>
      <c r="AV23" s="693"/>
      <c r="AW23" s="693"/>
      <c r="AX23" s="690"/>
      <c r="AY23" s="586"/>
      <c r="AZ23" s="591"/>
      <c r="BA23" s="590"/>
      <c r="BB23" s="586"/>
      <c r="BC23" s="586"/>
      <c r="BD23" s="586"/>
      <c r="BE23" s="590"/>
      <c r="BF23" s="586"/>
      <c r="BG23" s="586"/>
      <c r="BH23" s="586"/>
      <c r="BI23" s="586"/>
      <c r="BJ23" s="586"/>
      <c r="BK23" s="586"/>
      <c r="BL23" s="586"/>
      <c r="BM23" s="586"/>
      <c r="BN23" s="591"/>
      <c r="BO23" s="586"/>
      <c r="BP23" s="727"/>
      <c r="BS23" s="586"/>
      <c r="BT23" s="586"/>
      <c r="BU23" s="586"/>
      <c r="BV23" s="586"/>
      <c r="BW23" s="586"/>
      <c r="BX23" s="586"/>
      <c r="BY23" s="586"/>
      <c r="CA23" s="638"/>
      <c r="CB23" s="586"/>
      <c r="CC23" s="638"/>
      <c r="CD23" s="638"/>
      <c r="CE23" s="638"/>
      <c r="CF23" s="638"/>
      <c r="CG23" s="638"/>
      <c r="CH23" s="638"/>
      <c r="CI23" s="638"/>
      <c r="CJ23" s="638"/>
      <c r="CK23" s="638"/>
      <c r="CL23" s="638"/>
      <c r="CM23" s="638"/>
      <c r="CN23" s="664"/>
      <c r="CO23" s="638"/>
    </row>
    <row r="24" spans="1:93" ht="23.25" x14ac:dyDescent="0.25">
      <c r="A24" s="573"/>
      <c r="B24" s="573"/>
      <c r="C24" s="573"/>
      <c r="D24" s="573"/>
      <c r="E24" s="586"/>
      <c r="F24" s="586"/>
      <c r="G24" s="695"/>
      <c r="H24" s="707"/>
      <c r="I24" s="649"/>
      <c r="J24" s="728"/>
      <c r="K24" s="733"/>
      <c r="L24" s="733"/>
      <c r="M24" s="728"/>
      <c r="N24" s="707"/>
      <c r="O24" s="707"/>
      <c r="P24" s="697"/>
      <c r="Q24" s="681"/>
      <c r="R24" s="573"/>
      <c r="S24" s="573"/>
      <c r="T24" s="573"/>
      <c r="U24" s="573"/>
      <c r="V24" s="573"/>
      <c r="W24" s="573"/>
      <c r="X24" s="573"/>
      <c r="Y24" s="717"/>
      <c r="Z24" s="573"/>
      <c r="AA24" s="680"/>
      <c r="AB24" s="681"/>
      <c r="AC24" s="731"/>
      <c r="AD24" s="734">
        <v>3928881</v>
      </c>
      <c r="AE24" s="734">
        <v>3928886</v>
      </c>
      <c r="AF24" s="734">
        <v>3928895</v>
      </c>
      <c r="AG24" s="731"/>
      <c r="AI24" s="732"/>
      <c r="AJ24" s="735">
        <v>3222913</v>
      </c>
      <c r="AK24" s="736">
        <v>3222916</v>
      </c>
      <c r="AL24" s="736">
        <v>3222912</v>
      </c>
      <c r="AM24" s="732"/>
      <c r="AN24" s="693"/>
      <c r="AO24" s="702"/>
      <c r="AP24" s="702"/>
      <c r="AQ24" s="702"/>
      <c r="AR24" s="702"/>
      <c r="AS24" s="693"/>
      <c r="AT24" s="702"/>
      <c r="AU24" s="702"/>
      <c r="AV24" s="702"/>
      <c r="AW24" s="702"/>
      <c r="AX24" s="693"/>
      <c r="AY24" s="586"/>
      <c r="AZ24" s="591"/>
      <c r="BA24" s="590"/>
      <c r="BB24" s="586"/>
      <c r="BC24" s="586"/>
      <c r="BD24" s="586"/>
      <c r="BE24" s="590"/>
      <c r="BF24" s="586"/>
      <c r="BG24" s="586"/>
      <c r="BH24" s="586"/>
      <c r="BI24" s="586"/>
      <c r="BJ24" s="586"/>
      <c r="BK24" s="586"/>
      <c r="BL24" s="586"/>
      <c r="BM24" s="586"/>
      <c r="BN24" s="591"/>
      <c r="BO24" s="586"/>
      <c r="BP24" s="727"/>
      <c r="BS24" s="586"/>
      <c r="BT24" s="586"/>
      <c r="BU24" s="586"/>
      <c r="BV24" s="586"/>
      <c r="BW24" s="586"/>
      <c r="BX24" s="586"/>
      <c r="BY24" s="586"/>
      <c r="CA24" s="638"/>
      <c r="CB24" s="586"/>
      <c r="CC24" s="638"/>
      <c r="CD24" s="638"/>
      <c r="CE24" s="638"/>
      <c r="CF24" s="638"/>
      <c r="CG24" s="638"/>
      <c r="CH24" s="638"/>
      <c r="CI24" s="638"/>
      <c r="CJ24" s="638"/>
      <c r="CK24" s="638"/>
      <c r="CL24" s="638"/>
      <c r="CM24" s="638"/>
      <c r="CN24" s="664"/>
      <c r="CO24" s="638"/>
    </row>
    <row r="25" spans="1:93" ht="24" thickBot="1" x14ac:dyDescent="0.3">
      <c r="A25" s="737"/>
      <c r="B25" s="599"/>
      <c r="C25" s="599"/>
      <c r="D25" s="599"/>
      <c r="E25" s="586"/>
      <c r="F25" s="688"/>
      <c r="G25" s="695"/>
      <c r="H25" s="573"/>
      <c r="I25" s="728"/>
      <c r="J25" s="693"/>
      <c r="K25" s="702"/>
      <c r="L25" s="702"/>
      <c r="M25" s="693"/>
      <c r="N25" s="728"/>
      <c r="O25" s="707"/>
      <c r="P25" s="688"/>
      <c r="Q25" s="681"/>
      <c r="R25" s="573"/>
      <c r="S25" s="573"/>
      <c r="T25" s="573"/>
      <c r="U25" s="573"/>
      <c r="V25" s="573"/>
      <c r="W25" s="573"/>
      <c r="X25" s="573"/>
      <c r="Y25" s="717"/>
      <c r="Z25" s="573"/>
      <c r="AA25" s="680"/>
      <c r="AB25" s="681"/>
      <c r="AC25" s="731"/>
      <c r="AD25" s="738">
        <v>3928865</v>
      </c>
      <c r="AE25" s="738">
        <v>3928888</v>
      </c>
      <c r="AF25" s="738">
        <v>3928867</v>
      </c>
      <c r="AG25" s="731"/>
      <c r="AI25" s="732"/>
      <c r="AJ25" s="739">
        <v>3222915</v>
      </c>
      <c r="AK25" s="739">
        <v>3222917</v>
      </c>
      <c r="AL25" s="736">
        <v>3222918</v>
      </c>
      <c r="AM25" s="732"/>
      <c r="AN25" s="693"/>
      <c r="AO25" s="702"/>
      <c r="AP25" s="702"/>
      <c r="AQ25" s="702"/>
      <c r="AR25" s="702"/>
      <c r="AS25" s="693"/>
      <c r="AT25" s="702"/>
      <c r="AU25" s="702"/>
      <c r="AV25" s="702"/>
      <c r="AW25" s="702"/>
      <c r="AX25" s="693"/>
      <c r="AY25" s="586"/>
      <c r="AZ25" s="591"/>
      <c r="BA25" s="590"/>
      <c r="BB25" s="586"/>
      <c r="BC25" s="586"/>
      <c r="BD25" s="586"/>
      <c r="BE25" s="590"/>
      <c r="BF25" s="586"/>
      <c r="BG25" s="586"/>
      <c r="BH25" s="586"/>
      <c r="BI25" s="586"/>
      <c r="BJ25" s="586"/>
      <c r="BK25" s="586"/>
      <c r="BL25" s="586"/>
      <c r="BM25" s="586"/>
      <c r="BN25" s="591"/>
      <c r="BO25" s="586"/>
      <c r="BP25" s="727"/>
      <c r="BS25" s="586"/>
      <c r="BT25" s="586"/>
      <c r="BU25" s="586"/>
      <c r="BV25" s="586"/>
      <c r="BW25" s="586"/>
      <c r="BX25" s="586"/>
      <c r="BY25" s="586"/>
      <c r="CA25" s="638"/>
      <c r="CB25" s="586"/>
      <c r="CC25" s="638"/>
      <c r="CD25" s="638"/>
      <c r="CE25" s="638"/>
      <c r="CF25" s="638"/>
      <c r="CG25" s="638"/>
      <c r="CH25" s="638"/>
      <c r="CI25" s="638"/>
      <c r="CJ25" s="638"/>
      <c r="CK25" s="638"/>
      <c r="CL25" s="638"/>
      <c r="CM25" s="638"/>
      <c r="CN25" s="664"/>
      <c r="CO25" s="638"/>
    </row>
    <row r="26" spans="1:93" ht="23.25" x14ac:dyDescent="0.25">
      <c r="A26" s="740"/>
      <c r="B26" s="741"/>
      <c r="C26" s="741"/>
      <c r="D26" s="742"/>
      <c r="E26" s="719"/>
      <c r="F26" s="688"/>
      <c r="G26" s="695"/>
      <c r="H26" s="573"/>
      <c r="I26" s="728"/>
      <c r="J26" s="693"/>
      <c r="K26" s="702"/>
      <c r="L26" s="702"/>
      <c r="M26" s="693"/>
      <c r="N26" s="728"/>
      <c r="O26" s="707"/>
      <c r="P26" s="697"/>
      <c r="Q26" s="681"/>
      <c r="R26" s="573"/>
      <c r="S26" s="573"/>
      <c r="T26" s="573"/>
      <c r="U26" s="573"/>
      <c r="V26" s="573"/>
      <c r="W26" s="573"/>
      <c r="X26" s="573"/>
      <c r="Y26" s="717"/>
      <c r="Z26" s="573"/>
      <c r="AA26" s="680"/>
      <c r="AB26" s="681"/>
      <c r="AC26" s="681"/>
      <c r="AD26" s="731"/>
      <c r="AE26" s="731"/>
      <c r="AF26" s="731"/>
      <c r="AJ26" s="732"/>
      <c r="AK26" s="732"/>
      <c r="AL26" s="732"/>
      <c r="AN26" s="690"/>
      <c r="AO26" s="693"/>
      <c r="AP26" s="693"/>
      <c r="AQ26" s="693"/>
      <c r="AR26" s="693"/>
      <c r="AS26" s="690"/>
      <c r="AT26" s="693"/>
      <c r="AU26" s="693"/>
      <c r="AV26" s="693"/>
      <c r="AW26" s="693"/>
      <c r="AX26" s="690"/>
      <c r="AY26" s="586"/>
      <c r="AZ26" s="591"/>
      <c r="BA26" s="590"/>
      <c r="BB26" s="586"/>
      <c r="BC26" s="586"/>
      <c r="BD26" s="586"/>
      <c r="BE26" s="590"/>
      <c r="BF26" s="586"/>
      <c r="BG26" s="586"/>
      <c r="BH26" s="586"/>
      <c r="BI26" s="586"/>
      <c r="BJ26" s="586"/>
      <c r="BK26" s="586"/>
      <c r="BL26" s="586"/>
      <c r="BM26" s="586"/>
      <c r="BN26" s="591"/>
      <c r="BO26" s="586"/>
      <c r="BP26" s="727"/>
      <c r="BS26" s="586"/>
      <c r="BT26" s="586"/>
      <c r="BU26" s="586"/>
      <c r="BV26" s="586"/>
      <c r="BW26" s="586"/>
      <c r="BX26" s="586"/>
      <c r="BY26" s="586"/>
      <c r="CA26" s="638"/>
      <c r="CB26" s="586"/>
      <c r="CC26" s="638"/>
      <c r="CD26" s="638"/>
      <c r="CE26" s="638"/>
      <c r="CF26" s="638"/>
      <c r="CG26" s="638"/>
      <c r="CH26" s="638"/>
      <c r="CI26" s="638"/>
      <c r="CJ26" s="638"/>
      <c r="CK26" s="638"/>
      <c r="CL26" s="638"/>
      <c r="CM26" s="638"/>
      <c r="CN26" s="664"/>
    </row>
    <row r="27" spans="1:93" ht="15.75" x14ac:dyDescent="0.25">
      <c r="A27" s="743"/>
      <c r="B27" s="744"/>
      <c r="C27" s="744"/>
      <c r="D27" s="745"/>
      <c r="E27" s="746"/>
      <c r="F27" s="688"/>
      <c r="G27" s="695"/>
      <c r="H27" s="573"/>
      <c r="I27" s="649"/>
      <c r="J27" s="728"/>
      <c r="K27" s="733"/>
      <c r="L27" s="733"/>
      <c r="M27" s="728"/>
      <c r="N27" s="573"/>
      <c r="O27" s="707"/>
      <c r="P27" s="688"/>
      <c r="Q27" s="681"/>
      <c r="R27" s="573"/>
      <c r="S27" s="573"/>
      <c r="T27" s="573"/>
      <c r="U27" s="573"/>
      <c r="V27" s="573"/>
      <c r="W27" s="573"/>
      <c r="X27" s="573"/>
      <c r="Y27" s="717"/>
      <c r="Z27" s="573"/>
      <c r="AA27" s="680"/>
      <c r="AB27" s="681"/>
      <c r="AC27" s="681"/>
      <c r="AD27" s="691"/>
      <c r="AE27" s="691"/>
      <c r="AF27" s="691"/>
      <c r="AI27" s="747"/>
      <c r="AJ27" s="691"/>
      <c r="AK27" s="691"/>
      <c r="AL27" s="691"/>
      <c r="AO27" s="690"/>
      <c r="AP27" s="690"/>
      <c r="AQ27" s="690"/>
      <c r="AR27" s="690"/>
      <c r="AS27" s="573"/>
      <c r="AT27" s="690"/>
      <c r="AU27" s="690"/>
      <c r="AV27" s="690"/>
      <c r="AW27" s="690"/>
      <c r="AX27" s="620"/>
      <c r="AY27" s="586"/>
      <c r="AZ27" s="591"/>
      <c r="BA27" s="590"/>
      <c r="BB27" s="586"/>
      <c r="BC27" s="586"/>
      <c r="BD27" s="586"/>
      <c r="BE27" s="590"/>
      <c r="BF27" s="586"/>
      <c r="BG27" s="586"/>
      <c r="BH27" s="586"/>
      <c r="BI27" s="586"/>
      <c r="BJ27" s="586"/>
      <c r="BK27" s="586"/>
      <c r="BL27" s="586"/>
      <c r="BM27" s="586"/>
      <c r="BN27" s="591"/>
      <c r="BO27" s="586"/>
      <c r="BP27" s="727"/>
      <c r="BS27" s="586"/>
      <c r="BT27" s="586"/>
      <c r="BU27" s="586"/>
      <c r="BV27" s="586"/>
      <c r="BW27" s="586"/>
      <c r="BX27" s="586"/>
      <c r="BY27" s="586"/>
      <c r="CA27" s="638"/>
      <c r="CB27" s="586"/>
      <c r="CC27" s="638"/>
      <c r="CD27" s="638"/>
      <c r="CE27" s="638"/>
      <c r="CF27" s="638"/>
      <c r="CG27" s="638"/>
      <c r="CH27" s="638"/>
      <c r="CI27" s="638"/>
      <c r="CJ27" s="638"/>
      <c r="CK27" s="638"/>
      <c r="CL27" s="638"/>
      <c r="CM27" s="638"/>
      <c r="CN27" s="664"/>
      <c r="CO27" s="638"/>
    </row>
    <row r="28" spans="1:93" ht="18" x14ac:dyDescent="0.25">
      <c r="A28" s="743"/>
      <c r="B28" s="744"/>
      <c r="C28" s="744"/>
      <c r="D28" s="745"/>
      <c r="E28" s="719"/>
      <c r="F28" s="688"/>
      <c r="G28" s="695"/>
      <c r="H28" s="573"/>
      <c r="I28" s="649"/>
      <c r="J28" s="649"/>
      <c r="K28" s="728"/>
      <c r="L28" s="728"/>
      <c r="M28" s="649"/>
      <c r="N28" s="748"/>
      <c r="O28" s="599"/>
      <c r="P28" s="697"/>
      <c r="Q28" s="681"/>
      <c r="R28" s="573"/>
      <c r="S28" s="573"/>
      <c r="T28" s="573"/>
      <c r="U28" s="573"/>
      <c r="V28" s="573"/>
      <c r="W28" s="573"/>
      <c r="X28" s="749"/>
      <c r="Y28" s="750"/>
      <c r="Z28" s="573"/>
      <c r="AA28" s="680"/>
      <c r="AB28" s="681"/>
      <c r="AC28" s="681"/>
      <c r="AE28" s="751"/>
      <c r="AF28" s="751"/>
      <c r="AG28" s="751"/>
      <c r="AH28" s="751"/>
      <c r="AJ28" s="752"/>
      <c r="AK28" s="752"/>
      <c r="AL28" s="752"/>
      <c r="AX28" s="620"/>
      <c r="AY28" s="586"/>
      <c r="AZ28" s="591"/>
      <c r="BA28" s="590"/>
      <c r="BB28" s="586"/>
      <c r="BC28" s="586"/>
      <c r="BD28" s="586"/>
      <c r="BE28" s="590"/>
      <c r="BF28" s="586"/>
      <c r="BG28" s="586"/>
      <c r="BH28" s="586"/>
      <c r="BI28" s="586"/>
      <c r="BJ28" s="586"/>
      <c r="BK28" s="586"/>
      <c r="BL28" s="586"/>
      <c r="BM28" s="586"/>
      <c r="BN28" s="591"/>
      <c r="BO28" s="586"/>
      <c r="BP28" s="727"/>
      <c r="BS28" s="586"/>
      <c r="BT28" s="586"/>
      <c r="BU28" s="586"/>
      <c r="BV28" s="586"/>
      <c r="BW28" s="586"/>
      <c r="BX28" s="586"/>
      <c r="BY28" s="586"/>
      <c r="CA28" s="638"/>
      <c r="CB28" s="586"/>
      <c r="CC28" s="638"/>
      <c r="CD28" s="638"/>
      <c r="CE28" s="638"/>
      <c r="CF28" s="638"/>
      <c r="CG28" s="638"/>
      <c r="CH28" s="638"/>
      <c r="CI28" s="638"/>
      <c r="CJ28" s="638"/>
      <c r="CK28" s="638"/>
      <c r="CL28" s="638"/>
      <c r="CM28" s="638"/>
      <c r="CN28" s="664"/>
      <c r="CO28" s="638"/>
    </row>
    <row r="29" spans="1:93" ht="18" customHeight="1" x14ac:dyDescent="0.25">
      <c r="A29" s="743"/>
      <c r="B29" s="744"/>
      <c r="C29" s="744"/>
      <c r="D29" s="745"/>
      <c r="E29" s="746"/>
      <c r="F29" s="688"/>
      <c r="G29" s="695"/>
      <c r="H29" s="573"/>
      <c r="O29" s="599"/>
      <c r="P29" s="688"/>
      <c r="Q29" s="681"/>
      <c r="R29" s="573"/>
      <c r="S29" s="573"/>
      <c r="T29" s="573"/>
      <c r="U29" s="573"/>
      <c r="V29" s="573"/>
      <c r="W29" s="573"/>
      <c r="X29" s="749"/>
      <c r="Y29" s="750"/>
      <c r="Z29" s="599"/>
      <c r="AA29" s="680"/>
      <c r="AB29" s="681"/>
      <c r="AC29" s="681"/>
      <c r="AI29" s="720"/>
      <c r="AJ29" s="691"/>
      <c r="AK29" s="691"/>
      <c r="AL29" s="691"/>
      <c r="AN29" s="720"/>
      <c r="AO29" s="691"/>
      <c r="AP29" s="691"/>
      <c r="AQ29" s="691"/>
      <c r="AR29" s="691"/>
      <c r="AX29" s="620"/>
      <c r="AY29" s="586"/>
      <c r="AZ29" s="591"/>
      <c r="BA29" s="590"/>
      <c r="BB29" s="753" t="s">
        <v>205</v>
      </c>
      <c r="BC29" s="586"/>
      <c r="BD29" s="586"/>
      <c r="BE29" s="590"/>
      <c r="BF29" s="586"/>
      <c r="BG29" s="586"/>
      <c r="BH29" s="586"/>
      <c r="BI29" s="586"/>
      <c r="BJ29" s="586"/>
      <c r="BK29" s="586"/>
      <c r="BL29" s="586"/>
      <c r="BM29" s="586"/>
      <c r="BN29" s="591"/>
      <c r="BO29" s="586"/>
      <c r="BP29" s="727"/>
      <c r="BQ29" s="638"/>
      <c r="BR29" s="727"/>
      <c r="BS29" s="586"/>
      <c r="BT29" s="586"/>
      <c r="BU29" s="586"/>
      <c r="BV29" s="586"/>
      <c r="BW29" s="586"/>
      <c r="BX29" s="586"/>
      <c r="BY29" s="586"/>
      <c r="CA29" s="638"/>
      <c r="CB29" s="586"/>
      <c r="CC29" s="638"/>
      <c r="CD29" s="638"/>
      <c r="CE29" s="638"/>
      <c r="CF29" s="638"/>
      <c r="CG29" s="638"/>
      <c r="CH29" s="638"/>
      <c r="CI29" s="638"/>
      <c r="CJ29" s="638"/>
      <c r="CK29" s="638"/>
      <c r="CL29" s="638"/>
      <c r="CM29" s="638"/>
      <c r="CN29" s="664"/>
      <c r="CO29" s="638"/>
    </row>
    <row r="30" spans="1:93" ht="24" thickBot="1" x14ac:dyDescent="0.3">
      <c r="A30" s="743"/>
      <c r="B30" s="744"/>
      <c r="C30" s="744"/>
      <c r="D30" s="745"/>
      <c r="E30" s="719"/>
      <c r="F30" s="599"/>
      <c r="G30" s="695"/>
      <c r="H30" s="573"/>
      <c r="I30" s="649"/>
      <c r="J30" s="649"/>
      <c r="K30" s="728"/>
      <c r="L30" s="728"/>
      <c r="M30" s="729"/>
      <c r="N30" s="748"/>
      <c r="O30" s="599"/>
      <c r="P30" s="697"/>
      <c r="Q30" s="681"/>
      <c r="R30" s="573"/>
      <c r="S30" s="573"/>
      <c r="T30" s="573"/>
      <c r="U30" s="573"/>
      <c r="V30" s="749"/>
      <c r="W30" s="573"/>
      <c r="X30" s="749"/>
      <c r="Y30" s="750"/>
      <c r="Z30" s="599"/>
      <c r="AA30" s="591"/>
      <c r="AB30" s="681"/>
      <c r="AC30" s="681"/>
      <c r="AI30" s="730"/>
      <c r="AJ30" s="731"/>
      <c r="AK30" s="731"/>
      <c r="AL30" s="731"/>
      <c r="AN30" s="730"/>
      <c r="AO30" s="754"/>
      <c r="AP30" s="754"/>
      <c r="AQ30" s="754"/>
      <c r="AR30" s="754"/>
      <c r="AW30" s="586"/>
      <c r="AX30" s="755" t="s">
        <v>208</v>
      </c>
      <c r="AY30" s="756"/>
      <c r="AZ30" s="757"/>
      <c r="BA30" s="590"/>
      <c r="BB30" s="586"/>
      <c r="BC30" s="586"/>
      <c r="BD30" s="586"/>
      <c r="BE30" s="590"/>
      <c r="BF30" s="586"/>
      <c r="BG30" s="586"/>
      <c r="BH30" s="586"/>
      <c r="BI30" s="586"/>
      <c r="BJ30" s="586"/>
      <c r="BK30" s="586"/>
      <c r="BL30" s="586"/>
      <c r="BM30" s="586"/>
      <c r="BN30" s="591"/>
      <c r="BO30" s="586"/>
      <c r="BP30" s="727"/>
      <c r="BQ30" s="638"/>
      <c r="BR30" s="638"/>
      <c r="BS30" s="586"/>
      <c r="BT30" s="586"/>
      <c r="BU30" s="586"/>
      <c r="BV30" s="586"/>
      <c r="BW30" s="586"/>
      <c r="BX30" s="586"/>
      <c r="BY30" s="586"/>
      <c r="CA30" s="638"/>
      <c r="CB30" s="586"/>
      <c r="CC30" s="616"/>
      <c r="CD30" s="616"/>
      <c r="CE30" s="616"/>
      <c r="CF30" s="616"/>
      <c r="CG30" s="616"/>
      <c r="CH30" s="616"/>
      <c r="CI30" s="616"/>
      <c r="CJ30" s="616"/>
      <c r="CK30" s="616"/>
      <c r="CL30" s="616"/>
      <c r="CM30" s="616"/>
      <c r="CN30" s="616"/>
    </row>
    <row r="31" spans="1:93" ht="24" thickBot="1" x14ac:dyDescent="0.3">
      <c r="A31" s="743"/>
      <c r="B31" s="744"/>
      <c r="C31" s="744"/>
      <c r="D31" s="745"/>
      <c r="E31" s="746"/>
      <c r="F31" s="599"/>
      <c r="G31" s="695"/>
      <c r="H31" s="573"/>
      <c r="I31" s="649"/>
      <c r="J31" s="728"/>
      <c r="K31" s="733"/>
      <c r="L31" s="733"/>
      <c r="M31" s="728"/>
      <c r="N31" s="748"/>
      <c r="O31" s="599"/>
      <c r="P31" s="688"/>
      <c r="Q31" s="681"/>
      <c r="R31" s="573"/>
      <c r="S31" s="573"/>
      <c r="T31" s="573"/>
      <c r="U31" s="573"/>
      <c r="V31" s="573"/>
      <c r="W31" s="573"/>
      <c r="X31" s="749"/>
      <c r="Y31" s="750"/>
      <c r="Z31" s="749"/>
      <c r="AA31" s="758"/>
      <c r="AB31" s="681"/>
      <c r="AC31" s="681"/>
      <c r="AD31" s="699"/>
      <c r="AE31" s="699"/>
      <c r="AF31" s="699"/>
      <c r="AI31" s="731"/>
      <c r="AJ31" s="759">
        <v>9367656</v>
      </c>
      <c r="AK31" s="759">
        <v>9367662</v>
      </c>
      <c r="AL31" s="759">
        <v>9367660</v>
      </c>
      <c r="AM31" s="731"/>
      <c r="AN31" s="754"/>
      <c r="AO31" s="760">
        <v>3126793</v>
      </c>
      <c r="AP31" s="760">
        <v>3126774</v>
      </c>
      <c r="AQ31" s="760">
        <v>3126775</v>
      </c>
      <c r="AR31" s="760">
        <v>3126788</v>
      </c>
      <c r="AS31" s="754"/>
      <c r="AT31" s="699"/>
      <c r="AU31" s="699"/>
      <c r="AV31" s="699"/>
      <c r="AW31" s="699"/>
      <c r="AX31" s="755"/>
      <c r="AY31" s="756"/>
      <c r="AZ31" s="757"/>
      <c r="BA31" s="590"/>
      <c r="BB31" s="586"/>
      <c r="BC31" s="586"/>
      <c r="BD31" s="586"/>
      <c r="BE31" s="590"/>
      <c r="BF31" s="586"/>
      <c r="BG31" s="586"/>
      <c r="BH31" s="586"/>
      <c r="BI31" s="586"/>
      <c r="BJ31" s="586"/>
      <c r="BK31" s="586"/>
      <c r="BL31" s="586"/>
      <c r="BM31" s="586"/>
      <c r="BN31" s="591"/>
      <c r="BO31" s="586"/>
      <c r="BP31" s="727"/>
      <c r="BQ31" s="638"/>
      <c r="BR31" s="638"/>
      <c r="BS31" s="586"/>
      <c r="BT31" s="586"/>
      <c r="BU31" s="586"/>
      <c r="BV31" s="586"/>
      <c r="BW31" s="586"/>
      <c r="BX31" s="586"/>
      <c r="BY31" s="586"/>
      <c r="CA31" s="638"/>
      <c r="CB31" s="591"/>
      <c r="CC31" s="761" t="s">
        <v>209</v>
      </c>
      <c r="CD31" s="762"/>
      <c r="CE31" s="763"/>
      <c r="CF31" s="573"/>
      <c r="CG31" s="573"/>
      <c r="CH31" s="573"/>
      <c r="CI31" s="573"/>
      <c r="CJ31" s="573"/>
      <c r="CK31" s="573"/>
      <c r="CL31" s="573"/>
    </row>
    <row r="32" spans="1:93" ht="23.25" x14ac:dyDescent="0.25">
      <c r="A32" s="743"/>
      <c r="B32" s="744"/>
      <c r="C32" s="744"/>
      <c r="D32" s="745"/>
      <c r="E32" s="719"/>
      <c r="F32" s="599"/>
      <c r="G32" s="695"/>
      <c r="H32" s="573"/>
      <c r="I32" s="728"/>
      <c r="J32" s="693"/>
      <c r="K32" s="702"/>
      <c r="L32" s="702"/>
      <c r="M32" s="693"/>
      <c r="N32" s="728"/>
      <c r="O32" s="599"/>
      <c r="P32" s="697"/>
      <c r="Q32" s="681"/>
      <c r="R32" s="573"/>
      <c r="S32" s="573"/>
      <c r="T32" s="573"/>
      <c r="U32" s="573"/>
      <c r="V32" s="573"/>
      <c r="W32" s="573"/>
      <c r="X32" s="749"/>
      <c r="Y32" s="750"/>
      <c r="Z32" s="599"/>
      <c r="AA32" s="591"/>
      <c r="AB32" s="681"/>
      <c r="AC32" s="681"/>
      <c r="AD32" s="699"/>
      <c r="AE32" s="699"/>
      <c r="AF32" s="699"/>
      <c r="AI32" s="731"/>
      <c r="AJ32" s="759">
        <v>9367679</v>
      </c>
      <c r="AK32" s="759">
        <v>9367671</v>
      </c>
      <c r="AL32" s="759">
        <v>9367686</v>
      </c>
      <c r="AM32" s="731"/>
      <c r="AN32" s="754"/>
      <c r="AO32" s="760">
        <v>3126792</v>
      </c>
      <c r="AP32" s="760">
        <v>3126782</v>
      </c>
      <c r="AQ32" s="760">
        <v>3126773</v>
      </c>
      <c r="AR32" s="760">
        <v>3126814</v>
      </c>
      <c r="AS32" s="754"/>
      <c r="AT32" s="699"/>
      <c r="AU32" s="699"/>
      <c r="AV32" s="699"/>
      <c r="AW32" s="699"/>
      <c r="AX32" s="755"/>
      <c r="AY32" s="756"/>
      <c r="AZ32" s="757"/>
      <c r="BA32" s="590"/>
      <c r="BB32" s="586"/>
      <c r="BC32" s="586"/>
      <c r="BD32" s="586"/>
      <c r="BE32" s="590"/>
      <c r="BF32" s="586"/>
      <c r="BG32" s="586"/>
      <c r="BH32" s="586"/>
      <c r="BI32" s="586"/>
      <c r="BJ32" s="586"/>
      <c r="BK32" s="586"/>
      <c r="BL32" s="586"/>
      <c r="BM32" s="586"/>
      <c r="BN32" s="591"/>
      <c r="BO32" s="586"/>
      <c r="BP32" s="727"/>
      <c r="BQ32" s="638"/>
      <c r="BR32" s="638"/>
      <c r="BS32" s="586"/>
      <c r="BT32" s="586"/>
      <c r="BU32" s="586"/>
      <c r="BV32" s="586"/>
      <c r="BW32" s="586"/>
      <c r="BX32" s="586"/>
      <c r="BY32" s="586"/>
      <c r="CA32" s="638"/>
      <c r="CB32" s="591"/>
      <c r="CC32" s="573"/>
      <c r="CD32" s="573"/>
      <c r="CE32" s="573"/>
      <c r="CF32" s="573"/>
      <c r="CG32" s="573"/>
      <c r="CH32" s="573"/>
      <c r="CI32" s="573"/>
      <c r="CJ32" s="573"/>
      <c r="CK32" s="573"/>
      <c r="CL32" s="573"/>
    </row>
    <row r="33" spans="1:90" ht="23.25" x14ac:dyDescent="0.25">
      <c r="A33" s="743"/>
      <c r="B33" s="744"/>
      <c r="C33" s="744"/>
      <c r="D33" s="745"/>
      <c r="E33" s="746"/>
      <c r="F33" s="599"/>
      <c r="G33" s="599"/>
      <c r="H33" s="599"/>
      <c r="I33" s="728"/>
      <c r="J33" s="693"/>
      <c r="K33" s="702"/>
      <c r="L33" s="702"/>
      <c r="M33" s="693"/>
      <c r="N33" s="728"/>
      <c r="O33" s="599"/>
      <c r="P33" s="688"/>
      <c r="Q33" s="681"/>
      <c r="R33" s="573"/>
      <c r="S33" s="573"/>
      <c r="T33" s="573"/>
      <c r="U33" s="573"/>
      <c r="V33" s="573"/>
      <c r="W33" s="573"/>
      <c r="X33" s="764"/>
      <c r="Y33" s="750"/>
      <c r="Z33" s="599"/>
      <c r="AA33" s="591"/>
      <c r="AB33" s="681"/>
      <c r="AJ33" s="731"/>
      <c r="AK33" s="731"/>
      <c r="AL33" s="731"/>
      <c r="AM33" s="573"/>
      <c r="AO33" s="754"/>
      <c r="AP33" s="754"/>
      <c r="AQ33" s="754"/>
      <c r="AR33" s="754"/>
      <c r="AS33" s="765"/>
      <c r="AX33" s="755"/>
      <c r="AY33" s="756"/>
      <c r="AZ33" s="757"/>
      <c r="BA33" s="590"/>
      <c r="BB33" s="586"/>
      <c r="BC33" s="586"/>
      <c r="BD33" s="586"/>
      <c r="BE33" s="590"/>
      <c r="BF33" s="586"/>
      <c r="BG33" s="586"/>
      <c r="BH33" s="586"/>
      <c r="BI33" s="586"/>
      <c r="BJ33" s="586"/>
      <c r="BK33" s="586"/>
      <c r="BL33" s="586"/>
      <c r="BM33" s="586"/>
      <c r="BN33" s="591"/>
      <c r="BO33" s="586"/>
      <c r="BP33" s="586"/>
      <c r="BQ33" s="727"/>
      <c r="BR33" s="638"/>
      <c r="BS33" s="586"/>
      <c r="BT33" s="586"/>
      <c r="BU33" s="586"/>
      <c r="BV33" s="586"/>
      <c r="BW33" s="586"/>
      <c r="BX33" s="586"/>
      <c r="BY33" s="586"/>
      <c r="BZ33" s="638"/>
      <c r="CA33" s="638"/>
      <c r="CB33" s="591"/>
      <c r="CC33" s="590"/>
      <c r="CD33" s="573"/>
      <c r="CE33" s="573"/>
      <c r="CF33" s="573"/>
      <c r="CG33" s="573"/>
      <c r="CH33" s="638"/>
      <c r="CI33" s="638"/>
      <c r="CJ33" s="638"/>
      <c r="CK33" s="638"/>
      <c r="CL33" s="638"/>
    </row>
    <row r="34" spans="1:90" ht="16.5" thickBot="1" x14ac:dyDescent="0.3">
      <c r="A34" s="766"/>
      <c r="B34" s="767"/>
      <c r="C34" s="767"/>
      <c r="D34" s="768"/>
      <c r="E34" s="719"/>
      <c r="F34" s="599"/>
      <c r="G34" s="599"/>
      <c r="H34" s="599"/>
      <c r="I34" s="649"/>
      <c r="J34" s="728"/>
      <c r="K34" s="733"/>
      <c r="L34" s="733"/>
      <c r="M34" s="728"/>
      <c r="N34" s="573"/>
      <c r="O34" s="599"/>
      <c r="P34" s="599"/>
      <c r="Q34" s="769"/>
      <c r="R34" s="770"/>
      <c r="S34" s="770"/>
      <c r="T34" s="770"/>
      <c r="U34" s="770"/>
      <c r="V34" s="771"/>
      <c r="W34" s="772"/>
      <c r="X34" s="772"/>
      <c r="Y34" s="773"/>
      <c r="Z34" s="599"/>
      <c r="AA34" s="774"/>
      <c r="AB34" s="599"/>
      <c r="AC34" s="775"/>
      <c r="AI34" s="765"/>
      <c r="AJ34" s="691"/>
      <c r="AK34" s="691"/>
      <c r="AL34" s="776"/>
      <c r="AM34" s="573"/>
      <c r="AO34" s="691"/>
      <c r="AP34" s="691"/>
      <c r="AQ34" s="691"/>
      <c r="AR34" s="691"/>
      <c r="AS34" s="765"/>
      <c r="AW34" s="586"/>
      <c r="AX34" s="620"/>
      <c r="AY34" s="586"/>
      <c r="AZ34" s="591"/>
      <c r="BA34" s="590"/>
      <c r="BB34" s="586"/>
      <c r="BC34" s="586"/>
      <c r="BD34" s="586"/>
      <c r="BE34" s="590"/>
      <c r="BF34" s="586"/>
      <c r="BG34" s="586"/>
      <c r="BH34" s="586"/>
      <c r="BI34" s="586"/>
      <c r="BJ34" s="586"/>
      <c r="BK34" s="586"/>
      <c r="BL34" s="586"/>
      <c r="BM34" s="586"/>
      <c r="BN34" s="591"/>
      <c r="BO34" s="586"/>
      <c r="BP34" s="586"/>
      <c r="BQ34" s="586"/>
      <c r="BR34" s="586"/>
      <c r="BS34" s="586"/>
      <c r="BT34" s="586"/>
      <c r="BU34" s="586"/>
      <c r="BV34" s="586"/>
      <c r="BW34" s="586"/>
      <c r="BX34" s="586"/>
      <c r="BY34" s="586"/>
      <c r="BZ34" s="586"/>
      <c r="CA34" s="586"/>
      <c r="CB34" s="591"/>
      <c r="CC34" s="590"/>
      <c r="CD34" s="573"/>
      <c r="CE34" s="573"/>
      <c r="CF34" s="573"/>
      <c r="CG34" s="573"/>
      <c r="CH34" s="638"/>
      <c r="CI34" s="638"/>
      <c r="CJ34" s="638"/>
      <c r="CK34" s="638"/>
      <c r="CL34" s="638"/>
    </row>
    <row r="35" spans="1:90" ht="16.5" customHeight="1" thickBot="1" x14ac:dyDescent="0.3">
      <c r="A35" s="777" t="s">
        <v>210</v>
      </c>
      <c r="B35" s="778"/>
      <c r="C35" s="779"/>
      <c r="D35" s="599"/>
      <c r="E35" s="599"/>
      <c r="F35" s="599"/>
      <c r="G35" s="599"/>
      <c r="H35" s="599"/>
      <c r="I35" s="649"/>
      <c r="J35" s="649"/>
      <c r="K35" s="728"/>
      <c r="L35" s="728"/>
      <c r="M35" s="649"/>
      <c r="N35" s="748"/>
      <c r="O35" s="573"/>
      <c r="P35" s="599"/>
      <c r="Q35" s="599"/>
      <c r="R35" s="599"/>
      <c r="S35" s="573"/>
      <c r="T35" s="599"/>
      <c r="U35" s="753"/>
      <c r="V35" s="573"/>
      <c r="W35" s="573"/>
      <c r="X35" s="599"/>
      <c r="Y35" s="599"/>
      <c r="Z35" s="599"/>
      <c r="AA35" s="780"/>
      <c r="AB35" s="688"/>
      <c r="AC35" s="751"/>
      <c r="AI35" s="586"/>
      <c r="AJ35" s="573"/>
      <c r="AK35" s="573"/>
      <c r="AL35" s="781"/>
      <c r="AM35" s="573"/>
      <c r="AO35" s="782"/>
      <c r="AP35" s="782"/>
      <c r="AQ35" s="782"/>
      <c r="AR35" s="782"/>
      <c r="AS35" s="700"/>
      <c r="AT35" s="727"/>
      <c r="AU35" s="727"/>
      <c r="AV35" s="727"/>
      <c r="AW35" s="586"/>
      <c r="AX35" s="620"/>
      <c r="AY35" s="586"/>
      <c r="AZ35" s="591"/>
      <c r="BA35" s="590"/>
      <c r="BB35" s="586"/>
      <c r="BC35" s="586"/>
      <c r="BD35" s="586"/>
      <c r="BE35" s="590"/>
      <c r="BF35" s="586"/>
      <c r="BG35" s="586"/>
      <c r="BH35" s="586"/>
      <c r="BI35" s="586"/>
      <c r="BJ35" s="586"/>
      <c r="BK35" s="586"/>
      <c r="BL35" s="586"/>
      <c r="BM35" s="586"/>
      <c r="BN35" s="591"/>
      <c r="BO35" s="586"/>
      <c r="BP35" s="586"/>
      <c r="BQ35" s="586"/>
      <c r="BR35" s="586"/>
      <c r="BS35" s="586"/>
      <c r="BT35" s="586"/>
      <c r="BU35" s="586"/>
      <c r="BV35" s="586"/>
      <c r="BW35" s="586"/>
      <c r="BX35" s="586"/>
      <c r="BY35" s="586"/>
      <c r="BZ35" s="586"/>
      <c r="CA35" s="586"/>
      <c r="CB35" s="591"/>
      <c r="CC35" s="573"/>
      <c r="CD35" s="573"/>
      <c r="CE35" s="573"/>
      <c r="CF35" s="573"/>
      <c r="CG35" s="573"/>
      <c r="CH35" s="638"/>
      <c r="CI35" s="638"/>
      <c r="CJ35" s="638"/>
      <c r="CK35" s="638"/>
      <c r="CL35" s="638"/>
    </row>
    <row r="36" spans="1:90" ht="23.25" customHeight="1" x14ac:dyDescent="0.25">
      <c r="A36" s="783"/>
      <c r="B36" s="784"/>
      <c r="C36" s="785"/>
      <c r="D36" s="786"/>
      <c r="E36" s="599"/>
      <c r="F36" s="599"/>
      <c r="G36" s="599"/>
      <c r="H36" s="599"/>
      <c r="I36" s="599"/>
      <c r="J36" s="599"/>
      <c r="K36" s="599"/>
      <c r="L36" s="586"/>
      <c r="M36" s="599"/>
      <c r="N36" s="599"/>
      <c r="O36" s="573"/>
      <c r="P36" s="599"/>
      <c r="Q36" s="599"/>
      <c r="R36" s="599"/>
      <c r="S36" s="599"/>
      <c r="T36" s="599"/>
      <c r="U36" s="573"/>
      <c r="V36" s="573"/>
      <c r="W36" s="573"/>
      <c r="X36" s="599"/>
      <c r="Y36" s="746"/>
      <c r="Z36" s="787" t="s">
        <v>212</v>
      </c>
      <c r="AA36" s="788"/>
      <c r="AB36" s="788"/>
      <c r="AC36" s="789"/>
      <c r="AE36" s="790"/>
      <c r="AF36" s="790"/>
      <c r="AI36" s="573"/>
      <c r="AJ36" s="723"/>
      <c r="AK36" s="723"/>
      <c r="AL36" s="573"/>
      <c r="AS36" s="573"/>
      <c r="AX36" s="620"/>
      <c r="AY36" s="586"/>
      <c r="AZ36" s="591"/>
      <c r="BA36" s="590"/>
      <c r="BB36" s="586"/>
      <c r="BC36" s="586"/>
      <c r="BD36" s="586"/>
      <c r="BE36" s="590"/>
      <c r="BF36" s="586"/>
      <c r="BG36" s="586"/>
      <c r="BH36" s="586"/>
      <c r="BI36" s="586"/>
      <c r="BJ36" s="586"/>
      <c r="BK36" s="586"/>
      <c r="BL36" s="586"/>
      <c r="BM36" s="586"/>
      <c r="BN36" s="591"/>
      <c r="BO36" s="586"/>
      <c r="BP36" s="586"/>
      <c r="BQ36" s="586"/>
      <c r="BR36" s="586"/>
      <c r="BS36" s="586"/>
      <c r="BT36" s="586"/>
      <c r="BU36" s="586"/>
      <c r="BV36" s="586"/>
      <c r="BW36" s="586"/>
      <c r="BX36" s="586"/>
      <c r="BY36" s="586"/>
      <c r="BZ36" s="586"/>
      <c r="CA36" s="586"/>
      <c r="CB36" s="591"/>
      <c r="CC36" s="573"/>
      <c r="CD36" s="573"/>
      <c r="CE36" s="573"/>
      <c r="CF36" s="573"/>
      <c r="CH36" s="638"/>
      <c r="CI36" s="638"/>
      <c r="CJ36" s="638"/>
      <c r="CK36" s="638"/>
      <c r="CL36" s="638"/>
    </row>
    <row r="37" spans="1:90" ht="16.5" thickBot="1" x14ac:dyDescent="0.3">
      <c r="A37" s="783"/>
      <c r="B37" s="784"/>
      <c r="C37" s="785"/>
      <c r="D37" s="786"/>
      <c r="E37" s="599"/>
      <c r="F37" s="599"/>
      <c r="G37" s="599"/>
      <c r="H37" s="599"/>
      <c r="I37" s="599"/>
      <c r="J37" s="599"/>
      <c r="K37" s="599"/>
      <c r="L37" s="586"/>
      <c r="M37" s="599"/>
      <c r="N37" s="599"/>
      <c r="O37" s="599"/>
      <c r="P37" s="599"/>
      <c r="Q37" s="599"/>
      <c r="R37" s="573"/>
      <c r="S37" s="599"/>
      <c r="T37" s="599"/>
      <c r="U37" s="573"/>
      <c r="V37" s="573"/>
      <c r="W37" s="573"/>
      <c r="X37" s="599"/>
      <c r="Y37" s="746"/>
      <c r="Z37" s="791"/>
      <c r="AA37" s="792"/>
      <c r="AB37" s="792"/>
      <c r="AC37" s="793"/>
      <c r="AD37" s="720"/>
      <c r="AE37" s="691"/>
      <c r="AF37" s="691"/>
      <c r="AI37" s="720"/>
      <c r="AJ37" s="691"/>
      <c r="AK37" s="691"/>
      <c r="AL37" s="573"/>
      <c r="AN37" s="720"/>
      <c r="AO37" s="691"/>
      <c r="AP37" s="691"/>
      <c r="AQ37" s="691"/>
      <c r="AR37" s="691"/>
      <c r="AS37" s="573"/>
      <c r="AX37" s="620"/>
      <c r="AY37" s="794"/>
      <c r="AZ37" s="591"/>
      <c r="BA37" s="590"/>
      <c r="BB37" s="586"/>
      <c r="BC37" s="586"/>
      <c r="BD37" s="586"/>
      <c r="BE37" s="590"/>
      <c r="BF37" s="586"/>
      <c r="BG37" s="586"/>
      <c r="BH37" s="586"/>
      <c r="BI37" s="586"/>
      <c r="BJ37" s="586"/>
      <c r="BK37" s="586"/>
      <c r="BL37" s="586"/>
      <c r="BM37" s="586"/>
      <c r="BN37" s="591"/>
      <c r="BO37" s="586"/>
      <c r="BP37" s="586"/>
      <c r="BQ37" s="586"/>
      <c r="BR37" s="586"/>
      <c r="BS37" s="586"/>
      <c r="BT37" s="586"/>
      <c r="BU37" s="586"/>
      <c r="BV37" s="586"/>
      <c r="BW37" s="586"/>
      <c r="BX37" s="586"/>
      <c r="BY37" s="586"/>
      <c r="BZ37" s="586"/>
      <c r="CA37" s="586"/>
      <c r="CB37" s="591"/>
      <c r="CC37" s="573"/>
      <c r="CD37" s="573"/>
      <c r="CE37" s="573"/>
      <c r="CF37" s="573"/>
      <c r="CH37" s="638"/>
      <c r="CI37" s="638"/>
      <c r="CJ37" s="638"/>
      <c r="CK37" s="638"/>
      <c r="CL37" s="638"/>
    </row>
    <row r="38" spans="1:90" ht="18" customHeight="1" x14ac:dyDescent="0.25">
      <c r="A38" s="783"/>
      <c r="B38" s="784"/>
      <c r="C38" s="785"/>
      <c r="D38" s="786"/>
      <c r="E38" s="599"/>
      <c r="F38" s="599"/>
      <c r="G38" s="599"/>
      <c r="H38" s="599"/>
      <c r="I38" s="638"/>
      <c r="J38" s="638"/>
      <c r="K38" s="638"/>
      <c r="L38" s="586"/>
      <c r="M38" s="599"/>
      <c r="P38" s="599"/>
      <c r="Q38" s="599"/>
      <c r="R38" s="573"/>
      <c r="S38" s="727"/>
      <c r="T38" s="599"/>
      <c r="U38" s="573"/>
      <c r="V38" s="573"/>
      <c r="W38" s="573"/>
      <c r="X38" s="599"/>
      <c r="Y38" s="746"/>
      <c r="Z38" s="599"/>
      <c r="AA38" s="795"/>
      <c r="AB38" s="688"/>
      <c r="AC38" s="688"/>
      <c r="AD38" s="730"/>
      <c r="AE38" s="796"/>
      <c r="AF38" s="796"/>
      <c r="AG38" s="573"/>
      <c r="AI38" s="730"/>
      <c r="AJ38" s="797"/>
      <c r="AK38" s="797"/>
      <c r="AL38" s="573"/>
      <c r="AN38" s="730"/>
      <c r="AO38" s="754"/>
      <c r="AP38" s="754"/>
      <c r="AQ38" s="754"/>
      <c r="AR38" s="754"/>
      <c r="AX38" s="620"/>
      <c r="AY38" s="586"/>
      <c r="AZ38" s="591"/>
      <c r="BA38" s="590"/>
      <c r="BB38" s="586"/>
      <c r="BC38" s="586"/>
      <c r="BD38" s="586"/>
      <c r="BE38" s="590"/>
      <c r="BF38" s="586"/>
      <c r="BG38" s="586"/>
      <c r="BH38" s="586"/>
      <c r="BI38" s="586"/>
      <c r="BJ38" s="586"/>
      <c r="BK38" s="586"/>
      <c r="BL38" s="586"/>
      <c r="BM38" s="586"/>
      <c r="BN38" s="591"/>
      <c r="BO38" s="586"/>
      <c r="BP38" s="586"/>
      <c r="BQ38" s="586"/>
      <c r="BR38" s="586"/>
      <c r="BS38" s="586"/>
      <c r="BT38" s="586"/>
      <c r="BU38" s="586"/>
      <c r="BV38" s="586"/>
      <c r="BW38" s="586"/>
      <c r="BX38" s="586"/>
      <c r="BY38" s="586"/>
      <c r="BZ38" s="586"/>
      <c r="CA38" s="586"/>
      <c r="CB38" s="591"/>
      <c r="CC38" s="573"/>
      <c r="CD38" s="573"/>
      <c r="CE38" s="573"/>
      <c r="CF38" s="573"/>
      <c r="CH38" s="638"/>
      <c r="CI38" s="638"/>
      <c r="CJ38" s="638"/>
      <c r="CK38" s="638"/>
      <c r="CL38" s="638"/>
    </row>
    <row r="39" spans="1:90" ht="23.25" x14ac:dyDescent="0.25">
      <c r="A39" s="783"/>
      <c r="B39" s="784"/>
      <c r="C39" s="785"/>
      <c r="D39" s="786"/>
      <c r="E39" s="599"/>
      <c r="F39" s="599"/>
      <c r="G39" s="599"/>
      <c r="H39" s="599"/>
      <c r="I39" s="638"/>
      <c r="J39" s="798"/>
      <c r="K39" s="724"/>
      <c r="L39" s="724"/>
      <c r="M39" s="599"/>
      <c r="P39" s="599"/>
      <c r="Q39" s="599"/>
      <c r="R39" s="573"/>
      <c r="S39" s="746"/>
      <c r="T39" s="599"/>
      <c r="U39" s="573"/>
      <c r="V39" s="573"/>
      <c r="W39" s="573"/>
      <c r="X39" s="599"/>
      <c r="Y39" s="746"/>
      <c r="Z39" s="599"/>
      <c r="AA39" s="774"/>
      <c r="AB39" s="688"/>
      <c r="AC39" s="688"/>
      <c r="AD39" s="796"/>
      <c r="AE39" s="799">
        <v>3728714</v>
      </c>
      <c r="AF39" s="799">
        <v>3728660</v>
      </c>
      <c r="AG39" s="796"/>
      <c r="AI39" s="797"/>
      <c r="AJ39" s="800">
        <v>7047885</v>
      </c>
      <c r="AK39" s="800">
        <v>7052785</v>
      </c>
      <c r="AL39" s="797"/>
      <c r="AN39" s="754"/>
      <c r="AO39" s="760">
        <v>3132091</v>
      </c>
      <c r="AP39" s="801">
        <v>3132120</v>
      </c>
      <c r="AQ39" s="801">
        <v>3132104</v>
      </c>
      <c r="AR39" s="801">
        <v>3132103</v>
      </c>
      <c r="AS39" s="754"/>
      <c r="AV39" s="776"/>
      <c r="AW39" s="573"/>
      <c r="AX39" s="620"/>
      <c r="AY39" s="586"/>
      <c r="AZ39" s="591"/>
      <c r="BA39" s="590"/>
      <c r="BB39" s="586"/>
      <c r="BC39" s="586"/>
      <c r="BD39" s="586"/>
      <c r="BE39" s="590"/>
      <c r="BF39" s="586"/>
      <c r="BG39" s="586"/>
      <c r="BH39" s="586"/>
      <c r="BI39" s="586"/>
      <c r="BJ39" s="586"/>
      <c r="BK39" s="586"/>
      <c r="BL39" s="586"/>
      <c r="BM39" s="586"/>
      <c r="BN39" s="591"/>
      <c r="BO39" s="586"/>
      <c r="BP39" s="586"/>
      <c r="BQ39" s="586"/>
      <c r="BR39" s="586"/>
      <c r="BS39" s="586"/>
      <c r="BT39" s="586"/>
      <c r="BU39" s="586"/>
      <c r="BV39" s="586"/>
      <c r="BW39" s="586"/>
      <c r="BX39" s="586"/>
      <c r="BY39" s="586"/>
      <c r="BZ39" s="586"/>
      <c r="CA39" s="586"/>
      <c r="CB39" s="591"/>
      <c r="CC39" s="573"/>
      <c r="CD39" s="573"/>
      <c r="CE39" s="573"/>
      <c r="CF39" s="573"/>
      <c r="CG39" s="573"/>
      <c r="CH39" s="638"/>
      <c r="CI39" s="638"/>
      <c r="CJ39" s="638"/>
      <c r="CK39" s="638"/>
      <c r="CL39" s="638"/>
    </row>
    <row r="40" spans="1:90" ht="25.5" customHeight="1" x14ac:dyDescent="0.25">
      <c r="A40" s="783"/>
      <c r="B40" s="784"/>
      <c r="C40" s="785"/>
      <c r="D40" s="802"/>
      <c r="E40" s="688"/>
      <c r="F40" s="599"/>
      <c r="G40" s="599"/>
      <c r="H40" s="599"/>
      <c r="I40" s="638"/>
      <c r="J40" s="638"/>
      <c r="K40" s="724"/>
      <c r="L40" s="724"/>
      <c r="M40" s="688"/>
      <c r="P40" s="599"/>
      <c r="Q40" s="599"/>
      <c r="R40" s="573"/>
      <c r="S40" s="727"/>
      <c r="T40" s="599"/>
      <c r="U40" s="573"/>
      <c r="V40" s="727"/>
      <c r="W40" s="727"/>
      <c r="X40" s="727"/>
      <c r="Y40" s="649"/>
      <c r="Z40" s="751"/>
      <c r="AA40" s="803"/>
      <c r="AB40" s="688"/>
      <c r="AC40" s="681"/>
      <c r="AD40" s="796"/>
      <c r="AE40" s="799">
        <v>3728644</v>
      </c>
      <c r="AF40" s="799">
        <v>3728651</v>
      </c>
      <c r="AG40" s="796"/>
      <c r="AI40" s="797"/>
      <c r="AJ40" s="800">
        <v>7052687</v>
      </c>
      <c r="AK40" s="800">
        <v>7052697</v>
      </c>
      <c r="AL40" s="797"/>
      <c r="AN40" s="754"/>
      <c r="AO40" s="804">
        <v>3132114</v>
      </c>
      <c r="AP40" s="804">
        <v>3132124</v>
      </c>
      <c r="AQ40" s="804">
        <v>3132100</v>
      </c>
      <c r="AR40" s="760">
        <v>3132122</v>
      </c>
      <c r="AS40" s="754"/>
      <c r="AT40" s="727"/>
      <c r="AU40" s="727"/>
      <c r="AV40" s="805"/>
      <c r="AW40" s="573"/>
      <c r="AX40" s="590"/>
      <c r="AY40" s="586"/>
      <c r="AZ40" s="591"/>
      <c r="BA40" s="590"/>
      <c r="BB40" s="586"/>
      <c r="BC40" s="586"/>
      <c r="BD40" s="586"/>
      <c r="BE40" s="590"/>
      <c r="BF40" s="586"/>
      <c r="BG40" s="586"/>
      <c r="BH40" s="586"/>
      <c r="BI40" s="586"/>
      <c r="BJ40" s="586"/>
      <c r="BK40" s="586"/>
      <c r="BL40" s="586"/>
      <c r="BM40" s="586"/>
      <c r="BN40" s="591"/>
      <c r="BO40" s="586"/>
      <c r="BP40" s="586"/>
      <c r="BQ40" s="586"/>
      <c r="BR40" s="586"/>
      <c r="BS40" s="586"/>
      <c r="BT40" s="586"/>
      <c r="BU40" s="586"/>
      <c r="BV40" s="586"/>
      <c r="BW40" s="586"/>
      <c r="BX40" s="586"/>
      <c r="BY40" s="586"/>
      <c r="BZ40" s="586"/>
      <c r="CA40" s="586"/>
      <c r="CB40" s="591"/>
      <c r="CC40" s="573"/>
      <c r="CD40" s="573"/>
      <c r="CE40" s="573"/>
      <c r="CF40" s="573"/>
      <c r="CG40" s="573"/>
      <c r="CH40" s="638"/>
      <c r="CI40" s="638"/>
      <c r="CJ40" s="638"/>
      <c r="CK40" s="638"/>
      <c r="CL40" s="638"/>
    </row>
    <row r="41" spans="1:90" ht="23.25" x14ac:dyDescent="0.25">
      <c r="A41" s="783"/>
      <c r="B41" s="784"/>
      <c r="C41" s="785"/>
      <c r="D41" s="688"/>
      <c r="E41" s="688"/>
      <c r="F41" s="599"/>
      <c r="G41" s="599"/>
      <c r="H41" s="599"/>
      <c r="I41" s="638"/>
      <c r="J41" s="638"/>
      <c r="K41" s="649"/>
      <c r="L41" s="586"/>
      <c r="M41" s="688"/>
      <c r="P41" s="592"/>
      <c r="Q41" s="599"/>
      <c r="R41" s="573"/>
      <c r="S41" s="727"/>
      <c r="T41" s="586"/>
      <c r="U41" s="573"/>
      <c r="V41" s="727"/>
      <c r="W41" s="727"/>
      <c r="X41" s="727"/>
      <c r="Y41" s="806"/>
      <c r="Z41" s="688"/>
      <c r="AA41" s="803"/>
      <c r="AB41" s="688"/>
      <c r="AC41" s="681"/>
      <c r="AE41" s="796"/>
      <c r="AF41" s="796"/>
      <c r="AJ41" s="797"/>
      <c r="AK41" s="797"/>
      <c r="AL41" s="807"/>
      <c r="AO41" s="754"/>
      <c r="AP41" s="754"/>
      <c r="AQ41" s="754"/>
      <c r="AR41" s="754"/>
      <c r="AS41" s="713"/>
      <c r="AT41" s="727"/>
      <c r="AU41" s="727"/>
      <c r="AV41" s="727"/>
      <c r="AX41" s="590"/>
      <c r="AY41" s="586"/>
      <c r="AZ41" s="591"/>
      <c r="BA41" s="590"/>
      <c r="BB41" s="586"/>
      <c r="BC41" s="586"/>
      <c r="BD41" s="586"/>
      <c r="BE41" s="590"/>
      <c r="BF41" s="586"/>
      <c r="BG41" s="586"/>
      <c r="BH41" s="586"/>
      <c r="BI41" s="586"/>
      <c r="BJ41" s="586"/>
      <c r="BK41" s="586"/>
      <c r="BL41" s="586"/>
      <c r="BM41" s="586"/>
      <c r="BN41" s="591"/>
      <c r="BO41" s="586"/>
      <c r="BP41" s="586"/>
      <c r="BQ41" s="586"/>
      <c r="BR41" s="586"/>
      <c r="BS41" s="586"/>
      <c r="BT41" s="586"/>
      <c r="BU41" s="586"/>
      <c r="BV41" s="586"/>
      <c r="BW41" s="586"/>
      <c r="BX41" s="586"/>
      <c r="BY41" s="586"/>
      <c r="BZ41" s="586"/>
      <c r="CA41" s="586"/>
      <c r="CB41" s="591"/>
      <c r="CC41" s="573"/>
      <c r="CD41" s="573"/>
      <c r="CE41" s="573"/>
      <c r="CF41" s="573"/>
      <c r="CG41" s="573"/>
      <c r="CH41" s="638"/>
      <c r="CI41" s="638"/>
      <c r="CJ41" s="638"/>
      <c r="CK41" s="638"/>
      <c r="CL41" s="638"/>
    </row>
    <row r="42" spans="1:90" ht="15.75" x14ac:dyDescent="0.25">
      <c r="A42" s="783"/>
      <c r="B42" s="784"/>
      <c r="C42" s="785"/>
      <c r="D42" s="688"/>
      <c r="E42" s="688"/>
      <c r="F42" s="599"/>
      <c r="G42" s="599"/>
      <c r="H42" s="599"/>
      <c r="I42" s="638"/>
      <c r="J42" s="649"/>
      <c r="K42" s="649"/>
      <c r="L42" s="586"/>
      <c r="M42" s="688"/>
      <c r="N42" s="573"/>
      <c r="O42" s="786"/>
      <c r="P42" s="592"/>
      <c r="Q42" s="586"/>
      <c r="R42" s="573"/>
      <c r="T42" s="586"/>
      <c r="U42" s="573"/>
      <c r="Z42" s="688"/>
      <c r="AA42" s="803"/>
      <c r="AB42" s="681"/>
      <c r="AC42" s="681"/>
      <c r="AE42" s="691"/>
      <c r="AF42" s="691"/>
      <c r="AG42" s="691"/>
      <c r="AJ42" s="691"/>
      <c r="AK42" s="691"/>
      <c r="AL42" s="808"/>
      <c r="AO42" s="691"/>
      <c r="AP42" s="691"/>
      <c r="AQ42" s="691"/>
      <c r="AR42" s="691"/>
      <c r="AT42" s="727"/>
      <c r="AU42" s="809"/>
      <c r="AV42" s="809"/>
      <c r="AW42" s="809"/>
      <c r="AX42" s="590"/>
      <c r="AY42" s="586"/>
      <c r="AZ42" s="591"/>
      <c r="BA42" s="590"/>
      <c r="BB42" s="586"/>
      <c r="BC42" s="586"/>
      <c r="BD42" s="586"/>
      <c r="BE42" s="590"/>
      <c r="BF42" s="586"/>
      <c r="BG42" s="586"/>
      <c r="BH42" s="586"/>
      <c r="BI42" s="586"/>
      <c r="BJ42" s="586"/>
      <c r="BK42" s="586"/>
      <c r="BL42" s="586"/>
      <c r="BM42" s="586"/>
      <c r="BN42" s="591"/>
      <c r="BO42" s="586"/>
      <c r="BP42" s="586"/>
      <c r="BQ42" s="586"/>
      <c r="BR42" s="586"/>
      <c r="BS42" s="586"/>
      <c r="BT42" s="586"/>
      <c r="BU42" s="586"/>
      <c r="BV42" s="586"/>
      <c r="BW42" s="586"/>
      <c r="BX42" s="586"/>
      <c r="BY42" s="586"/>
      <c r="BZ42" s="586"/>
      <c r="CA42" s="586"/>
      <c r="CB42" s="591"/>
      <c r="CC42" s="573"/>
      <c r="CD42" s="573"/>
      <c r="CE42" s="573"/>
      <c r="CF42" s="573"/>
      <c r="CG42" s="573"/>
      <c r="CH42" s="573"/>
      <c r="CI42" s="573"/>
      <c r="CJ42" s="573"/>
      <c r="CK42" s="573"/>
      <c r="CL42" s="573"/>
    </row>
    <row r="43" spans="1:90" ht="15.75" customHeight="1" x14ac:dyDescent="0.25">
      <c r="A43" s="783"/>
      <c r="B43" s="784"/>
      <c r="C43" s="785"/>
      <c r="D43" s="688"/>
      <c r="E43" s="599"/>
      <c r="F43" s="599"/>
      <c r="G43" s="599"/>
      <c r="H43" s="599"/>
      <c r="I43" s="586"/>
      <c r="J43" s="586"/>
      <c r="K43" s="586"/>
      <c r="L43" s="586"/>
      <c r="M43" s="688"/>
      <c r="N43" s="691"/>
      <c r="O43" s="629"/>
      <c r="P43" s="592"/>
      <c r="Q43" s="586"/>
      <c r="R43" s="573"/>
      <c r="T43" s="586"/>
      <c r="U43" s="573"/>
      <c r="Y43" s="727"/>
      <c r="Z43" s="688"/>
      <c r="AA43" s="803"/>
      <c r="AB43" s="681"/>
      <c r="AC43" s="681"/>
      <c r="AF43" s="691"/>
      <c r="AG43" s="691"/>
      <c r="AH43" s="691"/>
      <c r="AO43" s="782"/>
      <c r="AP43" s="782"/>
      <c r="AQ43" s="782"/>
      <c r="AR43" s="782"/>
      <c r="AT43" s="727"/>
      <c r="AU43" s="809"/>
      <c r="AV43" s="809"/>
      <c r="AW43" s="809"/>
      <c r="AX43" s="590"/>
      <c r="AY43" s="586"/>
      <c r="AZ43" s="591"/>
      <c r="BA43" s="590"/>
      <c r="BB43" s="586"/>
      <c r="BC43" s="586"/>
      <c r="BD43" s="586"/>
      <c r="BE43" s="590"/>
      <c r="BF43" s="586"/>
      <c r="BG43" s="586"/>
      <c r="BH43" s="586"/>
      <c r="BI43" s="586"/>
      <c r="BJ43" s="586"/>
      <c r="BK43" s="586"/>
      <c r="BL43" s="586"/>
      <c r="BM43" s="586"/>
      <c r="BN43" s="591"/>
      <c r="BO43" s="586"/>
      <c r="BP43" s="586"/>
      <c r="BQ43" s="586"/>
      <c r="BR43" s="586"/>
      <c r="BS43" s="586"/>
      <c r="BT43" s="586"/>
      <c r="BU43" s="586"/>
      <c r="BV43" s="586"/>
      <c r="BW43" s="586"/>
      <c r="BX43" s="586"/>
      <c r="BY43" s="586"/>
      <c r="BZ43" s="586"/>
      <c r="CA43" s="586"/>
      <c r="CB43" s="591"/>
      <c r="CC43" s="573"/>
      <c r="CD43" s="573"/>
      <c r="CE43" s="573"/>
      <c r="CF43" s="573"/>
      <c r="CG43" s="573"/>
      <c r="CH43" s="573"/>
      <c r="CI43" s="573"/>
      <c r="CJ43" s="573"/>
      <c r="CK43" s="573"/>
      <c r="CL43" s="573"/>
    </row>
    <row r="44" spans="1:90" ht="15.75" x14ac:dyDescent="0.25">
      <c r="A44" s="783"/>
      <c r="B44" s="784"/>
      <c r="C44" s="785"/>
      <c r="D44" s="688"/>
      <c r="E44" s="599"/>
      <c r="F44" s="599"/>
      <c r="G44" s="599"/>
      <c r="H44" s="599"/>
      <c r="I44" s="688"/>
      <c r="J44" s="688"/>
      <c r="K44" s="688"/>
      <c r="L44" s="688"/>
      <c r="M44" s="688"/>
      <c r="N44" s="691"/>
      <c r="O44" s="691"/>
      <c r="P44" s="691"/>
      <c r="Q44" s="599"/>
      <c r="R44" s="786"/>
      <c r="S44" s="592"/>
      <c r="T44" s="592"/>
      <c r="U44" s="573"/>
      <c r="Y44" s="806"/>
      <c r="Z44" s="688"/>
      <c r="AA44" s="803"/>
      <c r="AB44" s="681"/>
      <c r="AC44" s="681"/>
      <c r="AL44" s="700"/>
      <c r="AU44" s="573"/>
      <c r="AV44" s="573"/>
      <c r="AW44" s="810"/>
      <c r="AX44" s="590"/>
      <c r="AY44" s="586"/>
      <c r="AZ44" s="591"/>
      <c r="BA44" s="590"/>
      <c r="BB44" s="586"/>
      <c r="BC44" s="586"/>
      <c r="BD44" s="586"/>
      <c r="BE44" s="590"/>
      <c r="BF44" s="586"/>
      <c r="BG44" s="586"/>
      <c r="BH44" s="586"/>
      <c r="BI44" s="586"/>
      <c r="BJ44" s="586"/>
      <c r="BK44" s="586"/>
      <c r="BL44" s="586"/>
      <c r="BM44" s="586"/>
      <c r="BN44" s="591"/>
      <c r="BO44" s="586"/>
      <c r="BP44" s="586"/>
      <c r="BQ44" s="586"/>
      <c r="BR44" s="586"/>
      <c r="BS44" s="586"/>
      <c r="BT44" s="586"/>
      <c r="BU44" s="586"/>
      <c r="BV44" s="586"/>
      <c r="BW44" s="586"/>
      <c r="BX44" s="586"/>
      <c r="BY44" s="586"/>
      <c r="BZ44" s="586"/>
      <c r="CA44" s="586"/>
      <c r="CB44" s="591"/>
      <c r="CC44" s="573"/>
      <c r="CD44" s="573"/>
      <c r="CE44" s="573"/>
      <c r="CF44" s="573"/>
      <c r="CG44" s="573"/>
      <c r="CH44" s="573"/>
      <c r="CI44" s="573"/>
      <c r="CJ44" s="573"/>
      <c r="CK44" s="573"/>
      <c r="CL44" s="573"/>
    </row>
    <row r="45" spans="1:90" ht="15.75" x14ac:dyDescent="0.25">
      <c r="A45" s="783"/>
      <c r="B45" s="784"/>
      <c r="C45" s="785"/>
      <c r="D45" s="688"/>
      <c r="E45" s="688"/>
      <c r="F45" s="688"/>
      <c r="G45" s="811"/>
      <c r="H45" s="688"/>
      <c r="I45" s="688"/>
      <c r="J45" s="688"/>
      <c r="K45" s="688"/>
      <c r="L45" s="688"/>
      <c r="M45" s="688"/>
      <c r="N45" s="698"/>
      <c r="O45" s="691"/>
      <c r="P45" s="629"/>
      <c r="Q45" s="629"/>
      <c r="R45" s="629"/>
      <c r="S45" s="629"/>
      <c r="T45" s="629"/>
      <c r="U45" s="573"/>
      <c r="V45" s="573"/>
      <c r="W45" s="573"/>
      <c r="X45" s="573"/>
      <c r="Y45" s="688"/>
      <c r="Z45" s="573"/>
      <c r="AA45" s="803"/>
      <c r="AB45" s="681"/>
      <c r="AC45" s="681"/>
      <c r="AI45" s="700"/>
      <c r="AJ45" s="700"/>
      <c r="AK45" s="812"/>
      <c r="AM45" s="813"/>
      <c r="AU45" s="573"/>
      <c r="AV45" s="573"/>
      <c r="AW45" s="810"/>
      <c r="AX45" s="620"/>
      <c r="AY45" s="586"/>
      <c r="AZ45" s="591"/>
      <c r="BA45" s="590"/>
      <c r="BB45" s="586"/>
      <c r="BC45" s="586"/>
      <c r="BD45" s="586"/>
      <c r="BE45" s="590"/>
      <c r="BF45" s="586"/>
      <c r="BG45" s="586"/>
      <c r="BH45" s="586"/>
      <c r="BI45" s="586"/>
      <c r="BJ45" s="586"/>
      <c r="BK45" s="586"/>
      <c r="BL45" s="586"/>
      <c r="BM45" s="586"/>
      <c r="BN45" s="591"/>
      <c r="BO45" s="573"/>
      <c r="BP45" s="573"/>
      <c r="BQ45" s="573"/>
      <c r="BR45" s="573"/>
      <c r="BS45" s="814"/>
      <c r="BT45" s="586"/>
      <c r="BU45" s="586"/>
      <c r="BV45" s="586"/>
      <c r="BW45" s="586"/>
      <c r="BX45" s="586"/>
      <c r="BY45" s="586"/>
      <c r="BZ45" s="586"/>
      <c r="CA45" s="586"/>
      <c r="CB45" s="591"/>
      <c r="CC45" s="573"/>
      <c r="CD45" s="573"/>
      <c r="CE45" s="573"/>
      <c r="CF45" s="573"/>
      <c r="CG45" s="573"/>
      <c r="CH45" s="573"/>
      <c r="CI45" s="573"/>
      <c r="CJ45" s="573"/>
      <c r="CK45" s="573"/>
      <c r="CL45" s="573"/>
    </row>
    <row r="46" spans="1:90" ht="15.75" thickBot="1" x14ac:dyDescent="0.3">
      <c r="A46" s="815"/>
      <c r="B46" s="816"/>
      <c r="C46" s="817"/>
      <c r="D46" s="688"/>
      <c r="E46" s="599"/>
      <c r="F46" s="599"/>
      <c r="G46" s="811"/>
      <c r="H46" s="688"/>
      <c r="I46" s="688"/>
      <c r="J46" s="688"/>
      <c r="K46" s="688"/>
      <c r="L46" s="688"/>
      <c r="M46" s="688"/>
      <c r="N46" s="688"/>
      <c r="O46" s="698"/>
      <c r="P46" s="688"/>
      <c r="Q46" s="688"/>
      <c r="R46" s="688"/>
      <c r="S46" s="688"/>
      <c r="T46" s="688"/>
      <c r="U46" s="688"/>
      <c r="V46" s="688"/>
      <c r="W46" s="688"/>
      <c r="X46" s="688"/>
      <c r="Y46" s="688"/>
      <c r="Z46" s="573"/>
      <c r="AA46" s="803"/>
      <c r="AB46" s="681"/>
      <c r="AC46" s="681"/>
      <c r="AI46" s="700"/>
      <c r="AJ46" s="700"/>
      <c r="AK46" s="700"/>
      <c r="AL46" s="812"/>
      <c r="AM46" s="813"/>
      <c r="AS46" s="713"/>
      <c r="AT46" s="713"/>
      <c r="AU46" s="573"/>
      <c r="AV46" s="573"/>
      <c r="AW46" s="810"/>
      <c r="AX46" s="620"/>
      <c r="AY46" s="586"/>
      <c r="AZ46" s="591"/>
      <c r="BA46" s="590"/>
      <c r="BB46" s="586"/>
      <c r="BC46" s="586"/>
      <c r="BD46" s="586"/>
      <c r="BE46" s="590"/>
      <c r="BF46" s="586"/>
      <c r="BG46" s="586"/>
      <c r="BH46" s="586"/>
      <c r="BI46" s="586"/>
      <c r="BJ46" s="586"/>
      <c r="BK46" s="586"/>
      <c r="BL46" s="586"/>
      <c r="BM46" s="586"/>
      <c r="BN46" s="591"/>
      <c r="BO46" s="573"/>
      <c r="BP46" s="573"/>
      <c r="BQ46" s="573"/>
      <c r="BR46" s="573"/>
      <c r="BS46" s="814"/>
      <c r="BT46" s="586"/>
      <c r="BU46" s="586"/>
      <c r="BV46" s="586"/>
      <c r="BW46" s="586"/>
      <c r="BX46" s="586"/>
      <c r="BY46" s="586"/>
      <c r="BZ46" s="586"/>
      <c r="CA46" s="586"/>
      <c r="CB46" s="591"/>
      <c r="CC46" s="573"/>
      <c r="CD46" s="573"/>
      <c r="CE46" s="573"/>
      <c r="CF46" s="573"/>
      <c r="CG46" s="573"/>
      <c r="CH46" s="573"/>
      <c r="CI46" s="573"/>
      <c r="CJ46" s="573"/>
      <c r="CK46" s="573"/>
      <c r="CL46" s="573"/>
    </row>
    <row r="47" spans="1:90" ht="18" x14ac:dyDescent="0.25">
      <c r="A47" s="818"/>
      <c r="B47" s="688"/>
      <c r="C47" s="688"/>
      <c r="D47" s="688"/>
      <c r="E47" s="718"/>
      <c r="F47" s="718"/>
      <c r="G47" s="811"/>
      <c r="H47" s="688"/>
      <c r="I47" s="688"/>
      <c r="J47" s="573"/>
      <c r="K47" s="688"/>
      <c r="L47" s="573"/>
      <c r="M47" s="688"/>
      <c r="N47" s="688"/>
      <c r="O47" s="819"/>
      <c r="P47" s="819"/>
      <c r="Q47" s="819"/>
      <c r="R47" s="819"/>
      <c r="S47" s="698"/>
      <c r="T47" s="698"/>
      <c r="U47" s="698"/>
      <c r="V47" s="698"/>
      <c r="W47" s="698"/>
      <c r="X47" s="586"/>
      <c r="Y47" s="586"/>
      <c r="Z47" s="573"/>
      <c r="AA47" s="803"/>
      <c r="AB47" s="681"/>
      <c r="AC47" s="681"/>
      <c r="AI47" s="700"/>
      <c r="AJ47" s="700"/>
      <c r="AK47" s="700"/>
      <c r="AL47" s="629"/>
      <c r="AM47" s="713"/>
      <c r="AS47" s="713"/>
      <c r="AT47" s="713"/>
      <c r="AU47" s="573"/>
      <c r="AV47" s="573"/>
      <c r="AW47" s="810"/>
      <c r="AX47" s="620"/>
      <c r="AY47" s="586"/>
      <c r="AZ47" s="591"/>
      <c r="BA47" s="590"/>
      <c r="BB47" s="586"/>
      <c r="BC47" s="586"/>
      <c r="BD47" s="586"/>
      <c r="BE47" s="590"/>
      <c r="BF47" s="586"/>
      <c r="BG47" s="586"/>
      <c r="BH47" s="586"/>
      <c r="BI47" s="586"/>
      <c r="BJ47" s="586"/>
      <c r="BK47" s="586"/>
      <c r="BL47" s="586"/>
      <c r="BM47" s="586"/>
      <c r="BN47" s="591"/>
      <c r="BO47" s="586"/>
      <c r="BP47" s="586"/>
      <c r="BQ47" s="586"/>
      <c r="BR47" s="586"/>
      <c r="BS47" s="586"/>
      <c r="BT47" s="586"/>
      <c r="BU47" s="586"/>
      <c r="BV47" s="586"/>
      <c r="BW47" s="586"/>
      <c r="BX47" s="586"/>
      <c r="BY47" s="586"/>
      <c r="BZ47" s="586"/>
      <c r="CA47" s="586"/>
      <c r="CB47" s="591"/>
      <c r="CC47" s="573"/>
      <c r="CD47" s="573"/>
      <c r="CE47" s="573"/>
      <c r="CF47" s="573"/>
      <c r="CG47" s="573"/>
      <c r="CH47" s="573"/>
      <c r="CI47" s="573"/>
      <c r="CJ47" s="573"/>
      <c r="CK47" s="573"/>
      <c r="CL47" s="573"/>
    </row>
    <row r="48" spans="1:90" ht="16.5" thickBot="1" x14ac:dyDescent="0.3">
      <c r="A48" s="820"/>
      <c r="B48" s="688"/>
      <c r="C48" s="688"/>
      <c r="D48" s="688"/>
      <c r="E48" s="688"/>
      <c r="F48" s="688"/>
      <c r="G48" s="811"/>
      <c r="H48" s="688"/>
      <c r="I48" s="688"/>
      <c r="J48" s="688"/>
      <c r="K48" s="688"/>
      <c r="L48" s="573"/>
      <c r="M48" s="688"/>
      <c r="N48" s="688"/>
      <c r="O48" s="688"/>
      <c r="P48" s="688"/>
      <c r="Q48" s="688"/>
      <c r="R48" s="688"/>
      <c r="S48" s="688"/>
      <c r="T48" s="688"/>
      <c r="U48" s="688"/>
      <c r="V48" s="688"/>
      <c r="W48" s="573"/>
      <c r="X48" s="573"/>
      <c r="Y48" s="586"/>
      <c r="Z48" s="573"/>
      <c r="AA48" s="803"/>
      <c r="AB48" s="681"/>
      <c r="AC48" s="681"/>
      <c r="AD48" s="821"/>
      <c r="AE48" s="821"/>
      <c r="AF48" s="822"/>
      <c r="AG48" s="809"/>
      <c r="AH48" s="809"/>
      <c r="AI48" s="809"/>
      <c r="AJ48" s="573"/>
      <c r="AM48" s="699"/>
      <c r="AN48" s="699"/>
      <c r="AO48" s="699"/>
      <c r="AR48" s="823"/>
      <c r="AS48" s="823"/>
      <c r="AT48" s="713"/>
      <c r="AU48" s="573"/>
      <c r="AV48" s="573"/>
      <c r="AW48" s="810"/>
      <c r="AX48" s="620"/>
      <c r="AY48" s="586"/>
      <c r="AZ48" s="591"/>
      <c r="BA48" s="590"/>
      <c r="BB48" s="586"/>
      <c r="BC48" s="586"/>
      <c r="BD48" s="586"/>
      <c r="BE48" s="615"/>
      <c r="BF48" s="616"/>
      <c r="BG48" s="616"/>
      <c r="BH48" s="616"/>
      <c r="BI48" s="616"/>
      <c r="BJ48" s="616"/>
      <c r="BK48" s="616"/>
      <c r="BL48" s="616"/>
      <c r="BM48" s="616"/>
      <c r="BN48" s="824"/>
      <c r="BO48" s="586"/>
      <c r="BP48" s="586"/>
      <c r="BQ48" s="586"/>
      <c r="BR48" s="586"/>
      <c r="BS48" s="586"/>
      <c r="BT48" s="586"/>
      <c r="BU48" s="586"/>
      <c r="BV48" s="586"/>
      <c r="BW48" s="586"/>
      <c r="BX48" s="586"/>
      <c r="BY48" s="586"/>
      <c r="BZ48" s="586"/>
      <c r="CA48" s="586"/>
      <c r="CB48" s="591"/>
      <c r="CC48" s="573"/>
      <c r="CD48" s="573"/>
      <c r="CE48" s="573"/>
      <c r="CF48" s="573"/>
      <c r="CG48" s="573"/>
      <c r="CH48" s="573"/>
      <c r="CI48" s="573"/>
      <c r="CJ48" s="573"/>
      <c r="CK48" s="573"/>
      <c r="CL48" s="573"/>
    </row>
    <row r="49" spans="1:95" ht="26.25" x14ac:dyDescent="0.25">
      <c r="A49" s="820"/>
      <c r="B49" s="688"/>
      <c r="C49" s="688"/>
      <c r="D49" s="688"/>
      <c r="E49" s="599"/>
      <c r="F49" s="599"/>
      <c r="G49" s="718"/>
      <c r="H49" s="688"/>
      <c r="I49" s="688"/>
      <c r="J49" s="573"/>
      <c r="K49" s="688"/>
      <c r="L49" s="573"/>
      <c r="M49" s="688"/>
      <c r="N49" s="688"/>
      <c r="O49" s="688"/>
      <c r="P49" s="688"/>
      <c r="Q49" s="688"/>
      <c r="R49" s="688"/>
      <c r="S49" s="688"/>
      <c r="T49" s="688"/>
      <c r="U49" s="688"/>
      <c r="V49" s="688"/>
      <c r="W49" s="573"/>
      <c r="X49" s="573"/>
      <c r="Y49" s="586"/>
      <c r="Z49" s="573"/>
      <c r="AA49" s="803"/>
      <c r="AB49" s="681"/>
      <c r="AC49" s="681"/>
      <c r="AD49" s="573"/>
      <c r="AE49" s="825"/>
      <c r="AF49" s="825"/>
      <c r="AG49" s="809"/>
      <c r="AH49" s="809"/>
      <c r="AI49" s="809"/>
      <c r="AJ49" s="573"/>
      <c r="AM49" s="699"/>
      <c r="AN49" s="699"/>
      <c r="AO49" s="699"/>
      <c r="AR49" s="823"/>
      <c r="AS49" s="823"/>
      <c r="AT49" s="713"/>
      <c r="AU49" s="573"/>
      <c r="AV49" s="573"/>
      <c r="AW49" s="810"/>
      <c r="AX49" s="620"/>
      <c r="AY49" s="586"/>
      <c r="AZ49" s="591"/>
      <c r="BA49" s="590"/>
      <c r="BB49" s="586"/>
      <c r="BC49" s="586"/>
      <c r="BD49" s="586"/>
      <c r="BE49" s="586"/>
      <c r="BF49" s="586"/>
      <c r="BG49" s="586"/>
      <c r="BH49" s="586"/>
      <c r="BI49" s="586"/>
      <c r="BJ49" s="586"/>
      <c r="BK49" s="586"/>
      <c r="BL49" s="586"/>
      <c r="BM49" s="590"/>
      <c r="BN49" s="586"/>
      <c r="BO49" s="578"/>
      <c r="BP49" s="826"/>
      <c r="BQ49" s="826"/>
      <c r="BR49" s="826"/>
      <c r="BS49" s="586"/>
      <c r="BT49" s="586"/>
      <c r="BU49" s="586"/>
      <c r="BV49" s="586"/>
      <c r="BW49" s="586"/>
      <c r="BX49" s="586"/>
      <c r="BY49" s="586"/>
      <c r="BZ49" s="586"/>
      <c r="CA49" s="586"/>
      <c r="CB49" s="591"/>
      <c r="CC49" s="573"/>
      <c r="CD49" s="573"/>
      <c r="CE49" s="573"/>
      <c r="CF49" s="573"/>
      <c r="CG49" s="573"/>
      <c r="CH49" s="573"/>
      <c r="CI49" s="573"/>
      <c r="CJ49" s="573"/>
      <c r="CK49" s="573"/>
      <c r="CL49" s="573"/>
    </row>
    <row r="50" spans="1:95" ht="27" customHeight="1" thickBot="1" x14ac:dyDescent="0.3">
      <c r="A50" s="820"/>
      <c r="B50" s="688"/>
      <c r="C50" s="688"/>
      <c r="D50" s="688"/>
      <c r="E50" s="687"/>
      <c r="F50" s="687"/>
      <c r="G50" s="688"/>
      <c r="H50" s="688"/>
      <c r="I50" s="688"/>
      <c r="J50" s="688"/>
      <c r="K50" s="688"/>
      <c r="L50" s="688"/>
      <c r="M50" s="688"/>
      <c r="N50" s="688"/>
      <c r="O50" s="688"/>
      <c r="P50" s="688"/>
      <c r="Q50" s="688"/>
      <c r="R50" s="688"/>
      <c r="S50" s="688"/>
      <c r="T50" s="688"/>
      <c r="U50" s="688"/>
      <c r="V50" s="688"/>
      <c r="W50" s="827" t="s">
        <v>180</v>
      </c>
      <c r="X50" s="828"/>
      <c r="Y50" s="586"/>
      <c r="Z50" s="573"/>
      <c r="AA50" s="803"/>
      <c r="AB50" s="681"/>
      <c r="AC50" s="681"/>
      <c r="AD50" s="825"/>
      <c r="AE50" s="825"/>
      <c r="AF50" s="825"/>
      <c r="AG50" s="825"/>
      <c r="AH50" s="825"/>
      <c r="AI50" s="825"/>
      <c r="AJ50" s="825"/>
      <c r="AK50" s="825"/>
      <c r="AL50" s="825"/>
      <c r="AM50" s="825"/>
      <c r="AN50" s="825"/>
      <c r="AO50" s="825"/>
      <c r="AP50" s="825"/>
      <c r="AQ50" s="825"/>
      <c r="AR50" s="825"/>
      <c r="AS50" s="825"/>
      <c r="AT50" s="825"/>
      <c r="AU50" s="825"/>
      <c r="AV50" s="586"/>
      <c r="AW50" s="829"/>
      <c r="AX50" s="620"/>
      <c r="AY50" s="586"/>
      <c r="AZ50" s="591"/>
      <c r="BA50" s="590"/>
      <c r="BB50" s="586"/>
      <c r="BC50" s="586"/>
      <c r="BD50" s="586"/>
      <c r="BE50" s="586"/>
      <c r="BF50" s="586"/>
      <c r="BG50" s="586"/>
      <c r="BH50" s="586"/>
      <c r="BI50" s="586"/>
      <c r="BJ50" s="586"/>
      <c r="BK50" s="586"/>
      <c r="BL50" s="586"/>
      <c r="BM50" s="590"/>
      <c r="BN50" s="586"/>
      <c r="BO50" s="591"/>
      <c r="BP50" s="826"/>
      <c r="BQ50" s="826"/>
      <c r="BR50" s="826"/>
      <c r="BS50" s="586"/>
      <c r="BT50" s="586"/>
      <c r="BU50" s="586"/>
      <c r="BV50" s="586"/>
      <c r="BW50" s="586"/>
      <c r="BX50" s="586"/>
      <c r="BY50" s="586"/>
      <c r="BZ50" s="586"/>
      <c r="CA50" s="586"/>
      <c r="CB50" s="591"/>
      <c r="CC50" s="573"/>
      <c r="CD50" s="573"/>
      <c r="CE50" s="573"/>
      <c r="CF50" s="573"/>
      <c r="CG50" s="573"/>
      <c r="CH50" s="573"/>
      <c r="CI50" s="573"/>
      <c r="CJ50" s="573"/>
      <c r="CK50" s="573"/>
      <c r="CL50" s="573"/>
    </row>
    <row r="51" spans="1:95" ht="27" thickBot="1" x14ac:dyDescent="0.3">
      <c r="A51" s="686"/>
      <c r="B51" s="688"/>
      <c r="C51" s="688"/>
      <c r="D51" s="751"/>
      <c r="E51" s="688"/>
      <c r="F51" s="688"/>
      <c r="G51" s="751"/>
      <c r="H51" s="830" t="s">
        <v>220</v>
      </c>
      <c r="I51" s="831"/>
      <c r="J51" s="831"/>
      <c r="K51" s="831"/>
      <c r="L51" s="831"/>
      <c r="M51" s="831"/>
      <c r="N51" s="831"/>
      <c r="O51" s="831"/>
      <c r="P51" s="831"/>
      <c r="Q51" s="831"/>
      <c r="R51" s="831"/>
      <c r="S51" s="831"/>
      <c r="T51" s="831"/>
      <c r="U51" s="831"/>
      <c r="V51" s="832"/>
      <c r="W51" s="833"/>
      <c r="X51" s="649"/>
      <c r="Y51" s="586"/>
      <c r="Z51" s="573"/>
      <c r="AA51" s="803"/>
      <c r="AB51" s="681"/>
      <c r="AC51" s="681"/>
      <c r="AD51" s="825"/>
      <c r="AE51" s="825"/>
      <c r="AF51" s="825"/>
      <c r="AG51" s="825"/>
      <c r="AH51" s="825"/>
      <c r="AI51" s="825"/>
      <c r="AJ51" s="825"/>
      <c r="AK51" s="825"/>
      <c r="AL51" s="825"/>
      <c r="AM51" s="825"/>
      <c r="AN51" s="825"/>
      <c r="AO51" s="825"/>
      <c r="AP51" s="825"/>
      <c r="AQ51" s="825"/>
      <c r="AR51" s="825"/>
      <c r="AS51" s="825"/>
      <c r="AT51" s="825"/>
      <c r="AU51" s="825"/>
      <c r="AV51" s="586"/>
      <c r="AW51" s="688"/>
      <c r="AX51" s="620"/>
      <c r="AY51" s="586"/>
      <c r="AZ51" s="591"/>
      <c r="BA51" s="590"/>
      <c r="BB51" s="586"/>
      <c r="BC51" s="586"/>
      <c r="BD51" s="586"/>
      <c r="BE51" s="586"/>
      <c r="BF51" s="586"/>
      <c r="BG51" s="586"/>
      <c r="BH51" s="586"/>
      <c r="BI51" s="586"/>
      <c r="BJ51" s="586"/>
      <c r="BK51" s="586"/>
      <c r="BL51" s="586"/>
      <c r="BM51" s="590"/>
      <c r="BN51" s="586"/>
      <c r="BO51" s="586"/>
      <c r="BP51" s="577"/>
      <c r="BQ51" s="577"/>
      <c r="BR51" s="577"/>
      <c r="BS51" s="577"/>
      <c r="BT51" s="577"/>
      <c r="BU51" s="577"/>
      <c r="BV51" s="577"/>
      <c r="BW51" s="577"/>
      <c r="BX51" s="577"/>
      <c r="BY51" s="577"/>
      <c r="BZ51" s="577"/>
      <c r="CA51" s="577"/>
      <c r="CB51" s="578"/>
      <c r="CC51" s="573"/>
      <c r="CD51" s="573"/>
      <c r="CE51" s="573"/>
      <c r="CF51" s="573"/>
      <c r="CG51" s="573"/>
      <c r="CH51" s="573"/>
      <c r="CI51" s="573"/>
      <c r="CJ51" s="573"/>
      <c r="CK51" s="573"/>
      <c r="CL51" s="573"/>
    </row>
    <row r="52" spans="1:95" ht="15.75" x14ac:dyDescent="0.25">
      <c r="A52" s="834" t="s">
        <v>221</v>
      </c>
      <c r="B52" s="835"/>
      <c r="C52" s="836"/>
      <c r="D52" s="836"/>
      <c r="E52" s="688"/>
      <c r="F52" s="688"/>
      <c r="G52" s="688"/>
      <c r="H52" s="837"/>
      <c r="I52" s="838"/>
      <c r="J52" s="838"/>
      <c r="K52" s="838"/>
      <c r="L52" s="838"/>
      <c r="M52" s="838"/>
      <c r="N52" s="838"/>
      <c r="O52" s="838"/>
      <c r="P52" s="838"/>
      <c r="Q52" s="838"/>
      <c r="R52" s="838"/>
      <c r="S52" s="838"/>
      <c r="T52" s="838"/>
      <c r="U52" s="838"/>
      <c r="V52" s="839"/>
      <c r="W52" s="833"/>
      <c r="X52" s="649"/>
      <c r="Y52" s="688"/>
      <c r="Z52" s="688"/>
      <c r="AA52" s="803"/>
      <c r="AB52" s="681"/>
      <c r="AC52" s="681"/>
      <c r="AD52" s="840"/>
      <c r="AE52" s="840"/>
      <c r="AF52" s="840"/>
      <c r="AG52" s="840"/>
      <c r="AH52" s="840"/>
      <c r="AI52" s="840"/>
      <c r="AJ52" s="840"/>
      <c r="AK52" s="840"/>
      <c r="AL52" s="840"/>
      <c r="AM52" s="840"/>
      <c r="AN52" s="840"/>
      <c r="AO52" s="840"/>
      <c r="AP52" s="840"/>
      <c r="AQ52" s="840"/>
      <c r="AR52" s="840"/>
      <c r="AS52" s="840"/>
      <c r="AT52" s="840"/>
      <c r="AU52" s="840"/>
      <c r="AV52" s="841"/>
      <c r="AW52" s="688"/>
      <c r="AX52" s="620"/>
      <c r="AY52" s="586"/>
      <c r="AZ52" s="591"/>
      <c r="BA52" s="590"/>
      <c r="BB52" s="586"/>
      <c r="BC52" s="586"/>
      <c r="BD52" s="586"/>
      <c r="BE52" s="586"/>
      <c r="BF52" s="586"/>
      <c r="BG52" s="586"/>
      <c r="BH52" s="586"/>
      <c r="BI52" s="586"/>
      <c r="BJ52" s="586"/>
      <c r="BK52" s="586"/>
      <c r="BL52" s="586"/>
      <c r="BM52" s="590"/>
      <c r="BN52" s="586"/>
      <c r="BO52" s="586"/>
      <c r="BP52" s="586"/>
      <c r="BQ52" s="586"/>
      <c r="BR52" s="586"/>
      <c r="BS52" s="586"/>
      <c r="BT52" s="586"/>
      <c r="BU52" s="586"/>
      <c r="BV52" s="586"/>
      <c r="BW52" s="586"/>
      <c r="BX52" s="586"/>
      <c r="BY52" s="586"/>
      <c r="BZ52" s="586"/>
      <c r="CA52" s="586"/>
      <c r="CB52" s="591"/>
      <c r="CC52" s="573"/>
      <c r="CD52" s="573"/>
      <c r="CE52" s="573"/>
      <c r="CF52" s="573"/>
      <c r="CG52" s="573"/>
      <c r="CH52" s="573"/>
      <c r="CI52" s="573"/>
      <c r="CJ52" s="573"/>
      <c r="CK52" s="573"/>
      <c r="CL52" s="573"/>
    </row>
    <row r="53" spans="1:95" ht="30.75" thickBot="1" x14ac:dyDescent="0.45">
      <c r="A53" s="842"/>
      <c r="B53" s="843"/>
      <c r="C53" s="844"/>
      <c r="D53" s="844"/>
      <c r="E53" s="688"/>
      <c r="F53" s="688"/>
      <c r="G53" s="688"/>
      <c r="H53" s="845"/>
      <c r="I53" s="846"/>
      <c r="J53" s="846"/>
      <c r="K53" s="846"/>
      <c r="L53" s="846"/>
      <c r="M53" s="846"/>
      <c r="N53" s="846"/>
      <c r="O53" s="846"/>
      <c r="P53" s="846"/>
      <c r="Q53" s="846"/>
      <c r="R53" s="846"/>
      <c r="S53" s="846"/>
      <c r="T53" s="846"/>
      <c r="U53" s="846"/>
      <c r="V53" s="847"/>
      <c r="W53" s="848"/>
      <c r="X53" s="849"/>
      <c r="Y53" s="688"/>
      <c r="Z53" s="688"/>
      <c r="AA53" s="850"/>
      <c r="AB53" s="688"/>
      <c r="AC53" s="681"/>
      <c r="AD53" s="840"/>
      <c r="AE53" s="840"/>
      <c r="AF53" s="840"/>
      <c r="AG53" s="822"/>
      <c r="AH53" s="851"/>
      <c r="AI53" s="851"/>
      <c r="AJ53" s="852"/>
      <c r="AK53" s="669"/>
      <c r="AL53" s="669"/>
      <c r="AM53" s="669"/>
      <c r="AN53" s="669"/>
      <c r="AO53" s="669"/>
      <c r="AP53" s="669"/>
      <c r="AQ53" s="669"/>
      <c r="AR53" s="669"/>
      <c r="AS53" s="669"/>
      <c r="AT53" s="669"/>
      <c r="AU53" s="669"/>
      <c r="AV53" s="669"/>
      <c r="AW53" s="669"/>
      <c r="AX53" s="853"/>
      <c r="AY53" s="586"/>
      <c r="AZ53" s="591"/>
      <c r="BA53" s="590"/>
      <c r="BB53" s="586"/>
      <c r="BC53" s="586"/>
      <c r="BD53" s="586"/>
      <c r="BE53" s="595" t="s">
        <v>205</v>
      </c>
      <c r="BF53" s="595"/>
      <c r="BG53" s="595"/>
      <c r="BH53" s="586"/>
      <c r="BI53" s="586"/>
      <c r="BJ53" s="586"/>
      <c r="BK53" s="586"/>
      <c r="BL53" s="586"/>
      <c r="BM53" s="590"/>
      <c r="BN53" s="595" t="s">
        <v>222</v>
      </c>
      <c r="BO53" s="595"/>
      <c r="BP53" s="586"/>
      <c r="BQ53" s="586"/>
      <c r="BR53" s="586"/>
      <c r="BS53" s="586"/>
      <c r="BT53" s="586"/>
      <c r="BU53" s="586"/>
      <c r="BV53" s="586"/>
      <c r="BW53" s="586"/>
      <c r="BX53" s="586"/>
      <c r="BY53" s="586"/>
      <c r="BZ53" s="586"/>
      <c r="CA53" s="586"/>
      <c r="CB53" s="591"/>
      <c r="CC53" s="573"/>
      <c r="CD53" s="573"/>
      <c r="CE53" s="573"/>
      <c r="CF53" s="573"/>
      <c r="CG53" s="573"/>
      <c r="CH53" s="573"/>
      <c r="CI53" s="573"/>
      <c r="CJ53" s="573"/>
      <c r="CK53" s="573"/>
      <c r="CL53" s="573"/>
    </row>
    <row r="54" spans="1:95" x14ac:dyDescent="0.25">
      <c r="A54" s="620"/>
      <c r="B54" s="588"/>
      <c r="C54" s="588"/>
      <c r="D54" s="588"/>
      <c r="E54" s="588"/>
      <c r="F54" s="854" t="s">
        <v>222</v>
      </c>
      <c r="G54" s="855"/>
      <c r="H54" s="856"/>
      <c r="I54" s="856"/>
      <c r="J54" s="856"/>
      <c r="K54" s="857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858"/>
      <c r="X54" s="858"/>
      <c r="Y54" s="858"/>
      <c r="Z54" s="858"/>
      <c r="AA54" s="858"/>
      <c r="AB54" s="858"/>
      <c r="AC54" s="858"/>
      <c r="AD54" s="859"/>
      <c r="AE54" s="859"/>
      <c r="AF54" s="859"/>
      <c r="AG54" s="859"/>
      <c r="AH54" s="588"/>
      <c r="AI54" s="588"/>
      <c r="AJ54" s="588"/>
      <c r="AK54" s="586"/>
      <c r="AL54" s="586"/>
      <c r="AM54" s="586"/>
      <c r="AN54" s="586"/>
      <c r="AO54" s="586"/>
      <c r="AP54" s="586"/>
      <c r="AQ54" s="586"/>
      <c r="AR54" s="588"/>
      <c r="AS54" s="588"/>
      <c r="AT54" s="588"/>
      <c r="AU54" s="588"/>
      <c r="AV54" s="599"/>
      <c r="AW54" s="860"/>
      <c r="AX54" s="620"/>
      <c r="AY54" s="586"/>
      <c r="AZ54" s="591"/>
      <c r="BA54" s="590"/>
      <c r="BB54" s="586"/>
      <c r="BC54" s="586"/>
      <c r="BD54" s="586"/>
      <c r="BE54" s="586"/>
      <c r="BF54" s="586"/>
      <c r="BG54" s="586"/>
      <c r="BH54" s="586"/>
      <c r="BI54" s="586"/>
      <c r="BJ54" s="586"/>
      <c r="BK54" s="586"/>
      <c r="BL54" s="586"/>
      <c r="BM54" s="590"/>
      <c r="BN54" s="586"/>
      <c r="BO54" s="586"/>
      <c r="BP54" s="586"/>
      <c r="BQ54" s="586"/>
      <c r="BR54" s="586"/>
      <c r="BS54" s="586"/>
      <c r="BT54" s="586"/>
      <c r="BU54" s="586"/>
      <c r="BV54" s="586"/>
      <c r="BW54" s="586"/>
      <c r="BX54" s="586"/>
      <c r="BY54" s="586"/>
      <c r="BZ54" s="586"/>
      <c r="CA54" s="586"/>
      <c r="CB54" s="591"/>
      <c r="CC54" s="573"/>
      <c r="CD54" s="573"/>
      <c r="CE54" s="573"/>
      <c r="CF54" s="573"/>
      <c r="CG54" s="573"/>
      <c r="CH54" s="573"/>
      <c r="CI54" s="573"/>
      <c r="CJ54" s="573"/>
      <c r="CK54" s="573"/>
      <c r="CL54" s="573"/>
    </row>
    <row r="55" spans="1:95" x14ac:dyDescent="0.25">
      <c r="A55" s="620"/>
      <c r="B55" s="861"/>
      <c r="C55" s="861"/>
      <c r="D55" s="861"/>
      <c r="E55" s="861"/>
      <c r="F55" s="862"/>
      <c r="G55" s="856"/>
      <c r="H55" s="856"/>
      <c r="I55" s="856"/>
      <c r="J55" s="856"/>
      <c r="K55" s="857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Y55" s="588"/>
      <c r="Z55" s="588"/>
      <c r="AA55" s="588"/>
      <c r="AB55" s="588"/>
      <c r="AC55" s="588"/>
      <c r="AD55" s="863"/>
      <c r="AE55" s="863"/>
      <c r="AF55" s="863"/>
      <c r="AG55" s="863"/>
      <c r="AH55" s="588"/>
      <c r="AI55" s="588"/>
      <c r="AJ55" s="588"/>
      <c r="AK55" s="588"/>
      <c r="AL55" s="588"/>
      <c r="AM55" s="588"/>
      <c r="AN55" s="588"/>
      <c r="AO55" s="588"/>
      <c r="AP55" s="588"/>
      <c r="AQ55" s="864"/>
      <c r="AR55" s="588"/>
      <c r="AS55" s="588"/>
      <c r="AT55" s="588"/>
      <c r="AU55" s="588"/>
      <c r="AV55" s="588"/>
      <c r="AW55" s="588"/>
      <c r="AX55" s="620"/>
      <c r="AY55" s="586"/>
      <c r="AZ55" s="591"/>
      <c r="BA55" s="590"/>
      <c r="BB55" s="586"/>
      <c r="BC55" s="586"/>
      <c r="BD55" s="586"/>
      <c r="BE55" s="586"/>
      <c r="BF55" s="586"/>
      <c r="BG55" s="586"/>
      <c r="BH55" s="586"/>
      <c r="BI55" s="586"/>
      <c r="BJ55" s="586"/>
      <c r="BK55" s="586"/>
      <c r="BL55" s="586"/>
      <c r="BM55" s="590"/>
      <c r="BN55" s="586"/>
      <c r="BO55" s="586"/>
      <c r="BP55" s="586"/>
      <c r="BQ55" s="586"/>
      <c r="BR55" s="586"/>
      <c r="BS55" s="586"/>
      <c r="BT55" s="586"/>
      <c r="BU55" s="586"/>
      <c r="BV55" s="586"/>
      <c r="BW55" s="586"/>
      <c r="BX55" s="586"/>
      <c r="BY55" s="586"/>
      <c r="BZ55" s="586"/>
      <c r="CA55" s="586"/>
      <c r="CB55" s="591"/>
      <c r="CC55" s="573"/>
      <c r="CD55" s="573"/>
      <c r="CE55" s="573"/>
      <c r="CF55" s="573"/>
      <c r="CG55" s="573"/>
      <c r="CH55" s="573"/>
      <c r="CI55" s="573"/>
      <c r="CJ55" s="573"/>
      <c r="CK55" s="573"/>
      <c r="CL55" s="573"/>
    </row>
    <row r="56" spans="1:95" x14ac:dyDescent="0.25">
      <c r="A56" s="620"/>
      <c r="B56" s="588"/>
      <c r="C56" s="588"/>
      <c r="D56" s="588"/>
      <c r="E56" s="588"/>
      <c r="F56" s="862"/>
      <c r="G56" s="856"/>
      <c r="H56" s="856"/>
      <c r="I56" s="856"/>
      <c r="J56" s="856"/>
      <c r="K56" s="857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Y56" s="588"/>
      <c r="Z56" s="588"/>
      <c r="AA56" s="588"/>
      <c r="AB56" s="588"/>
      <c r="AC56" s="588"/>
      <c r="AD56" s="588"/>
      <c r="AE56" s="588"/>
      <c r="AF56" s="588"/>
      <c r="AG56" s="588"/>
      <c r="AH56" s="588"/>
      <c r="AI56" s="588"/>
      <c r="AJ56" s="588"/>
      <c r="AK56" s="588"/>
      <c r="AL56" s="588"/>
      <c r="AM56" s="588"/>
      <c r="AN56" s="588"/>
      <c r="AO56" s="588"/>
      <c r="AP56" s="588"/>
      <c r="AQ56" s="588"/>
      <c r="AR56" s="588"/>
      <c r="AS56" s="588"/>
      <c r="AT56" s="588"/>
      <c r="AU56" s="588"/>
      <c r="AV56" s="588"/>
      <c r="AW56" s="588"/>
      <c r="AX56" s="620"/>
      <c r="AY56" s="586"/>
      <c r="AZ56" s="591"/>
      <c r="BA56" s="590"/>
      <c r="BB56" s="586"/>
      <c r="BC56" s="586"/>
      <c r="BD56" s="586"/>
      <c r="BE56" s="586"/>
      <c r="BF56" s="586"/>
      <c r="BG56" s="586"/>
      <c r="BH56" s="586"/>
      <c r="BI56" s="586"/>
      <c r="BJ56" s="586"/>
      <c r="BK56" s="586"/>
      <c r="BL56" s="586"/>
      <c r="BM56" s="590"/>
      <c r="BN56" s="586"/>
      <c r="BO56" s="586"/>
      <c r="BP56" s="586"/>
      <c r="BQ56" s="586"/>
      <c r="BR56" s="586"/>
      <c r="BS56" s="586"/>
      <c r="BT56" s="586"/>
      <c r="BU56" s="586"/>
      <c r="BV56" s="586"/>
      <c r="BW56" s="586"/>
      <c r="BX56" s="586"/>
      <c r="BY56" s="586"/>
      <c r="BZ56" s="586"/>
      <c r="CA56" s="586"/>
      <c r="CB56" s="591"/>
      <c r="CC56" s="573"/>
      <c r="CD56" s="573"/>
      <c r="CE56" s="573"/>
      <c r="CF56" s="573"/>
      <c r="CG56" s="573"/>
      <c r="CH56" s="573"/>
      <c r="CI56" s="573"/>
      <c r="CJ56" s="573"/>
      <c r="CK56" s="573"/>
      <c r="CL56" s="573"/>
    </row>
    <row r="57" spans="1:95" ht="15.75" thickBot="1" x14ac:dyDescent="0.3">
      <c r="A57" s="865"/>
      <c r="B57" s="666"/>
      <c r="C57" s="666"/>
      <c r="D57" s="666"/>
      <c r="E57" s="666"/>
      <c r="F57" s="866"/>
      <c r="G57" s="867"/>
      <c r="H57" s="867"/>
      <c r="I57" s="867"/>
      <c r="J57" s="867"/>
      <c r="K57" s="868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  <c r="AF57" s="666"/>
      <c r="AG57" s="666"/>
      <c r="AH57" s="666"/>
      <c r="AI57" s="666"/>
      <c r="AJ57" s="666"/>
      <c r="AK57" s="666"/>
      <c r="AL57" s="666"/>
      <c r="AM57" s="666"/>
      <c r="AN57" s="666"/>
      <c r="AO57" s="666"/>
      <c r="AP57" s="666"/>
      <c r="AQ57" s="666"/>
      <c r="AR57" s="666"/>
      <c r="AS57" s="666"/>
      <c r="AT57" s="666"/>
      <c r="AU57" s="666"/>
      <c r="AV57" s="666"/>
      <c r="AW57" s="666"/>
      <c r="AX57" s="865"/>
      <c r="AY57" s="616"/>
      <c r="AZ57" s="824"/>
      <c r="BA57" s="615"/>
      <c r="BB57" s="616"/>
      <c r="BC57" s="616"/>
      <c r="BD57" s="616"/>
      <c r="BE57" s="616"/>
      <c r="BF57" s="616"/>
      <c r="BG57" s="616"/>
      <c r="BH57" s="616"/>
      <c r="BI57" s="616"/>
      <c r="BJ57" s="616"/>
      <c r="BK57" s="616"/>
      <c r="BL57" s="616"/>
      <c r="BM57" s="615"/>
      <c r="BN57" s="616"/>
      <c r="BO57" s="616"/>
      <c r="BP57" s="616"/>
      <c r="BQ57" s="616"/>
      <c r="BR57" s="616"/>
      <c r="BS57" s="616"/>
      <c r="BT57" s="616"/>
      <c r="BU57" s="616"/>
      <c r="BV57" s="616"/>
      <c r="BW57" s="616"/>
      <c r="BX57" s="616"/>
      <c r="BY57" s="616"/>
      <c r="BZ57" s="616"/>
      <c r="CA57" s="616"/>
      <c r="CB57" s="824"/>
      <c r="CC57" s="573"/>
      <c r="CD57" s="573"/>
      <c r="CE57" s="573"/>
      <c r="CF57" s="573"/>
      <c r="CG57" s="573"/>
      <c r="CH57" s="573"/>
      <c r="CI57" s="573"/>
      <c r="CJ57" s="573"/>
      <c r="CK57" s="573"/>
      <c r="CL57" s="573"/>
    </row>
    <row r="58" spans="1:95" x14ac:dyDescent="0.25">
      <c r="A58" s="599"/>
      <c r="B58" s="599"/>
      <c r="C58" s="599"/>
      <c r="D58" s="599"/>
      <c r="E58" s="599"/>
      <c r="F58" s="599"/>
      <c r="G58" s="599"/>
      <c r="H58" s="599"/>
      <c r="I58" s="599"/>
      <c r="J58" s="599"/>
      <c r="K58" s="599"/>
      <c r="L58" s="599"/>
      <c r="M58" s="599"/>
      <c r="N58" s="599"/>
      <c r="O58" s="599"/>
      <c r="P58" s="599"/>
      <c r="Q58" s="599"/>
      <c r="R58" s="599"/>
      <c r="S58" s="599"/>
      <c r="T58" s="599"/>
      <c r="U58" s="599"/>
      <c r="V58" s="599"/>
      <c r="W58" s="599"/>
      <c r="X58" s="599"/>
      <c r="Y58" s="599"/>
      <c r="Z58" s="599"/>
      <c r="AA58" s="599"/>
      <c r="AB58" s="599"/>
      <c r="AC58" s="599"/>
      <c r="AD58" s="599"/>
      <c r="AE58" s="599"/>
      <c r="AF58" s="599"/>
      <c r="AG58" s="599"/>
      <c r="AH58" s="599"/>
      <c r="AI58" s="599"/>
      <c r="AJ58" s="599"/>
      <c r="AK58" s="599"/>
      <c r="AL58" s="599"/>
      <c r="AM58" s="599"/>
      <c r="AN58" s="599"/>
      <c r="AO58" s="599"/>
      <c r="AP58" s="599"/>
      <c r="AQ58" s="599"/>
      <c r="AR58" s="599"/>
      <c r="AS58" s="599"/>
      <c r="AT58" s="599"/>
      <c r="AU58" s="599"/>
      <c r="AV58" s="599"/>
      <c r="AW58" s="599"/>
      <c r="AX58" s="599"/>
      <c r="AY58" s="573"/>
      <c r="AZ58" s="573"/>
      <c r="BA58" s="573"/>
      <c r="BB58" s="573"/>
      <c r="BC58" s="573"/>
      <c r="BD58" s="573"/>
      <c r="BE58" s="573"/>
      <c r="BF58" s="573"/>
      <c r="BG58" s="573"/>
      <c r="BH58" s="573"/>
      <c r="BI58" s="573"/>
      <c r="BJ58" s="573"/>
      <c r="BK58" s="573"/>
      <c r="BL58" s="573"/>
      <c r="BM58" s="573"/>
      <c r="BN58" s="573"/>
      <c r="BO58" s="573"/>
      <c r="BP58" s="573"/>
      <c r="BQ58" s="573"/>
      <c r="BR58" s="573"/>
      <c r="BS58" s="573"/>
      <c r="BT58" s="573"/>
      <c r="BU58" s="573"/>
      <c r="BV58" s="573"/>
      <c r="BW58" s="573"/>
      <c r="BX58" s="573"/>
      <c r="BY58" s="573"/>
      <c r="BZ58" s="573"/>
      <c r="CA58" s="573"/>
      <c r="CB58" s="573"/>
      <c r="CC58" s="573"/>
      <c r="CD58" s="573"/>
      <c r="CE58" s="573"/>
      <c r="CF58" s="573"/>
      <c r="CG58" s="573"/>
      <c r="CH58" s="573"/>
      <c r="CI58" s="573"/>
      <c r="CJ58" s="573"/>
      <c r="CK58" s="573"/>
      <c r="CL58" s="573"/>
    </row>
    <row r="59" spans="1:95" x14ac:dyDescent="0.25">
      <c r="A59" s="869"/>
      <c r="B59" s="870"/>
      <c r="C59" s="586"/>
      <c r="D59" s="794"/>
      <c r="E59" s="794"/>
      <c r="F59" s="794"/>
      <c r="G59" s="794"/>
      <c r="H59" s="794"/>
      <c r="I59" s="794"/>
      <c r="J59" s="794"/>
      <c r="K59" s="794"/>
      <c r="L59" s="794"/>
      <c r="M59" s="871"/>
      <c r="N59" s="794"/>
      <c r="O59" s="794"/>
      <c r="P59" s="794"/>
      <c r="Q59" s="794"/>
      <c r="R59" s="794"/>
      <c r="S59" s="794"/>
      <c r="T59" s="794"/>
      <c r="U59" s="794"/>
      <c r="V59" s="794"/>
      <c r="W59" s="794"/>
      <c r="X59" s="794"/>
      <c r="Y59" s="794"/>
      <c r="Z59" s="794"/>
      <c r="AA59" s="794"/>
      <c r="AB59" s="872"/>
      <c r="AC59" s="872"/>
      <c r="AD59" s="872"/>
      <c r="AE59" s="872"/>
      <c r="AF59" s="872"/>
      <c r="AG59" s="794"/>
      <c r="AH59" s="794"/>
      <c r="AI59" s="794"/>
      <c r="AJ59" s="794"/>
      <c r="AK59" s="794"/>
      <c r="AL59" s="794"/>
      <c r="AM59" s="794"/>
      <c r="AN59" s="794"/>
      <c r="AO59" s="794"/>
      <c r="AP59" s="794"/>
      <c r="AQ59" s="794"/>
      <c r="AR59" s="794"/>
      <c r="AS59" s="794"/>
      <c r="AT59" s="794"/>
      <c r="AU59" s="794"/>
      <c r="AV59" s="794"/>
      <c r="AW59" s="794"/>
      <c r="AX59" s="794"/>
      <c r="AY59" s="794"/>
      <c r="AZ59" s="794"/>
      <c r="BA59" s="794"/>
      <c r="BB59" s="794"/>
      <c r="BC59" s="794"/>
      <c r="BD59" s="794"/>
      <c r="BE59" s="794"/>
      <c r="BF59" s="794"/>
      <c r="BG59" s="794"/>
      <c r="BH59" s="794"/>
      <c r="BI59" s="794"/>
      <c r="BJ59" s="794"/>
      <c r="BK59" s="794"/>
      <c r="BL59" s="794"/>
      <c r="BM59" s="794"/>
      <c r="BN59" s="794"/>
      <c r="BO59" s="794"/>
      <c r="BP59" s="794"/>
      <c r="BQ59" s="794"/>
      <c r="BR59" s="794"/>
      <c r="BS59" s="794"/>
      <c r="BT59" s="794"/>
      <c r="BU59" s="794"/>
      <c r="BV59" s="794"/>
      <c r="BW59" s="794"/>
      <c r="BX59" s="794"/>
      <c r="BY59" s="794"/>
      <c r="BZ59" s="794"/>
      <c r="CA59" s="794"/>
      <c r="CB59" s="794"/>
      <c r="CC59" s="573"/>
      <c r="CD59" s="573"/>
      <c r="CE59" s="573"/>
      <c r="CF59" s="573"/>
      <c r="CG59" s="573"/>
      <c r="CH59" s="573"/>
      <c r="CI59" s="573"/>
      <c r="CJ59" s="573"/>
      <c r="CK59" s="573"/>
      <c r="CL59" s="573"/>
      <c r="CM59" s="573"/>
      <c r="CN59" s="573"/>
      <c r="CO59" s="573"/>
      <c r="CP59" s="573"/>
      <c r="CQ59" s="573"/>
    </row>
    <row r="60" spans="1:95" x14ac:dyDescent="0.25">
      <c r="A60" s="573"/>
      <c r="B60" s="573"/>
      <c r="C60" s="573"/>
      <c r="D60" s="573"/>
      <c r="E60" s="573"/>
      <c r="F60" s="573"/>
      <c r="G60" s="573"/>
      <c r="H60" s="573"/>
      <c r="I60" s="573"/>
      <c r="J60" s="573"/>
      <c r="K60" s="573"/>
      <c r="L60" s="573"/>
      <c r="M60" s="573"/>
      <c r="N60" s="573"/>
      <c r="O60" s="573"/>
      <c r="P60" s="573"/>
      <c r="Q60" s="573"/>
      <c r="R60" s="573"/>
      <c r="S60" s="573"/>
      <c r="T60" s="573"/>
      <c r="U60" s="573"/>
      <c r="V60" s="573"/>
      <c r="W60" s="573"/>
      <c r="X60" s="573"/>
      <c r="Y60" s="573"/>
      <c r="Z60" s="573"/>
      <c r="AA60" s="573"/>
      <c r="AB60" s="573"/>
      <c r="AC60" s="573"/>
      <c r="AD60" s="573"/>
      <c r="AE60" s="573"/>
      <c r="AF60" s="573"/>
      <c r="AG60" s="573"/>
      <c r="AH60" s="573"/>
      <c r="AI60" s="573"/>
      <c r="AJ60" s="573"/>
      <c r="AK60" s="573"/>
      <c r="AL60" s="573"/>
      <c r="AM60" s="573"/>
      <c r="AN60" s="573"/>
      <c r="AO60" s="573"/>
      <c r="AP60" s="573"/>
      <c r="AQ60" s="573"/>
      <c r="AR60" s="573"/>
      <c r="AS60" s="573"/>
      <c r="AT60" s="573"/>
      <c r="AU60" s="573"/>
      <c r="AV60" s="573"/>
      <c r="AW60" s="573"/>
      <c r="AX60" s="573"/>
      <c r="AY60" s="573"/>
      <c r="AZ60" s="573"/>
      <c r="BA60" s="573"/>
      <c r="BB60" s="573"/>
      <c r="BC60" s="573"/>
      <c r="BD60" s="573"/>
      <c r="BE60" s="573"/>
      <c r="BF60" s="573"/>
      <c r="BG60" s="573"/>
      <c r="BH60" s="573"/>
      <c r="BI60" s="573"/>
      <c r="BJ60" s="573"/>
      <c r="BK60" s="573"/>
      <c r="BL60" s="573"/>
      <c r="BM60" s="573"/>
      <c r="BN60" s="573"/>
      <c r="BO60" s="573"/>
      <c r="BP60" s="573"/>
      <c r="BQ60" s="573"/>
      <c r="BR60" s="573"/>
      <c r="BS60" s="573"/>
      <c r="BT60" s="573"/>
      <c r="BU60" s="573"/>
      <c r="BV60" s="573"/>
      <c r="BW60" s="573"/>
      <c r="BX60" s="573"/>
      <c r="BY60" s="573"/>
      <c r="BZ60" s="573"/>
      <c r="CA60" s="573"/>
      <c r="CB60" s="573"/>
      <c r="CC60" s="573"/>
      <c r="CD60" s="573"/>
      <c r="CE60" s="573"/>
      <c r="CF60" s="573"/>
      <c r="CG60" s="573"/>
      <c r="CH60" s="573"/>
      <c r="CI60" s="573"/>
      <c r="CJ60" s="814"/>
      <c r="CK60" s="814"/>
      <c r="CL60" s="814"/>
      <c r="CM60" s="573"/>
      <c r="CN60" s="573"/>
      <c r="CO60" s="573"/>
      <c r="CP60" s="573"/>
      <c r="CQ60" s="573"/>
    </row>
    <row r="61" spans="1:95" x14ac:dyDescent="0.25">
      <c r="A61" s="573"/>
      <c r="B61" s="573"/>
      <c r="C61" s="573"/>
      <c r="D61" s="573"/>
      <c r="E61" s="573"/>
      <c r="F61" s="573"/>
      <c r="G61" s="573"/>
      <c r="H61" s="573"/>
      <c r="I61" s="573"/>
      <c r="J61" s="573"/>
      <c r="K61" s="573"/>
      <c r="L61" s="573"/>
      <c r="M61" s="573"/>
      <c r="N61" s="573"/>
      <c r="O61" s="573"/>
      <c r="P61" s="573"/>
      <c r="Q61" s="573"/>
      <c r="R61" s="573"/>
      <c r="S61" s="573"/>
      <c r="T61" s="573"/>
      <c r="U61" s="573"/>
      <c r="V61" s="573"/>
      <c r="W61" s="573"/>
      <c r="X61" s="573"/>
      <c r="Y61" s="573"/>
      <c r="Z61" s="573"/>
      <c r="AA61" s="573"/>
      <c r="AB61" s="573"/>
      <c r="AC61" s="573"/>
      <c r="AD61" s="573"/>
      <c r="AE61" s="573"/>
      <c r="AF61" s="573"/>
      <c r="AG61" s="573"/>
      <c r="AH61" s="573"/>
      <c r="AI61" s="573"/>
      <c r="AJ61" s="573"/>
      <c r="AK61" s="573"/>
      <c r="AL61" s="573"/>
      <c r="AM61" s="573"/>
      <c r="AN61" s="573"/>
      <c r="AO61" s="573"/>
      <c r="AP61" s="573"/>
      <c r="AQ61" s="573"/>
      <c r="AR61" s="573"/>
      <c r="AS61" s="573"/>
      <c r="AT61" s="573"/>
      <c r="AU61" s="573"/>
      <c r="AV61" s="573"/>
      <c r="AW61" s="573"/>
      <c r="AX61" s="573"/>
      <c r="AY61" s="573"/>
      <c r="AZ61" s="573"/>
      <c r="BA61" s="573"/>
      <c r="BB61" s="573"/>
      <c r="BC61" s="573"/>
      <c r="BD61" s="573"/>
      <c r="BE61" s="573"/>
      <c r="BF61" s="573"/>
      <c r="BG61" s="573"/>
      <c r="BH61" s="573"/>
      <c r="BI61" s="573"/>
      <c r="BJ61" s="573"/>
      <c r="BK61" s="573"/>
      <c r="BL61" s="573"/>
      <c r="BM61" s="573"/>
      <c r="BN61" s="573"/>
      <c r="BO61" s="573"/>
      <c r="BP61" s="573"/>
      <c r="BQ61" s="573"/>
      <c r="BR61" s="573"/>
      <c r="BS61" s="573"/>
      <c r="BT61" s="573"/>
      <c r="BU61" s="573"/>
      <c r="BV61" s="573"/>
      <c r="BW61" s="573"/>
      <c r="BX61" s="573"/>
      <c r="BY61" s="573"/>
      <c r="BZ61" s="573"/>
      <c r="CA61" s="573"/>
      <c r="CB61" s="573"/>
      <c r="CC61" s="573"/>
      <c r="CD61" s="573"/>
      <c r="CE61" s="573"/>
      <c r="CF61" s="573"/>
      <c r="CG61" s="573"/>
      <c r="CH61" s="573"/>
      <c r="CI61" s="573"/>
      <c r="CJ61" s="814"/>
      <c r="CK61" s="814"/>
      <c r="CL61" s="814"/>
      <c r="CM61" s="573"/>
      <c r="CN61" s="573"/>
      <c r="CO61" s="573"/>
      <c r="CP61" s="573"/>
      <c r="CQ61" s="573"/>
    </row>
  </sheetData>
  <mergeCells count="32">
    <mergeCell ref="A52:B53"/>
    <mergeCell ref="BE53:BG53"/>
    <mergeCell ref="BN53:BO53"/>
    <mergeCell ref="F54:K57"/>
    <mergeCell ref="AD54:AG55"/>
    <mergeCell ref="AX30:AZ33"/>
    <mergeCell ref="CC31:CE31"/>
    <mergeCell ref="W34:Y34"/>
    <mergeCell ref="AL34:AL35"/>
    <mergeCell ref="O47:R47"/>
    <mergeCell ref="H51:V53"/>
    <mergeCell ref="A35:C46"/>
    <mergeCell ref="AO35:AR35"/>
    <mergeCell ref="Z36:AC37"/>
    <mergeCell ref="AJ36:AK36"/>
    <mergeCell ref="AV39:AV40"/>
    <mergeCell ref="AO43:AR43"/>
    <mergeCell ref="G13:J13"/>
    <mergeCell ref="D16:E16"/>
    <mergeCell ref="K16:L16"/>
    <mergeCell ref="AJ21:AL21"/>
    <mergeCell ref="A26:D34"/>
    <mergeCell ref="AJ28:AL28"/>
    <mergeCell ref="U7:V8"/>
    <mergeCell ref="BT7:CA7"/>
    <mergeCell ref="CC7:CN8"/>
    <mergeCell ref="D8:E8"/>
    <mergeCell ref="A1:CN1"/>
    <mergeCell ref="A2:CN2"/>
    <mergeCell ref="BA3:BC3"/>
    <mergeCell ref="BR3:CB6"/>
    <mergeCell ref="AE5:AH5"/>
  </mergeCells>
  <phoneticPr fontId="0" type="noConversion"/>
  <conditionalFormatting sqref="AR48">
    <cfRule type="duplicateValues" dxfId="70" priority="4"/>
  </conditionalFormatting>
  <conditionalFormatting sqref="AR49">
    <cfRule type="duplicateValues" dxfId="69" priority="2"/>
  </conditionalFormatting>
  <conditionalFormatting sqref="AS48">
    <cfRule type="duplicateValues" dxfId="68" priority="3"/>
  </conditionalFormatting>
  <conditionalFormatting sqref="AS49">
    <cfRule type="duplicateValues" dxfId="67" priority="1"/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2">
    <tabColor theme="3" tint="0.39997558519241921"/>
  </sheetPr>
  <dimension ref="A1:CQ483"/>
  <sheetViews>
    <sheetView zoomScale="25" zoomScaleNormal="25" workbookViewId="0">
      <selection activeCell="W78" sqref="W78"/>
    </sheetView>
  </sheetViews>
  <sheetFormatPr baseColWidth="10" defaultColWidth="16.7109375" defaultRowHeight="15" x14ac:dyDescent="0.25"/>
  <cols>
    <col min="1" max="92" width="12.7109375" customWidth="1"/>
  </cols>
  <sheetData>
    <row r="1" spans="1:92" ht="33.75" customHeight="1" x14ac:dyDescent="0.25">
      <c r="A1" s="425" t="s">
        <v>160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426"/>
      <c r="Z1" s="426"/>
      <c r="AA1" s="426"/>
      <c r="AB1" s="426"/>
      <c r="AC1" s="426"/>
      <c r="AD1" s="426"/>
      <c r="AE1" s="426"/>
      <c r="AF1" s="426"/>
      <c r="AG1" s="426"/>
      <c r="AH1" s="426"/>
      <c r="AI1" s="426"/>
      <c r="AJ1" s="426"/>
      <c r="AK1" s="426"/>
      <c r="AL1" s="426"/>
      <c r="AM1" s="426"/>
      <c r="AN1" s="426"/>
      <c r="AO1" s="426"/>
      <c r="AP1" s="426"/>
      <c r="AQ1" s="426"/>
      <c r="AR1" s="426"/>
      <c r="AS1" s="426"/>
      <c r="AT1" s="426"/>
      <c r="AU1" s="426"/>
      <c r="AV1" s="426"/>
      <c r="AW1" s="426"/>
      <c r="AX1" s="426"/>
      <c r="AY1" s="426"/>
      <c r="AZ1" s="426"/>
      <c r="BA1" s="426"/>
      <c r="BB1" s="426"/>
      <c r="BC1" s="426"/>
      <c r="BD1" s="426"/>
      <c r="BE1" s="426"/>
      <c r="BF1" s="426"/>
      <c r="BG1" s="426"/>
      <c r="BH1" s="426"/>
      <c r="BI1" s="426"/>
      <c r="BJ1" s="426"/>
      <c r="BK1" s="426"/>
      <c r="BL1" s="426"/>
      <c r="BM1" s="426"/>
      <c r="BN1" s="426"/>
      <c r="BO1" s="426"/>
      <c r="BP1" s="426"/>
      <c r="BQ1" s="426"/>
      <c r="BR1" s="426"/>
      <c r="BS1" s="426"/>
      <c r="BT1" s="426"/>
      <c r="BU1" s="426"/>
      <c r="BV1" s="426"/>
      <c r="BW1" s="426"/>
      <c r="BX1" s="426"/>
      <c r="BY1" s="426"/>
      <c r="BZ1" s="426"/>
      <c r="CA1" s="426"/>
      <c r="CB1" s="426"/>
      <c r="CC1" s="426"/>
      <c r="CD1" s="426"/>
      <c r="CE1" s="426"/>
      <c r="CF1" s="426"/>
      <c r="CG1" s="426"/>
      <c r="CH1" s="426"/>
      <c r="CI1" s="426"/>
      <c r="CJ1" s="426"/>
      <c r="CK1" s="426"/>
      <c r="CL1" s="426"/>
      <c r="CM1" s="426"/>
      <c r="CN1" s="426"/>
    </row>
    <row r="2" spans="1:92" ht="28.5" customHeight="1" thickBot="1" x14ac:dyDescent="0.3">
      <c r="A2" s="427" t="s">
        <v>161</v>
      </c>
      <c r="B2" s="427"/>
      <c r="C2" s="427"/>
      <c r="D2" s="427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427"/>
      <c r="Z2" s="427"/>
      <c r="AA2" s="427"/>
      <c r="AB2" s="427"/>
      <c r="AC2" s="427"/>
      <c r="AD2" s="427"/>
      <c r="AE2" s="427"/>
      <c r="AF2" s="427"/>
      <c r="AG2" s="427"/>
      <c r="AH2" s="427"/>
      <c r="AI2" s="427"/>
      <c r="AJ2" s="427"/>
      <c r="AK2" s="427"/>
      <c r="AL2" s="427"/>
      <c r="AM2" s="427"/>
      <c r="AN2" s="427"/>
      <c r="AO2" s="427"/>
      <c r="AP2" s="427"/>
      <c r="AQ2" s="427"/>
      <c r="AR2" s="427"/>
      <c r="AS2" s="427"/>
      <c r="AT2" s="427"/>
      <c r="AU2" s="427"/>
      <c r="AV2" s="427"/>
      <c r="AW2" s="427"/>
      <c r="AX2" s="427"/>
      <c r="AY2" s="427"/>
      <c r="AZ2" s="427"/>
      <c r="BA2" s="427"/>
      <c r="BB2" s="427"/>
      <c r="BC2" s="427"/>
      <c r="BD2" s="427"/>
      <c r="BE2" s="427"/>
      <c r="BF2" s="427"/>
      <c r="BG2" s="427"/>
      <c r="BH2" s="427"/>
      <c r="BI2" s="427"/>
      <c r="BJ2" s="427"/>
      <c r="BK2" s="427"/>
      <c r="BL2" s="427"/>
      <c r="BM2" s="427"/>
      <c r="BN2" s="427"/>
      <c r="BO2" s="427"/>
      <c r="BP2" s="427"/>
      <c r="BQ2" s="427"/>
      <c r="BR2" s="427"/>
      <c r="BS2" s="427"/>
      <c r="BT2" s="427"/>
      <c r="BU2" s="427"/>
      <c r="BV2" s="427"/>
      <c r="BW2" s="427"/>
      <c r="BX2" s="427"/>
      <c r="BY2" s="427"/>
      <c r="BZ2" s="427"/>
      <c r="CA2" s="427"/>
      <c r="CB2" s="427"/>
      <c r="CC2" s="427"/>
      <c r="CD2" s="427"/>
      <c r="CE2" s="427"/>
      <c r="CF2" s="427"/>
      <c r="CG2" s="427"/>
      <c r="CH2" s="427"/>
      <c r="CI2" s="427"/>
      <c r="CJ2" s="427"/>
      <c r="CK2" s="427"/>
      <c r="CL2" s="427"/>
      <c r="CM2" s="427"/>
      <c r="CN2" s="427"/>
    </row>
    <row r="3" spans="1:92" ht="28.5" thickBot="1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4"/>
      <c r="T3" s="4"/>
      <c r="U3" s="5"/>
      <c r="V3" s="5"/>
      <c r="W3" s="5"/>
      <c r="X3" s="5"/>
      <c r="Y3" s="5"/>
      <c r="Z3" s="5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5"/>
      <c r="AS3" s="5"/>
      <c r="AT3" s="5"/>
      <c r="AU3" s="5"/>
      <c r="AV3" s="5"/>
      <c r="AW3" s="6"/>
      <c r="AX3" s="2"/>
      <c r="AY3" s="7"/>
      <c r="AZ3" s="7"/>
      <c r="BA3" s="428" t="s">
        <v>162</v>
      </c>
      <c r="BB3" s="429"/>
      <c r="BC3" s="429"/>
      <c r="BD3" s="8"/>
      <c r="BE3" s="9"/>
      <c r="BF3" s="9"/>
      <c r="BG3" s="10"/>
      <c r="BH3" s="11"/>
      <c r="BI3" s="9"/>
      <c r="BJ3" s="9"/>
      <c r="BK3" s="12"/>
      <c r="BL3" s="12"/>
      <c r="BM3" s="13"/>
      <c r="BN3" s="8"/>
      <c r="BO3" s="9"/>
      <c r="BP3" s="9"/>
      <c r="BQ3" s="9"/>
      <c r="BR3" s="430" t="s">
        <v>163</v>
      </c>
      <c r="BS3" s="431"/>
      <c r="BT3" s="431"/>
      <c r="BU3" s="431"/>
      <c r="BV3" s="431"/>
      <c r="BW3" s="431"/>
      <c r="BX3" s="431"/>
      <c r="BY3" s="431"/>
      <c r="BZ3" s="431"/>
      <c r="CA3" s="431"/>
      <c r="CB3" s="432"/>
      <c r="CC3" s="7"/>
      <c r="CD3" s="7"/>
      <c r="CE3" s="7"/>
      <c r="CF3" s="7"/>
      <c r="CG3" s="7"/>
      <c r="CH3" s="7"/>
      <c r="CI3" s="7"/>
      <c r="CJ3" s="7"/>
      <c r="CK3" s="7"/>
      <c r="CL3" s="7"/>
    </row>
    <row r="4" spans="1:92" ht="27.75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14"/>
      <c r="S4" s="2"/>
      <c r="T4" s="2"/>
      <c r="U4" s="15"/>
      <c r="V4" s="15"/>
      <c r="W4" s="15"/>
      <c r="X4" s="15"/>
      <c r="Y4" s="15"/>
      <c r="Z4" s="15"/>
      <c r="AA4" s="2"/>
      <c r="AB4" s="2"/>
      <c r="AC4" s="2"/>
      <c r="AD4" s="16" t="s">
        <v>164</v>
      </c>
      <c r="AE4" s="16" t="s">
        <v>165</v>
      </c>
      <c r="AF4" s="16" t="s">
        <v>166</v>
      </c>
      <c r="AG4" s="16" t="s">
        <v>167</v>
      </c>
      <c r="AH4" s="16" t="s">
        <v>168</v>
      </c>
      <c r="AI4" s="16" t="s">
        <v>169</v>
      </c>
      <c r="AJ4" s="16" t="s">
        <v>164</v>
      </c>
      <c r="AK4" s="16" t="s">
        <v>168</v>
      </c>
      <c r="AL4" s="16" t="s">
        <v>170</v>
      </c>
      <c r="AM4" s="16" t="s">
        <v>167</v>
      </c>
      <c r="AN4" s="16" t="s">
        <v>165</v>
      </c>
      <c r="AO4" s="16"/>
      <c r="AP4" s="17"/>
      <c r="AQ4" s="17"/>
      <c r="AR4" s="15"/>
      <c r="AS4" s="15"/>
      <c r="AT4" s="15"/>
      <c r="AU4" s="15"/>
      <c r="AV4" s="15"/>
      <c r="AW4" s="18"/>
      <c r="AX4" s="17"/>
      <c r="AY4" s="7"/>
      <c r="AZ4" s="7"/>
      <c r="BA4" s="19"/>
      <c r="BB4" s="15"/>
      <c r="BC4" s="15"/>
      <c r="BD4" s="19"/>
      <c r="BE4" s="15"/>
      <c r="BF4" s="15"/>
      <c r="BG4" s="20"/>
      <c r="BH4" s="7"/>
      <c r="BI4" s="7"/>
      <c r="BJ4" s="7"/>
      <c r="BK4" s="7"/>
      <c r="BL4" s="7"/>
      <c r="BM4" s="21"/>
      <c r="BN4" s="19"/>
      <c r="BO4" s="22" t="s">
        <v>171</v>
      </c>
      <c r="BP4" s="15"/>
      <c r="BQ4" s="15"/>
      <c r="BR4" s="433"/>
      <c r="BS4" s="434"/>
      <c r="BT4" s="434"/>
      <c r="BU4" s="434"/>
      <c r="BV4" s="434"/>
      <c r="BW4" s="434"/>
      <c r="BX4" s="434"/>
      <c r="BY4" s="434"/>
      <c r="BZ4" s="434"/>
      <c r="CA4" s="434"/>
      <c r="CB4" s="435"/>
      <c r="CC4" s="7"/>
      <c r="CD4" s="7"/>
      <c r="CE4" s="7"/>
      <c r="CF4" s="7"/>
      <c r="CG4" s="7"/>
      <c r="CH4" s="7"/>
      <c r="CI4" s="7"/>
      <c r="CJ4" s="7"/>
      <c r="CK4" s="7"/>
      <c r="CL4" s="7"/>
    </row>
    <row r="5" spans="1:92" ht="28.5" thickBot="1" x14ac:dyDescent="0.45">
      <c r="A5" s="26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14"/>
      <c r="S5" s="2"/>
      <c r="T5" s="2"/>
      <c r="U5" s="15"/>
      <c r="V5" s="15"/>
      <c r="W5" s="15"/>
      <c r="X5" s="15"/>
      <c r="Y5" s="15"/>
      <c r="Z5" s="15"/>
      <c r="AA5" s="2"/>
      <c r="AB5" s="2"/>
      <c r="AC5" s="2"/>
      <c r="AD5" s="2"/>
      <c r="AE5" s="439"/>
      <c r="AF5" s="439"/>
      <c r="AG5" s="439"/>
      <c r="AH5" s="439"/>
      <c r="AI5" s="2"/>
      <c r="AJ5" s="2"/>
      <c r="AK5" s="2"/>
      <c r="AL5" s="2"/>
      <c r="AM5" s="2"/>
      <c r="AN5" s="2"/>
      <c r="AO5" s="2"/>
      <c r="AP5" s="2"/>
      <c r="AQ5" s="2"/>
      <c r="AR5" s="27"/>
      <c r="AS5" s="28"/>
      <c r="AT5" s="28"/>
      <c r="AU5" s="28"/>
      <c r="AV5" s="29"/>
      <c r="AW5" s="30"/>
      <c r="AX5" s="17"/>
      <c r="AY5" s="7"/>
      <c r="AZ5" s="7"/>
      <c r="BA5" s="19"/>
      <c r="BB5" s="15"/>
      <c r="BC5" s="31" t="s">
        <v>172</v>
      </c>
      <c r="BD5" s="15"/>
      <c r="BE5" s="24" t="s">
        <v>173</v>
      </c>
      <c r="BF5" s="15"/>
      <c r="BG5" s="20"/>
      <c r="BH5" s="7"/>
      <c r="BI5" s="7"/>
      <c r="BJ5" s="7"/>
      <c r="BK5" s="7"/>
      <c r="BL5" s="7"/>
      <c r="BM5" s="15"/>
      <c r="BN5" s="19"/>
      <c r="BO5" s="15"/>
      <c r="BP5" s="15"/>
      <c r="BQ5" s="15"/>
      <c r="BR5" s="433"/>
      <c r="BS5" s="434"/>
      <c r="BT5" s="434"/>
      <c r="BU5" s="434"/>
      <c r="BV5" s="434"/>
      <c r="BW5" s="434"/>
      <c r="BX5" s="434"/>
      <c r="BY5" s="434"/>
      <c r="BZ5" s="434"/>
      <c r="CA5" s="434"/>
      <c r="CB5" s="435"/>
      <c r="CC5" s="7"/>
      <c r="CD5" s="7"/>
      <c r="CE5" s="7"/>
      <c r="CF5" s="7"/>
      <c r="CG5" s="7"/>
      <c r="CH5" s="7"/>
      <c r="CI5" s="7"/>
      <c r="CJ5" s="7"/>
      <c r="CK5" s="7"/>
      <c r="CL5" s="7"/>
    </row>
    <row r="6" spans="1:92" ht="24" thickBot="1" x14ac:dyDescent="0.3">
      <c r="A6" s="32"/>
      <c r="B6" s="33"/>
      <c r="C6" s="33"/>
      <c r="D6" s="33"/>
      <c r="E6" s="33"/>
      <c r="F6" s="33"/>
      <c r="G6" s="33"/>
      <c r="H6" s="33"/>
      <c r="I6" s="33"/>
      <c r="J6" s="34"/>
      <c r="K6" s="35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6"/>
      <c r="AR6" s="37"/>
      <c r="AS6" s="38" t="s">
        <v>174</v>
      </c>
      <c r="AT6" s="38"/>
      <c r="AU6" s="39"/>
      <c r="AV6" s="40"/>
      <c r="AW6" s="41"/>
      <c r="AX6" s="17"/>
      <c r="AY6" s="7"/>
      <c r="AZ6" s="7"/>
      <c r="BA6" s="19"/>
      <c r="BB6" s="15"/>
      <c r="BC6" s="15"/>
      <c r="BD6" s="15"/>
      <c r="BE6" s="15"/>
      <c r="BF6" s="15"/>
      <c r="BG6" s="20"/>
      <c r="BH6" s="15"/>
      <c r="BI6" s="7"/>
      <c r="BJ6" s="7"/>
      <c r="BK6" s="7"/>
      <c r="BL6" s="7"/>
      <c r="BM6" s="15"/>
      <c r="BN6" s="42"/>
      <c r="BO6" s="43"/>
      <c r="BP6" s="43"/>
      <c r="BQ6" s="43"/>
      <c r="BR6" s="436"/>
      <c r="BS6" s="437"/>
      <c r="BT6" s="434"/>
      <c r="BU6" s="434"/>
      <c r="BV6" s="434"/>
      <c r="BW6" s="434"/>
      <c r="BX6" s="434"/>
      <c r="BY6" s="434"/>
      <c r="BZ6" s="434"/>
      <c r="CA6" s="434"/>
      <c r="CB6" s="438"/>
      <c r="CC6" s="7"/>
      <c r="CD6" s="7"/>
      <c r="CE6" s="7"/>
      <c r="CF6" s="7"/>
      <c r="CG6" s="7"/>
      <c r="CH6" s="7"/>
      <c r="CI6" s="7"/>
      <c r="CJ6" s="7"/>
      <c r="CK6" s="7"/>
      <c r="CL6" s="7"/>
    </row>
    <row r="7" spans="1:92" ht="24" thickBot="1" x14ac:dyDescent="0.3">
      <c r="A7" s="44"/>
      <c r="B7" s="17"/>
      <c r="C7" s="17"/>
      <c r="D7" s="17"/>
      <c r="E7" s="17"/>
      <c r="F7" s="17"/>
      <c r="G7" s="17"/>
      <c r="H7" s="17"/>
      <c r="I7" s="17"/>
      <c r="J7" s="45"/>
      <c r="K7" s="46"/>
      <c r="L7" s="17"/>
      <c r="M7" s="17"/>
      <c r="N7" s="17"/>
      <c r="O7" s="17"/>
      <c r="P7" s="17"/>
      <c r="Q7" s="17"/>
      <c r="R7" s="17"/>
      <c r="S7" s="17"/>
      <c r="T7" s="17"/>
      <c r="U7" s="413" t="s">
        <v>175</v>
      </c>
      <c r="V7" s="414"/>
      <c r="W7" s="17"/>
      <c r="X7" s="47"/>
      <c r="Y7" s="16"/>
      <c r="Z7" s="48"/>
      <c r="AA7" s="16"/>
      <c r="AB7" s="48"/>
      <c r="AC7" s="49"/>
      <c r="AD7" s="48"/>
      <c r="AE7" s="16"/>
      <c r="AF7" s="15"/>
      <c r="AG7" s="15"/>
      <c r="AH7" s="15"/>
      <c r="AI7" s="15"/>
      <c r="AJ7" s="16"/>
      <c r="AK7" s="16"/>
      <c r="AL7" s="16"/>
      <c r="AM7" s="16"/>
      <c r="AN7" s="16"/>
      <c r="AO7" s="16"/>
      <c r="AP7" s="16"/>
      <c r="AQ7" s="16"/>
      <c r="AR7" s="50"/>
      <c r="AS7" s="27"/>
      <c r="AT7" s="27"/>
      <c r="AU7" s="51"/>
      <c r="AV7" s="52"/>
      <c r="AW7" s="53"/>
      <c r="AX7" s="17"/>
      <c r="AY7" s="7"/>
      <c r="AZ7" s="7"/>
      <c r="BA7" s="19"/>
      <c r="BB7" s="15"/>
      <c r="BC7" s="15"/>
      <c r="BD7" s="23" t="s">
        <v>176</v>
      </c>
      <c r="BE7" s="15"/>
      <c r="BF7" s="24" t="s">
        <v>177</v>
      </c>
      <c r="BG7" s="20"/>
      <c r="BH7" s="15"/>
      <c r="BI7" s="15"/>
      <c r="BJ7" s="7"/>
      <c r="BK7" s="7"/>
      <c r="BL7" s="7"/>
      <c r="BM7" s="18"/>
      <c r="BN7" s="54"/>
      <c r="BO7" s="55"/>
      <c r="BP7" s="55"/>
      <c r="BQ7" s="55"/>
      <c r="BR7" s="55"/>
      <c r="BS7" s="55"/>
      <c r="BT7" s="417" t="s">
        <v>163</v>
      </c>
      <c r="BU7" s="418"/>
      <c r="BV7" s="418"/>
      <c r="BW7" s="418"/>
      <c r="BX7" s="418"/>
      <c r="BY7" s="418"/>
      <c r="BZ7" s="418"/>
      <c r="CA7" s="419"/>
      <c r="CB7" s="56"/>
      <c r="CC7" s="420" t="s">
        <v>178</v>
      </c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421"/>
    </row>
    <row r="8" spans="1:92" ht="28.5" thickBot="1" x14ac:dyDescent="0.45">
      <c r="A8" s="44"/>
      <c r="B8" s="17"/>
      <c r="C8" s="17"/>
      <c r="D8" s="424" t="s">
        <v>179</v>
      </c>
      <c r="E8" s="424"/>
      <c r="F8" s="17"/>
      <c r="G8" s="17"/>
      <c r="H8" s="57" t="s">
        <v>180</v>
      </c>
      <c r="I8" s="58"/>
      <c r="J8" s="7"/>
      <c r="K8" s="46"/>
      <c r="L8" s="17"/>
      <c r="M8" s="17"/>
      <c r="N8" s="17"/>
      <c r="O8" s="17"/>
      <c r="P8" s="17"/>
      <c r="Q8" s="17"/>
      <c r="R8" s="17"/>
      <c r="S8" s="17"/>
      <c r="T8" s="17"/>
      <c r="U8" s="415"/>
      <c r="V8" s="416"/>
      <c r="W8" s="17"/>
      <c r="X8" s="17"/>
      <c r="Y8" s="16"/>
      <c r="Z8" s="16"/>
      <c r="AA8" s="17"/>
      <c r="AB8" s="16"/>
      <c r="AC8" s="16"/>
      <c r="AD8" s="16"/>
      <c r="AE8" s="2"/>
      <c r="AF8" s="59"/>
      <c r="AG8" s="59"/>
      <c r="AH8" s="59"/>
      <c r="AI8" s="59"/>
      <c r="AJ8" s="2"/>
      <c r="AK8" s="17"/>
      <c r="AL8" s="17"/>
      <c r="AM8" s="17"/>
      <c r="AN8" s="17"/>
      <c r="AO8" s="17"/>
      <c r="AP8" s="17"/>
      <c r="AQ8" s="17"/>
      <c r="AR8" s="50"/>
      <c r="AS8" s="27"/>
      <c r="AT8" s="27"/>
      <c r="AU8" s="51"/>
      <c r="AV8" s="52"/>
      <c r="AW8" s="53"/>
      <c r="AX8" s="17"/>
      <c r="AY8" s="7"/>
      <c r="AZ8" s="7"/>
      <c r="BA8" s="19"/>
      <c r="BB8" s="15"/>
      <c r="BC8" s="15"/>
      <c r="BD8" s="19"/>
      <c r="BE8" s="27" t="s">
        <v>181</v>
      </c>
      <c r="BF8" s="15"/>
      <c r="BG8" s="20"/>
      <c r="BH8" s="15"/>
      <c r="BI8" s="15"/>
      <c r="BJ8" s="15"/>
      <c r="BK8" s="15"/>
      <c r="BL8" s="15"/>
      <c r="BM8" s="18"/>
      <c r="BN8" s="60"/>
      <c r="BO8" s="61"/>
      <c r="BP8" s="56"/>
      <c r="BQ8" s="56"/>
      <c r="BR8" s="56"/>
      <c r="BS8" s="56"/>
      <c r="BT8" s="56"/>
      <c r="BU8" s="56"/>
      <c r="BV8" s="56"/>
      <c r="BW8" s="56"/>
      <c r="BX8" s="62"/>
      <c r="BY8" s="56"/>
      <c r="BZ8" s="56"/>
      <c r="CA8" s="56"/>
      <c r="CB8" s="56"/>
      <c r="CC8" s="422"/>
      <c r="CD8" s="423"/>
      <c r="CE8" s="423"/>
      <c r="CF8" s="423"/>
      <c r="CG8" s="423"/>
      <c r="CH8" s="423"/>
      <c r="CI8" s="423"/>
      <c r="CJ8" s="423"/>
      <c r="CK8" s="423"/>
      <c r="CL8" s="423"/>
      <c r="CM8" s="423"/>
      <c r="CN8" s="423"/>
    </row>
    <row r="9" spans="1:92" ht="27.75" x14ac:dyDescent="0.4">
      <c r="A9" s="44"/>
      <c r="B9" s="17"/>
      <c r="C9" s="17"/>
      <c r="D9" s="17"/>
      <c r="E9" s="17"/>
      <c r="F9" s="17"/>
      <c r="G9" s="17"/>
      <c r="H9" s="17"/>
      <c r="I9" s="17"/>
      <c r="J9" s="63"/>
      <c r="K9" s="46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47"/>
      <c r="Y9" s="17"/>
      <c r="Z9" s="47"/>
      <c r="AA9" s="17"/>
      <c r="AB9" s="47"/>
      <c r="AC9" s="64"/>
      <c r="AD9" s="65"/>
      <c r="AE9" s="2"/>
      <c r="AF9" s="15"/>
      <c r="AG9" s="15"/>
      <c r="AH9" s="15"/>
      <c r="AI9" s="15"/>
      <c r="AJ9" s="2"/>
      <c r="AK9" s="66"/>
      <c r="AL9" s="66"/>
      <c r="AM9" s="17"/>
      <c r="AN9" s="17"/>
      <c r="AO9" s="17"/>
      <c r="AP9" s="17"/>
      <c r="AQ9" s="17"/>
      <c r="AR9" s="50"/>
      <c r="AS9" s="7"/>
      <c r="AT9" s="7"/>
      <c r="AU9" s="7"/>
      <c r="AV9" s="21"/>
      <c r="AW9" s="67"/>
      <c r="AX9" s="17"/>
      <c r="AY9" s="7"/>
      <c r="AZ9" s="7"/>
      <c r="BA9" s="19"/>
      <c r="BB9" s="15"/>
      <c r="BC9" s="15"/>
      <c r="BD9" s="19"/>
      <c r="BE9" s="15"/>
      <c r="BF9" s="15"/>
      <c r="BG9" s="31" t="s">
        <v>172</v>
      </c>
      <c r="BH9" s="7"/>
      <c r="BI9" s="7"/>
      <c r="BJ9" s="7"/>
      <c r="BK9" s="7"/>
      <c r="BL9" s="7"/>
      <c r="BM9" s="7"/>
      <c r="BN9" s="60"/>
      <c r="BO9" s="68"/>
      <c r="BP9" s="15"/>
      <c r="BQ9" s="15"/>
      <c r="BR9" s="15"/>
      <c r="BS9" s="15"/>
      <c r="BT9" s="15"/>
      <c r="BU9" s="15"/>
      <c r="BV9" s="15"/>
      <c r="BW9" s="15"/>
      <c r="BX9" s="15"/>
      <c r="BY9" s="15"/>
      <c r="CA9" s="56"/>
      <c r="CB9" s="69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</row>
    <row r="10" spans="1:92" ht="28.5" thickBot="1" x14ac:dyDescent="0.45">
      <c r="A10" s="44"/>
      <c r="B10" s="45"/>
      <c r="C10" s="17"/>
      <c r="D10" s="17"/>
      <c r="E10" s="17"/>
      <c r="F10" s="17"/>
      <c r="G10" s="17"/>
      <c r="H10" s="17"/>
      <c r="I10" s="17"/>
      <c r="J10" s="63"/>
      <c r="K10" s="46"/>
      <c r="L10" s="17"/>
      <c r="M10" s="70"/>
      <c r="N10" s="70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5"/>
      <c r="Z10" s="15"/>
      <c r="AA10" s="51"/>
      <c r="AB10" s="71"/>
      <c r="AC10" s="72"/>
      <c r="AD10" s="15"/>
      <c r="AE10" s="2"/>
      <c r="AF10" s="2"/>
      <c r="AG10" s="2"/>
      <c r="AH10" s="2"/>
      <c r="AI10" s="2"/>
      <c r="AJ10" s="2"/>
      <c r="AK10" s="17"/>
      <c r="AL10" s="70"/>
      <c r="AM10" s="7"/>
      <c r="AN10" s="17"/>
      <c r="AO10" s="17"/>
      <c r="AP10" s="17"/>
      <c r="AQ10" s="17"/>
      <c r="AR10" s="73"/>
      <c r="AS10" s="7"/>
      <c r="AT10" s="7"/>
      <c r="AU10" s="7"/>
      <c r="AV10" s="17"/>
      <c r="AW10" s="74"/>
      <c r="AX10" s="17"/>
      <c r="AY10" s="7"/>
      <c r="AZ10" s="7"/>
      <c r="BA10" s="19"/>
      <c r="BB10" s="15"/>
      <c r="BC10" s="15"/>
      <c r="BD10" s="42"/>
      <c r="BE10" s="43"/>
      <c r="BF10" s="43"/>
      <c r="BG10" s="43"/>
      <c r="BH10" s="7"/>
      <c r="BI10" s="7"/>
      <c r="BJ10" s="7"/>
      <c r="BK10" s="7"/>
      <c r="BL10" s="7"/>
      <c r="BM10" s="7"/>
      <c r="BN10" s="60"/>
      <c r="BO10" s="68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CA10" s="69"/>
      <c r="CB10" s="69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75"/>
    </row>
    <row r="11" spans="1:92" ht="24" thickBot="1" x14ac:dyDescent="0.4">
      <c r="A11" s="42"/>
      <c r="B11" s="76"/>
      <c r="C11" s="77"/>
      <c r="D11" s="77"/>
      <c r="E11" s="77"/>
      <c r="F11" s="77"/>
      <c r="G11" s="77"/>
      <c r="H11" s="77"/>
      <c r="I11" s="77"/>
      <c r="J11" s="78"/>
      <c r="K11" s="79"/>
      <c r="L11" s="43"/>
      <c r="M11" s="43"/>
      <c r="N11" s="43"/>
      <c r="O11" s="43"/>
      <c r="P11" s="43"/>
      <c r="Q11" s="15"/>
      <c r="R11" s="17"/>
      <c r="S11" s="17"/>
      <c r="T11" s="15"/>
      <c r="U11" s="15"/>
      <c r="V11" s="80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81"/>
      <c r="AS11" s="7"/>
      <c r="AT11" s="7"/>
      <c r="AU11" s="7"/>
      <c r="AV11" s="17"/>
      <c r="AW11" s="74"/>
      <c r="AX11" s="17"/>
      <c r="AY11" s="7"/>
      <c r="AZ11" s="7"/>
      <c r="BA11" s="19"/>
      <c r="BB11" s="15"/>
      <c r="BC11" s="15"/>
      <c r="BD11" s="15"/>
      <c r="BE11" s="15"/>
      <c r="BF11" s="15"/>
      <c r="BG11" s="15"/>
      <c r="BH11" s="7"/>
      <c r="BI11" s="7"/>
      <c r="BJ11" s="7"/>
      <c r="BK11" s="7"/>
      <c r="BL11" s="7"/>
      <c r="BM11" s="7"/>
      <c r="BN11" s="75"/>
      <c r="BO11" s="56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CA11" s="82"/>
      <c r="CB11" s="82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75"/>
    </row>
    <row r="12" spans="1:92" ht="15.75" thickBot="1" x14ac:dyDescent="0.3">
      <c r="A12" s="7"/>
      <c r="B12" s="18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4"/>
      <c r="Q12" s="17"/>
      <c r="R12" s="17"/>
      <c r="S12" s="17"/>
      <c r="T12" s="17"/>
      <c r="U12" s="17"/>
      <c r="V12" s="85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7"/>
      <c r="AO12" s="87"/>
      <c r="AP12" s="87"/>
      <c r="AQ12" s="87"/>
      <c r="AR12" s="87"/>
      <c r="AS12" s="87"/>
      <c r="AT12" s="87"/>
      <c r="AU12" s="87"/>
      <c r="AV12" s="87"/>
      <c r="AW12" s="88"/>
      <c r="AX12" s="7"/>
      <c r="AY12" s="7"/>
      <c r="AZ12" s="7"/>
      <c r="BA12" s="42"/>
      <c r="BB12" s="43"/>
      <c r="BC12" s="43"/>
      <c r="BD12" s="43"/>
      <c r="BE12" s="15"/>
      <c r="BF12" s="15"/>
      <c r="BG12" s="15"/>
      <c r="BH12" s="15"/>
      <c r="BI12" s="15"/>
      <c r="BJ12" s="15"/>
      <c r="BK12" s="15"/>
      <c r="BL12" s="15"/>
      <c r="BM12" s="15"/>
      <c r="BN12" s="75"/>
      <c r="BO12" s="56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CA12" s="89"/>
      <c r="CB12" s="89" t="s">
        <v>172</v>
      </c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75"/>
    </row>
    <row r="13" spans="1:92" ht="15.75" x14ac:dyDescent="0.25">
      <c r="A13" s="7"/>
      <c r="B13" s="18"/>
      <c r="C13" s="7"/>
      <c r="D13" s="7"/>
      <c r="E13" s="7"/>
      <c r="F13" s="7"/>
      <c r="G13" s="440"/>
      <c r="H13" s="440"/>
      <c r="I13" s="440"/>
      <c r="J13" s="440"/>
      <c r="K13" s="7"/>
      <c r="L13" s="7"/>
      <c r="M13" s="7"/>
      <c r="N13" s="7"/>
      <c r="O13" s="7"/>
      <c r="P13" s="7"/>
      <c r="Q13" s="15"/>
      <c r="R13" s="17"/>
      <c r="S13" s="17"/>
      <c r="T13" s="7"/>
      <c r="U13" s="7"/>
      <c r="V13" s="7"/>
      <c r="W13" s="7"/>
      <c r="X13" s="7"/>
      <c r="Y13" s="7"/>
      <c r="Z13" s="7"/>
      <c r="AA13" s="90"/>
      <c r="AC13" s="91"/>
      <c r="AD13" s="15"/>
      <c r="AE13" s="15"/>
      <c r="AF13" s="15"/>
      <c r="AG13" s="15"/>
      <c r="AH13" s="15"/>
      <c r="AI13" s="15"/>
      <c r="AJ13" s="15"/>
      <c r="AK13" s="15"/>
      <c r="AL13" s="15"/>
      <c r="AM13" s="92"/>
      <c r="AN13" s="21"/>
      <c r="AO13" s="15"/>
      <c r="AP13" s="7"/>
      <c r="AQ13" s="24"/>
      <c r="AR13" s="93" t="s">
        <v>182</v>
      </c>
      <c r="AS13" s="93"/>
      <c r="AT13" s="93"/>
      <c r="AU13" s="93"/>
      <c r="AV13" s="24"/>
      <c r="AW13" s="7"/>
      <c r="AX13" s="32"/>
      <c r="AY13" s="9"/>
      <c r="AZ13" s="10"/>
      <c r="BA13" s="19"/>
      <c r="BB13" s="15"/>
      <c r="BC13" s="15"/>
      <c r="BD13" s="15"/>
      <c r="BE13" s="8"/>
      <c r="BF13" s="9"/>
      <c r="BG13" s="9"/>
      <c r="BH13" s="9"/>
      <c r="BI13" s="9"/>
      <c r="BJ13" s="9"/>
      <c r="BK13" s="9"/>
      <c r="BL13" s="9"/>
      <c r="BM13" s="9"/>
      <c r="BN13" s="94"/>
      <c r="BO13" s="56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CA13" s="95"/>
      <c r="CB13" s="95" t="s">
        <v>178</v>
      </c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75"/>
    </row>
    <row r="14" spans="1:92" ht="15.75" x14ac:dyDescent="0.25">
      <c r="A14" s="96"/>
      <c r="B14" s="97"/>
      <c r="C14" s="98"/>
      <c r="D14" s="98"/>
      <c r="E14" s="98"/>
      <c r="F14" s="98"/>
      <c r="G14" s="98"/>
      <c r="H14" s="98"/>
      <c r="I14" s="51"/>
      <c r="J14" s="98"/>
      <c r="K14" s="98"/>
      <c r="L14" s="98"/>
      <c r="M14" s="98"/>
      <c r="N14" s="99"/>
      <c r="O14" s="99"/>
      <c r="P14" s="99"/>
      <c r="Q14" s="98"/>
      <c r="R14" s="17"/>
      <c r="S14" s="17"/>
      <c r="T14" s="98"/>
      <c r="U14" s="98"/>
      <c r="V14" s="98"/>
      <c r="W14" s="98"/>
      <c r="X14" s="98"/>
      <c r="Y14" s="98"/>
      <c r="Z14" s="98"/>
      <c r="AA14" s="90"/>
      <c r="AB14" s="91"/>
      <c r="AC14" s="91"/>
      <c r="AD14" s="15"/>
      <c r="AE14" s="15"/>
      <c r="AF14" s="15"/>
      <c r="AG14" s="15"/>
      <c r="AH14" s="15"/>
      <c r="AI14" s="15"/>
      <c r="AJ14" s="15"/>
      <c r="AK14" s="15"/>
      <c r="AL14" s="15"/>
      <c r="AM14" s="21"/>
      <c r="AN14" s="15"/>
      <c r="AO14" s="100"/>
      <c r="AP14" s="100"/>
      <c r="AQ14" s="100"/>
      <c r="AR14" s="100"/>
      <c r="AS14" s="7"/>
      <c r="AT14" s="100"/>
      <c r="AU14" s="100"/>
      <c r="AV14" s="100"/>
      <c r="AW14" s="100"/>
      <c r="AY14" s="15"/>
      <c r="AZ14" s="20"/>
      <c r="BA14" s="19"/>
      <c r="BB14" s="15"/>
      <c r="BC14" s="15"/>
      <c r="BD14" s="15"/>
      <c r="BE14" s="19"/>
      <c r="BF14" s="15"/>
      <c r="BG14" s="15"/>
      <c r="BH14" s="15"/>
      <c r="BI14" s="15"/>
      <c r="BJ14" s="15"/>
      <c r="BK14" s="15"/>
      <c r="BL14" s="15"/>
      <c r="BM14" s="15"/>
      <c r="BN14" s="75"/>
      <c r="BO14" s="56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82"/>
      <c r="CB14" s="82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75"/>
    </row>
    <row r="15" spans="1:92" ht="20.25" x14ac:dyDescent="0.25">
      <c r="G15" s="98"/>
      <c r="H15" s="98"/>
      <c r="I15" s="101"/>
      <c r="J15" s="51"/>
      <c r="K15" s="98"/>
      <c r="L15" s="98"/>
      <c r="M15" s="98"/>
      <c r="N15" s="98"/>
      <c r="O15" s="102"/>
      <c r="P15" s="98"/>
      <c r="Q15" s="98"/>
      <c r="R15" s="17"/>
      <c r="S15" s="17"/>
      <c r="T15" s="98"/>
      <c r="U15" s="98"/>
      <c r="V15" s="98"/>
      <c r="W15" s="98"/>
      <c r="Z15" s="98"/>
      <c r="AA15" s="90"/>
      <c r="AB15" s="91"/>
      <c r="AC15" s="91"/>
      <c r="AD15" s="15"/>
      <c r="AE15" s="15"/>
      <c r="AF15" s="15"/>
      <c r="AG15" s="15"/>
      <c r="AH15" s="15"/>
      <c r="AI15" s="15"/>
      <c r="AJ15" s="15"/>
      <c r="AK15" s="15"/>
      <c r="AL15" s="15"/>
      <c r="AM15" s="21"/>
      <c r="AN15" s="100"/>
      <c r="AO15" s="103" t="s">
        <v>183</v>
      </c>
      <c r="AP15" s="103" t="s">
        <v>183</v>
      </c>
      <c r="AQ15" s="103" t="s">
        <v>183</v>
      </c>
      <c r="AR15" s="103" t="s">
        <v>183</v>
      </c>
      <c r="AS15" s="100"/>
      <c r="AT15" s="103" t="s">
        <v>183</v>
      </c>
      <c r="AU15" s="103" t="s">
        <v>183</v>
      </c>
      <c r="AV15" s="103" t="s">
        <v>183</v>
      </c>
      <c r="AW15" s="103" t="s">
        <v>183</v>
      </c>
      <c r="AX15" s="100"/>
      <c r="AY15" s="15"/>
      <c r="AZ15" s="20"/>
      <c r="BA15" s="19"/>
      <c r="BB15" s="15"/>
      <c r="BC15" s="15"/>
      <c r="BD15" s="15"/>
      <c r="BE15" s="19"/>
      <c r="BF15" s="15"/>
      <c r="BG15" s="15"/>
      <c r="BH15" s="15"/>
      <c r="BI15" s="15"/>
      <c r="BJ15" s="15"/>
      <c r="BK15" s="15"/>
      <c r="BL15" s="15"/>
      <c r="BM15" s="15"/>
      <c r="BN15" s="75"/>
      <c r="BO15" s="56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CA15" s="82"/>
      <c r="CB15" s="82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75"/>
    </row>
    <row r="16" spans="1:92" ht="24" thickBot="1" x14ac:dyDescent="0.3">
      <c r="D16" s="441" t="s">
        <v>184</v>
      </c>
      <c r="E16" s="441"/>
      <c r="F16" s="104"/>
      <c r="G16" s="101"/>
      <c r="H16" s="101"/>
      <c r="I16" s="105"/>
      <c r="J16" s="101"/>
      <c r="K16" s="441" t="s">
        <v>184</v>
      </c>
      <c r="L16" s="441"/>
      <c r="M16" s="27"/>
      <c r="O16" s="15"/>
      <c r="P16" s="106"/>
      <c r="Q16" s="106"/>
      <c r="R16" s="106"/>
      <c r="S16" s="7"/>
      <c r="T16" s="107"/>
      <c r="U16" s="98"/>
      <c r="V16" s="7"/>
      <c r="W16" s="98"/>
      <c r="X16" s="98"/>
      <c r="Y16" s="98"/>
      <c r="Z16" s="7"/>
      <c r="AA16" s="90"/>
      <c r="AB16" s="91"/>
      <c r="AC16" s="91"/>
      <c r="AD16" s="108" t="s">
        <v>185</v>
      </c>
      <c r="AE16" s="108" t="s">
        <v>185</v>
      </c>
      <c r="AF16" s="108" t="s">
        <v>185</v>
      </c>
      <c r="AH16" s="109"/>
      <c r="AJ16" s="110" t="s">
        <v>186</v>
      </c>
      <c r="AK16" s="110" t="s">
        <v>186</v>
      </c>
      <c r="AL16" s="110" t="s">
        <v>186</v>
      </c>
      <c r="AM16" s="7"/>
      <c r="AN16" s="103"/>
      <c r="AO16" s="111" t="s">
        <v>187</v>
      </c>
      <c r="AP16" s="111" t="s">
        <v>187</v>
      </c>
      <c r="AQ16" s="111" t="s">
        <v>187</v>
      </c>
      <c r="AR16" s="111" t="s">
        <v>187</v>
      </c>
      <c r="AS16" s="103"/>
      <c r="AT16" s="111" t="s">
        <v>187</v>
      </c>
      <c r="AU16" s="111" t="s">
        <v>187</v>
      </c>
      <c r="AV16" s="111" t="s">
        <v>187</v>
      </c>
      <c r="AW16" s="111" t="s">
        <v>187</v>
      </c>
      <c r="AX16" s="103"/>
      <c r="AY16" s="15"/>
      <c r="AZ16" s="20"/>
      <c r="BA16" s="19"/>
      <c r="BB16" s="15"/>
      <c r="BC16" s="15"/>
      <c r="BD16" s="15"/>
      <c r="BE16" s="19"/>
      <c r="BF16" s="15"/>
      <c r="BG16" s="15"/>
      <c r="BH16" s="15"/>
      <c r="BI16" s="15"/>
      <c r="BJ16" s="15"/>
      <c r="BK16" s="15" t="s">
        <v>188</v>
      </c>
      <c r="BL16" s="15"/>
      <c r="BM16" s="15"/>
      <c r="BN16" s="75"/>
      <c r="BO16" s="56"/>
      <c r="BP16" s="56"/>
      <c r="BQ16" s="56"/>
      <c r="BR16" s="56"/>
      <c r="BS16" s="15"/>
      <c r="BT16" s="15"/>
      <c r="BU16" s="15"/>
      <c r="BV16" s="15"/>
      <c r="BW16" s="15"/>
      <c r="BX16" s="15"/>
      <c r="BY16" s="15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75"/>
    </row>
    <row r="17" spans="1:93" ht="18" x14ac:dyDescent="0.25">
      <c r="C17" s="112"/>
      <c r="D17" s="113"/>
      <c r="E17" s="113"/>
      <c r="F17" s="114" t="s">
        <v>189</v>
      </c>
      <c r="K17" s="113"/>
      <c r="L17" s="113"/>
      <c r="M17" s="115" t="s">
        <v>190</v>
      </c>
      <c r="N17" s="116"/>
      <c r="O17" s="116"/>
      <c r="P17" s="98"/>
      <c r="Q17" s="117"/>
      <c r="R17" s="118"/>
      <c r="S17" s="118"/>
      <c r="T17" s="118"/>
      <c r="U17" s="119"/>
      <c r="V17" s="120"/>
      <c r="W17" s="120"/>
      <c r="X17" s="120"/>
      <c r="Y17" s="121"/>
      <c r="Z17" s="7"/>
      <c r="AA17" s="90"/>
      <c r="AB17" s="91"/>
      <c r="AC17" s="91"/>
      <c r="AD17" s="108" t="s">
        <v>185</v>
      </c>
      <c r="AE17" s="108" t="s">
        <v>185</v>
      </c>
      <c r="AF17" s="108" t="s">
        <v>185</v>
      </c>
      <c r="AH17" s="122"/>
      <c r="AJ17" s="110" t="s">
        <v>186</v>
      </c>
      <c r="AK17" s="110" t="s">
        <v>186</v>
      </c>
      <c r="AL17" s="110" t="s">
        <v>186</v>
      </c>
      <c r="AM17" s="98"/>
      <c r="AN17" s="103"/>
      <c r="AO17" s="111" t="s">
        <v>187</v>
      </c>
      <c r="AP17" s="111" t="s">
        <v>187</v>
      </c>
      <c r="AQ17" s="111" t="s">
        <v>187</v>
      </c>
      <c r="AR17" s="111" t="s">
        <v>187</v>
      </c>
      <c r="AS17" s="103"/>
      <c r="AT17" s="111" t="s">
        <v>187</v>
      </c>
      <c r="AU17" s="111" t="s">
        <v>187</v>
      </c>
      <c r="AV17" s="111" t="s">
        <v>187</v>
      </c>
      <c r="AW17" s="111" t="s">
        <v>187</v>
      </c>
      <c r="AX17" s="103"/>
      <c r="AY17" s="15"/>
      <c r="AZ17" s="20"/>
      <c r="BA17" s="19"/>
      <c r="BB17" s="15"/>
      <c r="BC17" s="15"/>
      <c r="BD17" s="15"/>
      <c r="BE17" s="19"/>
      <c r="BF17" s="15"/>
      <c r="BG17" s="15"/>
      <c r="BH17" s="15"/>
      <c r="BI17" s="15"/>
      <c r="BJ17" s="15"/>
      <c r="BK17" s="15"/>
      <c r="BL17" s="15"/>
      <c r="BM17" s="15"/>
      <c r="BN17" s="75"/>
      <c r="BO17" s="56"/>
      <c r="BP17" s="56"/>
      <c r="BS17" s="15"/>
      <c r="BT17" s="15"/>
      <c r="BU17" s="15"/>
      <c r="BV17" s="15"/>
      <c r="BW17" s="15"/>
      <c r="BX17" s="15"/>
      <c r="BY17" s="15"/>
      <c r="CA17" s="56"/>
      <c r="CB17" s="15"/>
      <c r="CC17" s="56"/>
      <c r="CD17" s="56"/>
      <c r="CE17" s="56"/>
      <c r="CF17" s="56"/>
      <c r="CG17" s="56"/>
      <c r="CH17" s="56"/>
      <c r="CI17" s="56"/>
      <c r="CJ17" s="56"/>
      <c r="CK17" s="56"/>
      <c r="CL17" s="56"/>
      <c r="CM17" s="56"/>
      <c r="CN17" s="75"/>
    </row>
    <row r="18" spans="1:93" ht="23.25" x14ac:dyDescent="0.25">
      <c r="B18" s="123">
        <v>1</v>
      </c>
      <c r="C18" s="113" t="s">
        <v>191</v>
      </c>
      <c r="D18" s="124" t="s">
        <v>67</v>
      </c>
      <c r="E18" s="124" t="s">
        <v>67</v>
      </c>
      <c r="F18" s="113" t="s">
        <v>191</v>
      </c>
      <c r="G18" s="125">
        <v>6</v>
      </c>
      <c r="I18" s="123">
        <v>1</v>
      </c>
      <c r="J18" s="113" t="s">
        <v>191</v>
      </c>
      <c r="K18" s="124" t="s">
        <v>67</v>
      </c>
      <c r="L18" s="124" t="s">
        <v>67</v>
      </c>
      <c r="M18" s="113" t="s">
        <v>191</v>
      </c>
      <c r="N18" s="125">
        <v>6</v>
      </c>
      <c r="O18" s="7"/>
      <c r="P18" s="106"/>
      <c r="Q18" s="91"/>
      <c r="T18" s="7"/>
      <c r="U18" s="98"/>
      <c r="V18" s="7"/>
      <c r="W18" s="7"/>
      <c r="X18" s="7"/>
      <c r="Y18" s="126"/>
      <c r="Z18" s="7"/>
      <c r="AA18" s="90"/>
      <c r="AB18" s="91"/>
      <c r="AC18" s="91"/>
      <c r="AH18" s="127"/>
      <c r="AI18" s="127"/>
      <c r="AJ18" s="127"/>
      <c r="AK18" s="127"/>
      <c r="AL18" s="127"/>
      <c r="AM18" s="127"/>
      <c r="AN18" s="100"/>
      <c r="AO18" s="103" t="s">
        <v>183</v>
      </c>
      <c r="AP18" s="103" t="s">
        <v>183</v>
      </c>
      <c r="AQ18" s="103" t="s">
        <v>183</v>
      </c>
      <c r="AR18" s="103" t="s">
        <v>183</v>
      </c>
      <c r="AS18" s="100"/>
      <c r="AT18" s="103" t="s">
        <v>183</v>
      </c>
      <c r="AU18" s="103" t="s">
        <v>183</v>
      </c>
      <c r="AV18" s="103" t="s">
        <v>183</v>
      </c>
      <c r="AW18" s="103" t="s">
        <v>183</v>
      </c>
      <c r="AX18" s="100"/>
      <c r="AY18" s="15"/>
      <c r="AZ18" s="20"/>
      <c r="BA18" s="19"/>
      <c r="BB18" s="15"/>
      <c r="BC18" s="15"/>
      <c r="BD18" s="15"/>
      <c r="BE18" s="19"/>
      <c r="BF18" s="15"/>
      <c r="BG18" s="15"/>
      <c r="BH18" s="15"/>
      <c r="BI18" s="15"/>
      <c r="BJ18" s="15"/>
      <c r="BK18" s="15"/>
      <c r="BL18" s="15"/>
      <c r="BM18" s="15"/>
      <c r="BN18" s="75"/>
      <c r="BO18" s="15"/>
      <c r="BP18" s="56"/>
      <c r="BS18" s="15"/>
      <c r="BT18" s="15"/>
      <c r="BU18" s="15"/>
      <c r="BV18" s="15"/>
      <c r="BW18" s="15"/>
      <c r="BX18" s="15"/>
      <c r="BY18" s="15"/>
      <c r="CA18" s="56"/>
      <c r="CB18" s="15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75"/>
    </row>
    <row r="19" spans="1:93" ht="23.25" x14ac:dyDescent="0.25">
      <c r="A19" s="128" t="s">
        <v>192</v>
      </c>
      <c r="B19" s="123">
        <v>2</v>
      </c>
      <c r="C19" s="113" t="s">
        <v>191</v>
      </c>
      <c r="D19" s="124" t="s">
        <v>67</v>
      </c>
      <c r="E19" s="124" t="s">
        <v>67</v>
      </c>
      <c r="F19" s="113" t="s">
        <v>191</v>
      </c>
      <c r="G19" s="125">
        <v>5</v>
      </c>
      <c r="I19" s="123">
        <v>2</v>
      </c>
      <c r="J19" s="113" t="s">
        <v>191</v>
      </c>
      <c r="K19" s="124" t="s">
        <v>67</v>
      </c>
      <c r="L19" s="124" t="s">
        <v>67</v>
      </c>
      <c r="M19" s="113" t="s">
        <v>191</v>
      </c>
      <c r="N19" s="125">
        <v>5</v>
      </c>
      <c r="O19" s="7"/>
      <c r="P19" s="98"/>
      <c r="Q19" s="91"/>
      <c r="R19" s="7"/>
      <c r="S19" s="7"/>
      <c r="T19" s="7"/>
      <c r="U19" s="7"/>
      <c r="V19" s="7"/>
      <c r="W19" s="7"/>
      <c r="X19" s="7"/>
      <c r="Y19" s="126"/>
      <c r="Z19" s="7"/>
      <c r="AA19" s="90"/>
      <c r="AB19" s="91"/>
      <c r="AC19" s="91"/>
      <c r="AH19" s="127"/>
      <c r="AI19" s="127"/>
      <c r="AJ19" s="127"/>
      <c r="AK19" s="127"/>
      <c r="AL19" s="127"/>
      <c r="AM19" s="127"/>
      <c r="AN19" s="7"/>
      <c r="AO19" s="100"/>
      <c r="AP19" s="100"/>
      <c r="AQ19" s="100"/>
      <c r="AR19" s="100"/>
      <c r="AS19" s="7"/>
      <c r="AT19" s="100"/>
      <c r="AU19" s="100"/>
      <c r="AV19" s="100"/>
      <c r="AW19" s="100"/>
      <c r="AY19" s="24"/>
      <c r="AZ19" s="20"/>
      <c r="BA19" s="19"/>
      <c r="BB19" s="15"/>
      <c r="BC19" s="15"/>
      <c r="BD19" s="15"/>
      <c r="BE19" s="19"/>
      <c r="BF19" s="15"/>
      <c r="BG19" s="15"/>
      <c r="BH19" s="15"/>
      <c r="BI19" s="15"/>
      <c r="BJ19" s="15"/>
      <c r="BK19" s="15"/>
      <c r="BL19" s="15"/>
      <c r="BM19" s="15"/>
      <c r="BN19" s="75"/>
      <c r="BO19" s="15"/>
      <c r="BP19" s="56"/>
      <c r="BS19" s="15"/>
      <c r="BT19" s="15"/>
      <c r="BU19" s="15"/>
      <c r="BV19" s="15"/>
      <c r="BW19" s="15"/>
      <c r="BX19" s="15"/>
      <c r="BY19" s="15"/>
      <c r="CA19" s="56"/>
      <c r="CB19" s="15"/>
      <c r="CC19" s="56"/>
      <c r="CD19" s="56"/>
      <c r="CE19" s="56"/>
      <c r="CF19" s="56"/>
      <c r="CG19" s="56"/>
      <c r="CH19" s="56"/>
      <c r="CI19" s="56"/>
      <c r="CJ19" s="56"/>
      <c r="CK19" s="56"/>
      <c r="CL19" s="56"/>
      <c r="CM19" s="56"/>
      <c r="CN19" s="75"/>
    </row>
    <row r="20" spans="1:93" ht="23.25" x14ac:dyDescent="0.35">
      <c r="A20" s="128" t="s">
        <v>192</v>
      </c>
      <c r="B20" s="123">
        <v>3</v>
      </c>
      <c r="C20" s="113" t="s">
        <v>191</v>
      </c>
      <c r="D20" s="124" t="s">
        <v>67</v>
      </c>
      <c r="E20" s="124" t="s">
        <v>67</v>
      </c>
      <c r="F20" s="113" t="s">
        <v>191</v>
      </c>
      <c r="G20" s="125">
        <v>4</v>
      </c>
      <c r="I20" s="123">
        <v>3</v>
      </c>
      <c r="J20" s="113" t="s">
        <v>191</v>
      </c>
      <c r="K20" s="124" t="s">
        <v>67</v>
      </c>
      <c r="L20" s="124" t="s">
        <v>67</v>
      </c>
      <c r="M20" s="113" t="s">
        <v>191</v>
      </c>
      <c r="N20" s="125">
        <v>4</v>
      </c>
      <c r="O20" s="7"/>
      <c r="P20" s="106"/>
      <c r="Q20" s="91"/>
      <c r="R20" s="7"/>
      <c r="S20" s="7"/>
      <c r="T20" s="7"/>
      <c r="U20" s="7"/>
      <c r="V20" s="7"/>
      <c r="W20" s="7"/>
      <c r="X20" s="7"/>
      <c r="Y20" s="126"/>
      <c r="Z20" s="7"/>
      <c r="AA20" s="90"/>
      <c r="AB20" s="91"/>
      <c r="AC20" s="91"/>
      <c r="AD20" s="1"/>
      <c r="AI20" s="7"/>
      <c r="AJ20" s="98"/>
      <c r="AK20" s="98"/>
      <c r="AL20" s="98"/>
      <c r="AM20" s="98"/>
      <c r="AN20" s="7"/>
      <c r="AO20" s="7"/>
      <c r="AP20" s="7"/>
      <c r="AQ20" s="7"/>
      <c r="AR20" s="7"/>
      <c r="AS20" s="7"/>
      <c r="AT20" s="7"/>
      <c r="AU20" s="7"/>
      <c r="AV20" s="7"/>
      <c r="AW20" s="7"/>
      <c r="AY20" s="129"/>
      <c r="AZ20" s="20"/>
      <c r="BA20" s="19"/>
      <c r="BB20" s="15"/>
      <c r="BC20" s="15"/>
      <c r="BD20" s="15"/>
      <c r="BE20" s="19"/>
      <c r="BF20" s="15"/>
      <c r="BG20" s="15"/>
      <c r="BH20" s="15"/>
      <c r="BI20" s="15"/>
      <c r="BJ20" s="15"/>
      <c r="BK20" s="15"/>
      <c r="BL20" s="15"/>
      <c r="BM20" s="15"/>
      <c r="BN20" s="75"/>
      <c r="BO20" s="15"/>
      <c r="BP20" s="56"/>
      <c r="BS20" s="15"/>
      <c r="BT20" s="15"/>
      <c r="BU20" s="15"/>
      <c r="BV20" s="15"/>
      <c r="BW20" s="15"/>
      <c r="BX20" s="15"/>
      <c r="BY20" s="15"/>
      <c r="CA20" s="56"/>
      <c r="CB20" s="15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75"/>
    </row>
    <row r="21" spans="1:93" ht="18" customHeight="1" x14ac:dyDescent="0.25">
      <c r="A21" s="128" t="s">
        <v>192</v>
      </c>
      <c r="C21" s="98"/>
      <c r="D21" s="113"/>
      <c r="E21" s="113"/>
      <c r="I21" s="62"/>
      <c r="J21" s="62"/>
      <c r="K21" s="113"/>
      <c r="L21" s="113"/>
      <c r="M21" s="7"/>
      <c r="N21" s="7"/>
      <c r="O21" s="7"/>
      <c r="P21" s="98"/>
      <c r="Q21" s="91"/>
      <c r="R21" s="7"/>
      <c r="S21" s="7"/>
      <c r="T21" s="7"/>
      <c r="U21" s="7"/>
      <c r="V21" s="7"/>
      <c r="W21" s="7"/>
      <c r="X21" s="7"/>
      <c r="Y21" s="126"/>
      <c r="Z21" s="7"/>
      <c r="AA21" s="90"/>
      <c r="AB21" s="91"/>
      <c r="AC21" s="1"/>
      <c r="AD21" s="130" t="s">
        <v>193</v>
      </c>
      <c r="AE21" s="130"/>
      <c r="AF21" s="130"/>
      <c r="AI21" s="7"/>
      <c r="AJ21" s="442" t="s">
        <v>182</v>
      </c>
      <c r="AK21" s="442"/>
      <c r="AL21" s="442"/>
      <c r="AM21" s="7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44"/>
      <c r="AY21" s="15"/>
      <c r="AZ21" s="20"/>
      <c r="BA21" s="19"/>
      <c r="BB21" s="15"/>
      <c r="BC21" s="15"/>
      <c r="BD21" s="15"/>
      <c r="BE21" s="19"/>
      <c r="BF21" s="15"/>
      <c r="BG21" s="15"/>
      <c r="BH21" s="15"/>
      <c r="BI21" s="15"/>
      <c r="BJ21" s="15"/>
      <c r="BK21" s="15"/>
      <c r="BL21" s="15"/>
      <c r="BM21" s="15"/>
      <c r="BN21" s="20"/>
      <c r="BO21" s="15"/>
      <c r="BP21" s="56"/>
      <c r="BS21" s="15"/>
      <c r="BT21" s="15"/>
      <c r="BU21" s="15"/>
      <c r="BV21" s="15"/>
      <c r="BW21" s="15"/>
      <c r="BX21" s="15"/>
      <c r="BY21" s="15"/>
      <c r="CA21" s="56"/>
      <c r="CB21" s="15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75"/>
    </row>
    <row r="22" spans="1:93" ht="15.75" x14ac:dyDescent="0.25">
      <c r="A22" s="132" t="s">
        <v>194</v>
      </c>
      <c r="B22" s="7"/>
      <c r="C22" s="7"/>
      <c r="D22" s="7"/>
      <c r="E22" s="27"/>
      <c r="F22" s="98"/>
      <c r="G22" s="104"/>
      <c r="H22" s="116"/>
      <c r="I22" s="62"/>
      <c r="J22" s="133"/>
      <c r="K22" s="133"/>
      <c r="L22" s="133"/>
      <c r="M22" s="116"/>
      <c r="N22" s="15"/>
      <c r="O22" s="7"/>
      <c r="P22" s="106"/>
      <c r="Q22" s="91"/>
      <c r="R22" s="7"/>
      <c r="S22" s="7"/>
      <c r="T22" s="7"/>
      <c r="U22" s="7"/>
      <c r="V22" s="7"/>
      <c r="W22" s="7"/>
      <c r="X22" s="7"/>
      <c r="Y22" s="126"/>
      <c r="Z22" s="7"/>
      <c r="AA22" s="90"/>
      <c r="AB22" s="91"/>
      <c r="AC22" s="1" t="s">
        <v>195</v>
      </c>
      <c r="AD22" s="101">
        <v>3</v>
      </c>
      <c r="AE22" s="101">
        <v>2</v>
      </c>
      <c r="AF22" s="101">
        <v>1</v>
      </c>
      <c r="AI22" s="1" t="s">
        <v>196</v>
      </c>
      <c r="AJ22" s="134">
        <v>3</v>
      </c>
      <c r="AK22" s="134">
        <v>2</v>
      </c>
      <c r="AL22" s="134">
        <v>1</v>
      </c>
      <c r="AM22" s="7"/>
      <c r="AN22" s="7"/>
      <c r="AO22" s="100"/>
      <c r="AP22" s="100"/>
      <c r="AQ22" s="100"/>
      <c r="AR22" s="100"/>
      <c r="AS22" s="7"/>
      <c r="AT22" s="100"/>
      <c r="AU22" s="100"/>
      <c r="AV22" s="100"/>
      <c r="AW22" s="100"/>
      <c r="AX22" s="44"/>
      <c r="AY22" s="15"/>
      <c r="AZ22" s="20"/>
      <c r="BA22" s="19"/>
      <c r="BB22" s="15"/>
      <c r="BC22" s="15"/>
      <c r="BD22" s="15"/>
      <c r="BE22" s="19"/>
      <c r="BF22" s="15"/>
      <c r="BG22" s="15"/>
      <c r="BH22" s="15"/>
      <c r="BI22" s="15"/>
      <c r="BJ22" s="15"/>
      <c r="BK22" s="15"/>
      <c r="BL22" s="15"/>
      <c r="BM22" s="15"/>
      <c r="BN22" s="20"/>
      <c r="BO22" s="15"/>
      <c r="BP22" s="135"/>
      <c r="BS22" s="15"/>
      <c r="BT22" s="15"/>
      <c r="BU22" s="15"/>
      <c r="BV22" s="15"/>
      <c r="BW22" s="15"/>
      <c r="BX22" s="15"/>
      <c r="BY22" s="15"/>
      <c r="CA22" s="56"/>
      <c r="CB22" s="15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75"/>
    </row>
    <row r="23" spans="1:93" ht="23.25" x14ac:dyDescent="0.25">
      <c r="A23" s="132" t="s">
        <v>194</v>
      </c>
      <c r="B23" s="7"/>
      <c r="C23" s="7"/>
      <c r="D23" s="7"/>
      <c r="E23" s="15"/>
      <c r="F23" s="7"/>
      <c r="G23" s="104"/>
      <c r="H23" s="98"/>
      <c r="I23" s="62"/>
      <c r="J23" s="62"/>
      <c r="K23" s="136"/>
      <c r="L23" s="136"/>
      <c r="M23" s="137" t="s">
        <v>197</v>
      </c>
      <c r="N23" s="116"/>
      <c r="O23" s="116"/>
      <c r="P23" s="98"/>
      <c r="Q23" s="91"/>
      <c r="R23" s="7"/>
      <c r="S23" s="7"/>
      <c r="T23" s="7"/>
      <c r="U23" s="7"/>
      <c r="V23" s="7"/>
      <c r="W23" s="7"/>
      <c r="X23" s="7"/>
      <c r="Y23" s="126"/>
      <c r="Z23" s="7"/>
      <c r="AA23" s="90"/>
      <c r="AB23" s="91"/>
      <c r="AC23" s="138" t="s">
        <v>198</v>
      </c>
      <c r="AD23" s="139" t="s">
        <v>199</v>
      </c>
      <c r="AE23" s="139" t="s">
        <v>199</v>
      </c>
      <c r="AF23" s="139" t="s">
        <v>199</v>
      </c>
      <c r="AI23" s="138" t="s">
        <v>200</v>
      </c>
      <c r="AJ23" s="140" t="s">
        <v>201</v>
      </c>
      <c r="AK23" s="140" t="s">
        <v>201</v>
      </c>
      <c r="AL23" s="140" t="s">
        <v>201</v>
      </c>
      <c r="AN23" s="100"/>
      <c r="AO23" s="103" t="s">
        <v>183</v>
      </c>
      <c r="AP23" s="103" t="s">
        <v>183</v>
      </c>
      <c r="AQ23" s="103" t="s">
        <v>183</v>
      </c>
      <c r="AR23" s="103" t="s">
        <v>183</v>
      </c>
      <c r="AS23" s="100"/>
      <c r="AT23" s="103" t="s">
        <v>183</v>
      </c>
      <c r="AU23" s="103" t="s">
        <v>183</v>
      </c>
      <c r="AV23" s="103" t="s">
        <v>183</v>
      </c>
      <c r="AW23" s="103" t="s">
        <v>183</v>
      </c>
      <c r="AX23" s="100"/>
      <c r="AY23" s="15"/>
      <c r="AZ23" s="20"/>
      <c r="BA23" s="19"/>
      <c r="BB23" s="15"/>
      <c r="BC23" s="15"/>
      <c r="BD23" s="15"/>
      <c r="BE23" s="19"/>
      <c r="BF23" s="15"/>
      <c r="BG23" s="15"/>
      <c r="BH23" s="15"/>
      <c r="BI23" s="15"/>
      <c r="BJ23" s="15"/>
      <c r="BK23" s="15"/>
      <c r="BL23" s="15"/>
      <c r="BM23" s="15"/>
      <c r="BN23" s="20"/>
      <c r="BO23" s="15"/>
      <c r="BP23" s="135"/>
      <c r="BS23" s="15"/>
      <c r="BT23" s="15"/>
      <c r="BU23" s="15"/>
      <c r="BV23" s="15"/>
      <c r="BW23" s="15"/>
      <c r="BX23" s="15"/>
      <c r="BY23" s="15"/>
      <c r="CA23" s="56"/>
      <c r="CB23" s="15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75"/>
      <c r="CO23" s="56"/>
    </row>
    <row r="24" spans="1:93" ht="23.25" x14ac:dyDescent="0.25">
      <c r="A24" s="7"/>
      <c r="B24" s="7"/>
      <c r="C24" s="7"/>
      <c r="D24" s="7"/>
      <c r="E24" s="15"/>
      <c r="F24" s="15"/>
      <c r="G24" s="104"/>
      <c r="H24" s="116"/>
      <c r="I24" s="62"/>
      <c r="J24" s="136"/>
      <c r="K24" s="141"/>
      <c r="L24" s="141"/>
      <c r="M24" s="136"/>
      <c r="N24" s="116"/>
      <c r="O24" s="116"/>
      <c r="P24" s="106"/>
      <c r="Q24" s="91"/>
      <c r="R24" s="7"/>
      <c r="S24" s="7"/>
      <c r="T24" s="7"/>
      <c r="U24" s="7"/>
      <c r="V24" s="7"/>
      <c r="W24" s="7"/>
      <c r="X24" s="7"/>
      <c r="Y24" s="126"/>
      <c r="Z24" s="7"/>
      <c r="AA24" s="90"/>
      <c r="AB24" s="91"/>
      <c r="AC24" s="139"/>
      <c r="AD24" s="142" t="s">
        <v>25</v>
      </c>
      <c r="AE24" s="142" t="s">
        <v>25</v>
      </c>
      <c r="AF24" s="142" t="s">
        <v>25</v>
      </c>
      <c r="AG24" s="139"/>
      <c r="AI24" s="140"/>
      <c r="AJ24" s="143" t="s">
        <v>0</v>
      </c>
      <c r="AK24" s="144" t="s">
        <v>4</v>
      </c>
      <c r="AL24" s="144" t="s">
        <v>4</v>
      </c>
      <c r="AM24" s="140"/>
      <c r="AN24" s="103"/>
      <c r="AO24" s="111" t="s">
        <v>187</v>
      </c>
      <c r="AP24" s="111" t="s">
        <v>187</v>
      </c>
      <c r="AQ24" s="111" t="s">
        <v>187</v>
      </c>
      <c r="AR24" s="111" t="s">
        <v>187</v>
      </c>
      <c r="AS24" s="103"/>
      <c r="AT24" s="111" t="s">
        <v>187</v>
      </c>
      <c r="AU24" s="111" t="s">
        <v>187</v>
      </c>
      <c r="AV24" s="111" t="s">
        <v>187</v>
      </c>
      <c r="AW24" s="111" t="s">
        <v>187</v>
      </c>
      <c r="AX24" s="103"/>
      <c r="AY24" s="15"/>
      <c r="AZ24" s="20"/>
      <c r="BA24" s="19"/>
      <c r="BB24" s="15"/>
      <c r="BC24" s="15"/>
      <c r="BD24" s="15"/>
      <c r="BE24" s="19"/>
      <c r="BF24" s="15"/>
      <c r="BG24" s="15"/>
      <c r="BH24" s="15"/>
      <c r="BI24" s="15"/>
      <c r="BJ24" s="15"/>
      <c r="BK24" s="15"/>
      <c r="BL24" s="15"/>
      <c r="BM24" s="15"/>
      <c r="BN24" s="20"/>
      <c r="BO24" s="15"/>
      <c r="BP24" s="135"/>
      <c r="BS24" s="15"/>
      <c r="BT24" s="15"/>
      <c r="BU24" s="15"/>
      <c r="BV24" s="15"/>
      <c r="BW24" s="15"/>
      <c r="BX24" s="15"/>
      <c r="BY24" s="15"/>
      <c r="CA24" s="56"/>
      <c r="CB24" s="15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75"/>
      <c r="CO24" s="56"/>
    </row>
    <row r="25" spans="1:93" ht="24" thickBot="1" x14ac:dyDescent="0.3">
      <c r="A25" s="145"/>
      <c r="B25" s="27"/>
      <c r="C25" s="27"/>
      <c r="D25" s="27"/>
      <c r="E25" s="15"/>
      <c r="F25" s="98"/>
      <c r="G25" s="104"/>
      <c r="H25" s="7"/>
      <c r="I25" s="136"/>
      <c r="J25" s="103" t="s">
        <v>202</v>
      </c>
      <c r="K25" s="111" t="s">
        <v>187</v>
      </c>
      <c r="L25" s="111" t="s">
        <v>187</v>
      </c>
      <c r="M25" s="103" t="s">
        <v>202</v>
      </c>
      <c r="N25" s="136"/>
      <c r="O25" s="116"/>
      <c r="P25" s="98"/>
      <c r="Q25" s="91"/>
      <c r="R25" s="7"/>
      <c r="S25" s="7"/>
      <c r="T25" s="7"/>
      <c r="U25" s="7"/>
      <c r="V25" s="7"/>
      <c r="W25" s="7"/>
      <c r="X25" s="7"/>
      <c r="Y25" s="126"/>
      <c r="Z25" s="7"/>
      <c r="AA25" s="90"/>
      <c r="AB25" s="91"/>
      <c r="AC25" s="139"/>
      <c r="AD25" s="146" t="s">
        <v>23</v>
      </c>
      <c r="AE25" s="146" t="s">
        <v>23</v>
      </c>
      <c r="AF25" s="146" t="s">
        <v>23</v>
      </c>
      <c r="AG25" s="139"/>
      <c r="AI25" s="140"/>
      <c r="AJ25" s="147" t="s">
        <v>2</v>
      </c>
      <c r="AK25" s="147" t="s">
        <v>2</v>
      </c>
      <c r="AL25" s="144" t="s">
        <v>4</v>
      </c>
      <c r="AM25" s="140"/>
      <c r="AN25" s="103"/>
      <c r="AO25" s="111" t="s">
        <v>187</v>
      </c>
      <c r="AP25" s="111" t="s">
        <v>187</v>
      </c>
      <c r="AQ25" s="111" t="s">
        <v>187</v>
      </c>
      <c r="AR25" s="111" t="s">
        <v>187</v>
      </c>
      <c r="AS25" s="103"/>
      <c r="AT25" s="111" t="s">
        <v>187</v>
      </c>
      <c r="AU25" s="111" t="s">
        <v>187</v>
      </c>
      <c r="AV25" s="111" t="s">
        <v>187</v>
      </c>
      <c r="AW25" s="111" t="s">
        <v>187</v>
      </c>
      <c r="AX25" s="103"/>
      <c r="AY25" s="15"/>
      <c r="AZ25" s="20"/>
      <c r="BA25" s="19"/>
      <c r="BB25" s="15"/>
      <c r="BC25" s="15"/>
      <c r="BD25" s="15"/>
      <c r="BE25" s="19"/>
      <c r="BF25" s="15"/>
      <c r="BG25" s="15"/>
      <c r="BH25" s="15"/>
      <c r="BI25" s="15"/>
      <c r="BJ25" s="15"/>
      <c r="BK25" s="15"/>
      <c r="BL25" s="15"/>
      <c r="BM25" s="15"/>
      <c r="BN25" s="20"/>
      <c r="BO25" s="15"/>
      <c r="BP25" s="135"/>
      <c r="BS25" s="15"/>
      <c r="BT25" s="15"/>
      <c r="BU25" s="15"/>
      <c r="BV25" s="15"/>
      <c r="BW25" s="15"/>
      <c r="BX25" s="15"/>
      <c r="BY25" s="15"/>
      <c r="CA25" s="56"/>
      <c r="CB25" s="15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75"/>
      <c r="CO25" s="56"/>
    </row>
    <row r="26" spans="1:93" ht="23.25" x14ac:dyDescent="0.25">
      <c r="A26" s="443"/>
      <c r="B26" s="444"/>
      <c r="C26" s="444"/>
      <c r="D26" s="445"/>
      <c r="E26" s="128" t="s">
        <v>192</v>
      </c>
      <c r="F26" s="98"/>
      <c r="G26" s="104"/>
      <c r="H26" s="7"/>
      <c r="I26" s="136"/>
      <c r="J26" s="103" t="s">
        <v>202</v>
      </c>
      <c r="K26" s="111" t="s">
        <v>187</v>
      </c>
      <c r="L26" s="111" t="s">
        <v>187</v>
      </c>
      <c r="M26" s="103" t="s">
        <v>202</v>
      </c>
      <c r="N26" s="136"/>
      <c r="O26" s="116"/>
      <c r="P26" s="106"/>
      <c r="Q26" s="91"/>
      <c r="R26" s="7"/>
      <c r="S26" s="7"/>
      <c r="T26" s="7"/>
      <c r="U26" s="7"/>
      <c r="V26" s="7"/>
      <c r="W26" s="7"/>
      <c r="X26" s="7"/>
      <c r="Y26" s="126"/>
      <c r="Z26" s="7"/>
      <c r="AA26" s="90"/>
      <c r="AB26" s="91"/>
      <c r="AC26" s="91"/>
      <c r="AD26" s="139" t="s">
        <v>199</v>
      </c>
      <c r="AE26" s="139" t="s">
        <v>199</v>
      </c>
      <c r="AF26" s="139" t="s">
        <v>199</v>
      </c>
      <c r="AJ26" s="140" t="s">
        <v>201</v>
      </c>
      <c r="AK26" s="140" t="s">
        <v>201</v>
      </c>
      <c r="AL26" s="140" t="s">
        <v>201</v>
      </c>
      <c r="AN26" s="100"/>
      <c r="AO26" s="103" t="s">
        <v>183</v>
      </c>
      <c r="AP26" s="103" t="s">
        <v>183</v>
      </c>
      <c r="AQ26" s="103" t="s">
        <v>183</v>
      </c>
      <c r="AR26" s="103" t="s">
        <v>183</v>
      </c>
      <c r="AS26" s="100"/>
      <c r="AT26" s="103" t="s">
        <v>183</v>
      </c>
      <c r="AU26" s="103" t="s">
        <v>183</v>
      </c>
      <c r="AV26" s="103" t="s">
        <v>183</v>
      </c>
      <c r="AW26" s="103" t="s">
        <v>183</v>
      </c>
      <c r="AX26" s="100"/>
      <c r="AY26" s="15"/>
      <c r="AZ26" s="20"/>
      <c r="BA26" s="19"/>
      <c r="BB26" s="15"/>
      <c r="BC26" s="15"/>
      <c r="BD26" s="15"/>
      <c r="BE26" s="19"/>
      <c r="BF26" s="15"/>
      <c r="BG26" s="15"/>
      <c r="BH26" s="15"/>
      <c r="BI26" s="15"/>
      <c r="BJ26" s="15"/>
      <c r="BK26" s="15"/>
      <c r="BL26" s="15"/>
      <c r="BM26" s="15"/>
      <c r="BN26" s="20"/>
      <c r="BO26" s="15"/>
      <c r="BP26" s="135"/>
      <c r="BS26" s="15"/>
      <c r="BT26" s="15"/>
      <c r="BU26" s="15"/>
      <c r="BV26" s="15"/>
      <c r="BW26" s="15"/>
      <c r="BX26" s="15"/>
      <c r="BY26" s="15"/>
      <c r="CA26" s="56"/>
      <c r="CB26" s="15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75"/>
    </row>
    <row r="27" spans="1:93" ht="15.75" x14ac:dyDescent="0.25">
      <c r="A27" s="446"/>
      <c r="B27" s="447"/>
      <c r="C27" s="447"/>
      <c r="D27" s="448"/>
      <c r="E27" s="148"/>
      <c r="F27" s="98"/>
      <c r="G27" s="104"/>
      <c r="H27" s="7"/>
      <c r="I27" s="62"/>
      <c r="J27" s="136"/>
      <c r="K27" s="141"/>
      <c r="L27" s="141"/>
      <c r="M27" s="136"/>
      <c r="N27" s="7"/>
      <c r="O27" s="116"/>
      <c r="P27" s="98"/>
      <c r="Q27" s="91"/>
      <c r="R27" s="7"/>
      <c r="S27" s="7"/>
      <c r="T27" s="7"/>
      <c r="U27" s="7"/>
      <c r="V27" s="7"/>
      <c r="W27" s="7"/>
      <c r="X27" s="7"/>
      <c r="Y27" s="126"/>
      <c r="Z27" s="7"/>
      <c r="AA27" s="90"/>
      <c r="AB27" s="91"/>
      <c r="AC27" s="91"/>
      <c r="AD27" s="101">
        <v>4</v>
      </c>
      <c r="AE27" s="101">
        <v>5</v>
      </c>
      <c r="AF27" s="101">
        <v>6</v>
      </c>
      <c r="AI27" s="149"/>
      <c r="AJ27" s="101">
        <v>4</v>
      </c>
      <c r="AK27" s="101">
        <v>5</v>
      </c>
      <c r="AL27" s="101">
        <v>6</v>
      </c>
      <c r="AO27" s="100"/>
      <c r="AP27" s="100"/>
      <c r="AQ27" s="100"/>
      <c r="AR27" s="100"/>
      <c r="AS27" s="7"/>
      <c r="AT27" s="100"/>
      <c r="AU27" s="100"/>
      <c r="AV27" s="100"/>
      <c r="AW27" s="100"/>
      <c r="AX27" s="44"/>
      <c r="AY27" s="15"/>
      <c r="AZ27" s="20"/>
      <c r="BA27" s="19"/>
      <c r="BB27" s="15"/>
      <c r="BC27" s="15"/>
      <c r="BD27" s="15"/>
      <c r="BE27" s="19"/>
      <c r="BF27" s="15"/>
      <c r="BG27" s="15"/>
      <c r="BH27" s="15"/>
      <c r="BI27" s="15"/>
      <c r="BJ27" s="15"/>
      <c r="BK27" s="15"/>
      <c r="BL27" s="15"/>
      <c r="BM27" s="15"/>
      <c r="BN27" s="20"/>
      <c r="BO27" s="15"/>
      <c r="BP27" s="135"/>
      <c r="BS27" s="15"/>
      <c r="BT27" s="15"/>
      <c r="BU27" s="15"/>
      <c r="BV27" s="15"/>
      <c r="BW27" s="15"/>
      <c r="BX27" s="15"/>
      <c r="BY27" s="15"/>
      <c r="CA27" s="56"/>
      <c r="CB27" s="15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M27" s="56"/>
      <c r="CN27" s="75"/>
      <c r="CO27" s="56"/>
    </row>
    <row r="28" spans="1:93" ht="18" x14ac:dyDescent="0.25">
      <c r="A28" s="446"/>
      <c r="B28" s="447"/>
      <c r="C28" s="447"/>
      <c r="D28" s="448"/>
      <c r="E28" s="128" t="s">
        <v>192</v>
      </c>
      <c r="F28" s="98"/>
      <c r="G28" s="104"/>
      <c r="H28" s="7"/>
      <c r="I28" s="62"/>
      <c r="J28" s="62"/>
      <c r="K28" s="136"/>
      <c r="L28" s="136"/>
      <c r="M28" s="62"/>
      <c r="N28" s="150"/>
      <c r="O28" s="27"/>
      <c r="P28" s="106"/>
      <c r="Q28" s="91"/>
      <c r="R28" s="7"/>
      <c r="S28" s="7"/>
      <c r="T28" s="7"/>
      <c r="U28" s="7"/>
      <c r="V28" s="7"/>
      <c r="W28" s="7"/>
      <c r="X28" s="151"/>
      <c r="Y28" s="152"/>
      <c r="Z28" s="7"/>
      <c r="AA28" s="90"/>
      <c r="AB28" s="91"/>
      <c r="AC28" s="91"/>
      <c r="AE28" s="153"/>
      <c r="AF28" s="153"/>
      <c r="AG28" s="153"/>
      <c r="AH28" s="153"/>
      <c r="AJ28" s="452" t="s">
        <v>193</v>
      </c>
      <c r="AK28" s="452"/>
      <c r="AL28" s="452"/>
      <c r="AX28" s="44"/>
      <c r="AY28" s="15"/>
      <c r="AZ28" s="20"/>
      <c r="BA28" s="19"/>
      <c r="BB28" s="15"/>
      <c r="BC28" s="15"/>
      <c r="BD28" s="15"/>
      <c r="BE28" s="19"/>
      <c r="BF28" s="15"/>
      <c r="BG28" s="15"/>
      <c r="BH28" s="15"/>
      <c r="BI28" s="15"/>
      <c r="BJ28" s="15"/>
      <c r="BK28" s="15"/>
      <c r="BL28" s="15"/>
      <c r="BM28" s="15"/>
      <c r="BN28" s="20"/>
      <c r="BO28" s="15"/>
      <c r="BP28" s="135"/>
      <c r="BS28" s="15"/>
      <c r="BT28" s="15"/>
      <c r="BU28" s="15"/>
      <c r="BV28" s="15"/>
      <c r="BW28" s="15"/>
      <c r="BX28" s="15"/>
      <c r="BY28" s="15"/>
      <c r="CA28" s="56"/>
      <c r="CB28" s="15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M28" s="56"/>
      <c r="CN28" s="75"/>
      <c r="CO28" s="56"/>
    </row>
    <row r="29" spans="1:93" ht="18" customHeight="1" x14ac:dyDescent="0.25">
      <c r="A29" s="446"/>
      <c r="B29" s="447"/>
      <c r="C29" s="447"/>
      <c r="D29" s="448"/>
      <c r="E29" s="148"/>
      <c r="F29" s="98"/>
      <c r="G29" s="104"/>
      <c r="H29" s="7"/>
      <c r="O29" s="27"/>
      <c r="P29" s="98"/>
      <c r="Q29" s="91"/>
      <c r="R29" s="7"/>
      <c r="S29" s="7"/>
      <c r="T29" s="7"/>
      <c r="U29" s="7"/>
      <c r="V29" s="7"/>
      <c r="W29" s="7"/>
      <c r="X29" s="151"/>
      <c r="Y29" s="152"/>
      <c r="Z29" s="27"/>
      <c r="AA29" s="90"/>
      <c r="AB29" s="91"/>
      <c r="AC29" s="91"/>
      <c r="AI29" s="1" t="s">
        <v>203</v>
      </c>
      <c r="AJ29" s="101">
        <v>3</v>
      </c>
      <c r="AK29" s="101">
        <v>2</v>
      </c>
      <c r="AL29" s="101">
        <v>1</v>
      </c>
      <c r="AN29" s="1" t="s">
        <v>204</v>
      </c>
      <c r="AO29" s="101">
        <v>4</v>
      </c>
      <c r="AP29" s="101">
        <v>3</v>
      </c>
      <c r="AQ29" s="101">
        <v>2</v>
      </c>
      <c r="AR29" s="101">
        <v>1</v>
      </c>
      <c r="AX29" s="44"/>
      <c r="AY29" s="15"/>
      <c r="AZ29" s="20"/>
      <c r="BA29" s="19"/>
      <c r="BB29" s="154" t="s">
        <v>205</v>
      </c>
      <c r="BC29" s="15"/>
      <c r="BD29" s="15"/>
      <c r="BE29" s="19"/>
      <c r="BF29" s="15"/>
      <c r="BG29" s="15"/>
      <c r="BH29" s="15"/>
      <c r="BI29" s="15"/>
      <c r="BJ29" s="15"/>
      <c r="BK29" s="15"/>
      <c r="BL29" s="15"/>
      <c r="BM29" s="15"/>
      <c r="BN29" s="20"/>
      <c r="BO29" s="15"/>
      <c r="BP29" s="135"/>
      <c r="BQ29" s="56"/>
      <c r="BR29" s="135"/>
      <c r="BS29" s="15"/>
      <c r="BT29" s="15"/>
      <c r="BU29" s="15"/>
      <c r="BV29" s="15"/>
      <c r="BW29" s="15"/>
      <c r="BX29" s="15"/>
      <c r="BY29" s="15"/>
      <c r="CA29" s="56"/>
      <c r="CB29" s="15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75"/>
      <c r="CO29" s="56"/>
    </row>
    <row r="30" spans="1:93" ht="24" thickBot="1" x14ac:dyDescent="0.3">
      <c r="A30" s="446"/>
      <c r="B30" s="447"/>
      <c r="C30" s="447"/>
      <c r="D30" s="448"/>
      <c r="E30" s="128" t="s">
        <v>192</v>
      </c>
      <c r="F30" s="27"/>
      <c r="G30" s="104"/>
      <c r="H30" s="7"/>
      <c r="I30" s="62"/>
      <c r="J30" s="62"/>
      <c r="K30" s="136"/>
      <c r="L30" s="136"/>
      <c r="M30" s="137" t="s">
        <v>197</v>
      </c>
      <c r="N30" s="150"/>
      <c r="O30" s="27"/>
      <c r="P30" s="106"/>
      <c r="Q30" s="91"/>
      <c r="R30" s="7"/>
      <c r="S30" s="7"/>
      <c r="T30" s="7"/>
      <c r="U30" s="7"/>
      <c r="V30" s="151"/>
      <c r="W30" s="7"/>
      <c r="X30" s="151"/>
      <c r="Y30" s="152"/>
      <c r="Z30" s="27"/>
      <c r="AA30" s="20"/>
      <c r="AB30" s="91"/>
      <c r="AC30" s="91"/>
      <c r="AI30" s="138" t="s">
        <v>206</v>
      </c>
      <c r="AJ30" s="139" t="s">
        <v>199</v>
      </c>
      <c r="AK30" s="139" t="s">
        <v>199</v>
      </c>
      <c r="AL30" s="139" t="s">
        <v>199</v>
      </c>
      <c r="AN30" s="138" t="s">
        <v>207</v>
      </c>
      <c r="AO30" s="155" t="s">
        <v>201</v>
      </c>
      <c r="AP30" s="155" t="s">
        <v>201</v>
      </c>
      <c r="AQ30" s="155" t="s">
        <v>201</v>
      </c>
      <c r="AR30" s="155" t="s">
        <v>201</v>
      </c>
      <c r="AW30" s="15"/>
      <c r="AX30" s="481" t="s">
        <v>208</v>
      </c>
      <c r="AY30" s="482"/>
      <c r="AZ30" s="483"/>
      <c r="BA30" s="19"/>
      <c r="BB30" s="15"/>
      <c r="BC30" s="15"/>
      <c r="BD30" s="15"/>
      <c r="BE30" s="19"/>
      <c r="BF30" s="15"/>
      <c r="BG30" s="15"/>
      <c r="BH30" s="15"/>
      <c r="BI30" s="15"/>
      <c r="BJ30" s="15"/>
      <c r="BK30" s="15"/>
      <c r="BL30" s="15"/>
      <c r="BM30" s="15"/>
      <c r="BN30" s="20"/>
      <c r="BO30" s="15"/>
      <c r="BP30" s="135"/>
      <c r="BQ30" s="56"/>
      <c r="BR30" s="56"/>
      <c r="BS30" s="15"/>
      <c r="BT30" s="15"/>
      <c r="BU30" s="15"/>
      <c r="BV30" s="15"/>
      <c r="BW30" s="15"/>
      <c r="BX30" s="15"/>
      <c r="BY30" s="15"/>
      <c r="CA30" s="56"/>
      <c r="CB30" s="15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</row>
    <row r="31" spans="1:93" ht="24" thickBot="1" x14ac:dyDescent="0.3">
      <c r="A31" s="446"/>
      <c r="B31" s="447"/>
      <c r="C31" s="447"/>
      <c r="D31" s="448"/>
      <c r="E31" s="148"/>
      <c r="F31" s="27"/>
      <c r="G31" s="104"/>
      <c r="H31" s="7"/>
      <c r="I31" s="62"/>
      <c r="J31" s="136"/>
      <c r="K31" s="141"/>
      <c r="L31" s="141"/>
      <c r="M31" s="136"/>
      <c r="N31" s="150"/>
      <c r="O31" s="27"/>
      <c r="P31" s="98"/>
      <c r="Q31" s="91"/>
      <c r="R31" s="7"/>
      <c r="S31" s="7"/>
      <c r="T31" s="7"/>
      <c r="U31" s="7"/>
      <c r="V31" s="7"/>
      <c r="W31" s="7"/>
      <c r="X31" s="151"/>
      <c r="Y31" s="152"/>
      <c r="Z31" s="151"/>
      <c r="AA31" s="25"/>
      <c r="AB31" s="91"/>
      <c r="AC31" s="91"/>
      <c r="AD31" s="108" t="s">
        <v>185</v>
      </c>
      <c r="AE31" s="108" t="s">
        <v>185</v>
      </c>
      <c r="AF31" s="108" t="s">
        <v>185</v>
      </c>
      <c r="AI31" s="139"/>
      <c r="AJ31" s="156" t="s">
        <v>112</v>
      </c>
      <c r="AK31" s="156" t="s">
        <v>112</v>
      </c>
      <c r="AL31" s="156" t="s">
        <v>112</v>
      </c>
      <c r="AM31" s="139"/>
      <c r="AN31" s="155"/>
      <c r="AO31" s="157" t="s">
        <v>9</v>
      </c>
      <c r="AP31" s="157" t="s">
        <v>9</v>
      </c>
      <c r="AQ31" s="157" t="s">
        <v>9</v>
      </c>
      <c r="AR31" s="157" t="s">
        <v>9</v>
      </c>
      <c r="AS31" s="155"/>
      <c r="AT31" s="108" t="s">
        <v>185</v>
      </c>
      <c r="AU31" s="108" t="s">
        <v>185</v>
      </c>
      <c r="AV31" s="108" t="s">
        <v>185</v>
      </c>
      <c r="AW31" s="108" t="s">
        <v>185</v>
      </c>
      <c r="AX31" s="481"/>
      <c r="AY31" s="482"/>
      <c r="AZ31" s="483"/>
      <c r="BA31" s="19"/>
      <c r="BB31" s="15"/>
      <c r="BC31" s="15"/>
      <c r="BD31" s="15"/>
      <c r="BE31" s="19"/>
      <c r="BF31" s="15"/>
      <c r="BG31" s="15"/>
      <c r="BH31" s="15"/>
      <c r="BI31" s="15"/>
      <c r="BJ31" s="15"/>
      <c r="BK31" s="15"/>
      <c r="BL31" s="15"/>
      <c r="BM31" s="15"/>
      <c r="BN31" s="20"/>
      <c r="BO31" s="15"/>
      <c r="BP31" s="135"/>
      <c r="BQ31" s="56"/>
      <c r="BR31" s="56"/>
      <c r="BS31" s="15"/>
      <c r="BT31" s="15"/>
      <c r="BU31" s="15"/>
      <c r="BV31" s="15"/>
      <c r="BW31" s="15"/>
      <c r="BX31" s="15"/>
      <c r="BY31" s="15"/>
      <c r="CA31" s="56"/>
      <c r="CB31" s="20"/>
      <c r="CC31" s="484" t="s">
        <v>209</v>
      </c>
      <c r="CD31" s="485"/>
      <c r="CE31" s="486"/>
      <c r="CF31" s="7"/>
      <c r="CG31" s="7"/>
      <c r="CH31" s="7"/>
      <c r="CI31" s="7"/>
      <c r="CJ31" s="7"/>
      <c r="CK31" s="7"/>
      <c r="CL31" s="7"/>
    </row>
    <row r="32" spans="1:93" ht="23.25" x14ac:dyDescent="0.25">
      <c r="A32" s="446"/>
      <c r="B32" s="447"/>
      <c r="C32" s="447"/>
      <c r="D32" s="448"/>
      <c r="E32" s="128" t="s">
        <v>192</v>
      </c>
      <c r="F32" s="27"/>
      <c r="G32" s="104"/>
      <c r="H32" s="7"/>
      <c r="I32" s="136"/>
      <c r="J32" s="103" t="s">
        <v>202</v>
      </c>
      <c r="K32" s="111" t="s">
        <v>187</v>
      </c>
      <c r="L32" s="111" t="s">
        <v>187</v>
      </c>
      <c r="M32" s="103" t="s">
        <v>202</v>
      </c>
      <c r="N32" s="136"/>
      <c r="O32" s="27"/>
      <c r="P32" s="106"/>
      <c r="Q32" s="91"/>
      <c r="R32" s="7"/>
      <c r="S32" s="7"/>
      <c r="T32" s="7"/>
      <c r="U32" s="7"/>
      <c r="V32" s="7"/>
      <c r="W32" s="7"/>
      <c r="X32" s="151"/>
      <c r="Y32" s="152"/>
      <c r="Z32" s="27"/>
      <c r="AA32" s="20"/>
      <c r="AB32" s="91"/>
      <c r="AC32" s="91"/>
      <c r="AD32" s="108" t="s">
        <v>185</v>
      </c>
      <c r="AE32" s="108" t="s">
        <v>185</v>
      </c>
      <c r="AF32" s="108" t="s">
        <v>185</v>
      </c>
      <c r="AI32" s="139"/>
      <c r="AJ32" s="156" t="s">
        <v>112</v>
      </c>
      <c r="AK32" s="156" t="s">
        <v>112</v>
      </c>
      <c r="AL32" s="156" t="s">
        <v>112</v>
      </c>
      <c r="AM32" s="139"/>
      <c r="AN32" s="155"/>
      <c r="AO32" s="157" t="s">
        <v>9</v>
      </c>
      <c r="AP32" s="157" t="s">
        <v>9</v>
      </c>
      <c r="AQ32" s="157" t="s">
        <v>9</v>
      </c>
      <c r="AR32" s="157" t="s">
        <v>9</v>
      </c>
      <c r="AS32" s="155"/>
      <c r="AT32" s="108" t="s">
        <v>185</v>
      </c>
      <c r="AU32" s="108" t="s">
        <v>185</v>
      </c>
      <c r="AV32" s="108" t="s">
        <v>185</v>
      </c>
      <c r="AW32" s="108" t="s">
        <v>185</v>
      </c>
      <c r="AX32" s="481"/>
      <c r="AY32" s="482"/>
      <c r="AZ32" s="483"/>
      <c r="BA32" s="19"/>
      <c r="BB32" s="15"/>
      <c r="BC32" s="15"/>
      <c r="BD32" s="15"/>
      <c r="BE32" s="19"/>
      <c r="BF32" s="15"/>
      <c r="BG32" s="15"/>
      <c r="BH32" s="15"/>
      <c r="BI32" s="15"/>
      <c r="BJ32" s="15"/>
      <c r="BK32" s="15"/>
      <c r="BL32" s="15"/>
      <c r="BM32" s="15"/>
      <c r="BN32" s="20"/>
      <c r="BO32" s="15"/>
      <c r="BP32" s="135"/>
      <c r="BQ32" s="56"/>
      <c r="BR32" s="56"/>
      <c r="BS32" s="15"/>
      <c r="BT32" s="15"/>
      <c r="BU32" s="15"/>
      <c r="BV32" s="15"/>
      <c r="BW32" s="15"/>
      <c r="BX32" s="15"/>
      <c r="BY32" s="15"/>
      <c r="CA32" s="56"/>
      <c r="CB32" s="20"/>
      <c r="CC32" s="7"/>
      <c r="CD32" s="7"/>
      <c r="CE32" s="7"/>
      <c r="CF32" s="7"/>
      <c r="CG32" s="7"/>
      <c r="CH32" s="7"/>
      <c r="CI32" s="7"/>
      <c r="CJ32" s="7"/>
      <c r="CK32" s="7"/>
      <c r="CL32" s="7"/>
    </row>
    <row r="33" spans="1:90" ht="23.25" x14ac:dyDescent="0.25">
      <c r="A33" s="446"/>
      <c r="B33" s="447"/>
      <c r="C33" s="447"/>
      <c r="D33" s="448"/>
      <c r="E33" s="148"/>
      <c r="F33" s="27"/>
      <c r="G33" s="27"/>
      <c r="H33" s="27"/>
      <c r="I33" s="136"/>
      <c r="J33" s="103" t="s">
        <v>202</v>
      </c>
      <c r="K33" s="111" t="s">
        <v>187</v>
      </c>
      <c r="L33" s="111" t="s">
        <v>187</v>
      </c>
      <c r="M33" s="103" t="s">
        <v>202</v>
      </c>
      <c r="N33" s="136"/>
      <c r="O33" s="27"/>
      <c r="P33" s="98"/>
      <c r="Q33" s="91"/>
      <c r="R33" s="7"/>
      <c r="S33" s="7"/>
      <c r="T33" s="7"/>
      <c r="U33" s="7"/>
      <c r="V33" s="7"/>
      <c r="W33" s="7"/>
      <c r="X33" s="158"/>
      <c r="Y33" s="152"/>
      <c r="Z33" s="27"/>
      <c r="AA33" s="20"/>
      <c r="AB33" s="91"/>
      <c r="AJ33" s="139" t="s">
        <v>199</v>
      </c>
      <c r="AK33" s="139" t="s">
        <v>199</v>
      </c>
      <c r="AL33" s="139" t="s">
        <v>199</v>
      </c>
      <c r="AM33" s="7"/>
      <c r="AO33" s="155" t="s">
        <v>201</v>
      </c>
      <c r="AP33" s="155" t="s">
        <v>201</v>
      </c>
      <c r="AQ33" s="155" t="s">
        <v>201</v>
      </c>
      <c r="AR33" s="155" t="s">
        <v>201</v>
      </c>
      <c r="AS33" s="159"/>
      <c r="AX33" s="481"/>
      <c r="AY33" s="482"/>
      <c r="AZ33" s="483"/>
      <c r="BA33" s="19"/>
      <c r="BB33" s="15"/>
      <c r="BC33" s="15"/>
      <c r="BD33" s="15"/>
      <c r="BE33" s="19"/>
      <c r="BF33" s="15"/>
      <c r="BG33" s="15"/>
      <c r="BH33" s="15"/>
      <c r="BI33" s="15"/>
      <c r="BJ33" s="15"/>
      <c r="BK33" s="15"/>
      <c r="BL33" s="15"/>
      <c r="BM33" s="15"/>
      <c r="BN33" s="20"/>
      <c r="BO33" s="15"/>
      <c r="BP33" s="15"/>
      <c r="BQ33" s="135"/>
      <c r="BR33" s="56"/>
      <c r="BS33" s="15"/>
      <c r="BT33" s="15"/>
      <c r="BU33" s="15"/>
      <c r="BV33" s="15"/>
      <c r="BW33" s="15"/>
      <c r="BX33" s="15"/>
      <c r="BY33" s="15"/>
      <c r="BZ33" s="56"/>
      <c r="CA33" s="56"/>
      <c r="CB33" s="20"/>
      <c r="CC33" s="19"/>
      <c r="CD33" s="7"/>
      <c r="CE33" s="7"/>
      <c r="CF33" s="7"/>
      <c r="CG33" s="7"/>
      <c r="CH33" s="56"/>
      <c r="CI33" s="56"/>
      <c r="CJ33" s="56"/>
      <c r="CK33" s="56"/>
      <c r="CL33" s="56"/>
    </row>
    <row r="34" spans="1:90" ht="16.5" thickBot="1" x14ac:dyDescent="0.3">
      <c r="A34" s="449"/>
      <c r="B34" s="450"/>
      <c r="C34" s="450"/>
      <c r="D34" s="451"/>
      <c r="E34" s="128" t="s">
        <v>192</v>
      </c>
      <c r="F34" s="27"/>
      <c r="G34" s="27"/>
      <c r="H34" s="27"/>
      <c r="I34" s="62"/>
      <c r="J34" s="136"/>
      <c r="K34" s="141"/>
      <c r="L34" s="141"/>
      <c r="M34" s="136"/>
      <c r="N34" s="7"/>
      <c r="O34" s="27"/>
      <c r="P34" s="27"/>
      <c r="Q34" s="160"/>
      <c r="R34" s="161"/>
      <c r="S34" s="161"/>
      <c r="T34" s="161"/>
      <c r="U34" s="161"/>
      <c r="V34" s="162"/>
      <c r="W34" s="487"/>
      <c r="X34" s="487"/>
      <c r="Y34" s="488"/>
      <c r="Z34" s="27"/>
      <c r="AA34" s="163"/>
      <c r="AB34" s="27"/>
      <c r="AC34" s="164"/>
      <c r="AI34" s="159"/>
      <c r="AJ34" s="101">
        <v>4</v>
      </c>
      <c r="AK34" s="101">
        <v>5</v>
      </c>
      <c r="AL34" s="469"/>
      <c r="AM34" s="7"/>
      <c r="AO34" s="101">
        <v>5</v>
      </c>
      <c r="AP34" s="101">
        <v>6</v>
      </c>
      <c r="AQ34" s="101">
        <v>7</v>
      </c>
      <c r="AR34" s="101">
        <v>8</v>
      </c>
      <c r="AS34" s="159"/>
      <c r="AW34" s="15"/>
      <c r="AX34" s="44"/>
      <c r="AY34" s="15"/>
      <c r="AZ34" s="20"/>
      <c r="BA34" s="19"/>
      <c r="BB34" s="15"/>
      <c r="BC34" s="15"/>
      <c r="BD34" s="15"/>
      <c r="BE34" s="19"/>
      <c r="BF34" s="15"/>
      <c r="BG34" s="15"/>
      <c r="BH34" s="15"/>
      <c r="BI34" s="15"/>
      <c r="BJ34" s="15"/>
      <c r="BK34" s="15"/>
      <c r="BL34" s="15"/>
      <c r="BM34" s="15"/>
      <c r="BN34" s="20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20"/>
      <c r="CC34" s="19"/>
      <c r="CD34" s="7"/>
      <c r="CE34" s="7"/>
      <c r="CF34" s="7"/>
      <c r="CG34" s="7"/>
      <c r="CH34" s="56"/>
      <c r="CI34" s="56"/>
      <c r="CJ34" s="56"/>
      <c r="CK34" s="56"/>
      <c r="CL34" s="56"/>
    </row>
    <row r="35" spans="1:90" ht="16.5" customHeight="1" thickBot="1" x14ac:dyDescent="0.3">
      <c r="A35" s="453" t="s">
        <v>210</v>
      </c>
      <c r="B35" s="454"/>
      <c r="C35" s="455"/>
      <c r="D35" s="27"/>
      <c r="E35" s="27"/>
      <c r="F35" s="27"/>
      <c r="G35" s="27"/>
      <c r="H35" s="27"/>
      <c r="I35" s="62"/>
      <c r="J35" s="62"/>
      <c r="K35" s="136"/>
      <c r="L35" s="136"/>
      <c r="M35" s="62"/>
      <c r="N35" s="150"/>
      <c r="O35" s="7"/>
      <c r="P35" s="27"/>
      <c r="Q35" s="27"/>
      <c r="R35" s="27"/>
      <c r="S35" s="7"/>
      <c r="T35" s="27"/>
      <c r="U35" s="154"/>
      <c r="V35" s="7"/>
      <c r="W35" s="7"/>
      <c r="X35" s="27"/>
      <c r="Y35" s="27"/>
      <c r="Z35" s="27"/>
      <c r="AA35" s="165"/>
      <c r="AB35" s="98"/>
      <c r="AC35" s="153"/>
      <c r="AI35" s="15"/>
      <c r="AJ35" s="7"/>
      <c r="AK35" s="7"/>
      <c r="AL35" s="489"/>
      <c r="AM35" s="7"/>
      <c r="AO35" s="462" t="s">
        <v>211</v>
      </c>
      <c r="AP35" s="462"/>
      <c r="AQ35" s="462"/>
      <c r="AR35" s="462"/>
      <c r="AS35" s="109"/>
      <c r="AT35" s="135"/>
      <c r="AU35" s="135"/>
      <c r="AV35" s="135"/>
      <c r="AW35" s="15"/>
      <c r="AX35" s="44"/>
      <c r="AY35" s="15"/>
      <c r="AZ35" s="20"/>
      <c r="BA35" s="19"/>
      <c r="BB35" s="15"/>
      <c r="BC35" s="15"/>
      <c r="BD35" s="15"/>
      <c r="BE35" s="19"/>
      <c r="BF35" s="15"/>
      <c r="BG35" s="15"/>
      <c r="BH35" s="15"/>
      <c r="BI35" s="15"/>
      <c r="BJ35" s="15"/>
      <c r="BK35" s="15"/>
      <c r="BL35" s="15"/>
      <c r="BM35" s="15"/>
      <c r="BN35" s="20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20"/>
      <c r="CC35" s="7"/>
      <c r="CD35" s="7"/>
      <c r="CE35" s="7"/>
      <c r="CF35" s="7"/>
      <c r="CG35" s="7"/>
      <c r="CH35" s="56"/>
      <c r="CI35" s="56"/>
      <c r="CJ35" s="56"/>
      <c r="CK35" s="56"/>
      <c r="CL35" s="56"/>
    </row>
    <row r="36" spans="1:90" ht="23.25" customHeight="1" x14ac:dyDescent="0.25">
      <c r="A36" s="456"/>
      <c r="B36" s="457"/>
      <c r="C36" s="458"/>
      <c r="D36" s="166"/>
      <c r="E36" s="27"/>
      <c r="F36" s="27"/>
      <c r="G36" s="27"/>
      <c r="H36" s="27"/>
      <c r="I36" s="27"/>
      <c r="J36" s="27"/>
      <c r="K36" s="27"/>
      <c r="L36" s="15"/>
      <c r="M36" s="27"/>
      <c r="N36" s="27"/>
      <c r="O36" s="7"/>
      <c r="P36" s="27"/>
      <c r="Q36" s="27"/>
      <c r="R36" s="27"/>
      <c r="S36" s="27"/>
      <c r="T36" s="27"/>
      <c r="U36" s="7"/>
      <c r="V36" s="7"/>
      <c r="W36" s="7"/>
      <c r="X36" s="27"/>
      <c r="Y36" s="148"/>
      <c r="Z36" s="463" t="s">
        <v>212</v>
      </c>
      <c r="AA36" s="464"/>
      <c r="AB36" s="464"/>
      <c r="AC36" s="465"/>
      <c r="AE36" s="131" t="s">
        <v>193</v>
      </c>
      <c r="AF36" s="131"/>
      <c r="AI36" s="7"/>
      <c r="AJ36" s="442" t="s">
        <v>193</v>
      </c>
      <c r="AK36" s="442"/>
      <c r="AL36" s="7"/>
      <c r="AS36" s="7"/>
      <c r="AX36" s="44"/>
      <c r="AY36" s="15"/>
      <c r="AZ36" s="20"/>
      <c r="BA36" s="19"/>
      <c r="BB36" s="15"/>
      <c r="BC36" s="15"/>
      <c r="BD36" s="15"/>
      <c r="BE36" s="19"/>
      <c r="BF36" s="15"/>
      <c r="BG36" s="15"/>
      <c r="BH36" s="15"/>
      <c r="BI36" s="15"/>
      <c r="BJ36" s="15"/>
      <c r="BK36" s="15"/>
      <c r="BL36" s="15"/>
      <c r="BM36" s="15"/>
      <c r="BN36" s="20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20"/>
      <c r="CC36" s="7"/>
      <c r="CD36" s="7"/>
      <c r="CE36" s="7"/>
      <c r="CF36" s="7"/>
      <c r="CH36" s="56"/>
      <c r="CI36" s="56"/>
      <c r="CJ36" s="56"/>
      <c r="CK36" s="56"/>
      <c r="CL36" s="56"/>
    </row>
    <row r="37" spans="1:90" ht="16.5" thickBot="1" x14ac:dyDescent="0.3">
      <c r="A37" s="456"/>
      <c r="B37" s="457"/>
      <c r="C37" s="458"/>
      <c r="D37" s="166"/>
      <c r="E37" s="27"/>
      <c r="F37" s="27"/>
      <c r="G37" s="27"/>
      <c r="H37" s="27"/>
      <c r="I37" s="27"/>
      <c r="J37" s="27"/>
      <c r="K37" s="27"/>
      <c r="L37" s="15"/>
      <c r="M37" s="27"/>
      <c r="N37" s="27"/>
      <c r="O37" s="27"/>
      <c r="P37" s="27"/>
      <c r="Q37" s="27"/>
      <c r="R37" s="7"/>
      <c r="S37" s="27"/>
      <c r="T37" s="27"/>
      <c r="U37" s="7"/>
      <c r="V37" s="7"/>
      <c r="W37" s="7"/>
      <c r="X37" s="27"/>
      <c r="Y37" s="148"/>
      <c r="Z37" s="466"/>
      <c r="AA37" s="467"/>
      <c r="AB37" s="467"/>
      <c r="AC37" s="468"/>
      <c r="AD37" s="1" t="s">
        <v>213</v>
      </c>
      <c r="AE37" s="101">
        <v>2</v>
      </c>
      <c r="AF37" s="101">
        <v>1</v>
      </c>
      <c r="AI37" s="1" t="s">
        <v>214</v>
      </c>
      <c r="AJ37" s="101">
        <v>2</v>
      </c>
      <c r="AK37" s="101">
        <v>1</v>
      </c>
      <c r="AL37" s="7"/>
      <c r="AN37" s="1" t="s">
        <v>215</v>
      </c>
      <c r="AO37" s="101">
        <v>4</v>
      </c>
      <c r="AP37" s="101">
        <v>3</v>
      </c>
      <c r="AQ37" s="101">
        <v>2</v>
      </c>
      <c r="AR37" s="101">
        <v>1</v>
      </c>
      <c r="AS37" s="7"/>
      <c r="AX37" s="44"/>
      <c r="AY37" s="167"/>
      <c r="AZ37" s="20"/>
      <c r="BA37" s="19"/>
      <c r="BB37" s="15"/>
      <c r="BC37" s="15"/>
      <c r="BD37" s="15"/>
      <c r="BE37" s="19"/>
      <c r="BF37" s="15"/>
      <c r="BG37" s="15"/>
      <c r="BH37" s="15"/>
      <c r="BI37" s="15"/>
      <c r="BJ37" s="15"/>
      <c r="BK37" s="15"/>
      <c r="BL37" s="15"/>
      <c r="BM37" s="15"/>
      <c r="BN37" s="20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20"/>
      <c r="CC37" s="7"/>
      <c r="CD37" s="7"/>
      <c r="CE37" s="7"/>
      <c r="CF37" s="7"/>
      <c r="CH37" s="56"/>
      <c r="CI37" s="56"/>
      <c r="CJ37" s="56"/>
      <c r="CK37" s="56"/>
      <c r="CL37" s="56"/>
    </row>
    <row r="38" spans="1:90" ht="18" customHeight="1" x14ac:dyDescent="0.25">
      <c r="A38" s="456"/>
      <c r="B38" s="457"/>
      <c r="C38" s="458"/>
      <c r="D38" s="166"/>
      <c r="E38" s="27"/>
      <c r="F38" s="27"/>
      <c r="G38" s="27"/>
      <c r="H38" s="27"/>
      <c r="I38" s="56"/>
      <c r="J38" s="56"/>
      <c r="K38" s="56"/>
      <c r="L38" s="15"/>
      <c r="M38" s="27"/>
      <c r="P38" s="27"/>
      <c r="Q38" s="27"/>
      <c r="R38" s="7"/>
      <c r="S38" s="135"/>
      <c r="T38" s="27"/>
      <c r="U38" s="7"/>
      <c r="V38" s="7"/>
      <c r="W38" s="7"/>
      <c r="X38" s="27"/>
      <c r="Y38" s="148"/>
      <c r="Z38" s="27"/>
      <c r="AA38" s="168"/>
      <c r="AB38" s="98"/>
      <c r="AC38" s="98"/>
      <c r="AD38" s="138" t="s">
        <v>216</v>
      </c>
      <c r="AE38" s="169" t="s">
        <v>199</v>
      </c>
      <c r="AF38" s="169" t="s">
        <v>199</v>
      </c>
      <c r="AG38" s="7"/>
      <c r="AI38" s="138" t="s">
        <v>217</v>
      </c>
      <c r="AJ38" s="170" t="s">
        <v>201</v>
      </c>
      <c r="AK38" s="170" t="s">
        <v>201</v>
      </c>
      <c r="AL38" s="7"/>
      <c r="AN38" s="138" t="s">
        <v>218</v>
      </c>
      <c r="AO38" s="155" t="s">
        <v>201</v>
      </c>
      <c r="AP38" s="155" t="s">
        <v>201</v>
      </c>
      <c r="AQ38" s="155" t="s">
        <v>201</v>
      </c>
      <c r="AR38" s="155" t="s">
        <v>201</v>
      </c>
      <c r="AX38" s="44"/>
      <c r="AY38" s="15"/>
      <c r="AZ38" s="20"/>
      <c r="BA38" s="19"/>
      <c r="BB38" s="15"/>
      <c r="BC38" s="15"/>
      <c r="BD38" s="15"/>
      <c r="BE38" s="19"/>
      <c r="BF38" s="15"/>
      <c r="BG38" s="15"/>
      <c r="BH38" s="15"/>
      <c r="BI38" s="15"/>
      <c r="BJ38" s="15"/>
      <c r="BK38" s="15"/>
      <c r="BL38" s="15"/>
      <c r="BM38" s="15"/>
      <c r="BN38" s="20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20"/>
      <c r="CC38" s="7"/>
      <c r="CD38" s="7"/>
      <c r="CE38" s="7"/>
      <c r="CF38" s="7"/>
      <c r="CH38" s="56"/>
      <c r="CI38" s="56"/>
      <c r="CJ38" s="56"/>
      <c r="CK38" s="56"/>
      <c r="CL38" s="56"/>
    </row>
    <row r="39" spans="1:90" ht="23.25" x14ac:dyDescent="0.25">
      <c r="A39" s="456"/>
      <c r="B39" s="457"/>
      <c r="C39" s="458"/>
      <c r="D39" s="166"/>
      <c r="E39" s="27"/>
      <c r="F39" s="27"/>
      <c r="G39" s="27"/>
      <c r="H39" s="27"/>
      <c r="I39" s="56"/>
      <c r="J39" s="171"/>
      <c r="K39" s="132" t="s">
        <v>194</v>
      </c>
      <c r="L39" s="132" t="s">
        <v>194</v>
      </c>
      <c r="M39" s="27"/>
      <c r="P39" s="27"/>
      <c r="Q39" s="27"/>
      <c r="R39" s="7"/>
      <c r="S39" s="148"/>
      <c r="T39" s="27"/>
      <c r="U39" s="7"/>
      <c r="V39" s="7"/>
      <c r="W39" s="7"/>
      <c r="X39" s="27"/>
      <c r="Y39" s="148"/>
      <c r="Z39" s="27"/>
      <c r="AA39" s="163"/>
      <c r="AB39" s="98"/>
      <c r="AC39" s="98"/>
      <c r="AD39" s="169"/>
      <c r="AE39" s="172" t="s">
        <v>27</v>
      </c>
      <c r="AF39" s="172" t="s">
        <v>27</v>
      </c>
      <c r="AG39" s="169"/>
      <c r="AI39" s="170"/>
      <c r="AJ39" s="173" t="s">
        <v>133</v>
      </c>
      <c r="AK39" s="173" t="s">
        <v>133</v>
      </c>
      <c r="AL39" s="170"/>
      <c r="AN39" s="155"/>
      <c r="AO39" s="157" t="s">
        <v>9</v>
      </c>
      <c r="AP39" s="174" t="s">
        <v>11</v>
      </c>
      <c r="AQ39" s="174" t="s">
        <v>11</v>
      </c>
      <c r="AR39" s="174" t="s">
        <v>11</v>
      </c>
      <c r="AS39" s="155"/>
      <c r="AV39" s="469"/>
      <c r="AW39" s="7"/>
      <c r="AX39" s="44"/>
      <c r="AY39" s="15"/>
      <c r="AZ39" s="20"/>
      <c r="BA39" s="19"/>
      <c r="BB39" s="15"/>
      <c r="BC39" s="15"/>
      <c r="BD39" s="15"/>
      <c r="BE39" s="19"/>
      <c r="BF39" s="15"/>
      <c r="BG39" s="15"/>
      <c r="BH39" s="15"/>
      <c r="BI39" s="15"/>
      <c r="BJ39" s="15"/>
      <c r="BK39" s="15"/>
      <c r="BL39" s="15"/>
      <c r="BM39" s="15"/>
      <c r="BN39" s="20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20"/>
      <c r="CC39" s="7"/>
      <c r="CD39" s="7"/>
      <c r="CE39" s="7"/>
      <c r="CF39" s="7"/>
      <c r="CG39" s="7"/>
      <c r="CH39" s="56"/>
      <c r="CI39" s="56"/>
      <c r="CJ39" s="56"/>
      <c r="CK39" s="56"/>
      <c r="CL39" s="56"/>
    </row>
    <row r="40" spans="1:90" ht="25.5" customHeight="1" x14ac:dyDescent="0.25">
      <c r="A40" s="456"/>
      <c r="B40" s="457"/>
      <c r="C40" s="458"/>
      <c r="D40" s="175"/>
      <c r="E40" s="98"/>
      <c r="F40" s="27"/>
      <c r="G40" s="27"/>
      <c r="H40" s="27"/>
      <c r="I40" s="56"/>
      <c r="J40" s="56"/>
      <c r="K40" s="132" t="s">
        <v>194</v>
      </c>
      <c r="L40" s="132" t="s">
        <v>194</v>
      </c>
      <c r="M40" s="98"/>
      <c r="P40" s="27"/>
      <c r="Q40" s="27"/>
      <c r="R40" s="7"/>
      <c r="S40" s="135"/>
      <c r="T40" s="27"/>
      <c r="U40" s="7"/>
      <c r="V40" s="135"/>
      <c r="W40" s="135"/>
      <c r="X40" s="135"/>
      <c r="Y40" s="62"/>
      <c r="Z40" s="153"/>
      <c r="AA40" s="176"/>
      <c r="AB40" s="98"/>
      <c r="AC40" s="91"/>
      <c r="AD40" s="169"/>
      <c r="AE40" s="172" t="s">
        <v>27</v>
      </c>
      <c r="AF40" s="172" t="s">
        <v>27</v>
      </c>
      <c r="AG40" s="169"/>
      <c r="AI40" s="170"/>
      <c r="AJ40" s="173" t="s">
        <v>133</v>
      </c>
      <c r="AK40" s="173" t="s">
        <v>133</v>
      </c>
      <c r="AL40" s="170"/>
      <c r="AN40" s="155"/>
      <c r="AO40" s="177" t="s">
        <v>129</v>
      </c>
      <c r="AP40" s="177" t="s">
        <v>129</v>
      </c>
      <c r="AQ40" s="177" t="s">
        <v>129</v>
      </c>
      <c r="AR40" s="157" t="s">
        <v>9</v>
      </c>
      <c r="AS40" s="155"/>
      <c r="AT40" s="135"/>
      <c r="AU40" s="135"/>
      <c r="AV40" s="470"/>
      <c r="AW40" s="7"/>
      <c r="AX40" s="19"/>
      <c r="AY40" s="15"/>
      <c r="AZ40" s="20"/>
      <c r="BA40" s="19"/>
      <c r="BB40" s="15"/>
      <c r="BC40" s="15"/>
      <c r="BD40" s="15"/>
      <c r="BE40" s="19"/>
      <c r="BF40" s="15"/>
      <c r="BG40" s="15"/>
      <c r="BH40" s="15"/>
      <c r="BI40" s="15"/>
      <c r="BJ40" s="15"/>
      <c r="BK40" s="15"/>
      <c r="BL40" s="15"/>
      <c r="BM40" s="15"/>
      <c r="BN40" s="20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20"/>
      <c r="CC40" s="7"/>
      <c r="CD40" s="7"/>
      <c r="CE40" s="7"/>
      <c r="CF40" s="7"/>
      <c r="CG40" s="7"/>
      <c r="CH40" s="56"/>
      <c r="CI40" s="56"/>
      <c r="CJ40" s="56"/>
      <c r="CK40" s="56"/>
      <c r="CL40" s="56"/>
    </row>
    <row r="41" spans="1:90" ht="23.25" x14ac:dyDescent="0.25">
      <c r="A41" s="456"/>
      <c r="B41" s="457"/>
      <c r="C41" s="458"/>
      <c r="D41" s="98"/>
      <c r="E41" s="98"/>
      <c r="F41" s="27"/>
      <c r="G41" s="27"/>
      <c r="H41" s="27"/>
      <c r="I41" s="56"/>
      <c r="J41" s="56"/>
      <c r="K41" s="62"/>
      <c r="L41" s="15"/>
      <c r="M41" s="98"/>
      <c r="P41" s="21"/>
      <c r="Q41" s="27"/>
      <c r="R41" s="7"/>
      <c r="S41" s="135"/>
      <c r="T41" s="15"/>
      <c r="U41" s="7"/>
      <c r="V41" s="135"/>
      <c r="W41" s="135"/>
      <c r="X41" s="135"/>
      <c r="Y41" s="178"/>
      <c r="Z41" s="98"/>
      <c r="AA41" s="176"/>
      <c r="AB41" s="98"/>
      <c r="AC41" s="91"/>
      <c r="AE41" s="169" t="s">
        <v>199</v>
      </c>
      <c r="AF41" s="169" t="s">
        <v>199</v>
      </c>
      <c r="AJ41" s="170" t="s">
        <v>201</v>
      </c>
      <c r="AK41" s="170" t="s">
        <v>201</v>
      </c>
      <c r="AL41" s="179"/>
      <c r="AO41" s="155" t="s">
        <v>201</v>
      </c>
      <c r="AP41" s="155" t="s">
        <v>201</v>
      </c>
      <c r="AQ41" s="155" t="s">
        <v>201</v>
      </c>
      <c r="AR41" s="155" t="s">
        <v>201</v>
      </c>
      <c r="AS41" s="122"/>
      <c r="AT41" s="135"/>
      <c r="AU41" s="135"/>
      <c r="AV41" s="135"/>
      <c r="AX41" s="19"/>
      <c r="AY41" s="15"/>
      <c r="AZ41" s="20"/>
      <c r="BA41" s="19"/>
      <c r="BB41" s="15"/>
      <c r="BC41" s="15"/>
      <c r="BD41" s="15"/>
      <c r="BE41" s="19"/>
      <c r="BF41" s="15"/>
      <c r="BG41" s="15"/>
      <c r="BH41" s="15"/>
      <c r="BI41" s="15"/>
      <c r="BJ41" s="15"/>
      <c r="BK41" s="15"/>
      <c r="BL41" s="15"/>
      <c r="BM41" s="15"/>
      <c r="BN41" s="20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20"/>
      <c r="CC41" s="7"/>
      <c r="CD41" s="7"/>
      <c r="CE41" s="7"/>
      <c r="CF41" s="7"/>
      <c r="CG41" s="7"/>
      <c r="CH41" s="56"/>
      <c r="CI41" s="56"/>
      <c r="CJ41" s="56"/>
      <c r="CK41" s="56"/>
      <c r="CL41" s="56"/>
    </row>
    <row r="42" spans="1:90" ht="15.75" x14ac:dyDescent="0.25">
      <c r="A42" s="456"/>
      <c r="B42" s="457"/>
      <c r="C42" s="458"/>
      <c r="D42" s="98"/>
      <c r="E42" s="98"/>
      <c r="F42" s="27"/>
      <c r="G42" s="27"/>
      <c r="H42" s="27"/>
      <c r="I42" s="56"/>
      <c r="J42" s="62"/>
      <c r="K42" s="62"/>
      <c r="L42" s="15"/>
      <c r="M42" s="98"/>
      <c r="N42" s="7"/>
      <c r="O42" s="166"/>
      <c r="P42" s="21"/>
      <c r="Q42" s="15"/>
      <c r="R42" s="7"/>
      <c r="T42" s="15"/>
      <c r="U42" s="7"/>
      <c r="Z42" s="98"/>
      <c r="AA42" s="176"/>
      <c r="AB42" s="91"/>
      <c r="AC42" s="91"/>
      <c r="AE42" s="101">
        <v>3</v>
      </c>
      <c r="AF42" s="101">
        <v>4</v>
      </c>
      <c r="AG42" s="101"/>
      <c r="AJ42" s="101">
        <v>3</v>
      </c>
      <c r="AK42" s="101">
        <v>4</v>
      </c>
      <c r="AL42" s="180"/>
      <c r="AO42" s="101">
        <v>5</v>
      </c>
      <c r="AP42" s="101">
        <v>6</v>
      </c>
      <c r="AQ42" s="101">
        <v>7</v>
      </c>
      <c r="AR42" s="101">
        <v>8</v>
      </c>
      <c r="AT42" s="135"/>
      <c r="AU42" s="181" t="s">
        <v>192</v>
      </c>
      <c r="AV42" s="181" t="s">
        <v>192</v>
      </c>
      <c r="AW42" s="181" t="s">
        <v>192</v>
      </c>
      <c r="AX42" s="19"/>
      <c r="AY42" s="15"/>
      <c r="AZ42" s="20"/>
      <c r="BA42" s="19"/>
      <c r="BB42" s="15"/>
      <c r="BC42" s="15"/>
      <c r="BD42" s="15"/>
      <c r="BE42" s="19"/>
      <c r="BF42" s="15"/>
      <c r="BG42" s="15"/>
      <c r="BH42" s="15"/>
      <c r="BI42" s="15"/>
      <c r="BJ42" s="15"/>
      <c r="BK42" s="15"/>
      <c r="BL42" s="15"/>
      <c r="BM42" s="15"/>
      <c r="BN42" s="20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20"/>
      <c r="CC42" s="7"/>
      <c r="CD42" s="7"/>
      <c r="CE42" s="7"/>
      <c r="CF42" s="7"/>
      <c r="CG42" s="7"/>
      <c r="CH42" s="7"/>
      <c r="CI42" s="7"/>
      <c r="CJ42" s="7"/>
      <c r="CK42" s="7"/>
      <c r="CL42" s="7"/>
    </row>
    <row r="43" spans="1:90" ht="15.75" customHeight="1" x14ac:dyDescent="0.25">
      <c r="A43" s="456"/>
      <c r="B43" s="457"/>
      <c r="C43" s="458"/>
      <c r="D43" s="98"/>
      <c r="E43" s="27"/>
      <c r="F43" s="27"/>
      <c r="G43" s="27"/>
      <c r="H43" s="27"/>
      <c r="I43" s="15"/>
      <c r="J43" s="15"/>
      <c r="K43" s="15"/>
      <c r="L43" s="15"/>
      <c r="M43" s="98"/>
      <c r="N43" s="101"/>
      <c r="O43" s="51"/>
      <c r="P43" s="21"/>
      <c r="Q43" s="15"/>
      <c r="R43" s="7"/>
      <c r="T43" s="15"/>
      <c r="U43" s="7"/>
      <c r="Y43" s="135"/>
      <c r="Z43" s="98"/>
      <c r="AA43" s="176"/>
      <c r="AB43" s="91"/>
      <c r="AC43" s="91"/>
      <c r="AF43" s="101"/>
      <c r="AG43" s="101"/>
      <c r="AH43" s="101"/>
      <c r="AO43" s="462" t="s">
        <v>211</v>
      </c>
      <c r="AP43" s="462"/>
      <c r="AQ43" s="462"/>
      <c r="AR43" s="462"/>
      <c r="AT43" s="135"/>
      <c r="AU43" s="181" t="s">
        <v>192</v>
      </c>
      <c r="AV43" s="181" t="s">
        <v>192</v>
      </c>
      <c r="AW43" s="181" t="s">
        <v>192</v>
      </c>
      <c r="AX43" s="19"/>
      <c r="AY43" s="15"/>
      <c r="AZ43" s="20"/>
      <c r="BA43" s="19"/>
      <c r="BB43" s="15"/>
      <c r="BC43" s="15"/>
      <c r="BD43" s="15"/>
      <c r="BE43" s="19"/>
      <c r="BF43" s="15"/>
      <c r="BG43" s="15"/>
      <c r="BH43" s="15"/>
      <c r="BI43" s="15"/>
      <c r="BJ43" s="15"/>
      <c r="BK43" s="15"/>
      <c r="BL43" s="15"/>
      <c r="BM43" s="15"/>
      <c r="BN43" s="20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20"/>
      <c r="CC43" s="7"/>
      <c r="CD43" s="7"/>
      <c r="CE43" s="7"/>
      <c r="CF43" s="7"/>
      <c r="CG43" s="7"/>
      <c r="CH43" s="7"/>
      <c r="CI43" s="7"/>
      <c r="CJ43" s="7"/>
      <c r="CK43" s="7"/>
      <c r="CL43" s="7"/>
    </row>
    <row r="44" spans="1:90" ht="15.75" x14ac:dyDescent="0.25">
      <c r="A44" s="456"/>
      <c r="B44" s="457"/>
      <c r="C44" s="458"/>
      <c r="D44" s="98"/>
      <c r="E44" s="27"/>
      <c r="F44" s="27"/>
      <c r="G44" s="27"/>
      <c r="H44" s="27"/>
      <c r="I44" s="98"/>
      <c r="J44" s="98"/>
      <c r="K44" s="98"/>
      <c r="L44" s="98"/>
      <c r="M44" s="98"/>
      <c r="N44" s="101"/>
      <c r="O44" s="101"/>
      <c r="P44" s="101"/>
      <c r="Q44" s="27"/>
      <c r="R44" s="166"/>
      <c r="S44" s="21"/>
      <c r="T44" s="21"/>
      <c r="U44" s="7"/>
      <c r="Y44" s="178"/>
      <c r="Z44" s="98"/>
      <c r="AA44" s="176"/>
      <c r="AB44" s="91"/>
      <c r="AC44" s="91"/>
      <c r="AL44" s="109"/>
      <c r="AU44" s="7"/>
      <c r="AV44" s="7"/>
      <c r="AW44" s="182"/>
      <c r="AX44" s="19"/>
      <c r="AY44" s="15"/>
      <c r="AZ44" s="20"/>
      <c r="BA44" s="19"/>
      <c r="BB44" s="15"/>
      <c r="BC44" s="15"/>
      <c r="BD44" s="15"/>
      <c r="BE44" s="19"/>
      <c r="BF44" s="15"/>
      <c r="BG44" s="15"/>
      <c r="BH44" s="15"/>
      <c r="BI44" s="15"/>
      <c r="BJ44" s="15"/>
      <c r="BK44" s="15"/>
      <c r="BL44" s="15"/>
      <c r="BM44" s="15"/>
      <c r="BN44" s="20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20"/>
      <c r="CC44" s="7"/>
      <c r="CD44" s="7"/>
      <c r="CE44" s="7"/>
      <c r="CF44" s="7"/>
      <c r="CG44" s="7"/>
      <c r="CH44" s="7"/>
      <c r="CI44" s="7"/>
      <c r="CJ44" s="7"/>
      <c r="CK44" s="7"/>
      <c r="CL44" s="7"/>
    </row>
    <row r="45" spans="1:90" ht="15.75" x14ac:dyDescent="0.25">
      <c r="A45" s="456"/>
      <c r="B45" s="457"/>
      <c r="C45" s="458"/>
      <c r="D45" s="98"/>
      <c r="E45" s="98"/>
      <c r="F45" s="98"/>
      <c r="G45" s="183"/>
      <c r="H45" s="98"/>
      <c r="I45" s="98"/>
      <c r="J45" s="98"/>
      <c r="K45" s="98"/>
      <c r="L45" s="98"/>
      <c r="M45" s="98"/>
      <c r="N45" s="107"/>
      <c r="O45" s="101"/>
      <c r="P45" s="51"/>
      <c r="Q45" s="51"/>
      <c r="R45" s="51"/>
      <c r="S45" s="51"/>
      <c r="T45" s="51"/>
      <c r="U45" s="7"/>
      <c r="V45" s="7"/>
      <c r="W45" s="7"/>
      <c r="X45" s="7"/>
      <c r="Y45" s="98"/>
      <c r="Z45" s="7"/>
      <c r="AA45" s="176"/>
      <c r="AB45" s="91"/>
      <c r="AC45" s="91"/>
      <c r="AI45" s="109"/>
      <c r="AJ45" s="109"/>
      <c r="AK45" s="184"/>
      <c r="AM45" s="185"/>
      <c r="AU45" s="7"/>
      <c r="AV45" s="7"/>
      <c r="AW45" s="182"/>
      <c r="AX45" s="44"/>
      <c r="AY45" s="15"/>
      <c r="AZ45" s="20"/>
      <c r="BA45" s="19"/>
      <c r="BB45" s="15"/>
      <c r="BC45" s="15"/>
      <c r="BD45" s="15"/>
      <c r="BE45" s="19"/>
      <c r="BF45" s="15"/>
      <c r="BG45" s="15"/>
      <c r="BH45" s="15"/>
      <c r="BI45" s="15"/>
      <c r="BJ45" s="15"/>
      <c r="BK45" s="15"/>
      <c r="BL45" s="15"/>
      <c r="BM45" s="15"/>
      <c r="BN45" s="20"/>
      <c r="BO45" s="7"/>
      <c r="BP45" s="7"/>
      <c r="BQ45" s="7"/>
      <c r="BR45" s="7"/>
      <c r="BS45" s="186"/>
      <c r="BT45" s="15"/>
      <c r="BU45" s="15"/>
      <c r="BV45" s="15"/>
      <c r="BW45" s="15"/>
      <c r="BX45" s="15"/>
      <c r="BY45" s="15"/>
      <c r="BZ45" s="15"/>
      <c r="CA45" s="15"/>
      <c r="CB45" s="20"/>
      <c r="CC45" s="7"/>
      <c r="CD45" s="7"/>
      <c r="CE45" s="7"/>
      <c r="CF45" s="7"/>
      <c r="CG45" s="7"/>
      <c r="CH45" s="7"/>
      <c r="CI45" s="7"/>
      <c r="CJ45" s="7"/>
      <c r="CK45" s="7"/>
      <c r="CL45" s="7"/>
    </row>
    <row r="46" spans="1:90" ht="15.75" thickBot="1" x14ac:dyDescent="0.3">
      <c r="A46" s="459"/>
      <c r="B46" s="460"/>
      <c r="C46" s="461"/>
      <c r="D46" s="98"/>
      <c r="E46" s="27"/>
      <c r="F46" s="27"/>
      <c r="G46" s="183"/>
      <c r="H46" s="98"/>
      <c r="I46" s="98"/>
      <c r="J46" s="98"/>
      <c r="K46" s="98"/>
      <c r="L46" s="98"/>
      <c r="M46" s="98"/>
      <c r="N46" s="98"/>
      <c r="O46" s="107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7"/>
      <c r="AA46" s="176"/>
      <c r="AB46" s="91"/>
      <c r="AC46" s="91"/>
      <c r="AI46" s="109"/>
      <c r="AJ46" s="109"/>
      <c r="AK46" s="109"/>
      <c r="AL46" s="184"/>
      <c r="AM46" s="185"/>
      <c r="AS46" s="122"/>
      <c r="AT46" s="122"/>
      <c r="AU46" s="7"/>
      <c r="AV46" s="7"/>
      <c r="AW46" s="182"/>
      <c r="AX46" s="44"/>
      <c r="AY46" s="15"/>
      <c r="AZ46" s="20"/>
      <c r="BA46" s="19"/>
      <c r="BB46" s="15"/>
      <c r="BC46" s="15"/>
      <c r="BD46" s="15"/>
      <c r="BE46" s="19"/>
      <c r="BF46" s="15"/>
      <c r="BG46" s="15"/>
      <c r="BH46" s="15"/>
      <c r="BI46" s="15"/>
      <c r="BJ46" s="15"/>
      <c r="BK46" s="15"/>
      <c r="BL46" s="15"/>
      <c r="BM46" s="15"/>
      <c r="BN46" s="20"/>
      <c r="BO46" s="7"/>
      <c r="BP46" s="7"/>
      <c r="BQ46" s="7"/>
      <c r="BR46" s="7"/>
      <c r="BS46" s="186"/>
      <c r="BT46" s="15"/>
      <c r="BU46" s="15"/>
      <c r="BV46" s="15"/>
      <c r="BW46" s="15"/>
      <c r="BX46" s="15"/>
      <c r="BY46" s="15"/>
      <c r="BZ46" s="15"/>
      <c r="CA46" s="15"/>
      <c r="CB46" s="20"/>
      <c r="CC46" s="7"/>
      <c r="CD46" s="7"/>
      <c r="CE46" s="7"/>
      <c r="CF46" s="7"/>
      <c r="CG46" s="7"/>
      <c r="CH46" s="7"/>
      <c r="CI46" s="7"/>
      <c r="CJ46" s="7"/>
      <c r="CK46" s="7"/>
      <c r="CL46" s="7"/>
    </row>
    <row r="47" spans="1:90" ht="18" x14ac:dyDescent="0.25">
      <c r="A47" s="187"/>
      <c r="B47" s="98"/>
      <c r="C47" s="98"/>
      <c r="D47" s="98"/>
      <c r="E47" s="127"/>
      <c r="F47" s="127"/>
      <c r="G47" s="183"/>
      <c r="H47" s="98"/>
      <c r="I47" s="98"/>
      <c r="J47" s="7"/>
      <c r="K47" s="98"/>
      <c r="L47" s="7"/>
      <c r="M47" s="98"/>
      <c r="N47" s="98"/>
      <c r="O47" s="490"/>
      <c r="P47" s="490"/>
      <c r="Q47" s="490"/>
      <c r="R47" s="490"/>
      <c r="S47" s="107"/>
      <c r="T47" s="107"/>
      <c r="U47" s="107"/>
      <c r="V47" s="107"/>
      <c r="W47" s="107"/>
      <c r="X47" s="15"/>
      <c r="Y47" s="15"/>
      <c r="Z47" s="7"/>
      <c r="AA47" s="176"/>
      <c r="AB47" s="91"/>
      <c r="AC47" s="91"/>
      <c r="AI47" s="109"/>
      <c r="AJ47" s="109"/>
      <c r="AK47" s="109"/>
      <c r="AL47" s="51"/>
      <c r="AM47" s="122"/>
      <c r="AS47" s="122"/>
      <c r="AT47" s="122"/>
      <c r="AU47" s="7"/>
      <c r="AV47" s="7"/>
      <c r="AW47" s="182"/>
      <c r="AX47" s="44"/>
      <c r="AY47" s="15"/>
      <c r="AZ47" s="20"/>
      <c r="BA47" s="19"/>
      <c r="BB47" s="15"/>
      <c r="BC47" s="15"/>
      <c r="BD47" s="15"/>
      <c r="BE47" s="19"/>
      <c r="BF47" s="15"/>
      <c r="BG47" s="15"/>
      <c r="BH47" s="15"/>
      <c r="BI47" s="15"/>
      <c r="BJ47" s="15"/>
      <c r="BK47" s="15"/>
      <c r="BL47" s="15"/>
      <c r="BM47" s="15"/>
      <c r="BN47" s="20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20"/>
      <c r="CC47" s="7"/>
      <c r="CD47" s="7"/>
      <c r="CE47" s="7"/>
      <c r="CF47" s="7"/>
      <c r="CG47" s="7"/>
      <c r="CH47" s="7"/>
      <c r="CI47" s="7"/>
      <c r="CJ47" s="7"/>
      <c r="CK47" s="7"/>
      <c r="CL47" s="7"/>
    </row>
    <row r="48" spans="1:90" ht="16.5" thickBot="1" x14ac:dyDescent="0.3">
      <c r="A48" s="188"/>
      <c r="B48" s="98"/>
      <c r="C48" s="98"/>
      <c r="D48" s="98"/>
      <c r="E48" s="98"/>
      <c r="F48" s="98"/>
      <c r="G48" s="183"/>
      <c r="H48" s="98"/>
      <c r="I48" s="98"/>
      <c r="J48" s="98"/>
      <c r="K48" s="98"/>
      <c r="L48" s="7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7"/>
      <c r="X48" s="7"/>
      <c r="Y48" s="15"/>
      <c r="Z48" s="7"/>
      <c r="AA48" s="176"/>
      <c r="AB48" s="91"/>
      <c r="AC48" s="91"/>
      <c r="AD48" s="189"/>
      <c r="AE48" s="189"/>
      <c r="AF48" s="190"/>
      <c r="AG48" s="181" t="s">
        <v>192</v>
      </c>
      <c r="AH48" s="181" t="s">
        <v>192</v>
      </c>
      <c r="AI48" s="181" t="s">
        <v>192</v>
      </c>
      <c r="AJ48" s="7"/>
      <c r="AM48" s="108" t="s">
        <v>185</v>
      </c>
      <c r="AN48" s="108" t="s">
        <v>185</v>
      </c>
      <c r="AO48" s="108" t="s">
        <v>185</v>
      </c>
      <c r="AR48" s="191" t="s">
        <v>219</v>
      </c>
      <c r="AS48" s="191" t="s">
        <v>219</v>
      </c>
      <c r="AT48" s="122"/>
      <c r="AU48" s="7"/>
      <c r="AV48" s="7"/>
      <c r="AW48" s="182"/>
      <c r="AX48" s="44"/>
      <c r="AY48" s="15"/>
      <c r="AZ48" s="20"/>
      <c r="BA48" s="19"/>
      <c r="BB48" s="15"/>
      <c r="BC48" s="15"/>
      <c r="BD48" s="15"/>
      <c r="BE48" s="42"/>
      <c r="BF48" s="43"/>
      <c r="BG48" s="43"/>
      <c r="BH48" s="43"/>
      <c r="BI48" s="43"/>
      <c r="BJ48" s="43"/>
      <c r="BK48" s="43"/>
      <c r="BL48" s="43"/>
      <c r="BM48" s="43"/>
      <c r="BN48" s="192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20"/>
      <c r="CC48" s="7"/>
      <c r="CD48" s="7"/>
      <c r="CE48" s="7"/>
      <c r="CF48" s="7"/>
      <c r="CG48" s="7"/>
      <c r="CH48" s="7"/>
      <c r="CI48" s="7"/>
      <c r="CJ48" s="7"/>
      <c r="CK48" s="7"/>
      <c r="CL48" s="7"/>
    </row>
    <row r="49" spans="1:95" ht="26.25" x14ac:dyDescent="0.25">
      <c r="A49" s="188"/>
      <c r="B49" s="98"/>
      <c r="C49" s="98"/>
      <c r="D49" s="98"/>
      <c r="E49" s="27"/>
      <c r="F49" s="27"/>
      <c r="G49" s="127"/>
      <c r="H49" s="98"/>
      <c r="I49" s="98"/>
      <c r="J49" s="7"/>
      <c r="K49" s="98"/>
      <c r="L49" s="7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7"/>
      <c r="X49" s="7"/>
      <c r="Y49" s="15"/>
      <c r="Z49" s="7"/>
      <c r="AA49" s="176"/>
      <c r="AB49" s="91"/>
      <c r="AC49" s="91"/>
      <c r="AD49" s="7"/>
      <c r="AE49" s="193"/>
      <c r="AF49" s="193"/>
      <c r="AG49" s="181" t="s">
        <v>192</v>
      </c>
      <c r="AH49" s="181" t="s">
        <v>192</v>
      </c>
      <c r="AI49" s="181" t="s">
        <v>192</v>
      </c>
      <c r="AJ49" s="7"/>
      <c r="AM49" s="108" t="s">
        <v>185</v>
      </c>
      <c r="AN49" s="108" t="s">
        <v>185</v>
      </c>
      <c r="AO49" s="108" t="s">
        <v>185</v>
      </c>
      <c r="AR49" s="191" t="s">
        <v>219</v>
      </c>
      <c r="AS49" s="191" t="s">
        <v>219</v>
      </c>
      <c r="AT49" s="122"/>
      <c r="AU49" s="7"/>
      <c r="AV49" s="7"/>
      <c r="AW49" s="182"/>
      <c r="AX49" s="44"/>
      <c r="AY49" s="15"/>
      <c r="AZ49" s="20"/>
      <c r="BA49" s="19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9"/>
      <c r="BN49" s="15"/>
      <c r="BO49" s="10"/>
      <c r="BP49" s="194"/>
      <c r="BQ49" s="194"/>
      <c r="BR49" s="194"/>
      <c r="BS49" s="15"/>
      <c r="BT49" s="15"/>
      <c r="BU49" s="15"/>
      <c r="BV49" s="15"/>
      <c r="BW49" s="15"/>
      <c r="BX49" s="15"/>
      <c r="BY49" s="15"/>
      <c r="BZ49" s="15"/>
      <c r="CA49" s="15"/>
      <c r="CB49" s="20"/>
      <c r="CC49" s="7"/>
      <c r="CD49" s="7"/>
      <c r="CE49" s="7"/>
      <c r="CF49" s="7"/>
      <c r="CG49" s="7"/>
      <c r="CH49" s="7"/>
      <c r="CI49" s="7"/>
      <c r="CJ49" s="7"/>
      <c r="CK49" s="7"/>
      <c r="CL49" s="7"/>
    </row>
    <row r="50" spans="1:95" ht="27" customHeight="1" thickBot="1" x14ac:dyDescent="0.3">
      <c r="A50" s="188"/>
      <c r="B50" s="98"/>
      <c r="C50" s="98"/>
      <c r="D50" s="98"/>
      <c r="E50" s="97"/>
      <c r="F50" s="97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195" t="s">
        <v>180</v>
      </c>
      <c r="X50" s="196"/>
      <c r="Y50" s="15"/>
      <c r="Z50" s="7"/>
      <c r="AA50" s="176"/>
      <c r="AB50" s="91"/>
      <c r="AC50" s="91"/>
      <c r="AD50" s="193"/>
      <c r="AE50" s="193"/>
      <c r="AF50" s="193"/>
      <c r="AG50" s="193"/>
      <c r="AH50" s="193"/>
      <c r="AI50" s="193"/>
      <c r="AJ50" s="193"/>
      <c r="AK50" s="193"/>
      <c r="AL50" s="193"/>
      <c r="AM50" s="193"/>
      <c r="AN50" s="193"/>
      <c r="AO50" s="193"/>
      <c r="AP50" s="193"/>
      <c r="AQ50" s="193"/>
      <c r="AR50" s="193"/>
      <c r="AS50" s="193"/>
      <c r="AT50" s="193"/>
      <c r="AU50" s="193"/>
      <c r="AV50" s="15"/>
      <c r="AW50" s="197"/>
      <c r="AX50" s="44"/>
      <c r="AY50" s="15"/>
      <c r="AZ50" s="20"/>
      <c r="BA50" s="19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9"/>
      <c r="BN50" s="15"/>
      <c r="BO50" s="20"/>
      <c r="BP50" s="194"/>
      <c r="BQ50" s="194"/>
      <c r="BR50" s="194"/>
      <c r="BS50" s="15"/>
      <c r="BT50" s="15"/>
      <c r="BU50" s="15"/>
      <c r="BV50" s="15"/>
      <c r="BW50" s="15"/>
      <c r="BX50" s="15"/>
      <c r="BY50" s="15"/>
      <c r="BZ50" s="15"/>
      <c r="CA50" s="15"/>
      <c r="CB50" s="20"/>
      <c r="CC50" s="7"/>
      <c r="CD50" s="7"/>
      <c r="CE50" s="7"/>
      <c r="CF50" s="7"/>
      <c r="CG50" s="7"/>
      <c r="CH50" s="7"/>
      <c r="CI50" s="7"/>
      <c r="CJ50" s="7"/>
      <c r="CK50" s="7"/>
      <c r="CL50" s="7"/>
    </row>
    <row r="51" spans="1:95" ht="27" thickBot="1" x14ac:dyDescent="0.3">
      <c r="A51" s="96"/>
      <c r="B51" s="98"/>
      <c r="C51" s="98"/>
      <c r="D51" s="153"/>
      <c r="E51" s="98"/>
      <c r="F51" s="98"/>
      <c r="G51" s="153"/>
      <c r="H51" s="491" t="s">
        <v>220</v>
      </c>
      <c r="I51" s="492"/>
      <c r="J51" s="492"/>
      <c r="K51" s="492"/>
      <c r="L51" s="492"/>
      <c r="M51" s="492"/>
      <c r="N51" s="492"/>
      <c r="O51" s="492"/>
      <c r="P51" s="492"/>
      <c r="Q51" s="492"/>
      <c r="R51" s="492"/>
      <c r="S51" s="492"/>
      <c r="T51" s="492"/>
      <c r="U51" s="492"/>
      <c r="V51" s="493"/>
      <c r="W51" s="198"/>
      <c r="X51" s="62"/>
      <c r="Y51" s="15"/>
      <c r="Z51" s="7"/>
      <c r="AA51" s="176"/>
      <c r="AB51" s="91"/>
      <c r="AC51" s="91"/>
      <c r="AD51" s="193"/>
      <c r="AE51" s="193"/>
      <c r="AF51" s="193"/>
      <c r="AG51" s="193"/>
      <c r="AH51" s="193"/>
      <c r="AI51" s="193"/>
      <c r="AJ51" s="193"/>
      <c r="AK51" s="193"/>
      <c r="AL51" s="193"/>
      <c r="AM51" s="193"/>
      <c r="AN51" s="193"/>
      <c r="AO51" s="193"/>
      <c r="AP51" s="193"/>
      <c r="AQ51" s="193"/>
      <c r="AR51" s="193"/>
      <c r="AS51" s="193"/>
      <c r="AT51" s="193"/>
      <c r="AU51" s="193"/>
      <c r="AV51" s="15"/>
      <c r="AW51" s="98"/>
      <c r="AX51" s="44"/>
      <c r="AY51" s="15"/>
      <c r="AZ51" s="20"/>
      <c r="BA51" s="19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9"/>
      <c r="BN51" s="15"/>
      <c r="BO51" s="15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10"/>
      <c r="CC51" s="7"/>
      <c r="CD51" s="7"/>
      <c r="CE51" s="7"/>
      <c r="CF51" s="7"/>
      <c r="CG51" s="7"/>
      <c r="CH51" s="7"/>
      <c r="CI51" s="7"/>
      <c r="CJ51" s="7"/>
      <c r="CK51" s="7"/>
      <c r="CL51" s="7"/>
    </row>
    <row r="52" spans="1:95" ht="15.75" x14ac:dyDescent="0.25">
      <c r="A52" s="500" t="s">
        <v>221</v>
      </c>
      <c r="B52" s="501"/>
      <c r="C52" s="199"/>
      <c r="D52" s="199"/>
      <c r="E52" s="98"/>
      <c r="F52" s="98"/>
      <c r="G52" s="98"/>
      <c r="H52" s="494"/>
      <c r="I52" s="495"/>
      <c r="J52" s="495"/>
      <c r="K52" s="495"/>
      <c r="L52" s="495"/>
      <c r="M52" s="495"/>
      <c r="N52" s="495"/>
      <c r="O52" s="495"/>
      <c r="P52" s="495"/>
      <c r="Q52" s="495"/>
      <c r="R52" s="495"/>
      <c r="S52" s="495"/>
      <c r="T52" s="495"/>
      <c r="U52" s="495"/>
      <c r="V52" s="496"/>
      <c r="W52" s="198"/>
      <c r="X52" s="62"/>
      <c r="Y52" s="98"/>
      <c r="Z52" s="98"/>
      <c r="AA52" s="176"/>
      <c r="AB52" s="91"/>
      <c r="AC52" s="91"/>
      <c r="AD52" s="200"/>
      <c r="AE52" s="200"/>
      <c r="AF52" s="200"/>
      <c r="AG52" s="200"/>
      <c r="AH52" s="200"/>
      <c r="AI52" s="200"/>
      <c r="AJ52" s="200"/>
      <c r="AK52" s="200"/>
      <c r="AL52" s="200"/>
      <c r="AM52" s="200"/>
      <c r="AN52" s="200"/>
      <c r="AO52" s="200"/>
      <c r="AP52" s="200"/>
      <c r="AQ52" s="200"/>
      <c r="AR52" s="200"/>
      <c r="AS52" s="200"/>
      <c r="AT52" s="200"/>
      <c r="AU52" s="200"/>
      <c r="AV52" s="201"/>
      <c r="AW52" s="98"/>
      <c r="AX52" s="44"/>
      <c r="AY52" s="15"/>
      <c r="AZ52" s="20"/>
      <c r="BA52" s="19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9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20"/>
      <c r="CC52" s="7"/>
      <c r="CD52" s="7"/>
      <c r="CE52" s="7"/>
      <c r="CF52" s="7"/>
      <c r="CG52" s="7"/>
      <c r="CH52" s="7"/>
      <c r="CI52" s="7"/>
      <c r="CJ52" s="7"/>
      <c r="CK52" s="7"/>
      <c r="CL52" s="7"/>
    </row>
    <row r="53" spans="1:95" ht="30.75" thickBot="1" x14ac:dyDescent="0.45">
      <c r="A53" s="502"/>
      <c r="B53" s="503"/>
      <c r="C53" s="202"/>
      <c r="D53" s="202"/>
      <c r="E53" s="98"/>
      <c r="F53" s="98"/>
      <c r="G53" s="98"/>
      <c r="H53" s="497"/>
      <c r="I53" s="498"/>
      <c r="J53" s="498"/>
      <c r="K53" s="498"/>
      <c r="L53" s="498"/>
      <c r="M53" s="498"/>
      <c r="N53" s="498"/>
      <c r="O53" s="498"/>
      <c r="P53" s="498"/>
      <c r="Q53" s="498"/>
      <c r="R53" s="498"/>
      <c r="S53" s="498"/>
      <c r="T53" s="498"/>
      <c r="U53" s="498"/>
      <c r="V53" s="499"/>
      <c r="W53" s="203"/>
      <c r="X53" s="204"/>
      <c r="Y53" s="98"/>
      <c r="Z53" s="98"/>
      <c r="AA53" s="205"/>
      <c r="AB53" s="98"/>
      <c r="AC53" s="91"/>
      <c r="AD53" s="200"/>
      <c r="AE53" s="200"/>
      <c r="AF53" s="200"/>
      <c r="AG53" s="190"/>
      <c r="AH53" s="206"/>
      <c r="AI53" s="206"/>
      <c r="AJ53" s="207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208"/>
      <c r="AY53" s="15"/>
      <c r="AZ53" s="20"/>
      <c r="BA53" s="19"/>
      <c r="BB53" s="15"/>
      <c r="BC53" s="15"/>
      <c r="BD53" s="15"/>
      <c r="BE53" s="434" t="s">
        <v>205</v>
      </c>
      <c r="BF53" s="434"/>
      <c r="BG53" s="434"/>
      <c r="BH53" s="15"/>
      <c r="BI53" s="15"/>
      <c r="BJ53" s="15"/>
      <c r="BK53" s="15"/>
      <c r="BL53" s="15"/>
      <c r="BM53" s="19"/>
      <c r="BN53" s="434" t="s">
        <v>222</v>
      </c>
      <c r="BO53" s="434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20"/>
      <c r="CC53" s="7"/>
      <c r="CD53" s="7"/>
      <c r="CE53" s="7"/>
      <c r="CF53" s="7"/>
      <c r="CG53" s="7"/>
      <c r="CH53" s="7"/>
      <c r="CI53" s="7"/>
      <c r="CJ53" s="7"/>
      <c r="CK53" s="7"/>
      <c r="CL53" s="7"/>
    </row>
    <row r="54" spans="1:95" x14ac:dyDescent="0.25">
      <c r="A54" s="44"/>
      <c r="B54" s="17"/>
      <c r="C54" s="17"/>
      <c r="D54" s="17"/>
      <c r="E54" s="17"/>
      <c r="F54" s="471" t="s">
        <v>222</v>
      </c>
      <c r="G54" s="472"/>
      <c r="H54" s="473"/>
      <c r="I54" s="473"/>
      <c r="J54" s="473"/>
      <c r="K54" s="474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209"/>
      <c r="X54" s="209"/>
      <c r="Y54" s="209"/>
      <c r="Z54" s="209"/>
      <c r="AA54" s="209"/>
      <c r="AB54" s="209"/>
      <c r="AC54" s="209"/>
      <c r="AD54" s="479"/>
      <c r="AE54" s="479"/>
      <c r="AF54" s="479"/>
      <c r="AG54" s="479"/>
      <c r="AH54" s="17"/>
      <c r="AI54" s="17"/>
      <c r="AJ54" s="17"/>
      <c r="AK54" s="15"/>
      <c r="AL54" s="15"/>
      <c r="AM54" s="15"/>
      <c r="AN54" s="15"/>
      <c r="AO54" s="15"/>
      <c r="AP54" s="15"/>
      <c r="AQ54" s="15"/>
      <c r="AR54" s="17"/>
      <c r="AS54" s="17"/>
      <c r="AT54" s="17"/>
      <c r="AU54" s="17"/>
      <c r="AV54" s="27"/>
      <c r="AW54" s="210"/>
      <c r="AX54" s="44"/>
      <c r="AY54" s="15"/>
      <c r="AZ54" s="20"/>
      <c r="BA54" s="19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9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20"/>
      <c r="CC54" s="7"/>
      <c r="CD54" s="7"/>
      <c r="CE54" s="7"/>
      <c r="CF54" s="7"/>
      <c r="CG54" s="7"/>
      <c r="CH54" s="7"/>
      <c r="CI54" s="7"/>
      <c r="CJ54" s="7"/>
      <c r="CK54" s="7"/>
      <c r="CL54" s="7"/>
    </row>
    <row r="55" spans="1:95" x14ac:dyDescent="0.25">
      <c r="A55" s="44"/>
      <c r="B55" s="211"/>
      <c r="C55" s="211"/>
      <c r="D55" s="211"/>
      <c r="E55" s="211"/>
      <c r="F55" s="475"/>
      <c r="G55" s="473"/>
      <c r="H55" s="473"/>
      <c r="I55" s="473"/>
      <c r="J55" s="473"/>
      <c r="K55" s="474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480"/>
      <c r="AE55" s="480"/>
      <c r="AF55" s="480"/>
      <c r="AG55" s="480"/>
      <c r="AH55" s="17"/>
      <c r="AI55" s="17"/>
      <c r="AJ55" s="17"/>
      <c r="AK55" s="17"/>
      <c r="AL55" s="17"/>
      <c r="AM55" s="17"/>
      <c r="AN55" s="17"/>
      <c r="AO55" s="17"/>
      <c r="AP55" s="17"/>
      <c r="AQ55" s="212"/>
      <c r="AR55" s="17"/>
      <c r="AS55" s="17"/>
      <c r="AT55" s="17"/>
      <c r="AU55" s="17"/>
      <c r="AV55" s="17"/>
      <c r="AW55" s="17"/>
      <c r="AX55" s="44"/>
      <c r="AY55" s="15"/>
      <c r="AZ55" s="20"/>
      <c r="BA55" s="19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9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20"/>
      <c r="CC55" s="7"/>
      <c r="CD55" s="7"/>
      <c r="CE55" s="7"/>
      <c r="CF55" s="7"/>
      <c r="CG55" s="7"/>
      <c r="CH55" s="7"/>
      <c r="CI55" s="7"/>
      <c r="CJ55" s="7"/>
      <c r="CK55" s="7"/>
      <c r="CL55" s="7"/>
    </row>
    <row r="56" spans="1:95" x14ac:dyDescent="0.25">
      <c r="A56" s="44"/>
      <c r="B56" s="17"/>
      <c r="C56" s="17"/>
      <c r="D56" s="17"/>
      <c r="E56" s="17"/>
      <c r="F56" s="475"/>
      <c r="G56" s="473"/>
      <c r="H56" s="473"/>
      <c r="I56" s="473"/>
      <c r="J56" s="473"/>
      <c r="K56" s="474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44"/>
      <c r="AY56" s="15"/>
      <c r="AZ56" s="20"/>
      <c r="BA56" s="19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9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20"/>
      <c r="CC56" s="7"/>
      <c r="CD56" s="7"/>
      <c r="CE56" s="7"/>
      <c r="CF56" s="7"/>
      <c r="CG56" s="7"/>
      <c r="CH56" s="7"/>
      <c r="CI56" s="7"/>
      <c r="CJ56" s="7"/>
      <c r="CK56" s="7"/>
      <c r="CL56" s="7"/>
    </row>
    <row r="57" spans="1:95" ht="15.75" thickBot="1" x14ac:dyDescent="0.3">
      <c r="A57" s="213"/>
      <c r="B57" s="77"/>
      <c r="C57" s="77"/>
      <c r="D57" s="77"/>
      <c r="E57" s="77"/>
      <c r="F57" s="476"/>
      <c r="G57" s="477"/>
      <c r="H57" s="477"/>
      <c r="I57" s="477"/>
      <c r="J57" s="477"/>
      <c r="K57" s="478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213"/>
      <c r="AY57" s="43"/>
      <c r="AZ57" s="192"/>
      <c r="BA57" s="42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2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192"/>
      <c r="CC57" s="7"/>
      <c r="CD57" s="7"/>
      <c r="CE57" s="7"/>
      <c r="CF57" s="7"/>
      <c r="CG57" s="7"/>
      <c r="CH57" s="7"/>
      <c r="CI57" s="7"/>
      <c r="CJ57" s="7"/>
      <c r="CK57" s="7"/>
      <c r="CL57" s="7"/>
    </row>
    <row r="58" spans="1:95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</row>
    <row r="59" spans="1:95" x14ac:dyDescent="0.25">
      <c r="A59" s="214"/>
      <c r="B59" s="215"/>
      <c r="C59" s="15"/>
      <c r="D59" s="167"/>
      <c r="E59" s="167"/>
      <c r="F59" s="167"/>
      <c r="G59" s="167"/>
      <c r="H59" s="167"/>
      <c r="I59" s="167"/>
      <c r="J59" s="167"/>
      <c r="K59" s="167"/>
      <c r="L59" s="167"/>
      <c r="M59" s="216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67"/>
      <c r="AB59" s="217"/>
      <c r="AC59" s="217"/>
      <c r="AD59" s="217"/>
      <c r="AE59" s="217"/>
      <c r="AF59" s="217"/>
      <c r="AG59" s="167"/>
      <c r="AH59" s="167"/>
      <c r="AI59" s="167"/>
      <c r="AJ59" s="167"/>
      <c r="AK59" s="167"/>
      <c r="AL59" s="167"/>
      <c r="AM59" s="167"/>
      <c r="AN59" s="167"/>
      <c r="AO59" s="167"/>
      <c r="AP59" s="167"/>
      <c r="AQ59" s="167"/>
      <c r="AR59" s="167"/>
      <c r="AS59" s="167"/>
      <c r="AT59" s="167"/>
      <c r="AU59" s="167"/>
      <c r="AV59" s="167"/>
      <c r="AW59" s="167"/>
      <c r="AX59" s="167"/>
      <c r="AY59" s="167"/>
      <c r="AZ59" s="167"/>
      <c r="BA59" s="167"/>
      <c r="BB59" s="167"/>
      <c r="BC59" s="167"/>
      <c r="BD59" s="167"/>
      <c r="BE59" s="167"/>
      <c r="BF59" s="167"/>
      <c r="BG59" s="167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7"/>
      <c r="BS59" s="167"/>
      <c r="BT59" s="167"/>
      <c r="BU59" s="167"/>
      <c r="BV59" s="167"/>
      <c r="BW59" s="167"/>
      <c r="BX59" s="167"/>
      <c r="BY59" s="167"/>
      <c r="BZ59" s="167"/>
      <c r="CA59" s="167"/>
      <c r="CB59" s="16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</row>
    <row r="60" spans="1:95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186"/>
      <c r="CK60" s="186"/>
      <c r="CL60" s="186"/>
      <c r="CM60" s="7"/>
      <c r="CN60" s="7"/>
      <c r="CO60" s="7"/>
      <c r="CP60" s="7"/>
      <c r="CQ60" s="7"/>
    </row>
    <row r="61" spans="1:95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186"/>
      <c r="CK61" s="186"/>
      <c r="CL61" s="186"/>
      <c r="CM61" s="7"/>
      <c r="CN61" s="7"/>
      <c r="CO61" s="7"/>
      <c r="CP61" s="7"/>
      <c r="CQ61" s="7"/>
    </row>
    <row r="72" spans="1:17" ht="15.75" thickBot="1" x14ac:dyDescent="0.3"/>
    <row r="73" spans="1:17" ht="24" thickBot="1" x14ac:dyDescent="0.3">
      <c r="A73" s="504" t="s">
        <v>223</v>
      </c>
      <c r="B73" s="505"/>
      <c r="C73" s="505"/>
      <c r="D73" s="505"/>
      <c r="E73" s="505"/>
      <c r="F73" s="505"/>
      <c r="G73" s="505"/>
      <c r="H73" s="505"/>
      <c r="I73" s="506"/>
      <c r="J73" s="507">
        <f>SUM(F81,O81,F184,O184)</f>
        <v>156</v>
      </c>
      <c r="K73" s="508"/>
      <c r="L73" s="508"/>
      <c r="M73" s="509"/>
      <c r="N73" s="218"/>
      <c r="O73" s="218"/>
      <c r="P73" s="218"/>
      <c r="Q73" s="218"/>
    </row>
    <row r="74" spans="1:17" ht="23.25" x14ac:dyDescent="0.25">
      <c r="A74" s="219" t="s">
        <v>224</v>
      </c>
      <c r="B74" s="220"/>
      <c r="C74" s="220"/>
      <c r="D74" s="220"/>
      <c r="E74" s="220"/>
      <c r="F74" s="220"/>
      <c r="G74" s="220"/>
      <c r="H74" s="220"/>
      <c r="I74" s="220"/>
      <c r="J74" s="221"/>
      <c r="K74" s="221"/>
      <c r="L74" s="221"/>
      <c r="M74" s="221"/>
      <c r="N74" s="218"/>
      <c r="O74" s="218"/>
      <c r="P74" s="218"/>
      <c r="Q74" s="218"/>
    </row>
    <row r="75" spans="1:17" x14ac:dyDescent="0.25">
      <c r="A75" s="218"/>
      <c r="B75" s="218"/>
      <c r="C75" s="218"/>
      <c r="D75" s="218"/>
      <c r="E75" s="218"/>
      <c r="F75" s="218"/>
      <c r="G75" s="218"/>
      <c r="H75" s="218"/>
      <c r="I75" s="218"/>
      <c r="K75" s="218"/>
      <c r="L75" s="218"/>
      <c r="M75" s="222"/>
      <c r="N75" s="218"/>
      <c r="O75" s="218"/>
      <c r="P75" s="218"/>
      <c r="Q75" s="218"/>
    </row>
    <row r="76" spans="1:17" x14ac:dyDescent="0.25">
      <c r="K76" s="218"/>
      <c r="L76" s="223"/>
      <c r="M76" s="224"/>
      <c r="N76" s="218"/>
      <c r="O76" s="218"/>
      <c r="P76" s="218"/>
      <c r="Q76" s="218"/>
    </row>
    <row r="77" spans="1:17" ht="33.75" x14ac:dyDescent="0.25">
      <c r="A77" s="510" t="s">
        <v>225</v>
      </c>
      <c r="B77" s="510"/>
      <c r="C77" s="510"/>
      <c r="D77" s="510"/>
      <c r="E77" s="510"/>
      <c r="F77" s="510"/>
      <c r="G77" s="510"/>
      <c r="H77" s="510"/>
      <c r="I77" s="510"/>
      <c r="J77" s="510"/>
      <c r="K77" s="510"/>
      <c r="L77" s="510"/>
      <c r="M77" s="510"/>
      <c r="N77" s="510"/>
      <c r="O77" s="510"/>
      <c r="P77" s="510"/>
      <c r="Q77" s="510"/>
    </row>
    <row r="78" spans="1:17" ht="34.5" thickBot="1" x14ac:dyDescent="0.3">
      <c r="A78" s="225"/>
      <c r="B78" s="225"/>
      <c r="C78" s="225"/>
      <c r="D78" s="225"/>
      <c r="E78" s="225"/>
      <c r="F78" s="225"/>
      <c r="G78" s="225"/>
      <c r="H78" s="225"/>
      <c r="I78" s="225"/>
      <c r="J78" s="225"/>
      <c r="K78" s="225"/>
      <c r="L78" s="225"/>
      <c r="M78" s="225"/>
      <c r="N78" s="225"/>
      <c r="O78" s="225"/>
      <c r="P78" s="225"/>
      <c r="Q78" s="225"/>
    </row>
    <row r="79" spans="1:17" ht="34.5" thickBot="1" x14ac:dyDescent="0.3">
      <c r="A79" s="225"/>
      <c r="B79" s="225"/>
      <c r="C79" s="225"/>
      <c r="D79" s="225"/>
      <c r="E79" s="511" t="s">
        <v>226</v>
      </c>
      <c r="F79" s="512"/>
      <c r="G79" s="512"/>
      <c r="H79" s="512"/>
      <c r="I79" s="513"/>
      <c r="J79" s="514">
        <f>SUM(F81,O81)</f>
        <v>54</v>
      </c>
      <c r="K79" s="515"/>
      <c r="L79" s="225"/>
      <c r="M79" s="225"/>
      <c r="N79" s="225"/>
      <c r="O79" s="225"/>
      <c r="P79" s="225"/>
      <c r="Q79" s="225"/>
    </row>
    <row r="80" spans="1:17" ht="32.25" thickBot="1" x14ac:dyDescent="0.3">
      <c r="A80" s="226"/>
      <c r="B80" s="226"/>
      <c r="C80" s="226"/>
      <c r="D80" s="226"/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</row>
    <row r="81" spans="1:17" ht="21.75" thickBot="1" x14ac:dyDescent="0.4">
      <c r="A81" s="516" t="s">
        <v>227</v>
      </c>
      <c r="B81" s="517"/>
      <c r="C81" s="517"/>
      <c r="D81" s="517"/>
      <c r="E81" s="518"/>
      <c r="F81" s="514">
        <f>G173</f>
        <v>42</v>
      </c>
      <c r="G81" s="515"/>
      <c r="H81" s="218"/>
      <c r="I81" s="218"/>
      <c r="J81" s="516" t="s">
        <v>228</v>
      </c>
      <c r="K81" s="517"/>
      <c r="L81" s="517"/>
      <c r="M81" s="517"/>
      <c r="N81" s="518"/>
      <c r="O81" s="514">
        <f>P173</f>
        <v>12</v>
      </c>
      <c r="P81" s="515"/>
      <c r="Q81" s="218"/>
    </row>
    <row r="84" spans="1:17" ht="15.75" thickBot="1" x14ac:dyDescent="0.3"/>
    <row r="85" spans="1:17" ht="16.5" thickBot="1" x14ac:dyDescent="0.3">
      <c r="A85" s="523" t="s">
        <v>229</v>
      </c>
      <c r="B85" s="524"/>
      <c r="C85" s="524"/>
      <c r="D85" s="524"/>
      <c r="E85" s="524"/>
      <c r="F85" s="525"/>
      <c r="G85" s="227" t="s">
        <v>230</v>
      </c>
      <c r="J85" s="523" t="s">
        <v>229</v>
      </c>
      <c r="K85" s="524"/>
      <c r="L85" s="524"/>
      <c r="M85" s="524"/>
      <c r="N85" s="524"/>
      <c r="O85" s="525"/>
      <c r="P85" s="227" t="s">
        <v>230</v>
      </c>
      <c r="Q85" s="228" t="s">
        <v>231</v>
      </c>
    </row>
    <row r="86" spans="1:17" ht="23.25" x14ac:dyDescent="0.25">
      <c r="A86" s="519" t="s">
        <v>22</v>
      </c>
      <c r="B86" s="520"/>
      <c r="C86" s="520"/>
      <c r="D86" s="231" t="s">
        <v>232</v>
      </c>
      <c r="E86" s="232"/>
      <c r="F86" s="233" t="s">
        <v>23</v>
      </c>
      <c r="G86" s="234">
        <f>COUNTIF($AB$13:$AW$54,F86)</f>
        <v>3</v>
      </c>
      <c r="J86" s="519" t="s">
        <v>22</v>
      </c>
      <c r="K86" s="520"/>
      <c r="L86" s="520"/>
      <c r="M86" s="231" t="s">
        <v>232</v>
      </c>
      <c r="N86" s="232"/>
      <c r="O86" s="233" t="s">
        <v>23</v>
      </c>
      <c r="P86" s="234">
        <f>COUNTIF($A$2:$AA$53,O86)</f>
        <v>0</v>
      </c>
      <c r="Q86" s="235">
        <f t="shared" ref="Q86:Q172" si="0">G86+P86</f>
        <v>3</v>
      </c>
    </row>
    <row r="87" spans="1:17" ht="23.25" x14ac:dyDescent="0.25">
      <c r="A87" s="519" t="s">
        <v>60</v>
      </c>
      <c r="B87" s="520"/>
      <c r="C87" s="520"/>
      <c r="D87" s="231" t="s">
        <v>232</v>
      </c>
      <c r="E87" s="232"/>
      <c r="F87" s="236" t="s">
        <v>61</v>
      </c>
      <c r="G87" s="234">
        <f>COUNTIF($AB$13:$AW$54,F87)</f>
        <v>0</v>
      </c>
      <c r="J87" s="519" t="s">
        <v>60</v>
      </c>
      <c r="K87" s="520"/>
      <c r="L87" s="520"/>
      <c r="M87" s="231" t="s">
        <v>232</v>
      </c>
      <c r="N87" s="232"/>
      <c r="O87" s="236" t="s">
        <v>61</v>
      </c>
      <c r="P87" s="234">
        <f t="shared" ref="P87:P88" si="1">COUNTIF($A$2:$AA$53,O87)</f>
        <v>0</v>
      </c>
      <c r="Q87" s="235">
        <f t="shared" si="0"/>
        <v>0</v>
      </c>
    </row>
    <row r="88" spans="1:17" ht="23.25" x14ac:dyDescent="0.25">
      <c r="A88" s="519" t="s">
        <v>24</v>
      </c>
      <c r="B88" s="520"/>
      <c r="C88" s="520"/>
      <c r="D88" s="231" t="s">
        <v>232</v>
      </c>
      <c r="E88" s="232"/>
      <c r="F88" s="237" t="s">
        <v>25</v>
      </c>
      <c r="G88" s="234">
        <f>COUNTIF($AB$13:AW$54,F88)</f>
        <v>3</v>
      </c>
      <c r="J88" s="519" t="s">
        <v>24</v>
      </c>
      <c r="K88" s="520"/>
      <c r="L88" s="520"/>
      <c r="M88" s="231" t="s">
        <v>232</v>
      </c>
      <c r="N88" s="232"/>
      <c r="O88" s="237" t="s">
        <v>25</v>
      </c>
      <c r="P88" s="234">
        <f t="shared" si="1"/>
        <v>0</v>
      </c>
      <c r="Q88" s="235">
        <f t="shared" si="0"/>
        <v>3</v>
      </c>
    </row>
    <row r="89" spans="1:17" ht="18" x14ac:dyDescent="0.25">
      <c r="A89" s="521"/>
      <c r="B89" s="522"/>
      <c r="C89" s="522"/>
      <c r="D89" s="238"/>
      <c r="E89" s="239"/>
      <c r="F89" s="240"/>
      <c r="G89" s="241"/>
      <c r="J89" s="521"/>
      <c r="K89" s="522"/>
      <c r="L89" s="522"/>
      <c r="M89" s="238"/>
      <c r="N89" s="239"/>
      <c r="O89" s="240"/>
      <c r="P89" s="241"/>
      <c r="Q89" s="242"/>
    </row>
    <row r="90" spans="1:17" ht="23.25" x14ac:dyDescent="0.25">
      <c r="A90" s="519" t="s">
        <v>26</v>
      </c>
      <c r="B90" s="520"/>
      <c r="C90" s="520"/>
      <c r="D90" s="231" t="s">
        <v>233</v>
      </c>
      <c r="E90" s="232"/>
      <c r="F90" s="243" t="s">
        <v>27</v>
      </c>
      <c r="G90" s="234">
        <f>COUNTIF($AC$13:$AW$53,F90)</f>
        <v>4</v>
      </c>
      <c r="J90" s="519" t="s">
        <v>26</v>
      </c>
      <c r="K90" s="520"/>
      <c r="L90" s="520"/>
      <c r="M90" s="231" t="s">
        <v>233</v>
      </c>
      <c r="N90" s="232"/>
      <c r="O90" s="243" t="s">
        <v>27</v>
      </c>
      <c r="P90" s="234">
        <f t="shared" ref="P90:P92" si="2">COUNTIF($A$2:$AA$53,O90)</f>
        <v>0</v>
      </c>
      <c r="Q90" s="235">
        <f t="shared" ref="Q90:Q92" si="3">G90+P90</f>
        <v>4</v>
      </c>
    </row>
    <row r="91" spans="1:17" ht="23.25" x14ac:dyDescent="0.25">
      <c r="A91" s="519" t="s">
        <v>62</v>
      </c>
      <c r="B91" s="520"/>
      <c r="C91" s="520"/>
      <c r="D91" s="231" t="s">
        <v>234</v>
      </c>
      <c r="E91" s="232"/>
      <c r="F91" s="244" t="s">
        <v>63</v>
      </c>
      <c r="G91" s="234">
        <f>COUNTIF($AB$13:$AW$54,F91)</f>
        <v>0</v>
      </c>
      <c r="J91" s="519" t="s">
        <v>62</v>
      </c>
      <c r="K91" s="520"/>
      <c r="L91" s="520"/>
      <c r="M91" s="231" t="s">
        <v>234</v>
      </c>
      <c r="N91" s="232"/>
      <c r="O91" s="244" t="s">
        <v>63</v>
      </c>
      <c r="P91" s="234">
        <f t="shared" si="2"/>
        <v>0</v>
      </c>
      <c r="Q91" s="235">
        <f t="shared" si="3"/>
        <v>0</v>
      </c>
    </row>
    <row r="92" spans="1:17" ht="23.25" x14ac:dyDescent="0.25">
      <c r="A92" s="519" t="s">
        <v>64</v>
      </c>
      <c r="B92" s="520"/>
      <c r="C92" s="520"/>
      <c r="D92" s="231" t="s">
        <v>232</v>
      </c>
      <c r="E92" s="232"/>
      <c r="F92" s="245" t="s">
        <v>65</v>
      </c>
      <c r="G92" s="234">
        <f>COUNTIF($AB$13:$AW$54,F92)</f>
        <v>0</v>
      </c>
      <c r="J92" s="519" t="s">
        <v>64</v>
      </c>
      <c r="K92" s="520"/>
      <c r="L92" s="520"/>
      <c r="M92" s="231" t="s">
        <v>232</v>
      </c>
      <c r="N92" s="232"/>
      <c r="O92" s="245" t="s">
        <v>65</v>
      </c>
      <c r="P92" s="234">
        <f t="shared" si="2"/>
        <v>0</v>
      </c>
      <c r="Q92" s="235">
        <f t="shared" si="3"/>
        <v>0</v>
      </c>
    </row>
    <row r="93" spans="1:17" ht="18" x14ac:dyDescent="0.25">
      <c r="A93" s="521"/>
      <c r="B93" s="522"/>
      <c r="C93" s="522"/>
      <c r="D93" s="238"/>
      <c r="E93" s="239"/>
      <c r="F93" s="240"/>
      <c r="G93" s="241"/>
      <c r="J93" s="521"/>
      <c r="K93" s="522"/>
      <c r="L93" s="522"/>
      <c r="M93" s="238"/>
      <c r="N93" s="239"/>
      <c r="O93" s="240"/>
      <c r="P93" s="241"/>
      <c r="Q93" s="242"/>
    </row>
    <row r="94" spans="1:17" ht="23.25" x14ac:dyDescent="0.25">
      <c r="A94" s="519" t="s">
        <v>105</v>
      </c>
      <c r="B94" s="520"/>
      <c r="C94" s="520"/>
      <c r="D94" s="231" t="s">
        <v>235</v>
      </c>
      <c r="E94" s="232"/>
      <c r="F94" s="246" t="s">
        <v>104</v>
      </c>
      <c r="G94" s="234">
        <f t="shared" ref="G94:G97" si="4">COUNTIF($A$2,F94)</f>
        <v>0</v>
      </c>
      <c r="J94" s="519" t="s">
        <v>105</v>
      </c>
      <c r="K94" s="520"/>
      <c r="L94" s="520"/>
      <c r="M94" s="231" t="s">
        <v>235</v>
      </c>
      <c r="N94" s="232"/>
      <c r="O94" s="246" t="s">
        <v>104</v>
      </c>
      <c r="P94" s="234">
        <f t="shared" ref="P94:P97" si="5">COUNTIF($A$2:$AA$53,O94)</f>
        <v>0</v>
      </c>
      <c r="Q94" s="235">
        <f t="shared" ref="Q94:Q97" si="6">G94+P94</f>
        <v>0</v>
      </c>
    </row>
    <row r="95" spans="1:17" ht="23.25" x14ac:dyDescent="0.25">
      <c r="A95" s="519" t="s">
        <v>78</v>
      </c>
      <c r="B95" s="520"/>
      <c r="C95" s="520"/>
      <c r="D95" s="231" t="s">
        <v>235</v>
      </c>
      <c r="E95" s="232"/>
      <c r="F95" s="247" t="s">
        <v>77</v>
      </c>
      <c r="G95" s="234">
        <f t="shared" si="4"/>
        <v>0</v>
      </c>
      <c r="J95" s="519" t="s">
        <v>78</v>
      </c>
      <c r="K95" s="520"/>
      <c r="L95" s="520"/>
      <c r="M95" s="231" t="s">
        <v>235</v>
      </c>
      <c r="N95" s="232"/>
      <c r="O95" s="247" t="s">
        <v>77</v>
      </c>
      <c r="P95" s="234">
        <f t="shared" si="5"/>
        <v>0</v>
      </c>
      <c r="Q95" s="235">
        <f t="shared" si="6"/>
        <v>0</v>
      </c>
    </row>
    <row r="96" spans="1:17" ht="23.25" x14ac:dyDescent="0.25">
      <c r="A96" s="519" t="s">
        <v>79</v>
      </c>
      <c r="B96" s="520"/>
      <c r="C96" s="520"/>
      <c r="D96" s="231" t="s">
        <v>235</v>
      </c>
      <c r="E96" s="232"/>
      <c r="F96" s="248" t="s">
        <v>76</v>
      </c>
      <c r="G96" s="234">
        <f t="shared" si="4"/>
        <v>0</v>
      </c>
      <c r="J96" s="519" t="s">
        <v>79</v>
      </c>
      <c r="K96" s="520"/>
      <c r="L96" s="520"/>
      <c r="M96" s="231" t="s">
        <v>235</v>
      </c>
      <c r="N96" s="232"/>
      <c r="O96" s="248" t="s">
        <v>76</v>
      </c>
      <c r="P96" s="234">
        <f t="shared" si="5"/>
        <v>0</v>
      </c>
      <c r="Q96" s="235">
        <f t="shared" si="6"/>
        <v>0</v>
      </c>
    </row>
    <row r="97" spans="1:17" ht="23.25" x14ac:dyDescent="0.25">
      <c r="A97" s="519" t="s">
        <v>140</v>
      </c>
      <c r="B97" s="520"/>
      <c r="C97" s="520"/>
      <c r="D97" s="231" t="s">
        <v>235</v>
      </c>
      <c r="E97" s="232"/>
      <c r="F97" s="249" t="s">
        <v>106</v>
      </c>
      <c r="G97" s="234">
        <f t="shared" si="4"/>
        <v>0</v>
      </c>
      <c r="J97" s="519" t="s">
        <v>140</v>
      </c>
      <c r="K97" s="520"/>
      <c r="L97" s="520"/>
      <c r="M97" s="231" t="s">
        <v>235</v>
      </c>
      <c r="N97" s="232"/>
      <c r="O97" s="249" t="s">
        <v>106</v>
      </c>
      <c r="P97" s="234">
        <f t="shared" si="5"/>
        <v>0</v>
      </c>
      <c r="Q97" s="235">
        <f t="shared" si="6"/>
        <v>0</v>
      </c>
    </row>
    <row r="98" spans="1:17" ht="18" x14ac:dyDescent="0.25">
      <c r="A98" s="521"/>
      <c r="B98" s="522"/>
      <c r="C98" s="522"/>
      <c r="D98" s="238"/>
      <c r="E98" s="239"/>
      <c r="F98" s="240"/>
      <c r="G98" s="241"/>
      <c r="J98" s="521"/>
      <c r="K98" s="522"/>
      <c r="L98" s="522"/>
      <c r="M98" s="238"/>
      <c r="N98" s="239"/>
      <c r="O98" s="240"/>
      <c r="P98" s="241"/>
      <c r="Q98" s="242"/>
    </row>
    <row r="99" spans="1:17" ht="23.25" x14ac:dyDescent="0.25">
      <c r="A99" s="519" t="s">
        <v>108</v>
      </c>
      <c r="B99" s="520"/>
      <c r="C99" s="520"/>
      <c r="D99" s="231"/>
      <c r="E99" s="232"/>
      <c r="F99" s="250" t="s">
        <v>107</v>
      </c>
      <c r="G99" s="234">
        <f t="shared" ref="G99:G112" si="7">COUNTIF($A$2,F99)</f>
        <v>0</v>
      </c>
      <c r="J99" s="519" t="s">
        <v>108</v>
      </c>
      <c r="K99" s="520"/>
      <c r="L99" s="520"/>
      <c r="M99" s="231"/>
      <c r="N99" s="232"/>
      <c r="O99" s="250" t="s">
        <v>107</v>
      </c>
      <c r="P99" s="234">
        <f t="shared" ref="P99:P112" si="8">COUNTIF($A$2:$AA$53,O99)</f>
        <v>0</v>
      </c>
      <c r="Q99" s="235">
        <f t="shared" ref="Q99:Q112" si="9">G99+P99</f>
        <v>0</v>
      </c>
    </row>
    <row r="100" spans="1:17" ht="23.25" x14ac:dyDescent="0.25">
      <c r="A100" s="519" t="s">
        <v>81</v>
      </c>
      <c r="B100" s="526"/>
      <c r="C100" s="526"/>
      <c r="D100" s="231" t="s">
        <v>234</v>
      </c>
      <c r="E100" s="232"/>
      <c r="F100" s="251" t="s">
        <v>80</v>
      </c>
      <c r="G100" s="234">
        <f t="shared" si="7"/>
        <v>0</v>
      </c>
      <c r="J100" s="519" t="s">
        <v>81</v>
      </c>
      <c r="K100" s="526"/>
      <c r="L100" s="526"/>
      <c r="M100" s="231" t="s">
        <v>234</v>
      </c>
      <c r="N100" s="232"/>
      <c r="O100" s="251" t="s">
        <v>80</v>
      </c>
      <c r="P100" s="234">
        <f t="shared" si="8"/>
        <v>0</v>
      </c>
      <c r="Q100" s="235">
        <f t="shared" si="9"/>
        <v>0</v>
      </c>
    </row>
    <row r="101" spans="1:17" ht="23.25" x14ac:dyDescent="0.25">
      <c r="A101" s="519" t="s">
        <v>132</v>
      </c>
      <c r="B101" s="526"/>
      <c r="C101" s="526"/>
      <c r="D101" s="231" t="s">
        <v>236</v>
      </c>
      <c r="E101" s="232"/>
      <c r="F101" s="173" t="s">
        <v>133</v>
      </c>
      <c r="G101" s="234">
        <f>COUNTIF($AB$2:$AW$53,F101)</f>
        <v>4</v>
      </c>
      <c r="J101" s="519" t="s">
        <v>132</v>
      </c>
      <c r="K101" s="526"/>
      <c r="L101" s="526"/>
      <c r="M101" s="231" t="s">
        <v>236</v>
      </c>
      <c r="N101" s="232"/>
      <c r="O101" s="173" t="s">
        <v>133</v>
      </c>
      <c r="P101" s="234">
        <f t="shared" si="8"/>
        <v>0</v>
      </c>
      <c r="Q101" s="235">
        <f t="shared" si="9"/>
        <v>4</v>
      </c>
    </row>
    <row r="102" spans="1:17" ht="23.25" x14ac:dyDescent="0.25">
      <c r="A102" s="519" t="s">
        <v>141</v>
      </c>
      <c r="B102" s="526"/>
      <c r="C102" s="526"/>
      <c r="D102" s="231"/>
      <c r="E102" s="232"/>
      <c r="F102" s="252" t="s">
        <v>142</v>
      </c>
      <c r="G102" s="234">
        <f t="shared" si="7"/>
        <v>0</v>
      </c>
      <c r="J102" s="519" t="s">
        <v>141</v>
      </c>
      <c r="K102" s="526"/>
      <c r="L102" s="526"/>
      <c r="M102" s="231"/>
      <c r="N102" s="232"/>
      <c r="O102" s="252" t="s">
        <v>142</v>
      </c>
      <c r="P102" s="234">
        <f t="shared" si="8"/>
        <v>0</v>
      </c>
      <c r="Q102" s="235">
        <f t="shared" si="9"/>
        <v>0</v>
      </c>
    </row>
    <row r="103" spans="1:17" ht="23.25" x14ac:dyDescent="0.25">
      <c r="A103" s="519" t="s">
        <v>143</v>
      </c>
      <c r="B103" s="526"/>
      <c r="C103" s="526"/>
      <c r="D103" s="231"/>
      <c r="E103" s="232"/>
      <c r="F103" s="253" t="s">
        <v>144</v>
      </c>
      <c r="G103" s="234">
        <f t="shared" si="7"/>
        <v>0</v>
      </c>
      <c r="J103" s="519" t="s">
        <v>143</v>
      </c>
      <c r="K103" s="526"/>
      <c r="L103" s="526"/>
      <c r="M103" s="231"/>
      <c r="N103" s="232"/>
      <c r="O103" s="253" t="s">
        <v>144</v>
      </c>
      <c r="P103" s="234">
        <f t="shared" si="8"/>
        <v>0</v>
      </c>
      <c r="Q103" s="235">
        <f t="shared" si="9"/>
        <v>0</v>
      </c>
    </row>
    <row r="104" spans="1:17" ht="23.25" x14ac:dyDescent="0.25">
      <c r="A104" s="519" t="s">
        <v>145</v>
      </c>
      <c r="B104" s="526"/>
      <c r="C104" s="526"/>
      <c r="D104" s="231"/>
      <c r="E104" s="232"/>
      <c r="F104" s="254" t="s">
        <v>146</v>
      </c>
      <c r="G104" s="234">
        <f t="shared" si="7"/>
        <v>0</v>
      </c>
      <c r="J104" s="519" t="s">
        <v>145</v>
      </c>
      <c r="K104" s="526"/>
      <c r="L104" s="526"/>
      <c r="M104" s="231"/>
      <c r="N104" s="232"/>
      <c r="O104" s="254" t="s">
        <v>146</v>
      </c>
      <c r="P104" s="234">
        <f t="shared" si="8"/>
        <v>0</v>
      </c>
      <c r="Q104" s="235">
        <f t="shared" si="9"/>
        <v>0</v>
      </c>
    </row>
    <row r="105" spans="1:17" ht="23.25" x14ac:dyDescent="0.25">
      <c r="A105" s="519" t="s">
        <v>147</v>
      </c>
      <c r="B105" s="526"/>
      <c r="C105" s="526"/>
      <c r="D105" s="231"/>
      <c r="E105" s="232"/>
      <c r="F105" s="255" t="s">
        <v>138</v>
      </c>
      <c r="G105" s="234">
        <f t="shared" si="7"/>
        <v>0</v>
      </c>
      <c r="J105" s="519" t="s">
        <v>147</v>
      </c>
      <c r="K105" s="526"/>
      <c r="L105" s="526"/>
      <c r="M105" s="231"/>
      <c r="N105" s="232"/>
      <c r="O105" s="255" t="s">
        <v>138</v>
      </c>
      <c r="P105" s="234">
        <f t="shared" si="8"/>
        <v>0</v>
      </c>
      <c r="Q105" s="235">
        <f t="shared" si="9"/>
        <v>0</v>
      </c>
    </row>
    <row r="106" spans="1:17" ht="23.25" x14ac:dyDescent="0.25">
      <c r="A106" s="519" t="s">
        <v>148</v>
      </c>
      <c r="B106" s="526"/>
      <c r="C106" s="526"/>
      <c r="D106" s="231" t="s">
        <v>236</v>
      </c>
      <c r="E106" s="232"/>
      <c r="F106" s="256" t="s">
        <v>109</v>
      </c>
      <c r="G106" s="234">
        <f t="shared" si="7"/>
        <v>0</v>
      </c>
      <c r="J106" s="519" t="s">
        <v>148</v>
      </c>
      <c r="K106" s="526"/>
      <c r="L106" s="526"/>
      <c r="M106" s="231" t="s">
        <v>236</v>
      </c>
      <c r="N106" s="232"/>
      <c r="O106" s="256" t="s">
        <v>109</v>
      </c>
      <c r="P106" s="234">
        <f t="shared" si="8"/>
        <v>0</v>
      </c>
      <c r="Q106" s="235">
        <f t="shared" si="9"/>
        <v>0</v>
      </c>
    </row>
    <row r="107" spans="1:17" ht="23.25" x14ac:dyDescent="0.25">
      <c r="A107" s="519" t="s">
        <v>149</v>
      </c>
      <c r="B107" s="526"/>
      <c r="C107" s="526"/>
      <c r="D107" s="231"/>
      <c r="E107" s="232"/>
      <c r="F107" s="257" t="s">
        <v>139</v>
      </c>
      <c r="G107" s="234">
        <f t="shared" si="7"/>
        <v>0</v>
      </c>
      <c r="J107" s="519" t="s">
        <v>149</v>
      </c>
      <c r="K107" s="526"/>
      <c r="L107" s="526"/>
      <c r="M107" s="231"/>
      <c r="N107" s="232"/>
      <c r="O107" s="257" t="s">
        <v>139</v>
      </c>
      <c r="P107" s="234">
        <f t="shared" si="8"/>
        <v>0</v>
      </c>
      <c r="Q107" s="235">
        <f t="shared" si="9"/>
        <v>0</v>
      </c>
    </row>
    <row r="108" spans="1:17" ht="23.25" x14ac:dyDescent="0.25">
      <c r="A108" s="519" t="s">
        <v>83</v>
      </c>
      <c r="B108" s="526"/>
      <c r="C108" s="526"/>
      <c r="D108" s="231" t="s">
        <v>232</v>
      </c>
      <c r="E108" s="232"/>
      <c r="F108" s="258" t="s">
        <v>82</v>
      </c>
      <c r="G108" s="234">
        <f t="shared" si="7"/>
        <v>0</v>
      </c>
      <c r="J108" s="519" t="s">
        <v>83</v>
      </c>
      <c r="K108" s="526"/>
      <c r="L108" s="526"/>
      <c r="M108" s="231" t="s">
        <v>232</v>
      </c>
      <c r="N108" s="232"/>
      <c r="O108" s="258" t="s">
        <v>82</v>
      </c>
      <c r="P108" s="234">
        <f t="shared" si="8"/>
        <v>0</v>
      </c>
      <c r="Q108" s="235">
        <f t="shared" si="9"/>
        <v>0</v>
      </c>
    </row>
    <row r="109" spans="1:17" ht="23.25" x14ac:dyDescent="0.25">
      <c r="A109" s="519" t="s">
        <v>150</v>
      </c>
      <c r="B109" s="526"/>
      <c r="C109" s="526"/>
      <c r="D109" s="231"/>
      <c r="E109" s="232"/>
      <c r="F109" s="259" t="s">
        <v>151</v>
      </c>
      <c r="G109" s="234">
        <f t="shared" si="7"/>
        <v>0</v>
      </c>
      <c r="J109" s="519" t="s">
        <v>150</v>
      </c>
      <c r="K109" s="526"/>
      <c r="L109" s="526"/>
      <c r="M109" s="231"/>
      <c r="N109" s="232"/>
      <c r="O109" s="259" t="s">
        <v>151</v>
      </c>
      <c r="P109" s="234">
        <f t="shared" si="8"/>
        <v>0</v>
      </c>
      <c r="Q109" s="235">
        <f t="shared" si="9"/>
        <v>0</v>
      </c>
    </row>
    <row r="110" spans="1:17" ht="23.25" x14ac:dyDescent="0.25">
      <c r="A110" s="519" t="s">
        <v>111</v>
      </c>
      <c r="B110" s="526"/>
      <c r="C110" s="526"/>
      <c r="D110" s="231"/>
      <c r="E110" s="232"/>
      <c r="F110" s="260" t="s">
        <v>110</v>
      </c>
      <c r="G110" s="234">
        <f t="shared" si="7"/>
        <v>0</v>
      </c>
      <c r="J110" s="519" t="s">
        <v>111</v>
      </c>
      <c r="K110" s="526"/>
      <c r="L110" s="526"/>
      <c r="M110" s="231"/>
      <c r="N110" s="232"/>
      <c r="O110" s="260" t="s">
        <v>110</v>
      </c>
      <c r="P110" s="234">
        <f t="shared" si="8"/>
        <v>0</v>
      </c>
      <c r="Q110" s="235">
        <f t="shared" si="9"/>
        <v>0</v>
      </c>
    </row>
    <row r="111" spans="1:17" ht="23.25" x14ac:dyDescent="0.25">
      <c r="A111" s="519" t="s">
        <v>152</v>
      </c>
      <c r="B111" s="526"/>
      <c r="C111" s="526"/>
      <c r="D111" s="231" t="s">
        <v>236</v>
      </c>
      <c r="E111" s="232"/>
      <c r="F111" s="261" t="s">
        <v>123</v>
      </c>
      <c r="G111" s="234">
        <f t="shared" si="7"/>
        <v>0</v>
      </c>
      <c r="J111" s="519" t="s">
        <v>152</v>
      </c>
      <c r="K111" s="526"/>
      <c r="L111" s="526"/>
      <c r="M111" s="231" t="s">
        <v>236</v>
      </c>
      <c r="N111" s="232"/>
      <c r="O111" s="261" t="s">
        <v>123</v>
      </c>
      <c r="P111" s="234">
        <f t="shared" si="8"/>
        <v>0</v>
      </c>
      <c r="Q111" s="235">
        <f t="shared" si="9"/>
        <v>0</v>
      </c>
    </row>
    <row r="112" spans="1:17" ht="23.25" x14ac:dyDescent="0.25">
      <c r="A112" s="519" t="s">
        <v>85</v>
      </c>
      <c r="B112" s="526"/>
      <c r="C112" s="526"/>
      <c r="D112" s="231" t="s">
        <v>236</v>
      </c>
      <c r="E112" s="232"/>
      <c r="F112" s="262" t="s">
        <v>84</v>
      </c>
      <c r="G112" s="234">
        <f t="shared" si="7"/>
        <v>0</v>
      </c>
      <c r="J112" s="519" t="s">
        <v>85</v>
      </c>
      <c r="K112" s="526"/>
      <c r="L112" s="526"/>
      <c r="M112" s="231" t="s">
        <v>236</v>
      </c>
      <c r="N112" s="232"/>
      <c r="O112" s="262" t="s">
        <v>84</v>
      </c>
      <c r="P112" s="234">
        <f t="shared" si="8"/>
        <v>0</v>
      </c>
      <c r="Q112" s="235">
        <f t="shared" si="9"/>
        <v>0</v>
      </c>
    </row>
    <row r="113" spans="1:17" ht="18" x14ac:dyDescent="0.25">
      <c r="A113" s="521"/>
      <c r="B113" s="522"/>
      <c r="C113" s="522"/>
      <c r="D113" s="238"/>
      <c r="E113" s="239"/>
      <c r="F113" s="240"/>
      <c r="G113" s="241"/>
      <c r="J113" s="521"/>
      <c r="K113" s="522"/>
      <c r="L113" s="522"/>
      <c r="M113" s="238"/>
      <c r="N113" s="239"/>
      <c r="O113" s="240"/>
      <c r="P113" s="241"/>
      <c r="Q113" s="242"/>
    </row>
    <row r="114" spans="1:17" ht="23.25" x14ac:dyDescent="0.25">
      <c r="A114" s="519" t="s">
        <v>68</v>
      </c>
      <c r="B114" s="520"/>
      <c r="C114" s="520"/>
      <c r="D114" s="263"/>
      <c r="E114" s="264"/>
      <c r="F114" s="265" t="s">
        <v>69</v>
      </c>
      <c r="G114" s="234">
        <f t="shared" ref="G114:G115" si="10">COUNTIF($A$2,F114)</f>
        <v>0</v>
      </c>
      <c r="J114" s="519" t="s">
        <v>68</v>
      </c>
      <c r="K114" s="520"/>
      <c r="L114" s="520"/>
      <c r="M114" s="263"/>
      <c r="N114" s="264"/>
      <c r="O114" s="265" t="s">
        <v>69</v>
      </c>
      <c r="P114" s="234">
        <f t="shared" ref="P114:P115" si="11">COUNTIF($A$2:$AA$53,O114)</f>
        <v>0</v>
      </c>
      <c r="Q114" s="235">
        <f t="shared" ref="Q114:Q115" si="12">G114+P114</f>
        <v>0</v>
      </c>
    </row>
    <row r="115" spans="1:17" ht="23.25" x14ac:dyDescent="0.25">
      <c r="A115" s="519" t="s">
        <v>87</v>
      </c>
      <c r="B115" s="520"/>
      <c r="C115" s="520"/>
      <c r="D115" s="231" t="s">
        <v>233</v>
      </c>
      <c r="E115" s="264"/>
      <c r="F115" s="266" t="s">
        <v>86</v>
      </c>
      <c r="G115" s="234">
        <f t="shared" si="10"/>
        <v>0</v>
      </c>
      <c r="J115" s="519" t="s">
        <v>87</v>
      </c>
      <c r="K115" s="520"/>
      <c r="L115" s="520"/>
      <c r="M115" s="231" t="s">
        <v>233</v>
      </c>
      <c r="N115" s="264"/>
      <c r="O115" s="266" t="s">
        <v>86</v>
      </c>
      <c r="P115" s="234">
        <f t="shared" si="11"/>
        <v>0</v>
      </c>
      <c r="Q115" s="235">
        <f t="shared" si="12"/>
        <v>0</v>
      </c>
    </row>
    <row r="116" spans="1:17" ht="18" x14ac:dyDescent="0.25">
      <c r="A116" s="521"/>
      <c r="B116" s="522"/>
      <c r="C116" s="522"/>
      <c r="D116" s="238"/>
      <c r="E116" s="239"/>
      <c r="F116" s="240"/>
      <c r="G116" s="241"/>
      <c r="J116" s="521"/>
      <c r="K116" s="522"/>
      <c r="L116" s="522"/>
      <c r="M116" s="238"/>
      <c r="N116" s="239"/>
      <c r="O116" s="240"/>
      <c r="P116" s="241"/>
      <c r="Q116" s="242"/>
    </row>
    <row r="117" spans="1:17" ht="23.25" x14ac:dyDescent="0.25">
      <c r="A117" s="519" t="s">
        <v>89</v>
      </c>
      <c r="B117" s="520"/>
      <c r="C117" s="520"/>
      <c r="D117" s="231" t="s">
        <v>232</v>
      </c>
      <c r="E117" s="232"/>
      <c r="F117" s="267" t="s">
        <v>88</v>
      </c>
      <c r="G117" s="234">
        <f t="shared" ref="G117:G126" si="13">COUNTIF($A$2,F117)</f>
        <v>0</v>
      </c>
      <c r="J117" s="519" t="s">
        <v>89</v>
      </c>
      <c r="K117" s="520"/>
      <c r="L117" s="520"/>
      <c r="M117" s="231" t="s">
        <v>232</v>
      </c>
      <c r="N117" s="232"/>
      <c r="O117" s="267" t="s">
        <v>88</v>
      </c>
      <c r="P117" s="234">
        <f t="shared" ref="P117:P172" si="14">COUNTIF($A$2:$AA$53,O117)</f>
        <v>0</v>
      </c>
      <c r="Q117" s="235">
        <f t="shared" ref="Q117:Q126" si="15">G117+P117</f>
        <v>0</v>
      </c>
    </row>
    <row r="118" spans="1:17" ht="23.25" x14ac:dyDescent="0.25">
      <c r="A118" s="519" t="s">
        <v>91</v>
      </c>
      <c r="B118" s="520"/>
      <c r="C118" s="520"/>
      <c r="D118" s="231" t="s">
        <v>233</v>
      </c>
      <c r="E118" s="232"/>
      <c r="F118" s="268" t="s">
        <v>90</v>
      </c>
      <c r="G118" s="234">
        <f t="shared" si="13"/>
        <v>0</v>
      </c>
      <c r="J118" s="519" t="s">
        <v>91</v>
      </c>
      <c r="K118" s="520"/>
      <c r="L118" s="520"/>
      <c r="M118" s="231" t="s">
        <v>233</v>
      </c>
      <c r="N118" s="232"/>
      <c r="O118" s="268" t="s">
        <v>90</v>
      </c>
      <c r="P118" s="234">
        <f t="shared" si="14"/>
        <v>0</v>
      </c>
      <c r="Q118" s="235">
        <f t="shared" si="15"/>
        <v>0</v>
      </c>
    </row>
    <row r="119" spans="1:17" ht="23.25" x14ac:dyDescent="0.25">
      <c r="A119" s="519" t="s">
        <v>125</v>
      </c>
      <c r="B119" s="520"/>
      <c r="C119" s="520"/>
      <c r="D119" s="231"/>
      <c r="E119" s="232"/>
      <c r="F119" s="269" t="s">
        <v>124</v>
      </c>
      <c r="G119" s="234">
        <f t="shared" si="13"/>
        <v>0</v>
      </c>
      <c r="J119" s="519" t="s">
        <v>125</v>
      </c>
      <c r="K119" s="520"/>
      <c r="L119" s="520"/>
      <c r="M119" s="231"/>
      <c r="N119" s="232"/>
      <c r="O119" s="269" t="s">
        <v>124</v>
      </c>
      <c r="P119" s="234">
        <f t="shared" si="14"/>
        <v>0</v>
      </c>
      <c r="Q119" s="235">
        <f t="shared" si="15"/>
        <v>0</v>
      </c>
    </row>
    <row r="120" spans="1:17" ht="23.25" x14ac:dyDescent="0.25">
      <c r="A120" s="519" t="s">
        <v>93</v>
      </c>
      <c r="B120" s="520"/>
      <c r="C120" s="520"/>
      <c r="D120" s="231"/>
      <c r="E120" s="232"/>
      <c r="F120" s="270" t="s">
        <v>92</v>
      </c>
      <c r="G120" s="234">
        <f t="shared" si="13"/>
        <v>0</v>
      </c>
      <c r="J120" s="519" t="s">
        <v>93</v>
      </c>
      <c r="K120" s="520"/>
      <c r="L120" s="520"/>
      <c r="M120" s="231"/>
      <c r="N120" s="232"/>
      <c r="O120" s="270" t="s">
        <v>92</v>
      </c>
      <c r="P120" s="234">
        <f t="shared" si="14"/>
        <v>0</v>
      </c>
      <c r="Q120" s="235">
        <f t="shared" si="15"/>
        <v>0</v>
      </c>
    </row>
    <row r="121" spans="1:17" ht="23.25" x14ac:dyDescent="0.25">
      <c r="A121" s="519" t="s">
        <v>95</v>
      </c>
      <c r="B121" s="520"/>
      <c r="C121" s="520"/>
      <c r="D121" s="231"/>
      <c r="E121" s="264"/>
      <c r="F121" s="271" t="s">
        <v>94</v>
      </c>
      <c r="G121" s="234">
        <f t="shared" si="13"/>
        <v>0</v>
      </c>
      <c r="J121" s="519" t="s">
        <v>95</v>
      </c>
      <c r="K121" s="520"/>
      <c r="L121" s="520"/>
      <c r="M121" s="231"/>
      <c r="N121" s="264"/>
      <c r="O121" s="271" t="s">
        <v>94</v>
      </c>
      <c r="P121" s="234">
        <f t="shared" si="14"/>
        <v>0</v>
      </c>
      <c r="Q121" s="235">
        <f t="shared" si="15"/>
        <v>0</v>
      </c>
    </row>
    <row r="122" spans="1:17" ht="23.25" x14ac:dyDescent="0.25">
      <c r="A122" s="519" t="s">
        <v>97</v>
      </c>
      <c r="B122" s="520"/>
      <c r="C122" s="520"/>
      <c r="D122" s="231"/>
      <c r="E122" s="264"/>
      <c r="F122" s="272" t="s">
        <v>96</v>
      </c>
      <c r="G122" s="234">
        <f t="shared" si="13"/>
        <v>0</v>
      </c>
      <c r="J122" s="519" t="s">
        <v>97</v>
      </c>
      <c r="K122" s="520"/>
      <c r="L122" s="520"/>
      <c r="M122" s="231"/>
      <c r="N122" s="264"/>
      <c r="O122" s="272" t="s">
        <v>96</v>
      </c>
      <c r="P122" s="234">
        <f t="shared" si="14"/>
        <v>0</v>
      </c>
      <c r="Q122" s="235">
        <f t="shared" si="15"/>
        <v>0</v>
      </c>
    </row>
    <row r="123" spans="1:17" ht="23.25" x14ac:dyDescent="0.25">
      <c r="A123" s="229" t="s">
        <v>99</v>
      </c>
      <c r="B123" s="230"/>
      <c r="C123" s="230"/>
      <c r="D123" s="231"/>
      <c r="E123" s="264"/>
      <c r="F123" s="273" t="s">
        <v>98</v>
      </c>
      <c r="G123" s="234">
        <f t="shared" si="13"/>
        <v>0</v>
      </c>
      <c r="J123" s="229" t="s">
        <v>99</v>
      </c>
      <c r="K123" s="230"/>
      <c r="L123" s="230"/>
      <c r="M123" s="231"/>
      <c r="N123" s="264"/>
      <c r="O123" s="273" t="s">
        <v>98</v>
      </c>
      <c r="P123" s="234">
        <f t="shared" si="14"/>
        <v>0</v>
      </c>
      <c r="Q123" s="235">
        <f t="shared" si="15"/>
        <v>0</v>
      </c>
    </row>
    <row r="124" spans="1:17" ht="23.25" x14ac:dyDescent="0.25">
      <c r="A124" s="229" t="s">
        <v>101</v>
      </c>
      <c r="B124" s="230"/>
      <c r="C124" s="230"/>
      <c r="D124" s="231"/>
      <c r="E124" s="264"/>
      <c r="F124" s="274" t="s">
        <v>100</v>
      </c>
      <c r="G124" s="234">
        <f t="shared" si="13"/>
        <v>0</v>
      </c>
      <c r="J124" s="229" t="s">
        <v>101</v>
      </c>
      <c r="K124" s="230"/>
      <c r="L124" s="230"/>
      <c r="M124" s="231"/>
      <c r="N124" s="264"/>
      <c r="O124" s="274" t="s">
        <v>100</v>
      </c>
      <c r="P124" s="234">
        <f t="shared" si="14"/>
        <v>0</v>
      </c>
      <c r="Q124" s="235">
        <f t="shared" si="15"/>
        <v>0</v>
      </c>
    </row>
    <row r="125" spans="1:17" ht="23.25" x14ac:dyDescent="0.25">
      <c r="A125" s="519" t="s">
        <v>153</v>
      </c>
      <c r="B125" s="520"/>
      <c r="C125" s="520"/>
      <c r="D125" s="231" t="s">
        <v>232</v>
      </c>
      <c r="E125" s="264"/>
      <c r="F125" s="156" t="s">
        <v>112</v>
      </c>
      <c r="G125" s="234">
        <f>COUNTIF($AB$2:$AW$53,F125)</f>
        <v>6</v>
      </c>
      <c r="J125" s="519" t="s">
        <v>153</v>
      </c>
      <c r="K125" s="520"/>
      <c r="L125" s="520"/>
      <c r="M125" s="231" t="s">
        <v>232</v>
      </c>
      <c r="N125" s="264"/>
      <c r="O125" s="156" t="s">
        <v>112</v>
      </c>
      <c r="P125" s="234">
        <f t="shared" si="14"/>
        <v>0</v>
      </c>
      <c r="Q125" s="235">
        <f t="shared" si="15"/>
        <v>6</v>
      </c>
    </row>
    <row r="126" spans="1:17" ht="23.25" x14ac:dyDescent="0.25">
      <c r="A126" s="519" t="s">
        <v>154</v>
      </c>
      <c r="B126" s="520"/>
      <c r="C126" s="520"/>
      <c r="D126" s="231" t="s">
        <v>232</v>
      </c>
      <c r="E126" s="264"/>
      <c r="F126" s="275" t="s">
        <v>137</v>
      </c>
      <c r="G126" s="234">
        <f t="shared" si="13"/>
        <v>0</v>
      </c>
      <c r="J126" s="519" t="s">
        <v>154</v>
      </c>
      <c r="K126" s="520"/>
      <c r="L126" s="520"/>
      <c r="M126" s="231" t="s">
        <v>232</v>
      </c>
      <c r="N126" s="264"/>
      <c r="O126" s="275" t="s">
        <v>137</v>
      </c>
      <c r="P126" s="234">
        <f t="shared" si="14"/>
        <v>0</v>
      </c>
      <c r="Q126" s="235">
        <f t="shared" si="15"/>
        <v>0</v>
      </c>
    </row>
    <row r="127" spans="1:17" ht="18" x14ac:dyDescent="0.25">
      <c r="A127" s="521"/>
      <c r="B127" s="522"/>
      <c r="C127" s="522"/>
      <c r="D127" s="238"/>
      <c r="E127" s="239"/>
      <c r="F127" s="240"/>
      <c r="G127" s="241"/>
      <c r="J127" s="521"/>
      <c r="K127" s="522"/>
      <c r="L127" s="522"/>
      <c r="M127" s="238"/>
      <c r="N127" s="239"/>
      <c r="O127" s="240"/>
      <c r="P127" s="241"/>
      <c r="Q127" s="242"/>
    </row>
    <row r="128" spans="1:17" ht="23.25" x14ac:dyDescent="0.25">
      <c r="A128" s="519" t="s">
        <v>52</v>
      </c>
      <c r="B128" s="520"/>
      <c r="C128" s="520"/>
      <c r="D128" s="231" t="s">
        <v>237</v>
      </c>
      <c r="E128" s="232"/>
      <c r="F128" s="276" t="s">
        <v>53</v>
      </c>
      <c r="G128" s="234">
        <f t="shared" ref="G128:G132" si="16">COUNTIF($A$2,F128)</f>
        <v>0</v>
      </c>
      <c r="J128" s="519" t="s">
        <v>52</v>
      </c>
      <c r="K128" s="520"/>
      <c r="L128" s="520"/>
      <c r="M128" s="231" t="s">
        <v>237</v>
      </c>
      <c r="N128" s="232"/>
      <c r="O128" s="276" t="s">
        <v>53</v>
      </c>
      <c r="P128" s="234">
        <f t="shared" si="14"/>
        <v>0</v>
      </c>
      <c r="Q128" s="235">
        <f t="shared" ref="Q128:Q132" si="17">G128+P128</f>
        <v>0</v>
      </c>
    </row>
    <row r="129" spans="1:17" ht="23.25" x14ac:dyDescent="0.25">
      <c r="A129" s="519" t="s">
        <v>54</v>
      </c>
      <c r="B129" s="520"/>
      <c r="C129" s="520"/>
      <c r="D129" s="231" t="s">
        <v>237</v>
      </c>
      <c r="E129" s="264"/>
      <c r="F129" s="277" t="s">
        <v>55</v>
      </c>
      <c r="G129" s="234">
        <f t="shared" si="16"/>
        <v>0</v>
      </c>
      <c r="J129" s="519" t="s">
        <v>54</v>
      </c>
      <c r="K129" s="520"/>
      <c r="L129" s="520"/>
      <c r="M129" s="231" t="s">
        <v>237</v>
      </c>
      <c r="N129" s="264"/>
      <c r="O129" s="277" t="s">
        <v>55</v>
      </c>
      <c r="P129" s="234">
        <f t="shared" si="14"/>
        <v>0</v>
      </c>
      <c r="Q129" s="235">
        <f t="shared" si="17"/>
        <v>0</v>
      </c>
    </row>
    <row r="130" spans="1:17" ht="23.25" x14ac:dyDescent="0.25">
      <c r="A130" s="519" t="s">
        <v>56</v>
      </c>
      <c r="B130" s="520"/>
      <c r="C130" s="520"/>
      <c r="D130" s="231" t="s">
        <v>237</v>
      </c>
      <c r="E130" s="264"/>
      <c r="F130" s="278" t="s">
        <v>57</v>
      </c>
      <c r="G130" s="234">
        <f t="shared" si="16"/>
        <v>0</v>
      </c>
      <c r="J130" s="519" t="s">
        <v>56</v>
      </c>
      <c r="K130" s="520"/>
      <c r="L130" s="520"/>
      <c r="M130" s="231" t="s">
        <v>237</v>
      </c>
      <c r="N130" s="264"/>
      <c r="O130" s="278" t="s">
        <v>57</v>
      </c>
      <c r="P130" s="234">
        <f t="shared" si="14"/>
        <v>0</v>
      </c>
      <c r="Q130" s="235">
        <f t="shared" si="17"/>
        <v>0</v>
      </c>
    </row>
    <row r="131" spans="1:17" ht="23.25" x14ac:dyDescent="0.25">
      <c r="A131" s="519" t="s">
        <v>19</v>
      </c>
      <c r="B131" s="520"/>
      <c r="C131" s="520"/>
      <c r="D131" s="231" t="s">
        <v>237</v>
      </c>
      <c r="E131" s="264"/>
      <c r="F131" s="279" t="s">
        <v>16</v>
      </c>
      <c r="G131" s="234">
        <f t="shared" si="16"/>
        <v>0</v>
      </c>
      <c r="J131" s="519" t="s">
        <v>19</v>
      </c>
      <c r="K131" s="520"/>
      <c r="L131" s="520"/>
      <c r="M131" s="231" t="s">
        <v>237</v>
      </c>
      <c r="N131" s="264"/>
      <c r="O131" s="279" t="s">
        <v>16</v>
      </c>
      <c r="P131" s="234">
        <f t="shared" si="14"/>
        <v>0</v>
      </c>
      <c r="Q131" s="235">
        <f t="shared" si="17"/>
        <v>0</v>
      </c>
    </row>
    <row r="132" spans="1:17" ht="23.25" x14ac:dyDescent="0.25">
      <c r="A132" s="519" t="s">
        <v>58</v>
      </c>
      <c r="B132" s="520"/>
      <c r="C132" s="520"/>
      <c r="D132" s="231" t="s">
        <v>237</v>
      </c>
      <c r="E132" s="264"/>
      <c r="F132" s="280" t="s">
        <v>59</v>
      </c>
      <c r="G132" s="234">
        <f t="shared" si="16"/>
        <v>0</v>
      </c>
      <c r="J132" s="519" t="s">
        <v>58</v>
      </c>
      <c r="K132" s="520"/>
      <c r="L132" s="520"/>
      <c r="M132" s="231" t="s">
        <v>237</v>
      </c>
      <c r="N132" s="264"/>
      <c r="O132" s="280" t="s">
        <v>59</v>
      </c>
      <c r="P132" s="234">
        <f t="shared" si="14"/>
        <v>0</v>
      </c>
      <c r="Q132" s="235">
        <f t="shared" si="17"/>
        <v>0</v>
      </c>
    </row>
    <row r="133" spans="1:17" ht="18" x14ac:dyDescent="0.25">
      <c r="A133" s="521"/>
      <c r="B133" s="522"/>
      <c r="C133" s="522"/>
      <c r="D133" s="238"/>
      <c r="E133" s="239"/>
      <c r="F133" s="240"/>
      <c r="G133" s="241"/>
      <c r="J133" s="521"/>
      <c r="K133" s="522"/>
      <c r="L133" s="522"/>
      <c r="M133" s="238"/>
      <c r="N133" s="239"/>
      <c r="O133" s="240"/>
      <c r="P133" s="241"/>
      <c r="Q133" s="242"/>
    </row>
    <row r="134" spans="1:17" ht="23.25" x14ac:dyDescent="0.25">
      <c r="A134" s="519" t="s">
        <v>66</v>
      </c>
      <c r="B134" s="520"/>
      <c r="C134" s="520"/>
      <c r="D134" s="231"/>
      <c r="E134" s="232"/>
      <c r="F134" s="124" t="s">
        <v>67</v>
      </c>
      <c r="G134" s="234">
        <f t="shared" ref="G134:G172" si="18">COUNTIF($AB$13:$AW$54,F134)</f>
        <v>0</v>
      </c>
      <c r="J134" s="519" t="s">
        <v>66</v>
      </c>
      <c r="K134" s="520"/>
      <c r="L134" s="520"/>
      <c r="M134" s="231"/>
      <c r="N134" s="232"/>
      <c r="O134" s="124" t="s">
        <v>67</v>
      </c>
      <c r="P134" s="234">
        <f>COUNTIF($A$2:$AA$53,O134)</f>
        <v>12</v>
      </c>
      <c r="Q134" s="281">
        <f>G134+P134</f>
        <v>12</v>
      </c>
    </row>
    <row r="135" spans="1:17" ht="23.25" x14ac:dyDescent="0.25">
      <c r="A135" s="519" t="s">
        <v>20</v>
      </c>
      <c r="B135" s="520"/>
      <c r="C135" s="520"/>
      <c r="D135" s="231"/>
      <c r="E135" s="232"/>
      <c r="F135" s="282" t="s">
        <v>21</v>
      </c>
      <c r="G135" s="234">
        <f t="shared" si="18"/>
        <v>0</v>
      </c>
      <c r="J135" s="519" t="s">
        <v>20</v>
      </c>
      <c r="K135" s="520"/>
      <c r="L135" s="520"/>
      <c r="M135" s="231"/>
      <c r="N135" s="232"/>
      <c r="O135" s="282" t="s">
        <v>21</v>
      </c>
      <c r="P135" s="234">
        <f t="shared" si="14"/>
        <v>0</v>
      </c>
      <c r="Q135" s="281">
        <f>G135+P135</f>
        <v>0</v>
      </c>
    </row>
    <row r="136" spans="1:17" ht="23.25" x14ac:dyDescent="0.25">
      <c r="A136" s="519" t="s">
        <v>126</v>
      </c>
      <c r="B136" s="520"/>
      <c r="C136" s="520"/>
      <c r="D136" s="231"/>
      <c r="E136" s="232"/>
      <c r="F136" s="283" t="s">
        <v>127</v>
      </c>
      <c r="G136" s="234">
        <f t="shared" si="18"/>
        <v>0</v>
      </c>
      <c r="J136" s="519" t="s">
        <v>126</v>
      </c>
      <c r="K136" s="520"/>
      <c r="L136" s="520"/>
      <c r="M136" s="231"/>
      <c r="N136" s="232"/>
      <c r="O136" s="283" t="s">
        <v>127</v>
      </c>
      <c r="P136" s="234">
        <f t="shared" si="14"/>
        <v>0</v>
      </c>
      <c r="Q136" s="235">
        <f t="shared" ref="Q136:Q137" si="19">G136+P136</f>
        <v>0</v>
      </c>
    </row>
    <row r="137" spans="1:17" ht="23.25" x14ac:dyDescent="0.25">
      <c r="A137" s="519" t="s">
        <v>14</v>
      </c>
      <c r="B137" s="520"/>
      <c r="C137" s="520"/>
      <c r="D137" s="231"/>
      <c r="E137" s="232"/>
      <c r="F137" s="284" t="s">
        <v>13</v>
      </c>
      <c r="G137" s="234">
        <f t="shared" si="18"/>
        <v>0</v>
      </c>
      <c r="J137" s="519" t="s">
        <v>14</v>
      </c>
      <c r="K137" s="520"/>
      <c r="L137" s="520"/>
      <c r="M137" s="231"/>
      <c r="N137" s="232"/>
      <c r="O137" s="284" t="s">
        <v>13</v>
      </c>
      <c r="P137" s="234">
        <f t="shared" si="14"/>
        <v>0</v>
      </c>
      <c r="Q137" s="235">
        <f t="shared" si="19"/>
        <v>0</v>
      </c>
    </row>
    <row r="138" spans="1:17" ht="23.25" x14ac:dyDescent="0.25">
      <c r="A138" s="519" t="s">
        <v>28</v>
      </c>
      <c r="B138" s="520"/>
      <c r="C138" s="520"/>
      <c r="D138" s="231"/>
      <c r="E138" s="232"/>
      <c r="F138" s="285" t="s">
        <v>29</v>
      </c>
      <c r="G138" s="234">
        <f t="shared" si="18"/>
        <v>0</v>
      </c>
      <c r="J138" s="519" t="s">
        <v>28</v>
      </c>
      <c r="K138" s="520"/>
      <c r="L138" s="520"/>
      <c r="M138" s="231"/>
      <c r="N138" s="232"/>
      <c r="O138" s="285" t="s">
        <v>29</v>
      </c>
      <c r="P138" s="234">
        <f t="shared" si="14"/>
        <v>0</v>
      </c>
      <c r="Q138" s="235">
        <f t="shared" si="0"/>
        <v>0</v>
      </c>
    </row>
    <row r="139" spans="1:17" ht="23.25" x14ac:dyDescent="0.25">
      <c r="A139" s="519" t="s">
        <v>155</v>
      </c>
      <c r="B139" s="520"/>
      <c r="C139" s="520"/>
      <c r="D139" s="231"/>
      <c r="E139" s="232"/>
      <c r="F139" s="286" t="s">
        <v>156</v>
      </c>
      <c r="G139" s="234">
        <f t="shared" si="18"/>
        <v>0</v>
      </c>
      <c r="J139" s="519" t="s">
        <v>155</v>
      </c>
      <c r="K139" s="520"/>
      <c r="L139" s="520"/>
      <c r="M139" s="231"/>
      <c r="N139" s="232"/>
      <c r="O139" s="286" t="s">
        <v>156</v>
      </c>
      <c r="P139" s="234">
        <f t="shared" si="14"/>
        <v>0</v>
      </c>
      <c r="Q139" s="235">
        <f t="shared" si="0"/>
        <v>0</v>
      </c>
    </row>
    <row r="140" spans="1:17" ht="23.25" x14ac:dyDescent="0.25">
      <c r="A140" s="519" t="s">
        <v>114</v>
      </c>
      <c r="B140" s="520"/>
      <c r="C140" s="520"/>
      <c r="D140" s="231"/>
      <c r="E140" s="232"/>
      <c r="F140" s="287" t="s">
        <v>113</v>
      </c>
      <c r="G140" s="234">
        <f t="shared" si="18"/>
        <v>0</v>
      </c>
      <c r="J140" s="229" t="s">
        <v>114</v>
      </c>
      <c r="K140" s="230"/>
      <c r="L140" s="230"/>
      <c r="M140" s="231"/>
      <c r="N140" s="232"/>
      <c r="O140" s="287" t="s">
        <v>113</v>
      </c>
      <c r="P140" s="234">
        <f t="shared" si="14"/>
        <v>0</v>
      </c>
      <c r="Q140" s="235">
        <f t="shared" si="0"/>
        <v>0</v>
      </c>
    </row>
    <row r="141" spans="1:17" ht="23.25" x14ac:dyDescent="0.25">
      <c r="A141" s="519" t="s">
        <v>116</v>
      </c>
      <c r="B141" s="520"/>
      <c r="C141" s="520"/>
      <c r="D141" s="231"/>
      <c r="E141" s="232"/>
      <c r="F141" s="288" t="s">
        <v>115</v>
      </c>
      <c r="G141" s="234">
        <f t="shared" si="18"/>
        <v>0</v>
      </c>
      <c r="J141" s="519" t="s">
        <v>116</v>
      </c>
      <c r="K141" s="520"/>
      <c r="L141" s="520"/>
      <c r="M141" s="231"/>
      <c r="N141" s="232"/>
      <c r="O141" s="288" t="s">
        <v>115</v>
      </c>
      <c r="P141" s="234">
        <f t="shared" si="14"/>
        <v>0</v>
      </c>
      <c r="Q141" s="235">
        <f t="shared" si="0"/>
        <v>0</v>
      </c>
    </row>
    <row r="142" spans="1:17" ht="23.25" x14ac:dyDescent="0.25">
      <c r="A142" s="519" t="s">
        <v>30</v>
      </c>
      <c r="B142" s="520"/>
      <c r="C142" s="520"/>
      <c r="D142" s="263"/>
      <c r="E142" s="264"/>
      <c r="F142" s="289" t="s">
        <v>31</v>
      </c>
      <c r="G142" s="234">
        <f t="shared" si="18"/>
        <v>0</v>
      </c>
      <c r="J142" s="519" t="s">
        <v>30</v>
      </c>
      <c r="K142" s="520"/>
      <c r="L142" s="520"/>
      <c r="M142" s="263"/>
      <c r="N142" s="264"/>
      <c r="O142" s="289" t="s">
        <v>31</v>
      </c>
      <c r="P142" s="234">
        <f t="shared" si="14"/>
        <v>0</v>
      </c>
      <c r="Q142" s="235">
        <f t="shared" si="0"/>
        <v>0</v>
      </c>
    </row>
    <row r="143" spans="1:17" ht="23.25" x14ac:dyDescent="0.25">
      <c r="A143" s="519" t="s">
        <v>32</v>
      </c>
      <c r="B143" s="520"/>
      <c r="C143" s="520"/>
      <c r="D143" s="263"/>
      <c r="E143" s="264"/>
      <c r="F143" s="290" t="s">
        <v>33</v>
      </c>
      <c r="G143" s="234">
        <f t="shared" si="18"/>
        <v>0</v>
      </c>
      <c r="J143" s="519" t="s">
        <v>32</v>
      </c>
      <c r="K143" s="520"/>
      <c r="L143" s="520"/>
      <c r="M143" s="263"/>
      <c r="N143" s="264"/>
      <c r="O143" s="290" t="s">
        <v>33</v>
      </c>
      <c r="P143" s="234">
        <f t="shared" si="14"/>
        <v>0</v>
      </c>
      <c r="Q143" s="235">
        <f t="shared" si="0"/>
        <v>0</v>
      </c>
    </row>
    <row r="144" spans="1:17" ht="23.25" x14ac:dyDescent="0.25">
      <c r="A144" s="519" t="s">
        <v>34</v>
      </c>
      <c r="B144" s="520"/>
      <c r="C144" s="520"/>
      <c r="D144" s="263"/>
      <c r="E144" s="264"/>
      <c r="F144" s="291" t="s">
        <v>35</v>
      </c>
      <c r="G144" s="234">
        <f t="shared" si="18"/>
        <v>0</v>
      </c>
      <c r="J144" s="519" t="s">
        <v>34</v>
      </c>
      <c r="K144" s="520"/>
      <c r="L144" s="520"/>
      <c r="M144" s="263"/>
      <c r="N144" s="264"/>
      <c r="O144" s="291" t="s">
        <v>35</v>
      </c>
      <c r="P144" s="234">
        <f t="shared" si="14"/>
        <v>0</v>
      </c>
      <c r="Q144" s="235">
        <f t="shared" si="0"/>
        <v>0</v>
      </c>
    </row>
    <row r="145" spans="1:17" ht="23.25" x14ac:dyDescent="0.25">
      <c r="A145" s="519" t="s">
        <v>36</v>
      </c>
      <c r="B145" s="520"/>
      <c r="C145" s="520"/>
      <c r="D145" s="263"/>
      <c r="E145" s="264"/>
      <c r="F145" s="292" t="s">
        <v>37</v>
      </c>
      <c r="G145" s="234">
        <f t="shared" si="18"/>
        <v>0</v>
      </c>
      <c r="J145" s="519" t="s">
        <v>36</v>
      </c>
      <c r="K145" s="520"/>
      <c r="L145" s="520"/>
      <c r="M145" s="263"/>
      <c r="N145" s="264"/>
      <c r="O145" s="292" t="s">
        <v>37</v>
      </c>
      <c r="P145" s="234">
        <f t="shared" si="14"/>
        <v>0</v>
      </c>
      <c r="Q145" s="235">
        <f t="shared" si="0"/>
        <v>0</v>
      </c>
    </row>
    <row r="146" spans="1:17" ht="23.25" x14ac:dyDescent="0.25">
      <c r="A146" s="519" t="s">
        <v>6</v>
      </c>
      <c r="B146" s="520"/>
      <c r="C146" s="520"/>
      <c r="D146" s="263"/>
      <c r="E146" s="264"/>
      <c r="F146" s="293" t="s">
        <v>7</v>
      </c>
      <c r="G146" s="234">
        <f t="shared" si="18"/>
        <v>0</v>
      </c>
      <c r="J146" s="519" t="s">
        <v>6</v>
      </c>
      <c r="K146" s="520"/>
      <c r="L146" s="520"/>
      <c r="M146" s="263"/>
      <c r="N146" s="264"/>
      <c r="O146" s="293" t="s">
        <v>7</v>
      </c>
      <c r="P146" s="234">
        <f t="shared" si="14"/>
        <v>0</v>
      </c>
      <c r="Q146" s="235">
        <f t="shared" si="0"/>
        <v>0</v>
      </c>
    </row>
    <row r="147" spans="1:17" ht="23.25" x14ac:dyDescent="0.25">
      <c r="A147" s="519" t="s">
        <v>70</v>
      </c>
      <c r="B147" s="520"/>
      <c r="C147" s="520"/>
      <c r="D147" s="263"/>
      <c r="E147" s="264"/>
      <c r="F147" s="294" t="s">
        <v>71</v>
      </c>
      <c r="G147" s="234">
        <f t="shared" si="18"/>
        <v>0</v>
      </c>
      <c r="J147" s="519" t="s">
        <v>70</v>
      </c>
      <c r="K147" s="520"/>
      <c r="L147" s="520"/>
      <c r="M147" s="263"/>
      <c r="N147" s="264"/>
      <c r="O147" s="294" t="s">
        <v>71</v>
      </c>
      <c r="P147" s="234">
        <f t="shared" si="14"/>
        <v>0</v>
      </c>
      <c r="Q147" s="235">
        <f t="shared" si="0"/>
        <v>0</v>
      </c>
    </row>
    <row r="148" spans="1:17" ht="23.25" x14ac:dyDescent="0.25">
      <c r="A148" s="519" t="s">
        <v>118</v>
      </c>
      <c r="B148" s="520"/>
      <c r="C148" s="520"/>
      <c r="D148" s="263"/>
      <c r="E148" s="264"/>
      <c r="F148" s="295" t="s">
        <v>117</v>
      </c>
      <c r="G148" s="234">
        <f t="shared" si="18"/>
        <v>0</v>
      </c>
      <c r="J148" s="519" t="s">
        <v>118</v>
      </c>
      <c r="K148" s="520"/>
      <c r="L148" s="520"/>
      <c r="M148" s="263"/>
      <c r="N148" s="264"/>
      <c r="O148" s="295" t="s">
        <v>117</v>
      </c>
      <c r="P148" s="234">
        <f t="shared" si="14"/>
        <v>0</v>
      </c>
      <c r="Q148" s="235">
        <f t="shared" si="0"/>
        <v>0</v>
      </c>
    </row>
    <row r="149" spans="1:17" ht="23.25" x14ac:dyDescent="0.25">
      <c r="A149" s="519" t="s">
        <v>157</v>
      </c>
      <c r="B149" s="520"/>
      <c r="C149" s="520"/>
      <c r="D149" s="263"/>
      <c r="E149" s="264"/>
      <c r="F149" s="296" t="s">
        <v>134</v>
      </c>
      <c r="G149" s="234">
        <f t="shared" si="18"/>
        <v>0</v>
      </c>
      <c r="J149" s="519" t="s">
        <v>157</v>
      </c>
      <c r="K149" s="520"/>
      <c r="L149" s="520"/>
      <c r="M149" s="263"/>
      <c r="N149" s="264"/>
      <c r="O149" s="296" t="s">
        <v>134</v>
      </c>
      <c r="P149" s="234">
        <f t="shared" si="14"/>
        <v>0</v>
      </c>
      <c r="Q149" s="235">
        <f t="shared" si="0"/>
        <v>0</v>
      </c>
    </row>
    <row r="150" spans="1:17" ht="23.25" x14ac:dyDescent="0.25">
      <c r="A150" s="519" t="s">
        <v>72</v>
      </c>
      <c r="B150" s="520"/>
      <c r="C150" s="520"/>
      <c r="D150" s="263"/>
      <c r="E150" s="264"/>
      <c r="F150" s="297" t="s">
        <v>73</v>
      </c>
      <c r="G150" s="234">
        <f t="shared" si="18"/>
        <v>0</v>
      </c>
      <c r="J150" s="519" t="s">
        <v>72</v>
      </c>
      <c r="K150" s="520"/>
      <c r="L150" s="520"/>
      <c r="M150" s="263"/>
      <c r="N150" s="264"/>
      <c r="O150" s="297" t="s">
        <v>73</v>
      </c>
      <c r="P150" s="234">
        <f t="shared" si="14"/>
        <v>0</v>
      </c>
      <c r="Q150" s="235">
        <f t="shared" si="0"/>
        <v>0</v>
      </c>
    </row>
    <row r="151" spans="1:17" ht="23.25" x14ac:dyDescent="0.25">
      <c r="A151" s="519" t="s">
        <v>8</v>
      </c>
      <c r="B151" s="520"/>
      <c r="C151" s="520"/>
      <c r="D151" s="263"/>
      <c r="E151" s="264"/>
      <c r="F151" s="270" t="s">
        <v>9</v>
      </c>
      <c r="G151" s="234">
        <f t="shared" si="18"/>
        <v>10</v>
      </c>
      <c r="J151" s="519" t="s">
        <v>8</v>
      </c>
      <c r="K151" s="520"/>
      <c r="L151" s="520"/>
      <c r="M151" s="263"/>
      <c r="N151" s="264"/>
      <c r="O151" s="270" t="s">
        <v>9</v>
      </c>
      <c r="P151" s="234">
        <f t="shared" si="14"/>
        <v>0</v>
      </c>
      <c r="Q151" s="235">
        <f t="shared" si="0"/>
        <v>10</v>
      </c>
    </row>
    <row r="152" spans="1:17" ht="23.25" x14ac:dyDescent="0.25">
      <c r="A152" s="519" t="s">
        <v>38</v>
      </c>
      <c r="B152" s="520"/>
      <c r="C152" s="520"/>
      <c r="D152" s="263"/>
      <c r="E152" s="264"/>
      <c r="F152" s="298" t="s">
        <v>39</v>
      </c>
      <c r="G152" s="234">
        <f t="shared" si="18"/>
        <v>0</v>
      </c>
      <c r="J152" s="519" t="s">
        <v>38</v>
      </c>
      <c r="K152" s="520"/>
      <c r="L152" s="520"/>
      <c r="M152" s="263"/>
      <c r="N152" s="264"/>
      <c r="O152" s="298" t="s">
        <v>39</v>
      </c>
      <c r="P152" s="234">
        <f t="shared" si="14"/>
        <v>0</v>
      </c>
      <c r="Q152" s="235">
        <f t="shared" si="0"/>
        <v>0</v>
      </c>
    </row>
    <row r="153" spans="1:17" ht="23.25" x14ac:dyDescent="0.25">
      <c r="A153" s="519" t="s">
        <v>128</v>
      </c>
      <c r="B153" s="520"/>
      <c r="C153" s="520"/>
      <c r="D153" s="263"/>
      <c r="E153" s="264"/>
      <c r="F153" s="177" t="s">
        <v>129</v>
      </c>
      <c r="G153" s="234">
        <f t="shared" si="18"/>
        <v>3</v>
      </c>
      <c r="J153" s="519" t="s">
        <v>128</v>
      </c>
      <c r="K153" s="520"/>
      <c r="L153" s="520"/>
      <c r="M153" s="263"/>
      <c r="N153" s="264"/>
      <c r="O153" s="177" t="s">
        <v>129</v>
      </c>
      <c r="P153" s="234">
        <f t="shared" si="14"/>
        <v>0</v>
      </c>
      <c r="Q153" s="235">
        <f t="shared" si="0"/>
        <v>3</v>
      </c>
    </row>
    <row r="154" spans="1:17" ht="23.25" x14ac:dyDescent="0.25">
      <c r="A154" s="519" t="s">
        <v>10</v>
      </c>
      <c r="B154" s="520"/>
      <c r="C154" s="520"/>
      <c r="D154" s="263"/>
      <c r="E154" s="264"/>
      <c r="F154" s="299" t="s">
        <v>11</v>
      </c>
      <c r="G154" s="234">
        <f t="shared" si="18"/>
        <v>3</v>
      </c>
      <c r="J154" s="519" t="s">
        <v>10</v>
      </c>
      <c r="K154" s="520"/>
      <c r="L154" s="520"/>
      <c r="M154" s="263"/>
      <c r="N154" s="264"/>
      <c r="O154" s="299" t="s">
        <v>11</v>
      </c>
      <c r="P154" s="234">
        <f t="shared" si="14"/>
        <v>0</v>
      </c>
      <c r="Q154" s="235">
        <f t="shared" si="0"/>
        <v>3</v>
      </c>
    </row>
    <row r="155" spans="1:17" ht="23.25" x14ac:dyDescent="0.25">
      <c r="A155" s="519" t="s">
        <v>40</v>
      </c>
      <c r="B155" s="520"/>
      <c r="C155" s="520"/>
      <c r="D155" s="263"/>
      <c r="E155" s="264"/>
      <c r="F155" s="300" t="s">
        <v>41</v>
      </c>
      <c r="G155" s="234">
        <f t="shared" si="18"/>
        <v>0</v>
      </c>
      <c r="J155" s="519" t="s">
        <v>40</v>
      </c>
      <c r="K155" s="520"/>
      <c r="L155" s="520"/>
      <c r="M155" s="263"/>
      <c r="N155" s="264"/>
      <c r="O155" s="300" t="s">
        <v>41</v>
      </c>
      <c r="P155" s="234">
        <f t="shared" si="14"/>
        <v>0</v>
      </c>
      <c r="Q155" s="235">
        <f t="shared" si="0"/>
        <v>0</v>
      </c>
    </row>
    <row r="156" spans="1:17" ht="23.25" x14ac:dyDescent="0.25">
      <c r="A156" s="519" t="s">
        <v>130</v>
      </c>
      <c r="B156" s="520"/>
      <c r="C156" s="520"/>
      <c r="D156" s="263"/>
      <c r="E156" s="264"/>
      <c r="F156" s="301" t="s">
        <v>131</v>
      </c>
      <c r="G156" s="234">
        <f t="shared" si="18"/>
        <v>0</v>
      </c>
      <c r="J156" s="519" t="s">
        <v>130</v>
      </c>
      <c r="K156" s="520"/>
      <c r="L156" s="520"/>
      <c r="M156" s="263"/>
      <c r="N156" s="264"/>
      <c r="O156" s="301" t="s">
        <v>131</v>
      </c>
      <c r="P156" s="234">
        <f t="shared" si="14"/>
        <v>0</v>
      </c>
      <c r="Q156" s="235">
        <f t="shared" si="0"/>
        <v>0</v>
      </c>
    </row>
    <row r="157" spans="1:17" ht="23.25" x14ac:dyDescent="0.25">
      <c r="A157" s="519" t="s">
        <v>74</v>
      </c>
      <c r="B157" s="520"/>
      <c r="C157" s="520"/>
      <c r="D157" s="231"/>
      <c r="E157" s="232"/>
      <c r="F157" s="302" t="s">
        <v>75</v>
      </c>
      <c r="G157" s="234">
        <f t="shared" si="18"/>
        <v>0</v>
      </c>
      <c r="J157" s="519" t="s">
        <v>74</v>
      </c>
      <c r="K157" s="520"/>
      <c r="L157" s="520"/>
      <c r="M157" s="231"/>
      <c r="N157" s="232"/>
      <c r="O157" s="302" t="s">
        <v>75</v>
      </c>
      <c r="P157" s="234">
        <f t="shared" si="14"/>
        <v>0</v>
      </c>
      <c r="Q157" s="235">
        <f t="shared" si="0"/>
        <v>0</v>
      </c>
    </row>
    <row r="158" spans="1:17" ht="23.25" x14ac:dyDescent="0.25">
      <c r="A158" s="519" t="s">
        <v>158</v>
      </c>
      <c r="B158" s="520"/>
      <c r="C158" s="520"/>
      <c r="D158" s="231"/>
      <c r="E158" s="232"/>
      <c r="F158" s="303" t="s">
        <v>159</v>
      </c>
      <c r="G158" s="234">
        <f t="shared" si="18"/>
        <v>0</v>
      </c>
      <c r="J158" s="519" t="s">
        <v>158</v>
      </c>
      <c r="K158" s="520"/>
      <c r="L158" s="520"/>
      <c r="M158" s="231"/>
      <c r="N158" s="232"/>
      <c r="O158" s="303" t="s">
        <v>159</v>
      </c>
      <c r="P158" s="234">
        <f t="shared" si="14"/>
        <v>0</v>
      </c>
      <c r="Q158" s="235">
        <f t="shared" si="0"/>
        <v>0</v>
      </c>
    </row>
    <row r="159" spans="1:17" ht="23.25" x14ac:dyDescent="0.25">
      <c r="A159" s="519" t="s">
        <v>1</v>
      </c>
      <c r="B159" s="520"/>
      <c r="C159" s="520"/>
      <c r="D159" s="231"/>
      <c r="E159" s="232"/>
      <c r="F159" s="304" t="s">
        <v>0</v>
      </c>
      <c r="G159" s="234">
        <f t="shared" si="18"/>
        <v>1</v>
      </c>
      <c r="J159" s="519" t="s">
        <v>1</v>
      </c>
      <c r="K159" s="520"/>
      <c r="L159" s="520"/>
      <c r="M159" s="231"/>
      <c r="N159" s="232"/>
      <c r="O159" s="304" t="s">
        <v>0</v>
      </c>
      <c r="P159" s="234">
        <f t="shared" si="14"/>
        <v>0</v>
      </c>
      <c r="Q159" s="235">
        <f t="shared" si="0"/>
        <v>1</v>
      </c>
    </row>
    <row r="160" spans="1:17" ht="23.25" x14ac:dyDescent="0.25">
      <c r="A160" s="519" t="s">
        <v>3</v>
      </c>
      <c r="B160" s="520"/>
      <c r="C160" s="520"/>
      <c r="D160" s="231"/>
      <c r="E160" s="232"/>
      <c r="F160" s="305" t="s">
        <v>2</v>
      </c>
      <c r="G160" s="234">
        <f t="shared" si="18"/>
        <v>2</v>
      </c>
      <c r="J160" s="519" t="s">
        <v>3</v>
      </c>
      <c r="K160" s="520"/>
      <c r="L160" s="520"/>
      <c r="M160" s="231"/>
      <c r="N160" s="232"/>
      <c r="O160" s="305" t="s">
        <v>2</v>
      </c>
      <c r="P160" s="234">
        <f t="shared" si="14"/>
        <v>0</v>
      </c>
      <c r="Q160" s="235">
        <f t="shared" si="0"/>
        <v>2</v>
      </c>
    </row>
    <row r="161" spans="1:17" ht="23.25" x14ac:dyDescent="0.25">
      <c r="A161" s="519" t="s">
        <v>42</v>
      </c>
      <c r="B161" s="520"/>
      <c r="C161" s="520"/>
      <c r="D161" s="231"/>
      <c r="E161" s="232"/>
      <c r="F161" s="306" t="s">
        <v>43</v>
      </c>
      <c r="G161" s="234">
        <f t="shared" si="18"/>
        <v>0</v>
      </c>
      <c r="J161" s="519" t="s">
        <v>42</v>
      </c>
      <c r="K161" s="520"/>
      <c r="L161" s="520"/>
      <c r="M161" s="231"/>
      <c r="N161" s="232"/>
      <c r="O161" s="306" t="s">
        <v>43</v>
      </c>
      <c r="P161" s="234">
        <f t="shared" si="14"/>
        <v>0</v>
      </c>
      <c r="Q161" s="235">
        <f t="shared" si="0"/>
        <v>0</v>
      </c>
    </row>
    <row r="162" spans="1:17" ht="23.25" x14ac:dyDescent="0.25">
      <c r="A162" s="519" t="s">
        <v>44</v>
      </c>
      <c r="B162" s="520"/>
      <c r="C162" s="520"/>
      <c r="D162" s="231"/>
      <c r="E162" s="232"/>
      <c r="F162" s="306" t="s">
        <v>45</v>
      </c>
      <c r="G162" s="234">
        <f t="shared" si="18"/>
        <v>0</v>
      </c>
      <c r="J162" s="519" t="s">
        <v>44</v>
      </c>
      <c r="K162" s="520"/>
      <c r="L162" s="520"/>
      <c r="M162" s="231"/>
      <c r="N162" s="232"/>
      <c r="O162" s="306" t="s">
        <v>45</v>
      </c>
      <c r="P162" s="234">
        <f t="shared" si="14"/>
        <v>0</v>
      </c>
      <c r="Q162" s="235">
        <f t="shared" si="0"/>
        <v>0</v>
      </c>
    </row>
    <row r="163" spans="1:17" ht="23.25" x14ac:dyDescent="0.25">
      <c r="A163" s="519" t="s">
        <v>46</v>
      </c>
      <c r="B163" s="520"/>
      <c r="C163" s="520"/>
      <c r="D163" s="231"/>
      <c r="E163" s="232"/>
      <c r="F163" s="306" t="s">
        <v>47</v>
      </c>
      <c r="G163" s="234">
        <f t="shared" si="18"/>
        <v>0</v>
      </c>
      <c r="J163" s="519" t="s">
        <v>46</v>
      </c>
      <c r="K163" s="520"/>
      <c r="L163" s="520"/>
      <c r="M163" s="231"/>
      <c r="N163" s="232"/>
      <c r="O163" s="306" t="s">
        <v>47</v>
      </c>
      <c r="P163" s="234">
        <f t="shared" si="14"/>
        <v>0</v>
      </c>
      <c r="Q163" s="235">
        <f t="shared" si="0"/>
        <v>0</v>
      </c>
    </row>
    <row r="164" spans="1:17" ht="23.25" x14ac:dyDescent="0.25">
      <c r="A164" s="519" t="s">
        <v>5</v>
      </c>
      <c r="B164" s="520"/>
      <c r="C164" s="520"/>
      <c r="D164" s="231"/>
      <c r="E164" s="232"/>
      <c r="F164" s="307" t="s">
        <v>4</v>
      </c>
      <c r="G164" s="234">
        <f t="shared" si="18"/>
        <v>3</v>
      </c>
      <c r="J164" s="519" t="s">
        <v>5</v>
      </c>
      <c r="K164" s="520"/>
      <c r="L164" s="520"/>
      <c r="M164" s="231"/>
      <c r="N164" s="232"/>
      <c r="O164" s="307" t="s">
        <v>4</v>
      </c>
      <c r="P164" s="234">
        <f t="shared" si="14"/>
        <v>0</v>
      </c>
      <c r="Q164" s="235">
        <f t="shared" si="0"/>
        <v>3</v>
      </c>
    </row>
    <row r="165" spans="1:17" ht="23.25" x14ac:dyDescent="0.25">
      <c r="A165" s="519" t="s">
        <v>17</v>
      </c>
      <c r="B165" s="520"/>
      <c r="C165" s="520"/>
      <c r="D165" s="231"/>
      <c r="E165" s="232"/>
      <c r="F165" s="249" t="s">
        <v>18</v>
      </c>
      <c r="G165" s="234">
        <f t="shared" si="18"/>
        <v>0</v>
      </c>
      <c r="J165" s="519" t="s">
        <v>17</v>
      </c>
      <c r="K165" s="520"/>
      <c r="L165" s="520"/>
      <c r="M165" s="231"/>
      <c r="N165" s="232"/>
      <c r="O165" s="249" t="s">
        <v>18</v>
      </c>
      <c r="P165" s="234">
        <f t="shared" si="14"/>
        <v>0</v>
      </c>
      <c r="Q165" s="235">
        <f t="shared" si="0"/>
        <v>0</v>
      </c>
    </row>
    <row r="166" spans="1:17" ht="23.25" x14ac:dyDescent="0.25">
      <c r="A166" s="229" t="s">
        <v>120</v>
      </c>
      <c r="B166" s="230"/>
      <c r="C166" s="230"/>
      <c r="D166" s="231"/>
      <c r="E166" s="264"/>
      <c r="F166" s="308" t="s">
        <v>119</v>
      </c>
      <c r="G166" s="234">
        <f t="shared" si="18"/>
        <v>0</v>
      </c>
      <c r="J166" s="229" t="s">
        <v>120</v>
      </c>
      <c r="K166" s="230"/>
      <c r="L166" s="230"/>
      <c r="M166" s="231"/>
      <c r="N166" s="264"/>
      <c r="O166" s="308" t="s">
        <v>119</v>
      </c>
      <c r="P166" s="234">
        <f t="shared" si="14"/>
        <v>0</v>
      </c>
      <c r="Q166" s="235">
        <f t="shared" si="0"/>
        <v>0</v>
      </c>
    </row>
    <row r="167" spans="1:17" ht="23.25" x14ac:dyDescent="0.25">
      <c r="A167" s="519" t="s">
        <v>136</v>
      </c>
      <c r="B167" s="520"/>
      <c r="C167" s="520"/>
      <c r="D167" s="231"/>
      <c r="E167" s="232"/>
      <c r="F167" s="309" t="s">
        <v>135</v>
      </c>
      <c r="G167" s="234">
        <f t="shared" si="18"/>
        <v>0</v>
      </c>
      <c r="J167" s="519" t="s">
        <v>136</v>
      </c>
      <c r="K167" s="520"/>
      <c r="L167" s="520"/>
      <c r="M167" s="231"/>
      <c r="N167" s="232"/>
      <c r="O167" s="309" t="s">
        <v>135</v>
      </c>
      <c r="P167" s="234">
        <f t="shared" si="14"/>
        <v>0</v>
      </c>
      <c r="Q167" s="235">
        <f t="shared" si="0"/>
        <v>0</v>
      </c>
    </row>
    <row r="168" spans="1:17" ht="23.25" x14ac:dyDescent="0.25">
      <c r="A168" s="519" t="s">
        <v>103</v>
      </c>
      <c r="B168" s="520"/>
      <c r="C168" s="520"/>
      <c r="D168" s="231"/>
      <c r="E168" s="264"/>
      <c r="F168" s="310" t="s">
        <v>102</v>
      </c>
      <c r="G168" s="234">
        <f t="shared" si="18"/>
        <v>0</v>
      </c>
      <c r="J168" s="229" t="s">
        <v>103</v>
      </c>
      <c r="K168" s="230"/>
      <c r="L168" s="230"/>
      <c r="M168" s="231"/>
      <c r="N168" s="264"/>
      <c r="O168" s="310" t="s">
        <v>102</v>
      </c>
      <c r="P168" s="234">
        <f t="shared" si="14"/>
        <v>0</v>
      </c>
      <c r="Q168" s="235">
        <f t="shared" si="0"/>
        <v>0</v>
      </c>
    </row>
    <row r="169" spans="1:17" ht="23.25" x14ac:dyDescent="0.25">
      <c r="A169" s="519" t="s">
        <v>48</v>
      </c>
      <c r="B169" s="520"/>
      <c r="C169" s="520"/>
      <c r="D169" s="263"/>
      <c r="E169" s="264"/>
      <c r="F169" s="311" t="s">
        <v>49</v>
      </c>
      <c r="G169" s="234">
        <f t="shared" si="18"/>
        <v>0</v>
      </c>
      <c r="J169" s="519" t="s">
        <v>48</v>
      </c>
      <c r="K169" s="520"/>
      <c r="L169" s="520"/>
      <c r="M169" s="263"/>
      <c r="N169" s="264"/>
      <c r="O169" s="311" t="s">
        <v>49</v>
      </c>
      <c r="P169" s="234">
        <f t="shared" si="14"/>
        <v>0</v>
      </c>
      <c r="Q169" s="235">
        <f t="shared" si="0"/>
        <v>0</v>
      </c>
    </row>
    <row r="170" spans="1:17" ht="23.25" x14ac:dyDescent="0.25">
      <c r="A170" s="519" t="s">
        <v>50</v>
      </c>
      <c r="B170" s="520"/>
      <c r="C170" s="520"/>
      <c r="D170" s="263"/>
      <c r="E170" s="264"/>
      <c r="F170" s="312" t="s">
        <v>51</v>
      </c>
      <c r="G170" s="234">
        <f t="shared" si="18"/>
        <v>0</v>
      </c>
      <c r="J170" s="519" t="s">
        <v>50</v>
      </c>
      <c r="K170" s="520"/>
      <c r="L170" s="520"/>
      <c r="M170" s="263"/>
      <c r="N170" s="264"/>
      <c r="O170" s="312" t="s">
        <v>51</v>
      </c>
      <c r="P170" s="234">
        <f t="shared" si="14"/>
        <v>0</v>
      </c>
      <c r="Q170" s="235">
        <f t="shared" si="0"/>
        <v>0</v>
      </c>
    </row>
    <row r="171" spans="1:17" ht="23.25" x14ac:dyDescent="0.25">
      <c r="A171" s="519" t="s">
        <v>15</v>
      </c>
      <c r="B171" s="520"/>
      <c r="C171" s="520"/>
      <c r="D171" s="263"/>
      <c r="E171" s="264"/>
      <c r="F171" s="313" t="s">
        <v>12</v>
      </c>
      <c r="G171" s="234">
        <f t="shared" si="18"/>
        <v>0</v>
      </c>
      <c r="J171" s="519" t="s">
        <v>15</v>
      </c>
      <c r="K171" s="520"/>
      <c r="L171" s="520"/>
      <c r="M171" s="263"/>
      <c r="N171" s="264"/>
      <c r="O171" s="313" t="s">
        <v>12</v>
      </c>
      <c r="P171" s="234">
        <f t="shared" si="14"/>
        <v>0</v>
      </c>
      <c r="Q171" s="235">
        <f t="shared" si="0"/>
        <v>0</v>
      </c>
    </row>
    <row r="172" spans="1:17" ht="23.25" x14ac:dyDescent="0.25">
      <c r="A172" s="519" t="s">
        <v>122</v>
      </c>
      <c r="B172" s="520"/>
      <c r="C172" s="520"/>
      <c r="D172" s="263"/>
      <c r="E172" s="264"/>
      <c r="F172" s="314" t="s">
        <v>121</v>
      </c>
      <c r="G172" s="234">
        <f t="shared" si="18"/>
        <v>0</v>
      </c>
      <c r="J172" s="519" t="s">
        <v>122</v>
      </c>
      <c r="K172" s="520"/>
      <c r="L172" s="520"/>
      <c r="M172" s="263"/>
      <c r="N172" s="264"/>
      <c r="O172" s="314" t="s">
        <v>121</v>
      </c>
      <c r="P172" s="234">
        <f t="shared" si="14"/>
        <v>0</v>
      </c>
      <c r="Q172" s="235">
        <f t="shared" si="0"/>
        <v>0</v>
      </c>
    </row>
    <row r="173" spans="1:17" ht="18" x14ac:dyDescent="0.25">
      <c r="A173" s="527" t="s">
        <v>230</v>
      </c>
      <c r="B173" s="528"/>
      <c r="C173" s="528"/>
      <c r="D173" s="231"/>
      <c r="E173" s="232"/>
      <c r="F173" s="315"/>
      <c r="G173" s="235">
        <f>SUM(G86:G172)</f>
        <v>42</v>
      </c>
      <c r="J173" s="527" t="s">
        <v>230</v>
      </c>
      <c r="K173" s="528"/>
      <c r="L173" s="528"/>
      <c r="M173" s="231"/>
      <c r="N173" s="232"/>
      <c r="O173" s="315"/>
      <c r="P173" s="235">
        <f>SUM(P86:P172)</f>
        <v>12</v>
      </c>
      <c r="Q173" s="235">
        <f>SUM(Q86:Q172)</f>
        <v>54</v>
      </c>
    </row>
    <row r="175" spans="1:17" x14ac:dyDescent="0.25">
      <c r="A175" s="532" t="s">
        <v>238</v>
      </c>
      <c r="B175" s="532"/>
      <c r="C175" s="532"/>
      <c r="D175" s="532"/>
      <c r="E175" s="532"/>
      <c r="F175" s="532"/>
      <c r="G175" s="532"/>
      <c r="H175" s="532"/>
      <c r="I175" s="532"/>
      <c r="J175" s="532"/>
      <c r="K175" s="532"/>
      <c r="L175" s="532"/>
      <c r="M175" s="532"/>
      <c r="N175" s="532"/>
      <c r="O175" s="532"/>
      <c r="P175" s="532"/>
      <c r="Q175" s="532"/>
    </row>
    <row r="176" spans="1:17" x14ac:dyDescent="0.25">
      <c r="A176" s="532"/>
      <c r="B176" s="532"/>
      <c r="C176" s="532"/>
      <c r="D176" s="532"/>
      <c r="E176" s="532"/>
      <c r="F176" s="532"/>
      <c r="G176" s="532"/>
      <c r="H176" s="532"/>
      <c r="I176" s="532"/>
      <c r="J176" s="532"/>
      <c r="K176" s="532"/>
      <c r="L176" s="532"/>
      <c r="M176" s="532"/>
      <c r="N176" s="532"/>
      <c r="O176" s="532"/>
      <c r="P176" s="532"/>
      <c r="Q176" s="532"/>
    </row>
    <row r="179" spans="1:17" x14ac:dyDescent="0.25">
      <c r="A179" s="533" t="s">
        <v>239</v>
      </c>
      <c r="B179" s="533"/>
      <c r="C179" s="533"/>
      <c r="D179" s="533"/>
      <c r="E179" s="533"/>
      <c r="F179" s="533"/>
      <c r="G179" s="533"/>
      <c r="H179" s="533"/>
      <c r="I179" s="533"/>
      <c r="J179" s="533"/>
      <c r="K179" s="533"/>
      <c r="L179" s="533"/>
      <c r="M179" s="533"/>
      <c r="N179" s="533"/>
      <c r="O179" s="533"/>
      <c r="P179" s="533"/>
      <c r="Q179" s="533"/>
    </row>
    <row r="180" spans="1:17" x14ac:dyDescent="0.25">
      <c r="A180" s="533"/>
      <c r="B180" s="533"/>
      <c r="C180" s="533"/>
      <c r="D180" s="533"/>
      <c r="E180" s="533"/>
      <c r="F180" s="533"/>
      <c r="G180" s="533"/>
      <c r="H180" s="533"/>
      <c r="I180" s="533"/>
      <c r="J180" s="533"/>
      <c r="K180" s="533"/>
      <c r="L180" s="533"/>
      <c r="M180" s="533"/>
      <c r="N180" s="533"/>
      <c r="O180" s="533"/>
      <c r="P180" s="533"/>
      <c r="Q180" s="533"/>
    </row>
    <row r="181" spans="1:17" x14ac:dyDescent="0.25">
      <c r="Q181" s="218"/>
    </row>
    <row r="183" spans="1:17" ht="15.75" thickBot="1" x14ac:dyDescent="0.3"/>
    <row r="184" spans="1:17" ht="21.75" thickBot="1" x14ac:dyDescent="0.4">
      <c r="A184" s="529" t="s">
        <v>240</v>
      </c>
      <c r="B184" s="530"/>
      <c r="C184" s="530"/>
      <c r="D184" s="530"/>
      <c r="E184" s="531"/>
      <c r="F184" s="514">
        <f>SUM(F186,F188)</f>
        <v>80</v>
      </c>
      <c r="G184" s="515"/>
      <c r="J184" s="529" t="s">
        <v>241</v>
      </c>
      <c r="K184" s="530"/>
      <c r="L184" s="530"/>
      <c r="M184" s="530"/>
      <c r="N184" s="531"/>
      <c r="O184" s="514">
        <f>SUM(O186,O188)</f>
        <v>22</v>
      </c>
      <c r="P184" s="515"/>
    </row>
    <row r="185" spans="1:17" ht="21.75" thickBot="1" x14ac:dyDescent="0.4">
      <c r="A185" s="318"/>
      <c r="B185" s="318"/>
      <c r="C185" s="318"/>
      <c r="D185" s="318"/>
      <c r="E185" s="318"/>
      <c r="F185" s="319"/>
      <c r="G185" s="319"/>
      <c r="J185" s="318"/>
      <c r="K185" s="318"/>
      <c r="L185" s="318"/>
      <c r="M185" s="318"/>
      <c r="N185" s="318"/>
      <c r="O185" s="319"/>
      <c r="P185" s="319"/>
    </row>
    <row r="186" spans="1:17" ht="21.75" thickBot="1" x14ac:dyDescent="0.4">
      <c r="A186" s="529" t="s">
        <v>242</v>
      </c>
      <c r="B186" s="530"/>
      <c r="C186" s="530"/>
      <c r="D186" s="530"/>
      <c r="E186" s="531"/>
      <c r="F186" s="514">
        <f>SUM(D194:D217)</f>
        <v>32</v>
      </c>
      <c r="G186" s="515"/>
      <c r="J186" s="529" t="s">
        <v>243</v>
      </c>
      <c r="K186" s="530"/>
      <c r="L186" s="530"/>
      <c r="M186" s="530"/>
      <c r="N186" s="531"/>
      <c r="O186" s="514">
        <f>SUM(M194:M217)</f>
        <v>8</v>
      </c>
      <c r="P186" s="515"/>
    </row>
    <row r="187" spans="1:17" ht="21.75" thickBot="1" x14ac:dyDescent="0.4">
      <c r="A187" s="318"/>
      <c r="B187" s="318"/>
      <c r="C187" s="318"/>
      <c r="D187" s="318"/>
      <c r="E187" s="318"/>
      <c r="F187" s="319"/>
      <c r="G187" s="319"/>
      <c r="J187" s="318"/>
      <c r="K187" s="318"/>
      <c r="L187" s="318"/>
      <c r="M187" s="318"/>
      <c r="N187" s="318"/>
      <c r="O187" s="319"/>
      <c r="P187" s="319"/>
    </row>
    <row r="188" spans="1:17" ht="21.75" thickBot="1" x14ac:dyDescent="0.4">
      <c r="A188" s="529" t="s">
        <v>244</v>
      </c>
      <c r="B188" s="530"/>
      <c r="C188" s="530"/>
      <c r="D188" s="530"/>
      <c r="E188" s="531"/>
      <c r="F188" s="514">
        <f>SUM(D219:D290)</f>
        <v>48</v>
      </c>
      <c r="G188" s="515"/>
      <c r="J188" s="529" t="s">
        <v>245</v>
      </c>
      <c r="K188" s="530"/>
      <c r="L188" s="530"/>
      <c r="M188" s="530"/>
      <c r="N188" s="531"/>
      <c r="O188" s="514">
        <f>SUM(M219:M290)</f>
        <v>14</v>
      </c>
      <c r="P188" s="515"/>
    </row>
    <row r="189" spans="1:17" x14ac:dyDescent="0.25">
      <c r="A189" s="218"/>
      <c r="B189" s="218"/>
      <c r="C189" s="218"/>
      <c r="D189" s="218"/>
      <c r="E189" s="218"/>
      <c r="F189" s="218"/>
      <c r="G189" s="218"/>
      <c r="I189" s="218"/>
      <c r="J189" s="218"/>
      <c r="K189" s="218"/>
      <c r="L189" s="218"/>
      <c r="M189" s="222"/>
      <c r="N189" s="218"/>
      <c r="O189" s="218"/>
      <c r="P189" s="218"/>
      <c r="Q189" s="218"/>
    </row>
    <row r="190" spans="1:17" ht="21.75" thickBot="1" x14ac:dyDescent="0.4">
      <c r="A190" s="318"/>
      <c r="B190" s="318"/>
      <c r="C190" s="318"/>
      <c r="D190" s="318"/>
      <c r="E190" s="318"/>
      <c r="F190" s="319"/>
      <c r="G190" s="319"/>
      <c r="J190" s="318"/>
      <c r="K190" s="318"/>
      <c r="L190" s="318"/>
      <c r="M190" s="318"/>
      <c r="N190" s="318"/>
      <c r="O190" s="319"/>
      <c r="P190" s="319"/>
    </row>
    <row r="191" spans="1:17" ht="20.25" thickTop="1" thickBot="1" x14ac:dyDescent="0.3">
      <c r="O191" s="218"/>
      <c r="P191" s="538" t="s">
        <v>246</v>
      </c>
      <c r="Q191" s="539"/>
    </row>
    <row r="192" spans="1:17" ht="20.25" thickTop="1" thickBot="1" x14ac:dyDescent="0.35">
      <c r="A192" s="540" t="s">
        <v>247</v>
      </c>
      <c r="B192" s="541"/>
      <c r="C192" s="541"/>
      <c r="D192" s="320" t="s">
        <v>248</v>
      </c>
      <c r="E192" s="542" t="s">
        <v>230</v>
      </c>
      <c r="F192" s="543"/>
      <c r="J192" s="540" t="s">
        <v>247</v>
      </c>
      <c r="K192" s="541"/>
      <c r="L192" s="541"/>
      <c r="M192" s="320" t="s">
        <v>248</v>
      </c>
      <c r="N192" s="542" t="s">
        <v>230</v>
      </c>
      <c r="O192" s="543"/>
      <c r="P192" s="321" t="s">
        <v>248</v>
      </c>
      <c r="Q192" s="322" t="s">
        <v>249</v>
      </c>
    </row>
    <row r="193" spans="1:17" ht="21.75" thickBot="1" x14ac:dyDescent="0.3">
      <c r="A193" s="544" t="s">
        <v>250</v>
      </c>
      <c r="B193" s="544"/>
      <c r="C193" s="545"/>
      <c r="D193" s="544"/>
      <c r="E193" s="514">
        <f>SUM(D194:D217)</f>
        <v>32</v>
      </c>
      <c r="F193" s="515"/>
      <c r="J193" s="544" t="s">
        <v>250</v>
      </c>
      <c r="K193" s="544"/>
      <c r="L193" s="545"/>
      <c r="M193" s="544"/>
      <c r="N193" s="514">
        <f>SUM(M194:M217)</f>
        <v>8</v>
      </c>
      <c r="O193" s="515"/>
      <c r="P193" s="546" t="s">
        <v>251</v>
      </c>
      <c r="Q193" s="547"/>
    </row>
    <row r="194" spans="1:17" ht="18" x14ac:dyDescent="0.25">
      <c r="A194" s="534" t="s">
        <v>252</v>
      </c>
      <c r="B194" s="535"/>
      <c r="C194" s="323" t="s">
        <v>187</v>
      </c>
      <c r="D194" s="234">
        <f t="shared" ref="D194:D217" si="20">COUNTIF($AB$13:$AW$54,C194)</f>
        <v>32</v>
      </c>
      <c r="E194" s="218"/>
      <c r="F194" s="218"/>
      <c r="J194" s="534" t="s">
        <v>252</v>
      </c>
      <c r="K194" s="535"/>
      <c r="L194" s="323" t="s">
        <v>187</v>
      </c>
      <c r="M194" s="234">
        <f>COUNTIF($A$2:$AA$53,L194)</f>
        <v>8</v>
      </c>
      <c r="N194" s="218"/>
      <c r="O194" s="218"/>
      <c r="P194" s="324">
        <f>D194+M194</f>
        <v>40</v>
      </c>
      <c r="Q194" s="325" t="str">
        <f>IFERROR(P194/$J$4,"")</f>
        <v/>
      </c>
    </row>
    <row r="195" spans="1:17" ht="15.75" x14ac:dyDescent="0.25">
      <c r="A195" s="536" t="s">
        <v>253</v>
      </c>
      <c r="B195" s="537"/>
      <c r="C195" s="326" t="s">
        <v>253</v>
      </c>
      <c r="D195" s="234">
        <f t="shared" si="20"/>
        <v>0</v>
      </c>
      <c r="E195" s="218"/>
      <c r="F195" s="218"/>
      <c r="J195" s="536" t="s">
        <v>253</v>
      </c>
      <c r="K195" s="537"/>
      <c r="L195" s="326" t="s">
        <v>253</v>
      </c>
      <c r="M195" s="234">
        <f t="shared" ref="M195:M258" si="21">COUNTIF($A$2:$AA$53,L195)</f>
        <v>0</v>
      </c>
      <c r="N195" s="218"/>
      <c r="O195" s="218"/>
      <c r="P195" s="324">
        <f t="shared" ref="P195:P217" si="22">D195+M195</f>
        <v>0</v>
      </c>
      <c r="Q195" s="325" t="str">
        <f t="shared" ref="Q195:Q217" si="23">IFERROR(P195/$J$4,"")</f>
        <v/>
      </c>
    </row>
    <row r="196" spans="1:17" ht="15.75" x14ac:dyDescent="0.25">
      <c r="A196" s="536" t="s">
        <v>254</v>
      </c>
      <c r="B196" s="537" t="s">
        <v>254</v>
      </c>
      <c r="C196" s="327" t="s">
        <v>255</v>
      </c>
      <c r="D196" s="234">
        <f t="shared" si="20"/>
        <v>0</v>
      </c>
      <c r="E196" s="218"/>
      <c r="F196" s="218"/>
      <c r="J196" s="536" t="s">
        <v>254</v>
      </c>
      <c r="K196" s="537" t="s">
        <v>254</v>
      </c>
      <c r="L196" s="327" t="s">
        <v>255</v>
      </c>
      <c r="M196" s="234">
        <f t="shared" si="21"/>
        <v>0</v>
      </c>
      <c r="N196" s="218"/>
      <c r="O196" s="218"/>
      <c r="P196" s="324">
        <f t="shared" si="22"/>
        <v>0</v>
      </c>
      <c r="Q196" s="325" t="str">
        <f t="shared" si="23"/>
        <v/>
      </c>
    </row>
    <row r="197" spans="1:17" ht="15.75" x14ac:dyDescent="0.25">
      <c r="A197" s="536" t="s">
        <v>256</v>
      </c>
      <c r="B197" s="537" t="s">
        <v>256</v>
      </c>
      <c r="C197" s="328" t="s">
        <v>257</v>
      </c>
      <c r="D197" s="234">
        <f t="shared" si="20"/>
        <v>0</v>
      </c>
      <c r="E197" s="218"/>
      <c r="F197" s="218"/>
      <c r="J197" s="536" t="s">
        <v>256</v>
      </c>
      <c r="K197" s="537" t="s">
        <v>256</v>
      </c>
      <c r="L197" s="328" t="s">
        <v>257</v>
      </c>
      <c r="M197" s="234">
        <f t="shared" si="21"/>
        <v>0</v>
      </c>
      <c r="N197" s="218"/>
      <c r="O197" s="218"/>
      <c r="P197" s="324">
        <f t="shared" si="22"/>
        <v>0</v>
      </c>
      <c r="Q197" s="325" t="str">
        <f t="shared" si="23"/>
        <v/>
      </c>
    </row>
    <row r="198" spans="1:17" ht="15.75" x14ac:dyDescent="0.25">
      <c r="A198" s="536" t="s">
        <v>258</v>
      </c>
      <c r="B198" s="537" t="s">
        <v>258</v>
      </c>
      <c r="C198" s="329" t="s">
        <v>259</v>
      </c>
      <c r="D198" s="234">
        <f t="shared" si="20"/>
        <v>0</v>
      </c>
      <c r="E198" s="218"/>
      <c r="F198" s="218"/>
      <c r="J198" s="536" t="s">
        <v>258</v>
      </c>
      <c r="K198" s="537" t="s">
        <v>258</v>
      </c>
      <c r="L198" s="329" t="s">
        <v>259</v>
      </c>
      <c r="M198" s="234">
        <f t="shared" si="21"/>
        <v>0</v>
      </c>
      <c r="N198" s="218"/>
      <c r="O198" s="218"/>
      <c r="P198" s="324">
        <f t="shared" si="22"/>
        <v>0</v>
      </c>
      <c r="Q198" s="325" t="str">
        <f t="shared" si="23"/>
        <v/>
      </c>
    </row>
    <row r="199" spans="1:17" ht="15.75" x14ac:dyDescent="0.25">
      <c r="A199" s="536" t="s">
        <v>260</v>
      </c>
      <c r="B199" s="537" t="s">
        <v>260</v>
      </c>
      <c r="C199" s="330" t="s">
        <v>260</v>
      </c>
      <c r="D199" s="234">
        <f t="shared" si="20"/>
        <v>0</v>
      </c>
      <c r="E199" s="218"/>
      <c r="F199" s="218"/>
      <c r="J199" s="536" t="s">
        <v>260</v>
      </c>
      <c r="K199" s="537" t="s">
        <v>260</v>
      </c>
      <c r="L199" s="330" t="s">
        <v>260</v>
      </c>
      <c r="M199" s="234">
        <f t="shared" si="21"/>
        <v>0</v>
      </c>
      <c r="N199" s="218"/>
      <c r="O199" s="218"/>
      <c r="P199" s="324">
        <f t="shared" si="22"/>
        <v>0</v>
      </c>
      <c r="Q199" s="325" t="str">
        <f t="shared" si="23"/>
        <v/>
      </c>
    </row>
    <row r="200" spans="1:17" ht="15.75" x14ac:dyDescent="0.25">
      <c r="A200" s="536" t="s">
        <v>261</v>
      </c>
      <c r="B200" s="537" t="s">
        <v>261</v>
      </c>
      <c r="C200" s="331" t="s">
        <v>261</v>
      </c>
      <c r="D200" s="234">
        <f t="shared" si="20"/>
        <v>0</v>
      </c>
      <c r="E200" s="218"/>
      <c r="F200" s="218"/>
      <c r="J200" s="536" t="s">
        <v>261</v>
      </c>
      <c r="K200" s="537" t="s">
        <v>261</v>
      </c>
      <c r="L200" s="331" t="s">
        <v>261</v>
      </c>
      <c r="M200" s="234">
        <f t="shared" si="21"/>
        <v>0</v>
      </c>
      <c r="N200" s="218"/>
      <c r="O200" s="218"/>
      <c r="P200" s="324">
        <f t="shared" si="22"/>
        <v>0</v>
      </c>
      <c r="Q200" s="325" t="str">
        <f t="shared" si="23"/>
        <v/>
      </c>
    </row>
    <row r="201" spans="1:17" ht="15.75" x14ac:dyDescent="0.25">
      <c r="A201" s="536" t="s">
        <v>262</v>
      </c>
      <c r="B201" s="537" t="s">
        <v>262</v>
      </c>
      <c r="C201" s="332" t="s">
        <v>263</v>
      </c>
      <c r="D201" s="234">
        <f t="shared" si="20"/>
        <v>0</v>
      </c>
      <c r="E201" s="218"/>
      <c r="F201" s="218"/>
      <c r="J201" s="536" t="s">
        <v>262</v>
      </c>
      <c r="K201" s="537" t="s">
        <v>262</v>
      </c>
      <c r="L201" s="332" t="s">
        <v>263</v>
      </c>
      <c r="M201" s="234">
        <f t="shared" si="21"/>
        <v>0</v>
      </c>
      <c r="N201" s="218"/>
      <c r="O201" s="218"/>
      <c r="P201" s="324">
        <f t="shared" si="22"/>
        <v>0</v>
      </c>
      <c r="Q201" s="325" t="str">
        <f t="shared" si="23"/>
        <v/>
      </c>
    </row>
    <row r="202" spans="1:17" ht="15.75" x14ac:dyDescent="0.25">
      <c r="A202" s="536" t="s">
        <v>264</v>
      </c>
      <c r="B202" s="537" t="s">
        <v>264</v>
      </c>
      <c r="C202" s="333" t="s">
        <v>265</v>
      </c>
      <c r="D202" s="234">
        <f t="shared" si="20"/>
        <v>0</v>
      </c>
      <c r="E202" s="218"/>
      <c r="F202" s="218"/>
      <c r="J202" s="536" t="s">
        <v>264</v>
      </c>
      <c r="K202" s="537" t="s">
        <v>264</v>
      </c>
      <c r="L202" s="333" t="s">
        <v>265</v>
      </c>
      <c r="M202" s="234">
        <f t="shared" si="21"/>
        <v>0</v>
      </c>
      <c r="N202" s="218"/>
      <c r="O202" s="218"/>
      <c r="P202" s="324">
        <f t="shared" si="22"/>
        <v>0</v>
      </c>
      <c r="Q202" s="325" t="str">
        <f t="shared" si="23"/>
        <v/>
      </c>
    </row>
    <row r="203" spans="1:17" ht="15.75" x14ac:dyDescent="0.25">
      <c r="A203" s="536" t="s">
        <v>266</v>
      </c>
      <c r="B203" s="537" t="s">
        <v>266</v>
      </c>
      <c r="C203" s="334" t="s">
        <v>267</v>
      </c>
      <c r="D203" s="234">
        <f t="shared" si="20"/>
        <v>0</v>
      </c>
      <c r="E203" s="218"/>
      <c r="F203" s="218"/>
      <c r="J203" s="536" t="s">
        <v>266</v>
      </c>
      <c r="K203" s="537" t="s">
        <v>266</v>
      </c>
      <c r="L203" s="334" t="s">
        <v>267</v>
      </c>
      <c r="M203" s="234">
        <f t="shared" si="21"/>
        <v>0</v>
      </c>
      <c r="N203" s="218"/>
      <c r="O203" s="218"/>
      <c r="P203" s="324">
        <f t="shared" si="22"/>
        <v>0</v>
      </c>
      <c r="Q203" s="325" t="str">
        <f t="shared" si="23"/>
        <v/>
      </c>
    </row>
    <row r="204" spans="1:17" ht="15.75" x14ac:dyDescent="0.25">
      <c r="A204" s="536" t="s">
        <v>268</v>
      </c>
      <c r="B204" s="537" t="s">
        <v>268</v>
      </c>
      <c r="C204" s="335" t="s">
        <v>269</v>
      </c>
      <c r="D204" s="234">
        <f t="shared" si="20"/>
        <v>0</v>
      </c>
      <c r="E204" s="218"/>
      <c r="F204" s="218"/>
      <c r="J204" s="536" t="s">
        <v>268</v>
      </c>
      <c r="K204" s="537" t="s">
        <v>268</v>
      </c>
      <c r="L204" s="335" t="s">
        <v>269</v>
      </c>
      <c r="M204" s="234">
        <f t="shared" si="21"/>
        <v>0</v>
      </c>
      <c r="N204" s="218"/>
      <c r="O204" s="218"/>
      <c r="P204" s="324">
        <f t="shared" si="22"/>
        <v>0</v>
      </c>
      <c r="Q204" s="325" t="str">
        <f t="shared" si="23"/>
        <v/>
      </c>
    </row>
    <row r="205" spans="1:17" ht="15.75" x14ac:dyDescent="0.25">
      <c r="A205" s="536" t="s">
        <v>270</v>
      </c>
      <c r="B205" s="537" t="s">
        <v>270</v>
      </c>
      <c r="C205" s="336" t="s">
        <v>270</v>
      </c>
      <c r="D205" s="234">
        <f t="shared" si="20"/>
        <v>0</v>
      </c>
      <c r="E205" s="218"/>
      <c r="F205" s="218"/>
      <c r="J205" s="536" t="s">
        <v>270</v>
      </c>
      <c r="K205" s="537" t="s">
        <v>270</v>
      </c>
      <c r="L205" s="336" t="s">
        <v>270</v>
      </c>
      <c r="M205" s="234">
        <f t="shared" si="21"/>
        <v>0</v>
      </c>
      <c r="N205" s="218"/>
      <c r="O205" s="218"/>
      <c r="P205" s="324">
        <f t="shared" si="22"/>
        <v>0</v>
      </c>
      <c r="Q205" s="325" t="str">
        <f t="shared" si="23"/>
        <v/>
      </c>
    </row>
    <row r="206" spans="1:17" ht="15.75" x14ac:dyDescent="0.25">
      <c r="A206" s="536" t="s">
        <v>271</v>
      </c>
      <c r="B206" s="537" t="s">
        <v>271</v>
      </c>
      <c r="C206" s="337" t="s">
        <v>272</v>
      </c>
      <c r="D206" s="234">
        <f t="shared" si="20"/>
        <v>0</v>
      </c>
      <c r="E206" s="218"/>
      <c r="F206" s="218"/>
      <c r="J206" s="536" t="s">
        <v>271</v>
      </c>
      <c r="K206" s="537" t="s">
        <v>271</v>
      </c>
      <c r="L206" s="337" t="s">
        <v>272</v>
      </c>
      <c r="M206" s="234">
        <f t="shared" si="21"/>
        <v>0</v>
      </c>
      <c r="N206" s="218"/>
      <c r="O206" s="218"/>
      <c r="P206" s="324">
        <f t="shared" si="22"/>
        <v>0</v>
      </c>
      <c r="Q206" s="325" t="str">
        <f t="shared" si="23"/>
        <v/>
      </c>
    </row>
    <row r="207" spans="1:17" ht="15.75" x14ac:dyDescent="0.25">
      <c r="A207" s="536" t="s">
        <v>273</v>
      </c>
      <c r="B207" s="537" t="s">
        <v>273</v>
      </c>
      <c r="C207" s="338" t="s">
        <v>274</v>
      </c>
      <c r="D207" s="234">
        <f t="shared" si="20"/>
        <v>0</v>
      </c>
      <c r="E207" s="218"/>
      <c r="F207" s="218"/>
      <c r="J207" s="536" t="s">
        <v>273</v>
      </c>
      <c r="K207" s="537" t="s">
        <v>273</v>
      </c>
      <c r="L207" s="338" t="s">
        <v>274</v>
      </c>
      <c r="M207" s="234">
        <f t="shared" si="21"/>
        <v>0</v>
      </c>
      <c r="N207" s="218"/>
      <c r="O207" s="218"/>
      <c r="P207" s="324">
        <f t="shared" si="22"/>
        <v>0</v>
      </c>
      <c r="Q207" s="325" t="str">
        <f t="shared" si="23"/>
        <v/>
      </c>
    </row>
    <row r="208" spans="1:17" ht="15.75" x14ac:dyDescent="0.25">
      <c r="A208" s="536" t="s">
        <v>275</v>
      </c>
      <c r="B208" s="537" t="s">
        <v>275</v>
      </c>
      <c r="C208" s="339" t="s">
        <v>276</v>
      </c>
      <c r="D208" s="234">
        <f t="shared" si="20"/>
        <v>0</v>
      </c>
      <c r="E208" s="218"/>
      <c r="F208" s="218"/>
      <c r="J208" s="536" t="s">
        <v>275</v>
      </c>
      <c r="K208" s="537" t="s">
        <v>275</v>
      </c>
      <c r="L208" s="339" t="s">
        <v>276</v>
      </c>
      <c r="M208" s="234">
        <f t="shared" si="21"/>
        <v>0</v>
      </c>
      <c r="N208" s="218"/>
      <c r="O208" s="218"/>
      <c r="P208" s="324">
        <f t="shared" si="22"/>
        <v>0</v>
      </c>
      <c r="Q208" s="325" t="str">
        <f t="shared" si="23"/>
        <v/>
      </c>
    </row>
    <row r="209" spans="1:17" ht="15.75" x14ac:dyDescent="0.25">
      <c r="A209" s="536" t="s">
        <v>277</v>
      </c>
      <c r="B209" s="537" t="s">
        <v>277</v>
      </c>
      <c r="C209" s="340" t="s">
        <v>278</v>
      </c>
      <c r="D209" s="234">
        <f t="shared" si="20"/>
        <v>0</v>
      </c>
      <c r="E209" s="218"/>
      <c r="F209" s="218"/>
      <c r="J209" s="536" t="s">
        <v>277</v>
      </c>
      <c r="K209" s="537" t="s">
        <v>277</v>
      </c>
      <c r="L209" s="340" t="s">
        <v>278</v>
      </c>
      <c r="M209" s="234">
        <f t="shared" si="21"/>
        <v>0</v>
      </c>
      <c r="N209" s="218"/>
      <c r="O209" s="218"/>
      <c r="P209" s="324">
        <f t="shared" si="22"/>
        <v>0</v>
      </c>
      <c r="Q209" s="325" t="str">
        <f t="shared" si="23"/>
        <v/>
      </c>
    </row>
    <row r="210" spans="1:17" ht="15.75" x14ac:dyDescent="0.25">
      <c r="A210" s="536" t="s">
        <v>279</v>
      </c>
      <c r="B210" s="537"/>
      <c r="C210" s="341" t="s">
        <v>280</v>
      </c>
      <c r="D210" s="234">
        <f t="shared" si="20"/>
        <v>0</v>
      </c>
      <c r="E210" s="218"/>
      <c r="F210" s="218"/>
      <c r="J210" s="536" t="s">
        <v>279</v>
      </c>
      <c r="K210" s="537"/>
      <c r="L210" s="341" t="s">
        <v>280</v>
      </c>
      <c r="M210" s="234">
        <f t="shared" si="21"/>
        <v>0</v>
      </c>
      <c r="N210" s="218"/>
      <c r="O210" s="218"/>
      <c r="P210" s="324">
        <f t="shared" si="22"/>
        <v>0</v>
      </c>
      <c r="Q210" s="325" t="str">
        <f t="shared" si="23"/>
        <v/>
      </c>
    </row>
    <row r="211" spans="1:17" ht="15.75" x14ac:dyDescent="0.25">
      <c r="A211" s="536" t="s">
        <v>281</v>
      </c>
      <c r="B211" s="537" t="s">
        <v>281</v>
      </c>
      <c r="C211" s="342" t="s">
        <v>282</v>
      </c>
      <c r="D211" s="234">
        <f t="shared" si="20"/>
        <v>0</v>
      </c>
      <c r="E211" s="218"/>
      <c r="F211" s="218"/>
      <c r="J211" s="536" t="s">
        <v>281</v>
      </c>
      <c r="K211" s="537" t="s">
        <v>281</v>
      </c>
      <c r="L211" s="342" t="s">
        <v>282</v>
      </c>
      <c r="M211" s="234">
        <f t="shared" si="21"/>
        <v>0</v>
      </c>
      <c r="N211" s="218"/>
      <c r="O211" s="218"/>
      <c r="P211" s="324">
        <f t="shared" si="22"/>
        <v>0</v>
      </c>
      <c r="Q211" s="325" t="str">
        <f t="shared" si="23"/>
        <v/>
      </c>
    </row>
    <row r="212" spans="1:17" ht="15.75" x14ac:dyDescent="0.25">
      <c r="A212" s="536" t="s">
        <v>283</v>
      </c>
      <c r="B212" s="537" t="s">
        <v>283</v>
      </c>
      <c r="C212" s="343" t="s">
        <v>284</v>
      </c>
      <c r="D212" s="234">
        <f t="shared" si="20"/>
        <v>0</v>
      </c>
      <c r="E212" s="218"/>
      <c r="F212" s="218"/>
      <c r="J212" s="536" t="s">
        <v>283</v>
      </c>
      <c r="K212" s="537" t="s">
        <v>283</v>
      </c>
      <c r="L212" s="343" t="s">
        <v>284</v>
      </c>
      <c r="M212" s="234">
        <f t="shared" si="21"/>
        <v>0</v>
      </c>
      <c r="N212" s="218"/>
      <c r="O212" s="218"/>
      <c r="P212" s="324">
        <f t="shared" si="22"/>
        <v>0</v>
      </c>
      <c r="Q212" s="325" t="str">
        <f t="shared" si="23"/>
        <v/>
      </c>
    </row>
    <row r="213" spans="1:17" ht="15.75" x14ac:dyDescent="0.25">
      <c r="A213" s="536" t="s">
        <v>285</v>
      </c>
      <c r="B213" s="537"/>
      <c r="C213" s="344" t="s">
        <v>286</v>
      </c>
      <c r="D213" s="234">
        <f t="shared" si="20"/>
        <v>0</v>
      </c>
      <c r="E213" s="218"/>
      <c r="F213" s="218"/>
      <c r="J213" s="536" t="s">
        <v>285</v>
      </c>
      <c r="K213" s="537"/>
      <c r="L213" s="344" t="s">
        <v>286</v>
      </c>
      <c r="M213" s="234">
        <f t="shared" si="21"/>
        <v>0</v>
      </c>
      <c r="N213" s="218"/>
      <c r="O213" s="218"/>
      <c r="P213" s="324">
        <f t="shared" si="22"/>
        <v>0</v>
      </c>
      <c r="Q213" s="325" t="str">
        <f t="shared" si="23"/>
        <v/>
      </c>
    </row>
    <row r="214" spans="1:17" ht="15.75" x14ac:dyDescent="0.25">
      <c r="A214" s="536" t="s">
        <v>287</v>
      </c>
      <c r="B214" s="537" t="s">
        <v>287</v>
      </c>
      <c r="C214" s="345" t="s">
        <v>288</v>
      </c>
      <c r="D214" s="234">
        <f t="shared" si="20"/>
        <v>0</v>
      </c>
      <c r="E214" s="218"/>
      <c r="F214" s="218"/>
      <c r="J214" s="536" t="s">
        <v>287</v>
      </c>
      <c r="K214" s="537" t="s">
        <v>287</v>
      </c>
      <c r="L214" s="345" t="s">
        <v>288</v>
      </c>
      <c r="M214" s="234">
        <f t="shared" si="21"/>
        <v>0</v>
      </c>
      <c r="N214" s="218"/>
      <c r="O214" s="218"/>
      <c r="P214" s="324">
        <f t="shared" si="22"/>
        <v>0</v>
      </c>
      <c r="Q214" s="325" t="str">
        <f t="shared" si="23"/>
        <v/>
      </c>
    </row>
    <row r="215" spans="1:17" ht="15.75" x14ac:dyDescent="0.25">
      <c r="A215" s="536" t="s">
        <v>289</v>
      </c>
      <c r="B215" s="537" t="s">
        <v>290</v>
      </c>
      <c r="C215" s="346" t="s">
        <v>291</v>
      </c>
      <c r="D215" s="234">
        <f t="shared" si="20"/>
        <v>0</v>
      </c>
      <c r="E215" s="218"/>
      <c r="F215" s="218"/>
      <c r="J215" s="536" t="s">
        <v>289</v>
      </c>
      <c r="K215" s="537" t="s">
        <v>290</v>
      </c>
      <c r="L215" s="346" t="s">
        <v>291</v>
      </c>
      <c r="M215" s="234">
        <f t="shared" si="21"/>
        <v>0</v>
      </c>
      <c r="N215" s="218"/>
      <c r="O215" s="218"/>
      <c r="P215" s="324">
        <f t="shared" si="22"/>
        <v>0</v>
      </c>
      <c r="Q215" s="325" t="str">
        <f t="shared" si="23"/>
        <v/>
      </c>
    </row>
    <row r="216" spans="1:17" ht="15.75" x14ac:dyDescent="0.25">
      <c r="A216" s="536" t="s">
        <v>292</v>
      </c>
      <c r="B216" s="537" t="s">
        <v>293</v>
      </c>
      <c r="C216" s="347" t="s">
        <v>294</v>
      </c>
      <c r="D216" s="234">
        <f t="shared" si="20"/>
        <v>0</v>
      </c>
      <c r="E216" s="218"/>
      <c r="F216" s="218"/>
      <c r="J216" s="536" t="s">
        <v>292</v>
      </c>
      <c r="K216" s="537" t="s">
        <v>293</v>
      </c>
      <c r="L216" s="347" t="s">
        <v>294</v>
      </c>
      <c r="M216" s="234">
        <f t="shared" si="21"/>
        <v>0</v>
      </c>
      <c r="N216" s="218"/>
      <c r="O216" s="218"/>
      <c r="P216" s="324">
        <f t="shared" si="22"/>
        <v>0</v>
      </c>
      <c r="Q216" s="325" t="str">
        <f t="shared" si="23"/>
        <v/>
      </c>
    </row>
    <row r="217" spans="1:17" ht="16.5" thickBot="1" x14ac:dyDescent="0.3">
      <c r="A217" s="536" t="s">
        <v>295</v>
      </c>
      <c r="B217" s="537" t="s">
        <v>293</v>
      </c>
      <c r="C217" s="346" t="s">
        <v>296</v>
      </c>
      <c r="D217" s="234">
        <f t="shared" si="20"/>
        <v>0</v>
      </c>
      <c r="E217" s="218"/>
      <c r="F217" s="218"/>
      <c r="J217" s="536" t="s">
        <v>295</v>
      </c>
      <c r="K217" s="537" t="s">
        <v>293</v>
      </c>
      <c r="L217" s="346" t="s">
        <v>296</v>
      </c>
      <c r="M217" s="234">
        <f t="shared" si="21"/>
        <v>0</v>
      </c>
      <c r="N217" s="218"/>
      <c r="O217" s="218"/>
      <c r="P217" s="324">
        <f t="shared" si="22"/>
        <v>0</v>
      </c>
      <c r="Q217" s="325" t="str">
        <f t="shared" si="23"/>
        <v/>
      </c>
    </row>
    <row r="218" spans="1:17" ht="21.75" thickBot="1" x14ac:dyDescent="0.3">
      <c r="A218" s="548" t="s">
        <v>297</v>
      </c>
      <c r="B218" s="548"/>
      <c r="C218" s="548"/>
      <c r="D218" s="549"/>
      <c r="E218" s="514">
        <f>SUM(D219:D290)</f>
        <v>48</v>
      </c>
      <c r="F218" s="515"/>
      <c r="J218" s="548" t="s">
        <v>297</v>
      </c>
      <c r="K218" s="548"/>
      <c r="L218" s="548"/>
      <c r="M218" s="549"/>
      <c r="N218" s="514">
        <f>SUM(M219:M290)</f>
        <v>14</v>
      </c>
      <c r="O218" s="515"/>
      <c r="P218" s="546" t="s">
        <v>298</v>
      </c>
      <c r="Q218" s="547"/>
    </row>
    <row r="219" spans="1:17" ht="15.75" x14ac:dyDescent="0.25">
      <c r="A219" s="536" t="s">
        <v>299</v>
      </c>
      <c r="B219" s="537"/>
      <c r="C219" s="348" t="s">
        <v>300</v>
      </c>
      <c r="D219" s="234">
        <f t="shared" ref="D219:D282" si="24">COUNTIF($AB$13:$AW$54,C219)</f>
        <v>0</v>
      </c>
      <c r="E219" s="218"/>
      <c r="F219" s="218"/>
      <c r="J219" s="536" t="s">
        <v>299</v>
      </c>
      <c r="K219" s="537"/>
      <c r="L219" s="348" t="s">
        <v>300</v>
      </c>
      <c r="M219" s="234">
        <f t="shared" si="21"/>
        <v>0</v>
      </c>
      <c r="N219" s="218"/>
      <c r="O219" s="218"/>
      <c r="P219" s="324">
        <f>D219+M219</f>
        <v>0</v>
      </c>
      <c r="Q219" s="325" t="str">
        <f t="shared" ref="Q219:Q288" si="25">IFERROR(P219/$J$4,"")</f>
        <v/>
      </c>
    </row>
    <row r="220" spans="1:17" ht="15.75" x14ac:dyDescent="0.25">
      <c r="A220" s="536" t="s">
        <v>301</v>
      </c>
      <c r="B220" s="537"/>
      <c r="C220" s="349" t="s">
        <v>302</v>
      </c>
      <c r="D220" s="234">
        <f t="shared" si="24"/>
        <v>0</v>
      </c>
      <c r="E220" s="218"/>
      <c r="F220" s="218"/>
      <c r="J220" s="536" t="s">
        <v>301</v>
      </c>
      <c r="K220" s="537"/>
      <c r="L220" s="349" t="s">
        <v>302</v>
      </c>
      <c r="M220" s="234">
        <f t="shared" si="21"/>
        <v>0</v>
      </c>
      <c r="N220" s="218"/>
      <c r="O220" s="218"/>
      <c r="P220" s="324">
        <f t="shared" ref="P220:P283" si="26">D220+M220</f>
        <v>0</v>
      </c>
      <c r="Q220" s="325" t="str">
        <f t="shared" si="25"/>
        <v/>
      </c>
    </row>
    <row r="221" spans="1:17" ht="15.75" x14ac:dyDescent="0.25">
      <c r="A221" s="536" t="s">
        <v>303</v>
      </c>
      <c r="B221" s="537"/>
      <c r="C221" s="350" t="s">
        <v>304</v>
      </c>
      <c r="D221" s="234">
        <f t="shared" si="24"/>
        <v>0</v>
      </c>
      <c r="E221" s="218"/>
      <c r="F221" s="218"/>
      <c r="J221" s="536" t="s">
        <v>303</v>
      </c>
      <c r="K221" s="537"/>
      <c r="L221" s="350" t="s">
        <v>304</v>
      </c>
      <c r="M221" s="234">
        <f t="shared" si="21"/>
        <v>0</v>
      </c>
      <c r="N221" s="218"/>
      <c r="O221" s="218"/>
      <c r="P221" s="324">
        <f t="shared" si="26"/>
        <v>0</v>
      </c>
      <c r="Q221" s="325" t="str">
        <f t="shared" si="25"/>
        <v/>
      </c>
    </row>
    <row r="222" spans="1:17" ht="15.75" x14ac:dyDescent="0.25">
      <c r="A222" s="536" t="s">
        <v>305</v>
      </c>
      <c r="B222" s="537"/>
      <c r="C222" s="351" t="s">
        <v>306</v>
      </c>
      <c r="D222" s="234">
        <f t="shared" si="24"/>
        <v>0</v>
      </c>
      <c r="E222" s="218"/>
      <c r="F222" s="218"/>
      <c r="J222" s="536" t="s">
        <v>305</v>
      </c>
      <c r="K222" s="537"/>
      <c r="L222" s="351" t="s">
        <v>306</v>
      </c>
      <c r="M222" s="234">
        <f t="shared" si="21"/>
        <v>0</v>
      </c>
      <c r="N222" s="218"/>
      <c r="O222" s="218"/>
      <c r="P222" s="324">
        <f t="shared" si="26"/>
        <v>0</v>
      </c>
      <c r="Q222" s="325" t="str">
        <f t="shared" si="25"/>
        <v/>
      </c>
    </row>
    <row r="223" spans="1:17" ht="15.75" x14ac:dyDescent="0.25">
      <c r="A223" s="536" t="s">
        <v>281</v>
      </c>
      <c r="B223" s="537"/>
      <c r="C223" s="342" t="s">
        <v>281</v>
      </c>
      <c r="D223" s="234">
        <f t="shared" si="24"/>
        <v>0</v>
      </c>
      <c r="E223" s="218"/>
      <c r="F223" s="218"/>
      <c r="J223" s="536" t="s">
        <v>281</v>
      </c>
      <c r="K223" s="537"/>
      <c r="L223" s="342" t="s">
        <v>281</v>
      </c>
      <c r="M223" s="234">
        <f t="shared" si="21"/>
        <v>0</v>
      </c>
      <c r="N223" s="218"/>
      <c r="O223" s="218"/>
      <c r="P223" s="324">
        <f t="shared" si="26"/>
        <v>0</v>
      </c>
      <c r="Q223" s="325" t="str">
        <f t="shared" si="25"/>
        <v/>
      </c>
    </row>
    <row r="224" spans="1:17" ht="15.75" x14ac:dyDescent="0.25">
      <c r="A224" s="536" t="s">
        <v>307</v>
      </c>
      <c r="B224" s="537"/>
      <c r="C224" s="352" t="s">
        <v>308</v>
      </c>
      <c r="D224" s="234">
        <f t="shared" si="24"/>
        <v>0</v>
      </c>
      <c r="E224" s="218"/>
      <c r="F224" s="218"/>
      <c r="J224" s="536" t="s">
        <v>307</v>
      </c>
      <c r="K224" s="537"/>
      <c r="L224" s="352" t="s">
        <v>308</v>
      </c>
      <c r="M224" s="234">
        <f t="shared" si="21"/>
        <v>0</v>
      </c>
      <c r="N224" s="218"/>
      <c r="O224" s="218"/>
      <c r="P224" s="324">
        <f t="shared" si="26"/>
        <v>0</v>
      </c>
      <c r="Q224" s="325" t="str">
        <f t="shared" si="25"/>
        <v/>
      </c>
    </row>
    <row r="225" spans="1:17" ht="15.75" x14ac:dyDescent="0.25">
      <c r="A225" s="536" t="s">
        <v>309</v>
      </c>
      <c r="B225" s="537"/>
      <c r="C225" s="353" t="s">
        <v>310</v>
      </c>
      <c r="D225" s="234">
        <f t="shared" si="24"/>
        <v>0</v>
      </c>
      <c r="E225" s="218"/>
      <c r="F225" s="218"/>
      <c r="J225" s="536" t="s">
        <v>309</v>
      </c>
      <c r="K225" s="537"/>
      <c r="L225" s="353" t="s">
        <v>310</v>
      </c>
      <c r="M225" s="234">
        <f t="shared" si="21"/>
        <v>0</v>
      </c>
      <c r="N225" s="218"/>
      <c r="O225" s="218"/>
      <c r="P225" s="324">
        <f t="shared" si="26"/>
        <v>0</v>
      </c>
      <c r="Q225" s="325" t="str">
        <f t="shared" si="25"/>
        <v/>
      </c>
    </row>
    <row r="226" spans="1:17" ht="15.75" x14ac:dyDescent="0.25">
      <c r="A226" s="536" t="s">
        <v>219</v>
      </c>
      <c r="B226" s="537"/>
      <c r="C226" s="191" t="s">
        <v>219</v>
      </c>
      <c r="D226" s="234">
        <f t="shared" si="24"/>
        <v>4</v>
      </c>
      <c r="E226" s="218"/>
      <c r="F226" s="218"/>
      <c r="J226" s="536" t="s">
        <v>219</v>
      </c>
      <c r="K226" s="537"/>
      <c r="L226" s="191" t="s">
        <v>219</v>
      </c>
      <c r="M226" s="234">
        <f t="shared" si="21"/>
        <v>0</v>
      </c>
      <c r="N226" s="218"/>
      <c r="O226" s="218"/>
      <c r="P226" s="324">
        <f>D226+M226</f>
        <v>4</v>
      </c>
      <c r="Q226" s="325" t="str">
        <f t="shared" si="25"/>
        <v/>
      </c>
    </row>
    <row r="227" spans="1:17" ht="15.75" x14ac:dyDescent="0.25">
      <c r="A227" s="536" t="s">
        <v>311</v>
      </c>
      <c r="B227" s="537"/>
      <c r="C227" s="354" t="s">
        <v>312</v>
      </c>
      <c r="D227" s="234">
        <f t="shared" si="24"/>
        <v>0</v>
      </c>
      <c r="E227" s="218"/>
      <c r="F227" s="218"/>
      <c r="J227" s="536" t="s">
        <v>311</v>
      </c>
      <c r="K227" s="537"/>
      <c r="L227" s="354" t="s">
        <v>312</v>
      </c>
      <c r="M227" s="234">
        <f t="shared" si="21"/>
        <v>0</v>
      </c>
      <c r="N227" s="218"/>
      <c r="O227" s="218"/>
      <c r="P227" s="324">
        <f t="shared" si="26"/>
        <v>0</v>
      </c>
      <c r="Q227" s="325" t="str">
        <f t="shared" si="25"/>
        <v/>
      </c>
    </row>
    <row r="228" spans="1:17" ht="15.75" x14ac:dyDescent="0.25">
      <c r="A228" s="536" t="s">
        <v>313</v>
      </c>
      <c r="B228" s="537"/>
      <c r="C228" s="355" t="s">
        <v>314</v>
      </c>
      <c r="D228" s="234">
        <f t="shared" si="24"/>
        <v>0</v>
      </c>
      <c r="E228" s="218"/>
      <c r="F228" s="218"/>
      <c r="J228" s="536" t="s">
        <v>313</v>
      </c>
      <c r="K228" s="537"/>
      <c r="L228" s="355" t="s">
        <v>314</v>
      </c>
      <c r="M228" s="234">
        <f t="shared" si="21"/>
        <v>0</v>
      </c>
      <c r="N228" s="218"/>
      <c r="O228" s="218"/>
      <c r="P228" s="324">
        <f t="shared" si="26"/>
        <v>0</v>
      </c>
      <c r="Q228" s="325" t="str">
        <f t="shared" si="25"/>
        <v/>
      </c>
    </row>
    <row r="229" spans="1:17" ht="15.75" x14ac:dyDescent="0.25">
      <c r="A229" s="536" t="s">
        <v>315</v>
      </c>
      <c r="B229" s="537"/>
      <c r="C229" s="356" t="s">
        <v>315</v>
      </c>
      <c r="D229" s="234">
        <f t="shared" si="24"/>
        <v>0</v>
      </c>
      <c r="E229" s="218"/>
      <c r="F229" s="218"/>
      <c r="J229" s="536" t="s">
        <v>315</v>
      </c>
      <c r="K229" s="537"/>
      <c r="L229" s="356" t="s">
        <v>315</v>
      </c>
      <c r="M229" s="234">
        <f t="shared" si="21"/>
        <v>0</v>
      </c>
      <c r="N229" s="218"/>
      <c r="O229" s="218"/>
      <c r="P229" s="324">
        <f t="shared" si="26"/>
        <v>0</v>
      </c>
      <c r="Q229" s="325" t="str">
        <f t="shared" si="25"/>
        <v/>
      </c>
    </row>
    <row r="230" spans="1:17" ht="15.75" x14ac:dyDescent="0.25">
      <c r="A230" s="536" t="s">
        <v>316</v>
      </c>
      <c r="B230" s="537"/>
      <c r="C230" s="357" t="s">
        <v>317</v>
      </c>
      <c r="D230" s="234">
        <f t="shared" si="24"/>
        <v>0</v>
      </c>
      <c r="E230" s="218"/>
      <c r="F230" s="218"/>
      <c r="J230" s="536" t="s">
        <v>316</v>
      </c>
      <c r="K230" s="537"/>
      <c r="L230" s="357" t="s">
        <v>317</v>
      </c>
      <c r="M230" s="234">
        <f t="shared" si="21"/>
        <v>0</v>
      </c>
      <c r="N230" s="218"/>
      <c r="O230" s="218"/>
      <c r="P230" s="324">
        <f t="shared" si="26"/>
        <v>0</v>
      </c>
      <c r="Q230" s="325" t="str">
        <f t="shared" si="25"/>
        <v/>
      </c>
    </row>
    <row r="231" spans="1:17" ht="15.75" x14ac:dyDescent="0.25">
      <c r="A231" s="536" t="s">
        <v>318</v>
      </c>
      <c r="B231" s="537"/>
      <c r="C231" s="358" t="s">
        <v>319</v>
      </c>
      <c r="D231" s="234">
        <f t="shared" si="24"/>
        <v>0</v>
      </c>
      <c r="E231" s="218"/>
      <c r="F231" s="218"/>
      <c r="J231" s="536" t="s">
        <v>318</v>
      </c>
      <c r="K231" s="537"/>
      <c r="L231" s="358" t="s">
        <v>319</v>
      </c>
      <c r="M231" s="234">
        <f t="shared" si="21"/>
        <v>0</v>
      </c>
      <c r="N231" s="218"/>
      <c r="O231" s="218"/>
      <c r="P231" s="324">
        <f t="shared" si="26"/>
        <v>0</v>
      </c>
      <c r="Q231" s="325" t="str">
        <f t="shared" si="25"/>
        <v/>
      </c>
    </row>
    <row r="232" spans="1:17" ht="15.75" x14ac:dyDescent="0.25">
      <c r="A232" s="536" t="s">
        <v>320</v>
      </c>
      <c r="B232" s="537"/>
      <c r="C232" s="349" t="s">
        <v>321</v>
      </c>
      <c r="D232" s="234">
        <f t="shared" si="24"/>
        <v>0</v>
      </c>
      <c r="E232" s="218"/>
      <c r="F232" s="218"/>
      <c r="J232" s="536" t="s">
        <v>320</v>
      </c>
      <c r="K232" s="537"/>
      <c r="L232" s="349" t="s">
        <v>321</v>
      </c>
      <c r="M232" s="234">
        <f t="shared" si="21"/>
        <v>0</v>
      </c>
      <c r="N232" s="218"/>
      <c r="O232" s="218"/>
      <c r="P232" s="324">
        <f t="shared" si="26"/>
        <v>0</v>
      </c>
      <c r="Q232" s="325"/>
    </row>
    <row r="233" spans="1:17" ht="15.75" x14ac:dyDescent="0.25">
      <c r="A233" s="536" t="s">
        <v>322</v>
      </c>
      <c r="B233" s="537"/>
      <c r="C233" s="359" t="s">
        <v>323</v>
      </c>
      <c r="D233" s="234">
        <f t="shared" si="24"/>
        <v>0</v>
      </c>
      <c r="E233" s="218"/>
      <c r="F233" s="218"/>
      <c r="J233" s="536" t="s">
        <v>322</v>
      </c>
      <c r="K233" s="537"/>
      <c r="L233" s="359" t="s">
        <v>323</v>
      </c>
      <c r="M233" s="234">
        <f t="shared" si="21"/>
        <v>0</v>
      </c>
      <c r="N233" s="218"/>
      <c r="O233" s="218"/>
      <c r="P233" s="324">
        <f t="shared" si="26"/>
        <v>0</v>
      </c>
      <c r="Q233" s="325" t="str">
        <f t="shared" si="25"/>
        <v/>
      </c>
    </row>
    <row r="234" spans="1:17" ht="15.75" x14ac:dyDescent="0.25">
      <c r="A234" s="536" t="s">
        <v>324</v>
      </c>
      <c r="B234" s="537"/>
      <c r="C234" s="338" t="s">
        <v>325</v>
      </c>
      <c r="D234" s="234">
        <f t="shared" si="24"/>
        <v>0</v>
      </c>
      <c r="E234" s="218"/>
      <c r="F234" s="218"/>
      <c r="J234" s="536" t="s">
        <v>324</v>
      </c>
      <c r="K234" s="537"/>
      <c r="L234" s="338" t="s">
        <v>325</v>
      </c>
      <c r="M234" s="234">
        <f t="shared" si="21"/>
        <v>0</v>
      </c>
      <c r="N234" s="218"/>
      <c r="O234" s="218"/>
      <c r="P234" s="324">
        <f t="shared" si="26"/>
        <v>0</v>
      </c>
      <c r="Q234" s="325" t="str">
        <f t="shared" si="25"/>
        <v/>
      </c>
    </row>
    <row r="235" spans="1:17" ht="15.75" x14ac:dyDescent="0.25">
      <c r="A235" s="536" t="s">
        <v>271</v>
      </c>
      <c r="B235" s="537"/>
      <c r="C235" s="360" t="s">
        <v>326</v>
      </c>
      <c r="D235" s="234">
        <f t="shared" si="24"/>
        <v>0</v>
      </c>
      <c r="E235" s="218"/>
      <c r="F235" s="218"/>
      <c r="J235" s="536" t="s">
        <v>271</v>
      </c>
      <c r="K235" s="537"/>
      <c r="L235" s="360" t="s">
        <v>326</v>
      </c>
      <c r="M235" s="234">
        <f t="shared" si="21"/>
        <v>0</v>
      </c>
      <c r="N235" s="218"/>
      <c r="O235" s="218"/>
      <c r="P235" s="324">
        <f t="shared" si="26"/>
        <v>0</v>
      </c>
      <c r="Q235" s="325" t="str">
        <f t="shared" si="25"/>
        <v/>
      </c>
    </row>
    <row r="236" spans="1:17" ht="15.75" x14ac:dyDescent="0.25">
      <c r="A236" s="536" t="s">
        <v>327</v>
      </c>
      <c r="B236" s="537"/>
      <c r="C236" s="361" t="s">
        <v>328</v>
      </c>
      <c r="D236" s="234">
        <f>COUNTIF($AB$13:$AW$54,C236)</f>
        <v>0</v>
      </c>
      <c r="E236" s="218"/>
      <c r="F236" s="218"/>
      <c r="J236" s="536" t="s">
        <v>327</v>
      </c>
      <c r="K236" s="537"/>
      <c r="L236" s="361" t="s">
        <v>328</v>
      </c>
      <c r="M236" s="234">
        <f t="shared" si="21"/>
        <v>0</v>
      </c>
      <c r="N236" s="218"/>
      <c r="O236" s="218"/>
      <c r="P236" s="324">
        <f t="shared" si="26"/>
        <v>0</v>
      </c>
      <c r="Q236" s="325" t="str">
        <f t="shared" si="25"/>
        <v/>
      </c>
    </row>
    <row r="237" spans="1:17" ht="15.75" x14ac:dyDescent="0.25">
      <c r="A237" s="536" t="s">
        <v>329</v>
      </c>
      <c r="B237" s="537"/>
      <c r="C237" s="362" t="s">
        <v>330</v>
      </c>
      <c r="D237" s="234">
        <f>COUNTIF($AB$13:$AW$54,C237)</f>
        <v>0</v>
      </c>
      <c r="E237" s="218"/>
      <c r="F237" s="218"/>
      <c r="J237" s="536" t="s">
        <v>329</v>
      </c>
      <c r="K237" s="537"/>
      <c r="L237" s="362" t="s">
        <v>330</v>
      </c>
      <c r="M237" s="234">
        <f t="shared" si="21"/>
        <v>0</v>
      </c>
      <c r="N237" s="218"/>
      <c r="O237" s="218"/>
      <c r="P237" s="324">
        <f t="shared" si="26"/>
        <v>0</v>
      </c>
      <c r="Q237" s="325" t="str">
        <f t="shared" si="25"/>
        <v/>
      </c>
    </row>
    <row r="238" spans="1:17" ht="15.75" x14ac:dyDescent="0.25">
      <c r="A238" s="536" t="s">
        <v>331</v>
      </c>
      <c r="B238" s="537"/>
      <c r="C238" s="363" t="s">
        <v>332</v>
      </c>
      <c r="D238" s="234">
        <f t="shared" si="24"/>
        <v>0</v>
      </c>
      <c r="E238" s="218"/>
      <c r="F238" s="218"/>
      <c r="J238" s="536" t="s">
        <v>331</v>
      </c>
      <c r="K238" s="537"/>
      <c r="L238" s="363" t="s">
        <v>332</v>
      </c>
      <c r="M238" s="234">
        <f t="shared" si="21"/>
        <v>0</v>
      </c>
      <c r="N238" s="218"/>
      <c r="O238" s="218"/>
      <c r="P238" s="324">
        <f t="shared" si="26"/>
        <v>0</v>
      </c>
      <c r="Q238" s="325" t="str">
        <f t="shared" si="25"/>
        <v/>
      </c>
    </row>
    <row r="239" spans="1:17" ht="15.75" x14ac:dyDescent="0.25">
      <c r="A239" s="536" t="s">
        <v>333</v>
      </c>
      <c r="B239" s="537"/>
      <c r="C239" s="364" t="s">
        <v>334</v>
      </c>
      <c r="D239" s="234">
        <f t="shared" si="24"/>
        <v>0</v>
      </c>
      <c r="E239" s="218"/>
      <c r="F239" s="218"/>
      <c r="J239" s="536" t="s">
        <v>333</v>
      </c>
      <c r="K239" s="537"/>
      <c r="L239" s="364" t="s">
        <v>334</v>
      </c>
      <c r="M239" s="234">
        <f t="shared" si="21"/>
        <v>0</v>
      </c>
      <c r="N239" s="218"/>
      <c r="O239" s="218"/>
      <c r="P239" s="324">
        <f t="shared" si="26"/>
        <v>0</v>
      </c>
      <c r="Q239" s="325" t="str">
        <f t="shared" si="25"/>
        <v/>
      </c>
    </row>
    <row r="240" spans="1:17" ht="15.75" x14ac:dyDescent="0.25">
      <c r="A240" s="536" t="s">
        <v>335</v>
      </c>
      <c r="B240" s="537"/>
      <c r="C240" s="365" t="s">
        <v>336</v>
      </c>
      <c r="D240" s="234">
        <f t="shared" si="24"/>
        <v>0</v>
      </c>
      <c r="E240" s="218"/>
      <c r="F240" s="218"/>
      <c r="J240" s="536" t="s">
        <v>335</v>
      </c>
      <c r="K240" s="537"/>
      <c r="L240" s="365" t="s">
        <v>336</v>
      </c>
      <c r="M240" s="234">
        <f t="shared" si="21"/>
        <v>0</v>
      </c>
      <c r="N240" s="218"/>
      <c r="O240" s="218"/>
      <c r="P240" s="324">
        <f t="shared" si="26"/>
        <v>0</v>
      </c>
      <c r="Q240" s="325" t="str">
        <f t="shared" si="25"/>
        <v/>
      </c>
    </row>
    <row r="241" spans="1:17" ht="15.75" x14ac:dyDescent="0.25">
      <c r="A241" s="536" t="s">
        <v>337</v>
      </c>
      <c r="B241" s="537"/>
      <c r="C241" s="366" t="s">
        <v>337</v>
      </c>
      <c r="D241" s="234">
        <f t="shared" si="24"/>
        <v>0</v>
      </c>
      <c r="E241" s="218"/>
      <c r="F241" s="218"/>
      <c r="J241" s="536" t="s">
        <v>337</v>
      </c>
      <c r="K241" s="537"/>
      <c r="L241" s="366" t="s">
        <v>337</v>
      </c>
      <c r="M241" s="234">
        <f t="shared" si="21"/>
        <v>0</v>
      </c>
      <c r="N241" s="218"/>
      <c r="O241" s="218"/>
      <c r="P241" s="324">
        <f t="shared" si="26"/>
        <v>0</v>
      </c>
      <c r="Q241" s="325" t="str">
        <f t="shared" si="25"/>
        <v/>
      </c>
    </row>
    <row r="242" spans="1:17" ht="15.75" x14ac:dyDescent="0.25">
      <c r="A242" s="536" t="s">
        <v>338</v>
      </c>
      <c r="B242" s="537"/>
      <c r="C242" s="367" t="s">
        <v>339</v>
      </c>
      <c r="D242" s="234">
        <f t="shared" si="24"/>
        <v>0</v>
      </c>
      <c r="E242" s="218"/>
      <c r="F242" s="218"/>
      <c r="J242" s="536" t="s">
        <v>338</v>
      </c>
      <c r="K242" s="537"/>
      <c r="L242" s="367" t="s">
        <v>339</v>
      </c>
      <c r="M242" s="234">
        <f t="shared" si="21"/>
        <v>0</v>
      </c>
      <c r="N242" s="218"/>
      <c r="O242" s="218"/>
      <c r="P242" s="324">
        <f t="shared" si="26"/>
        <v>0</v>
      </c>
      <c r="Q242" s="325" t="str">
        <f t="shared" si="25"/>
        <v/>
      </c>
    </row>
    <row r="243" spans="1:17" ht="15.75" x14ac:dyDescent="0.25">
      <c r="A243" s="536" t="s">
        <v>340</v>
      </c>
      <c r="B243" s="537"/>
      <c r="C243" s="368" t="s">
        <v>341</v>
      </c>
      <c r="D243" s="234">
        <f t="shared" si="24"/>
        <v>0</v>
      </c>
      <c r="E243" s="218"/>
      <c r="F243" s="218"/>
      <c r="J243" s="536" t="s">
        <v>340</v>
      </c>
      <c r="K243" s="537"/>
      <c r="L243" s="368" t="s">
        <v>341</v>
      </c>
      <c r="M243" s="234">
        <f t="shared" si="21"/>
        <v>0</v>
      </c>
      <c r="N243" s="218"/>
      <c r="O243" s="218"/>
      <c r="P243" s="324">
        <f t="shared" si="26"/>
        <v>0</v>
      </c>
      <c r="Q243" s="325"/>
    </row>
    <row r="244" spans="1:17" ht="15.75" x14ac:dyDescent="0.25">
      <c r="A244" s="536" t="s">
        <v>342</v>
      </c>
      <c r="B244" s="537"/>
      <c r="C244" s="369" t="s">
        <v>343</v>
      </c>
      <c r="D244" s="234">
        <f>COUNTIF($AB$13:$AW$54,C244)</f>
        <v>0</v>
      </c>
      <c r="E244" s="218"/>
      <c r="F244" s="218"/>
      <c r="J244" s="536" t="s">
        <v>342</v>
      </c>
      <c r="K244" s="537"/>
      <c r="L244" s="369" t="s">
        <v>343</v>
      </c>
      <c r="M244" s="234">
        <f t="shared" si="21"/>
        <v>0</v>
      </c>
      <c r="N244" s="218"/>
      <c r="O244" s="218"/>
      <c r="P244" s="324">
        <f t="shared" si="26"/>
        <v>0</v>
      </c>
      <c r="Q244" s="325" t="str">
        <f t="shared" si="25"/>
        <v/>
      </c>
    </row>
    <row r="245" spans="1:17" ht="15.75" x14ac:dyDescent="0.25">
      <c r="A245" s="536" t="s">
        <v>344</v>
      </c>
      <c r="B245" s="537"/>
      <c r="C245" s="370" t="s">
        <v>345</v>
      </c>
      <c r="D245" s="234">
        <f t="shared" si="24"/>
        <v>0</v>
      </c>
      <c r="E245" s="218"/>
      <c r="F245" s="218"/>
      <c r="J245" s="536" t="s">
        <v>344</v>
      </c>
      <c r="K245" s="537"/>
      <c r="L245" s="370" t="s">
        <v>345</v>
      </c>
      <c r="M245" s="234">
        <f t="shared" si="21"/>
        <v>0</v>
      </c>
      <c r="N245" s="218"/>
      <c r="O245" s="218"/>
      <c r="P245" s="324">
        <f t="shared" si="26"/>
        <v>0</v>
      </c>
      <c r="Q245" s="325" t="str">
        <f t="shared" si="25"/>
        <v/>
      </c>
    </row>
    <row r="246" spans="1:17" ht="15.75" x14ac:dyDescent="0.25">
      <c r="A246" s="536" t="s">
        <v>346</v>
      </c>
      <c r="B246" s="537"/>
      <c r="C246" s="371" t="s">
        <v>347</v>
      </c>
      <c r="D246" s="234">
        <f t="shared" si="24"/>
        <v>0</v>
      </c>
      <c r="E246" s="218"/>
      <c r="F246" s="218"/>
      <c r="J246" s="536" t="s">
        <v>346</v>
      </c>
      <c r="K246" s="537"/>
      <c r="L246" s="371" t="s">
        <v>347</v>
      </c>
      <c r="M246" s="234">
        <f t="shared" si="21"/>
        <v>0</v>
      </c>
      <c r="N246" s="218"/>
      <c r="O246" s="218"/>
      <c r="P246" s="324">
        <f t="shared" si="26"/>
        <v>0</v>
      </c>
      <c r="Q246" s="325" t="str">
        <f t="shared" si="25"/>
        <v/>
      </c>
    </row>
    <row r="247" spans="1:17" ht="15.75" x14ac:dyDescent="0.25">
      <c r="A247" s="536" t="s">
        <v>348</v>
      </c>
      <c r="B247" s="537"/>
      <c r="C247" s="372" t="s">
        <v>349</v>
      </c>
      <c r="D247" s="234">
        <f>COUNTIF($AB$13:$AW$54,C247)</f>
        <v>0</v>
      </c>
      <c r="E247" s="218"/>
      <c r="F247" s="218"/>
      <c r="J247" s="536" t="s">
        <v>348</v>
      </c>
      <c r="K247" s="537"/>
      <c r="L247" s="372" t="s">
        <v>349</v>
      </c>
      <c r="M247" s="234">
        <f t="shared" si="21"/>
        <v>0</v>
      </c>
      <c r="N247" s="218"/>
      <c r="O247" s="218"/>
      <c r="P247" s="324">
        <f t="shared" si="26"/>
        <v>0</v>
      </c>
      <c r="Q247" s="325" t="str">
        <f t="shared" si="25"/>
        <v/>
      </c>
    </row>
    <row r="248" spans="1:17" ht="15.75" x14ac:dyDescent="0.25">
      <c r="A248" s="536" t="s">
        <v>186</v>
      </c>
      <c r="B248" s="537"/>
      <c r="C248" s="110" t="s">
        <v>186</v>
      </c>
      <c r="D248" s="234">
        <f>COUNTIF($AB$13:$AW$54,C248)</f>
        <v>6</v>
      </c>
      <c r="E248" s="218"/>
      <c r="F248" s="218"/>
      <c r="J248" s="536" t="s">
        <v>186</v>
      </c>
      <c r="K248" s="537"/>
      <c r="L248" s="110" t="s">
        <v>186</v>
      </c>
      <c r="M248" s="234">
        <f t="shared" si="21"/>
        <v>0</v>
      </c>
      <c r="N248" s="218"/>
      <c r="O248" s="218"/>
      <c r="P248" s="324">
        <f>D248+M248</f>
        <v>6</v>
      </c>
      <c r="Q248" s="325" t="str">
        <f t="shared" si="25"/>
        <v/>
      </c>
    </row>
    <row r="249" spans="1:17" ht="15.75" x14ac:dyDescent="0.25">
      <c r="A249" s="536" t="s">
        <v>350</v>
      </c>
      <c r="B249" s="537"/>
      <c r="C249" s="373" t="s">
        <v>351</v>
      </c>
      <c r="D249" s="234">
        <f>COUNTIF($AB$13:$AW$54,C249)</f>
        <v>0</v>
      </c>
      <c r="E249" s="218"/>
      <c r="F249" s="218"/>
      <c r="J249" s="536" t="s">
        <v>350</v>
      </c>
      <c r="K249" s="537"/>
      <c r="L249" s="373" t="s">
        <v>351</v>
      </c>
      <c r="M249" s="234">
        <f t="shared" si="21"/>
        <v>0</v>
      </c>
      <c r="N249" s="218"/>
      <c r="O249" s="218"/>
      <c r="P249" s="324">
        <f t="shared" si="26"/>
        <v>0</v>
      </c>
      <c r="Q249" s="325" t="str">
        <f t="shared" si="25"/>
        <v/>
      </c>
    </row>
    <row r="250" spans="1:17" ht="15.75" x14ac:dyDescent="0.25">
      <c r="A250" s="536" t="s">
        <v>352</v>
      </c>
      <c r="B250" s="537"/>
      <c r="C250" s="374" t="s">
        <v>353</v>
      </c>
      <c r="D250" s="234">
        <f>COUNTIF($AB$13:$AW$54,C250)</f>
        <v>0</v>
      </c>
      <c r="E250" s="218"/>
      <c r="F250" s="218"/>
      <c r="J250" s="536" t="s">
        <v>352</v>
      </c>
      <c r="K250" s="537"/>
      <c r="L250" s="374" t="s">
        <v>353</v>
      </c>
      <c r="M250" s="234">
        <f t="shared" si="21"/>
        <v>0</v>
      </c>
      <c r="N250" s="218"/>
      <c r="O250" s="218"/>
      <c r="P250" s="324">
        <f t="shared" si="26"/>
        <v>0</v>
      </c>
      <c r="Q250" s="325" t="str">
        <f t="shared" si="25"/>
        <v/>
      </c>
    </row>
    <row r="251" spans="1:17" ht="15.75" x14ac:dyDescent="0.25">
      <c r="A251" s="536" t="s">
        <v>354</v>
      </c>
      <c r="B251" s="537"/>
      <c r="C251" s="375" t="s">
        <v>355</v>
      </c>
      <c r="D251" s="234">
        <f>COUNTIF($AB$13:$AW$54,C251)</f>
        <v>0</v>
      </c>
      <c r="E251" s="218"/>
      <c r="F251" s="218"/>
      <c r="J251" s="536" t="s">
        <v>354</v>
      </c>
      <c r="K251" s="537"/>
      <c r="L251" s="375" t="s">
        <v>355</v>
      </c>
      <c r="M251" s="234">
        <f t="shared" si="21"/>
        <v>0</v>
      </c>
      <c r="N251" s="218"/>
      <c r="O251" s="218"/>
      <c r="P251" s="324">
        <f t="shared" si="26"/>
        <v>0</v>
      </c>
      <c r="Q251" s="325" t="str">
        <f t="shared" si="25"/>
        <v/>
      </c>
    </row>
    <row r="252" spans="1:17" ht="15.75" x14ac:dyDescent="0.25">
      <c r="A252" s="536" t="s">
        <v>356</v>
      </c>
      <c r="B252" s="537"/>
      <c r="C252" s="375" t="s">
        <v>357</v>
      </c>
      <c r="D252" s="234">
        <f t="shared" ref="D252:D254" si="27">COUNTIF($AB$13:$AW$54,C252)</f>
        <v>0</v>
      </c>
      <c r="E252" s="218"/>
      <c r="F252" s="218"/>
      <c r="J252" s="536" t="s">
        <v>356</v>
      </c>
      <c r="K252" s="537"/>
      <c r="L252" s="375" t="s">
        <v>357</v>
      </c>
      <c r="M252" s="234">
        <f t="shared" si="21"/>
        <v>0</v>
      </c>
      <c r="N252" s="218"/>
      <c r="O252" s="218"/>
      <c r="P252" s="324">
        <f t="shared" si="26"/>
        <v>0</v>
      </c>
      <c r="Q252" s="325" t="str">
        <f t="shared" si="25"/>
        <v/>
      </c>
    </row>
    <row r="253" spans="1:17" ht="15.75" x14ac:dyDescent="0.25">
      <c r="A253" s="536" t="s">
        <v>358</v>
      </c>
      <c r="B253" s="537"/>
      <c r="C253" s="376" t="s">
        <v>359</v>
      </c>
      <c r="D253" s="234">
        <f t="shared" si="27"/>
        <v>0</v>
      </c>
      <c r="E253" s="218"/>
      <c r="F253" s="218"/>
      <c r="J253" s="536" t="s">
        <v>358</v>
      </c>
      <c r="K253" s="537"/>
      <c r="L253" s="376" t="s">
        <v>359</v>
      </c>
      <c r="M253" s="234">
        <f t="shared" si="21"/>
        <v>0</v>
      </c>
      <c r="N253" s="218"/>
      <c r="O253" s="218"/>
      <c r="P253" s="324">
        <f t="shared" si="26"/>
        <v>0</v>
      </c>
      <c r="Q253" s="325" t="str">
        <f t="shared" si="25"/>
        <v/>
      </c>
    </row>
    <row r="254" spans="1:17" ht="15.75" x14ac:dyDescent="0.25">
      <c r="A254" s="536" t="s">
        <v>360</v>
      </c>
      <c r="B254" s="537"/>
      <c r="C254" s="377" t="s">
        <v>361</v>
      </c>
      <c r="D254" s="234">
        <f t="shared" si="27"/>
        <v>0</v>
      </c>
      <c r="E254" s="218"/>
      <c r="F254" s="218"/>
      <c r="J254" s="536" t="s">
        <v>360</v>
      </c>
      <c r="K254" s="537"/>
      <c r="L254" s="377" t="s">
        <v>361</v>
      </c>
      <c r="M254" s="234">
        <f t="shared" si="21"/>
        <v>0</v>
      </c>
      <c r="N254" s="218"/>
      <c r="O254" s="218"/>
      <c r="P254" s="324">
        <f t="shared" si="26"/>
        <v>0</v>
      </c>
      <c r="Q254" s="325" t="str">
        <f t="shared" si="25"/>
        <v/>
      </c>
    </row>
    <row r="255" spans="1:17" ht="15.75" x14ac:dyDescent="0.25">
      <c r="A255" s="536" t="s">
        <v>362</v>
      </c>
      <c r="B255" s="537"/>
      <c r="C255" s="377" t="s">
        <v>363</v>
      </c>
      <c r="D255" s="234">
        <f t="shared" si="24"/>
        <v>0</v>
      </c>
      <c r="E255" s="218"/>
      <c r="F255" s="218"/>
      <c r="J255" s="536" t="s">
        <v>362</v>
      </c>
      <c r="K255" s="537"/>
      <c r="L255" s="377" t="s">
        <v>363</v>
      </c>
      <c r="M255" s="234">
        <f t="shared" si="21"/>
        <v>0</v>
      </c>
      <c r="N255" s="218"/>
      <c r="O255" s="218"/>
      <c r="P255" s="324">
        <f t="shared" si="26"/>
        <v>0</v>
      </c>
      <c r="Q255" s="325" t="str">
        <f t="shared" si="25"/>
        <v/>
      </c>
    </row>
    <row r="256" spans="1:17" ht="15.75" x14ac:dyDescent="0.25">
      <c r="A256" s="536" t="s">
        <v>364</v>
      </c>
      <c r="B256" s="537"/>
      <c r="C256" s="378" t="s">
        <v>365</v>
      </c>
      <c r="D256" s="234">
        <f t="shared" si="24"/>
        <v>0</v>
      </c>
      <c r="E256" s="218"/>
      <c r="F256" s="218"/>
      <c r="J256" s="536" t="s">
        <v>364</v>
      </c>
      <c r="K256" s="537"/>
      <c r="L256" s="378" t="s">
        <v>365</v>
      </c>
      <c r="M256" s="234">
        <f t="shared" si="21"/>
        <v>0</v>
      </c>
      <c r="N256" s="218"/>
      <c r="O256" s="218"/>
      <c r="P256" s="324">
        <f t="shared" si="26"/>
        <v>0</v>
      </c>
      <c r="Q256" s="325" t="str">
        <f t="shared" si="25"/>
        <v/>
      </c>
    </row>
    <row r="257" spans="1:17" ht="15.75" x14ac:dyDescent="0.25">
      <c r="A257" s="536" t="s">
        <v>366</v>
      </c>
      <c r="B257" s="537"/>
      <c r="C257" s="379" t="s">
        <v>367</v>
      </c>
      <c r="D257" s="234">
        <f t="shared" si="24"/>
        <v>0</v>
      </c>
      <c r="E257" s="218"/>
      <c r="F257" s="218"/>
      <c r="J257" s="536" t="s">
        <v>366</v>
      </c>
      <c r="K257" s="537"/>
      <c r="L257" s="379" t="s">
        <v>367</v>
      </c>
      <c r="M257" s="234">
        <f t="shared" si="21"/>
        <v>0</v>
      </c>
      <c r="N257" s="218"/>
      <c r="O257" s="218"/>
      <c r="P257" s="324">
        <f t="shared" si="26"/>
        <v>0</v>
      </c>
      <c r="Q257" s="325" t="str">
        <f t="shared" si="25"/>
        <v/>
      </c>
    </row>
    <row r="258" spans="1:17" ht="15.75" x14ac:dyDescent="0.25">
      <c r="A258" s="536" t="s">
        <v>368</v>
      </c>
      <c r="B258" s="537"/>
      <c r="C258" s="380" t="s">
        <v>369</v>
      </c>
      <c r="D258" s="234">
        <f t="shared" si="24"/>
        <v>0</v>
      </c>
      <c r="E258" s="218"/>
      <c r="F258" s="218"/>
      <c r="J258" s="536" t="s">
        <v>368</v>
      </c>
      <c r="K258" s="537"/>
      <c r="L258" s="380" t="s">
        <v>369</v>
      </c>
      <c r="M258" s="234">
        <f t="shared" si="21"/>
        <v>0</v>
      </c>
      <c r="N258" s="218"/>
      <c r="O258" s="218"/>
      <c r="P258" s="324">
        <f t="shared" si="26"/>
        <v>0</v>
      </c>
      <c r="Q258" s="325" t="str">
        <f t="shared" si="25"/>
        <v/>
      </c>
    </row>
    <row r="259" spans="1:17" ht="15.75" x14ac:dyDescent="0.25">
      <c r="A259" s="536" t="s">
        <v>185</v>
      </c>
      <c r="B259" s="537"/>
      <c r="C259" s="381" t="s">
        <v>185</v>
      </c>
      <c r="D259" s="234">
        <f>COUNTIF($AB$13:$AW$54,C259)</f>
        <v>26</v>
      </c>
      <c r="E259" s="218"/>
      <c r="F259" s="218"/>
      <c r="J259" s="536" t="s">
        <v>185</v>
      </c>
      <c r="K259" s="537"/>
      <c r="L259" s="381" t="s">
        <v>185</v>
      </c>
      <c r="M259" s="234">
        <f t="shared" ref="M259:M290" si="28">COUNTIF($A$2:$AA$53,L259)</f>
        <v>0</v>
      </c>
      <c r="N259" s="218"/>
      <c r="O259" s="218"/>
      <c r="P259" s="324">
        <f>D259+M259</f>
        <v>26</v>
      </c>
      <c r="Q259" s="325" t="str">
        <f t="shared" si="25"/>
        <v/>
      </c>
    </row>
    <row r="260" spans="1:17" ht="15.75" x14ac:dyDescent="0.25">
      <c r="A260" s="536" t="s">
        <v>370</v>
      </c>
      <c r="B260" s="537"/>
      <c r="C260" s="382" t="s">
        <v>371</v>
      </c>
      <c r="D260" s="234">
        <f>COUNTIF($AB$13:$AW$54,C260)</f>
        <v>0</v>
      </c>
      <c r="E260" s="218"/>
      <c r="F260" s="218"/>
      <c r="J260" s="536" t="s">
        <v>370</v>
      </c>
      <c r="K260" s="537"/>
      <c r="L260" s="382" t="s">
        <v>371</v>
      </c>
      <c r="M260" s="234">
        <f t="shared" si="28"/>
        <v>0</v>
      </c>
      <c r="N260" s="218"/>
      <c r="O260" s="218"/>
      <c r="P260" s="324">
        <f t="shared" si="26"/>
        <v>0</v>
      </c>
      <c r="Q260" s="325" t="str">
        <f t="shared" si="25"/>
        <v/>
      </c>
    </row>
    <row r="261" spans="1:17" ht="15.75" x14ac:dyDescent="0.25">
      <c r="A261" s="536" t="s">
        <v>372</v>
      </c>
      <c r="B261" s="537"/>
      <c r="C261" s="383" t="s">
        <v>373</v>
      </c>
      <c r="D261" s="234">
        <f>COUNTIF($AB$13:$AW$54,C261)</f>
        <v>0</v>
      </c>
      <c r="E261" s="218"/>
      <c r="F261" s="218"/>
      <c r="J261" s="536" t="s">
        <v>372</v>
      </c>
      <c r="K261" s="537"/>
      <c r="L261" s="383" t="s">
        <v>373</v>
      </c>
      <c r="M261" s="234">
        <f t="shared" si="28"/>
        <v>0</v>
      </c>
      <c r="N261" s="218"/>
      <c r="O261" s="218"/>
      <c r="P261" s="324">
        <f t="shared" si="26"/>
        <v>0</v>
      </c>
      <c r="Q261" s="325" t="str">
        <f t="shared" si="25"/>
        <v/>
      </c>
    </row>
    <row r="262" spans="1:17" ht="15.75" x14ac:dyDescent="0.25">
      <c r="A262" s="536" t="s">
        <v>374</v>
      </c>
      <c r="B262" s="537"/>
      <c r="C262" s="347" t="s">
        <v>375</v>
      </c>
      <c r="D262" s="234">
        <f t="shared" si="24"/>
        <v>0</v>
      </c>
      <c r="E262" s="218"/>
      <c r="F262" s="218"/>
      <c r="J262" s="536" t="s">
        <v>374</v>
      </c>
      <c r="K262" s="537"/>
      <c r="L262" s="347" t="s">
        <v>375</v>
      </c>
      <c r="M262" s="234">
        <f t="shared" si="28"/>
        <v>0</v>
      </c>
      <c r="N262" s="218"/>
      <c r="O262" s="218"/>
      <c r="P262" s="324">
        <f t="shared" si="26"/>
        <v>0</v>
      </c>
      <c r="Q262" s="325" t="str">
        <f t="shared" si="25"/>
        <v/>
      </c>
    </row>
    <row r="263" spans="1:17" ht="15.75" x14ac:dyDescent="0.25">
      <c r="A263" s="536" t="s">
        <v>293</v>
      </c>
      <c r="B263" s="537"/>
      <c r="C263" s="347" t="s">
        <v>376</v>
      </c>
      <c r="D263" s="234">
        <f t="shared" si="24"/>
        <v>0</v>
      </c>
      <c r="E263" s="218"/>
      <c r="F263" s="218"/>
      <c r="J263" s="536" t="s">
        <v>293</v>
      </c>
      <c r="K263" s="537"/>
      <c r="L263" s="347" t="s">
        <v>376</v>
      </c>
      <c r="M263" s="234">
        <f t="shared" si="28"/>
        <v>0</v>
      </c>
      <c r="N263" s="218"/>
      <c r="O263" s="218"/>
      <c r="P263" s="324">
        <f t="shared" si="26"/>
        <v>0</v>
      </c>
      <c r="Q263" s="325" t="str">
        <f t="shared" si="25"/>
        <v/>
      </c>
    </row>
    <row r="264" spans="1:17" ht="15.75" x14ac:dyDescent="0.25">
      <c r="A264" s="536" t="s">
        <v>377</v>
      </c>
      <c r="B264" s="537"/>
      <c r="C264" s="347" t="s">
        <v>378</v>
      </c>
      <c r="D264" s="234">
        <f t="shared" si="24"/>
        <v>0</v>
      </c>
      <c r="E264" s="218"/>
      <c r="F264" s="218"/>
      <c r="J264" s="536" t="s">
        <v>377</v>
      </c>
      <c r="K264" s="537"/>
      <c r="L264" s="347" t="s">
        <v>378</v>
      </c>
      <c r="M264" s="234">
        <f t="shared" si="28"/>
        <v>0</v>
      </c>
      <c r="N264" s="218"/>
      <c r="O264" s="218"/>
      <c r="P264" s="324">
        <f t="shared" si="26"/>
        <v>0</v>
      </c>
      <c r="Q264" s="325" t="str">
        <f t="shared" si="25"/>
        <v/>
      </c>
    </row>
    <row r="265" spans="1:17" ht="15.75" x14ac:dyDescent="0.25">
      <c r="A265" s="536" t="s">
        <v>379</v>
      </c>
      <c r="B265" s="537"/>
      <c r="C265" s="384" t="s">
        <v>380</v>
      </c>
      <c r="D265" s="234">
        <f t="shared" si="24"/>
        <v>0</v>
      </c>
      <c r="E265" s="218"/>
      <c r="F265" s="218"/>
      <c r="J265" s="536" t="s">
        <v>379</v>
      </c>
      <c r="K265" s="537"/>
      <c r="L265" s="384" t="s">
        <v>380</v>
      </c>
      <c r="M265" s="234">
        <f t="shared" si="28"/>
        <v>0</v>
      </c>
      <c r="N265" s="218"/>
      <c r="O265" s="218"/>
      <c r="P265" s="324">
        <f t="shared" si="26"/>
        <v>0</v>
      </c>
      <c r="Q265" s="325" t="str">
        <f t="shared" si="25"/>
        <v/>
      </c>
    </row>
    <row r="266" spans="1:17" ht="15.75" x14ac:dyDescent="0.25">
      <c r="A266" s="536" t="s">
        <v>381</v>
      </c>
      <c r="B266" s="537"/>
      <c r="C266" s="385" t="s">
        <v>381</v>
      </c>
      <c r="D266" s="234">
        <f>COUNTIF($AB$13:$AW$54,C266)</f>
        <v>0</v>
      </c>
      <c r="E266" s="218"/>
      <c r="F266" s="218"/>
      <c r="J266" s="536" t="s">
        <v>381</v>
      </c>
      <c r="K266" s="537"/>
      <c r="L266" s="385" t="s">
        <v>381</v>
      </c>
      <c r="M266" s="234">
        <f t="shared" si="28"/>
        <v>0</v>
      </c>
      <c r="N266" s="218"/>
      <c r="O266" s="218"/>
      <c r="P266" s="324">
        <f t="shared" si="26"/>
        <v>0</v>
      </c>
      <c r="Q266" s="325" t="str">
        <f t="shared" si="25"/>
        <v/>
      </c>
    </row>
    <row r="267" spans="1:17" ht="15.75" x14ac:dyDescent="0.25">
      <c r="A267" s="536" t="s">
        <v>382</v>
      </c>
      <c r="B267" s="537"/>
      <c r="C267" s="333" t="s">
        <v>192</v>
      </c>
      <c r="D267" s="234">
        <f>COUNTIF($AB$13:$AW$54,C267)</f>
        <v>12</v>
      </c>
      <c r="E267" s="218"/>
      <c r="F267" s="218"/>
      <c r="J267" s="536" t="s">
        <v>382</v>
      </c>
      <c r="K267" s="537"/>
      <c r="L267" s="333" t="s">
        <v>192</v>
      </c>
      <c r="M267" s="234">
        <f>COUNTIF($A$2:$AA$53,L267)</f>
        <v>8</v>
      </c>
      <c r="N267" s="218"/>
      <c r="O267" s="218"/>
      <c r="P267" s="324">
        <f>D267+M267</f>
        <v>20</v>
      </c>
      <c r="Q267" s="325" t="str">
        <f t="shared" si="25"/>
        <v/>
      </c>
    </row>
    <row r="268" spans="1:17" ht="15.75" x14ac:dyDescent="0.25">
      <c r="A268" s="536" t="s">
        <v>383</v>
      </c>
      <c r="B268" s="537"/>
      <c r="C268" s="386" t="s">
        <v>384</v>
      </c>
      <c r="D268" s="234">
        <f t="shared" si="24"/>
        <v>0</v>
      </c>
      <c r="E268" s="218"/>
      <c r="F268" s="218"/>
      <c r="J268" s="536" t="s">
        <v>383</v>
      </c>
      <c r="K268" s="537"/>
      <c r="L268" s="386" t="s">
        <v>384</v>
      </c>
      <c r="M268" s="234">
        <f t="shared" si="28"/>
        <v>0</v>
      </c>
      <c r="N268" s="218"/>
      <c r="O268" s="218"/>
      <c r="P268" s="324">
        <f t="shared" si="26"/>
        <v>0</v>
      </c>
      <c r="Q268" s="325" t="str">
        <f t="shared" si="25"/>
        <v/>
      </c>
    </row>
    <row r="269" spans="1:17" ht="15.75" x14ac:dyDescent="0.25">
      <c r="A269" s="536" t="s">
        <v>385</v>
      </c>
      <c r="B269" s="537"/>
      <c r="C269" s="387" t="s">
        <v>194</v>
      </c>
      <c r="D269" s="234">
        <f>COUNTIF($AB$13:$AW$54,C269)</f>
        <v>0</v>
      </c>
      <c r="E269" s="218"/>
      <c r="F269" s="218"/>
      <c r="J269" s="536" t="s">
        <v>385</v>
      </c>
      <c r="K269" s="537"/>
      <c r="L269" s="387" t="s">
        <v>194</v>
      </c>
      <c r="M269" s="234">
        <f>COUNTIF($A$2:$AA$53,L269)</f>
        <v>6</v>
      </c>
      <c r="N269" s="218"/>
      <c r="O269" s="218"/>
      <c r="P269" s="324">
        <f>D269+M269</f>
        <v>6</v>
      </c>
      <c r="Q269" s="325" t="str">
        <f t="shared" si="25"/>
        <v/>
      </c>
    </row>
    <row r="270" spans="1:17" ht="15.75" x14ac:dyDescent="0.25">
      <c r="A270" s="536" t="s">
        <v>386</v>
      </c>
      <c r="B270" s="537"/>
      <c r="C270" s="388" t="s">
        <v>387</v>
      </c>
      <c r="D270" s="234">
        <f t="shared" si="24"/>
        <v>0</v>
      </c>
      <c r="E270" s="218"/>
      <c r="F270" s="218"/>
      <c r="J270" s="536" t="s">
        <v>386</v>
      </c>
      <c r="K270" s="537"/>
      <c r="L270" s="388" t="s">
        <v>387</v>
      </c>
      <c r="M270" s="234">
        <f t="shared" si="28"/>
        <v>0</v>
      </c>
      <c r="N270" s="218"/>
      <c r="O270" s="218"/>
      <c r="P270" s="324">
        <f t="shared" si="26"/>
        <v>0</v>
      </c>
      <c r="Q270" s="325" t="str">
        <f t="shared" si="25"/>
        <v/>
      </c>
    </row>
    <row r="271" spans="1:17" ht="15.75" x14ac:dyDescent="0.25">
      <c r="A271" s="536" t="s">
        <v>388</v>
      </c>
      <c r="B271" s="537"/>
      <c r="C271" s="389" t="s">
        <v>389</v>
      </c>
      <c r="D271" s="234">
        <f>COUNTIF($AB$13:$AW$54,C271)</f>
        <v>0</v>
      </c>
      <c r="E271" s="218"/>
      <c r="F271" s="218"/>
      <c r="J271" s="536" t="s">
        <v>388</v>
      </c>
      <c r="K271" s="537"/>
      <c r="L271" s="389" t="s">
        <v>389</v>
      </c>
      <c r="M271" s="234">
        <f t="shared" si="28"/>
        <v>0</v>
      </c>
      <c r="N271" s="218"/>
      <c r="O271" s="218"/>
      <c r="P271" s="324">
        <f t="shared" si="26"/>
        <v>0</v>
      </c>
      <c r="Q271" s="325" t="str">
        <f t="shared" si="25"/>
        <v/>
      </c>
    </row>
    <row r="272" spans="1:17" ht="15.75" x14ac:dyDescent="0.25">
      <c r="A272" s="536" t="s">
        <v>390</v>
      </c>
      <c r="B272" s="537"/>
      <c r="C272" s="386" t="s">
        <v>391</v>
      </c>
      <c r="D272" s="234">
        <f t="shared" si="24"/>
        <v>0</v>
      </c>
      <c r="E272" s="218"/>
      <c r="F272" s="218"/>
      <c r="J272" s="536" t="s">
        <v>390</v>
      </c>
      <c r="K272" s="537"/>
      <c r="L272" s="386" t="s">
        <v>391</v>
      </c>
      <c r="M272" s="234">
        <f t="shared" si="28"/>
        <v>0</v>
      </c>
      <c r="N272" s="218"/>
      <c r="O272" s="218"/>
      <c r="P272" s="324">
        <f t="shared" si="26"/>
        <v>0</v>
      </c>
      <c r="Q272" s="325" t="str">
        <f t="shared" si="25"/>
        <v/>
      </c>
    </row>
    <row r="273" spans="1:17" ht="15.75" x14ac:dyDescent="0.25">
      <c r="A273" s="536" t="s">
        <v>392</v>
      </c>
      <c r="B273" s="537"/>
      <c r="C273" s="390" t="s">
        <v>393</v>
      </c>
      <c r="D273" s="234">
        <f t="shared" si="24"/>
        <v>0</v>
      </c>
      <c r="E273" s="218"/>
      <c r="F273" s="218"/>
      <c r="J273" s="536" t="s">
        <v>392</v>
      </c>
      <c r="K273" s="537"/>
      <c r="L273" s="390" t="s">
        <v>393</v>
      </c>
      <c r="M273" s="234">
        <f t="shared" si="28"/>
        <v>0</v>
      </c>
      <c r="N273" s="218"/>
      <c r="O273" s="218"/>
      <c r="P273" s="324">
        <f t="shared" si="26"/>
        <v>0</v>
      </c>
      <c r="Q273" s="325" t="str">
        <f t="shared" si="25"/>
        <v/>
      </c>
    </row>
    <row r="274" spans="1:17" ht="15.75" x14ac:dyDescent="0.25">
      <c r="A274" s="536" t="s">
        <v>394</v>
      </c>
      <c r="B274" s="537"/>
      <c r="C274" s="391" t="s">
        <v>395</v>
      </c>
      <c r="D274" s="234">
        <f t="shared" si="24"/>
        <v>0</v>
      </c>
      <c r="E274" s="218"/>
      <c r="F274" s="218"/>
      <c r="J274" s="536" t="s">
        <v>394</v>
      </c>
      <c r="K274" s="537"/>
      <c r="L274" s="391" t="s">
        <v>395</v>
      </c>
      <c r="M274" s="234">
        <f t="shared" si="28"/>
        <v>0</v>
      </c>
      <c r="N274" s="218"/>
      <c r="O274" s="218"/>
      <c r="P274" s="324">
        <f t="shared" si="26"/>
        <v>0</v>
      </c>
      <c r="Q274" s="325" t="str">
        <f t="shared" si="25"/>
        <v/>
      </c>
    </row>
    <row r="275" spans="1:17" ht="15.75" x14ac:dyDescent="0.25">
      <c r="A275" s="536" t="s">
        <v>396</v>
      </c>
      <c r="B275" s="537"/>
      <c r="C275" s="392" t="s">
        <v>397</v>
      </c>
      <c r="D275" s="234">
        <f t="shared" si="24"/>
        <v>0</v>
      </c>
      <c r="E275" s="218"/>
      <c r="F275" s="218"/>
      <c r="J275" s="536" t="s">
        <v>396</v>
      </c>
      <c r="K275" s="537"/>
      <c r="L275" s="392" t="s">
        <v>397</v>
      </c>
      <c r="M275" s="234">
        <f t="shared" si="28"/>
        <v>0</v>
      </c>
      <c r="N275" s="218"/>
      <c r="O275" s="218"/>
      <c r="P275" s="324">
        <f t="shared" si="26"/>
        <v>0</v>
      </c>
      <c r="Q275" s="325" t="str">
        <f t="shared" si="25"/>
        <v/>
      </c>
    </row>
    <row r="276" spans="1:17" ht="15.75" x14ac:dyDescent="0.25">
      <c r="A276" s="536" t="s">
        <v>398</v>
      </c>
      <c r="B276" s="537"/>
      <c r="C276" s="393" t="s">
        <v>399</v>
      </c>
      <c r="D276" s="234">
        <f t="shared" si="24"/>
        <v>0</v>
      </c>
      <c r="E276" s="218"/>
      <c r="F276" s="218"/>
      <c r="J276" s="536" t="s">
        <v>398</v>
      </c>
      <c r="K276" s="537"/>
      <c r="L276" s="393" t="s">
        <v>399</v>
      </c>
      <c r="M276" s="234">
        <f t="shared" si="28"/>
        <v>0</v>
      </c>
      <c r="N276" s="218"/>
      <c r="O276" s="218"/>
      <c r="P276" s="324">
        <f t="shared" si="26"/>
        <v>0</v>
      </c>
      <c r="Q276" s="325" t="str">
        <f t="shared" si="25"/>
        <v/>
      </c>
    </row>
    <row r="277" spans="1:17" ht="15.75" x14ac:dyDescent="0.25">
      <c r="A277" s="536" t="s">
        <v>290</v>
      </c>
      <c r="B277" s="537"/>
      <c r="C277" s="393" t="s">
        <v>290</v>
      </c>
      <c r="D277" s="234">
        <f t="shared" si="24"/>
        <v>0</v>
      </c>
      <c r="E277" s="218"/>
      <c r="F277" s="218"/>
      <c r="J277" s="536" t="s">
        <v>290</v>
      </c>
      <c r="K277" s="537"/>
      <c r="L277" s="393" t="s">
        <v>290</v>
      </c>
      <c r="M277" s="234">
        <f t="shared" si="28"/>
        <v>0</v>
      </c>
      <c r="N277" s="218"/>
      <c r="O277" s="218"/>
      <c r="P277" s="324">
        <f t="shared" si="26"/>
        <v>0</v>
      </c>
      <c r="Q277" s="325" t="str">
        <f t="shared" si="25"/>
        <v/>
      </c>
    </row>
    <row r="278" spans="1:17" ht="15.75" x14ac:dyDescent="0.25">
      <c r="A278" s="536" t="s">
        <v>258</v>
      </c>
      <c r="B278" s="537"/>
      <c r="C278" s="394" t="s">
        <v>400</v>
      </c>
      <c r="D278" s="234">
        <f t="shared" si="24"/>
        <v>0</v>
      </c>
      <c r="E278" s="218"/>
      <c r="F278" s="218"/>
      <c r="J278" s="536" t="s">
        <v>258</v>
      </c>
      <c r="K278" s="537"/>
      <c r="L278" s="394" t="s">
        <v>400</v>
      </c>
      <c r="M278" s="234">
        <f t="shared" si="28"/>
        <v>0</v>
      </c>
      <c r="N278" s="218"/>
      <c r="O278" s="218"/>
      <c r="P278" s="324">
        <f t="shared" si="26"/>
        <v>0</v>
      </c>
      <c r="Q278" s="325" t="str">
        <f t="shared" si="25"/>
        <v/>
      </c>
    </row>
    <row r="279" spans="1:17" ht="15.75" x14ac:dyDescent="0.25">
      <c r="A279" s="536" t="s">
        <v>401</v>
      </c>
      <c r="B279" s="537"/>
      <c r="C279" s="395" t="s">
        <v>402</v>
      </c>
      <c r="D279" s="234">
        <f>COUNTIF($AB$13:$AW$54,C279)</f>
        <v>0</v>
      </c>
      <c r="E279" s="218"/>
      <c r="F279" s="218"/>
      <c r="J279" s="536" t="s">
        <v>401</v>
      </c>
      <c r="K279" s="537"/>
      <c r="L279" s="395" t="s">
        <v>402</v>
      </c>
      <c r="M279" s="234">
        <f t="shared" si="28"/>
        <v>0</v>
      </c>
      <c r="N279" s="218"/>
      <c r="O279" s="218"/>
      <c r="P279" s="324">
        <f t="shared" si="26"/>
        <v>0</v>
      </c>
      <c r="Q279" s="325" t="str">
        <f t="shared" si="25"/>
        <v/>
      </c>
    </row>
    <row r="280" spans="1:17" ht="15.75" x14ac:dyDescent="0.25">
      <c r="A280" s="536" t="s">
        <v>403</v>
      </c>
      <c r="B280" s="537"/>
      <c r="C280" s="396" t="s">
        <v>404</v>
      </c>
      <c r="D280" s="234">
        <f t="shared" si="24"/>
        <v>0</v>
      </c>
      <c r="E280" s="218"/>
      <c r="F280" s="218"/>
      <c r="J280" s="536" t="s">
        <v>403</v>
      </c>
      <c r="K280" s="537"/>
      <c r="L280" s="396" t="s">
        <v>404</v>
      </c>
      <c r="M280" s="234">
        <f t="shared" si="28"/>
        <v>0</v>
      </c>
      <c r="N280" s="218"/>
      <c r="O280" s="218"/>
      <c r="P280" s="324">
        <f t="shared" si="26"/>
        <v>0</v>
      </c>
      <c r="Q280" s="325" t="str">
        <f t="shared" si="25"/>
        <v/>
      </c>
    </row>
    <row r="281" spans="1:17" ht="15.75" x14ac:dyDescent="0.25">
      <c r="A281" s="536" t="s">
        <v>405</v>
      </c>
      <c r="B281" s="537"/>
      <c r="C281" s="397" t="s">
        <v>406</v>
      </c>
      <c r="D281" s="234">
        <f t="shared" si="24"/>
        <v>0</v>
      </c>
      <c r="J281" s="536" t="s">
        <v>405</v>
      </c>
      <c r="K281" s="537"/>
      <c r="L281" s="397" t="s">
        <v>406</v>
      </c>
      <c r="M281" s="234">
        <f t="shared" si="28"/>
        <v>0</v>
      </c>
      <c r="P281" s="324">
        <f t="shared" si="26"/>
        <v>0</v>
      </c>
      <c r="Q281" s="325" t="str">
        <f t="shared" si="25"/>
        <v/>
      </c>
    </row>
    <row r="282" spans="1:17" ht="15.75" x14ac:dyDescent="0.25">
      <c r="A282" s="536" t="s">
        <v>407</v>
      </c>
      <c r="B282" s="537"/>
      <c r="C282" s="397" t="s">
        <v>408</v>
      </c>
      <c r="D282" s="234">
        <f t="shared" si="24"/>
        <v>0</v>
      </c>
      <c r="J282" s="536" t="s">
        <v>407</v>
      </c>
      <c r="K282" s="537"/>
      <c r="L282" s="397" t="s">
        <v>408</v>
      </c>
      <c r="M282" s="234">
        <f t="shared" si="28"/>
        <v>0</v>
      </c>
      <c r="P282" s="324">
        <f t="shared" si="26"/>
        <v>0</v>
      </c>
      <c r="Q282" s="325" t="str">
        <f t="shared" si="25"/>
        <v/>
      </c>
    </row>
    <row r="283" spans="1:17" ht="15.75" x14ac:dyDescent="0.25">
      <c r="A283" s="536" t="s">
        <v>409</v>
      </c>
      <c r="B283" s="537"/>
      <c r="C283" s="398" t="s">
        <v>410</v>
      </c>
      <c r="D283" s="234">
        <f t="shared" ref="D283:D290" si="29">COUNTIF($AB$13:$AW$54,C283)</f>
        <v>0</v>
      </c>
      <c r="E283" s="218"/>
      <c r="F283" s="218"/>
      <c r="J283" s="536" t="s">
        <v>409</v>
      </c>
      <c r="K283" s="537"/>
      <c r="L283" s="398" t="s">
        <v>410</v>
      </c>
      <c r="M283" s="234">
        <f t="shared" si="28"/>
        <v>0</v>
      </c>
      <c r="N283" s="218"/>
      <c r="O283" s="218"/>
      <c r="P283" s="324">
        <f t="shared" si="26"/>
        <v>0</v>
      </c>
      <c r="Q283" s="325" t="str">
        <f t="shared" si="25"/>
        <v/>
      </c>
    </row>
    <row r="284" spans="1:17" ht="15.75" x14ac:dyDescent="0.25">
      <c r="A284" s="536" t="s">
        <v>411</v>
      </c>
      <c r="B284" s="537"/>
      <c r="C284" s="389" t="s">
        <v>412</v>
      </c>
      <c r="D284" s="234">
        <f t="shared" si="29"/>
        <v>0</v>
      </c>
      <c r="E284" s="218"/>
      <c r="F284" s="218"/>
      <c r="J284" s="536" t="s">
        <v>411</v>
      </c>
      <c r="K284" s="537"/>
      <c r="L284" s="389" t="s">
        <v>412</v>
      </c>
      <c r="M284" s="234">
        <f t="shared" si="28"/>
        <v>0</v>
      </c>
      <c r="N284" s="218"/>
      <c r="O284" s="218"/>
      <c r="P284" s="324">
        <f t="shared" ref="P284:P290" si="30">D284+M284</f>
        <v>0</v>
      </c>
      <c r="Q284" s="325" t="str">
        <f t="shared" si="25"/>
        <v/>
      </c>
    </row>
    <row r="285" spans="1:17" ht="15.75" x14ac:dyDescent="0.25">
      <c r="A285" s="536" t="s">
        <v>413</v>
      </c>
      <c r="B285" s="537"/>
      <c r="C285" s="396" t="s">
        <v>414</v>
      </c>
      <c r="D285" s="234">
        <f t="shared" si="29"/>
        <v>0</v>
      </c>
      <c r="E285" s="218"/>
      <c r="F285" s="218"/>
      <c r="J285" s="536" t="s">
        <v>413</v>
      </c>
      <c r="K285" s="537"/>
      <c r="L285" s="396" t="s">
        <v>414</v>
      </c>
      <c r="M285" s="234">
        <f t="shared" si="28"/>
        <v>0</v>
      </c>
      <c r="N285" s="218"/>
      <c r="O285" s="218"/>
      <c r="P285" s="324">
        <f t="shared" si="30"/>
        <v>0</v>
      </c>
      <c r="Q285" s="325" t="str">
        <f t="shared" si="25"/>
        <v/>
      </c>
    </row>
    <row r="286" spans="1:17" ht="15.75" x14ac:dyDescent="0.25">
      <c r="A286" s="536" t="s">
        <v>415</v>
      </c>
      <c r="B286" s="537"/>
      <c r="C286" s="399" t="s">
        <v>416</v>
      </c>
      <c r="D286" s="234">
        <f t="shared" si="29"/>
        <v>0</v>
      </c>
      <c r="J286" s="536" t="s">
        <v>415</v>
      </c>
      <c r="K286" s="537"/>
      <c r="L286" s="399" t="s">
        <v>416</v>
      </c>
      <c r="M286" s="234">
        <f t="shared" si="28"/>
        <v>0</v>
      </c>
      <c r="P286" s="324">
        <f t="shared" si="30"/>
        <v>0</v>
      </c>
      <c r="Q286" s="325" t="str">
        <f t="shared" si="25"/>
        <v/>
      </c>
    </row>
    <row r="287" spans="1:17" ht="15.75" x14ac:dyDescent="0.25">
      <c r="A287" s="536" t="s">
        <v>417</v>
      </c>
      <c r="B287" s="537"/>
      <c r="C287" s="400" t="s">
        <v>417</v>
      </c>
      <c r="D287" s="234">
        <f t="shared" si="29"/>
        <v>0</v>
      </c>
      <c r="J287" s="536" t="s">
        <v>417</v>
      </c>
      <c r="K287" s="537"/>
      <c r="L287" s="400" t="s">
        <v>417</v>
      </c>
      <c r="M287" s="234">
        <f t="shared" si="28"/>
        <v>0</v>
      </c>
      <c r="P287" s="324">
        <f t="shared" si="30"/>
        <v>0</v>
      </c>
      <c r="Q287" s="325" t="str">
        <f t="shared" si="25"/>
        <v/>
      </c>
    </row>
    <row r="288" spans="1:17" ht="15.75" x14ac:dyDescent="0.25">
      <c r="A288" s="536" t="s">
        <v>418</v>
      </c>
      <c r="B288" s="537"/>
      <c r="C288" s="334" t="s">
        <v>419</v>
      </c>
      <c r="D288" s="234">
        <f>COUNTIF($AB$13:$AW$54,C288)</f>
        <v>0</v>
      </c>
      <c r="J288" s="536" t="s">
        <v>418</v>
      </c>
      <c r="K288" s="537"/>
      <c r="L288" s="334" t="s">
        <v>419</v>
      </c>
      <c r="M288" s="234">
        <f t="shared" si="28"/>
        <v>0</v>
      </c>
      <c r="P288" s="324">
        <f t="shared" si="30"/>
        <v>0</v>
      </c>
      <c r="Q288" s="325" t="str">
        <f t="shared" si="25"/>
        <v/>
      </c>
    </row>
    <row r="289" spans="1:17" ht="15.75" x14ac:dyDescent="0.25">
      <c r="A289" s="536" t="s">
        <v>420</v>
      </c>
      <c r="B289" s="537"/>
      <c r="C289" s="376" t="s">
        <v>421</v>
      </c>
      <c r="D289" s="234">
        <f>COUNTIF($AB$13:$AW$54,C289)</f>
        <v>0</v>
      </c>
      <c r="J289" s="536" t="s">
        <v>420</v>
      </c>
      <c r="K289" s="537"/>
      <c r="L289" s="376" t="s">
        <v>421</v>
      </c>
      <c r="M289" s="234">
        <f t="shared" si="28"/>
        <v>0</v>
      </c>
      <c r="P289" s="324">
        <f t="shared" si="30"/>
        <v>0</v>
      </c>
      <c r="Q289" s="325" t="str">
        <f t="shared" ref="Q289:Q290" si="31">IFERROR(P289/$J$4,"")</f>
        <v/>
      </c>
    </row>
    <row r="290" spans="1:17" ht="16.5" thickBot="1" x14ac:dyDescent="0.3">
      <c r="A290" s="536" t="s">
        <v>422</v>
      </c>
      <c r="B290" s="537"/>
      <c r="C290" s="401" t="s">
        <v>423</v>
      </c>
      <c r="D290" s="234">
        <f t="shared" si="29"/>
        <v>0</v>
      </c>
      <c r="J290" s="536" t="s">
        <v>422</v>
      </c>
      <c r="K290" s="537"/>
      <c r="L290" s="401" t="s">
        <v>423</v>
      </c>
      <c r="M290" s="234">
        <f t="shared" si="28"/>
        <v>0</v>
      </c>
      <c r="P290" s="402">
        <f t="shared" si="30"/>
        <v>0</v>
      </c>
      <c r="Q290" s="403" t="str">
        <f t="shared" si="31"/>
        <v/>
      </c>
    </row>
    <row r="291" spans="1:17" ht="15.75" thickTop="1" x14ac:dyDescent="0.25"/>
    <row r="296" spans="1:17" x14ac:dyDescent="0.25">
      <c r="A296" s="553" t="s">
        <v>424</v>
      </c>
      <c r="B296" s="553"/>
      <c r="C296" s="553"/>
      <c r="D296" s="553"/>
      <c r="E296" s="553"/>
      <c r="F296" s="553"/>
      <c r="G296" s="553"/>
      <c r="H296" s="553"/>
      <c r="I296" s="553"/>
      <c r="J296" s="553"/>
      <c r="K296" s="553"/>
      <c r="L296" s="553"/>
      <c r="M296" s="553"/>
      <c r="N296" s="553"/>
      <c r="O296" s="553"/>
      <c r="P296" s="553"/>
      <c r="Q296" s="553"/>
    </row>
    <row r="297" spans="1:17" x14ac:dyDescent="0.25">
      <c r="A297" s="553"/>
      <c r="B297" s="553"/>
      <c r="C297" s="553"/>
      <c r="D297" s="553"/>
      <c r="E297" s="553"/>
      <c r="F297" s="553"/>
      <c r="G297" s="553"/>
      <c r="H297" s="553"/>
      <c r="I297" s="553"/>
      <c r="J297" s="553"/>
      <c r="K297" s="553"/>
      <c r="L297" s="553"/>
      <c r="M297" s="553"/>
      <c r="N297" s="553"/>
      <c r="O297" s="553"/>
      <c r="P297" s="553"/>
      <c r="Q297" s="553"/>
    </row>
    <row r="298" spans="1:17" ht="15.75" thickBot="1" x14ac:dyDescent="0.3"/>
    <row r="299" spans="1:17" ht="27" thickBot="1" x14ac:dyDescent="0.3">
      <c r="A299" s="554" t="s">
        <v>425</v>
      </c>
      <c r="B299" s="555"/>
      <c r="C299" s="555"/>
      <c r="D299" s="556"/>
      <c r="E299" s="404">
        <f>F301+O301</f>
        <v>0</v>
      </c>
    </row>
    <row r="300" spans="1:17" ht="15.75" thickBot="1" x14ac:dyDescent="0.3"/>
    <row r="301" spans="1:17" ht="21.75" thickBot="1" x14ac:dyDescent="0.4">
      <c r="A301" s="529" t="s">
        <v>426</v>
      </c>
      <c r="B301" s="530"/>
      <c r="C301" s="530"/>
      <c r="D301" s="530"/>
      <c r="E301" s="531"/>
      <c r="F301" s="514">
        <f>SUM(E412,E332,E436,E444,E450,E464,E476)</f>
        <v>0</v>
      </c>
      <c r="G301" s="515"/>
      <c r="J301" s="529" t="s">
        <v>427</v>
      </c>
      <c r="K301" s="530"/>
      <c r="L301" s="530"/>
      <c r="M301" s="530"/>
      <c r="N301" s="531"/>
      <c r="O301" s="514">
        <f>SUM(N332,N412,N436,N444,N450,N464,N476)</f>
        <v>0</v>
      </c>
      <c r="P301" s="515"/>
    </row>
    <row r="302" spans="1:17" ht="21.75" thickBot="1" x14ac:dyDescent="0.4">
      <c r="A302" s="316"/>
      <c r="B302" s="317"/>
      <c r="C302" s="317"/>
      <c r="D302" s="317"/>
      <c r="E302" s="318"/>
      <c r="F302" s="318"/>
      <c r="G302" s="318"/>
      <c r="J302" s="318"/>
      <c r="K302" s="318"/>
      <c r="L302" s="318"/>
      <c r="M302" s="318"/>
      <c r="N302" s="318"/>
      <c r="O302" s="318"/>
      <c r="P302" s="318"/>
      <c r="Q302" s="318"/>
    </row>
    <row r="303" spans="1:17" ht="18.75" thickBot="1" x14ac:dyDescent="0.3">
      <c r="A303" s="550" t="s">
        <v>428</v>
      </c>
      <c r="B303" s="551"/>
      <c r="C303" s="551"/>
      <c r="D303" s="552"/>
      <c r="J303" s="550" t="s">
        <v>428</v>
      </c>
      <c r="K303" s="551"/>
      <c r="L303" s="551"/>
      <c r="M303" s="552"/>
    </row>
    <row r="304" spans="1:17" ht="15.75" x14ac:dyDescent="0.25">
      <c r="A304" s="557" t="s">
        <v>429</v>
      </c>
      <c r="B304" s="558"/>
      <c r="C304" s="559"/>
      <c r="D304" s="405" t="s">
        <v>430</v>
      </c>
      <c r="E304" s="234">
        <f t="shared" ref="E304:E331" si="32">COUNTIF($AB$13:$AW$54,D304)</f>
        <v>0</v>
      </c>
      <c r="J304" s="557" t="s">
        <v>429</v>
      </c>
      <c r="K304" s="558"/>
      <c r="L304" s="559"/>
      <c r="M304" s="405" t="s">
        <v>430</v>
      </c>
      <c r="N304" s="234">
        <f t="shared" ref="N304:N331" si="33">COUNTIF($A$2:$AA$53,M304)</f>
        <v>0</v>
      </c>
    </row>
    <row r="305" spans="1:14" ht="15.75" x14ac:dyDescent="0.25">
      <c r="A305" s="557" t="s">
        <v>431</v>
      </c>
      <c r="B305" s="558"/>
      <c r="C305" s="559"/>
      <c r="D305" s="405" t="s">
        <v>432</v>
      </c>
      <c r="E305" s="234">
        <f t="shared" si="32"/>
        <v>0</v>
      </c>
      <c r="J305" s="557" t="s">
        <v>431</v>
      </c>
      <c r="K305" s="558"/>
      <c r="L305" s="559"/>
      <c r="M305" s="405" t="s">
        <v>432</v>
      </c>
      <c r="N305" s="234">
        <f t="shared" si="33"/>
        <v>0</v>
      </c>
    </row>
    <row r="306" spans="1:14" ht="15.75" x14ac:dyDescent="0.25">
      <c r="A306" s="557" t="s">
        <v>433</v>
      </c>
      <c r="B306" s="558"/>
      <c r="C306" s="559"/>
      <c r="D306" s="405" t="s">
        <v>434</v>
      </c>
      <c r="E306" s="234">
        <f t="shared" si="32"/>
        <v>0</v>
      </c>
      <c r="J306" s="557" t="s">
        <v>433</v>
      </c>
      <c r="K306" s="558"/>
      <c r="L306" s="559"/>
      <c r="M306" s="405" t="s">
        <v>434</v>
      </c>
      <c r="N306" s="234">
        <f t="shared" si="33"/>
        <v>0</v>
      </c>
    </row>
    <row r="307" spans="1:14" ht="15.75" x14ac:dyDescent="0.25">
      <c r="A307" s="557" t="s">
        <v>435</v>
      </c>
      <c r="B307" s="558"/>
      <c r="C307" s="559"/>
      <c r="D307" s="405" t="s">
        <v>436</v>
      </c>
      <c r="E307" s="234">
        <f t="shared" si="32"/>
        <v>0</v>
      </c>
      <c r="J307" s="557" t="s">
        <v>435</v>
      </c>
      <c r="K307" s="558"/>
      <c r="L307" s="559"/>
      <c r="M307" s="405" t="s">
        <v>436</v>
      </c>
      <c r="N307" s="234">
        <f t="shared" si="33"/>
        <v>0</v>
      </c>
    </row>
    <row r="308" spans="1:14" ht="15.75" x14ac:dyDescent="0.25">
      <c r="A308" s="557" t="s">
        <v>437</v>
      </c>
      <c r="B308" s="558"/>
      <c r="C308" s="559"/>
      <c r="D308" s="405" t="s">
        <v>438</v>
      </c>
      <c r="E308" s="234">
        <f t="shared" si="32"/>
        <v>0</v>
      </c>
      <c r="J308" s="557" t="s">
        <v>437</v>
      </c>
      <c r="K308" s="558"/>
      <c r="L308" s="559"/>
      <c r="M308" s="405" t="s">
        <v>438</v>
      </c>
      <c r="N308" s="234">
        <f t="shared" si="33"/>
        <v>0</v>
      </c>
    </row>
    <row r="309" spans="1:14" ht="15.75" x14ac:dyDescent="0.25">
      <c r="A309" s="557" t="s">
        <v>439</v>
      </c>
      <c r="B309" s="558"/>
      <c r="C309" s="559"/>
      <c r="D309" s="405" t="s">
        <v>440</v>
      </c>
      <c r="E309" s="234">
        <f t="shared" si="32"/>
        <v>0</v>
      </c>
      <c r="J309" s="557" t="s">
        <v>439</v>
      </c>
      <c r="K309" s="558"/>
      <c r="L309" s="559"/>
      <c r="M309" s="405" t="s">
        <v>440</v>
      </c>
      <c r="N309" s="234">
        <f t="shared" si="33"/>
        <v>0</v>
      </c>
    </row>
    <row r="310" spans="1:14" ht="15.75" x14ac:dyDescent="0.25">
      <c r="A310" s="557" t="s">
        <v>441</v>
      </c>
      <c r="B310" s="558"/>
      <c r="C310" s="559"/>
      <c r="D310" s="405" t="s">
        <v>442</v>
      </c>
      <c r="E310" s="234">
        <f t="shared" si="32"/>
        <v>0</v>
      </c>
      <c r="J310" s="557" t="s">
        <v>441</v>
      </c>
      <c r="K310" s="558"/>
      <c r="L310" s="559"/>
      <c r="M310" s="405" t="s">
        <v>442</v>
      </c>
      <c r="N310" s="234">
        <f t="shared" si="33"/>
        <v>0</v>
      </c>
    </row>
    <row r="311" spans="1:14" ht="15.75" x14ac:dyDescent="0.25">
      <c r="A311" s="557" t="s">
        <v>443</v>
      </c>
      <c r="B311" s="558"/>
      <c r="C311" s="559"/>
      <c r="D311" s="405" t="s">
        <v>444</v>
      </c>
      <c r="E311" s="234">
        <f t="shared" si="32"/>
        <v>0</v>
      </c>
      <c r="J311" s="557" t="s">
        <v>443</v>
      </c>
      <c r="K311" s="558"/>
      <c r="L311" s="559"/>
      <c r="M311" s="405" t="s">
        <v>444</v>
      </c>
      <c r="N311" s="234">
        <f t="shared" si="33"/>
        <v>0</v>
      </c>
    </row>
    <row r="312" spans="1:14" ht="15.75" x14ac:dyDescent="0.25">
      <c r="A312" s="557" t="s">
        <v>445</v>
      </c>
      <c r="B312" s="558"/>
      <c r="C312" s="559"/>
      <c r="D312" s="405" t="s">
        <v>446</v>
      </c>
      <c r="E312" s="234">
        <f t="shared" si="32"/>
        <v>0</v>
      </c>
      <c r="J312" s="557" t="s">
        <v>445</v>
      </c>
      <c r="K312" s="558"/>
      <c r="L312" s="559"/>
      <c r="M312" s="405" t="s">
        <v>446</v>
      </c>
      <c r="N312" s="234">
        <f t="shared" si="33"/>
        <v>0</v>
      </c>
    </row>
    <row r="313" spans="1:14" ht="15.75" x14ac:dyDescent="0.25">
      <c r="A313" s="557" t="s">
        <v>447</v>
      </c>
      <c r="B313" s="558"/>
      <c r="C313" s="559"/>
      <c r="D313" s="405" t="s">
        <v>448</v>
      </c>
      <c r="E313" s="234">
        <f t="shared" si="32"/>
        <v>0</v>
      </c>
      <c r="J313" s="557" t="s">
        <v>447</v>
      </c>
      <c r="K313" s="558"/>
      <c r="L313" s="559"/>
      <c r="M313" s="405" t="s">
        <v>448</v>
      </c>
      <c r="N313" s="234">
        <f t="shared" si="33"/>
        <v>0</v>
      </c>
    </row>
    <row r="314" spans="1:14" ht="15.75" x14ac:dyDescent="0.25">
      <c r="A314" s="557" t="s">
        <v>449</v>
      </c>
      <c r="B314" s="558"/>
      <c r="C314" s="559"/>
      <c r="D314" s="405" t="s">
        <v>450</v>
      </c>
      <c r="E314" s="234">
        <f t="shared" si="32"/>
        <v>0</v>
      </c>
      <c r="J314" s="557" t="s">
        <v>449</v>
      </c>
      <c r="K314" s="558"/>
      <c r="L314" s="559"/>
      <c r="M314" s="405" t="s">
        <v>450</v>
      </c>
      <c r="N314" s="234">
        <f t="shared" si="33"/>
        <v>0</v>
      </c>
    </row>
    <row r="315" spans="1:14" ht="15.75" x14ac:dyDescent="0.25">
      <c r="A315" s="557" t="s">
        <v>451</v>
      </c>
      <c r="B315" s="558"/>
      <c r="C315" s="559"/>
      <c r="D315" s="405" t="s">
        <v>452</v>
      </c>
      <c r="E315" s="234">
        <f t="shared" si="32"/>
        <v>0</v>
      </c>
      <c r="J315" s="557" t="s">
        <v>451</v>
      </c>
      <c r="K315" s="558"/>
      <c r="L315" s="559"/>
      <c r="M315" s="405" t="s">
        <v>452</v>
      </c>
      <c r="N315" s="234">
        <f t="shared" si="33"/>
        <v>0</v>
      </c>
    </row>
    <row r="316" spans="1:14" ht="15.75" x14ac:dyDescent="0.25">
      <c r="A316" s="557" t="s">
        <v>453</v>
      </c>
      <c r="B316" s="558"/>
      <c r="C316" s="559"/>
      <c r="D316" s="405" t="s">
        <v>454</v>
      </c>
      <c r="E316" s="234">
        <f t="shared" si="32"/>
        <v>0</v>
      </c>
      <c r="J316" s="557" t="s">
        <v>453</v>
      </c>
      <c r="K316" s="558"/>
      <c r="L316" s="559"/>
      <c r="M316" s="405" t="s">
        <v>454</v>
      </c>
      <c r="N316" s="234">
        <f t="shared" si="33"/>
        <v>0</v>
      </c>
    </row>
    <row r="317" spans="1:14" ht="15.75" x14ac:dyDescent="0.25">
      <c r="A317" s="557" t="s">
        <v>455</v>
      </c>
      <c r="B317" s="558"/>
      <c r="C317" s="559"/>
      <c r="D317" s="405" t="s">
        <v>456</v>
      </c>
      <c r="E317" s="234">
        <f t="shared" si="32"/>
        <v>0</v>
      </c>
      <c r="J317" s="557" t="s">
        <v>455</v>
      </c>
      <c r="K317" s="558"/>
      <c r="L317" s="559"/>
      <c r="M317" s="405" t="s">
        <v>456</v>
      </c>
      <c r="N317" s="234">
        <f t="shared" si="33"/>
        <v>0</v>
      </c>
    </row>
    <row r="318" spans="1:14" ht="15.75" x14ac:dyDescent="0.25">
      <c r="A318" s="557" t="s">
        <v>457</v>
      </c>
      <c r="B318" s="558"/>
      <c r="C318" s="559"/>
      <c r="D318" s="405" t="s">
        <v>458</v>
      </c>
      <c r="E318" s="234">
        <f t="shared" si="32"/>
        <v>0</v>
      </c>
      <c r="J318" s="557" t="s">
        <v>457</v>
      </c>
      <c r="K318" s="558"/>
      <c r="L318" s="559"/>
      <c r="M318" s="405" t="s">
        <v>458</v>
      </c>
      <c r="N318" s="234">
        <f t="shared" si="33"/>
        <v>0</v>
      </c>
    </row>
    <row r="319" spans="1:14" ht="15.75" x14ac:dyDescent="0.25">
      <c r="A319" s="557" t="s">
        <v>459</v>
      </c>
      <c r="B319" s="558"/>
      <c r="C319" s="559"/>
      <c r="D319" s="405" t="s">
        <v>460</v>
      </c>
      <c r="E319" s="234">
        <f t="shared" si="32"/>
        <v>0</v>
      </c>
      <c r="J319" s="557" t="s">
        <v>459</v>
      </c>
      <c r="K319" s="558"/>
      <c r="L319" s="559"/>
      <c r="M319" s="405" t="s">
        <v>460</v>
      </c>
      <c r="N319" s="234">
        <f t="shared" si="33"/>
        <v>0</v>
      </c>
    </row>
    <row r="320" spans="1:14" ht="15.75" x14ac:dyDescent="0.25">
      <c r="A320" s="557" t="s">
        <v>461</v>
      </c>
      <c r="B320" s="558"/>
      <c r="C320" s="559"/>
      <c r="D320" s="405" t="s">
        <v>462</v>
      </c>
      <c r="E320" s="234">
        <f t="shared" si="32"/>
        <v>0</v>
      </c>
      <c r="J320" s="557" t="s">
        <v>461</v>
      </c>
      <c r="K320" s="558"/>
      <c r="L320" s="559"/>
      <c r="M320" s="405" t="s">
        <v>462</v>
      </c>
      <c r="N320" s="234">
        <f t="shared" si="33"/>
        <v>0</v>
      </c>
    </row>
    <row r="321" spans="1:14" ht="15.75" x14ac:dyDescent="0.25">
      <c r="A321" s="557" t="s">
        <v>463</v>
      </c>
      <c r="B321" s="558"/>
      <c r="C321" s="559"/>
      <c r="D321" s="405" t="s">
        <v>464</v>
      </c>
      <c r="E321" s="234">
        <f t="shared" si="32"/>
        <v>0</v>
      </c>
      <c r="J321" s="557" t="s">
        <v>463</v>
      </c>
      <c r="K321" s="558"/>
      <c r="L321" s="559"/>
      <c r="M321" s="405" t="s">
        <v>464</v>
      </c>
      <c r="N321" s="234">
        <f t="shared" si="33"/>
        <v>0</v>
      </c>
    </row>
    <row r="322" spans="1:14" ht="15.75" x14ac:dyDescent="0.25">
      <c r="A322" s="557" t="s">
        <v>465</v>
      </c>
      <c r="B322" s="558"/>
      <c r="C322" s="559"/>
      <c r="D322" s="405" t="s">
        <v>466</v>
      </c>
      <c r="E322" s="234">
        <f t="shared" si="32"/>
        <v>0</v>
      </c>
      <c r="J322" s="557" t="s">
        <v>465</v>
      </c>
      <c r="K322" s="558"/>
      <c r="L322" s="559"/>
      <c r="M322" s="405" t="s">
        <v>466</v>
      </c>
      <c r="N322" s="234">
        <f t="shared" si="33"/>
        <v>0</v>
      </c>
    </row>
    <row r="323" spans="1:14" ht="15.75" x14ac:dyDescent="0.25">
      <c r="A323" s="557" t="s">
        <v>467</v>
      </c>
      <c r="B323" s="558"/>
      <c r="C323" s="559"/>
      <c r="D323" s="405" t="s">
        <v>468</v>
      </c>
      <c r="E323" s="234">
        <f t="shared" si="32"/>
        <v>0</v>
      </c>
      <c r="J323" s="557" t="s">
        <v>467</v>
      </c>
      <c r="K323" s="558"/>
      <c r="L323" s="559"/>
      <c r="M323" s="405" t="s">
        <v>468</v>
      </c>
      <c r="N323" s="234">
        <f t="shared" si="33"/>
        <v>0</v>
      </c>
    </row>
    <row r="324" spans="1:14" ht="15.75" x14ac:dyDescent="0.25">
      <c r="A324" s="557" t="s">
        <v>469</v>
      </c>
      <c r="B324" s="558"/>
      <c r="C324" s="559"/>
      <c r="D324" s="405" t="s">
        <v>470</v>
      </c>
      <c r="E324" s="234">
        <f t="shared" si="32"/>
        <v>0</v>
      </c>
      <c r="J324" s="557" t="s">
        <v>469</v>
      </c>
      <c r="K324" s="558"/>
      <c r="L324" s="559"/>
      <c r="M324" s="405" t="s">
        <v>470</v>
      </c>
      <c r="N324" s="234">
        <f t="shared" si="33"/>
        <v>0</v>
      </c>
    </row>
    <row r="325" spans="1:14" ht="15.75" x14ac:dyDescent="0.25">
      <c r="A325" s="557" t="s">
        <v>471</v>
      </c>
      <c r="B325" s="558"/>
      <c r="C325" s="559"/>
      <c r="D325" s="405" t="s">
        <v>472</v>
      </c>
      <c r="E325" s="234">
        <f t="shared" si="32"/>
        <v>0</v>
      </c>
      <c r="J325" s="557" t="s">
        <v>471</v>
      </c>
      <c r="K325" s="558"/>
      <c r="L325" s="559"/>
      <c r="M325" s="405" t="s">
        <v>472</v>
      </c>
      <c r="N325" s="234">
        <f t="shared" si="33"/>
        <v>0</v>
      </c>
    </row>
    <row r="326" spans="1:14" ht="15.75" x14ac:dyDescent="0.25">
      <c r="A326" s="557" t="s">
        <v>473</v>
      </c>
      <c r="B326" s="558"/>
      <c r="C326" s="559"/>
      <c r="D326" s="405" t="s">
        <v>474</v>
      </c>
      <c r="E326" s="234">
        <f t="shared" si="32"/>
        <v>0</v>
      </c>
      <c r="J326" s="557" t="s">
        <v>473</v>
      </c>
      <c r="K326" s="558"/>
      <c r="L326" s="559"/>
      <c r="M326" s="405" t="s">
        <v>474</v>
      </c>
      <c r="N326" s="234">
        <f t="shared" si="33"/>
        <v>0</v>
      </c>
    </row>
    <row r="327" spans="1:14" ht="15.75" x14ac:dyDescent="0.25">
      <c r="A327" s="557" t="s">
        <v>475</v>
      </c>
      <c r="B327" s="558"/>
      <c r="C327" s="559"/>
      <c r="D327" s="405" t="s">
        <v>476</v>
      </c>
      <c r="E327" s="234">
        <f t="shared" si="32"/>
        <v>0</v>
      </c>
      <c r="J327" s="557" t="s">
        <v>475</v>
      </c>
      <c r="K327" s="558"/>
      <c r="L327" s="559"/>
      <c r="M327" s="405" t="s">
        <v>476</v>
      </c>
      <c r="N327" s="234">
        <f t="shared" si="33"/>
        <v>0</v>
      </c>
    </row>
    <row r="328" spans="1:14" ht="15.75" x14ac:dyDescent="0.25">
      <c r="A328" s="557" t="s">
        <v>477</v>
      </c>
      <c r="B328" s="558"/>
      <c r="C328" s="559"/>
      <c r="D328" s="405" t="s">
        <v>478</v>
      </c>
      <c r="E328" s="234">
        <f t="shared" si="32"/>
        <v>0</v>
      </c>
      <c r="J328" s="557" t="s">
        <v>477</v>
      </c>
      <c r="K328" s="558"/>
      <c r="L328" s="559"/>
      <c r="M328" s="405" t="s">
        <v>478</v>
      </c>
      <c r="N328" s="234">
        <f t="shared" si="33"/>
        <v>0</v>
      </c>
    </row>
    <row r="329" spans="1:14" ht="15.75" x14ac:dyDescent="0.25">
      <c r="A329" s="557" t="s">
        <v>479</v>
      </c>
      <c r="B329" s="558"/>
      <c r="C329" s="559"/>
      <c r="D329" s="405" t="s">
        <v>480</v>
      </c>
      <c r="E329" s="234">
        <f t="shared" si="32"/>
        <v>0</v>
      </c>
      <c r="J329" s="557" t="s">
        <v>479</v>
      </c>
      <c r="K329" s="558"/>
      <c r="L329" s="559"/>
      <c r="M329" s="405" t="s">
        <v>480</v>
      </c>
      <c r="N329" s="234">
        <f t="shared" si="33"/>
        <v>0</v>
      </c>
    </row>
    <row r="330" spans="1:14" ht="15.75" x14ac:dyDescent="0.25">
      <c r="A330" s="557" t="s">
        <v>481</v>
      </c>
      <c r="B330" s="558"/>
      <c r="C330" s="559"/>
      <c r="D330" s="405" t="s">
        <v>482</v>
      </c>
      <c r="E330" s="234">
        <f t="shared" si="32"/>
        <v>0</v>
      </c>
      <c r="J330" s="557" t="s">
        <v>481</v>
      </c>
      <c r="K330" s="558"/>
      <c r="L330" s="559"/>
      <c r="M330" s="405" t="s">
        <v>482</v>
      </c>
      <c r="N330" s="234">
        <f t="shared" si="33"/>
        <v>0</v>
      </c>
    </row>
    <row r="331" spans="1:14" ht="15.75" x14ac:dyDescent="0.25">
      <c r="A331" s="557" t="s">
        <v>483</v>
      </c>
      <c r="B331" s="558"/>
      <c r="C331" s="559"/>
      <c r="D331" s="405" t="s">
        <v>484</v>
      </c>
      <c r="E331" s="234">
        <f t="shared" si="32"/>
        <v>0</v>
      </c>
      <c r="J331" s="557" t="s">
        <v>483</v>
      </c>
      <c r="K331" s="558"/>
      <c r="L331" s="559"/>
      <c r="M331" s="405" t="s">
        <v>484</v>
      </c>
      <c r="N331" s="234">
        <f t="shared" si="33"/>
        <v>0</v>
      </c>
    </row>
    <row r="332" spans="1:14" ht="18.75" thickBot="1" x14ac:dyDescent="0.3">
      <c r="A332" s="560" t="s">
        <v>230</v>
      </c>
      <c r="B332" s="560"/>
      <c r="C332" s="560"/>
      <c r="D332" s="560"/>
      <c r="E332" s="406">
        <f>SUM(E304:E331)</f>
        <v>0</v>
      </c>
      <c r="J332" s="560" t="s">
        <v>230</v>
      </c>
      <c r="K332" s="560"/>
      <c r="L332" s="560"/>
      <c r="M332" s="560"/>
      <c r="N332" s="406">
        <f>SUM(N304:N331)</f>
        <v>0</v>
      </c>
    </row>
    <row r="333" spans="1:14" ht="18.75" thickBot="1" x14ac:dyDescent="0.3">
      <c r="A333" s="550" t="s">
        <v>485</v>
      </c>
      <c r="B333" s="551"/>
      <c r="C333" s="551"/>
      <c r="D333" s="552"/>
      <c r="J333" s="550" t="s">
        <v>485</v>
      </c>
      <c r="K333" s="551"/>
      <c r="L333" s="551"/>
      <c r="M333" s="552"/>
    </row>
    <row r="334" spans="1:14" ht="15.75" x14ac:dyDescent="0.25">
      <c r="A334" s="557" t="s">
        <v>486</v>
      </c>
      <c r="B334" s="558"/>
      <c r="C334" s="559"/>
      <c r="D334" s="405" t="s">
        <v>487</v>
      </c>
      <c r="E334" s="234">
        <f t="shared" ref="E334:E397" si="34">COUNTIF($AB$13:$AW$54,D334)</f>
        <v>0</v>
      </c>
      <c r="J334" s="557" t="s">
        <v>486</v>
      </c>
      <c r="K334" s="558"/>
      <c r="L334" s="559"/>
      <c r="M334" s="405" t="s">
        <v>487</v>
      </c>
      <c r="N334" s="234">
        <f t="shared" ref="N334:N397" si="35">COUNTIF($A$2:$AA$53,M334)</f>
        <v>0</v>
      </c>
    </row>
    <row r="335" spans="1:14" ht="15.75" x14ac:dyDescent="0.25">
      <c r="A335" s="557" t="s">
        <v>488</v>
      </c>
      <c r="B335" s="558"/>
      <c r="C335" s="559"/>
      <c r="D335" s="405" t="s">
        <v>489</v>
      </c>
      <c r="E335" s="234">
        <f t="shared" si="34"/>
        <v>0</v>
      </c>
      <c r="J335" s="557" t="s">
        <v>488</v>
      </c>
      <c r="K335" s="558"/>
      <c r="L335" s="559"/>
      <c r="M335" s="405" t="s">
        <v>489</v>
      </c>
      <c r="N335" s="234">
        <f t="shared" si="35"/>
        <v>0</v>
      </c>
    </row>
    <row r="336" spans="1:14" ht="15.75" x14ac:dyDescent="0.25">
      <c r="A336" s="557" t="s">
        <v>490</v>
      </c>
      <c r="B336" s="558"/>
      <c r="C336" s="559"/>
      <c r="D336" s="405" t="s">
        <v>491</v>
      </c>
      <c r="E336" s="234">
        <f t="shared" si="34"/>
        <v>0</v>
      </c>
      <c r="J336" s="557" t="s">
        <v>490</v>
      </c>
      <c r="K336" s="558"/>
      <c r="L336" s="559"/>
      <c r="M336" s="405" t="s">
        <v>491</v>
      </c>
      <c r="N336" s="234">
        <f t="shared" si="35"/>
        <v>0</v>
      </c>
    </row>
    <row r="337" spans="1:14" ht="15.75" x14ac:dyDescent="0.25">
      <c r="A337" s="557" t="s">
        <v>492</v>
      </c>
      <c r="B337" s="558"/>
      <c r="C337" s="559"/>
      <c r="D337" s="405" t="s">
        <v>493</v>
      </c>
      <c r="E337" s="234">
        <f t="shared" si="34"/>
        <v>0</v>
      </c>
      <c r="J337" s="557" t="s">
        <v>492</v>
      </c>
      <c r="K337" s="558"/>
      <c r="L337" s="559"/>
      <c r="M337" s="405" t="s">
        <v>493</v>
      </c>
      <c r="N337" s="234">
        <f t="shared" si="35"/>
        <v>0</v>
      </c>
    </row>
    <row r="338" spans="1:14" ht="15.75" x14ac:dyDescent="0.25">
      <c r="A338" s="557" t="s">
        <v>494</v>
      </c>
      <c r="B338" s="558"/>
      <c r="C338" s="559"/>
      <c r="D338" s="405" t="s">
        <v>495</v>
      </c>
      <c r="E338" s="234">
        <f t="shared" si="34"/>
        <v>0</v>
      </c>
      <c r="J338" s="557" t="s">
        <v>494</v>
      </c>
      <c r="K338" s="558"/>
      <c r="L338" s="559"/>
      <c r="M338" s="405" t="s">
        <v>495</v>
      </c>
      <c r="N338" s="234">
        <f t="shared" si="35"/>
        <v>0</v>
      </c>
    </row>
    <row r="339" spans="1:14" ht="15.75" x14ac:dyDescent="0.25">
      <c r="A339" s="557" t="s">
        <v>496</v>
      </c>
      <c r="B339" s="558"/>
      <c r="C339" s="559"/>
      <c r="D339" s="405" t="s">
        <v>497</v>
      </c>
      <c r="E339" s="234">
        <f t="shared" si="34"/>
        <v>0</v>
      </c>
      <c r="J339" s="557" t="s">
        <v>496</v>
      </c>
      <c r="K339" s="558"/>
      <c r="L339" s="559"/>
      <c r="M339" s="405" t="s">
        <v>497</v>
      </c>
      <c r="N339" s="234">
        <f t="shared" si="35"/>
        <v>0</v>
      </c>
    </row>
    <row r="340" spans="1:14" ht="15.75" x14ac:dyDescent="0.25">
      <c r="A340" s="557" t="s">
        <v>498</v>
      </c>
      <c r="B340" s="558"/>
      <c r="C340" s="559"/>
      <c r="D340" s="405" t="s">
        <v>499</v>
      </c>
      <c r="E340" s="234">
        <f t="shared" si="34"/>
        <v>0</v>
      </c>
      <c r="J340" s="557" t="s">
        <v>498</v>
      </c>
      <c r="K340" s="558"/>
      <c r="L340" s="559"/>
      <c r="M340" s="405" t="s">
        <v>499</v>
      </c>
      <c r="N340" s="234">
        <f t="shared" si="35"/>
        <v>0</v>
      </c>
    </row>
    <row r="341" spans="1:14" ht="15.75" x14ac:dyDescent="0.25">
      <c r="A341" s="557" t="s">
        <v>500</v>
      </c>
      <c r="B341" s="558"/>
      <c r="C341" s="559"/>
      <c r="D341" s="405" t="s">
        <v>501</v>
      </c>
      <c r="E341" s="234">
        <f t="shared" si="34"/>
        <v>0</v>
      </c>
      <c r="J341" s="557" t="s">
        <v>500</v>
      </c>
      <c r="K341" s="558"/>
      <c r="L341" s="559"/>
      <c r="M341" s="405" t="s">
        <v>501</v>
      </c>
      <c r="N341" s="234">
        <f t="shared" si="35"/>
        <v>0</v>
      </c>
    </row>
    <row r="342" spans="1:14" ht="15.75" x14ac:dyDescent="0.25">
      <c r="A342" s="557" t="s">
        <v>502</v>
      </c>
      <c r="B342" s="558"/>
      <c r="C342" s="559"/>
      <c r="D342" s="405" t="s">
        <v>503</v>
      </c>
      <c r="E342" s="234">
        <f t="shared" si="34"/>
        <v>0</v>
      </c>
      <c r="J342" s="557" t="s">
        <v>502</v>
      </c>
      <c r="K342" s="558"/>
      <c r="L342" s="559"/>
      <c r="M342" s="405" t="s">
        <v>503</v>
      </c>
      <c r="N342" s="234">
        <f t="shared" si="35"/>
        <v>0</v>
      </c>
    </row>
    <row r="343" spans="1:14" ht="15.75" x14ac:dyDescent="0.25">
      <c r="A343" s="557" t="s">
        <v>504</v>
      </c>
      <c r="B343" s="558"/>
      <c r="C343" s="559"/>
      <c r="D343" s="405" t="s">
        <v>505</v>
      </c>
      <c r="E343" s="234">
        <f t="shared" si="34"/>
        <v>0</v>
      </c>
      <c r="J343" s="557" t="s">
        <v>504</v>
      </c>
      <c r="K343" s="558"/>
      <c r="L343" s="559"/>
      <c r="M343" s="405" t="s">
        <v>505</v>
      </c>
      <c r="N343" s="234">
        <f t="shared" si="35"/>
        <v>0</v>
      </c>
    </row>
    <row r="344" spans="1:14" ht="15.75" x14ac:dyDescent="0.25">
      <c r="A344" s="557" t="s">
        <v>506</v>
      </c>
      <c r="B344" s="558"/>
      <c r="C344" s="559"/>
      <c r="D344" s="405" t="s">
        <v>507</v>
      </c>
      <c r="E344" s="234">
        <f t="shared" si="34"/>
        <v>0</v>
      </c>
      <c r="J344" s="557" t="s">
        <v>506</v>
      </c>
      <c r="K344" s="558"/>
      <c r="L344" s="559"/>
      <c r="M344" s="405" t="s">
        <v>507</v>
      </c>
      <c r="N344" s="234">
        <f t="shared" si="35"/>
        <v>0</v>
      </c>
    </row>
    <row r="345" spans="1:14" ht="15.75" x14ac:dyDescent="0.25">
      <c r="A345" s="557" t="s">
        <v>508</v>
      </c>
      <c r="B345" s="558"/>
      <c r="C345" s="559"/>
      <c r="D345" s="405" t="s">
        <v>509</v>
      </c>
      <c r="E345" s="234">
        <f t="shared" si="34"/>
        <v>0</v>
      </c>
      <c r="J345" s="557" t="s">
        <v>508</v>
      </c>
      <c r="K345" s="558"/>
      <c r="L345" s="559"/>
      <c r="M345" s="405" t="s">
        <v>509</v>
      </c>
      <c r="N345" s="234">
        <f t="shared" si="35"/>
        <v>0</v>
      </c>
    </row>
    <row r="346" spans="1:14" ht="15.75" x14ac:dyDescent="0.25">
      <c r="A346" s="557" t="s">
        <v>510</v>
      </c>
      <c r="B346" s="558"/>
      <c r="C346" s="559"/>
      <c r="D346" s="405" t="s">
        <v>511</v>
      </c>
      <c r="E346" s="234">
        <f t="shared" si="34"/>
        <v>0</v>
      </c>
      <c r="J346" s="557" t="s">
        <v>510</v>
      </c>
      <c r="K346" s="558"/>
      <c r="L346" s="559"/>
      <c r="M346" s="405" t="s">
        <v>511</v>
      </c>
      <c r="N346" s="234">
        <f t="shared" si="35"/>
        <v>0</v>
      </c>
    </row>
    <row r="347" spans="1:14" ht="15.75" x14ac:dyDescent="0.25">
      <c r="A347" s="557" t="s">
        <v>512</v>
      </c>
      <c r="B347" s="558"/>
      <c r="C347" s="559"/>
      <c r="D347" s="405" t="s">
        <v>513</v>
      </c>
      <c r="E347" s="234">
        <f t="shared" si="34"/>
        <v>0</v>
      </c>
      <c r="J347" s="557" t="s">
        <v>512</v>
      </c>
      <c r="K347" s="558"/>
      <c r="L347" s="559"/>
      <c r="M347" s="405" t="s">
        <v>513</v>
      </c>
      <c r="N347" s="234">
        <f t="shared" si="35"/>
        <v>0</v>
      </c>
    </row>
    <row r="348" spans="1:14" ht="15.75" x14ac:dyDescent="0.25">
      <c r="A348" s="557" t="s">
        <v>514</v>
      </c>
      <c r="B348" s="558"/>
      <c r="C348" s="559"/>
      <c r="D348" s="405" t="s">
        <v>515</v>
      </c>
      <c r="E348" s="234">
        <f t="shared" si="34"/>
        <v>0</v>
      </c>
      <c r="J348" s="557" t="s">
        <v>514</v>
      </c>
      <c r="K348" s="558"/>
      <c r="L348" s="559"/>
      <c r="M348" s="405" t="s">
        <v>515</v>
      </c>
      <c r="N348" s="234">
        <f t="shared" si="35"/>
        <v>0</v>
      </c>
    </row>
    <row r="349" spans="1:14" ht="15.75" x14ac:dyDescent="0.25">
      <c r="A349" s="557" t="s">
        <v>516</v>
      </c>
      <c r="B349" s="558"/>
      <c r="C349" s="559"/>
      <c r="D349" s="405" t="s">
        <v>517</v>
      </c>
      <c r="E349" s="234">
        <f t="shared" si="34"/>
        <v>0</v>
      </c>
      <c r="J349" s="557" t="s">
        <v>516</v>
      </c>
      <c r="K349" s="558"/>
      <c r="L349" s="559"/>
      <c r="M349" s="405" t="s">
        <v>517</v>
      </c>
      <c r="N349" s="234">
        <f t="shared" si="35"/>
        <v>0</v>
      </c>
    </row>
    <row r="350" spans="1:14" ht="15.75" x14ac:dyDescent="0.25">
      <c r="A350" s="557" t="s">
        <v>518</v>
      </c>
      <c r="B350" s="558"/>
      <c r="C350" s="559"/>
      <c r="D350" s="405" t="s">
        <v>519</v>
      </c>
      <c r="E350" s="234">
        <f t="shared" si="34"/>
        <v>0</v>
      </c>
      <c r="J350" s="557" t="s">
        <v>518</v>
      </c>
      <c r="K350" s="558"/>
      <c r="L350" s="559"/>
      <c r="M350" s="405" t="s">
        <v>519</v>
      </c>
      <c r="N350" s="234">
        <f t="shared" si="35"/>
        <v>0</v>
      </c>
    </row>
    <row r="351" spans="1:14" ht="15.75" x14ac:dyDescent="0.25">
      <c r="A351" s="557" t="s">
        <v>520</v>
      </c>
      <c r="B351" s="558"/>
      <c r="C351" s="559"/>
      <c r="D351" s="405" t="s">
        <v>521</v>
      </c>
      <c r="E351" s="234">
        <f t="shared" si="34"/>
        <v>0</v>
      </c>
      <c r="J351" s="557" t="s">
        <v>520</v>
      </c>
      <c r="K351" s="558"/>
      <c r="L351" s="559"/>
      <c r="M351" s="405" t="s">
        <v>521</v>
      </c>
      <c r="N351" s="234">
        <f t="shared" si="35"/>
        <v>0</v>
      </c>
    </row>
    <row r="352" spans="1:14" ht="15.75" x14ac:dyDescent="0.25">
      <c r="A352" s="557" t="s">
        <v>522</v>
      </c>
      <c r="B352" s="558"/>
      <c r="C352" s="559"/>
      <c r="D352" s="405" t="s">
        <v>523</v>
      </c>
      <c r="E352" s="234">
        <f t="shared" si="34"/>
        <v>0</v>
      </c>
      <c r="J352" s="557" t="s">
        <v>522</v>
      </c>
      <c r="K352" s="558"/>
      <c r="L352" s="559"/>
      <c r="M352" s="405" t="s">
        <v>523</v>
      </c>
      <c r="N352" s="234">
        <f t="shared" si="35"/>
        <v>0</v>
      </c>
    </row>
    <row r="353" spans="1:17" ht="15.75" x14ac:dyDescent="0.25">
      <c r="A353" s="557" t="s">
        <v>524</v>
      </c>
      <c r="B353" s="558"/>
      <c r="C353" s="559"/>
      <c r="D353" s="405" t="s">
        <v>525</v>
      </c>
      <c r="E353" s="234">
        <f t="shared" si="34"/>
        <v>0</v>
      </c>
      <c r="J353" s="557" t="s">
        <v>524</v>
      </c>
      <c r="K353" s="558"/>
      <c r="L353" s="559"/>
      <c r="M353" s="405" t="s">
        <v>525</v>
      </c>
      <c r="N353" s="234">
        <f t="shared" si="35"/>
        <v>0</v>
      </c>
    </row>
    <row r="354" spans="1:17" ht="15.75" x14ac:dyDescent="0.25">
      <c r="A354" s="557" t="s">
        <v>526</v>
      </c>
      <c r="B354" s="558"/>
      <c r="C354" s="559"/>
      <c r="D354" s="405" t="s">
        <v>527</v>
      </c>
      <c r="E354" s="234">
        <f t="shared" si="34"/>
        <v>0</v>
      </c>
      <c r="J354" s="557" t="s">
        <v>526</v>
      </c>
      <c r="K354" s="558"/>
      <c r="L354" s="559"/>
      <c r="M354" s="405" t="s">
        <v>527</v>
      </c>
      <c r="N354" s="234">
        <f t="shared" si="35"/>
        <v>0</v>
      </c>
      <c r="O354" s="7"/>
      <c r="P354" s="7"/>
      <c r="Q354" s="7"/>
    </row>
    <row r="355" spans="1:17" ht="15.75" x14ac:dyDescent="0.25">
      <c r="A355" s="557" t="s">
        <v>528</v>
      </c>
      <c r="B355" s="558"/>
      <c r="C355" s="559"/>
      <c r="D355" s="405" t="s">
        <v>529</v>
      </c>
      <c r="E355" s="234">
        <f t="shared" si="34"/>
        <v>0</v>
      </c>
      <c r="J355" s="557" t="s">
        <v>528</v>
      </c>
      <c r="K355" s="558"/>
      <c r="L355" s="559"/>
      <c r="M355" s="405" t="s">
        <v>529</v>
      </c>
      <c r="N355" s="234">
        <f t="shared" si="35"/>
        <v>0</v>
      </c>
    </row>
    <row r="356" spans="1:17" ht="15.75" x14ac:dyDescent="0.25">
      <c r="A356" s="557" t="s">
        <v>530</v>
      </c>
      <c r="B356" s="558"/>
      <c r="C356" s="559"/>
      <c r="D356" s="405" t="s">
        <v>531</v>
      </c>
      <c r="E356" s="234">
        <f t="shared" si="34"/>
        <v>0</v>
      </c>
      <c r="J356" s="557" t="s">
        <v>530</v>
      </c>
      <c r="K356" s="558"/>
      <c r="L356" s="559"/>
      <c r="M356" s="405" t="s">
        <v>531</v>
      </c>
      <c r="N356" s="234">
        <f t="shared" si="35"/>
        <v>0</v>
      </c>
    </row>
    <row r="357" spans="1:17" ht="15.75" x14ac:dyDescent="0.25">
      <c r="A357" s="557" t="s">
        <v>532</v>
      </c>
      <c r="B357" s="558"/>
      <c r="C357" s="559"/>
      <c r="D357" s="405" t="s">
        <v>533</v>
      </c>
      <c r="E357" s="234">
        <f t="shared" si="34"/>
        <v>0</v>
      </c>
      <c r="J357" s="557" t="s">
        <v>532</v>
      </c>
      <c r="K357" s="558"/>
      <c r="L357" s="559"/>
      <c r="M357" s="405" t="s">
        <v>533</v>
      </c>
      <c r="N357" s="234">
        <f t="shared" si="35"/>
        <v>0</v>
      </c>
    </row>
    <row r="358" spans="1:17" ht="15.75" x14ac:dyDescent="0.25">
      <c r="A358" s="557" t="s">
        <v>534</v>
      </c>
      <c r="B358" s="558"/>
      <c r="C358" s="559"/>
      <c r="D358" s="405" t="s">
        <v>535</v>
      </c>
      <c r="E358" s="234">
        <f t="shared" si="34"/>
        <v>0</v>
      </c>
      <c r="J358" s="557" t="s">
        <v>534</v>
      </c>
      <c r="K358" s="558"/>
      <c r="L358" s="559"/>
      <c r="M358" s="405" t="s">
        <v>535</v>
      </c>
      <c r="N358" s="234">
        <f t="shared" si="35"/>
        <v>0</v>
      </c>
    </row>
    <row r="359" spans="1:17" ht="15.75" x14ac:dyDescent="0.25">
      <c r="A359" s="557" t="s">
        <v>536</v>
      </c>
      <c r="B359" s="558"/>
      <c r="C359" s="559"/>
      <c r="D359" s="405" t="s">
        <v>537</v>
      </c>
      <c r="E359" s="234">
        <f t="shared" si="34"/>
        <v>0</v>
      </c>
      <c r="J359" s="557" t="s">
        <v>536</v>
      </c>
      <c r="K359" s="558"/>
      <c r="L359" s="559"/>
      <c r="M359" s="405" t="s">
        <v>537</v>
      </c>
      <c r="N359" s="234">
        <f t="shared" si="35"/>
        <v>0</v>
      </c>
    </row>
    <row r="360" spans="1:17" ht="15.75" x14ac:dyDescent="0.25">
      <c r="A360" s="557" t="s">
        <v>538</v>
      </c>
      <c r="B360" s="558"/>
      <c r="C360" s="559"/>
      <c r="D360" s="405" t="s">
        <v>539</v>
      </c>
      <c r="E360" s="234">
        <f t="shared" si="34"/>
        <v>0</v>
      </c>
      <c r="J360" s="557" t="s">
        <v>538</v>
      </c>
      <c r="K360" s="558"/>
      <c r="L360" s="559"/>
      <c r="M360" s="405" t="s">
        <v>539</v>
      </c>
      <c r="N360" s="234">
        <f t="shared" si="35"/>
        <v>0</v>
      </c>
    </row>
    <row r="361" spans="1:17" ht="15.75" x14ac:dyDescent="0.25">
      <c r="A361" s="557" t="s">
        <v>540</v>
      </c>
      <c r="B361" s="558"/>
      <c r="C361" s="559"/>
      <c r="D361" s="405" t="s">
        <v>541</v>
      </c>
      <c r="E361" s="234">
        <f t="shared" si="34"/>
        <v>0</v>
      </c>
      <c r="J361" s="557" t="s">
        <v>540</v>
      </c>
      <c r="K361" s="558"/>
      <c r="L361" s="559"/>
      <c r="M361" s="405" t="s">
        <v>541</v>
      </c>
      <c r="N361" s="234">
        <f t="shared" si="35"/>
        <v>0</v>
      </c>
    </row>
    <row r="362" spans="1:17" ht="15.75" x14ac:dyDescent="0.25">
      <c r="A362" s="557" t="s">
        <v>542</v>
      </c>
      <c r="B362" s="558"/>
      <c r="C362" s="559"/>
      <c r="D362" s="405" t="s">
        <v>543</v>
      </c>
      <c r="E362" s="234">
        <f t="shared" si="34"/>
        <v>0</v>
      </c>
      <c r="J362" s="557" t="s">
        <v>542</v>
      </c>
      <c r="K362" s="558"/>
      <c r="L362" s="559"/>
      <c r="M362" s="405" t="s">
        <v>543</v>
      </c>
      <c r="N362" s="234">
        <f t="shared" si="35"/>
        <v>0</v>
      </c>
    </row>
    <row r="363" spans="1:17" ht="15.75" x14ac:dyDescent="0.25">
      <c r="A363" s="557" t="s">
        <v>544</v>
      </c>
      <c r="B363" s="558"/>
      <c r="C363" s="559"/>
      <c r="D363" s="405" t="s">
        <v>545</v>
      </c>
      <c r="E363" s="234">
        <f t="shared" si="34"/>
        <v>0</v>
      </c>
      <c r="J363" s="557" t="s">
        <v>544</v>
      </c>
      <c r="K363" s="558"/>
      <c r="L363" s="559"/>
      <c r="M363" s="405" t="s">
        <v>545</v>
      </c>
      <c r="N363" s="234">
        <f t="shared" si="35"/>
        <v>0</v>
      </c>
    </row>
    <row r="364" spans="1:17" ht="15.75" x14ac:dyDescent="0.25">
      <c r="A364" s="557" t="s">
        <v>546</v>
      </c>
      <c r="B364" s="558"/>
      <c r="C364" s="559"/>
      <c r="D364" s="405" t="s">
        <v>547</v>
      </c>
      <c r="E364" s="234">
        <f t="shared" si="34"/>
        <v>0</v>
      </c>
      <c r="J364" s="557" t="s">
        <v>546</v>
      </c>
      <c r="K364" s="558"/>
      <c r="L364" s="559"/>
      <c r="M364" s="405" t="s">
        <v>547</v>
      </c>
      <c r="N364" s="234">
        <f t="shared" si="35"/>
        <v>0</v>
      </c>
    </row>
    <row r="365" spans="1:17" ht="15.75" x14ac:dyDescent="0.25">
      <c r="A365" s="557" t="s">
        <v>548</v>
      </c>
      <c r="B365" s="558"/>
      <c r="C365" s="559"/>
      <c r="D365" s="405" t="s">
        <v>549</v>
      </c>
      <c r="E365" s="234">
        <f t="shared" si="34"/>
        <v>0</v>
      </c>
      <c r="F365" s="7"/>
      <c r="G365" s="7"/>
      <c r="H365" s="7"/>
      <c r="I365" s="7"/>
      <c r="J365" s="557" t="s">
        <v>548</v>
      </c>
      <c r="K365" s="558"/>
      <c r="L365" s="559"/>
      <c r="M365" s="405" t="s">
        <v>549</v>
      </c>
      <c r="N365" s="234">
        <f t="shared" si="35"/>
        <v>0</v>
      </c>
    </row>
    <row r="366" spans="1:17" ht="15.75" x14ac:dyDescent="0.25">
      <c r="A366" s="557" t="s">
        <v>550</v>
      </c>
      <c r="B366" s="558"/>
      <c r="C366" s="559"/>
      <c r="D366" s="405" t="s">
        <v>551</v>
      </c>
      <c r="E366" s="234">
        <f t="shared" si="34"/>
        <v>0</v>
      </c>
      <c r="J366" s="557" t="s">
        <v>550</v>
      </c>
      <c r="K366" s="558"/>
      <c r="L366" s="559"/>
      <c r="M366" s="405" t="s">
        <v>551</v>
      </c>
      <c r="N366" s="234">
        <f t="shared" si="35"/>
        <v>0</v>
      </c>
    </row>
    <row r="367" spans="1:17" ht="15.75" x14ac:dyDescent="0.25">
      <c r="A367" s="557" t="s">
        <v>552</v>
      </c>
      <c r="B367" s="558"/>
      <c r="C367" s="559"/>
      <c r="D367" s="405" t="s">
        <v>553</v>
      </c>
      <c r="E367" s="234">
        <f t="shared" si="34"/>
        <v>0</v>
      </c>
      <c r="J367" s="557" t="s">
        <v>552</v>
      </c>
      <c r="K367" s="558"/>
      <c r="L367" s="559"/>
      <c r="M367" s="405" t="s">
        <v>553</v>
      </c>
      <c r="N367" s="234">
        <f t="shared" si="35"/>
        <v>0</v>
      </c>
    </row>
    <row r="368" spans="1:17" ht="15.75" x14ac:dyDescent="0.25">
      <c r="A368" s="557" t="s">
        <v>554</v>
      </c>
      <c r="B368" s="558"/>
      <c r="C368" s="559"/>
      <c r="D368" s="405" t="s">
        <v>555</v>
      </c>
      <c r="E368" s="234">
        <f t="shared" si="34"/>
        <v>0</v>
      </c>
      <c r="J368" s="557" t="s">
        <v>554</v>
      </c>
      <c r="K368" s="558"/>
      <c r="L368" s="559"/>
      <c r="M368" s="405" t="s">
        <v>555</v>
      </c>
      <c r="N368" s="234">
        <f t="shared" si="35"/>
        <v>0</v>
      </c>
    </row>
    <row r="369" spans="1:14" ht="15.75" x14ac:dyDescent="0.25">
      <c r="A369" s="557" t="s">
        <v>556</v>
      </c>
      <c r="B369" s="558"/>
      <c r="C369" s="559"/>
      <c r="D369" s="405" t="s">
        <v>557</v>
      </c>
      <c r="E369" s="234">
        <f t="shared" si="34"/>
        <v>0</v>
      </c>
      <c r="J369" s="557" t="s">
        <v>556</v>
      </c>
      <c r="K369" s="558"/>
      <c r="L369" s="559"/>
      <c r="M369" s="405" t="s">
        <v>557</v>
      </c>
      <c r="N369" s="234">
        <f t="shared" si="35"/>
        <v>0</v>
      </c>
    </row>
    <row r="370" spans="1:14" ht="15.75" x14ac:dyDescent="0.25">
      <c r="A370" s="557" t="s">
        <v>558</v>
      </c>
      <c r="B370" s="558"/>
      <c r="C370" s="559"/>
      <c r="D370" s="405" t="s">
        <v>559</v>
      </c>
      <c r="E370" s="234">
        <f t="shared" si="34"/>
        <v>0</v>
      </c>
      <c r="J370" s="557" t="s">
        <v>558</v>
      </c>
      <c r="K370" s="558"/>
      <c r="L370" s="559"/>
      <c r="M370" s="405" t="s">
        <v>559</v>
      </c>
      <c r="N370" s="234">
        <f t="shared" si="35"/>
        <v>0</v>
      </c>
    </row>
    <row r="371" spans="1:14" ht="15.75" x14ac:dyDescent="0.25">
      <c r="A371" s="557" t="s">
        <v>560</v>
      </c>
      <c r="B371" s="558"/>
      <c r="C371" s="559"/>
      <c r="D371" s="405" t="s">
        <v>561</v>
      </c>
      <c r="E371" s="234">
        <f t="shared" si="34"/>
        <v>0</v>
      </c>
      <c r="J371" s="557" t="s">
        <v>560</v>
      </c>
      <c r="K371" s="558"/>
      <c r="L371" s="559"/>
      <c r="M371" s="405" t="s">
        <v>561</v>
      </c>
      <c r="N371" s="234">
        <f t="shared" si="35"/>
        <v>0</v>
      </c>
    </row>
    <row r="372" spans="1:14" ht="15.75" x14ac:dyDescent="0.25">
      <c r="A372" s="557" t="s">
        <v>562</v>
      </c>
      <c r="B372" s="558"/>
      <c r="C372" s="559"/>
      <c r="D372" s="405" t="s">
        <v>563</v>
      </c>
      <c r="E372" s="234">
        <f t="shared" si="34"/>
        <v>0</v>
      </c>
      <c r="F372" s="7"/>
      <c r="G372" s="7"/>
      <c r="H372" s="7"/>
      <c r="I372" s="7"/>
      <c r="J372" s="557" t="s">
        <v>562</v>
      </c>
      <c r="K372" s="558"/>
      <c r="L372" s="559"/>
      <c r="M372" s="405" t="s">
        <v>563</v>
      </c>
      <c r="N372" s="234">
        <f t="shared" si="35"/>
        <v>0</v>
      </c>
    </row>
    <row r="373" spans="1:14" ht="15.75" x14ac:dyDescent="0.25">
      <c r="A373" s="557" t="s">
        <v>564</v>
      </c>
      <c r="B373" s="558"/>
      <c r="C373" s="559"/>
      <c r="D373" s="405" t="s">
        <v>565</v>
      </c>
      <c r="E373" s="234">
        <f t="shared" si="34"/>
        <v>0</v>
      </c>
      <c r="J373" s="557" t="s">
        <v>564</v>
      </c>
      <c r="K373" s="558"/>
      <c r="L373" s="559"/>
      <c r="M373" s="405" t="s">
        <v>565</v>
      </c>
      <c r="N373" s="234">
        <f t="shared" si="35"/>
        <v>0</v>
      </c>
    </row>
    <row r="374" spans="1:14" ht="15.75" x14ac:dyDescent="0.25">
      <c r="A374" s="557" t="s">
        <v>566</v>
      </c>
      <c r="B374" s="558"/>
      <c r="C374" s="559"/>
      <c r="D374" s="405" t="s">
        <v>567</v>
      </c>
      <c r="E374" s="234">
        <f t="shared" si="34"/>
        <v>0</v>
      </c>
      <c r="J374" s="557" t="s">
        <v>566</v>
      </c>
      <c r="K374" s="558"/>
      <c r="L374" s="559"/>
      <c r="M374" s="405" t="s">
        <v>567</v>
      </c>
      <c r="N374" s="234">
        <f t="shared" si="35"/>
        <v>0</v>
      </c>
    </row>
    <row r="375" spans="1:14" ht="15.75" x14ac:dyDescent="0.25">
      <c r="A375" s="557" t="s">
        <v>568</v>
      </c>
      <c r="B375" s="558"/>
      <c r="C375" s="559"/>
      <c r="D375" s="405" t="s">
        <v>569</v>
      </c>
      <c r="E375" s="234">
        <f t="shared" si="34"/>
        <v>0</v>
      </c>
      <c r="J375" s="557" t="s">
        <v>568</v>
      </c>
      <c r="K375" s="558"/>
      <c r="L375" s="559"/>
      <c r="M375" s="405" t="s">
        <v>569</v>
      </c>
      <c r="N375" s="234">
        <f t="shared" si="35"/>
        <v>0</v>
      </c>
    </row>
    <row r="376" spans="1:14" ht="15.75" x14ac:dyDescent="0.25">
      <c r="A376" s="557" t="s">
        <v>570</v>
      </c>
      <c r="B376" s="558"/>
      <c r="C376" s="559"/>
      <c r="D376" s="405" t="s">
        <v>571</v>
      </c>
      <c r="E376" s="234">
        <f t="shared" si="34"/>
        <v>0</v>
      </c>
      <c r="J376" s="557" t="s">
        <v>570</v>
      </c>
      <c r="K376" s="558"/>
      <c r="L376" s="559"/>
      <c r="M376" s="405" t="s">
        <v>571</v>
      </c>
      <c r="N376" s="234">
        <f t="shared" si="35"/>
        <v>0</v>
      </c>
    </row>
    <row r="377" spans="1:14" ht="15.75" x14ac:dyDescent="0.25">
      <c r="A377" s="557" t="s">
        <v>572</v>
      </c>
      <c r="B377" s="558"/>
      <c r="C377" s="559"/>
      <c r="D377" s="405" t="s">
        <v>573</v>
      </c>
      <c r="E377" s="234">
        <f t="shared" si="34"/>
        <v>0</v>
      </c>
      <c r="J377" s="557" t="s">
        <v>572</v>
      </c>
      <c r="K377" s="558"/>
      <c r="L377" s="559"/>
      <c r="M377" s="405" t="s">
        <v>573</v>
      </c>
      <c r="N377" s="234">
        <f t="shared" si="35"/>
        <v>0</v>
      </c>
    </row>
    <row r="378" spans="1:14" ht="15.75" x14ac:dyDescent="0.25">
      <c r="A378" s="557" t="s">
        <v>574</v>
      </c>
      <c r="B378" s="558"/>
      <c r="C378" s="559"/>
      <c r="D378" s="405" t="s">
        <v>575</v>
      </c>
      <c r="E378" s="234">
        <f t="shared" si="34"/>
        <v>0</v>
      </c>
      <c r="J378" s="557" t="s">
        <v>574</v>
      </c>
      <c r="K378" s="558"/>
      <c r="L378" s="559"/>
      <c r="M378" s="405" t="s">
        <v>575</v>
      </c>
      <c r="N378" s="234">
        <f t="shared" si="35"/>
        <v>0</v>
      </c>
    </row>
    <row r="379" spans="1:14" ht="15.75" x14ac:dyDescent="0.25">
      <c r="A379" s="557" t="s">
        <v>576</v>
      </c>
      <c r="B379" s="558"/>
      <c r="C379" s="559"/>
      <c r="D379" s="405" t="s">
        <v>577</v>
      </c>
      <c r="E379" s="234">
        <f t="shared" si="34"/>
        <v>0</v>
      </c>
      <c r="J379" s="557" t="s">
        <v>576</v>
      </c>
      <c r="K379" s="558"/>
      <c r="L379" s="559"/>
      <c r="M379" s="405" t="s">
        <v>577</v>
      </c>
      <c r="N379" s="234">
        <f t="shared" si="35"/>
        <v>0</v>
      </c>
    </row>
    <row r="380" spans="1:14" ht="15.75" x14ac:dyDescent="0.25">
      <c r="A380" s="557" t="s">
        <v>578</v>
      </c>
      <c r="B380" s="558"/>
      <c r="C380" s="559"/>
      <c r="D380" s="405" t="s">
        <v>579</v>
      </c>
      <c r="E380" s="234">
        <f t="shared" si="34"/>
        <v>0</v>
      </c>
      <c r="J380" s="557" t="s">
        <v>578</v>
      </c>
      <c r="K380" s="558"/>
      <c r="L380" s="559"/>
      <c r="M380" s="405" t="s">
        <v>579</v>
      </c>
      <c r="N380" s="234">
        <f t="shared" si="35"/>
        <v>0</v>
      </c>
    </row>
    <row r="381" spans="1:14" ht="15.75" x14ac:dyDescent="0.25">
      <c r="A381" s="557" t="s">
        <v>580</v>
      </c>
      <c r="B381" s="558"/>
      <c r="C381" s="559"/>
      <c r="D381" s="405" t="s">
        <v>581</v>
      </c>
      <c r="E381" s="234">
        <f t="shared" si="34"/>
        <v>0</v>
      </c>
      <c r="J381" s="557" t="s">
        <v>580</v>
      </c>
      <c r="K381" s="558"/>
      <c r="L381" s="559"/>
      <c r="M381" s="405" t="s">
        <v>581</v>
      </c>
      <c r="N381" s="234">
        <f t="shared" si="35"/>
        <v>0</v>
      </c>
    </row>
    <row r="382" spans="1:14" ht="15.75" x14ac:dyDescent="0.25">
      <c r="A382" s="557" t="s">
        <v>580</v>
      </c>
      <c r="B382" s="558"/>
      <c r="C382" s="559"/>
      <c r="D382" s="405" t="s">
        <v>581</v>
      </c>
      <c r="E382" s="234">
        <f t="shared" si="34"/>
        <v>0</v>
      </c>
      <c r="J382" s="557" t="s">
        <v>580</v>
      </c>
      <c r="K382" s="558"/>
      <c r="L382" s="559"/>
      <c r="M382" s="405" t="s">
        <v>581</v>
      </c>
      <c r="N382" s="234">
        <f t="shared" si="35"/>
        <v>0</v>
      </c>
    </row>
    <row r="383" spans="1:14" ht="15.75" x14ac:dyDescent="0.25">
      <c r="A383" s="557" t="s">
        <v>582</v>
      </c>
      <c r="B383" s="558"/>
      <c r="C383" s="559"/>
      <c r="D383" s="405" t="s">
        <v>583</v>
      </c>
      <c r="E383" s="234">
        <f t="shared" si="34"/>
        <v>0</v>
      </c>
      <c r="J383" s="557" t="s">
        <v>582</v>
      </c>
      <c r="K383" s="558"/>
      <c r="L383" s="559"/>
      <c r="M383" s="405" t="s">
        <v>583</v>
      </c>
      <c r="N383" s="234">
        <f t="shared" si="35"/>
        <v>0</v>
      </c>
    </row>
    <row r="384" spans="1:14" ht="15.75" x14ac:dyDescent="0.25">
      <c r="A384" s="557" t="s">
        <v>584</v>
      </c>
      <c r="B384" s="558"/>
      <c r="C384" s="559"/>
      <c r="D384" s="405" t="s">
        <v>585</v>
      </c>
      <c r="E384" s="234">
        <f t="shared" si="34"/>
        <v>0</v>
      </c>
      <c r="J384" s="557" t="s">
        <v>584</v>
      </c>
      <c r="K384" s="558"/>
      <c r="L384" s="559"/>
      <c r="M384" s="405" t="s">
        <v>585</v>
      </c>
      <c r="N384" s="234">
        <f t="shared" si="35"/>
        <v>0</v>
      </c>
    </row>
    <row r="385" spans="1:14" ht="15.75" x14ac:dyDescent="0.25">
      <c r="A385" s="557" t="s">
        <v>586</v>
      </c>
      <c r="B385" s="558"/>
      <c r="C385" s="559"/>
      <c r="D385" s="405" t="s">
        <v>587</v>
      </c>
      <c r="E385" s="234">
        <f t="shared" si="34"/>
        <v>0</v>
      </c>
      <c r="J385" s="557" t="s">
        <v>586</v>
      </c>
      <c r="K385" s="558"/>
      <c r="L385" s="559"/>
      <c r="M385" s="405" t="s">
        <v>587</v>
      </c>
      <c r="N385" s="234">
        <f t="shared" si="35"/>
        <v>0</v>
      </c>
    </row>
    <row r="386" spans="1:14" ht="15.75" x14ac:dyDescent="0.25">
      <c r="A386" s="557" t="s">
        <v>588</v>
      </c>
      <c r="B386" s="558"/>
      <c r="C386" s="559"/>
      <c r="D386" s="405" t="s">
        <v>589</v>
      </c>
      <c r="E386" s="234">
        <f t="shared" si="34"/>
        <v>0</v>
      </c>
      <c r="J386" s="557" t="s">
        <v>588</v>
      </c>
      <c r="K386" s="558"/>
      <c r="L386" s="559"/>
      <c r="M386" s="405" t="s">
        <v>589</v>
      </c>
      <c r="N386" s="234">
        <f t="shared" si="35"/>
        <v>0</v>
      </c>
    </row>
    <row r="387" spans="1:14" ht="15.75" x14ac:dyDescent="0.25">
      <c r="A387" s="557" t="s">
        <v>590</v>
      </c>
      <c r="B387" s="558"/>
      <c r="C387" s="559"/>
      <c r="D387" s="405" t="s">
        <v>591</v>
      </c>
      <c r="E387" s="234">
        <f t="shared" si="34"/>
        <v>0</v>
      </c>
      <c r="J387" s="557" t="s">
        <v>590</v>
      </c>
      <c r="K387" s="558"/>
      <c r="L387" s="559"/>
      <c r="M387" s="405" t="s">
        <v>591</v>
      </c>
      <c r="N387" s="234">
        <f t="shared" si="35"/>
        <v>0</v>
      </c>
    </row>
    <row r="388" spans="1:14" ht="15.75" x14ac:dyDescent="0.25">
      <c r="A388" s="557" t="s">
        <v>592</v>
      </c>
      <c r="B388" s="558"/>
      <c r="C388" s="559"/>
      <c r="D388" s="405" t="s">
        <v>593</v>
      </c>
      <c r="E388" s="234">
        <f t="shared" si="34"/>
        <v>0</v>
      </c>
      <c r="J388" s="557" t="s">
        <v>592</v>
      </c>
      <c r="K388" s="558"/>
      <c r="L388" s="559"/>
      <c r="M388" s="405" t="s">
        <v>593</v>
      </c>
      <c r="N388" s="234">
        <f t="shared" si="35"/>
        <v>0</v>
      </c>
    </row>
    <row r="389" spans="1:14" ht="15.75" x14ac:dyDescent="0.25">
      <c r="A389" s="557" t="s">
        <v>594</v>
      </c>
      <c r="B389" s="558"/>
      <c r="C389" s="559"/>
      <c r="D389" s="405" t="s">
        <v>595</v>
      </c>
      <c r="E389" s="234">
        <f t="shared" si="34"/>
        <v>0</v>
      </c>
      <c r="J389" s="557" t="s">
        <v>594</v>
      </c>
      <c r="K389" s="558"/>
      <c r="L389" s="559"/>
      <c r="M389" s="405" t="s">
        <v>595</v>
      </c>
      <c r="N389" s="234">
        <f t="shared" si="35"/>
        <v>0</v>
      </c>
    </row>
    <row r="390" spans="1:14" ht="15.75" x14ac:dyDescent="0.25">
      <c r="A390" s="557" t="s">
        <v>596</v>
      </c>
      <c r="B390" s="558"/>
      <c r="C390" s="559"/>
      <c r="D390" s="405" t="s">
        <v>597</v>
      </c>
      <c r="E390" s="234">
        <f t="shared" si="34"/>
        <v>0</v>
      </c>
      <c r="J390" s="557" t="s">
        <v>596</v>
      </c>
      <c r="K390" s="558"/>
      <c r="L390" s="559"/>
      <c r="M390" s="405" t="s">
        <v>597</v>
      </c>
      <c r="N390" s="234">
        <f t="shared" si="35"/>
        <v>0</v>
      </c>
    </row>
    <row r="391" spans="1:14" ht="15.75" x14ac:dyDescent="0.25">
      <c r="A391" s="557" t="s">
        <v>598</v>
      </c>
      <c r="B391" s="558"/>
      <c r="C391" s="559"/>
      <c r="D391" s="405" t="s">
        <v>599</v>
      </c>
      <c r="E391" s="234">
        <f t="shared" si="34"/>
        <v>0</v>
      </c>
      <c r="J391" s="557" t="s">
        <v>598</v>
      </c>
      <c r="K391" s="558"/>
      <c r="L391" s="559"/>
      <c r="M391" s="405" t="s">
        <v>599</v>
      </c>
      <c r="N391" s="234">
        <f t="shared" si="35"/>
        <v>0</v>
      </c>
    </row>
    <row r="392" spans="1:14" ht="15.75" x14ac:dyDescent="0.25">
      <c r="A392" s="557" t="s">
        <v>600</v>
      </c>
      <c r="B392" s="558"/>
      <c r="C392" s="559"/>
      <c r="D392" s="405" t="s">
        <v>599</v>
      </c>
      <c r="E392" s="234">
        <f t="shared" si="34"/>
        <v>0</v>
      </c>
      <c r="J392" s="557" t="s">
        <v>600</v>
      </c>
      <c r="K392" s="558"/>
      <c r="L392" s="559"/>
      <c r="M392" s="405" t="s">
        <v>599</v>
      </c>
      <c r="N392" s="234">
        <f t="shared" si="35"/>
        <v>0</v>
      </c>
    </row>
    <row r="393" spans="1:14" ht="15.75" x14ac:dyDescent="0.25">
      <c r="A393" s="557" t="s">
        <v>601</v>
      </c>
      <c r="B393" s="558"/>
      <c r="C393" s="559"/>
      <c r="D393" s="405" t="s">
        <v>602</v>
      </c>
      <c r="E393" s="234">
        <f t="shared" si="34"/>
        <v>0</v>
      </c>
      <c r="J393" s="557" t="s">
        <v>601</v>
      </c>
      <c r="K393" s="558"/>
      <c r="L393" s="559"/>
      <c r="M393" s="405" t="s">
        <v>602</v>
      </c>
      <c r="N393" s="234">
        <f t="shared" si="35"/>
        <v>0</v>
      </c>
    </row>
    <row r="394" spans="1:14" ht="15.75" x14ac:dyDescent="0.25">
      <c r="A394" s="557" t="s">
        <v>603</v>
      </c>
      <c r="B394" s="558"/>
      <c r="C394" s="559"/>
      <c r="D394" s="405" t="s">
        <v>604</v>
      </c>
      <c r="E394" s="234">
        <f t="shared" si="34"/>
        <v>0</v>
      </c>
      <c r="J394" s="557" t="s">
        <v>603</v>
      </c>
      <c r="K394" s="558"/>
      <c r="L394" s="559"/>
      <c r="M394" s="405" t="s">
        <v>604</v>
      </c>
      <c r="N394" s="234">
        <f t="shared" si="35"/>
        <v>0</v>
      </c>
    </row>
    <row r="395" spans="1:14" ht="15.75" x14ac:dyDescent="0.25">
      <c r="A395" s="557" t="s">
        <v>605</v>
      </c>
      <c r="B395" s="558"/>
      <c r="C395" s="559"/>
      <c r="D395" s="405" t="s">
        <v>606</v>
      </c>
      <c r="E395" s="234">
        <f t="shared" si="34"/>
        <v>0</v>
      </c>
      <c r="J395" s="557" t="s">
        <v>605</v>
      </c>
      <c r="K395" s="558"/>
      <c r="L395" s="559"/>
      <c r="M395" s="405" t="s">
        <v>606</v>
      </c>
      <c r="N395" s="234">
        <f t="shared" si="35"/>
        <v>0</v>
      </c>
    </row>
    <row r="396" spans="1:14" ht="15.75" x14ac:dyDescent="0.25">
      <c r="A396" s="557" t="s">
        <v>607</v>
      </c>
      <c r="B396" s="558"/>
      <c r="C396" s="559"/>
      <c r="D396" s="405" t="s">
        <v>608</v>
      </c>
      <c r="E396" s="234">
        <f t="shared" si="34"/>
        <v>0</v>
      </c>
      <c r="J396" s="557" t="s">
        <v>607</v>
      </c>
      <c r="K396" s="558"/>
      <c r="L396" s="559"/>
      <c r="M396" s="405" t="s">
        <v>608</v>
      </c>
      <c r="N396" s="234">
        <f t="shared" si="35"/>
        <v>0</v>
      </c>
    </row>
    <row r="397" spans="1:14" ht="15.75" x14ac:dyDescent="0.25">
      <c r="A397" s="557" t="s">
        <v>609</v>
      </c>
      <c r="B397" s="558"/>
      <c r="C397" s="559"/>
      <c r="D397" s="405" t="s">
        <v>610</v>
      </c>
      <c r="E397" s="234">
        <f t="shared" si="34"/>
        <v>0</v>
      </c>
      <c r="J397" s="557" t="s">
        <v>609</v>
      </c>
      <c r="K397" s="558"/>
      <c r="L397" s="559"/>
      <c r="M397" s="405" t="s">
        <v>610</v>
      </c>
      <c r="N397" s="234">
        <f t="shared" si="35"/>
        <v>0</v>
      </c>
    </row>
    <row r="398" spans="1:14" ht="15.75" x14ac:dyDescent="0.25">
      <c r="A398" s="557" t="s">
        <v>611</v>
      </c>
      <c r="B398" s="558"/>
      <c r="C398" s="559"/>
      <c r="D398" s="405" t="s">
        <v>612</v>
      </c>
      <c r="E398" s="234">
        <f t="shared" ref="E398:E411" si="36">COUNTIF($AB$13:$AW$54,D398)</f>
        <v>0</v>
      </c>
      <c r="J398" s="557" t="s">
        <v>611</v>
      </c>
      <c r="K398" s="558"/>
      <c r="L398" s="559"/>
      <c r="M398" s="405" t="s">
        <v>612</v>
      </c>
      <c r="N398" s="234">
        <f t="shared" ref="N398:N411" si="37">COUNTIF($A$2:$AA$53,M398)</f>
        <v>0</v>
      </c>
    </row>
    <row r="399" spans="1:14" ht="15.75" x14ac:dyDescent="0.25">
      <c r="A399" s="557" t="s">
        <v>613</v>
      </c>
      <c r="B399" s="558"/>
      <c r="C399" s="559"/>
      <c r="D399" s="405" t="s">
        <v>614</v>
      </c>
      <c r="E399" s="234">
        <f t="shared" si="36"/>
        <v>0</v>
      </c>
      <c r="J399" s="557" t="s">
        <v>613</v>
      </c>
      <c r="K399" s="558"/>
      <c r="L399" s="559"/>
      <c r="M399" s="405" t="s">
        <v>614</v>
      </c>
      <c r="N399" s="234">
        <f t="shared" si="37"/>
        <v>0</v>
      </c>
    </row>
    <row r="400" spans="1:14" ht="15.75" x14ac:dyDescent="0.25">
      <c r="A400" s="557" t="s">
        <v>615</v>
      </c>
      <c r="B400" s="558"/>
      <c r="C400" s="559"/>
      <c r="D400" s="405" t="s">
        <v>616</v>
      </c>
      <c r="E400" s="234">
        <f t="shared" si="36"/>
        <v>0</v>
      </c>
      <c r="J400" s="557" t="s">
        <v>615</v>
      </c>
      <c r="K400" s="558"/>
      <c r="L400" s="559"/>
      <c r="M400" s="405" t="s">
        <v>616</v>
      </c>
      <c r="N400" s="234">
        <f t="shared" si="37"/>
        <v>0</v>
      </c>
    </row>
    <row r="401" spans="1:17" ht="15.75" x14ac:dyDescent="0.25">
      <c r="A401" s="557" t="s">
        <v>617</v>
      </c>
      <c r="B401" s="558"/>
      <c r="C401" s="559"/>
      <c r="D401" s="405" t="s">
        <v>618</v>
      </c>
      <c r="E401" s="234">
        <f t="shared" si="36"/>
        <v>0</v>
      </c>
      <c r="J401" s="557" t="s">
        <v>617</v>
      </c>
      <c r="K401" s="558"/>
      <c r="L401" s="559"/>
      <c r="M401" s="405" t="s">
        <v>618</v>
      </c>
      <c r="N401" s="234">
        <f t="shared" si="37"/>
        <v>0</v>
      </c>
    </row>
    <row r="402" spans="1:17" ht="15.75" x14ac:dyDescent="0.25">
      <c r="A402" s="557" t="s">
        <v>619</v>
      </c>
      <c r="B402" s="558"/>
      <c r="C402" s="559"/>
      <c r="D402" s="405" t="s">
        <v>620</v>
      </c>
      <c r="E402" s="234">
        <f t="shared" si="36"/>
        <v>0</v>
      </c>
      <c r="J402" s="557" t="s">
        <v>619</v>
      </c>
      <c r="K402" s="558"/>
      <c r="L402" s="559"/>
      <c r="M402" s="405" t="s">
        <v>620</v>
      </c>
      <c r="N402" s="234">
        <f t="shared" si="37"/>
        <v>0</v>
      </c>
    </row>
    <row r="403" spans="1:17" ht="15.75" x14ac:dyDescent="0.25">
      <c r="A403" s="557" t="s">
        <v>621</v>
      </c>
      <c r="B403" s="558"/>
      <c r="C403" s="559"/>
      <c r="D403" s="405" t="s">
        <v>622</v>
      </c>
      <c r="E403" s="234">
        <f t="shared" si="36"/>
        <v>0</v>
      </c>
      <c r="J403" s="557" t="s">
        <v>621</v>
      </c>
      <c r="K403" s="558"/>
      <c r="L403" s="559"/>
      <c r="M403" s="405" t="s">
        <v>622</v>
      </c>
      <c r="N403" s="234">
        <f t="shared" si="37"/>
        <v>0</v>
      </c>
    </row>
    <row r="404" spans="1:17" ht="15.75" x14ac:dyDescent="0.25">
      <c r="A404" s="557" t="s">
        <v>623</v>
      </c>
      <c r="B404" s="558"/>
      <c r="C404" s="559"/>
      <c r="D404" s="405" t="s">
        <v>624</v>
      </c>
      <c r="E404" s="234">
        <f t="shared" si="36"/>
        <v>0</v>
      </c>
      <c r="J404" s="557" t="s">
        <v>623</v>
      </c>
      <c r="K404" s="558"/>
      <c r="L404" s="559"/>
      <c r="M404" s="405" t="s">
        <v>624</v>
      </c>
      <c r="N404" s="234">
        <f t="shared" si="37"/>
        <v>0</v>
      </c>
    </row>
    <row r="405" spans="1:17" ht="15.75" x14ac:dyDescent="0.25">
      <c r="A405" s="557" t="s">
        <v>625</v>
      </c>
      <c r="B405" s="558"/>
      <c r="C405" s="559"/>
      <c r="D405" s="405" t="s">
        <v>626</v>
      </c>
      <c r="E405" s="234">
        <f t="shared" si="36"/>
        <v>0</v>
      </c>
      <c r="J405" s="557" t="s">
        <v>625</v>
      </c>
      <c r="K405" s="558"/>
      <c r="L405" s="559"/>
      <c r="M405" s="405" t="s">
        <v>626</v>
      </c>
      <c r="N405" s="234">
        <f t="shared" si="37"/>
        <v>0</v>
      </c>
    </row>
    <row r="406" spans="1:17" ht="15.75" x14ac:dyDescent="0.25">
      <c r="A406" s="557" t="s">
        <v>627</v>
      </c>
      <c r="B406" s="558"/>
      <c r="C406" s="559"/>
      <c r="D406" s="405" t="s">
        <v>628</v>
      </c>
      <c r="E406" s="234">
        <f t="shared" si="36"/>
        <v>0</v>
      </c>
      <c r="J406" s="557" t="s">
        <v>627</v>
      </c>
      <c r="K406" s="558"/>
      <c r="L406" s="559"/>
      <c r="M406" s="405" t="s">
        <v>628</v>
      </c>
      <c r="N406" s="234">
        <f t="shared" si="37"/>
        <v>0</v>
      </c>
    </row>
    <row r="407" spans="1:17" ht="15.75" x14ac:dyDescent="0.25">
      <c r="A407" s="557" t="s">
        <v>629</v>
      </c>
      <c r="B407" s="558"/>
      <c r="C407" s="559"/>
      <c r="D407" s="405" t="s">
        <v>630</v>
      </c>
      <c r="E407" s="234">
        <f t="shared" si="36"/>
        <v>0</v>
      </c>
      <c r="J407" s="557" t="s">
        <v>629</v>
      </c>
      <c r="K407" s="558"/>
      <c r="L407" s="559"/>
      <c r="M407" s="405" t="s">
        <v>630</v>
      </c>
      <c r="N407" s="234">
        <f t="shared" si="37"/>
        <v>0</v>
      </c>
    </row>
    <row r="408" spans="1:17" ht="15.75" x14ac:dyDescent="0.25">
      <c r="A408" s="557" t="s">
        <v>631</v>
      </c>
      <c r="B408" s="558"/>
      <c r="C408" s="559"/>
      <c r="D408" s="405" t="s">
        <v>632</v>
      </c>
      <c r="E408" s="234">
        <f t="shared" si="36"/>
        <v>0</v>
      </c>
      <c r="J408" s="557" t="s">
        <v>631</v>
      </c>
      <c r="K408" s="558"/>
      <c r="L408" s="559"/>
      <c r="M408" s="405" t="s">
        <v>632</v>
      </c>
      <c r="N408" s="234">
        <f t="shared" si="37"/>
        <v>0</v>
      </c>
    </row>
    <row r="409" spans="1:17" ht="15.75" x14ac:dyDescent="0.25">
      <c r="A409" s="557" t="s">
        <v>633</v>
      </c>
      <c r="B409" s="558"/>
      <c r="C409" s="559"/>
      <c r="D409" s="405" t="s">
        <v>634</v>
      </c>
      <c r="E409" s="234">
        <f t="shared" si="36"/>
        <v>0</v>
      </c>
      <c r="J409" s="557" t="s">
        <v>633</v>
      </c>
      <c r="K409" s="558"/>
      <c r="L409" s="559"/>
      <c r="M409" s="405" t="s">
        <v>634</v>
      </c>
      <c r="N409" s="234">
        <f t="shared" si="37"/>
        <v>0</v>
      </c>
    </row>
    <row r="410" spans="1:17" ht="15.75" x14ac:dyDescent="0.25">
      <c r="A410" s="557" t="s">
        <v>635</v>
      </c>
      <c r="B410" s="558"/>
      <c r="C410" s="559"/>
      <c r="D410" s="405" t="s">
        <v>636</v>
      </c>
      <c r="E410" s="234">
        <f t="shared" si="36"/>
        <v>0</v>
      </c>
      <c r="J410" s="557" t="s">
        <v>635</v>
      </c>
      <c r="K410" s="558"/>
      <c r="L410" s="559"/>
      <c r="M410" s="405" t="s">
        <v>636</v>
      </c>
      <c r="N410" s="234">
        <f t="shared" si="37"/>
        <v>0</v>
      </c>
      <c r="O410" s="7"/>
      <c r="P410" s="7"/>
      <c r="Q410" s="7"/>
    </row>
    <row r="411" spans="1:17" ht="15.75" x14ac:dyDescent="0.25">
      <c r="A411" s="557" t="s">
        <v>637</v>
      </c>
      <c r="B411" s="558"/>
      <c r="C411" s="559"/>
      <c r="D411" s="405" t="s">
        <v>638</v>
      </c>
      <c r="E411" s="234">
        <f t="shared" si="36"/>
        <v>0</v>
      </c>
      <c r="J411" s="557" t="s">
        <v>637</v>
      </c>
      <c r="K411" s="558"/>
      <c r="L411" s="559"/>
      <c r="M411" s="405" t="s">
        <v>638</v>
      </c>
      <c r="N411" s="234">
        <f t="shared" si="37"/>
        <v>0</v>
      </c>
    </row>
    <row r="412" spans="1:17" ht="18.75" thickBot="1" x14ac:dyDescent="0.3">
      <c r="A412" s="561" t="s">
        <v>230</v>
      </c>
      <c r="B412" s="562"/>
      <c r="C412" s="562"/>
      <c r="D412" s="563"/>
      <c r="E412" s="406">
        <f>SUM(E334:E411)</f>
        <v>0</v>
      </c>
      <c r="J412" s="560" t="s">
        <v>230</v>
      </c>
      <c r="K412" s="560"/>
      <c r="L412" s="560"/>
      <c r="M412" s="560"/>
      <c r="N412" s="406">
        <f>SUM(N334:N411)</f>
        <v>0</v>
      </c>
    </row>
    <row r="413" spans="1:17" ht="18.75" thickBot="1" x14ac:dyDescent="0.3">
      <c r="A413" s="550" t="s">
        <v>639</v>
      </c>
      <c r="B413" s="551"/>
      <c r="C413" s="551"/>
      <c r="D413" s="552"/>
      <c r="J413" s="550" t="s">
        <v>639</v>
      </c>
      <c r="K413" s="551"/>
      <c r="L413" s="551"/>
      <c r="M413" s="552"/>
    </row>
    <row r="414" spans="1:17" ht="15.75" x14ac:dyDescent="0.25">
      <c r="A414" s="557" t="s">
        <v>640</v>
      </c>
      <c r="B414" s="558"/>
      <c r="C414" s="559"/>
      <c r="D414" s="405" t="s">
        <v>641</v>
      </c>
      <c r="E414" s="234">
        <f t="shared" ref="E414:E435" si="38">COUNTIF($AB$13:$AW$54,D414)</f>
        <v>0</v>
      </c>
      <c r="J414" s="557" t="s">
        <v>640</v>
      </c>
      <c r="K414" s="558"/>
      <c r="L414" s="559"/>
      <c r="M414" s="405" t="s">
        <v>641</v>
      </c>
      <c r="N414" s="234">
        <f t="shared" ref="N414:N435" si="39">COUNTIF($A$2:$AA$53,M414)</f>
        <v>0</v>
      </c>
    </row>
    <row r="415" spans="1:17" ht="15.75" x14ac:dyDescent="0.25">
      <c r="A415" s="557" t="s">
        <v>642</v>
      </c>
      <c r="B415" s="558"/>
      <c r="C415" s="559"/>
      <c r="D415" s="405" t="s">
        <v>643</v>
      </c>
      <c r="E415" s="234">
        <f t="shared" si="38"/>
        <v>0</v>
      </c>
      <c r="J415" s="557" t="s">
        <v>642</v>
      </c>
      <c r="K415" s="558"/>
      <c r="L415" s="559"/>
      <c r="M415" s="405" t="s">
        <v>643</v>
      </c>
      <c r="N415" s="234">
        <f t="shared" si="39"/>
        <v>0</v>
      </c>
    </row>
    <row r="416" spans="1:17" ht="15.75" x14ac:dyDescent="0.25">
      <c r="A416" s="557" t="s">
        <v>644</v>
      </c>
      <c r="B416" s="558"/>
      <c r="C416" s="559"/>
      <c r="D416" s="405" t="s">
        <v>645</v>
      </c>
      <c r="E416" s="234">
        <f t="shared" si="38"/>
        <v>0</v>
      </c>
      <c r="J416" s="557" t="s">
        <v>644</v>
      </c>
      <c r="K416" s="558"/>
      <c r="L416" s="559"/>
      <c r="M416" s="405" t="s">
        <v>645</v>
      </c>
      <c r="N416" s="234">
        <f t="shared" si="39"/>
        <v>0</v>
      </c>
    </row>
    <row r="417" spans="1:17" ht="15.75" x14ac:dyDescent="0.25">
      <c r="A417" s="557" t="s">
        <v>646</v>
      </c>
      <c r="B417" s="558"/>
      <c r="C417" s="559"/>
      <c r="D417" s="405" t="s">
        <v>647</v>
      </c>
      <c r="E417" s="234">
        <f t="shared" si="38"/>
        <v>0</v>
      </c>
      <c r="J417" s="557" t="s">
        <v>646</v>
      </c>
      <c r="K417" s="558"/>
      <c r="L417" s="559"/>
      <c r="M417" s="405" t="s">
        <v>647</v>
      </c>
      <c r="N417" s="234">
        <f t="shared" si="39"/>
        <v>0</v>
      </c>
    </row>
    <row r="418" spans="1:17" ht="15.75" x14ac:dyDescent="0.25">
      <c r="A418" s="557" t="s">
        <v>648</v>
      </c>
      <c r="B418" s="558"/>
      <c r="C418" s="559"/>
      <c r="D418" s="405" t="s">
        <v>649</v>
      </c>
      <c r="E418" s="234">
        <f t="shared" si="38"/>
        <v>0</v>
      </c>
      <c r="J418" s="557" t="s">
        <v>648</v>
      </c>
      <c r="K418" s="558"/>
      <c r="L418" s="559"/>
      <c r="M418" s="405" t="s">
        <v>649</v>
      </c>
      <c r="N418" s="234">
        <f t="shared" si="39"/>
        <v>0</v>
      </c>
      <c r="O418" s="7"/>
      <c r="P418" s="7"/>
      <c r="Q418" s="7"/>
    </row>
    <row r="419" spans="1:17" ht="15.75" x14ac:dyDescent="0.25">
      <c r="A419" s="557" t="s">
        <v>650</v>
      </c>
      <c r="B419" s="558"/>
      <c r="C419" s="559"/>
      <c r="D419" s="405" t="s">
        <v>651</v>
      </c>
      <c r="E419" s="234">
        <f t="shared" si="38"/>
        <v>0</v>
      </c>
      <c r="J419" s="557" t="s">
        <v>650</v>
      </c>
      <c r="K419" s="558"/>
      <c r="L419" s="559"/>
      <c r="M419" s="405" t="s">
        <v>651</v>
      </c>
      <c r="N419" s="234">
        <f t="shared" si="39"/>
        <v>0</v>
      </c>
    </row>
    <row r="420" spans="1:17" ht="15.75" x14ac:dyDescent="0.25">
      <c r="A420" s="557" t="s">
        <v>652</v>
      </c>
      <c r="B420" s="558"/>
      <c r="C420" s="559"/>
      <c r="D420" s="405" t="s">
        <v>653</v>
      </c>
      <c r="E420" s="234">
        <f t="shared" si="38"/>
        <v>0</v>
      </c>
      <c r="J420" s="557" t="s">
        <v>652</v>
      </c>
      <c r="K420" s="558"/>
      <c r="L420" s="559"/>
      <c r="M420" s="405" t="s">
        <v>653</v>
      </c>
      <c r="N420" s="234">
        <f t="shared" si="39"/>
        <v>0</v>
      </c>
    </row>
    <row r="421" spans="1:17" ht="15.75" x14ac:dyDescent="0.25">
      <c r="A421" s="557" t="s">
        <v>654</v>
      </c>
      <c r="B421" s="558"/>
      <c r="C421" s="559"/>
      <c r="D421" s="405" t="s">
        <v>655</v>
      </c>
      <c r="E421" s="234">
        <f t="shared" si="38"/>
        <v>0</v>
      </c>
      <c r="J421" s="557" t="s">
        <v>654</v>
      </c>
      <c r="K421" s="558"/>
      <c r="L421" s="559"/>
      <c r="M421" s="405" t="s">
        <v>655</v>
      </c>
      <c r="N421" s="234">
        <f t="shared" si="39"/>
        <v>0</v>
      </c>
    </row>
    <row r="422" spans="1:17" ht="15.75" x14ac:dyDescent="0.25">
      <c r="A422" s="557" t="s">
        <v>125</v>
      </c>
      <c r="B422" s="558"/>
      <c r="C422" s="559"/>
      <c r="D422" s="405" t="s">
        <v>656</v>
      </c>
      <c r="E422" s="234">
        <f t="shared" si="38"/>
        <v>0</v>
      </c>
      <c r="J422" s="557" t="s">
        <v>125</v>
      </c>
      <c r="K422" s="558"/>
      <c r="L422" s="559"/>
      <c r="M422" s="405" t="s">
        <v>656</v>
      </c>
      <c r="N422" s="234">
        <f t="shared" si="39"/>
        <v>0</v>
      </c>
      <c r="O422" s="7"/>
      <c r="P422" s="7"/>
      <c r="Q422" s="7"/>
    </row>
    <row r="423" spans="1:17" ht="15.75" x14ac:dyDescent="0.25">
      <c r="A423" s="557" t="s">
        <v>657</v>
      </c>
      <c r="B423" s="558"/>
      <c r="C423" s="559"/>
      <c r="D423" s="405" t="s">
        <v>658</v>
      </c>
      <c r="E423" s="234">
        <f t="shared" si="38"/>
        <v>0</v>
      </c>
      <c r="J423" s="557" t="s">
        <v>657</v>
      </c>
      <c r="K423" s="558"/>
      <c r="L423" s="559"/>
      <c r="M423" s="405" t="s">
        <v>658</v>
      </c>
      <c r="N423" s="234">
        <f t="shared" si="39"/>
        <v>0</v>
      </c>
    </row>
    <row r="424" spans="1:17" ht="15.75" x14ac:dyDescent="0.25">
      <c r="A424" s="557" t="s">
        <v>659</v>
      </c>
      <c r="B424" s="558"/>
      <c r="C424" s="559"/>
      <c r="D424" s="405" t="s">
        <v>660</v>
      </c>
      <c r="E424" s="234">
        <f t="shared" si="38"/>
        <v>0</v>
      </c>
      <c r="J424" s="557" t="s">
        <v>659</v>
      </c>
      <c r="K424" s="558"/>
      <c r="L424" s="559"/>
      <c r="M424" s="405" t="s">
        <v>660</v>
      </c>
      <c r="N424" s="234">
        <f t="shared" si="39"/>
        <v>0</v>
      </c>
    </row>
    <row r="425" spans="1:17" ht="15.75" x14ac:dyDescent="0.25">
      <c r="A425" s="557" t="s">
        <v>661</v>
      </c>
      <c r="B425" s="558"/>
      <c r="C425" s="559"/>
      <c r="D425" s="405" t="s">
        <v>662</v>
      </c>
      <c r="E425" s="234">
        <f t="shared" si="38"/>
        <v>0</v>
      </c>
      <c r="J425" s="557" t="s">
        <v>661</v>
      </c>
      <c r="K425" s="558"/>
      <c r="L425" s="559"/>
      <c r="M425" s="405" t="s">
        <v>662</v>
      </c>
      <c r="N425" s="234">
        <f t="shared" si="39"/>
        <v>0</v>
      </c>
      <c r="O425" s="7"/>
      <c r="P425" s="7"/>
      <c r="Q425" s="7"/>
    </row>
    <row r="426" spans="1:17" ht="15.75" x14ac:dyDescent="0.25">
      <c r="A426" s="557" t="s">
        <v>118</v>
      </c>
      <c r="B426" s="558"/>
      <c r="C426" s="559"/>
      <c r="D426" s="405" t="s">
        <v>663</v>
      </c>
      <c r="E426" s="234">
        <f t="shared" si="38"/>
        <v>0</v>
      </c>
      <c r="J426" s="557" t="s">
        <v>118</v>
      </c>
      <c r="K426" s="558"/>
      <c r="L426" s="559"/>
      <c r="M426" s="405" t="s">
        <v>663</v>
      </c>
      <c r="N426" s="234">
        <f t="shared" si="39"/>
        <v>0</v>
      </c>
    </row>
    <row r="427" spans="1:17" ht="15.75" x14ac:dyDescent="0.25">
      <c r="A427" s="557" t="s">
        <v>664</v>
      </c>
      <c r="B427" s="558"/>
      <c r="C427" s="559"/>
      <c r="D427" s="405" t="s">
        <v>665</v>
      </c>
      <c r="E427" s="234">
        <f t="shared" si="38"/>
        <v>0</v>
      </c>
      <c r="J427" s="557" t="s">
        <v>664</v>
      </c>
      <c r="K427" s="558"/>
      <c r="L427" s="559"/>
      <c r="M427" s="405" t="s">
        <v>665</v>
      </c>
      <c r="N427" s="234">
        <f t="shared" si="39"/>
        <v>0</v>
      </c>
    </row>
    <row r="428" spans="1:17" ht="15.75" x14ac:dyDescent="0.25">
      <c r="A428" s="557" t="s">
        <v>666</v>
      </c>
      <c r="B428" s="558"/>
      <c r="C428" s="559"/>
      <c r="D428" s="405" t="s">
        <v>667</v>
      </c>
      <c r="E428" s="234">
        <f t="shared" si="38"/>
        <v>0</v>
      </c>
      <c r="J428" s="557" t="s">
        <v>666</v>
      </c>
      <c r="K428" s="558"/>
      <c r="L428" s="559"/>
      <c r="M428" s="405" t="s">
        <v>667</v>
      </c>
      <c r="N428" s="234">
        <f t="shared" si="39"/>
        <v>0</v>
      </c>
    </row>
    <row r="429" spans="1:17" ht="15.75" x14ac:dyDescent="0.25">
      <c r="A429" s="557" t="s">
        <v>668</v>
      </c>
      <c r="B429" s="558"/>
      <c r="C429" s="559"/>
      <c r="D429" s="405" t="s">
        <v>669</v>
      </c>
      <c r="E429" s="234">
        <f t="shared" si="38"/>
        <v>0</v>
      </c>
      <c r="J429" s="557" t="s">
        <v>668</v>
      </c>
      <c r="K429" s="558"/>
      <c r="L429" s="559"/>
      <c r="M429" s="405" t="s">
        <v>669</v>
      </c>
      <c r="N429" s="234">
        <f t="shared" si="39"/>
        <v>0</v>
      </c>
    </row>
    <row r="430" spans="1:17" ht="15.75" x14ac:dyDescent="0.25">
      <c r="A430" s="557" t="s">
        <v>670</v>
      </c>
      <c r="B430" s="558"/>
      <c r="C430" s="559"/>
      <c r="D430" s="405" t="s">
        <v>671</v>
      </c>
      <c r="E430" s="234">
        <f t="shared" si="38"/>
        <v>0</v>
      </c>
      <c r="J430" s="557" t="s">
        <v>670</v>
      </c>
      <c r="K430" s="558"/>
      <c r="L430" s="559"/>
      <c r="M430" s="405" t="s">
        <v>671</v>
      </c>
      <c r="N430" s="234">
        <f t="shared" si="39"/>
        <v>0</v>
      </c>
    </row>
    <row r="431" spans="1:17" ht="15.75" x14ac:dyDescent="0.25">
      <c r="A431" s="557" t="s">
        <v>672</v>
      </c>
      <c r="B431" s="558"/>
      <c r="C431" s="559"/>
      <c r="D431" s="405" t="s">
        <v>673</v>
      </c>
      <c r="E431" s="234">
        <f t="shared" si="38"/>
        <v>0</v>
      </c>
      <c r="J431" s="557" t="s">
        <v>672</v>
      </c>
      <c r="K431" s="558"/>
      <c r="L431" s="559"/>
      <c r="M431" s="405" t="s">
        <v>673</v>
      </c>
      <c r="N431" s="234">
        <f t="shared" si="39"/>
        <v>0</v>
      </c>
    </row>
    <row r="432" spans="1:17" ht="15.75" x14ac:dyDescent="0.25">
      <c r="A432" s="557" t="s">
        <v>103</v>
      </c>
      <c r="B432" s="558"/>
      <c r="C432" s="559"/>
      <c r="D432" s="405" t="s">
        <v>674</v>
      </c>
      <c r="E432" s="234">
        <f t="shared" si="38"/>
        <v>0</v>
      </c>
      <c r="J432" s="557" t="s">
        <v>103</v>
      </c>
      <c r="K432" s="558"/>
      <c r="L432" s="559"/>
      <c r="M432" s="405" t="s">
        <v>674</v>
      </c>
      <c r="N432" s="234">
        <f t="shared" si="39"/>
        <v>0</v>
      </c>
    </row>
    <row r="433" spans="1:14" ht="15.75" x14ac:dyDescent="0.25">
      <c r="A433" s="557" t="s">
        <v>675</v>
      </c>
      <c r="B433" s="558"/>
      <c r="C433" s="559"/>
      <c r="D433" s="405" t="s">
        <v>676</v>
      </c>
      <c r="E433" s="234">
        <f t="shared" si="38"/>
        <v>0</v>
      </c>
      <c r="J433" s="557" t="s">
        <v>675</v>
      </c>
      <c r="K433" s="558"/>
      <c r="L433" s="559"/>
      <c r="M433" s="405" t="s">
        <v>676</v>
      </c>
      <c r="N433" s="234">
        <f t="shared" si="39"/>
        <v>0</v>
      </c>
    </row>
    <row r="434" spans="1:14" ht="15.75" x14ac:dyDescent="0.25">
      <c r="A434" s="557" t="s">
        <v>677</v>
      </c>
      <c r="B434" s="558"/>
      <c r="C434" s="559"/>
      <c r="D434" s="405" t="s">
        <v>678</v>
      </c>
      <c r="E434" s="234">
        <f t="shared" si="38"/>
        <v>0</v>
      </c>
      <c r="J434" s="557" t="s">
        <v>677</v>
      </c>
      <c r="K434" s="558"/>
      <c r="L434" s="559"/>
      <c r="M434" s="405" t="s">
        <v>678</v>
      </c>
      <c r="N434" s="234">
        <f t="shared" si="39"/>
        <v>0</v>
      </c>
    </row>
    <row r="435" spans="1:14" ht="15.75" x14ac:dyDescent="0.25">
      <c r="A435" s="557" t="s">
        <v>679</v>
      </c>
      <c r="B435" s="558"/>
      <c r="C435" s="559"/>
      <c r="D435" s="405" t="s">
        <v>680</v>
      </c>
      <c r="E435" s="234">
        <f t="shared" si="38"/>
        <v>0</v>
      </c>
      <c r="J435" s="557" t="s">
        <v>679</v>
      </c>
      <c r="K435" s="558"/>
      <c r="L435" s="559"/>
      <c r="M435" s="405" t="s">
        <v>680</v>
      </c>
      <c r="N435" s="234">
        <f t="shared" si="39"/>
        <v>0</v>
      </c>
    </row>
    <row r="436" spans="1:14" ht="18.75" thickBot="1" x14ac:dyDescent="0.3">
      <c r="A436" s="560" t="s">
        <v>230</v>
      </c>
      <c r="B436" s="560"/>
      <c r="C436" s="560"/>
      <c r="D436" s="560"/>
      <c r="E436" s="406">
        <f>SUM(E414:E435)</f>
        <v>0</v>
      </c>
      <c r="J436" s="560" t="s">
        <v>230</v>
      </c>
      <c r="K436" s="560"/>
      <c r="L436" s="560"/>
      <c r="M436" s="560"/>
      <c r="N436" s="406">
        <f>SUM(N414:N435)</f>
        <v>0</v>
      </c>
    </row>
    <row r="437" spans="1:14" ht="18.75" thickBot="1" x14ac:dyDescent="0.3">
      <c r="A437" s="550" t="s">
        <v>681</v>
      </c>
      <c r="B437" s="551"/>
      <c r="C437" s="551"/>
      <c r="D437" s="552"/>
      <c r="F437" s="7"/>
      <c r="G437" s="7"/>
      <c r="H437" s="7"/>
      <c r="I437" s="7"/>
      <c r="J437" s="550" t="s">
        <v>681</v>
      </c>
      <c r="K437" s="551"/>
      <c r="L437" s="551"/>
      <c r="M437" s="552"/>
    </row>
    <row r="438" spans="1:14" ht="15.75" x14ac:dyDescent="0.25">
      <c r="A438" s="557" t="s">
        <v>429</v>
      </c>
      <c r="B438" s="558"/>
      <c r="C438" s="559"/>
      <c r="D438" s="405" t="s">
        <v>682</v>
      </c>
      <c r="E438" s="234">
        <f t="shared" ref="E438:E443" si="40">COUNTIF($AB$13:$AW$54,D438)</f>
        <v>0</v>
      </c>
      <c r="J438" s="557" t="s">
        <v>429</v>
      </c>
      <c r="K438" s="558"/>
      <c r="L438" s="559"/>
      <c r="M438" s="405" t="s">
        <v>682</v>
      </c>
      <c r="N438" s="234">
        <f t="shared" ref="N438:N443" si="41">COUNTIF($A$2:$AA$53,M438)</f>
        <v>0</v>
      </c>
    </row>
    <row r="439" spans="1:14" ht="15.75" x14ac:dyDescent="0.25">
      <c r="A439" s="557" t="s">
        <v>486</v>
      </c>
      <c r="B439" s="558"/>
      <c r="C439" s="559"/>
      <c r="D439" s="405" t="s">
        <v>683</v>
      </c>
      <c r="E439" s="234">
        <f t="shared" si="40"/>
        <v>0</v>
      </c>
      <c r="J439" s="557" t="s">
        <v>486</v>
      </c>
      <c r="K439" s="558"/>
      <c r="L439" s="559"/>
      <c r="M439" s="405" t="s">
        <v>683</v>
      </c>
      <c r="N439" s="234">
        <f t="shared" si="41"/>
        <v>0</v>
      </c>
    </row>
    <row r="440" spans="1:14" ht="15.75" x14ac:dyDescent="0.25">
      <c r="A440" s="557" t="s">
        <v>453</v>
      </c>
      <c r="B440" s="558"/>
      <c r="C440" s="559"/>
      <c r="D440" s="405" t="s">
        <v>684</v>
      </c>
      <c r="E440" s="234">
        <f t="shared" si="40"/>
        <v>0</v>
      </c>
      <c r="J440" s="557" t="s">
        <v>453</v>
      </c>
      <c r="K440" s="558"/>
      <c r="L440" s="559"/>
      <c r="M440" s="405" t="s">
        <v>684</v>
      </c>
      <c r="N440" s="234">
        <f t="shared" si="41"/>
        <v>0</v>
      </c>
    </row>
    <row r="441" spans="1:14" ht="15.75" x14ac:dyDescent="0.25">
      <c r="A441" s="557" t="s">
        <v>518</v>
      </c>
      <c r="B441" s="558"/>
      <c r="C441" s="559"/>
      <c r="D441" s="405" t="s">
        <v>685</v>
      </c>
      <c r="E441" s="234">
        <f t="shared" si="40"/>
        <v>0</v>
      </c>
      <c r="J441" s="557" t="s">
        <v>518</v>
      </c>
      <c r="K441" s="558"/>
      <c r="L441" s="559"/>
      <c r="M441" s="405" t="s">
        <v>685</v>
      </c>
      <c r="N441" s="234">
        <f t="shared" si="41"/>
        <v>0</v>
      </c>
    </row>
    <row r="442" spans="1:14" ht="15.75" x14ac:dyDescent="0.25">
      <c r="A442" s="557" t="s">
        <v>461</v>
      </c>
      <c r="B442" s="558"/>
      <c r="C442" s="559"/>
      <c r="D442" s="405" t="s">
        <v>686</v>
      </c>
      <c r="E442" s="234">
        <f t="shared" si="40"/>
        <v>0</v>
      </c>
      <c r="J442" s="557" t="s">
        <v>461</v>
      </c>
      <c r="K442" s="558"/>
      <c r="L442" s="559"/>
      <c r="M442" s="405" t="s">
        <v>686</v>
      </c>
      <c r="N442" s="234">
        <f t="shared" si="41"/>
        <v>0</v>
      </c>
    </row>
    <row r="443" spans="1:14" ht="15.75" x14ac:dyDescent="0.25">
      <c r="A443" s="557" t="s">
        <v>524</v>
      </c>
      <c r="B443" s="558"/>
      <c r="C443" s="559"/>
      <c r="D443" s="405" t="s">
        <v>687</v>
      </c>
      <c r="E443" s="234">
        <f t="shared" si="40"/>
        <v>0</v>
      </c>
      <c r="J443" s="557" t="s">
        <v>524</v>
      </c>
      <c r="K443" s="558"/>
      <c r="L443" s="559"/>
      <c r="M443" s="405" t="s">
        <v>687</v>
      </c>
      <c r="N443" s="234">
        <f t="shared" si="41"/>
        <v>0</v>
      </c>
    </row>
    <row r="444" spans="1:14" ht="18.75" thickBot="1" x14ac:dyDescent="0.3">
      <c r="A444" s="560" t="s">
        <v>230</v>
      </c>
      <c r="B444" s="560"/>
      <c r="C444" s="560"/>
      <c r="D444" s="560"/>
      <c r="E444" s="406">
        <f>SUM(E438:E442)</f>
        <v>0</v>
      </c>
      <c r="J444" s="560" t="s">
        <v>230</v>
      </c>
      <c r="K444" s="560"/>
      <c r="L444" s="560"/>
      <c r="M444" s="560"/>
      <c r="N444" s="406">
        <f>SUM(N438:N442)</f>
        <v>0</v>
      </c>
    </row>
    <row r="445" spans="1:14" ht="18.75" thickBot="1" x14ac:dyDescent="0.3">
      <c r="A445" s="550" t="s">
        <v>14</v>
      </c>
      <c r="B445" s="551"/>
      <c r="C445" s="551"/>
      <c r="D445" s="552"/>
      <c r="F445" s="7"/>
      <c r="G445" s="7"/>
      <c r="H445" s="7"/>
      <c r="I445" s="7"/>
      <c r="J445" s="550" t="s">
        <v>14</v>
      </c>
      <c r="K445" s="551"/>
      <c r="L445" s="551"/>
      <c r="M445" s="552"/>
    </row>
    <row r="446" spans="1:14" ht="15.75" x14ac:dyDescent="0.25">
      <c r="A446" s="557" t="s">
        <v>429</v>
      </c>
      <c r="B446" s="558"/>
      <c r="C446" s="559"/>
      <c r="D446" s="405" t="s">
        <v>688</v>
      </c>
      <c r="E446" s="234">
        <f t="shared" ref="E446:E449" si="42">COUNTIF($AB$13:$AW$54,D446)</f>
        <v>0</v>
      </c>
      <c r="J446" s="557" t="s">
        <v>429</v>
      </c>
      <c r="K446" s="558"/>
      <c r="L446" s="559"/>
      <c r="M446" s="405" t="s">
        <v>688</v>
      </c>
      <c r="N446" s="234">
        <f t="shared" ref="N446:N449" si="43">COUNTIF($A$2:$AA$53,M446)</f>
        <v>0</v>
      </c>
    </row>
    <row r="447" spans="1:14" ht="15.75" x14ac:dyDescent="0.25">
      <c r="A447" s="557" t="s">
        <v>486</v>
      </c>
      <c r="B447" s="558"/>
      <c r="C447" s="559"/>
      <c r="D447" s="405" t="s">
        <v>689</v>
      </c>
      <c r="E447" s="234">
        <f t="shared" si="42"/>
        <v>0</v>
      </c>
      <c r="J447" s="557" t="s">
        <v>486</v>
      </c>
      <c r="K447" s="558"/>
      <c r="L447" s="559"/>
      <c r="M447" s="405" t="s">
        <v>689</v>
      </c>
      <c r="N447" s="234">
        <f t="shared" si="43"/>
        <v>0</v>
      </c>
    </row>
    <row r="448" spans="1:14" ht="15.75" x14ac:dyDescent="0.25">
      <c r="A448" s="557" t="s">
        <v>690</v>
      </c>
      <c r="B448" s="558"/>
      <c r="C448" s="559"/>
      <c r="D448" s="405" t="s">
        <v>691</v>
      </c>
      <c r="E448" s="234">
        <f t="shared" si="42"/>
        <v>0</v>
      </c>
      <c r="J448" s="557" t="s">
        <v>690</v>
      </c>
      <c r="K448" s="558"/>
      <c r="L448" s="559"/>
      <c r="M448" s="405" t="s">
        <v>691</v>
      </c>
      <c r="N448" s="234">
        <f t="shared" si="43"/>
        <v>0</v>
      </c>
    </row>
    <row r="449" spans="1:14" ht="15.75" x14ac:dyDescent="0.25">
      <c r="A449" s="557" t="s">
        <v>692</v>
      </c>
      <c r="B449" s="558"/>
      <c r="C449" s="559"/>
      <c r="D449" s="405" t="s">
        <v>693</v>
      </c>
      <c r="E449" s="234">
        <f t="shared" si="42"/>
        <v>0</v>
      </c>
      <c r="J449" s="557" t="s">
        <v>692</v>
      </c>
      <c r="K449" s="558"/>
      <c r="L449" s="559"/>
      <c r="M449" s="405" t="s">
        <v>693</v>
      </c>
      <c r="N449" s="234">
        <f t="shared" si="43"/>
        <v>0</v>
      </c>
    </row>
    <row r="450" spans="1:14" ht="18.75" thickBot="1" x14ac:dyDescent="0.3">
      <c r="A450" s="560" t="s">
        <v>230</v>
      </c>
      <c r="B450" s="560"/>
      <c r="C450" s="560"/>
      <c r="D450" s="560"/>
      <c r="E450" s="406">
        <f>SUM(E446:E449)</f>
        <v>0</v>
      </c>
      <c r="J450" s="560" t="s">
        <v>230</v>
      </c>
      <c r="K450" s="560"/>
      <c r="L450" s="560"/>
      <c r="M450" s="560"/>
      <c r="N450" s="406">
        <f>SUM(N446:N449)</f>
        <v>0</v>
      </c>
    </row>
    <row r="451" spans="1:14" ht="18.75" thickBot="1" x14ac:dyDescent="0.3">
      <c r="A451" s="550" t="s">
        <v>694</v>
      </c>
      <c r="B451" s="551"/>
      <c r="C451" s="551"/>
      <c r="D451" s="552"/>
      <c r="F451" s="7"/>
      <c r="G451" s="7"/>
      <c r="H451" s="7"/>
      <c r="I451" s="7"/>
      <c r="J451" s="550" t="s">
        <v>694</v>
      </c>
      <c r="K451" s="551"/>
      <c r="L451" s="551"/>
      <c r="M451" s="552"/>
    </row>
    <row r="452" spans="1:14" ht="15.75" x14ac:dyDescent="0.25">
      <c r="A452" s="557" t="s">
        <v>52</v>
      </c>
      <c r="B452" s="558"/>
      <c r="C452" s="559"/>
      <c r="D452" s="405" t="s">
        <v>695</v>
      </c>
      <c r="E452" s="234">
        <f t="shared" ref="E452:E463" si="44">COUNTIF($AB$13:$AW$54,D452)</f>
        <v>0</v>
      </c>
      <c r="J452" s="557" t="s">
        <v>52</v>
      </c>
      <c r="K452" s="558"/>
      <c r="L452" s="559"/>
      <c r="M452" s="405" t="s">
        <v>695</v>
      </c>
      <c r="N452" s="234">
        <f t="shared" ref="N452:N463" si="45">COUNTIF($A$2:$AA$53,M452)</f>
        <v>0</v>
      </c>
    </row>
    <row r="453" spans="1:14" ht="15.75" x14ac:dyDescent="0.25">
      <c r="A453" s="557" t="s">
        <v>644</v>
      </c>
      <c r="B453" s="558"/>
      <c r="C453" s="559"/>
      <c r="D453" s="405" t="s">
        <v>696</v>
      </c>
      <c r="E453" s="234">
        <f t="shared" si="44"/>
        <v>0</v>
      </c>
      <c r="J453" s="557" t="s">
        <v>644</v>
      </c>
      <c r="K453" s="558"/>
      <c r="L453" s="559"/>
      <c r="M453" s="405" t="s">
        <v>696</v>
      </c>
      <c r="N453" s="234">
        <f t="shared" si="45"/>
        <v>0</v>
      </c>
    </row>
    <row r="454" spans="1:14" ht="15.75" x14ac:dyDescent="0.25">
      <c r="A454" s="557" t="s">
        <v>697</v>
      </c>
      <c r="B454" s="558"/>
      <c r="C454" s="559"/>
      <c r="D454" s="405" t="s">
        <v>698</v>
      </c>
      <c r="E454" s="234">
        <f t="shared" si="44"/>
        <v>0</v>
      </c>
      <c r="J454" s="557" t="s">
        <v>697</v>
      </c>
      <c r="K454" s="558"/>
      <c r="L454" s="559"/>
      <c r="M454" s="405" t="s">
        <v>698</v>
      </c>
      <c r="N454" s="234">
        <f t="shared" si="45"/>
        <v>0</v>
      </c>
    </row>
    <row r="455" spans="1:14" ht="15.75" x14ac:dyDescent="0.25">
      <c r="A455" s="557" t="s">
        <v>66</v>
      </c>
      <c r="B455" s="558"/>
      <c r="C455" s="559"/>
      <c r="D455" s="405" t="s">
        <v>699</v>
      </c>
      <c r="E455" s="234">
        <f t="shared" si="44"/>
        <v>0</v>
      </c>
      <c r="J455" s="557" t="s">
        <v>66</v>
      </c>
      <c r="K455" s="558"/>
      <c r="L455" s="559"/>
      <c r="M455" s="405" t="s">
        <v>699</v>
      </c>
      <c r="N455" s="234">
        <f t="shared" si="45"/>
        <v>0</v>
      </c>
    </row>
    <row r="456" spans="1:14" ht="15.75" x14ac:dyDescent="0.25">
      <c r="A456" s="557" t="s">
        <v>125</v>
      </c>
      <c r="B456" s="558"/>
      <c r="C456" s="559"/>
      <c r="D456" s="405" t="s">
        <v>700</v>
      </c>
      <c r="E456" s="234">
        <f t="shared" si="44"/>
        <v>0</v>
      </c>
      <c r="J456" s="557" t="s">
        <v>125</v>
      </c>
      <c r="K456" s="558"/>
      <c r="L456" s="559"/>
      <c r="M456" s="405" t="s">
        <v>700</v>
      </c>
      <c r="N456" s="234">
        <f t="shared" si="45"/>
        <v>0</v>
      </c>
    </row>
    <row r="457" spans="1:14" ht="15.75" x14ac:dyDescent="0.25">
      <c r="A457" s="557" t="s">
        <v>68</v>
      </c>
      <c r="B457" s="558"/>
      <c r="C457" s="559"/>
      <c r="D457" s="405" t="s">
        <v>701</v>
      </c>
      <c r="E457" s="234">
        <f t="shared" si="44"/>
        <v>0</v>
      </c>
      <c r="J457" s="557" t="s">
        <v>68</v>
      </c>
      <c r="K457" s="558"/>
      <c r="L457" s="559"/>
      <c r="M457" s="405" t="s">
        <v>701</v>
      </c>
      <c r="N457" s="234">
        <f t="shared" si="45"/>
        <v>0</v>
      </c>
    </row>
    <row r="458" spans="1:14" ht="15.75" x14ac:dyDescent="0.25">
      <c r="A458" s="557" t="s">
        <v>8</v>
      </c>
      <c r="B458" s="558"/>
      <c r="C458" s="559"/>
      <c r="D458" s="405" t="s">
        <v>702</v>
      </c>
      <c r="E458" s="234">
        <f t="shared" si="44"/>
        <v>0</v>
      </c>
      <c r="J458" s="557" t="s">
        <v>8</v>
      </c>
      <c r="K458" s="558"/>
      <c r="L458" s="559"/>
      <c r="M458" s="405" t="s">
        <v>702</v>
      </c>
      <c r="N458" s="234">
        <f t="shared" si="45"/>
        <v>0</v>
      </c>
    </row>
    <row r="459" spans="1:14" ht="15.75" x14ac:dyDescent="0.25">
      <c r="A459" s="557" t="s">
        <v>10</v>
      </c>
      <c r="B459" s="558"/>
      <c r="C459" s="559"/>
      <c r="D459" s="405" t="s">
        <v>703</v>
      </c>
      <c r="E459" s="234">
        <f t="shared" si="44"/>
        <v>0</v>
      </c>
      <c r="J459" s="557" t="s">
        <v>10</v>
      </c>
      <c r="K459" s="558"/>
      <c r="L459" s="559"/>
      <c r="M459" s="405" t="s">
        <v>703</v>
      </c>
      <c r="N459" s="234">
        <f t="shared" si="45"/>
        <v>0</v>
      </c>
    </row>
    <row r="460" spans="1:14" ht="15.75" x14ac:dyDescent="0.25">
      <c r="A460" s="557" t="s">
        <v>704</v>
      </c>
      <c r="B460" s="558"/>
      <c r="C460" s="559"/>
      <c r="D460" s="405" t="s">
        <v>705</v>
      </c>
      <c r="E460" s="234">
        <f t="shared" si="44"/>
        <v>0</v>
      </c>
      <c r="J460" s="557" t="s">
        <v>704</v>
      </c>
      <c r="K460" s="558"/>
      <c r="L460" s="559"/>
      <c r="M460" s="405" t="s">
        <v>705</v>
      </c>
      <c r="N460" s="234">
        <f t="shared" si="45"/>
        <v>0</v>
      </c>
    </row>
    <row r="461" spans="1:14" ht="15.75" x14ac:dyDescent="0.25">
      <c r="A461" s="557" t="s">
        <v>118</v>
      </c>
      <c r="B461" s="558"/>
      <c r="C461" s="559"/>
      <c r="D461" s="405" t="s">
        <v>706</v>
      </c>
      <c r="E461" s="234">
        <f t="shared" si="44"/>
        <v>0</v>
      </c>
      <c r="J461" s="557" t="s">
        <v>118</v>
      </c>
      <c r="K461" s="558"/>
      <c r="L461" s="559"/>
      <c r="M461" s="405" t="s">
        <v>706</v>
      </c>
      <c r="N461" s="234">
        <f t="shared" si="45"/>
        <v>0</v>
      </c>
    </row>
    <row r="462" spans="1:14" ht="15.75" x14ac:dyDescent="0.25">
      <c r="A462" s="557" t="s">
        <v>677</v>
      </c>
      <c r="B462" s="558"/>
      <c r="C462" s="559"/>
      <c r="D462" s="405" t="s">
        <v>707</v>
      </c>
      <c r="E462" s="234">
        <f t="shared" si="44"/>
        <v>0</v>
      </c>
      <c r="J462" s="557" t="s">
        <v>677</v>
      </c>
      <c r="K462" s="558"/>
      <c r="L462" s="559"/>
      <c r="M462" s="405" t="s">
        <v>707</v>
      </c>
      <c r="N462" s="234">
        <f t="shared" si="45"/>
        <v>0</v>
      </c>
    </row>
    <row r="463" spans="1:14" ht="15.75" x14ac:dyDescent="0.25">
      <c r="A463" s="557" t="s">
        <v>103</v>
      </c>
      <c r="B463" s="558"/>
      <c r="C463" s="559"/>
      <c r="D463" s="405" t="s">
        <v>708</v>
      </c>
      <c r="E463" s="234">
        <f t="shared" si="44"/>
        <v>0</v>
      </c>
      <c r="J463" s="557" t="s">
        <v>103</v>
      </c>
      <c r="K463" s="558"/>
      <c r="L463" s="559"/>
      <c r="M463" s="405" t="s">
        <v>708</v>
      </c>
      <c r="N463" s="234">
        <f t="shared" si="45"/>
        <v>0</v>
      </c>
    </row>
    <row r="464" spans="1:14" ht="18.75" thickBot="1" x14ac:dyDescent="0.3">
      <c r="A464" s="560" t="s">
        <v>230</v>
      </c>
      <c r="B464" s="560"/>
      <c r="C464" s="560"/>
      <c r="D464" s="560"/>
      <c r="E464" s="406">
        <f>SUM(E452:E463)</f>
        <v>0</v>
      </c>
      <c r="J464" s="560" t="s">
        <v>230</v>
      </c>
      <c r="K464" s="560"/>
      <c r="L464" s="560"/>
      <c r="M464" s="560"/>
      <c r="N464" s="406">
        <f>SUM(N452:N463)</f>
        <v>0</v>
      </c>
    </row>
    <row r="465" spans="1:14" ht="18.75" thickBot="1" x14ac:dyDescent="0.3">
      <c r="A465" s="550" t="s">
        <v>709</v>
      </c>
      <c r="B465" s="551"/>
      <c r="C465" s="551"/>
      <c r="D465" s="552"/>
      <c r="F465" s="7"/>
      <c r="G465" s="7"/>
      <c r="H465" s="7"/>
      <c r="I465" s="7"/>
      <c r="J465" s="550" t="s">
        <v>709</v>
      </c>
      <c r="K465" s="551"/>
      <c r="L465" s="551"/>
      <c r="M465" s="552"/>
    </row>
    <row r="466" spans="1:14" ht="15.75" x14ac:dyDescent="0.25">
      <c r="A466" s="557" t="s">
        <v>710</v>
      </c>
      <c r="B466" s="558"/>
      <c r="C466" s="559"/>
      <c r="D466" s="405" t="s">
        <v>711</v>
      </c>
      <c r="E466" s="234">
        <f t="shared" ref="E466:E475" si="46">COUNTIF($AB$13:$AW$54,D466)</f>
        <v>0</v>
      </c>
      <c r="J466" s="557" t="s">
        <v>710</v>
      </c>
      <c r="K466" s="558"/>
      <c r="L466" s="559"/>
      <c r="M466" s="405" t="s">
        <v>711</v>
      </c>
      <c r="N466" s="234">
        <f t="shared" ref="N466:N475" si="47">COUNTIF($A$2:$AA$53,M466)</f>
        <v>0</v>
      </c>
    </row>
    <row r="467" spans="1:14" ht="15.75" x14ac:dyDescent="0.25">
      <c r="A467" s="557" t="s">
        <v>712</v>
      </c>
      <c r="B467" s="558"/>
      <c r="C467" s="559"/>
      <c r="D467" s="405" t="s">
        <v>713</v>
      </c>
      <c r="E467" s="234">
        <f t="shared" si="46"/>
        <v>0</v>
      </c>
      <c r="J467" s="557" t="s">
        <v>712</v>
      </c>
      <c r="K467" s="558"/>
      <c r="L467" s="559"/>
      <c r="M467" s="405" t="s">
        <v>713</v>
      </c>
      <c r="N467" s="234">
        <f t="shared" si="47"/>
        <v>0</v>
      </c>
    </row>
    <row r="468" spans="1:14" ht="15.75" x14ac:dyDescent="0.25">
      <c r="A468" s="557" t="s">
        <v>714</v>
      </c>
      <c r="B468" s="558"/>
      <c r="C468" s="559"/>
      <c r="D468" s="405" t="s">
        <v>715</v>
      </c>
      <c r="E468" s="234">
        <f t="shared" si="46"/>
        <v>0</v>
      </c>
      <c r="J468" s="557" t="s">
        <v>714</v>
      </c>
      <c r="K468" s="558"/>
      <c r="L468" s="559"/>
      <c r="M468" s="405" t="s">
        <v>715</v>
      </c>
      <c r="N468" s="234">
        <f t="shared" si="47"/>
        <v>0</v>
      </c>
    </row>
    <row r="469" spans="1:14" ht="15.75" x14ac:dyDescent="0.25">
      <c r="A469" s="557" t="s">
        <v>716</v>
      </c>
      <c r="B469" s="558"/>
      <c r="C469" s="559"/>
      <c r="D469" s="405" t="s">
        <v>717</v>
      </c>
      <c r="E469" s="234">
        <f t="shared" si="46"/>
        <v>0</v>
      </c>
      <c r="J469" s="557" t="s">
        <v>716</v>
      </c>
      <c r="K469" s="558"/>
      <c r="L469" s="559"/>
      <c r="M469" s="405" t="s">
        <v>717</v>
      </c>
      <c r="N469" s="234">
        <f t="shared" si="47"/>
        <v>0</v>
      </c>
    </row>
    <row r="470" spans="1:14" ht="15.75" x14ac:dyDescent="0.25">
      <c r="A470" s="557" t="s">
        <v>718</v>
      </c>
      <c r="B470" s="558"/>
      <c r="C470" s="559"/>
      <c r="D470" s="405" t="s">
        <v>719</v>
      </c>
      <c r="E470" s="234">
        <f t="shared" si="46"/>
        <v>0</v>
      </c>
      <c r="J470" s="557" t="s">
        <v>718</v>
      </c>
      <c r="K470" s="558"/>
      <c r="L470" s="559"/>
      <c r="M470" s="405" t="s">
        <v>719</v>
      </c>
      <c r="N470" s="234">
        <f t="shared" si="47"/>
        <v>0</v>
      </c>
    </row>
    <row r="471" spans="1:14" ht="15.75" x14ac:dyDescent="0.25">
      <c r="A471" s="557" t="s">
        <v>720</v>
      </c>
      <c r="B471" s="558"/>
      <c r="C471" s="559"/>
      <c r="D471" s="405" t="s">
        <v>721</v>
      </c>
      <c r="E471" s="234">
        <f t="shared" si="46"/>
        <v>0</v>
      </c>
      <c r="J471" s="557" t="s">
        <v>720</v>
      </c>
      <c r="K471" s="558"/>
      <c r="L471" s="559"/>
      <c r="M471" s="405" t="s">
        <v>721</v>
      </c>
      <c r="N471" s="234">
        <f t="shared" si="47"/>
        <v>0</v>
      </c>
    </row>
    <row r="472" spans="1:14" ht="15.75" x14ac:dyDescent="0.25">
      <c r="A472" s="557" t="s">
        <v>722</v>
      </c>
      <c r="B472" s="558"/>
      <c r="C472" s="559"/>
      <c r="D472" s="405" t="s">
        <v>723</v>
      </c>
      <c r="E472" s="234">
        <f t="shared" si="46"/>
        <v>0</v>
      </c>
      <c r="J472" s="557" t="s">
        <v>722</v>
      </c>
      <c r="K472" s="558"/>
      <c r="L472" s="559"/>
      <c r="M472" s="405" t="s">
        <v>723</v>
      </c>
      <c r="N472" s="234">
        <f t="shared" si="47"/>
        <v>0</v>
      </c>
    </row>
    <row r="473" spans="1:14" ht="15.75" x14ac:dyDescent="0.25">
      <c r="A473" s="557" t="s">
        <v>724</v>
      </c>
      <c r="B473" s="558"/>
      <c r="C473" s="559"/>
      <c r="D473" s="405" t="s">
        <v>725</v>
      </c>
      <c r="E473" s="234">
        <f t="shared" si="46"/>
        <v>0</v>
      </c>
      <c r="J473" s="557" t="s">
        <v>724</v>
      </c>
      <c r="K473" s="558"/>
      <c r="L473" s="559"/>
      <c r="M473" s="405" t="s">
        <v>725</v>
      </c>
      <c r="N473" s="234">
        <f t="shared" si="47"/>
        <v>0</v>
      </c>
    </row>
    <row r="474" spans="1:14" ht="15.75" x14ac:dyDescent="0.25">
      <c r="A474" s="557" t="s">
        <v>726</v>
      </c>
      <c r="B474" s="558"/>
      <c r="C474" s="559"/>
      <c r="D474" s="405" t="s">
        <v>727</v>
      </c>
      <c r="E474" s="234">
        <f t="shared" si="46"/>
        <v>0</v>
      </c>
      <c r="J474" s="557" t="s">
        <v>726</v>
      </c>
      <c r="K474" s="558"/>
      <c r="L474" s="559"/>
      <c r="M474" s="405" t="s">
        <v>727</v>
      </c>
      <c r="N474" s="234">
        <f t="shared" si="47"/>
        <v>0</v>
      </c>
    </row>
    <row r="475" spans="1:14" ht="15.75" x14ac:dyDescent="0.25">
      <c r="A475" s="557" t="s">
        <v>728</v>
      </c>
      <c r="B475" s="558"/>
      <c r="C475" s="559"/>
      <c r="D475" s="405" t="s">
        <v>729</v>
      </c>
      <c r="E475" s="234">
        <f t="shared" si="46"/>
        <v>0</v>
      </c>
      <c r="J475" s="557" t="s">
        <v>728</v>
      </c>
      <c r="K475" s="558"/>
      <c r="L475" s="559"/>
      <c r="M475" s="405" t="s">
        <v>729</v>
      </c>
      <c r="N475" s="234">
        <f t="shared" si="47"/>
        <v>0</v>
      </c>
    </row>
    <row r="476" spans="1:14" ht="18" x14ac:dyDescent="0.25">
      <c r="A476" s="560" t="s">
        <v>230</v>
      </c>
      <c r="B476" s="560"/>
      <c r="C476" s="560"/>
      <c r="D476" s="560"/>
      <c r="E476" s="406">
        <f>SUM(E466:E475)</f>
        <v>0</v>
      </c>
      <c r="J476" s="560" t="s">
        <v>230</v>
      </c>
      <c r="K476" s="560"/>
      <c r="L476" s="560"/>
      <c r="M476" s="560"/>
      <c r="N476" s="406">
        <f>SUM(N466:N475)</f>
        <v>0</v>
      </c>
    </row>
    <row r="481" customFormat="1" x14ac:dyDescent="0.25"/>
    <row r="482" customFormat="1" x14ac:dyDescent="0.25"/>
    <row r="483" customFormat="1" x14ac:dyDescent="0.25"/>
  </sheetData>
  <mergeCells count="786">
    <mergeCell ref="A475:C475"/>
    <mergeCell ref="J475:L475"/>
    <mergeCell ref="A476:D476"/>
    <mergeCell ref="J476:M476"/>
    <mergeCell ref="A472:C472"/>
    <mergeCell ref="J472:L472"/>
    <mergeCell ref="A473:C473"/>
    <mergeCell ref="J473:L473"/>
    <mergeCell ref="A474:C474"/>
    <mergeCell ref="J474:L474"/>
    <mergeCell ref="A469:C469"/>
    <mergeCell ref="J469:L469"/>
    <mergeCell ref="A470:C470"/>
    <mergeCell ref="J470:L470"/>
    <mergeCell ref="A471:C471"/>
    <mergeCell ref="J471:L471"/>
    <mergeCell ref="A466:C466"/>
    <mergeCell ref="J466:L466"/>
    <mergeCell ref="A467:C467"/>
    <mergeCell ref="J467:L467"/>
    <mergeCell ref="A468:C468"/>
    <mergeCell ref="J468:L468"/>
    <mergeCell ref="A463:C463"/>
    <mergeCell ref="J463:L463"/>
    <mergeCell ref="A464:D464"/>
    <mergeCell ref="J464:M464"/>
    <mergeCell ref="A465:D465"/>
    <mergeCell ref="J465:M465"/>
    <mergeCell ref="A460:C460"/>
    <mergeCell ref="J460:L460"/>
    <mergeCell ref="A461:C461"/>
    <mergeCell ref="J461:L461"/>
    <mergeCell ref="A462:C462"/>
    <mergeCell ref="J462:L462"/>
    <mergeCell ref="A457:C457"/>
    <mergeCell ref="J457:L457"/>
    <mergeCell ref="A458:C458"/>
    <mergeCell ref="J458:L458"/>
    <mergeCell ref="A459:C459"/>
    <mergeCell ref="J459:L459"/>
    <mergeCell ref="A454:C454"/>
    <mergeCell ref="J454:L454"/>
    <mergeCell ref="A455:C455"/>
    <mergeCell ref="J455:L455"/>
    <mergeCell ref="A456:C456"/>
    <mergeCell ref="J456:L456"/>
    <mergeCell ref="A451:D451"/>
    <mergeCell ref="J451:M451"/>
    <mergeCell ref="A452:C452"/>
    <mergeCell ref="J452:L452"/>
    <mergeCell ref="A453:C453"/>
    <mergeCell ref="J453:L453"/>
    <mergeCell ref="A448:C448"/>
    <mergeCell ref="J448:L448"/>
    <mergeCell ref="A449:C449"/>
    <mergeCell ref="J449:L449"/>
    <mergeCell ref="A450:D450"/>
    <mergeCell ref="J450:M450"/>
    <mergeCell ref="A445:D445"/>
    <mergeCell ref="J445:M445"/>
    <mergeCell ref="A446:C446"/>
    <mergeCell ref="J446:L446"/>
    <mergeCell ref="A447:C447"/>
    <mergeCell ref="J447:L447"/>
    <mergeCell ref="A442:C442"/>
    <mergeCell ref="J442:L442"/>
    <mergeCell ref="A443:C443"/>
    <mergeCell ref="J443:L443"/>
    <mergeCell ref="A444:D444"/>
    <mergeCell ref="J444:M444"/>
    <mergeCell ref="A439:C439"/>
    <mergeCell ref="J439:L439"/>
    <mergeCell ref="A440:C440"/>
    <mergeCell ref="J440:L440"/>
    <mergeCell ref="A441:C441"/>
    <mergeCell ref="J441:L441"/>
    <mergeCell ref="A436:D436"/>
    <mergeCell ref="J436:M436"/>
    <mergeCell ref="A437:D437"/>
    <mergeCell ref="J437:M437"/>
    <mergeCell ref="A438:C438"/>
    <mergeCell ref="J438:L438"/>
    <mergeCell ref="A433:C433"/>
    <mergeCell ref="J433:L433"/>
    <mergeCell ref="A434:C434"/>
    <mergeCell ref="J434:L434"/>
    <mergeCell ref="A435:C435"/>
    <mergeCell ref="J435:L435"/>
    <mergeCell ref="A430:C430"/>
    <mergeCell ref="J430:L430"/>
    <mergeCell ref="A431:C431"/>
    <mergeCell ref="J431:L431"/>
    <mergeCell ref="A432:C432"/>
    <mergeCell ref="J432:L432"/>
    <mergeCell ref="A427:C427"/>
    <mergeCell ref="J427:L427"/>
    <mergeCell ref="A428:C428"/>
    <mergeCell ref="J428:L428"/>
    <mergeCell ref="A429:C429"/>
    <mergeCell ref="J429:L429"/>
    <mergeCell ref="A424:C424"/>
    <mergeCell ref="J424:L424"/>
    <mergeCell ref="A425:C425"/>
    <mergeCell ref="J425:L425"/>
    <mergeCell ref="A426:C426"/>
    <mergeCell ref="J426:L426"/>
    <mergeCell ref="A421:C421"/>
    <mergeCell ref="J421:L421"/>
    <mergeCell ref="A422:C422"/>
    <mergeCell ref="J422:L422"/>
    <mergeCell ref="A423:C423"/>
    <mergeCell ref="J423:L423"/>
    <mergeCell ref="A418:C418"/>
    <mergeCell ref="J418:L418"/>
    <mergeCell ref="A419:C419"/>
    <mergeCell ref="J419:L419"/>
    <mergeCell ref="A420:C420"/>
    <mergeCell ref="J420:L420"/>
    <mergeCell ref="A415:C415"/>
    <mergeCell ref="J415:L415"/>
    <mergeCell ref="A416:C416"/>
    <mergeCell ref="J416:L416"/>
    <mergeCell ref="A417:C417"/>
    <mergeCell ref="J417:L417"/>
    <mergeCell ref="A412:D412"/>
    <mergeCell ref="J412:M412"/>
    <mergeCell ref="A413:D413"/>
    <mergeCell ref="J413:M413"/>
    <mergeCell ref="A414:C414"/>
    <mergeCell ref="J414:L414"/>
    <mergeCell ref="A409:C409"/>
    <mergeCell ref="J409:L409"/>
    <mergeCell ref="A410:C410"/>
    <mergeCell ref="J410:L410"/>
    <mergeCell ref="A411:C411"/>
    <mergeCell ref="J411:L411"/>
    <mergeCell ref="A406:C406"/>
    <mergeCell ref="J406:L406"/>
    <mergeCell ref="A407:C407"/>
    <mergeCell ref="J407:L407"/>
    <mergeCell ref="A408:C408"/>
    <mergeCell ref="J408:L408"/>
    <mergeCell ref="A403:C403"/>
    <mergeCell ref="J403:L403"/>
    <mergeCell ref="A404:C404"/>
    <mergeCell ref="J404:L404"/>
    <mergeCell ref="A405:C405"/>
    <mergeCell ref="J405:L405"/>
    <mergeCell ref="A400:C400"/>
    <mergeCell ref="J400:L400"/>
    <mergeCell ref="A401:C401"/>
    <mergeCell ref="J401:L401"/>
    <mergeCell ref="A402:C402"/>
    <mergeCell ref="J402:L402"/>
    <mergeCell ref="A397:C397"/>
    <mergeCell ref="J397:L397"/>
    <mergeCell ref="A398:C398"/>
    <mergeCell ref="J398:L398"/>
    <mergeCell ref="A399:C399"/>
    <mergeCell ref="J399:L399"/>
    <mergeCell ref="A394:C394"/>
    <mergeCell ref="J394:L394"/>
    <mergeCell ref="A395:C395"/>
    <mergeCell ref="J395:L395"/>
    <mergeCell ref="A396:C396"/>
    <mergeCell ref="J396:L396"/>
    <mergeCell ref="A391:C391"/>
    <mergeCell ref="J391:L391"/>
    <mergeCell ref="A392:C392"/>
    <mergeCell ref="J392:L392"/>
    <mergeCell ref="A393:C393"/>
    <mergeCell ref="J393:L393"/>
    <mergeCell ref="A388:C388"/>
    <mergeCell ref="J388:L388"/>
    <mergeCell ref="A389:C389"/>
    <mergeCell ref="J389:L389"/>
    <mergeCell ref="A390:C390"/>
    <mergeCell ref="J390:L390"/>
    <mergeCell ref="A385:C385"/>
    <mergeCell ref="J385:L385"/>
    <mergeCell ref="A386:C386"/>
    <mergeCell ref="J386:L386"/>
    <mergeCell ref="A387:C387"/>
    <mergeCell ref="J387:L387"/>
    <mergeCell ref="A382:C382"/>
    <mergeCell ref="J382:L382"/>
    <mergeCell ref="A383:C383"/>
    <mergeCell ref="J383:L383"/>
    <mergeCell ref="A384:C384"/>
    <mergeCell ref="J384:L384"/>
    <mergeCell ref="A379:C379"/>
    <mergeCell ref="J379:L379"/>
    <mergeCell ref="A380:C380"/>
    <mergeCell ref="J380:L380"/>
    <mergeCell ref="A381:C381"/>
    <mergeCell ref="J381:L381"/>
    <mergeCell ref="A376:C376"/>
    <mergeCell ref="J376:L376"/>
    <mergeCell ref="A377:C377"/>
    <mergeCell ref="J377:L377"/>
    <mergeCell ref="A378:C378"/>
    <mergeCell ref="J378:L378"/>
    <mergeCell ref="A373:C373"/>
    <mergeCell ref="J373:L373"/>
    <mergeCell ref="A374:C374"/>
    <mergeCell ref="J374:L374"/>
    <mergeCell ref="A375:C375"/>
    <mergeCell ref="J375:L375"/>
    <mergeCell ref="A370:C370"/>
    <mergeCell ref="J370:L370"/>
    <mergeCell ref="A371:C371"/>
    <mergeCell ref="J371:L371"/>
    <mergeCell ref="A372:C372"/>
    <mergeCell ref="J372:L372"/>
    <mergeCell ref="A367:C367"/>
    <mergeCell ref="J367:L367"/>
    <mergeCell ref="A368:C368"/>
    <mergeCell ref="J368:L368"/>
    <mergeCell ref="A369:C369"/>
    <mergeCell ref="J369:L369"/>
    <mergeCell ref="A364:C364"/>
    <mergeCell ref="J364:L364"/>
    <mergeCell ref="A365:C365"/>
    <mergeCell ref="J365:L365"/>
    <mergeCell ref="A366:C366"/>
    <mergeCell ref="J366:L366"/>
    <mergeCell ref="A361:C361"/>
    <mergeCell ref="J361:L361"/>
    <mergeCell ref="A362:C362"/>
    <mergeCell ref="J362:L362"/>
    <mergeCell ref="A363:C363"/>
    <mergeCell ref="J363:L363"/>
    <mergeCell ref="A358:C358"/>
    <mergeCell ref="J358:L358"/>
    <mergeCell ref="A359:C359"/>
    <mergeCell ref="J359:L359"/>
    <mergeCell ref="A360:C360"/>
    <mergeCell ref="J360:L360"/>
    <mergeCell ref="A355:C355"/>
    <mergeCell ref="J355:L355"/>
    <mergeCell ref="A356:C356"/>
    <mergeCell ref="J356:L356"/>
    <mergeCell ref="A357:C357"/>
    <mergeCell ref="J357:L357"/>
    <mergeCell ref="A352:C352"/>
    <mergeCell ref="J352:L352"/>
    <mergeCell ref="A353:C353"/>
    <mergeCell ref="J353:L353"/>
    <mergeCell ref="A354:C354"/>
    <mergeCell ref="J354:L354"/>
    <mergeCell ref="A349:C349"/>
    <mergeCell ref="J349:L349"/>
    <mergeCell ref="A350:C350"/>
    <mergeCell ref="J350:L350"/>
    <mergeCell ref="A351:C351"/>
    <mergeCell ref="J351:L351"/>
    <mergeCell ref="A346:C346"/>
    <mergeCell ref="J346:L346"/>
    <mergeCell ref="A347:C347"/>
    <mergeCell ref="J347:L347"/>
    <mergeCell ref="A348:C348"/>
    <mergeCell ref="J348:L348"/>
    <mergeCell ref="A343:C343"/>
    <mergeCell ref="J343:L343"/>
    <mergeCell ref="A344:C344"/>
    <mergeCell ref="J344:L344"/>
    <mergeCell ref="A345:C345"/>
    <mergeCell ref="J345:L345"/>
    <mergeCell ref="A340:C340"/>
    <mergeCell ref="J340:L340"/>
    <mergeCell ref="A341:C341"/>
    <mergeCell ref="J341:L341"/>
    <mergeCell ref="A342:C342"/>
    <mergeCell ref="J342:L342"/>
    <mergeCell ref="A337:C337"/>
    <mergeCell ref="J337:L337"/>
    <mergeCell ref="A338:C338"/>
    <mergeCell ref="J338:L338"/>
    <mergeCell ref="A339:C339"/>
    <mergeCell ref="J339:L339"/>
    <mergeCell ref="A334:C334"/>
    <mergeCell ref="J334:L334"/>
    <mergeCell ref="A335:C335"/>
    <mergeCell ref="J335:L335"/>
    <mergeCell ref="A336:C336"/>
    <mergeCell ref="J336:L336"/>
    <mergeCell ref="A331:C331"/>
    <mergeCell ref="J331:L331"/>
    <mergeCell ref="A332:D332"/>
    <mergeCell ref="J332:M332"/>
    <mergeCell ref="A333:D333"/>
    <mergeCell ref="J333:M333"/>
    <mergeCell ref="A328:C328"/>
    <mergeCell ref="J328:L328"/>
    <mergeCell ref="A329:C329"/>
    <mergeCell ref="J329:L329"/>
    <mergeCell ref="A330:C330"/>
    <mergeCell ref="J330:L330"/>
    <mergeCell ref="A325:C325"/>
    <mergeCell ref="J325:L325"/>
    <mergeCell ref="A326:C326"/>
    <mergeCell ref="J326:L326"/>
    <mergeCell ref="A327:C327"/>
    <mergeCell ref="J327:L327"/>
    <mergeCell ref="A322:C322"/>
    <mergeCell ref="J322:L322"/>
    <mergeCell ref="A323:C323"/>
    <mergeCell ref="J323:L323"/>
    <mergeCell ref="A324:C324"/>
    <mergeCell ref="J324:L324"/>
    <mergeCell ref="A319:C319"/>
    <mergeCell ref="J319:L319"/>
    <mergeCell ref="A320:C320"/>
    <mergeCell ref="J320:L320"/>
    <mergeCell ref="A321:C321"/>
    <mergeCell ref="J321:L321"/>
    <mergeCell ref="A316:C316"/>
    <mergeCell ref="J316:L316"/>
    <mergeCell ref="A317:C317"/>
    <mergeCell ref="J317:L317"/>
    <mergeCell ref="A318:C318"/>
    <mergeCell ref="J318:L318"/>
    <mergeCell ref="A313:C313"/>
    <mergeCell ref="J313:L313"/>
    <mergeCell ref="A314:C314"/>
    <mergeCell ref="J314:L314"/>
    <mergeCell ref="A315:C315"/>
    <mergeCell ref="J315:L315"/>
    <mergeCell ref="A310:C310"/>
    <mergeCell ref="J310:L310"/>
    <mergeCell ref="A311:C311"/>
    <mergeCell ref="J311:L311"/>
    <mergeCell ref="A312:C312"/>
    <mergeCell ref="J312:L312"/>
    <mergeCell ref="A307:C307"/>
    <mergeCell ref="J307:L307"/>
    <mergeCell ref="A308:C308"/>
    <mergeCell ref="J308:L308"/>
    <mergeCell ref="A309:C309"/>
    <mergeCell ref="J309:L309"/>
    <mergeCell ref="A304:C304"/>
    <mergeCell ref="J304:L304"/>
    <mergeCell ref="A305:C305"/>
    <mergeCell ref="J305:L305"/>
    <mergeCell ref="A306:C306"/>
    <mergeCell ref="J306:L306"/>
    <mergeCell ref="A301:E301"/>
    <mergeCell ref="F301:G301"/>
    <mergeCell ref="J301:N301"/>
    <mergeCell ref="O301:P301"/>
    <mergeCell ref="A303:D303"/>
    <mergeCell ref="J303:M303"/>
    <mergeCell ref="A289:B289"/>
    <mergeCell ref="J289:K289"/>
    <mergeCell ref="A290:B290"/>
    <mergeCell ref="J290:K290"/>
    <mergeCell ref="A296:Q297"/>
    <mergeCell ref="A299:D299"/>
    <mergeCell ref="A286:B286"/>
    <mergeCell ref="J286:K286"/>
    <mergeCell ref="A287:B287"/>
    <mergeCell ref="J287:K287"/>
    <mergeCell ref="A288:B288"/>
    <mergeCell ref="J288:K288"/>
    <mergeCell ref="A283:B283"/>
    <mergeCell ref="J283:K283"/>
    <mergeCell ref="A284:B284"/>
    <mergeCell ref="J284:K284"/>
    <mergeCell ref="A285:B285"/>
    <mergeCell ref="J285:K285"/>
    <mergeCell ref="A280:B280"/>
    <mergeCell ref="J280:K280"/>
    <mergeCell ref="A281:B281"/>
    <mergeCell ref="J281:K281"/>
    <mergeCell ref="A282:B282"/>
    <mergeCell ref="J282:K282"/>
    <mergeCell ref="A277:B277"/>
    <mergeCell ref="J277:K277"/>
    <mergeCell ref="A278:B278"/>
    <mergeCell ref="J278:K278"/>
    <mergeCell ref="A279:B279"/>
    <mergeCell ref="J279:K279"/>
    <mergeCell ref="A274:B274"/>
    <mergeCell ref="J274:K274"/>
    <mergeCell ref="A275:B275"/>
    <mergeCell ref="J275:K275"/>
    <mergeCell ref="A276:B276"/>
    <mergeCell ref="J276:K276"/>
    <mergeCell ref="A271:B271"/>
    <mergeCell ref="J271:K271"/>
    <mergeCell ref="A272:B272"/>
    <mergeCell ref="J272:K272"/>
    <mergeCell ref="A273:B273"/>
    <mergeCell ref="J273:K273"/>
    <mergeCell ref="A268:B268"/>
    <mergeCell ref="J268:K268"/>
    <mergeCell ref="A269:B269"/>
    <mergeCell ref="J269:K269"/>
    <mergeCell ref="A270:B270"/>
    <mergeCell ref="J270:K270"/>
    <mergeCell ref="A265:B265"/>
    <mergeCell ref="J265:K265"/>
    <mergeCell ref="A266:B266"/>
    <mergeCell ref="J266:K266"/>
    <mergeCell ref="A267:B267"/>
    <mergeCell ref="J267:K267"/>
    <mergeCell ref="A262:B262"/>
    <mergeCell ref="J262:K262"/>
    <mergeCell ref="A263:B263"/>
    <mergeCell ref="J263:K263"/>
    <mergeCell ref="A264:B264"/>
    <mergeCell ref="J264:K264"/>
    <mergeCell ref="A259:B259"/>
    <mergeCell ref="J259:K259"/>
    <mergeCell ref="A260:B260"/>
    <mergeCell ref="J260:K260"/>
    <mergeCell ref="A261:B261"/>
    <mergeCell ref="J261:K261"/>
    <mergeCell ref="A256:B256"/>
    <mergeCell ref="J256:K256"/>
    <mergeCell ref="A257:B257"/>
    <mergeCell ref="J257:K257"/>
    <mergeCell ref="A258:B258"/>
    <mergeCell ref="J258:K258"/>
    <mergeCell ref="A253:B253"/>
    <mergeCell ref="J253:K253"/>
    <mergeCell ref="A254:B254"/>
    <mergeCell ref="J254:K254"/>
    <mergeCell ref="A255:B255"/>
    <mergeCell ref="J255:K255"/>
    <mergeCell ref="A250:B250"/>
    <mergeCell ref="J250:K250"/>
    <mergeCell ref="A251:B251"/>
    <mergeCell ref="J251:K251"/>
    <mergeCell ref="A252:B252"/>
    <mergeCell ref="J252:K252"/>
    <mergeCell ref="A247:B247"/>
    <mergeCell ref="J247:K247"/>
    <mergeCell ref="A248:B248"/>
    <mergeCell ref="J248:K248"/>
    <mergeCell ref="A249:B249"/>
    <mergeCell ref="J249:K249"/>
    <mergeCell ref="A244:B244"/>
    <mergeCell ref="J244:K244"/>
    <mergeCell ref="A245:B245"/>
    <mergeCell ref="J245:K245"/>
    <mergeCell ref="A246:B246"/>
    <mergeCell ref="J246:K246"/>
    <mergeCell ref="A241:B241"/>
    <mergeCell ref="J241:K241"/>
    <mergeCell ref="A242:B242"/>
    <mergeCell ref="J242:K242"/>
    <mergeCell ref="A243:B243"/>
    <mergeCell ref="J243:K243"/>
    <mergeCell ref="A238:B238"/>
    <mergeCell ref="J238:K238"/>
    <mergeCell ref="A239:B239"/>
    <mergeCell ref="J239:K239"/>
    <mergeCell ref="A240:B240"/>
    <mergeCell ref="J240:K240"/>
    <mergeCell ref="A235:B235"/>
    <mergeCell ref="J235:K235"/>
    <mergeCell ref="A236:B236"/>
    <mergeCell ref="J236:K236"/>
    <mergeCell ref="A237:B237"/>
    <mergeCell ref="J237:K237"/>
    <mergeCell ref="A232:B232"/>
    <mergeCell ref="J232:K232"/>
    <mergeCell ref="A233:B233"/>
    <mergeCell ref="J233:K233"/>
    <mergeCell ref="A234:B234"/>
    <mergeCell ref="J234:K234"/>
    <mergeCell ref="A229:B229"/>
    <mergeCell ref="J229:K229"/>
    <mergeCell ref="A230:B230"/>
    <mergeCell ref="J230:K230"/>
    <mergeCell ref="A231:B231"/>
    <mergeCell ref="J231:K231"/>
    <mergeCell ref="A226:B226"/>
    <mergeCell ref="J226:K226"/>
    <mergeCell ref="A227:B227"/>
    <mergeCell ref="J227:K227"/>
    <mergeCell ref="A228:B228"/>
    <mergeCell ref="J228:K228"/>
    <mergeCell ref="A223:B223"/>
    <mergeCell ref="J223:K223"/>
    <mergeCell ref="A224:B224"/>
    <mergeCell ref="J224:K224"/>
    <mergeCell ref="A225:B225"/>
    <mergeCell ref="J225:K225"/>
    <mergeCell ref="A220:B220"/>
    <mergeCell ref="J220:K220"/>
    <mergeCell ref="A221:B221"/>
    <mergeCell ref="J221:K221"/>
    <mergeCell ref="A222:B222"/>
    <mergeCell ref="J222:K222"/>
    <mergeCell ref="A218:D218"/>
    <mergeCell ref="E218:F218"/>
    <mergeCell ref="J218:M218"/>
    <mergeCell ref="N218:O218"/>
    <mergeCell ref="P218:Q218"/>
    <mergeCell ref="A219:B219"/>
    <mergeCell ref="J219:K219"/>
    <mergeCell ref="A215:B215"/>
    <mergeCell ref="J215:K215"/>
    <mergeCell ref="A216:B216"/>
    <mergeCell ref="J216:K216"/>
    <mergeCell ref="A217:B217"/>
    <mergeCell ref="J217:K217"/>
    <mergeCell ref="A212:B212"/>
    <mergeCell ref="J212:K212"/>
    <mergeCell ref="A213:B213"/>
    <mergeCell ref="J213:K213"/>
    <mergeCell ref="A214:B214"/>
    <mergeCell ref="J214:K214"/>
    <mergeCell ref="A209:B209"/>
    <mergeCell ref="J209:K209"/>
    <mergeCell ref="A210:B210"/>
    <mergeCell ref="J210:K210"/>
    <mergeCell ref="A211:B211"/>
    <mergeCell ref="J211:K211"/>
    <mergeCell ref="A206:B206"/>
    <mergeCell ref="J206:K206"/>
    <mergeCell ref="A207:B207"/>
    <mergeCell ref="J207:K207"/>
    <mergeCell ref="A208:B208"/>
    <mergeCell ref="J208:K208"/>
    <mergeCell ref="A203:B203"/>
    <mergeCell ref="J203:K203"/>
    <mergeCell ref="A204:B204"/>
    <mergeCell ref="J204:K204"/>
    <mergeCell ref="A205:B205"/>
    <mergeCell ref="J205:K205"/>
    <mergeCell ref="A200:B200"/>
    <mergeCell ref="J200:K200"/>
    <mergeCell ref="A201:B201"/>
    <mergeCell ref="J201:K201"/>
    <mergeCell ref="A202:B202"/>
    <mergeCell ref="J202:K202"/>
    <mergeCell ref="A197:B197"/>
    <mergeCell ref="J197:K197"/>
    <mergeCell ref="A198:B198"/>
    <mergeCell ref="J198:K198"/>
    <mergeCell ref="A199:B199"/>
    <mergeCell ref="J199:K199"/>
    <mergeCell ref="A194:B194"/>
    <mergeCell ref="J194:K194"/>
    <mergeCell ref="A195:B195"/>
    <mergeCell ref="J195:K195"/>
    <mergeCell ref="A196:B196"/>
    <mergeCell ref="J196:K196"/>
    <mergeCell ref="P191:Q191"/>
    <mergeCell ref="A192:C192"/>
    <mergeCell ref="E192:F192"/>
    <mergeCell ref="J192:L192"/>
    <mergeCell ref="N192:O192"/>
    <mergeCell ref="A193:D193"/>
    <mergeCell ref="E193:F193"/>
    <mergeCell ref="J193:M193"/>
    <mergeCell ref="N193:O193"/>
    <mergeCell ref="P193:Q193"/>
    <mergeCell ref="A186:E186"/>
    <mergeCell ref="F186:G186"/>
    <mergeCell ref="J186:N186"/>
    <mergeCell ref="O186:P186"/>
    <mergeCell ref="A188:E188"/>
    <mergeCell ref="F188:G188"/>
    <mergeCell ref="J188:N188"/>
    <mergeCell ref="O188:P188"/>
    <mergeCell ref="A175:Q176"/>
    <mergeCell ref="A179:Q180"/>
    <mergeCell ref="A184:E184"/>
    <mergeCell ref="F184:G184"/>
    <mergeCell ref="J184:N184"/>
    <mergeCell ref="O184:P184"/>
    <mergeCell ref="A171:C171"/>
    <mergeCell ref="J171:L171"/>
    <mergeCell ref="A172:C172"/>
    <mergeCell ref="J172:L172"/>
    <mergeCell ref="A173:C173"/>
    <mergeCell ref="J173:L173"/>
    <mergeCell ref="A167:C167"/>
    <mergeCell ref="J167:L167"/>
    <mergeCell ref="A168:C168"/>
    <mergeCell ref="A169:C169"/>
    <mergeCell ref="J169:L169"/>
    <mergeCell ref="A170:C170"/>
    <mergeCell ref="J170:L170"/>
    <mergeCell ref="A163:C163"/>
    <mergeCell ref="J163:L163"/>
    <mergeCell ref="A164:C164"/>
    <mergeCell ref="J164:L164"/>
    <mergeCell ref="A165:C165"/>
    <mergeCell ref="J165:L165"/>
    <mergeCell ref="A160:C160"/>
    <mergeCell ref="J160:L160"/>
    <mergeCell ref="A161:C161"/>
    <mergeCell ref="J161:L161"/>
    <mergeCell ref="A162:C162"/>
    <mergeCell ref="J162:L162"/>
    <mergeCell ref="A157:C157"/>
    <mergeCell ref="J157:L157"/>
    <mergeCell ref="A158:C158"/>
    <mergeCell ref="J158:L158"/>
    <mergeCell ref="A159:C159"/>
    <mergeCell ref="J159:L159"/>
    <mergeCell ref="A154:C154"/>
    <mergeCell ref="J154:L154"/>
    <mergeCell ref="A155:C155"/>
    <mergeCell ref="J155:L155"/>
    <mergeCell ref="A156:C156"/>
    <mergeCell ref="J156:L156"/>
    <mergeCell ref="A151:C151"/>
    <mergeCell ref="J151:L151"/>
    <mergeCell ref="A152:C152"/>
    <mergeCell ref="J152:L152"/>
    <mergeCell ref="A153:C153"/>
    <mergeCell ref="J153:L153"/>
    <mergeCell ref="A148:C148"/>
    <mergeCell ref="J148:L148"/>
    <mergeCell ref="A149:C149"/>
    <mergeCell ref="J149:L149"/>
    <mergeCell ref="A150:C150"/>
    <mergeCell ref="J150:L150"/>
    <mergeCell ref="A145:C145"/>
    <mergeCell ref="J145:L145"/>
    <mergeCell ref="A146:C146"/>
    <mergeCell ref="J146:L146"/>
    <mergeCell ref="A147:C147"/>
    <mergeCell ref="J147:L147"/>
    <mergeCell ref="A142:C142"/>
    <mergeCell ref="J142:L142"/>
    <mergeCell ref="A143:C143"/>
    <mergeCell ref="J143:L143"/>
    <mergeCell ref="A144:C144"/>
    <mergeCell ref="J144:L144"/>
    <mergeCell ref="A138:C138"/>
    <mergeCell ref="J138:L138"/>
    <mergeCell ref="A139:C139"/>
    <mergeCell ref="J139:L139"/>
    <mergeCell ref="A140:C140"/>
    <mergeCell ref="A141:C141"/>
    <mergeCell ref="J141:L141"/>
    <mergeCell ref="A135:C135"/>
    <mergeCell ref="J135:L135"/>
    <mergeCell ref="A136:C136"/>
    <mergeCell ref="J136:L136"/>
    <mergeCell ref="A137:C137"/>
    <mergeCell ref="J137:L137"/>
    <mergeCell ref="A132:C132"/>
    <mergeCell ref="J132:L132"/>
    <mergeCell ref="A133:C133"/>
    <mergeCell ref="J133:L133"/>
    <mergeCell ref="A134:C134"/>
    <mergeCell ref="J134:L134"/>
    <mergeCell ref="A129:C129"/>
    <mergeCell ref="J129:L129"/>
    <mergeCell ref="A130:C130"/>
    <mergeCell ref="J130:L130"/>
    <mergeCell ref="A131:C131"/>
    <mergeCell ref="J131:L131"/>
    <mergeCell ref="A126:C126"/>
    <mergeCell ref="J126:L126"/>
    <mergeCell ref="A127:C127"/>
    <mergeCell ref="J127:L127"/>
    <mergeCell ref="A128:C128"/>
    <mergeCell ref="J128:L128"/>
    <mergeCell ref="A121:C121"/>
    <mergeCell ref="J121:L121"/>
    <mergeCell ref="A122:C122"/>
    <mergeCell ref="J122:L122"/>
    <mergeCell ref="A125:C125"/>
    <mergeCell ref="J125:L125"/>
    <mergeCell ref="A118:C118"/>
    <mergeCell ref="J118:L118"/>
    <mergeCell ref="A119:C119"/>
    <mergeCell ref="J119:L119"/>
    <mergeCell ref="A120:C120"/>
    <mergeCell ref="J120:L120"/>
    <mergeCell ref="A115:C115"/>
    <mergeCell ref="J115:L115"/>
    <mergeCell ref="A116:C116"/>
    <mergeCell ref="J116:L116"/>
    <mergeCell ref="A117:C117"/>
    <mergeCell ref="J117:L117"/>
    <mergeCell ref="A112:C112"/>
    <mergeCell ref="J112:L112"/>
    <mergeCell ref="A113:C113"/>
    <mergeCell ref="J113:L113"/>
    <mergeCell ref="A114:C114"/>
    <mergeCell ref="J114:L114"/>
    <mergeCell ref="A109:C109"/>
    <mergeCell ref="J109:L109"/>
    <mergeCell ref="A110:C110"/>
    <mergeCell ref="J110:L110"/>
    <mergeCell ref="A111:C111"/>
    <mergeCell ref="J111:L111"/>
    <mergeCell ref="A106:C106"/>
    <mergeCell ref="J106:L106"/>
    <mergeCell ref="A107:C107"/>
    <mergeCell ref="J107:L107"/>
    <mergeCell ref="A108:C108"/>
    <mergeCell ref="J108:L108"/>
    <mergeCell ref="A103:C103"/>
    <mergeCell ref="J103:L103"/>
    <mergeCell ref="A104:C104"/>
    <mergeCell ref="J104:L104"/>
    <mergeCell ref="A105:C105"/>
    <mergeCell ref="J105:L105"/>
    <mergeCell ref="A100:C100"/>
    <mergeCell ref="J100:L100"/>
    <mergeCell ref="A101:C101"/>
    <mergeCell ref="J101:L101"/>
    <mergeCell ref="A102:C102"/>
    <mergeCell ref="J102:L102"/>
    <mergeCell ref="A97:C97"/>
    <mergeCell ref="J97:L97"/>
    <mergeCell ref="A98:C98"/>
    <mergeCell ref="J98:L98"/>
    <mergeCell ref="A99:C99"/>
    <mergeCell ref="J99:L99"/>
    <mergeCell ref="A94:C94"/>
    <mergeCell ref="J94:L94"/>
    <mergeCell ref="A95:C95"/>
    <mergeCell ref="J95:L95"/>
    <mergeCell ref="A96:C96"/>
    <mergeCell ref="J96:L96"/>
    <mergeCell ref="A91:C91"/>
    <mergeCell ref="J91:L91"/>
    <mergeCell ref="A92:C92"/>
    <mergeCell ref="J92:L92"/>
    <mergeCell ref="A93:C93"/>
    <mergeCell ref="J93:L93"/>
    <mergeCell ref="A88:C88"/>
    <mergeCell ref="J88:L88"/>
    <mergeCell ref="A89:C89"/>
    <mergeCell ref="J89:L89"/>
    <mergeCell ref="A90:C90"/>
    <mergeCell ref="J90:L90"/>
    <mergeCell ref="A85:F85"/>
    <mergeCell ref="J85:O85"/>
    <mergeCell ref="A86:C86"/>
    <mergeCell ref="J86:L86"/>
    <mergeCell ref="A87:C87"/>
    <mergeCell ref="J87:L87"/>
    <mergeCell ref="A73:I73"/>
    <mergeCell ref="J73:M73"/>
    <mergeCell ref="A77:Q77"/>
    <mergeCell ref="E79:I79"/>
    <mergeCell ref="J79:K79"/>
    <mergeCell ref="A81:E81"/>
    <mergeCell ref="F81:G81"/>
    <mergeCell ref="J81:N81"/>
    <mergeCell ref="O81:P81"/>
    <mergeCell ref="O47:R47"/>
    <mergeCell ref="H51:V53"/>
    <mergeCell ref="A52:B53"/>
    <mergeCell ref="BE53:BG53"/>
    <mergeCell ref="BN53:BO53"/>
    <mergeCell ref="F54:K57"/>
    <mergeCell ref="AD54:AG55"/>
    <mergeCell ref="AX30:AZ33"/>
    <mergeCell ref="CC31:CE31"/>
    <mergeCell ref="W34:Y34"/>
    <mergeCell ref="AL34:AL35"/>
    <mergeCell ref="A35:C46"/>
    <mergeCell ref="AO35:AR35"/>
    <mergeCell ref="Z36:AC37"/>
    <mergeCell ref="AJ36:AK36"/>
    <mergeCell ref="AV39:AV40"/>
    <mergeCell ref="AO43:AR43"/>
    <mergeCell ref="G13:J13"/>
    <mergeCell ref="D16:E16"/>
    <mergeCell ref="K16:L16"/>
    <mergeCell ref="AJ21:AL21"/>
    <mergeCell ref="A26:D34"/>
    <mergeCell ref="AJ28:AL28"/>
    <mergeCell ref="A1:CN1"/>
    <mergeCell ref="A2:CN2"/>
    <mergeCell ref="BA3:BC3"/>
    <mergeCell ref="BR3:CB6"/>
    <mergeCell ref="AE5:AH5"/>
    <mergeCell ref="U7:V8"/>
    <mergeCell ref="BT7:CA7"/>
    <mergeCell ref="CC7:CN8"/>
    <mergeCell ref="D8:E8"/>
  </mergeCells>
  <phoneticPr fontId="0" type="noConversion"/>
  <conditionalFormatting sqref="A304:A331">
    <cfRule type="expression" dxfId="66" priority="7">
      <formula>IF(#REF!="DESC",1,0)</formula>
    </cfRule>
  </conditionalFormatting>
  <conditionalFormatting sqref="A334:A411">
    <cfRule type="expression" dxfId="65" priority="5">
      <formula>IF(#REF!="DESC",1,0)</formula>
    </cfRule>
  </conditionalFormatting>
  <conditionalFormatting sqref="A414:A435">
    <cfRule type="expression" dxfId="64" priority="15">
      <formula>IF(#REF!="DESC",1,0)</formula>
    </cfRule>
  </conditionalFormatting>
  <conditionalFormatting sqref="A438:A443">
    <cfRule type="expression" dxfId="63" priority="13">
      <formula>IF(#REF!="DESC",1,0)</formula>
    </cfRule>
  </conditionalFormatting>
  <conditionalFormatting sqref="A446:A449">
    <cfRule type="expression" dxfId="62" priority="11">
      <formula>IF(#REF!="DESC",1,0)</formula>
    </cfRule>
  </conditionalFormatting>
  <conditionalFormatting sqref="A452:A463">
    <cfRule type="expression" dxfId="61" priority="9">
      <formula>IF(#REF!="DESC",1,0)</formula>
    </cfRule>
  </conditionalFormatting>
  <conditionalFormatting sqref="A466:A475">
    <cfRule type="expression" dxfId="60" priority="3">
      <formula>IF(#REF!="DESC",1,0)</formula>
    </cfRule>
  </conditionalFormatting>
  <conditionalFormatting sqref="C211">
    <cfRule type="duplicateValues" dxfId="59" priority="51"/>
  </conditionalFormatting>
  <conditionalFormatting sqref="C216">
    <cfRule type="duplicateValues" dxfId="58" priority="23"/>
  </conditionalFormatting>
  <conditionalFormatting sqref="C219:C220 C222 C224:C230 C232:C235">
    <cfRule type="duplicateValues" dxfId="57" priority="52"/>
  </conditionalFormatting>
  <conditionalFormatting sqref="C221">
    <cfRule type="duplicateValues" dxfId="56" priority="48"/>
  </conditionalFormatting>
  <conditionalFormatting sqref="C223">
    <cfRule type="duplicateValues" dxfId="55" priority="50"/>
  </conditionalFormatting>
  <conditionalFormatting sqref="C231">
    <cfRule type="duplicateValues" dxfId="54" priority="49"/>
  </conditionalFormatting>
  <conditionalFormatting sqref="C236">
    <cfRule type="duplicateValues" dxfId="53" priority="35"/>
  </conditionalFormatting>
  <conditionalFormatting sqref="C237 C239:C242 C244 C247:C250 C252:C258 C260:C261 C263:C271 C273:C275 C277:C279 C281:C287">
    <cfRule type="duplicateValues" dxfId="52" priority="54"/>
  </conditionalFormatting>
  <conditionalFormatting sqref="C238">
    <cfRule type="duplicateValues" dxfId="51" priority="33"/>
  </conditionalFormatting>
  <conditionalFormatting sqref="C243">
    <cfRule type="duplicateValues" dxfId="50" priority="46"/>
  </conditionalFormatting>
  <conditionalFormatting sqref="C245">
    <cfRule type="duplicateValues" dxfId="49" priority="21"/>
  </conditionalFormatting>
  <conditionalFormatting sqref="C246">
    <cfRule type="duplicateValues" dxfId="48" priority="47"/>
  </conditionalFormatting>
  <conditionalFormatting sqref="C251">
    <cfRule type="duplicateValues" dxfId="47" priority="29"/>
  </conditionalFormatting>
  <conditionalFormatting sqref="C259">
    <cfRule type="duplicateValues" dxfId="46" priority="1"/>
  </conditionalFormatting>
  <conditionalFormatting sqref="C262">
    <cfRule type="duplicateValues" dxfId="45" priority="18"/>
  </conditionalFormatting>
  <conditionalFormatting sqref="C272">
    <cfRule type="duplicateValues" dxfId="44" priority="31"/>
  </conditionalFormatting>
  <conditionalFormatting sqref="C276">
    <cfRule type="duplicateValues" dxfId="43" priority="45"/>
  </conditionalFormatting>
  <conditionalFormatting sqref="C280">
    <cfRule type="duplicateValues" dxfId="42" priority="37"/>
  </conditionalFormatting>
  <conditionalFormatting sqref="C289">
    <cfRule type="duplicateValues" dxfId="41" priority="27"/>
  </conditionalFormatting>
  <conditionalFormatting sqref="C290">
    <cfRule type="duplicateValues" dxfId="40" priority="25"/>
  </conditionalFormatting>
  <conditionalFormatting sqref="J304:J331">
    <cfRule type="expression" dxfId="39" priority="6">
      <formula>IF(#REF!="DESC",1,0)</formula>
    </cfRule>
  </conditionalFormatting>
  <conditionalFormatting sqref="J334:J411">
    <cfRule type="expression" dxfId="38" priority="4">
      <formula>IF(#REF!="DESC",1,0)</formula>
    </cfRule>
  </conditionalFormatting>
  <conditionalFormatting sqref="J414:J435">
    <cfRule type="expression" dxfId="37" priority="14">
      <formula>IF(#REF!="DESC",1,0)</formula>
    </cfRule>
  </conditionalFormatting>
  <conditionalFormatting sqref="J438:J443">
    <cfRule type="expression" dxfId="36" priority="12">
      <formula>IF(#REF!="DESC",1,0)</formula>
    </cfRule>
  </conditionalFormatting>
  <conditionalFormatting sqref="J446:J449">
    <cfRule type="expression" dxfId="35" priority="10">
      <formula>IF(#REF!="DESC",1,0)</formula>
    </cfRule>
  </conditionalFormatting>
  <conditionalFormatting sqref="J452:J463">
    <cfRule type="expression" dxfId="34" priority="8">
      <formula>IF(#REF!="DESC",1,0)</formula>
    </cfRule>
  </conditionalFormatting>
  <conditionalFormatting sqref="J466:J475">
    <cfRule type="expression" dxfId="33" priority="2">
      <formula>IF(#REF!="DESC",1,0)</formula>
    </cfRule>
  </conditionalFormatting>
  <conditionalFormatting sqref="L211">
    <cfRule type="duplicateValues" dxfId="32" priority="38"/>
  </conditionalFormatting>
  <conditionalFormatting sqref="L216">
    <cfRule type="duplicateValues" dxfId="31" priority="22"/>
  </conditionalFormatting>
  <conditionalFormatting sqref="L219:L220 L222 L224:L230 L232:L235">
    <cfRule type="duplicateValues" dxfId="30" priority="53"/>
  </conditionalFormatting>
  <conditionalFormatting sqref="L221">
    <cfRule type="duplicateValues" dxfId="29" priority="42"/>
  </conditionalFormatting>
  <conditionalFormatting sqref="L223">
    <cfRule type="duplicateValues" dxfId="28" priority="44"/>
  </conditionalFormatting>
  <conditionalFormatting sqref="L231">
    <cfRule type="duplicateValues" dxfId="27" priority="43"/>
  </conditionalFormatting>
  <conditionalFormatting sqref="L236">
    <cfRule type="duplicateValues" dxfId="26" priority="34"/>
  </conditionalFormatting>
  <conditionalFormatting sqref="L237 L239:L242 L244 L247:L250 L252:L258 L260:L261 L263:L271 L273:L275 L277:L279 L282:L287">
    <cfRule type="duplicateValues" dxfId="25" priority="55"/>
  </conditionalFormatting>
  <conditionalFormatting sqref="L238">
    <cfRule type="duplicateValues" dxfId="24" priority="32"/>
  </conditionalFormatting>
  <conditionalFormatting sqref="L243">
    <cfRule type="duplicateValues" dxfId="23" priority="41"/>
  </conditionalFormatting>
  <conditionalFormatting sqref="L245">
    <cfRule type="duplicateValues" dxfId="22" priority="20"/>
  </conditionalFormatting>
  <conditionalFormatting sqref="L246">
    <cfRule type="duplicateValues" dxfId="21" priority="19"/>
  </conditionalFormatting>
  <conditionalFormatting sqref="L251">
    <cfRule type="duplicateValues" dxfId="20" priority="28"/>
  </conditionalFormatting>
  <conditionalFormatting sqref="L259">
    <cfRule type="duplicateValues" dxfId="19" priority="40"/>
  </conditionalFormatting>
  <conditionalFormatting sqref="L262">
    <cfRule type="duplicateValues" dxfId="18" priority="17"/>
  </conditionalFormatting>
  <conditionalFormatting sqref="L272">
    <cfRule type="duplicateValues" dxfId="17" priority="30"/>
  </conditionalFormatting>
  <conditionalFormatting sqref="L276">
    <cfRule type="duplicateValues" dxfId="16" priority="39"/>
  </conditionalFormatting>
  <conditionalFormatting sqref="L280">
    <cfRule type="duplicateValues" dxfId="15" priority="36"/>
  </conditionalFormatting>
  <conditionalFormatting sqref="L281">
    <cfRule type="duplicateValues" dxfId="14" priority="16"/>
  </conditionalFormatting>
  <conditionalFormatting sqref="L289">
    <cfRule type="duplicateValues" dxfId="13" priority="26"/>
  </conditionalFormatting>
  <conditionalFormatting sqref="L290">
    <cfRule type="duplicateValues" dxfId="12" priority="24"/>
  </conditionalFormatting>
  <conditionalFormatting sqref="AR48">
    <cfRule type="duplicateValues" dxfId="11" priority="59"/>
  </conditionalFormatting>
  <conditionalFormatting sqref="AR49">
    <cfRule type="duplicateValues" dxfId="10" priority="57"/>
  </conditionalFormatting>
  <conditionalFormatting sqref="AS48">
    <cfRule type="duplicateValues" dxfId="9" priority="58"/>
  </conditionalFormatting>
  <conditionalFormatting sqref="AS49">
    <cfRule type="duplicateValues" dxfId="8" priority="56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>
    <tabColor theme="5"/>
  </sheetPr>
  <dimension ref="A1:CQ61"/>
  <sheetViews>
    <sheetView topLeftCell="A31" zoomScale="40" zoomScaleNormal="40" workbookViewId="0">
      <selection activeCell="A26" sqref="A1:XFD1048576"/>
    </sheetView>
  </sheetViews>
  <sheetFormatPr baseColWidth="10" defaultColWidth="16.7109375" defaultRowHeight="15" x14ac:dyDescent="0.25"/>
  <cols>
    <col min="1" max="92" width="12.7109375" customWidth="1"/>
  </cols>
  <sheetData>
    <row r="1" spans="1:92" ht="33.75" customHeight="1" x14ac:dyDescent="0.25">
      <c r="A1" s="425" t="s">
        <v>160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426"/>
      <c r="Z1" s="426"/>
      <c r="AA1" s="426"/>
      <c r="AB1" s="426"/>
      <c r="AC1" s="426"/>
      <c r="AD1" s="426"/>
      <c r="AE1" s="426"/>
      <c r="AF1" s="426"/>
      <c r="AG1" s="426"/>
      <c r="AH1" s="426"/>
      <c r="AI1" s="426"/>
      <c r="AJ1" s="426"/>
      <c r="AK1" s="426"/>
      <c r="AL1" s="426"/>
      <c r="AM1" s="426"/>
      <c r="AN1" s="426"/>
      <c r="AO1" s="426"/>
      <c r="AP1" s="426"/>
      <c r="AQ1" s="426"/>
      <c r="AR1" s="426"/>
      <c r="AS1" s="426"/>
      <c r="AT1" s="426"/>
      <c r="AU1" s="426"/>
      <c r="AV1" s="426"/>
      <c r="AW1" s="426"/>
      <c r="AX1" s="426"/>
      <c r="AY1" s="426"/>
      <c r="AZ1" s="426"/>
      <c r="BA1" s="426"/>
      <c r="BB1" s="426"/>
      <c r="BC1" s="426"/>
      <c r="BD1" s="426"/>
      <c r="BE1" s="426"/>
      <c r="BF1" s="426"/>
      <c r="BG1" s="426"/>
      <c r="BH1" s="426"/>
      <c r="BI1" s="426"/>
      <c r="BJ1" s="426"/>
      <c r="BK1" s="426"/>
      <c r="BL1" s="426"/>
      <c r="BM1" s="426"/>
      <c r="BN1" s="426"/>
      <c r="BO1" s="426"/>
      <c r="BP1" s="426"/>
      <c r="BQ1" s="426"/>
      <c r="BR1" s="426"/>
      <c r="BS1" s="426"/>
      <c r="BT1" s="426"/>
      <c r="BU1" s="426"/>
      <c r="BV1" s="426"/>
      <c r="BW1" s="426"/>
      <c r="BX1" s="426"/>
      <c r="BY1" s="426"/>
      <c r="BZ1" s="426"/>
      <c r="CA1" s="426"/>
      <c r="CB1" s="426"/>
      <c r="CC1" s="426"/>
      <c r="CD1" s="426"/>
      <c r="CE1" s="426"/>
      <c r="CF1" s="426"/>
      <c r="CG1" s="426"/>
      <c r="CH1" s="426"/>
      <c r="CI1" s="426"/>
      <c r="CJ1" s="426"/>
      <c r="CK1" s="426"/>
      <c r="CL1" s="426"/>
      <c r="CM1" s="426"/>
      <c r="CN1" s="426"/>
    </row>
    <row r="2" spans="1:92" ht="28.5" customHeight="1" thickBot="1" x14ac:dyDescent="0.3">
      <c r="A2" s="427" t="s">
        <v>161</v>
      </c>
      <c r="B2" s="427"/>
      <c r="C2" s="427"/>
      <c r="D2" s="427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427"/>
      <c r="Z2" s="427"/>
      <c r="AA2" s="427"/>
      <c r="AB2" s="427"/>
      <c r="AC2" s="427"/>
      <c r="AD2" s="427"/>
      <c r="AE2" s="427"/>
      <c r="AF2" s="427"/>
      <c r="AG2" s="427"/>
      <c r="AH2" s="427"/>
      <c r="AI2" s="427"/>
      <c r="AJ2" s="427"/>
      <c r="AK2" s="427"/>
      <c r="AL2" s="427"/>
      <c r="AM2" s="427"/>
      <c r="AN2" s="427"/>
      <c r="AO2" s="427"/>
      <c r="AP2" s="427"/>
      <c r="AQ2" s="427"/>
      <c r="AR2" s="427"/>
      <c r="AS2" s="427"/>
      <c r="AT2" s="427"/>
      <c r="AU2" s="427"/>
      <c r="AV2" s="427"/>
      <c r="AW2" s="427"/>
      <c r="AX2" s="427"/>
      <c r="AY2" s="427"/>
      <c r="AZ2" s="427"/>
      <c r="BA2" s="427"/>
      <c r="BB2" s="427"/>
      <c r="BC2" s="427"/>
      <c r="BD2" s="427"/>
      <c r="BE2" s="427"/>
      <c r="BF2" s="427"/>
      <c r="BG2" s="427"/>
      <c r="BH2" s="427"/>
      <c r="BI2" s="427"/>
      <c r="BJ2" s="427"/>
      <c r="BK2" s="427"/>
      <c r="BL2" s="427"/>
      <c r="BM2" s="427"/>
      <c r="BN2" s="427"/>
      <c r="BO2" s="427"/>
      <c r="BP2" s="427"/>
      <c r="BQ2" s="427"/>
      <c r="BR2" s="427"/>
      <c r="BS2" s="427"/>
      <c r="BT2" s="427"/>
      <c r="BU2" s="427"/>
      <c r="BV2" s="427"/>
      <c r="BW2" s="427"/>
      <c r="BX2" s="427"/>
      <c r="BY2" s="427"/>
      <c r="BZ2" s="427"/>
      <c r="CA2" s="427"/>
      <c r="CB2" s="427"/>
      <c r="CC2" s="427"/>
      <c r="CD2" s="427"/>
      <c r="CE2" s="427"/>
      <c r="CF2" s="427"/>
      <c r="CG2" s="427"/>
      <c r="CH2" s="427"/>
      <c r="CI2" s="427"/>
      <c r="CJ2" s="427"/>
      <c r="CK2" s="427"/>
      <c r="CL2" s="427"/>
      <c r="CM2" s="427"/>
      <c r="CN2" s="427"/>
    </row>
    <row r="3" spans="1:92" ht="28.5" thickBot="1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4"/>
      <c r="T3" s="4"/>
      <c r="U3" s="5"/>
      <c r="V3" s="5"/>
      <c r="W3" s="5"/>
      <c r="X3" s="5"/>
      <c r="Y3" s="5"/>
      <c r="Z3" s="5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5"/>
      <c r="AS3" s="5"/>
      <c r="AT3" s="5"/>
      <c r="AU3" s="5"/>
      <c r="AV3" s="5"/>
      <c r="AW3" s="6"/>
      <c r="AX3" s="2"/>
      <c r="AY3" s="7"/>
      <c r="AZ3" s="7"/>
      <c r="BA3" s="428" t="s">
        <v>162</v>
      </c>
      <c r="BB3" s="429"/>
      <c r="BC3" s="429"/>
      <c r="BD3" s="8"/>
      <c r="BE3" s="9"/>
      <c r="BF3" s="9"/>
      <c r="BG3" s="10"/>
      <c r="BH3" s="11"/>
      <c r="BI3" s="9"/>
      <c r="BJ3" s="9"/>
      <c r="BK3" s="12"/>
      <c r="BL3" s="12"/>
      <c r="BM3" s="13"/>
      <c r="BN3" s="8"/>
      <c r="BO3" s="9"/>
      <c r="BP3" s="9"/>
      <c r="BQ3" s="9"/>
      <c r="BR3" s="430" t="s">
        <v>163</v>
      </c>
      <c r="BS3" s="431"/>
      <c r="BT3" s="431"/>
      <c r="BU3" s="431"/>
      <c r="BV3" s="431"/>
      <c r="BW3" s="431"/>
      <c r="BX3" s="431"/>
      <c r="BY3" s="431"/>
      <c r="BZ3" s="431"/>
      <c r="CA3" s="431"/>
      <c r="CB3" s="432"/>
      <c r="CC3" s="7"/>
      <c r="CD3" s="7"/>
      <c r="CE3" s="7"/>
      <c r="CF3" s="7"/>
      <c r="CG3" s="7"/>
      <c r="CH3" s="7"/>
      <c r="CI3" s="7"/>
      <c r="CJ3" s="7"/>
      <c r="CK3" s="7"/>
      <c r="CL3" s="7"/>
    </row>
    <row r="4" spans="1:92" ht="27.75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14"/>
      <c r="S4" s="2"/>
      <c r="T4" s="2"/>
      <c r="U4" s="15"/>
      <c r="V4" s="15"/>
      <c r="W4" s="15"/>
      <c r="X4" s="15"/>
      <c r="Y4" s="15"/>
      <c r="Z4" s="15"/>
      <c r="AA4" s="2"/>
      <c r="AB4" s="2"/>
      <c r="AC4" s="2"/>
      <c r="AD4" s="16" t="s">
        <v>164</v>
      </c>
      <c r="AE4" s="16" t="s">
        <v>165</v>
      </c>
      <c r="AF4" s="16" t="s">
        <v>166</v>
      </c>
      <c r="AG4" s="16" t="s">
        <v>167</v>
      </c>
      <c r="AH4" s="16" t="s">
        <v>168</v>
      </c>
      <c r="AI4" s="16" t="s">
        <v>169</v>
      </c>
      <c r="AJ4" s="16" t="s">
        <v>164</v>
      </c>
      <c r="AK4" s="16" t="s">
        <v>168</v>
      </c>
      <c r="AL4" s="16" t="s">
        <v>170</v>
      </c>
      <c r="AM4" s="16" t="s">
        <v>167</v>
      </c>
      <c r="AN4" s="16" t="s">
        <v>165</v>
      </c>
      <c r="AO4" s="16"/>
      <c r="AP4" s="17"/>
      <c r="AQ4" s="17"/>
      <c r="AR4" s="15"/>
      <c r="AS4" s="15"/>
      <c r="AT4" s="15"/>
      <c r="AU4" s="15"/>
      <c r="AV4" s="15"/>
      <c r="AW4" s="18"/>
      <c r="AX4" s="17"/>
      <c r="AY4" s="7"/>
      <c r="AZ4" s="7"/>
      <c r="BA4" s="19"/>
      <c r="BB4" s="15"/>
      <c r="BC4" s="15"/>
      <c r="BD4" s="19"/>
      <c r="BE4" s="15"/>
      <c r="BF4" s="15"/>
      <c r="BG4" s="20"/>
      <c r="BH4" s="7"/>
      <c r="BI4" s="7"/>
      <c r="BJ4" s="7"/>
      <c r="BK4" s="7"/>
      <c r="BL4" s="7"/>
      <c r="BM4" s="21"/>
      <c r="BN4" s="19"/>
      <c r="BO4" s="22" t="s">
        <v>171</v>
      </c>
      <c r="BP4" s="15"/>
      <c r="BQ4" s="15"/>
      <c r="BR4" s="433"/>
      <c r="BS4" s="434"/>
      <c r="BT4" s="434"/>
      <c r="BU4" s="434"/>
      <c r="BV4" s="434"/>
      <c r="BW4" s="434"/>
      <c r="BX4" s="434"/>
      <c r="BY4" s="434"/>
      <c r="BZ4" s="434"/>
      <c r="CA4" s="434"/>
      <c r="CB4" s="435"/>
      <c r="CC4" s="7"/>
      <c r="CD4" s="7"/>
      <c r="CE4" s="7"/>
      <c r="CF4" s="7"/>
      <c r="CG4" s="7"/>
      <c r="CH4" s="7"/>
      <c r="CI4" s="7"/>
      <c r="CJ4" s="7"/>
      <c r="CK4" s="7"/>
      <c r="CL4" s="7"/>
    </row>
    <row r="5" spans="1:92" ht="28.5" thickBot="1" x14ac:dyDescent="0.45">
      <c r="A5" s="26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14"/>
      <c r="S5" s="2"/>
      <c r="T5" s="2"/>
      <c r="U5" s="15"/>
      <c r="V5" s="15"/>
      <c r="W5" s="15"/>
      <c r="X5" s="15"/>
      <c r="Y5" s="15"/>
      <c r="Z5" s="15"/>
      <c r="AA5" s="2"/>
      <c r="AB5" s="2"/>
      <c r="AC5" s="2"/>
      <c r="AD5" s="2"/>
      <c r="AE5" s="439"/>
      <c r="AF5" s="439"/>
      <c r="AG5" s="439"/>
      <c r="AH5" s="439"/>
      <c r="AI5" s="2"/>
      <c r="AJ5" s="2"/>
      <c r="AK5" s="2"/>
      <c r="AL5" s="2"/>
      <c r="AM5" s="2"/>
      <c r="AN5" s="2"/>
      <c r="AO5" s="2"/>
      <c r="AP5" s="2"/>
      <c r="AQ5" s="2"/>
      <c r="AR5" s="27"/>
      <c r="AS5" s="28"/>
      <c r="AT5" s="28"/>
      <c r="AU5" s="28"/>
      <c r="AV5" s="29"/>
      <c r="AW5" s="30"/>
      <c r="AX5" s="17"/>
      <c r="AY5" s="7"/>
      <c r="AZ5" s="7"/>
      <c r="BA5" s="19"/>
      <c r="BB5" s="15"/>
      <c r="BC5" s="31" t="s">
        <v>172</v>
      </c>
      <c r="BD5" s="15"/>
      <c r="BE5" s="24" t="s">
        <v>173</v>
      </c>
      <c r="BF5" s="15"/>
      <c r="BG5" s="20"/>
      <c r="BH5" s="7"/>
      <c r="BI5" s="7"/>
      <c r="BJ5" s="7"/>
      <c r="BK5" s="7"/>
      <c r="BL5" s="7"/>
      <c r="BM5" s="15"/>
      <c r="BN5" s="19"/>
      <c r="BO5" s="15"/>
      <c r="BP5" s="15"/>
      <c r="BQ5" s="15"/>
      <c r="BR5" s="433"/>
      <c r="BS5" s="434"/>
      <c r="BT5" s="434"/>
      <c r="BU5" s="434"/>
      <c r="BV5" s="434"/>
      <c r="BW5" s="434"/>
      <c r="BX5" s="434"/>
      <c r="BY5" s="434"/>
      <c r="BZ5" s="434"/>
      <c r="CA5" s="434"/>
      <c r="CB5" s="435"/>
      <c r="CC5" s="7"/>
      <c r="CD5" s="7"/>
      <c r="CE5" s="7"/>
      <c r="CF5" s="7"/>
      <c r="CG5" s="7"/>
      <c r="CH5" s="7"/>
      <c r="CI5" s="7"/>
      <c r="CJ5" s="7"/>
      <c r="CK5" s="7"/>
      <c r="CL5" s="7"/>
    </row>
    <row r="6" spans="1:92" ht="24" thickBot="1" x14ac:dyDescent="0.3">
      <c r="A6" s="32"/>
      <c r="B6" s="33"/>
      <c r="C6" s="33"/>
      <c r="D6" s="33"/>
      <c r="E6" s="33"/>
      <c r="F6" s="33"/>
      <c r="G6" s="33"/>
      <c r="H6" s="33"/>
      <c r="I6" s="33"/>
      <c r="J6" s="34"/>
      <c r="K6" s="35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6"/>
      <c r="AR6" s="37"/>
      <c r="AS6" s="38" t="s">
        <v>174</v>
      </c>
      <c r="AT6" s="38"/>
      <c r="AU6" s="39"/>
      <c r="AV6" s="40"/>
      <c r="AW6" s="41"/>
      <c r="AX6" s="17"/>
      <c r="AY6" s="7"/>
      <c r="AZ6" s="7"/>
      <c r="BA6" s="19"/>
      <c r="BB6" s="15"/>
      <c r="BC6" s="15"/>
      <c r="BD6" s="15"/>
      <c r="BE6" s="15"/>
      <c r="BF6" s="15"/>
      <c r="BG6" s="20"/>
      <c r="BH6" s="15"/>
      <c r="BI6" s="7"/>
      <c r="BJ6" s="7"/>
      <c r="BK6" s="7"/>
      <c r="BL6" s="7"/>
      <c r="BM6" s="15"/>
      <c r="BN6" s="42"/>
      <c r="BO6" s="43"/>
      <c r="BP6" s="43"/>
      <c r="BQ6" s="43"/>
      <c r="BR6" s="436"/>
      <c r="BS6" s="437"/>
      <c r="BT6" s="434"/>
      <c r="BU6" s="434"/>
      <c r="BV6" s="434"/>
      <c r="BW6" s="434"/>
      <c r="BX6" s="434"/>
      <c r="BY6" s="434"/>
      <c r="BZ6" s="434"/>
      <c r="CA6" s="434"/>
      <c r="CB6" s="438"/>
      <c r="CC6" s="7"/>
      <c r="CD6" s="7"/>
      <c r="CE6" s="7"/>
      <c r="CF6" s="7"/>
      <c r="CG6" s="7"/>
      <c r="CH6" s="7"/>
      <c r="CI6" s="7"/>
      <c r="CJ6" s="7"/>
      <c r="CK6" s="7"/>
      <c r="CL6" s="7"/>
    </row>
    <row r="7" spans="1:92" ht="24" thickBot="1" x14ac:dyDescent="0.3">
      <c r="A7" s="44"/>
      <c r="B7" s="17"/>
      <c r="C7" s="17"/>
      <c r="D7" s="17"/>
      <c r="E7" s="17"/>
      <c r="F7" s="17"/>
      <c r="G7" s="17"/>
      <c r="H7" s="17"/>
      <c r="I7" s="17"/>
      <c r="J7" s="45"/>
      <c r="K7" s="46"/>
      <c r="L7" s="17"/>
      <c r="M7" s="17"/>
      <c r="N7" s="17"/>
      <c r="O7" s="17"/>
      <c r="P7" s="17"/>
      <c r="Q7" s="17"/>
      <c r="R7" s="17"/>
      <c r="S7" s="17"/>
      <c r="T7" s="17"/>
      <c r="U7" s="413" t="s">
        <v>175</v>
      </c>
      <c r="V7" s="414"/>
      <c r="W7" s="17"/>
      <c r="X7" s="47"/>
      <c r="Y7" s="16"/>
      <c r="Z7" s="48"/>
      <c r="AA7" s="16"/>
      <c r="AB7" s="48"/>
      <c r="AC7" s="49"/>
      <c r="AD7" s="48"/>
      <c r="AE7" s="16"/>
      <c r="AF7" s="15"/>
      <c r="AG7" s="15"/>
      <c r="AH7" s="15"/>
      <c r="AI7" s="15"/>
      <c r="AJ7" s="16"/>
      <c r="AK7" s="16"/>
      <c r="AL7" s="16"/>
      <c r="AM7" s="16"/>
      <c r="AN7" s="16"/>
      <c r="AO7" s="16"/>
      <c r="AP7" s="16"/>
      <c r="AQ7" s="16"/>
      <c r="AR7" s="50"/>
      <c r="AS7" s="27"/>
      <c r="AT7" s="27"/>
      <c r="AU7" s="51"/>
      <c r="AV7" s="52"/>
      <c r="AW7" s="53"/>
      <c r="AX7" s="17"/>
      <c r="AY7" s="7"/>
      <c r="AZ7" s="7"/>
      <c r="BA7" s="19"/>
      <c r="BB7" s="15"/>
      <c r="BC7" s="15"/>
      <c r="BD7" s="23" t="s">
        <v>176</v>
      </c>
      <c r="BE7" s="15"/>
      <c r="BF7" s="24" t="s">
        <v>177</v>
      </c>
      <c r="BG7" s="20"/>
      <c r="BH7" s="15"/>
      <c r="BI7" s="15"/>
      <c r="BJ7" s="7"/>
      <c r="BK7" s="7"/>
      <c r="BL7" s="7"/>
      <c r="BM7" s="18"/>
      <c r="BN7" s="54"/>
      <c r="BO7" s="55"/>
      <c r="BP7" s="55"/>
      <c r="BQ7" s="55"/>
      <c r="BR7" s="55"/>
      <c r="BS7" s="55"/>
      <c r="BT7" s="417" t="s">
        <v>163</v>
      </c>
      <c r="BU7" s="418"/>
      <c r="BV7" s="418"/>
      <c r="BW7" s="418"/>
      <c r="BX7" s="418"/>
      <c r="BY7" s="418"/>
      <c r="BZ7" s="418"/>
      <c r="CA7" s="419"/>
      <c r="CB7" s="56"/>
      <c r="CC7" s="420" t="s">
        <v>178</v>
      </c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421"/>
    </row>
    <row r="8" spans="1:92" ht="28.5" thickBot="1" x14ac:dyDescent="0.45">
      <c r="A8" s="44"/>
      <c r="B8" s="17"/>
      <c r="C8" s="17"/>
      <c r="D8" s="424" t="s">
        <v>179</v>
      </c>
      <c r="E8" s="424"/>
      <c r="F8" s="17"/>
      <c r="G8" s="17"/>
      <c r="H8" s="57" t="s">
        <v>180</v>
      </c>
      <c r="I8" s="58"/>
      <c r="J8" s="7"/>
      <c r="K8" s="46"/>
      <c r="L8" s="17"/>
      <c r="M8" s="17"/>
      <c r="N8" s="17"/>
      <c r="O8" s="17"/>
      <c r="P8" s="17"/>
      <c r="Q8" s="17"/>
      <c r="R8" s="17"/>
      <c r="S8" s="17"/>
      <c r="T8" s="17"/>
      <c r="U8" s="415"/>
      <c r="V8" s="416"/>
      <c r="W8" s="17"/>
      <c r="X8" s="17"/>
      <c r="Y8" s="16"/>
      <c r="Z8" s="16"/>
      <c r="AA8" s="17"/>
      <c r="AB8" s="16"/>
      <c r="AC8" s="16"/>
      <c r="AD8" s="16"/>
      <c r="AE8" s="2"/>
      <c r="AF8" s="59"/>
      <c r="AG8" s="59"/>
      <c r="AH8" s="59"/>
      <c r="AI8" s="59"/>
      <c r="AJ8" s="2"/>
      <c r="AK8" s="17"/>
      <c r="AL8" s="17"/>
      <c r="AM8" s="17"/>
      <c r="AN8" s="17"/>
      <c r="AO8" s="17"/>
      <c r="AP8" s="17"/>
      <c r="AQ8" s="17"/>
      <c r="AR8" s="50"/>
      <c r="AS8" s="27"/>
      <c r="AT8" s="27"/>
      <c r="AU8" s="51"/>
      <c r="AV8" s="52"/>
      <c r="AW8" s="53"/>
      <c r="AX8" s="17"/>
      <c r="AY8" s="7"/>
      <c r="AZ8" s="7"/>
      <c r="BA8" s="19"/>
      <c r="BB8" s="15"/>
      <c r="BC8" s="15"/>
      <c r="BD8" s="19"/>
      <c r="BE8" s="27" t="s">
        <v>181</v>
      </c>
      <c r="BF8" s="15"/>
      <c r="BG8" s="20"/>
      <c r="BH8" s="15"/>
      <c r="BI8" s="15"/>
      <c r="BJ8" s="15"/>
      <c r="BK8" s="15"/>
      <c r="BL8" s="15"/>
      <c r="BM8" s="18"/>
      <c r="BN8" s="60"/>
      <c r="BO8" s="61"/>
      <c r="BP8" s="56"/>
      <c r="BQ8" s="56"/>
      <c r="BR8" s="56"/>
      <c r="BS8" s="56"/>
      <c r="BT8" s="56"/>
      <c r="BU8" s="56"/>
      <c r="BV8" s="56"/>
      <c r="BW8" s="56"/>
      <c r="BX8" s="62"/>
      <c r="BY8" s="56"/>
      <c r="BZ8" s="56"/>
      <c r="CA8" s="56"/>
      <c r="CB8" s="56"/>
      <c r="CC8" s="422"/>
      <c r="CD8" s="423"/>
      <c r="CE8" s="423"/>
      <c r="CF8" s="423"/>
      <c r="CG8" s="423"/>
      <c r="CH8" s="423"/>
      <c r="CI8" s="423"/>
      <c r="CJ8" s="423"/>
      <c r="CK8" s="423"/>
      <c r="CL8" s="423"/>
      <c r="CM8" s="423"/>
      <c r="CN8" s="423"/>
    </row>
    <row r="9" spans="1:92" ht="27.75" x14ac:dyDescent="0.4">
      <c r="A9" s="44"/>
      <c r="B9" s="17"/>
      <c r="C9" s="17"/>
      <c r="D9" s="17"/>
      <c r="E9" s="17"/>
      <c r="F9" s="17"/>
      <c r="G9" s="17"/>
      <c r="H9" s="17"/>
      <c r="I9" s="17"/>
      <c r="J9" s="63"/>
      <c r="K9" s="46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47"/>
      <c r="Y9" s="17"/>
      <c r="Z9" s="47"/>
      <c r="AA9" s="17"/>
      <c r="AB9" s="47"/>
      <c r="AC9" s="64"/>
      <c r="AD9" s="65"/>
      <c r="AE9" s="2"/>
      <c r="AF9" s="15"/>
      <c r="AG9" s="15"/>
      <c r="AH9" s="15"/>
      <c r="AI9" s="15"/>
      <c r="AJ9" s="2"/>
      <c r="AK9" s="66"/>
      <c r="AL9" s="66"/>
      <c r="AM9" s="17"/>
      <c r="AN9" s="17"/>
      <c r="AO9" s="17"/>
      <c r="AP9" s="17"/>
      <c r="AQ9" s="17"/>
      <c r="AR9" s="50"/>
      <c r="AS9" s="7"/>
      <c r="AT9" s="7"/>
      <c r="AU9" s="7"/>
      <c r="AV9" s="21"/>
      <c r="AW9" s="67"/>
      <c r="AX9" s="17"/>
      <c r="AY9" s="7"/>
      <c r="AZ9" s="7"/>
      <c r="BA9" s="19"/>
      <c r="BB9" s="15"/>
      <c r="BC9" s="15"/>
      <c r="BD9" s="19"/>
      <c r="BE9" s="15"/>
      <c r="BF9" s="15"/>
      <c r="BG9" s="31" t="s">
        <v>172</v>
      </c>
      <c r="BH9" s="7"/>
      <c r="BI9" s="7"/>
      <c r="BJ9" s="7"/>
      <c r="BK9" s="7"/>
      <c r="BL9" s="7"/>
      <c r="BM9" s="7"/>
      <c r="BN9" s="60"/>
      <c r="BO9" s="68"/>
      <c r="BP9" s="15"/>
      <c r="BQ9" s="15"/>
      <c r="BR9" s="15"/>
      <c r="BS9" s="15"/>
      <c r="BT9" s="15"/>
      <c r="BU9" s="15"/>
      <c r="BV9" s="15"/>
      <c r="BW9" s="15"/>
      <c r="BX9" s="15"/>
      <c r="BY9" s="15"/>
      <c r="CA9" s="56"/>
      <c r="CB9" s="69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</row>
    <row r="10" spans="1:92" ht="28.5" thickBot="1" x14ac:dyDescent="0.45">
      <c r="A10" s="44"/>
      <c r="B10" s="45"/>
      <c r="C10" s="17"/>
      <c r="D10" s="17"/>
      <c r="E10" s="17"/>
      <c r="F10" s="17"/>
      <c r="G10" s="17"/>
      <c r="H10" s="17"/>
      <c r="I10" s="17"/>
      <c r="J10" s="63"/>
      <c r="K10" s="46"/>
      <c r="L10" s="17"/>
      <c r="M10" s="70"/>
      <c r="N10" s="70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5"/>
      <c r="Z10" s="15"/>
      <c r="AA10" s="51"/>
      <c r="AB10" s="71"/>
      <c r="AC10" s="72"/>
      <c r="AD10" s="15"/>
      <c r="AE10" s="2"/>
      <c r="AF10" s="2"/>
      <c r="AG10" s="2"/>
      <c r="AH10" s="2"/>
      <c r="AI10" s="2"/>
      <c r="AJ10" s="2"/>
      <c r="AK10" s="17"/>
      <c r="AL10" s="70"/>
      <c r="AM10" s="7"/>
      <c r="AN10" s="17"/>
      <c r="AO10" s="17"/>
      <c r="AP10" s="17"/>
      <c r="AQ10" s="17"/>
      <c r="AR10" s="73"/>
      <c r="AS10" s="7"/>
      <c r="AT10" s="7"/>
      <c r="AU10" s="7"/>
      <c r="AV10" s="17"/>
      <c r="AW10" s="74"/>
      <c r="AX10" s="17"/>
      <c r="AY10" s="7"/>
      <c r="AZ10" s="7"/>
      <c r="BA10" s="19"/>
      <c r="BB10" s="15"/>
      <c r="BC10" s="15"/>
      <c r="BD10" s="42"/>
      <c r="BE10" s="43"/>
      <c r="BF10" s="43"/>
      <c r="BG10" s="43"/>
      <c r="BH10" s="7"/>
      <c r="BI10" s="7"/>
      <c r="BJ10" s="7"/>
      <c r="BK10" s="7"/>
      <c r="BL10" s="7"/>
      <c r="BM10" s="7"/>
      <c r="BN10" s="60"/>
      <c r="BO10" s="68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CA10" s="69"/>
      <c r="CB10" s="69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75"/>
    </row>
    <row r="11" spans="1:92" ht="24" thickBot="1" x14ac:dyDescent="0.4">
      <c r="A11" s="42"/>
      <c r="B11" s="76"/>
      <c r="C11" s="77"/>
      <c r="D11" s="77"/>
      <c r="E11" s="77"/>
      <c r="F11" s="77"/>
      <c r="G11" s="77"/>
      <c r="H11" s="77"/>
      <c r="I11" s="77"/>
      <c r="J11" s="78"/>
      <c r="K11" s="79"/>
      <c r="L11" s="43"/>
      <c r="M11" s="43"/>
      <c r="N11" s="43"/>
      <c r="O11" s="43"/>
      <c r="P11" s="43"/>
      <c r="Q11" s="15"/>
      <c r="R11" s="17"/>
      <c r="S11" s="17"/>
      <c r="T11" s="15"/>
      <c r="U11" s="15"/>
      <c r="V11" s="80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81"/>
      <c r="AS11" s="7"/>
      <c r="AT11" s="7"/>
      <c r="AU11" s="7"/>
      <c r="AV11" s="17"/>
      <c r="AW11" s="74"/>
      <c r="AX11" s="17"/>
      <c r="AY11" s="7"/>
      <c r="AZ11" s="7"/>
      <c r="BA11" s="19"/>
      <c r="BB11" s="15"/>
      <c r="BC11" s="15"/>
      <c r="BD11" s="15"/>
      <c r="BE11" s="15"/>
      <c r="BF11" s="15"/>
      <c r="BG11" s="15"/>
      <c r="BH11" s="7"/>
      <c r="BI11" s="7"/>
      <c r="BJ11" s="7"/>
      <c r="BK11" s="7"/>
      <c r="BL11" s="7"/>
      <c r="BM11" s="7"/>
      <c r="BN11" s="75"/>
      <c r="BO11" s="56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CA11" s="82"/>
      <c r="CB11" s="82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75"/>
    </row>
    <row r="12" spans="1:92" ht="15.75" thickBot="1" x14ac:dyDescent="0.3">
      <c r="A12" s="7"/>
      <c r="B12" s="18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4"/>
      <c r="Q12" s="17"/>
      <c r="R12" s="17"/>
      <c r="S12" s="17"/>
      <c r="T12" s="17"/>
      <c r="U12" s="17"/>
      <c r="V12" s="85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7"/>
      <c r="AO12" s="87"/>
      <c r="AP12" s="87"/>
      <c r="AQ12" s="87"/>
      <c r="AR12" s="87"/>
      <c r="AS12" s="87"/>
      <c r="AT12" s="87"/>
      <c r="AU12" s="87"/>
      <c r="AV12" s="87"/>
      <c r="AW12" s="88"/>
      <c r="AX12" s="7"/>
      <c r="AY12" s="7"/>
      <c r="AZ12" s="7"/>
      <c r="BA12" s="42"/>
      <c r="BB12" s="43"/>
      <c r="BC12" s="43"/>
      <c r="BD12" s="43"/>
      <c r="BE12" s="15"/>
      <c r="BF12" s="15"/>
      <c r="BG12" s="15"/>
      <c r="BH12" s="15"/>
      <c r="BI12" s="15"/>
      <c r="BJ12" s="15"/>
      <c r="BK12" s="15"/>
      <c r="BL12" s="15"/>
      <c r="BM12" s="15"/>
      <c r="BN12" s="75"/>
      <c r="BO12" s="56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CA12" s="89"/>
      <c r="CB12" s="89" t="s">
        <v>172</v>
      </c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75"/>
    </row>
    <row r="13" spans="1:92" ht="15.75" x14ac:dyDescent="0.25">
      <c r="A13" s="7"/>
      <c r="B13" s="18"/>
      <c r="C13" s="7"/>
      <c r="D13" s="7"/>
      <c r="E13" s="7"/>
      <c r="F13" s="7"/>
      <c r="G13" s="440"/>
      <c r="H13" s="440"/>
      <c r="I13" s="440"/>
      <c r="J13" s="440"/>
      <c r="K13" s="7"/>
      <c r="L13" s="7"/>
      <c r="M13" s="7"/>
      <c r="N13" s="7"/>
      <c r="O13" s="7"/>
      <c r="P13" s="7"/>
      <c r="Q13" s="15"/>
      <c r="R13" s="17"/>
      <c r="S13" s="17"/>
      <c r="T13" s="7"/>
      <c r="U13" s="7"/>
      <c r="V13" s="7"/>
      <c r="W13" s="7"/>
      <c r="X13" s="7"/>
      <c r="Y13" s="7"/>
      <c r="Z13" s="7"/>
      <c r="AA13" s="90"/>
      <c r="AC13" s="91"/>
      <c r="AD13" s="15"/>
      <c r="AE13" s="15"/>
      <c r="AF13" s="15"/>
      <c r="AG13" s="15"/>
      <c r="AH13" s="15"/>
      <c r="AI13" s="15"/>
      <c r="AJ13" s="15"/>
      <c r="AK13" s="15"/>
      <c r="AL13" s="15"/>
      <c r="AM13" s="92"/>
      <c r="AN13" s="21"/>
      <c r="AO13" s="15"/>
      <c r="AP13" s="7"/>
      <c r="AQ13" s="24"/>
      <c r="AR13" s="93"/>
      <c r="AS13" s="93"/>
      <c r="AT13" s="93"/>
      <c r="AU13" s="93"/>
      <c r="AV13" s="24"/>
      <c r="AW13" s="7"/>
      <c r="AX13" s="32"/>
      <c r="AY13" s="9"/>
      <c r="AZ13" s="10"/>
      <c r="BA13" s="19"/>
      <c r="BB13" s="15"/>
      <c r="BC13" s="15"/>
      <c r="BD13" s="15"/>
      <c r="BE13" s="8"/>
      <c r="BF13" s="9"/>
      <c r="BG13" s="9"/>
      <c r="BH13" s="9"/>
      <c r="BI13" s="9"/>
      <c r="BJ13" s="9"/>
      <c r="BK13" s="9"/>
      <c r="BL13" s="9"/>
      <c r="BM13" s="9"/>
      <c r="BN13" s="94"/>
      <c r="BO13" s="56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CA13" s="95"/>
      <c r="CB13" s="95" t="s">
        <v>178</v>
      </c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75"/>
    </row>
    <row r="14" spans="1:92" ht="15.75" x14ac:dyDescent="0.25">
      <c r="A14" s="96"/>
      <c r="B14" s="97"/>
      <c r="C14" s="98"/>
      <c r="D14" s="98"/>
      <c r="E14" s="98"/>
      <c r="F14" s="98"/>
      <c r="G14" s="98"/>
      <c r="H14" s="98"/>
      <c r="I14" s="51"/>
      <c r="J14" s="98"/>
      <c r="K14" s="98"/>
      <c r="L14" s="98"/>
      <c r="M14" s="98"/>
      <c r="N14" s="99"/>
      <c r="O14" s="99"/>
      <c r="P14" s="99"/>
      <c r="Q14" s="98"/>
      <c r="R14" s="17"/>
      <c r="S14" s="17"/>
      <c r="T14" s="98"/>
      <c r="U14" s="98"/>
      <c r="V14" s="98"/>
      <c r="W14" s="98"/>
      <c r="X14" s="98"/>
      <c r="Y14" s="98"/>
      <c r="Z14" s="98"/>
      <c r="AA14" s="90"/>
      <c r="AB14" s="91"/>
      <c r="AC14" s="91"/>
      <c r="AD14" s="15"/>
      <c r="AE14" s="15"/>
      <c r="AF14" s="15"/>
      <c r="AG14" s="15"/>
      <c r="AH14" s="15"/>
      <c r="AI14" s="15"/>
      <c r="AJ14" s="15"/>
      <c r="AK14" s="15"/>
      <c r="AL14" s="15"/>
      <c r="AM14" s="21"/>
      <c r="AN14" s="15"/>
      <c r="AO14" s="100"/>
      <c r="AP14" s="100"/>
      <c r="AQ14" s="100"/>
      <c r="AR14" s="100"/>
      <c r="AS14" s="7"/>
      <c r="AT14" s="100"/>
      <c r="AU14" s="100"/>
      <c r="AV14" s="100"/>
      <c r="AW14" s="100"/>
      <c r="AY14" s="15"/>
      <c r="AZ14" s="20"/>
      <c r="BA14" s="19"/>
      <c r="BB14" s="15"/>
      <c r="BC14" s="15"/>
      <c r="BD14" s="15"/>
      <c r="BE14" s="19"/>
      <c r="BF14" s="15"/>
      <c r="BG14" s="15"/>
      <c r="BH14" s="15"/>
      <c r="BI14" s="15"/>
      <c r="BJ14" s="15"/>
      <c r="BK14" s="15"/>
      <c r="BL14" s="15"/>
      <c r="BM14" s="15"/>
      <c r="BN14" s="75"/>
      <c r="BO14" s="56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82"/>
      <c r="CB14" s="82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75"/>
    </row>
    <row r="15" spans="1:92" ht="20.25" x14ac:dyDescent="0.25">
      <c r="G15" s="98"/>
      <c r="H15" s="98"/>
      <c r="I15" s="101"/>
      <c r="J15" s="51"/>
      <c r="K15" s="98"/>
      <c r="L15" s="98"/>
      <c r="M15" s="98"/>
      <c r="N15" s="98"/>
      <c r="O15" s="102"/>
      <c r="P15" s="98"/>
      <c r="Q15" s="98"/>
      <c r="R15" s="17"/>
      <c r="S15" s="17"/>
      <c r="T15" s="98"/>
      <c r="U15" s="98"/>
      <c r="V15" s="98"/>
      <c r="W15" s="98"/>
      <c r="Z15" s="98"/>
      <c r="AA15" s="90"/>
      <c r="AB15" s="91"/>
      <c r="AC15" s="91"/>
      <c r="AD15" s="15"/>
      <c r="AE15" s="15"/>
      <c r="AF15" s="15"/>
      <c r="AG15" s="15"/>
      <c r="AH15" s="15"/>
      <c r="AI15" s="15"/>
      <c r="AJ15" s="15"/>
      <c r="AK15" s="15"/>
      <c r="AL15" s="15"/>
      <c r="AM15" s="21"/>
      <c r="AN15" s="100"/>
      <c r="AO15" s="103"/>
      <c r="AP15" s="103"/>
      <c r="AQ15" s="103"/>
      <c r="AR15" s="103"/>
      <c r="AS15" s="100"/>
      <c r="AT15" s="103"/>
      <c r="AU15" s="103"/>
      <c r="AV15" s="103"/>
      <c r="AW15" s="103"/>
      <c r="AX15" s="100"/>
      <c r="AY15" s="15"/>
      <c r="AZ15" s="20"/>
      <c r="BA15" s="19"/>
      <c r="BB15" s="15"/>
      <c r="BC15" s="15"/>
      <c r="BD15" s="15"/>
      <c r="BE15" s="19"/>
      <c r="BF15" s="15"/>
      <c r="BG15" s="15"/>
      <c r="BH15" s="15"/>
      <c r="BI15" s="15"/>
      <c r="BJ15" s="15"/>
      <c r="BK15" s="15"/>
      <c r="BL15" s="15"/>
      <c r="BM15" s="15"/>
      <c r="BN15" s="75"/>
      <c r="BO15" s="56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CA15" s="82"/>
      <c r="CB15" s="82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75"/>
    </row>
    <row r="16" spans="1:92" ht="24" thickBot="1" x14ac:dyDescent="0.3">
      <c r="D16" s="441" t="s">
        <v>184</v>
      </c>
      <c r="E16" s="441"/>
      <c r="F16" s="104"/>
      <c r="G16" s="101"/>
      <c r="H16" s="101"/>
      <c r="I16" s="105"/>
      <c r="J16" s="101"/>
      <c r="K16" s="441" t="s">
        <v>184</v>
      </c>
      <c r="L16" s="441"/>
      <c r="M16" s="27"/>
      <c r="O16" s="15"/>
      <c r="P16" s="106"/>
      <c r="Q16" s="106"/>
      <c r="R16" s="106"/>
      <c r="S16" s="7"/>
      <c r="T16" s="107"/>
      <c r="U16" s="98"/>
      <c r="V16" s="7"/>
      <c r="W16" s="98"/>
      <c r="X16" s="98"/>
      <c r="Y16" s="98"/>
      <c r="Z16" s="7"/>
      <c r="AA16" s="90"/>
      <c r="AB16" s="91"/>
      <c r="AC16" s="91"/>
      <c r="AD16" s="409"/>
      <c r="AE16" s="409"/>
      <c r="AF16" s="409"/>
      <c r="AH16" s="109"/>
      <c r="AJ16" s="410"/>
      <c r="AK16" s="410"/>
      <c r="AL16" s="410"/>
      <c r="AM16" s="7"/>
      <c r="AN16" s="103"/>
      <c r="AO16" s="111"/>
      <c r="AP16" s="111"/>
      <c r="AQ16" s="111"/>
      <c r="AR16" s="111"/>
      <c r="AS16" s="103"/>
      <c r="AT16" s="111"/>
      <c r="AU16" s="111"/>
      <c r="AV16" s="111"/>
      <c r="AW16" s="111"/>
      <c r="AX16" s="103"/>
      <c r="AY16" s="15"/>
      <c r="AZ16" s="20"/>
      <c r="BA16" s="19"/>
      <c r="BB16" s="15"/>
      <c r="BC16" s="15"/>
      <c r="BD16" s="15"/>
      <c r="BE16" s="19"/>
      <c r="BF16" s="15"/>
      <c r="BG16" s="15"/>
      <c r="BH16" s="15"/>
      <c r="BI16" s="15"/>
      <c r="BJ16" s="15"/>
      <c r="BK16" s="15" t="s">
        <v>188</v>
      </c>
      <c r="BL16" s="15"/>
      <c r="BM16" s="15"/>
      <c r="BN16" s="75"/>
      <c r="BO16" s="56"/>
      <c r="BP16" s="56"/>
      <c r="BQ16" s="56"/>
      <c r="BR16" s="56"/>
      <c r="BS16" s="15"/>
      <c r="BT16" s="15"/>
      <c r="BU16" s="15"/>
      <c r="BV16" s="15"/>
      <c r="BW16" s="15"/>
      <c r="BX16" s="15"/>
      <c r="BY16" s="15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75"/>
    </row>
    <row r="17" spans="1:93" ht="18" x14ac:dyDescent="0.25">
      <c r="C17" s="112"/>
      <c r="D17" s="113"/>
      <c r="E17" s="113"/>
      <c r="F17" s="114" t="s">
        <v>189</v>
      </c>
      <c r="K17" s="113"/>
      <c r="L17" s="113"/>
      <c r="M17" s="115" t="s">
        <v>190</v>
      </c>
      <c r="N17" s="116"/>
      <c r="O17" s="116"/>
      <c r="P17" s="98"/>
      <c r="Q17" s="117"/>
      <c r="R17" s="118"/>
      <c r="S17" s="118"/>
      <c r="T17" s="118"/>
      <c r="U17" s="119"/>
      <c r="V17" s="120"/>
      <c r="W17" s="120"/>
      <c r="X17" s="120"/>
      <c r="Y17" s="121"/>
      <c r="Z17" s="7"/>
      <c r="AA17" s="90"/>
      <c r="AB17" s="91"/>
      <c r="AC17" s="91"/>
      <c r="AD17" s="409"/>
      <c r="AE17" s="409"/>
      <c r="AF17" s="409"/>
      <c r="AH17" s="122"/>
      <c r="AJ17" s="410"/>
      <c r="AK17" s="410"/>
      <c r="AL17" s="410"/>
      <c r="AM17" s="98"/>
      <c r="AN17" s="103"/>
      <c r="AO17" s="111"/>
      <c r="AP17" s="111"/>
      <c r="AQ17" s="111"/>
      <c r="AR17" s="111"/>
      <c r="AS17" s="103"/>
      <c r="AT17" s="111"/>
      <c r="AU17" s="111"/>
      <c r="AV17" s="111"/>
      <c r="AW17" s="111"/>
      <c r="AX17" s="103"/>
      <c r="AY17" s="15"/>
      <c r="AZ17" s="20"/>
      <c r="BA17" s="19"/>
      <c r="BB17" s="15"/>
      <c r="BC17" s="15"/>
      <c r="BD17" s="15"/>
      <c r="BE17" s="19"/>
      <c r="BF17" s="15"/>
      <c r="BG17" s="15"/>
      <c r="BH17" s="15"/>
      <c r="BI17" s="15"/>
      <c r="BJ17" s="15"/>
      <c r="BK17" s="15"/>
      <c r="BL17" s="15"/>
      <c r="BM17" s="15"/>
      <c r="BN17" s="75"/>
      <c r="BO17" s="56"/>
      <c r="BP17" s="56"/>
      <c r="BS17" s="15"/>
      <c r="BT17" s="15"/>
      <c r="BU17" s="15"/>
      <c r="BV17" s="15"/>
      <c r="BW17" s="15"/>
      <c r="BX17" s="15"/>
      <c r="BY17" s="15"/>
      <c r="CA17" s="56"/>
      <c r="CB17" s="15"/>
      <c r="CC17" s="56"/>
      <c r="CD17" s="56"/>
      <c r="CE17" s="56"/>
      <c r="CF17" s="56"/>
      <c r="CG17" s="56"/>
      <c r="CH17" s="56"/>
      <c r="CI17" s="56"/>
      <c r="CJ17" s="56"/>
      <c r="CK17" s="56"/>
      <c r="CL17" s="56"/>
      <c r="CM17" s="56"/>
      <c r="CN17" s="75"/>
    </row>
    <row r="18" spans="1:93" ht="23.25" x14ac:dyDescent="0.25">
      <c r="B18" s="123">
        <v>1</v>
      </c>
      <c r="C18" s="113" t="s">
        <v>191</v>
      </c>
      <c r="D18" s="124">
        <v>2</v>
      </c>
      <c r="E18" s="124">
        <v>2</v>
      </c>
      <c r="F18" s="113" t="s">
        <v>191</v>
      </c>
      <c r="G18" s="125">
        <v>6</v>
      </c>
      <c r="I18" s="123">
        <v>1</v>
      </c>
      <c r="J18" s="113" t="s">
        <v>191</v>
      </c>
      <c r="K18" s="124">
        <v>2</v>
      </c>
      <c r="L18" s="124">
        <v>2</v>
      </c>
      <c r="M18" s="113" t="s">
        <v>191</v>
      </c>
      <c r="N18" s="125">
        <v>6</v>
      </c>
      <c r="O18" s="7"/>
      <c r="P18" s="106"/>
      <c r="Q18" s="91"/>
      <c r="T18" s="7"/>
      <c r="U18" s="98"/>
      <c r="V18" s="7"/>
      <c r="W18" s="7"/>
      <c r="X18" s="7"/>
      <c r="Y18" s="126"/>
      <c r="Z18" s="7"/>
      <c r="AA18" s="90"/>
      <c r="AB18" s="91"/>
      <c r="AC18" s="91"/>
      <c r="AH18" s="98"/>
      <c r="AI18" s="98"/>
      <c r="AJ18" s="98"/>
      <c r="AK18" s="98"/>
      <c r="AL18" s="98"/>
      <c r="AM18" s="127"/>
      <c r="AN18" s="100"/>
      <c r="AO18" s="103"/>
      <c r="AP18" s="103"/>
      <c r="AQ18" s="103"/>
      <c r="AR18" s="103"/>
      <c r="AS18" s="100"/>
      <c r="AT18" s="103"/>
      <c r="AU18" s="103"/>
      <c r="AV18" s="103"/>
      <c r="AW18" s="103"/>
      <c r="AX18" s="100"/>
      <c r="AY18" s="15"/>
      <c r="AZ18" s="20"/>
      <c r="BA18" s="19"/>
      <c r="BB18" s="15"/>
      <c r="BC18" s="15"/>
      <c r="BD18" s="15"/>
      <c r="BE18" s="19"/>
      <c r="BF18" s="15"/>
      <c r="BG18" s="15"/>
      <c r="BH18" s="15"/>
      <c r="BI18" s="15"/>
      <c r="BJ18" s="15"/>
      <c r="BK18" s="15"/>
      <c r="BL18" s="15"/>
      <c r="BM18" s="15"/>
      <c r="BN18" s="75"/>
      <c r="BO18" s="15"/>
      <c r="BP18" s="56"/>
      <c r="BS18" s="15"/>
      <c r="BT18" s="15"/>
      <c r="BU18" s="15"/>
      <c r="BV18" s="15"/>
      <c r="BW18" s="15"/>
      <c r="BX18" s="15"/>
      <c r="BY18" s="15"/>
      <c r="CA18" s="56"/>
      <c r="CB18" s="15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75"/>
    </row>
    <row r="19" spans="1:93" ht="23.25" x14ac:dyDescent="0.25">
      <c r="A19" s="407"/>
      <c r="B19" s="123">
        <v>2</v>
      </c>
      <c r="C19" s="113" t="s">
        <v>191</v>
      </c>
      <c r="D19" s="124">
        <v>2</v>
      </c>
      <c r="E19" s="124">
        <v>2</v>
      </c>
      <c r="F19" s="113" t="s">
        <v>191</v>
      </c>
      <c r="G19" s="125">
        <v>5</v>
      </c>
      <c r="I19" s="123">
        <v>2</v>
      </c>
      <c r="J19" s="113" t="s">
        <v>191</v>
      </c>
      <c r="K19" s="124">
        <v>2</v>
      </c>
      <c r="L19" s="124">
        <v>2</v>
      </c>
      <c r="M19" s="113" t="s">
        <v>191</v>
      </c>
      <c r="N19" s="125">
        <v>5</v>
      </c>
      <c r="O19" s="7"/>
      <c r="P19" s="98"/>
      <c r="Q19" s="91"/>
      <c r="R19" s="7"/>
      <c r="S19" s="7"/>
      <c r="T19" s="7"/>
      <c r="U19" s="7"/>
      <c r="V19" s="7"/>
      <c r="W19" s="7"/>
      <c r="X19" s="7"/>
      <c r="Y19" s="126"/>
      <c r="Z19" s="7"/>
      <c r="AA19" s="90"/>
      <c r="AB19" s="91"/>
      <c r="AC19" s="91"/>
      <c r="AH19" s="127"/>
      <c r="AI19" s="127"/>
      <c r="AJ19" s="127"/>
      <c r="AK19" s="127"/>
      <c r="AL19" s="127"/>
      <c r="AM19" s="127"/>
      <c r="AN19" s="7"/>
      <c r="AO19" s="100"/>
      <c r="AP19" s="100"/>
      <c r="AQ19" s="100"/>
      <c r="AR19" s="100"/>
      <c r="AS19" s="7"/>
      <c r="AT19" s="100"/>
      <c r="AU19" s="100"/>
      <c r="AV19" s="100"/>
      <c r="AW19" s="100"/>
      <c r="AY19" s="24"/>
      <c r="AZ19" s="20"/>
      <c r="BA19" s="19"/>
      <c r="BB19" s="15"/>
      <c r="BC19" s="15"/>
      <c r="BD19" s="15"/>
      <c r="BE19" s="19"/>
      <c r="BF19" s="15"/>
      <c r="BG19" s="15"/>
      <c r="BH19" s="15"/>
      <c r="BI19" s="15"/>
      <c r="BJ19" s="15"/>
      <c r="BK19" s="15"/>
      <c r="BL19" s="15"/>
      <c r="BM19" s="15"/>
      <c r="BN19" s="75"/>
      <c r="BO19" s="15"/>
      <c r="BP19" s="56"/>
      <c r="BS19" s="15"/>
      <c r="BT19" s="15"/>
      <c r="BU19" s="15"/>
      <c r="BV19" s="15"/>
      <c r="BW19" s="15"/>
      <c r="BX19" s="15"/>
      <c r="BY19" s="15"/>
      <c r="CA19" s="56"/>
      <c r="CB19" s="15"/>
      <c r="CC19" s="56"/>
      <c r="CD19" s="56"/>
      <c r="CE19" s="56"/>
      <c r="CF19" s="56"/>
      <c r="CG19" s="56"/>
      <c r="CH19" s="56"/>
      <c r="CI19" s="56"/>
      <c r="CJ19" s="56"/>
      <c r="CK19" s="56"/>
      <c r="CL19" s="56"/>
      <c r="CM19" s="56"/>
      <c r="CN19" s="75"/>
    </row>
    <row r="20" spans="1:93" ht="23.25" x14ac:dyDescent="0.35">
      <c r="A20" s="407"/>
      <c r="B20" s="123">
        <v>3</v>
      </c>
      <c r="C20" s="113" t="s">
        <v>191</v>
      </c>
      <c r="D20" s="124">
        <v>2</v>
      </c>
      <c r="E20" s="124">
        <v>2</v>
      </c>
      <c r="F20" s="113" t="s">
        <v>191</v>
      </c>
      <c r="G20" s="125">
        <v>4</v>
      </c>
      <c r="I20" s="123">
        <v>3</v>
      </c>
      <c r="J20" s="113" t="s">
        <v>191</v>
      </c>
      <c r="K20" s="124">
        <v>2</v>
      </c>
      <c r="L20" s="124">
        <v>2</v>
      </c>
      <c r="M20" s="113" t="s">
        <v>191</v>
      </c>
      <c r="N20" s="125">
        <v>4</v>
      </c>
      <c r="O20" s="7"/>
      <c r="P20" s="106"/>
      <c r="Q20" s="91"/>
      <c r="R20" s="7"/>
      <c r="S20" s="7"/>
      <c r="T20" s="7"/>
      <c r="U20" s="7"/>
      <c r="V20" s="7"/>
      <c r="W20" s="7"/>
      <c r="X20" s="7"/>
      <c r="Y20" s="126"/>
      <c r="Z20" s="7"/>
      <c r="AA20" s="90"/>
      <c r="AB20" s="91"/>
      <c r="AC20" s="91"/>
      <c r="AD20" s="1"/>
      <c r="AI20" s="7"/>
      <c r="AJ20" s="98"/>
      <c r="AK20" s="98"/>
      <c r="AL20" s="98"/>
      <c r="AM20" s="98"/>
      <c r="AN20" s="7"/>
      <c r="AO20" s="7"/>
      <c r="AP20" s="7"/>
      <c r="AQ20" s="7"/>
      <c r="AR20" s="7"/>
      <c r="AS20" s="7"/>
      <c r="AT20" s="7"/>
      <c r="AU20" s="7"/>
      <c r="AV20" s="7"/>
      <c r="AW20" s="7"/>
      <c r="AY20" s="129"/>
      <c r="AZ20" s="20"/>
      <c r="BA20" s="19"/>
      <c r="BB20" s="15"/>
      <c r="BC20" s="15"/>
      <c r="BD20" s="15"/>
      <c r="BE20" s="19"/>
      <c r="BF20" s="15"/>
      <c r="BG20" s="15"/>
      <c r="BH20" s="15"/>
      <c r="BI20" s="15"/>
      <c r="BJ20" s="15"/>
      <c r="BK20" s="15"/>
      <c r="BL20" s="15"/>
      <c r="BM20" s="15"/>
      <c r="BN20" s="75"/>
      <c r="BO20" s="15"/>
      <c r="BP20" s="56"/>
      <c r="BS20" s="15"/>
      <c r="BT20" s="15"/>
      <c r="BU20" s="15"/>
      <c r="BV20" s="15"/>
      <c r="BW20" s="15"/>
      <c r="BX20" s="15"/>
      <c r="BY20" s="15"/>
      <c r="CA20" s="56"/>
      <c r="CB20" s="15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75"/>
    </row>
    <row r="21" spans="1:93" ht="18" customHeight="1" x14ac:dyDescent="0.25">
      <c r="A21" s="407"/>
      <c r="C21" s="98"/>
      <c r="D21" s="113"/>
      <c r="E21" s="113"/>
      <c r="I21" s="62"/>
      <c r="J21" s="62"/>
      <c r="K21" s="113"/>
      <c r="L21" s="113"/>
      <c r="M21" s="7"/>
      <c r="N21" s="7"/>
      <c r="O21" s="7"/>
      <c r="P21" s="98"/>
      <c r="Q21" s="91"/>
      <c r="R21" s="7"/>
      <c r="S21" s="7"/>
      <c r="T21" s="7"/>
      <c r="U21" s="7"/>
      <c r="V21" s="7"/>
      <c r="W21" s="7"/>
      <c r="X21" s="7"/>
      <c r="Y21" s="126"/>
      <c r="Z21" s="7"/>
      <c r="AA21" s="90"/>
      <c r="AB21" s="91"/>
      <c r="AC21" s="1"/>
      <c r="AD21" s="130" t="s">
        <v>193</v>
      </c>
      <c r="AE21" s="130"/>
      <c r="AF21" s="130"/>
      <c r="AI21" s="7"/>
      <c r="AJ21" s="442" t="s">
        <v>182</v>
      </c>
      <c r="AK21" s="442"/>
      <c r="AL21" s="442"/>
      <c r="AM21" s="7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44"/>
      <c r="AY21" s="15"/>
      <c r="AZ21" s="20"/>
      <c r="BA21" s="19"/>
      <c r="BB21" s="15"/>
      <c r="BC21" s="15"/>
      <c r="BD21" s="15"/>
      <c r="BE21" s="19"/>
      <c r="BF21" s="15"/>
      <c r="BG21" s="15"/>
      <c r="BH21" s="15"/>
      <c r="BI21" s="15"/>
      <c r="BJ21" s="15"/>
      <c r="BK21" s="15"/>
      <c r="BL21" s="15"/>
      <c r="BM21" s="15"/>
      <c r="BN21" s="20"/>
      <c r="BO21" s="15"/>
      <c r="BP21" s="56"/>
      <c r="BS21" s="15"/>
      <c r="BT21" s="15"/>
      <c r="BU21" s="15"/>
      <c r="BV21" s="15"/>
      <c r="BW21" s="15"/>
      <c r="BX21" s="15"/>
      <c r="BY21" s="15"/>
      <c r="CA21" s="56"/>
      <c r="CB21" s="15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75"/>
    </row>
    <row r="22" spans="1:93" ht="15.75" x14ac:dyDescent="0.25">
      <c r="A22" s="408"/>
      <c r="B22" s="7"/>
      <c r="C22" s="7"/>
      <c r="D22" s="7"/>
      <c r="E22" s="27"/>
      <c r="F22" s="98"/>
      <c r="G22" s="104"/>
      <c r="H22" s="116"/>
      <c r="I22" s="62"/>
      <c r="J22" s="133"/>
      <c r="K22" s="133"/>
      <c r="L22" s="133"/>
      <c r="M22" s="116"/>
      <c r="N22" s="15"/>
      <c r="O22" s="7"/>
      <c r="P22" s="106"/>
      <c r="Q22" s="91"/>
      <c r="R22" s="7"/>
      <c r="S22" s="7"/>
      <c r="T22" s="7"/>
      <c r="U22" s="7"/>
      <c r="V22" s="7"/>
      <c r="W22" s="7"/>
      <c r="X22" s="7"/>
      <c r="Y22" s="126"/>
      <c r="Z22" s="7"/>
      <c r="AA22" s="90"/>
      <c r="AB22" s="91"/>
      <c r="AC22" s="1" t="s">
        <v>195</v>
      </c>
      <c r="AD22" s="101">
        <v>3</v>
      </c>
      <c r="AE22" s="101">
        <v>2</v>
      </c>
      <c r="AF22" s="101">
        <v>1</v>
      </c>
      <c r="AI22" s="1" t="s">
        <v>196</v>
      </c>
      <c r="AJ22" s="134">
        <v>3</v>
      </c>
      <c r="AK22" s="134">
        <v>2</v>
      </c>
      <c r="AL22" s="134">
        <v>1</v>
      </c>
      <c r="AM22" s="7"/>
      <c r="AN22" s="7"/>
      <c r="AO22" s="100"/>
      <c r="AP22" s="100"/>
      <c r="AQ22" s="100"/>
      <c r="AR22" s="100"/>
      <c r="AS22" s="7"/>
      <c r="AT22" s="100"/>
      <c r="AU22" s="100"/>
      <c r="AV22" s="100"/>
      <c r="AW22" s="100"/>
      <c r="AX22" s="44"/>
      <c r="AY22" s="15"/>
      <c r="AZ22" s="20"/>
      <c r="BA22" s="19"/>
      <c r="BB22" s="15"/>
      <c r="BC22" s="15"/>
      <c r="BD22" s="15"/>
      <c r="BE22" s="19"/>
      <c r="BF22" s="15"/>
      <c r="BG22" s="15"/>
      <c r="BH22" s="15"/>
      <c r="BI22" s="15"/>
      <c r="BJ22" s="15"/>
      <c r="BK22" s="15"/>
      <c r="BL22" s="15"/>
      <c r="BM22" s="15"/>
      <c r="BN22" s="20"/>
      <c r="BO22" s="15"/>
      <c r="BP22" s="135"/>
      <c r="BS22" s="15"/>
      <c r="BT22" s="15"/>
      <c r="BU22" s="15"/>
      <c r="BV22" s="15"/>
      <c r="BW22" s="15"/>
      <c r="BX22" s="15"/>
      <c r="BY22" s="15"/>
      <c r="CA22" s="56"/>
      <c r="CB22" s="15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75"/>
    </row>
    <row r="23" spans="1:93" ht="23.25" x14ac:dyDescent="0.25">
      <c r="A23" s="408"/>
      <c r="B23" s="7"/>
      <c r="C23" s="7"/>
      <c r="D23" s="7"/>
      <c r="E23" s="15"/>
      <c r="F23" s="7"/>
      <c r="G23" s="104"/>
      <c r="H23" s="98"/>
      <c r="I23" s="62"/>
      <c r="J23" s="62"/>
      <c r="K23" s="136"/>
      <c r="L23" s="136"/>
      <c r="M23" s="137"/>
      <c r="N23" s="116"/>
      <c r="O23" s="116"/>
      <c r="P23" s="98"/>
      <c r="Q23" s="91"/>
      <c r="R23" s="7"/>
      <c r="S23" s="7"/>
      <c r="T23" s="7"/>
      <c r="U23" s="7"/>
      <c r="V23" s="7"/>
      <c r="W23" s="7"/>
      <c r="X23" s="7"/>
      <c r="Y23" s="126"/>
      <c r="Z23" s="7"/>
      <c r="AA23" s="90"/>
      <c r="AB23" s="91"/>
      <c r="AC23" s="138" t="s">
        <v>198</v>
      </c>
      <c r="AD23" s="139" t="s">
        <v>199</v>
      </c>
      <c r="AE23" s="139" t="s">
        <v>199</v>
      </c>
      <c r="AF23" s="139" t="s">
        <v>199</v>
      </c>
      <c r="AI23" s="138" t="s">
        <v>200</v>
      </c>
      <c r="AJ23" s="140" t="s">
        <v>201</v>
      </c>
      <c r="AK23" s="140" t="s">
        <v>201</v>
      </c>
      <c r="AL23" s="140" t="s">
        <v>201</v>
      </c>
      <c r="AN23" s="100"/>
      <c r="AO23" s="103"/>
      <c r="AP23" s="103"/>
      <c r="AQ23" s="103"/>
      <c r="AR23" s="103"/>
      <c r="AS23" s="100"/>
      <c r="AT23" s="103"/>
      <c r="AU23" s="103"/>
      <c r="AV23" s="103"/>
      <c r="AW23" s="103"/>
      <c r="AX23" s="100"/>
      <c r="AY23" s="15"/>
      <c r="AZ23" s="20"/>
      <c r="BA23" s="19"/>
      <c r="BB23" s="15"/>
      <c r="BC23" s="15"/>
      <c r="BD23" s="15"/>
      <c r="BE23" s="19"/>
      <c r="BF23" s="15"/>
      <c r="BG23" s="15"/>
      <c r="BH23" s="15"/>
      <c r="BI23" s="15"/>
      <c r="BJ23" s="15"/>
      <c r="BK23" s="15"/>
      <c r="BL23" s="15"/>
      <c r="BM23" s="15"/>
      <c r="BN23" s="20"/>
      <c r="BO23" s="15"/>
      <c r="BP23" s="135"/>
      <c r="BS23" s="15"/>
      <c r="BT23" s="15"/>
      <c r="BU23" s="15"/>
      <c r="BV23" s="15"/>
      <c r="BW23" s="15"/>
      <c r="BX23" s="15"/>
      <c r="BY23" s="15"/>
      <c r="CA23" s="56"/>
      <c r="CB23" s="15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75"/>
      <c r="CO23" s="56"/>
    </row>
    <row r="24" spans="1:93" ht="23.25" x14ac:dyDescent="0.25">
      <c r="A24" s="7"/>
      <c r="B24" s="7"/>
      <c r="C24" s="7"/>
      <c r="D24" s="7"/>
      <c r="E24" s="15"/>
      <c r="F24" s="15"/>
      <c r="G24" s="104"/>
      <c r="H24" s="116"/>
      <c r="I24" s="62"/>
      <c r="J24" s="136"/>
      <c r="K24" s="141"/>
      <c r="L24" s="141"/>
      <c r="M24" s="136"/>
      <c r="N24" s="116"/>
      <c r="O24" s="116"/>
      <c r="P24" s="106"/>
      <c r="Q24" s="91"/>
      <c r="R24" s="7"/>
      <c r="S24" s="7"/>
      <c r="T24" s="7"/>
      <c r="U24" s="7"/>
      <c r="V24" s="7"/>
      <c r="W24" s="7"/>
      <c r="X24" s="7"/>
      <c r="Y24" s="126"/>
      <c r="Z24" s="7"/>
      <c r="AA24" s="90"/>
      <c r="AB24" s="91"/>
      <c r="AC24" s="139"/>
      <c r="AD24" s="142">
        <v>5</v>
      </c>
      <c r="AE24" s="142">
        <v>5</v>
      </c>
      <c r="AF24" s="142">
        <v>5</v>
      </c>
      <c r="AG24" s="139"/>
      <c r="AI24" s="140"/>
      <c r="AJ24" s="143">
        <v>5</v>
      </c>
      <c r="AK24" s="144">
        <v>5</v>
      </c>
      <c r="AL24" s="144">
        <v>5</v>
      </c>
      <c r="AM24" s="140"/>
      <c r="AN24" s="103"/>
      <c r="AO24" s="111"/>
      <c r="AP24" s="111"/>
      <c r="AQ24" s="111"/>
      <c r="AR24" s="111"/>
      <c r="AS24" s="103"/>
      <c r="AT24" s="111"/>
      <c r="AU24" s="111"/>
      <c r="AV24" s="111"/>
      <c r="AW24" s="111"/>
      <c r="AX24" s="103"/>
      <c r="AY24" s="15"/>
      <c r="AZ24" s="20"/>
      <c r="BA24" s="19"/>
      <c r="BB24" s="15"/>
      <c r="BC24" s="15"/>
      <c r="BD24" s="15"/>
      <c r="BE24" s="19"/>
      <c r="BF24" s="15"/>
      <c r="BG24" s="15"/>
      <c r="BH24" s="15"/>
      <c r="BI24" s="15"/>
      <c r="BJ24" s="15"/>
      <c r="BK24" s="15"/>
      <c r="BL24" s="15"/>
      <c r="BM24" s="15"/>
      <c r="BN24" s="20"/>
      <c r="BO24" s="15"/>
      <c r="BP24" s="135"/>
      <c r="BS24" s="15"/>
      <c r="BT24" s="15"/>
      <c r="BU24" s="15"/>
      <c r="BV24" s="15"/>
      <c r="BW24" s="15"/>
      <c r="BX24" s="15"/>
      <c r="BY24" s="15"/>
      <c r="CA24" s="56"/>
      <c r="CB24" s="15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75"/>
      <c r="CO24" s="56"/>
    </row>
    <row r="25" spans="1:93" ht="24" thickBot="1" x14ac:dyDescent="0.3">
      <c r="A25" s="145"/>
      <c r="B25" s="27"/>
      <c r="C25" s="27"/>
      <c r="D25" s="27"/>
      <c r="E25" s="15"/>
      <c r="F25" s="98"/>
      <c r="G25" s="104"/>
      <c r="H25" s="7"/>
      <c r="I25" s="136"/>
      <c r="J25" s="103"/>
      <c r="K25" s="111"/>
      <c r="L25" s="111"/>
      <c r="M25" s="103"/>
      <c r="N25" s="136"/>
      <c r="O25" s="116"/>
      <c r="P25" s="98"/>
      <c r="Q25" s="91"/>
      <c r="R25" s="7"/>
      <c r="S25" s="7"/>
      <c r="T25" s="7"/>
      <c r="U25" s="7"/>
      <c r="V25" s="7"/>
      <c r="W25" s="7"/>
      <c r="X25" s="7"/>
      <c r="Y25" s="126"/>
      <c r="Z25" s="7"/>
      <c r="AA25" s="90"/>
      <c r="AB25" s="91"/>
      <c r="AC25" s="139"/>
      <c r="AD25" s="146">
        <v>5</v>
      </c>
      <c r="AE25" s="146">
        <v>5</v>
      </c>
      <c r="AF25" s="146">
        <v>5</v>
      </c>
      <c r="AG25" s="139"/>
      <c r="AI25" s="140"/>
      <c r="AJ25" s="147">
        <v>5</v>
      </c>
      <c r="AK25" s="147">
        <v>5</v>
      </c>
      <c r="AL25" s="144">
        <v>5</v>
      </c>
      <c r="AM25" s="140"/>
      <c r="AN25" s="103"/>
      <c r="AO25" s="111"/>
      <c r="AP25" s="111"/>
      <c r="AQ25" s="111"/>
      <c r="AR25" s="111"/>
      <c r="AS25" s="103"/>
      <c r="AT25" s="111"/>
      <c r="AU25" s="111"/>
      <c r="AV25" s="111"/>
      <c r="AW25" s="111"/>
      <c r="AX25" s="103"/>
      <c r="AY25" s="15"/>
      <c r="AZ25" s="20"/>
      <c r="BA25" s="19"/>
      <c r="BB25" s="15"/>
      <c r="BC25" s="15"/>
      <c r="BD25" s="15"/>
      <c r="BE25" s="19"/>
      <c r="BF25" s="15"/>
      <c r="BG25" s="15"/>
      <c r="BH25" s="15"/>
      <c r="BI25" s="15"/>
      <c r="BJ25" s="15"/>
      <c r="BK25" s="15"/>
      <c r="BL25" s="15"/>
      <c r="BM25" s="15"/>
      <c r="BN25" s="20"/>
      <c r="BO25" s="15"/>
      <c r="BP25" s="135"/>
      <c r="BS25" s="15"/>
      <c r="BT25" s="15"/>
      <c r="BU25" s="15"/>
      <c r="BV25" s="15"/>
      <c r="BW25" s="15"/>
      <c r="BX25" s="15"/>
      <c r="BY25" s="15"/>
      <c r="CA25" s="56"/>
      <c r="CB25" s="15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75"/>
      <c r="CO25" s="56"/>
    </row>
    <row r="26" spans="1:93" ht="23.25" x14ac:dyDescent="0.25">
      <c r="A26" s="443"/>
      <c r="B26" s="444"/>
      <c r="C26" s="444"/>
      <c r="D26" s="445"/>
      <c r="E26" s="407"/>
      <c r="F26" s="98"/>
      <c r="G26" s="104"/>
      <c r="H26" s="7"/>
      <c r="I26" s="136"/>
      <c r="J26" s="103"/>
      <c r="K26" s="111"/>
      <c r="L26" s="111"/>
      <c r="M26" s="103"/>
      <c r="N26" s="136"/>
      <c r="O26" s="116"/>
      <c r="P26" s="106"/>
      <c r="Q26" s="91"/>
      <c r="R26" s="7"/>
      <c r="S26" s="7"/>
      <c r="T26" s="7"/>
      <c r="U26" s="7"/>
      <c r="V26" s="7"/>
      <c r="W26" s="7"/>
      <c r="X26" s="7"/>
      <c r="Y26" s="126"/>
      <c r="Z26" s="7"/>
      <c r="AA26" s="90"/>
      <c r="AB26" s="91"/>
      <c r="AC26" s="91"/>
      <c r="AD26" s="139" t="s">
        <v>199</v>
      </c>
      <c r="AE26" s="139" t="s">
        <v>199</v>
      </c>
      <c r="AF26" s="139" t="s">
        <v>199</v>
      </c>
      <c r="AJ26" s="140" t="s">
        <v>201</v>
      </c>
      <c r="AK26" s="140" t="s">
        <v>201</v>
      </c>
      <c r="AL26" s="140" t="s">
        <v>201</v>
      </c>
      <c r="AN26" s="100"/>
      <c r="AO26" s="103"/>
      <c r="AP26" s="103"/>
      <c r="AQ26" s="103"/>
      <c r="AR26" s="103"/>
      <c r="AS26" s="100"/>
      <c r="AT26" s="103"/>
      <c r="AU26" s="103"/>
      <c r="AV26" s="103"/>
      <c r="AW26" s="103"/>
      <c r="AX26" s="100"/>
      <c r="AY26" s="15"/>
      <c r="AZ26" s="20"/>
      <c r="BA26" s="19"/>
      <c r="BB26" s="15"/>
      <c r="BC26" s="15"/>
      <c r="BD26" s="15"/>
      <c r="BE26" s="19"/>
      <c r="BF26" s="15"/>
      <c r="BG26" s="15"/>
      <c r="BH26" s="15"/>
      <c r="BI26" s="15"/>
      <c r="BJ26" s="15"/>
      <c r="BK26" s="15"/>
      <c r="BL26" s="15"/>
      <c r="BM26" s="15"/>
      <c r="BN26" s="20"/>
      <c r="BO26" s="15"/>
      <c r="BP26" s="135"/>
      <c r="BS26" s="15"/>
      <c r="BT26" s="15"/>
      <c r="BU26" s="15"/>
      <c r="BV26" s="15"/>
      <c r="BW26" s="15"/>
      <c r="BX26" s="15"/>
      <c r="BY26" s="15"/>
      <c r="CA26" s="56"/>
      <c r="CB26" s="15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75"/>
    </row>
    <row r="27" spans="1:93" ht="15.75" x14ac:dyDescent="0.25">
      <c r="A27" s="446"/>
      <c r="B27" s="447"/>
      <c r="C27" s="447"/>
      <c r="D27" s="448"/>
      <c r="E27" s="148"/>
      <c r="F27" s="98"/>
      <c r="G27" s="104"/>
      <c r="H27" s="7"/>
      <c r="I27" s="62"/>
      <c r="J27" s="136"/>
      <c r="K27" s="141"/>
      <c r="L27" s="141"/>
      <c r="M27" s="136"/>
      <c r="N27" s="7"/>
      <c r="O27" s="116"/>
      <c r="P27" s="98"/>
      <c r="Q27" s="91"/>
      <c r="R27" s="7"/>
      <c r="S27" s="7"/>
      <c r="T27" s="7"/>
      <c r="U27" s="7"/>
      <c r="V27" s="7"/>
      <c r="W27" s="7"/>
      <c r="X27" s="7"/>
      <c r="Y27" s="126"/>
      <c r="Z27" s="7"/>
      <c r="AA27" s="90"/>
      <c r="AB27" s="91"/>
      <c r="AC27" s="91"/>
      <c r="AD27" s="101">
        <v>4</v>
      </c>
      <c r="AE27" s="101">
        <v>5</v>
      </c>
      <c r="AF27" s="101">
        <v>6</v>
      </c>
      <c r="AI27" s="149"/>
      <c r="AJ27" s="101">
        <v>4</v>
      </c>
      <c r="AK27" s="101">
        <v>5</v>
      </c>
      <c r="AL27" s="101">
        <v>6</v>
      </c>
      <c r="AO27" s="100"/>
      <c r="AP27" s="100"/>
      <c r="AQ27" s="100"/>
      <c r="AR27" s="100"/>
      <c r="AS27" s="7"/>
      <c r="AT27" s="100"/>
      <c r="AU27" s="100"/>
      <c r="AV27" s="100"/>
      <c r="AW27" s="100"/>
      <c r="AX27" s="44"/>
      <c r="AY27" s="15"/>
      <c r="AZ27" s="20"/>
      <c r="BA27" s="19"/>
      <c r="BB27" s="15"/>
      <c r="BC27" s="15"/>
      <c r="BD27" s="15"/>
      <c r="BE27" s="19"/>
      <c r="BF27" s="15"/>
      <c r="BG27" s="15"/>
      <c r="BH27" s="15"/>
      <c r="BI27" s="15"/>
      <c r="BJ27" s="15"/>
      <c r="BK27" s="15"/>
      <c r="BL27" s="15"/>
      <c r="BM27" s="15"/>
      <c r="BN27" s="20"/>
      <c r="BO27" s="15"/>
      <c r="BP27" s="135"/>
      <c r="BS27" s="15"/>
      <c r="BT27" s="15"/>
      <c r="BU27" s="15"/>
      <c r="BV27" s="15"/>
      <c r="BW27" s="15"/>
      <c r="BX27" s="15"/>
      <c r="BY27" s="15"/>
      <c r="CA27" s="56"/>
      <c r="CB27" s="15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M27" s="56"/>
      <c r="CN27" s="75"/>
      <c r="CO27" s="56"/>
    </row>
    <row r="28" spans="1:93" ht="18" x14ac:dyDescent="0.25">
      <c r="A28" s="446"/>
      <c r="B28" s="447"/>
      <c r="C28" s="447"/>
      <c r="D28" s="448"/>
      <c r="E28" s="407"/>
      <c r="F28" s="98"/>
      <c r="G28" s="104"/>
      <c r="H28" s="7"/>
      <c r="I28" s="62"/>
      <c r="J28" s="62"/>
      <c r="K28" s="136"/>
      <c r="L28" s="136"/>
      <c r="M28" s="62"/>
      <c r="N28" s="150"/>
      <c r="O28" s="27"/>
      <c r="P28" s="106"/>
      <c r="Q28" s="91"/>
      <c r="R28" s="7"/>
      <c r="S28" s="7"/>
      <c r="T28" s="7"/>
      <c r="U28" s="7"/>
      <c r="V28" s="7"/>
      <c r="W28" s="7"/>
      <c r="X28" s="151"/>
      <c r="Y28" s="152"/>
      <c r="Z28" s="7"/>
      <c r="AA28" s="90"/>
      <c r="AB28" s="91"/>
      <c r="AC28" s="91"/>
      <c r="AE28" s="153"/>
      <c r="AF28" s="153"/>
      <c r="AG28" s="153"/>
      <c r="AH28" s="153"/>
      <c r="AJ28" s="452" t="s">
        <v>193</v>
      </c>
      <c r="AK28" s="452"/>
      <c r="AL28" s="452"/>
      <c r="AX28" s="44"/>
      <c r="AY28" s="15"/>
      <c r="AZ28" s="20"/>
      <c r="BA28" s="19"/>
      <c r="BB28" s="15"/>
      <c r="BC28" s="15"/>
      <c r="BD28" s="15"/>
      <c r="BE28" s="19"/>
      <c r="BF28" s="15"/>
      <c r="BG28" s="15"/>
      <c r="BH28" s="15"/>
      <c r="BI28" s="15"/>
      <c r="BJ28" s="15"/>
      <c r="BK28" s="15"/>
      <c r="BL28" s="15"/>
      <c r="BM28" s="15"/>
      <c r="BN28" s="20"/>
      <c r="BO28" s="15"/>
      <c r="BP28" s="135"/>
      <c r="BS28" s="15"/>
      <c r="BT28" s="15"/>
      <c r="BU28" s="15"/>
      <c r="BV28" s="15"/>
      <c r="BW28" s="15"/>
      <c r="BX28" s="15"/>
      <c r="BY28" s="15"/>
      <c r="CA28" s="56"/>
      <c r="CB28" s="15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M28" s="56"/>
      <c r="CN28" s="75"/>
      <c r="CO28" s="56"/>
    </row>
    <row r="29" spans="1:93" ht="18" customHeight="1" x14ac:dyDescent="0.25">
      <c r="A29" s="446"/>
      <c r="B29" s="447"/>
      <c r="C29" s="447"/>
      <c r="D29" s="448"/>
      <c r="E29" s="148"/>
      <c r="F29" s="98"/>
      <c r="G29" s="104"/>
      <c r="H29" s="7"/>
      <c r="O29" s="27"/>
      <c r="P29" s="98"/>
      <c r="Q29" s="91"/>
      <c r="R29" s="7"/>
      <c r="S29" s="7"/>
      <c r="T29" s="7"/>
      <c r="U29" s="7"/>
      <c r="V29" s="7"/>
      <c r="W29" s="7"/>
      <c r="X29" s="151"/>
      <c r="Y29" s="152"/>
      <c r="Z29" s="27"/>
      <c r="AA29" s="90"/>
      <c r="AB29" s="91"/>
      <c r="AC29" s="91"/>
      <c r="AI29" s="1" t="s">
        <v>203</v>
      </c>
      <c r="AJ29" s="101">
        <v>3</v>
      </c>
      <c r="AK29" s="101">
        <v>2</v>
      </c>
      <c r="AL29" s="101">
        <v>1</v>
      </c>
      <c r="AN29" s="1" t="s">
        <v>204</v>
      </c>
      <c r="AO29" s="101">
        <v>4</v>
      </c>
      <c r="AP29" s="101">
        <v>3</v>
      </c>
      <c r="AQ29" s="101">
        <v>2</v>
      </c>
      <c r="AR29" s="101">
        <v>1</v>
      </c>
      <c r="AX29" s="44"/>
      <c r="AY29" s="15"/>
      <c r="AZ29" s="20"/>
      <c r="BA29" s="19"/>
      <c r="BB29" s="154" t="s">
        <v>205</v>
      </c>
      <c r="BC29" s="15"/>
      <c r="BD29" s="15"/>
      <c r="BE29" s="19"/>
      <c r="BF29" s="15"/>
      <c r="BG29" s="15"/>
      <c r="BH29" s="15"/>
      <c r="BI29" s="15"/>
      <c r="BJ29" s="15"/>
      <c r="BK29" s="15"/>
      <c r="BL29" s="15"/>
      <c r="BM29" s="15"/>
      <c r="BN29" s="20"/>
      <c r="BO29" s="15"/>
      <c r="BP29" s="135"/>
      <c r="BQ29" s="56"/>
      <c r="BR29" s="135"/>
      <c r="BS29" s="15"/>
      <c r="BT29" s="15"/>
      <c r="BU29" s="15"/>
      <c r="BV29" s="15"/>
      <c r="BW29" s="15"/>
      <c r="BX29" s="15"/>
      <c r="BY29" s="15"/>
      <c r="CA29" s="56"/>
      <c r="CB29" s="15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75"/>
      <c r="CO29" s="56"/>
    </row>
    <row r="30" spans="1:93" ht="24" thickBot="1" x14ac:dyDescent="0.3">
      <c r="A30" s="446"/>
      <c r="B30" s="447"/>
      <c r="C30" s="447"/>
      <c r="D30" s="448"/>
      <c r="E30" s="407"/>
      <c r="F30" s="27"/>
      <c r="G30" s="104"/>
      <c r="H30" s="7"/>
      <c r="I30" s="62"/>
      <c r="J30" s="62"/>
      <c r="K30" s="136"/>
      <c r="L30" s="136"/>
      <c r="M30" s="137"/>
      <c r="N30" s="150"/>
      <c r="O30" s="27"/>
      <c r="P30" s="106"/>
      <c r="Q30" s="91"/>
      <c r="R30" s="7"/>
      <c r="S30" s="7"/>
      <c r="T30" s="7"/>
      <c r="U30" s="7"/>
      <c r="V30" s="151"/>
      <c r="W30" s="7"/>
      <c r="X30" s="151"/>
      <c r="Y30" s="152"/>
      <c r="Z30" s="27"/>
      <c r="AA30" s="20"/>
      <c r="AB30" s="91"/>
      <c r="AC30" s="91"/>
      <c r="AI30" s="138" t="s">
        <v>206</v>
      </c>
      <c r="AJ30" s="139" t="s">
        <v>199</v>
      </c>
      <c r="AK30" s="139" t="s">
        <v>199</v>
      </c>
      <c r="AL30" s="139" t="s">
        <v>199</v>
      </c>
      <c r="AN30" s="138" t="s">
        <v>207</v>
      </c>
      <c r="AO30" s="155" t="s">
        <v>201</v>
      </c>
      <c r="AP30" s="155" t="s">
        <v>201</v>
      </c>
      <c r="AQ30" s="155" t="s">
        <v>201</v>
      </c>
      <c r="AR30" s="155" t="s">
        <v>201</v>
      </c>
      <c r="AW30" s="15"/>
      <c r="AX30" s="481" t="s">
        <v>208</v>
      </c>
      <c r="AY30" s="482"/>
      <c r="AZ30" s="483"/>
      <c r="BA30" s="19"/>
      <c r="BB30" s="15"/>
      <c r="BC30" s="15"/>
      <c r="BD30" s="15"/>
      <c r="BE30" s="19"/>
      <c r="BF30" s="15"/>
      <c r="BG30" s="15"/>
      <c r="BH30" s="15"/>
      <c r="BI30" s="15"/>
      <c r="BJ30" s="15"/>
      <c r="BK30" s="15"/>
      <c r="BL30" s="15"/>
      <c r="BM30" s="15"/>
      <c r="BN30" s="20"/>
      <c r="BO30" s="15"/>
      <c r="BP30" s="135"/>
      <c r="BQ30" s="56"/>
      <c r="BR30" s="56"/>
      <c r="BS30" s="15"/>
      <c r="BT30" s="15"/>
      <c r="BU30" s="15"/>
      <c r="BV30" s="15"/>
      <c r="BW30" s="15"/>
      <c r="BX30" s="15"/>
      <c r="BY30" s="15"/>
      <c r="CA30" s="56"/>
      <c r="CB30" s="15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</row>
    <row r="31" spans="1:93" ht="24" thickBot="1" x14ac:dyDescent="0.3">
      <c r="A31" s="446"/>
      <c r="B31" s="447"/>
      <c r="C31" s="447"/>
      <c r="D31" s="448"/>
      <c r="E31" s="148"/>
      <c r="F31" s="27"/>
      <c r="G31" s="104"/>
      <c r="H31" s="7"/>
      <c r="I31" s="62"/>
      <c r="J31" s="136"/>
      <c r="K31" s="141"/>
      <c r="L31" s="141"/>
      <c r="M31" s="136"/>
      <c r="N31" s="150"/>
      <c r="O31" s="27"/>
      <c r="P31" s="98"/>
      <c r="Q31" s="91"/>
      <c r="R31" s="7"/>
      <c r="S31" s="7"/>
      <c r="T31" s="7"/>
      <c r="U31" s="7"/>
      <c r="V31" s="7"/>
      <c r="W31" s="7"/>
      <c r="X31" s="151"/>
      <c r="Y31" s="152"/>
      <c r="Z31" s="151"/>
      <c r="AA31" s="25"/>
      <c r="AB31" s="91"/>
      <c r="AC31" s="91"/>
      <c r="AD31" s="409"/>
      <c r="AE31" s="409"/>
      <c r="AF31" s="409"/>
      <c r="AI31" s="139"/>
      <c r="AJ31" s="156">
        <v>5</v>
      </c>
      <c r="AK31" s="156">
        <v>5</v>
      </c>
      <c r="AL31" s="156">
        <v>5</v>
      </c>
      <c r="AM31" s="139"/>
      <c r="AN31" s="155"/>
      <c r="AO31" s="157">
        <v>5</v>
      </c>
      <c r="AP31" s="157">
        <v>5</v>
      </c>
      <c r="AQ31" s="157">
        <v>5</v>
      </c>
      <c r="AR31" s="157">
        <v>5</v>
      </c>
      <c r="AS31" s="155"/>
      <c r="AT31" s="409"/>
      <c r="AU31" s="409"/>
      <c r="AV31" s="409"/>
      <c r="AW31" s="409"/>
      <c r="AX31" s="481"/>
      <c r="AY31" s="482"/>
      <c r="AZ31" s="483"/>
      <c r="BA31" s="19"/>
      <c r="BB31" s="15"/>
      <c r="BC31" s="15"/>
      <c r="BD31" s="15"/>
      <c r="BE31" s="19"/>
      <c r="BF31" s="15"/>
      <c r="BG31" s="15"/>
      <c r="BH31" s="15"/>
      <c r="BI31" s="15"/>
      <c r="BJ31" s="15"/>
      <c r="BK31" s="15"/>
      <c r="BL31" s="15"/>
      <c r="BM31" s="15"/>
      <c r="BN31" s="20"/>
      <c r="BO31" s="15"/>
      <c r="BP31" s="135"/>
      <c r="BQ31" s="56"/>
      <c r="BR31" s="56"/>
      <c r="BS31" s="15"/>
      <c r="BT31" s="15"/>
      <c r="BU31" s="15"/>
      <c r="BV31" s="15"/>
      <c r="BW31" s="15"/>
      <c r="BX31" s="15"/>
      <c r="BY31" s="15"/>
      <c r="CA31" s="56"/>
      <c r="CB31" s="20"/>
      <c r="CC31" s="484" t="s">
        <v>209</v>
      </c>
      <c r="CD31" s="485"/>
      <c r="CE31" s="486"/>
      <c r="CF31" s="7"/>
      <c r="CG31" s="7"/>
      <c r="CH31" s="7"/>
      <c r="CI31" s="7"/>
      <c r="CJ31" s="7"/>
      <c r="CK31" s="7"/>
      <c r="CL31" s="7"/>
    </row>
    <row r="32" spans="1:93" ht="23.25" x14ac:dyDescent="0.25">
      <c r="A32" s="446"/>
      <c r="B32" s="447"/>
      <c r="C32" s="447"/>
      <c r="D32" s="448"/>
      <c r="E32" s="407"/>
      <c r="F32" s="27"/>
      <c r="G32" s="104"/>
      <c r="H32" s="7"/>
      <c r="I32" s="136"/>
      <c r="J32" s="103"/>
      <c r="K32" s="111"/>
      <c r="L32" s="111"/>
      <c r="M32" s="103"/>
      <c r="N32" s="136"/>
      <c r="O32" s="27"/>
      <c r="P32" s="106"/>
      <c r="Q32" s="91"/>
      <c r="R32" s="7"/>
      <c r="S32" s="7"/>
      <c r="T32" s="7"/>
      <c r="U32" s="7"/>
      <c r="V32" s="7"/>
      <c r="W32" s="7"/>
      <c r="X32" s="151"/>
      <c r="Y32" s="152"/>
      <c r="Z32" s="27"/>
      <c r="AA32" s="20"/>
      <c r="AB32" s="91"/>
      <c r="AC32" s="91"/>
      <c r="AD32" s="409"/>
      <c r="AE32" s="409"/>
      <c r="AF32" s="409"/>
      <c r="AI32" s="139"/>
      <c r="AJ32" s="156">
        <v>5</v>
      </c>
      <c r="AK32" s="156">
        <v>5</v>
      </c>
      <c r="AL32" s="156">
        <v>5</v>
      </c>
      <c r="AM32" s="139"/>
      <c r="AN32" s="155"/>
      <c r="AO32" s="157">
        <v>5</v>
      </c>
      <c r="AP32" s="157">
        <v>5</v>
      </c>
      <c r="AQ32" s="157">
        <v>5</v>
      </c>
      <c r="AR32" s="157">
        <v>5</v>
      </c>
      <c r="AS32" s="155"/>
      <c r="AT32" s="409"/>
      <c r="AU32" s="409"/>
      <c r="AV32" s="409"/>
      <c r="AW32" s="409"/>
      <c r="AX32" s="481"/>
      <c r="AY32" s="482"/>
      <c r="AZ32" s="483"/>
      <c r="BA32" s="19"/>
      <c r="BB32" s="15"/>
      <c r="BC32" s="15"/>
      <c r="BD32" s="15"/>
      <c r="BE32" s="19"/>
      <c r="BF32" s="15"/>
      <c r="BG32" s="15"/>
      <c r="BH32" s="15"/>
      <c r="BI32" s="15"/>
      <c r="BJ32" s="15"/>
      <c r="BK32" s="15"/>
      <c r="BL32" s="15"/>
      <c r="BM32" s="15"/>
      <c r="BN32" s="20"/>
      <c r="BO32" s="15"/>
      <c r="BP32" s="135"/>
      <c r="BQ32" s="56"/>
      <c r="BR32" s="56"/>
      <c r="BS32" s="15"/>
      <c r="BT32" s="15"/>
      <c r="BU32" s="15"/>
      <c r="BV32" s="15"/>
      <c r="BW32" s="15"/>
      <c r="BX32" s="15"/>
      <c r="BY32" s="15"/>
      <c r="CA32" s="56"/>
      <c r="CB32" s="20"/>
      <c r="CC32" s="7"/>
      <c r="CD32" s="7"/>
      <c r="CE32" s="7"/>
      <c r="CF32" s="7"/>
      <c r="CG32" s="7"/>
      <c r="CH32" s="7"/>
      <c r="CI32" s="7"/>
      <c r="CJ32" s="7"/>
      <c r="CK32" s="7"/>
      <c r="CL32" s="7"/>
    </row>
    <row r="33" spans="1:90" ht="23.25" x14ac:dyDescent="0.25">
      <c r="A33" s="446"/>
      <c r="B33" s="447"/>
      <c r="C33" s="447"/>
      <c r="D33" s="448"/>
      <c r="E33" s="148"/>
      <c r="F33" s="27"/>
      <c r="G33" s="27"/>
      <c r="H33" s="27"/>
      <c r="I33" s="136"/>
      <c r="J33" s="103"/>
      <c r="K33" s="111"/>
      <c r="L33" s="111"/>
      <c r="M33" s="103"/>
      <c r="N33" s="136"/>
      <c r="O33" s="27"/>
      <c r="P33" s="98"/>
      <c r="Q33" s="91"/>
      <c r="R33" s="7"/>
      <c r="S33" s="7"/>
      <c r="T33" s="7"/>
      <c r="U33" s="7"/>
      <c r="V33" s="7"/>
      <c r="W33" s="7"/>
      <c r="X33" s="158"/>
      <c r="Y33" s="152"/>
      <c r="Z33" s="27"/>
      <c r="AA33" s="20"/>
      <c r="AB33" s="91"/>
      <c r="AJ33" s="139" t="s">
        <v>199</v>
      </c>
      <c r="AK33" s="139" t="s">
        <v>199</v>
      </c>
      <c r="AL33" s="139" t="s">
        <v>199</v>
      </c>
      <c r="AM33" s="7"/>
      <c r="AO33" s="155" t="s">
        <v>201</v>
      </c>
      <c r="AP33" s="155" t="s">
        <v>201</v>
      </c>
      <c r="AQ33" s="155" t="s">
        <v>201</v>
      </c>
      <c r="AR33" s="155" t="s">
        <v>201</v>
      </c>
      <c r="AS33" s="159"/>
      <c r="AX33" s="481"/>
      <c r="AY33" s="482"/>
      <c r="AZ33" s="483"/>
      <c r="BA33" s="19"/>
      <c r="BB33" s="15"/>
      <c r="BC33" s="15"/>
      <c r="BD33" s="15"/>
      <c r="BE33" s="19"/>
      <c r="BF33" s="15"/>
      <c r="BG33" s="15"/>
      <c r="BH33" s="15"/>
      <c r="BI33" s="15"/>
      <c r="BJ33" s="15"/>
      <c r="BK33" s="15"/>
      <c r="BL33" s="15"/>
      <c r="BM33" s="15"/>
      <c r="BN33" s="20"/>
      <c r="BO33" s="15"/>
      <c r="BP33" s="15"/>
      <c r="BQ33" s="135"/>
      <c r="BR33" s="56"/>
      <c r="BS33" s="15"/>
      <c r="BT33" s="15"/>
      <c r="BU33" s="15"/>
      <c r="BV33" s="15"/>
      <c r="BW33" s="15"/>
      <c r="BX33" s="15"/>
      <c r="BY33" s="15"/>
      <c r="BZ33" s="56"/>
      <c r="CA33" s="56"/>
      <c r="CB33" s="20"/>
      <c r="CC33" s="19"/>
      <c r="CD33" s="7"/>
      <c r="CE33" s="7"/>
      <c r="CF33" s="7"/>
      <c r="CG33" s="7"/>
      <c r="CH33" s="56"/>
      <c r="CI33" s="56"/>
      <c r="CJ33" s="56"/>
      <c r="CK33" s="56"/>
      <c r="CL33" s="56"/>
    </row>
    <row r="34" spans="1:90" ht="16.5" thickBot="1" x14ac:dyDescent="0.3">
      <c r="A34" s="449"/>
      <c r="B34" s="450"/>
      <c r="C34" s="450"/>
      <c r="D34" s="451"/>
      <c r="E34" s="407"/>
      <c r="F34" s="27"/>
      <c r="G34" s="27"/>
      <c r="H34" s="27"/>
      <c r="I34" s="62"/>
      <c r="J34" s="136"/>
      <c r="K34" s="141"/>
      <c r="L34" s="141"/>
      <c r="M34" s="136"/>
      <c r="N34" s="7"/>
      <c r="O34" s="27"/>
      <c r="P34" s="27"/>
      <c r="Q34" s="160"/>
      <c r="R34" s="161"/>
      <c r="S34" s="161"/>
      <c r="T34" s="161"/>
      <c r="U34" s="161"/>
      <c r="V34" s="162"/>
      <c r="W34" s="487"/>
      <c r="X34" s="487"/>
      <c r="Y34" s="488"/>
      <c r="Z34" s="27"/>
      <c r="AA34" s="163"/>
      <c r="AB34" s="27"/>
      <c r="AC34" s="164"/>
      <c r="AI34" s="159"/>
      <c r="AJ34" s="101">
        <v>4</v>
      </c>
      <c r="AK34" s="101">
        <v>5</v>
      </c>
      <c r="AL34" s="469"/>
      <c r="AM34" s="7"/>
      <c r="AO34" s="101">
        <v>5</v>
      </c>
      <c r="AP34" s="101">
        <v>6</v>
      </c>
      <c r="AQ34" s="101">
        <v>7</v>
      </c>
      <c r="AR34" s="101">
        <v>8</v>
      </c>
      <c r="AS34" s="159"/>
      <c r="AW34" s="15"/>
      <c r="AX34" s="44"/>
      <c r="AY34" s="15"/>
      <c r="AZ34" s="20"/>
      <c r="BA34" s="19"/>
      <c r="BB34" s="15"/>
      <c r="BC34" s="15"/>
      <c r="BD34" s="15"/>
      <c r="BE34" s="19"/>
      <c r="BF34" s="15"/>
      <c r="BG34" s="15"/>
      <c r="BH34" s="15"/>
      <c r="BI34" s="15"/>
      <c r="BJ34" s="15"/>
      <c r="BK34" s="15"/>
      <c r="BL34" s="15"/>
      <c r="BM34" s="15"/>
      <c r="BN34" s="20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20"/>
      <c r="CC34" s="19"/>
      <c r="CD34" s="7"/>
      <c r="CE34" s="7"/>
      <c r="CF34" s="7"/>
      <c r="CG34" s="7"/>
      <c r="CH34" s="56"/>
      <c r="CI34" s="56"/>
      <c r="CJ34" s="56"/>
      <c r="CK34" s="56"/>
      <c r="CL34" s="56"/>
    </row>
    <row r="35" spans="1:90" ht="16.5" customHeight="1" thickBot="1" x14ac:dyDescent="0.3">
      <c r="A35" s="453" t="s">
        <v>210</v>
      </c>
      <c r="B35" s="454"/>
      <c r="C35" s="455"/>
      <c r="D35" s="27"/>
      <c r="E35" s="27"/>
      <c r="F35" s="27"/>
      <c r="G35" s="27"/>
      <c r="H35" s="27"/>
      <c r="I35" s="62"/>
      <c r="J35" s="62"/>
      <c r="K35" s="136"/>
      <c r="L35" s="136"/>
      <c r="M35" s="62"/>
      <c r="N35" s="150"/>
      <c r="O35" s="7"/>
      <c r="P35" s="27"/>
      <c r="Q35" s="27"/>
      <c r="R35" s="27"/>
      <c r="S35" s="7"/>
      <c r="T35" s="27"/>
      <c r="U35" s="154"/>
      <c r="V35" s="7"/>
      <c r="W35" s="7"/>
      <c r="X35" s="27"/>
      <c r="Y35" s="27"/>
      <c r="Z35" s="27"/>
      <c r="AA35" s="165"/>
      <c r="AB35" s="98"/>
      <c r="AC35" s="153"/>
      <c r="AI35" s="15"/>
      <c r="AJ35" s="7"/>
      <c r="AK35" s="7"/>
      <c r="AL35" s="489"/>
      <c r="AM35" s="7"/>
      <c r="AO35" s="462" t="s">
        <v>211</v>
      </c>
      <c r="AP35" s="462"/>
      <c r="AQ35" s="462"/>
      <c r="AR35" s="462"/>
      <c r="AS35" s="109"/>
      <c r="AT35" s="135"/>
      <c r="AU35" s="135"/>
      <c r="AV35" s="135"/>
      <c r="AW35" s="15"/>
      <c r="AX35" s="44"/>
      <c r="AY35" s="15"/>
      <c r="AZ35" s="20"/>
      <c r="BA35" s="19"/>
      <c r="BB35" s="15"/>
      <c r="BC35" s="15"/>
      <c r="BD35" s="15"/>
      <c r="BE35" s="19"/>
      <c r="BF35" s="15"/>
      <c r="BG35" s="15"/>
      <c r="BH35" s="15"/>
      <c r="BI35" s="15"/>
      <c r="BJ35" s="15"/>
      <c r="BK35" s="15"/>
      <c r="BL35" s="15"/>
      <c r="BM35" s="15"/>
      <c r="BN35" s="20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20"/>
      <c r="CC35" s="7"/>
      <c r="CD35" s="7"/>
      <c r="CE35" s="7"/>
      <c r="CF35" s="7"/>
      <c r="CG35" s="7"/>
      <c r="CH35" s="56"/>
      <c r="CI35" s="56"/>
      <c r="CJ35" s="56"/>
      <c r="CK35" s="56"/>
      <c r="CL35" s="56"/>
    </row>
    <row r="36" spans="1:90" ht="23.25" customHeight="1" x14ac:dyDescent="0.25">
      <c r="A36" s="456"/>
      <c r="B36" s="457"/>
      <c r="C36" s="458"/>
      <c r="D36" s="166"/>
      <c r="E36" s="27"/>
      <c r="F36" s="27"/>
      <c r="G36" s="27"/>
      <c r="H36" s="27"/>
      <c r="I36" s="27"/>
      <c r="J36" s="27"/>
      <c r="K36" s="27"/>
      <c r="L36" s="15"/>
      <c r="M36" s="27"/>
      <c r="N36" s="27"/>
      <c r="O36" s="7"/>
      <c r="P36" s="27"/>
      <c r="Q36" s="27"/>
      <c r="R36" s="27"/>
      <c r="S36" s="27"/>
      <c r="T36" s="27"/>
      <c r="U36" s="7"/>
      <c r="V36" s="7"/>
      <c r="W36" s="7"/>
      <c r="X36" s="27"/>
      <c r="Y36" s="148"/>
      <c r="Z36" s="463" t="s">
        <v>212</v>
      </c>
      <c r="AA36" s="464"/>
      <c r="AB36" s="464"/>
      <c r="AC36" s="465"/>
      <c r="AE36" s="131" t="s">
        <v>193</v>
      </c>
      <c r="AF36" s="131"/>
      <c r="AI36" s="7"/>
      <c r="AJ36" s="442" t="s">
        <v>193</v>
      </c>
      <c r="AK36" s="442"/>
      <c r="AL36" s="7"/>
      <c r="AS36" s="7"/>
      <c r="AX36" s="44"/>
      <c r="AY36" s="15"/>
      <c r="AZ36" s="20"/>
      <c r="BA36" s="19"/>
      <c r="BB36" s="15"/>
      <c r="BC36" s="15"/>
      <c r="BD36" s="15"/>
      <c r="BE36" s="19"/>
      <c r="BF36" s="15"/>
      <c r="BG36" s="15"/>
      <c r="BH36" s="15"/>
      <c r="BI36" s="15"/>
      <c r="BJ36" s="15"/>
      <c r="BK36" s="15"/>
      <c r="BL36" s="15"/>
      <c r="BM36" s="15"/>
      <c r="BN36" s="20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20"/>
      <c r="CC36" s="7"/>
      <c r="CD36" s="7"/>
      <c r="CE36" s="7"/>
      <c r="CF36" s="7"/>
      <c r="CH36" s="56"/>
      <c r="CI36" s="56"/>
      <c r="CJ36" s="56"/>
      <c r="CK36" s="56"/>
      <c r="CL36" s="56"/>
    </row>
    <row r="37" spans="1:90" ht="16.5" thickBot="1" x14ac:dyDescent="0.3">
      <c r="A37" s="456"/>
      <c r="B37" s="457"/>
      <c r="C37" s="458"/>
      <c r="D37" s="166"/>
      <c r="E37" s="27"/>
      <c r="F37" s="27"/>
      <c r="G37" s="27"/>
      <c r="H37" s="27"/>
      <c r="I37" s="27"/>
      <c r="J37" s="27"/>
      <c r="K37" s="27"/>
      <c r="L37" s="15"/>
      <c r="M37" s="27"/>
      <c r="N37" s="27"/>
      <c r="O37" s="27"/>
      <c r="P37" s="27"/>
      <c r="Q37" s="27"/>
      <c r="R37" s="7"/>
      <c r="S37" s="27"/>
      <c r="T37" s="27"/>
      <c r="U37" s="7"/>
      <c r="V37" s="7"/>
      <c r="W37" s="7"/>
      <c r="X37" s="27"/>
      <c r="Y37" s="148"/>
      <c r="Z37" s="466"/>
      <c r="AA37" s="467"/>
      <c r="AB37" s="467"/>
      <c r="AC37" s="468"/>
      <c r="AD37" s="1" t="s">
        <v>213</v>
      </c>
      <c r="AE37" s="101">
        <v>2</v>
      </c>
      <c r="AF37" s="101">
        <v>1</v>
      </c>
      <c r="AI37" s="1" t="s">
        <v>214</v>
      </c>
      <c r="AJ37" s="101">
        <v>2</v>
      </c>
      <c r="AK37" s="101">
        <v>1</v>
      </c>
      <c r="AL37" s="7"/>
      <c r="AN37" s="1" t="s">
        <v>215</v>
      </c>
      <c r="AO37" s="101">
        <v>4</v>
      </c>
      <c r="AP37" s="101">
        <v>3</v>
      </c>
      <c r="AQ37" s="101">
        <v>2</v>
      </c>
      <c r="AR37" s="101">
        <v>1</v>
      </c>
      <c r="AS37" s="7"/>
      <c r="AX37" s="44"/>
      <c r="AY37" s="167"/>
      <c r="AZ37" s="20"/>
      <c r="BA37" s="19"/>
      <c r="BB37" s="15"/>
      <c r="BC37" s="15"/>
      <c r="BD37" s="15"/>
      <c r="BE37" s="19"/>
      <c r="BF37" s="15"/>
      <c r="BG37" s="15"/>
      <c r="BH37" s="15"/>
      <c r="BI37" s="15"/>
      <c r="BJ37" s="15"/>
      <c r="BK37" s="15"/>
      <c r="BL37" s="15"/>
      <c r="BM37" s="15"/>
      <c r="BN37" s="20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20"/>
      <c r="CC37" s="7"/>
      <c r="CD37" s="7"/>
      <c r="CE37" s="7"/>
      <c r="CF37" s="7"/>
      <c r="CH37" s="56"/>
      <c r="CI37" s="56"/>
      <c r="CJ37" s="56"/>
      <c r="CK37" s="56"/>
      <c r="CL37" s="56"/>
    </row>
    <row r="38" spans="1:90" ht="18" customHeight="1" x14ac:dyDescent="0.25">
      <c r="A38" s="456"/>
      <c r="B38" s="457"/>
      <c r="C38" s="458"/>
      <c r="D38" s="166"/>
      <c r="E38" s="27"/>
      <c r="F38" s="27"/>
      <c r="G38" s="27"/>
      <c r="H38" s="27"/>
      <c r="I38" s="56"/>
      <c r="J38" s="56"/>
      <c r="K38" s="56"/>
      <c r="L38" s="15"/>
      <c r="M38" s="27"/>
      <c r="P38" s="27"/>
      <c r="Q38" s="27"/>
      <c r="R38" s="7"/>
      <c r="S38" s="135"/>
      <c r="T38" s="27"/>
      <c r="U38" s="7"/>
      <c r="V38" s="7"/>
      <c r="W38" s="7"/>
      <c r="X38" s="27"/>
      <c r="Y38" s="148"/>
      <c r="Z38" s="27"/>
      <c r="AA38" s="168"/>
      <c r="AB38" s="98"/>
      <c r="AC38" s="98"/>
      <c r="AD38" s="138" t="s">
        <v>216</v>
      </c>
      <c r="AE38" s="169" t="s">
        <v>199</v>
      </c>
      <c r="AF38" s="169" t="s">
        <v>199</v>
      </c>
      <c r="AG38" s="7"/>
      <c r="AI38" s="138" t="s">
        <v>217</v>
      </c>
      <c r="AJ38" s="170" t="s">
        <v>201</v>
      </c>
      <c r="AK38" s="170" t="s">
        <v>201</v>
      </c>
      <c r="AL38" s="7"/>
      <c r="AN38" s="138" t="s">
        <v>218</v>
      </c>
      <c r="AO38" s="155" t="s">
        <v>201</v>
      </c>
      <c r="AP38" s="155" t="s">
        <v>201</v>
      </c>
      <c r="AQ38" s="155" t="s">
        <v>201</v>
      </c>
      <c r="AR38" s="155" t="s">
        <v>201</v>
      </c>
      <c r="AX38" s="44"/>
      <c r="AY38" s="15"/>
      <c r="AZ38" s="20"/>
      <c r="BA38" s="19"/>
      <c r="BB38" s="15"/>
      <c r="BC38" s="15"/>
      <c r="BD38" s="15"/>
      <c r="BE38" s="19"/>
      <c r="BF38" s="15"/>
      <c r="BG38" s="15"/>
      <c r="BH38" s="15"/>
      <c r="BI38" s="15"/>
      <c r="BJ38" s="15"/>
      <c r="BK38" s="15"/>
      <c r="BL38" s="15"/>
      <c r="BM38" s="15"/>
      <c r="BN38" s="20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20"/>
      <c r="CC38" s="7"/>
      <c r="CD38" s="7"/>
      <c r="CE38" s="7"/>
      <c r="CF38" s="7"/>
      <c r="CH38" s="56"/>
      <c r="CI38" s="56"/>
      <c r="CJ38" s="56"/>
      <c r="CK38" s="56"/>
      <c r="CL38" s="56"/>
    </row>
    <row r="39" spans="1:90" ht="23.25" x14ac:dyDescent="0.25">
      <c r="A39" s="456"/>
      <c r="B39" s="457"/>
      <c r="C39" s="458"/>
      <c r="D39" s="166"/>
      <c r="E39" s="27"/>
      <c r="F39" s="27"/>
      <c r="G39" s="27"/>
      <c r="H39" s="27"/>
      <c r="I39" s="56"/>
      <c r="J39" s="171"/>
      <c r="K39" s="408"/>
      <c r="L39" s="408"/>
      <c r="M39" s="27"/>
      <c r="P39" s="27"/>
      <c r="Q39" s="27"/>
      <c r="R39" s="7"/>
      <c r="S39" s="148"/>
      <c r="T39" s="27"/>
      <c r="U39" s="7"/>
      <c r="V39" s="7"/>
      <c r="W39" s="7"/>
      <c r="X39" s="27"/>
      <c r="Y39" s="148"/>
      <c r="Z39" s="27"/>
      <c r="AA39" s="163"/>
      <c r="AB39" s="98"/>
      <c r="AC39" s="98"/>
      <c r="AD39" s="169"/>
      <c r="AE39" s="172">
        <v>5</v>
      </c>
      <c r="AF39" s="172">
        <v>5</v>
      </c>
      <c r="AG39" s="169"/>
      <c r="AI39" s="170"/>
      <c r="AJ39" s="173">
        <v>5</v>
      </c>
      <c r="AK39" s="173">
        <v>5</v>
      </c>
      <c r="AL39" s="170"/>
      <c r="AN39" s="155"/>
      <c r="AO39" s="157">
        <v>5</v>
      </c>
      <c r="AP39" s="174">
        <v>5</v>
      </c>
      <c r="AQ39" s="174">
        <v>5</v>
      </c>
      <c r="AR39" s="174">
        <v>5</v>
      </c>
      <c r="AS39" s="155"/>
      <c r="AV39" s="469"/>
      <c r="AW39" s="7"/>
      <c r="AX39" s="44"/>
      <c r="AY39" s="15"/>
      <c r="AZ39" s="20"/>
      <c r="BA39" s="19"/>
      <c r="BB39" s="15"/>
      <c r="BC39" s="15"/>
      <c r="BD39" s="15"/>
      <c r="BE39" s="19"/>
      <c r="BF39" s="15"/>
      <c r="BG39" s="15"/>
      <c r="BH39" s="15"/>
      <c r="BI39" s="15"/>
      <c r="BJ39" s="15"/>
      <c r="BK39" s="15"/>
      <c r="BL39" s="15"/>
      <c r="BM39" s="15"/>
      <c r="BN39" s="20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20"/>
      <c r="CC39" s="7"/>
      <c r="CD39" s="7"/>
      <c r="CE39" s="7"/>
      <c r="CF39" s="7"/>
      <c r="CG39" s="7"/>
      <c r="CH39" s="56"/>
      <c r="CI39" s="56"/>
      <c r="CJ39" s="56"/>
      <c r="CK39" s="56"/>
      <c r="CL39" s="56"/>
    </row>
    <row r="40" spans="1:90" ht="25.5" customHeight="1" x14ac:dyDescent="0.25">
      <c r="A40" s="456"/>
      <c r="B40" s="457"/>
      <c r="C40" s="458"/>
      <c r="D40" s="175"/>
      <c r="E40" s="98"/>
      <c r="F40" s="27"/>
      <c r="G40" s="27"/>
      <c r="H40" s="27"/>
      <c r="I40" s="56"/>
      <c r="J40" s="56"/>
      <c r="K40" s="408"/>
      <c r="L40" s="408"/>
      <c r="M40" s="98"/>
      <c r="P40" s="27"/>
      <c r="Q40" s="27"/>
      <c r="R40" s="7"/>
      <c r="S40" s="135"/>
      <c r="T40" s="27"/>
      <c r="U40" s="7"/>
      <c r="V40" s="135"/>
      <c r="W40" s="135"/>
      <c r="X40" s="135"/>
      <c r="Y40" s="62"/>
      <c r="Z40" s="153"/>
      <c r="AA40" s="176"/>
      <c r="AB40" s="98"/>
      <c r="AC40" s="91"/>
      <c r="AD40" s="169"/>
      <c r="AE40" s="172">
        <v>5</v>
      </c>
      <c r="AF40" s="172">
        <v>5</v>
      </c>
      <c r="AG40" s="169"/>
      <c r="AI40" s="170"/>
      <c r="AJ40" s="173">
        <v>5</v>
      </c>
      <c r="AK40" s="173">
        <v>5</v>
      </c>
      <c r="AL40" s="170"/>
      <c r="AN40" s="155"/>
      <c r="AO40" s="177">
        <v>5</v>
      </c>
      <c r="AP40" s="177">
        <v>5</v>
      </c>
      <c r="AQ40" s="177">
        <v>5</v>
      </c>
      <c r="AR40" s="157">
        <v>5</v>
      </c>
      <c r="AS40" s="155"/>
      <c r="AT40" s="135"/>
      <c r="AU40" s="135"/>
      <c r="AV40" s="470"/>
      <c r="AW40" s="7"/>
      <c r="AX40" s="19"/>
      <c r="AY40" s="15"/>
      <c r="AZ40" s="20"/>
      <c r="BA40" s="19"/>
      <c r="BB40" s="15"/>
      <c r="BC40" s="15"/>
      <c r="BD40" s="15"/>
      <c r="BE40" s="19"/>
      <c r="BF40" s="15"/>
      <c r="BG40" s="15"/>
      <c r="BH40" s="15"/>
      <c r="BI40" s="15"/>
      <c r="BJ40" s="15"/>
      <c r="BK40" s="15"/>
      <c r="BL40" s="15"/>
      <c r="BM40" s="15"/>
      <c r="BN40" s="20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20"/>
      <c r="CC40" s="7"/>
      <c r="CD40" s="7"/>
      <c r="CE40" s="7"/>
      <c r="CF40" s="7"/>
      <c r="CG40" s="7"/>
      <c r="CH40" s="56"/>
      <c r="CI40" s="56"/>
      <c r="CJ40" s="56"/>
      <c r="CK40" s="56"/>
      <c r="CL40" s="56"/>
    </row>
    <row r="41" spans="1:90" ht="23.25" x14ac:dyDescent="0.25">
      <c r="A41" s="456"/>
      <c r="B41" s="457"/>
      <c r="C41" s="458"/>
      <c r="D41" s="98"/>
      <c r="E41" s="98"/>
      <c r="F41" s="27"/>
      <c r="G41" s="27"/>
      <c r="H41" s="27"/>
      <c r="I41" s="56"/>
      <c r="J41" s="56"/>
      <c r="K41" s="62"/>
      <c r="L41" s="15"/>
      <c r="M41" s="98"/>
      <c r="P41" s="21"/>
      <c r="Q41" s="27"/>
      <c r="R41" s="7"/>
      <c r="S41" s="135"/>
      <c r="T41" s="15"/>
      <c r="U41" s="7"/>
      <c r="V41" s="135"/>
      <c r="W41" s="135"/>
      <c r="X41" s="135"/>
      <c r="Y41" s="178"/>
      <c r="Z41" s="98"/>
      <c r="AA41" s="176"/>
      <c r="AB41" s="98"/>
      <c r="AC41" s="91"/>
      <c r="AE41" s="169" t="s">
        <v>199</v>
      </c>
      <c r="AF41" s="169" t="s">
        <v>199</v>
      </c>
      <c r="AJ41" s="170" t="s">
        <v>201</v>
      </c>
      <c r="AK41" s="170" t="s">
        <v>201</v>
      </c>
      <c r="AL41" s="179"/>
      <c r="AO41" s="155" t="s">
        <v>201</v>
      </c>
      <c r="AP41" s="155" t="s">
        <v>201</v>
      </c>
      <c r="AQ41" s="155" t="s">
        <v>201</v>
      </c>
      <c r="AR41" s="155" t="s">
        <v>201</v>
      </c>
      <c r="AS41" s="122"/>
      <c r="AT41" s="135"/>
      <c r="AU41" s="135"/>
      <c r="AV41" s="135"/>
      <c r="AX41" s="19"/>
      <c r="AY41" s="15"/>
      <c r="AZ41" s="20"/>
      <c r="BA41" s="19"/>
      <c r="BB41" s="15"/>
      <c r="BC41" s="15"/>
      <c r="BD41" s="15"/>
      <c r="BE41" s="19"/>
      <c r="BF41" s="15"/>
      <c r="BG41" s="15"/>
      <c r="BH41" s="15"/>
      <c r="BI41" s="15"/>
      <c r="BJ41" s="15"/>
      <c r="BK41" s="15"/>
      <c r="BL41" s="15"/>
      <c r="BM41" s="15"/>
      <c r="BN41" s="20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20"/>
      <c r="CC41" s="7"/>
      <c r="CD41" s="7"/>
      <c r="CE41" s="7"/>
      <c r="CF41" s="7"/>
      <c r="CG41" s="7"/>
      <c r="CH41" s="56"/>
      <c r="CI41" s="56"/>
      <c r="CJ41" s="56"/>
      <c r="CK41" s="56"/>
      <c r="CL41" s="56"/>
    </row>
    <row r="42" spans="1:90" ht="15.75" x14ac:dyDescent="0.25">
      <c r="A42" s="456"/>
      <c r="B42" s="457"/>
      <c r="C42" s="458"/>
      <c r="D42" s="98"/>
      <c r="E42" s="98"/>
      <c r="F42" s="27"/>
      <c r="G42" s="27"/>
      <c r="H42" s="27"/>
      <c r="I42" s="56"/>
      <c r="J42" s="62"/>
      <c r="K42" s="62"/>
      <c r="L42" s="15"/>
      <c r="M42" s="98"/>
      <c r="N42" s="7"/>
      <c r="O42" s="166"/>
      <c r="P42" s="21"/>
      <c r="Q42" s="15"/>
      <c r="R42" s="7"/>
      <c r="T42" s="15"/>
      <c r="U42" s="7"/>
      <c r="Z42" s="98"/>
      <c r="AA42" s="176"/>
      <c r="AB42" s="91"/>
      <c r="AC42" s="91"/>
      <c r="AE42" s="101">
        <v>3</v>
      </c>
      <c r="AF42" s="101">
        <v>4</v>
      </c>
      <c r="AG42" s="101"/>
      <c r="AJ42" s="101">
        <v>3</v>
      </c>
      <c r="AK42" s="101">
        <v>4</v>
      </c>
      <c r="AL42" s="180"/>
      <c r="AO42" s="101">
        <v>5</v>
      </c>
      <c r="AP42" s="101">
        <v>6</v>
      </c>
      <c r="AQ42" s="101">
        <v>7</v>
      </c>
      <c r="AR42" s="101">
        <v>8</v>
      </c>
      <c r="AT42" s="135"/>
      <c r="AU42" s="411"/>
      <c r="AV42" s="411"/>
      <c r="AW42" s="411"/>
      <c r="AX42" s="19"/>
      <c r="AY42" s="15"/>
      <c r="AZ42" s="20"/>
      <c r="BA42" s="19"/>
      <c r="BB42" s="15"/>
      <c r="BC42" s="15"/>
      <c r="BD42" s="15"/>
      <c r="BE42" s="19"/>
      <c r="BF42" s="15"/>
      <c r="BG42" s="15"/>
      <c r="BH42" s="15"/>
      <c r="BI42" s="15"/>
      <c r="BJ42" s="15"/>
      <c r="BK42" s="15"/>
      <c r="BL42" s="15"/>
      <c r="BM42" s="15"/>
      <c r="BN42" s="20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20"/>
      <c r="CC42" s="7"/>
      <c r="CD42" s="7"/>
      <c r="CE42" s="7"/>
      <c r="CF42" s="7"/>
      <c r="CG42" s="7"/>
      <c r="CH42" s="7"/>
      <c r="CI42" s="7"/>
      <c r="CJ42" s="7"/>
      <c r="CK42" s="7"/>
      <c r="CL42" s="7"/>
    </row>
    <row r="43" spans="1:90" ht="15.75" customHeight="1" x14ac:dyDescent="0.25">
      <c r="A43" s="456"/>
      <c r="B43" s="457"/>
      <c r="C43" s="458"/>
      <c r="D43" s="98"/>
      <c r="E43" s="27"/>
      <c r="F43" s="27"/>
      <c r="G43" s="27"/>
      <c r="H43" s="27"/>
      <c r="I43" s="15"/>
      <c r="J43" s="15"/>
      <c r="K43" s="15"/>
      <c r="L43" s="15"/>
      <c r="M43" s="98"/>
      <c r="N43" s="101"/>
      <c r="O43" s="51"/>
      <c r="P43" s="21"/>
      <c r="Q43" s="15"/>
      <c r="R43" s="7"/>
      <c r="T43" s="15"/>
      <c r="U43" s="7"/>
      <c r="Y43" s="135"/>
      <c r="Z43" s="98"/>
      <c r="AA43" s="176"/>
      <c r="AB43" s="91"/>
      <c r="AC43" s="91"/>
      <c r="AF43" s="101"/>
      <c r="AG43" s="101"/>
      <c r="AH43" s="101"/>
      <c r="AO43" s="462" t="s">
        <v>211</v>
      </c>
      <c r="AP43" s="462"/>
      <c r="AQ43" s="462"/>
      <c r="AR43" s="462"/>
      <c r="AT43" s="135"/>
      <c r="AU43" s="411"/>
      <c r="AV43" s="411"/>
      <c r="AW43" s="411"/>
      <c r="AX43" s="19"/>
      <c r="AY43" s="15"/>
      <c r="AZ43" s="20"/>
      <c r="BA43" s="19"/>
      <c r="BB43" s="15"/>
      <c r="BC43" s="15"/>
      <c r="BD43" s="15"/>
      <c r="BE43" s="19"/>
      <c r="BF43" s="15"/>
      <c r="BG43" s="15"/>
      <c r="BH43" s="15"/>
      <c r="BI43" s="15"/>
      <c r="BJ43" s="15"/>
      <c r="BK43" s="15"/>
      <c r="BL43" s="15"/>
      <c r="BM43" s="15"/>
      <c r="BN43" s="20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20"/>
      <c r="CC43" s="7"/>
      <c r="CD43" s="7"/>
      <c r="CE43" s="7"/>
      <c r="CF43" s="7"/>
      <c r="CG43" s="7"/>
      <c r="CH43" s="7"/>
      <c r="CI43" s="7"/>
      <c r="CJ43" s="7"/>
      <c r="CK43" s="7"/>
      <c r="CL43" s="7"/>
    </row>
    <row r="44" spans="1:90" ht="15.75" x14ac:dyDescent="0.25">
      <c r="A44" s="456"/>
      <c r="B44" s="457"/>
      <c r="C44" s="458"/>
      <c r="D44" s="98"/>
      <c r="E44" s="27"/>
      <c r="F44" s="27"/>
      <c r="G44" s="27"/>
      <c r="H44" s="27"/>
      <c r="I44" s="98"/>
      <c r="J44" s="98"/>
      <c r="K44" s="98"/>
      <c r="L44" s="98"/>
      <c r="M44" s="98"/>
      <c r="N44" s="101"/>
      <c r="O44" s="101"/>
      <c r="P44" s="101"/>
      <c r="Q44" s="27"/>
      <c r="R44" s="166"/>
      <c r="S44" s="21"/>
      <c r="T44" s="21"/>
      <c r="U44" s="7"/>
      <c r="Y44" s="178"/>
      <c r="Z44" s="98"/>
      <c r="AA44" s="176"/>
      <c r="AB44" s="91"/>
      <c r="AC44" s="91"/>
      <c r="AL44" s="109"/>
      <c r="AU44" s="7"/>
      <c r="AV44" s="7"/>
      <c r="AW44" s="182"/>
      <c r="AX44" s="19"/>
      <c r="AY44" s="15"/>
      <c r="AZ44" s="20"/>
      <c r="BA44" s="19"/>
      <c r="BB44" s="15"/>
      <c r="BC44" s="15"/>
      <c r="BD44" s="15"/>
      <c r="BE44" s="19"/>
      <c r="BF44" s="15"/>
      <c r="BG44" s="15"/>
      <c r="BH44" s="15"/>
      <c r="BI44" s="15"/>
      <c r="BJ44" s="15"/>
      <c r="BK44" s="15"/>
      <c r="BL44" s="15"/>
      <c r="BM44" s="15"/>
      <c r="BN44" s="20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20"/>
      <c r="CC44" s="7"/>
      <c r="CD44" s="7"/>
      <c r="CE44" s="7"/>
      <c r="CF44" s="7"/>
      <c r="CG44" s="7"/>
      <c r="CH44" s="7"/>
      <c r="CI44" s="7"/>
      <c r="CJ44" s="7"/>
      <c r="CK44" s="7"/>
      <c r="CL44" s="7"/>
    </row>
    <row r="45" spans="1:90" ht="15.75" x14ac:dyDescent="0.25">
      <c r="A45" s="456"/>
      <c r="B45" s="457"/>
      <c r="C45" s="458"/>
      <c r="D45" s="98"/>
      <c r="E45" s="98"/>
      <c r="F45" s="98"/>
      <c r="G45" s="183"/>
      <c r="H45" s="98"/>
      <c r="I45" s="98"/>
      <c r="J45" s="98"/>
      <c r="K45" s="98"/>
      <c r="L45" s="98"/>
      <c r="M45" s="98"/>
      <c r="N45" s="107"/>
      <c r="O45" s="101"/>
      <c r="P45" s="51"/>
      <c r="Q45" s="51"/>
      <c r="R45" s="51"/>
      <c r="S45" s="51"/>
      <c r="T45" s="51"/>
      <c r="U45" s="7"/>
      <c r="V45" s="7"/>
      <c r="W45" s="7"/>
      <c r="X45" s="7"/>
      <c r="Y45" s="98"/>
      <c r="Z45" s="7"/>
      <c r="AA45" s="176"/>
      <c r="AB45" s="91"/>
      <c r="AC45" s="91"/>
      <c r="AI45" s="109"/>
      <c r="AJ45" s="109"/>
      <c r="AK45" s="184"/>
      <c r="AM45" s="185"/>
      <c r="AU45" s="7"/>
      <c r="AV45" s="7"/>
      <c r="AW45" s="182"/>
      <c r="AX45" s="44"/>
      <c r="AY45" s="15"/>
      <c r="AZ45" s="20"/>
      <c r="BA45" s="19"/>
      <c r="BB45" s="15"/>
      <c r="BC45" s="15"/>
      <c r="BD45" s="15"/>
      <c r="BE45" s="19"/>
      <c r="BF45" s="15"/>
      <c r="BG45" s="15"/>
      <c r="BH45" s="15"/>
      <c r="BI45" s="15"/>
      <c r="BJ45" s="15"/>
      <c r="BK45" s="15"/>
      <c r="BL45" s="15"/>
      <c r="BM45" s="15"/>
      <c r="BN45" s="20"/>
      <c r="BO45" s="7"/>
      <c r="BP45" s="7"/>
      <c r="BQ45" s="7"/>
      <c r="BR45" s="7"/>
      <c r="BS45" s="186"/>
      <c r="BT45" s="15"/>
      <c r="BU45" s="15"/>
      <c r="BV45" s="15"/>
      <c r="BW45" s="15"/>
      <c r="BX45" s="15"/>
      <c r="BY45" s="15"/>
      <c r="BZ45" s="15"/>
      <c r="CA45" s="15"/>
      <c r="CB45" s="20"/>
      <c r="CC45" s="7"/>
      <c r="CD45" s="7"/>
      <c r="CE45" s="7"/>
      <c r="CF45" s="7"/>
      <c r="CG45" s="7"/>
      <c r="CH45" s="7"/>
      <c r="CI45" s="7"/>
      <c r="CJ45" s="7"/>
      <c r="CK45" s="7"/>
      <c r="CL45" s="7"/>
    </row>
    <row r="46" spans="1:90" ht="15.75" thickBot="1" x14ac:dyDescent="0.3">
      <c r="A46" s="459"/>
      <c r="B46" s="460"/>
      <c r="C46" s="461"/>
      <c r="D46" s="98"/>
      <c r="E46" s="27"/>
      <c r="F46" s="27"/>
      <c r="G46" s="183"/>
      <c r="H46" s="98"/>
      <c r="I46" s="98"/>
      <c r="J46" s="98"/>
      <c r="K46" s="98"/>
      <c r="L46" s="98"/>
      <c r="M46" s="98"/>
      <c r="N46" s="98"/>
      <c r="O46" s="107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7"/>
      <c r="AA46" s="176"/>
      <c r="AB46" s="91"/>
      <c r="AC46" s="91"/>
      <c r="AI46" s="109"/>
      <c r="AJ46" s="109"/>
      <c r="AK46" s="109"/>
      <c r="AL46" s="184"/>
      <c r="AM46" s="185"/>
      <c r="AS46" s="122"/>
      <c r="AT46" s="122"/>
      <c r="AU46" s="7"/>
      <c r="AV46" s="7"/>
      <c r="AW46" s="182"/>
      <c r="AX46" s="44"/>
      <c r="AY46" s="15"/>
      <c r="AZ46" s="20"/>
      <c r="BA46" s="19"/>
      <c r="BB46" s="15"/>
      <c r="BC46" s="15"/>
      <c r="BD46" s="15"/>
      <c r="BE46" s="19"/>
      <c r="BF46" s="15"/>
      <c r="BG46" s="15"/>
      <c r="BH46" s="15"/>
      <c r="BI46" s="15"/>
      <c r="BJ46" s="15"/>
      <c r="BK46" s="15"/>
      <c r="BL46" s="15"/>
      <c r="BM46" s="15"/>
      <c r="BN46" s="20"/>
      <c r="BO46" s="7"/>
      <c r="BP46" s="7"/>
      <c r="BQ46" s="7"/>
      <c r="BR46" s="7"/>
      <c r="BS46" s="186"/>
      <c r="BT46" s="15"/>
      <c r="BU46" s="15"/>
      <c r="BV46" s="15"/>
      <c r="BW46" s="15"/>
      <c r="BX46" s="15"/>
      <c r="BY46" s="15"/>
      <c r="BZ46" s="15"/>
      <c r="CA46" s="15"/>
      <c r="CB46" s="20"/>
      <c r="CC46" s="7"/>
      <c r="CD46" s="7"/>
      <c r="CE46" s="7"/>
      <c r="CF46" s="7"/>
      <c r="CG46" s="7"/>
      <c r="CH46" s="7"/>
      <c r="CI46" s="7"/>
      <c r="CJ46" s="7"/>
      <c r="CK46" s="7"/>
      <c r="CL46" s="7"/>
    </row>
    <row r="47" spans="1:90" ht="18" x14ac:dyDescent="0.25">
      <c r="A47" s="187"/>
      <c r="B47" s="98"/>
      <c r="C47" s="98"/>
      <c r="D47" s="98"/>
      <c r="E47" s="127"/>
      <c r="F47" s="127"/>
      <c r="G47" s="183"/>
      <c r="H47" s="98"/>
      <c r="I47" s="98"/>
      <c r="J47" s="7"/>
      <c r="K47" s="98"/>
      <c r="L47" s="7"/>
      <c r="M47" s="98"/>
      <c r="N47" s="98"/>
      <c r="O47" s="490"/>
      <c r="P47" s="490"/>
      <c r="Q47" s="490"/>
      <c r="R47" s="490"/>
      <c r="S47" s="107"/>
      <c r="T47" s="107"/>
      <c r="U47" s="107"/>
      <c r="V47" s="107"/>
      <c r="W47" s="107"/>
      <c r="X47" s="15"/>
      <c r="Y47" s="15"/>
      <c r="Z47" s="7"/>
      <c r="AA47" s="176"/>
      <c r="AB47" s="91"/>
      <c r="AC47" s="91"/>
      <c r="AI47" s="109"/>
      <c r="AJ47" s="109"/>
      <c r="AK47" s="109"/>
      <c r="AL47" s="51"/>
      <c r="AM47" s="122"/>
      <c r="AS47" s="122"/>
      <c r="AT47" s="122"/>
      <c r="AU47" s="7"/>
      <c r="AV47" s="7"/>
      <c r="AW47" s="182"/>
      <c r="AX47" s="44"/>
      <c r="AY47" s="15"/>
      <c r="AZ47" s="20"/>
      <c r="BA47" s="19"/>
      <c r="BB47" s="15"/>
      <c r="BC47" s="15"/>
      <c r="BD47" s="15"/>
      <c r="BE47" s="19"/>
      <c r="BF47" s="15"/>
      <c r="BG47" s="15"/>
      <c r="BH47" s="15"/>
      <c r="BI47" s="15"/>
      <c r="BJ47" s="15"/>
      <c r="BK47" s="15"/>
      <c r="BL47" s="15"/>
      <c r="BM47" s="15"/>
      <c r="BN47" s="20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20"/>
      <c r="CC47" s="7"/>
      <c r="CD47" s="7"/>
      <c r="CE47" s="7"/>
      <c r="CF47" s="7"/>
      <c r="CG47" s="7"/>
      <c r="CH47" s="7"/>
      <c r="CI47" s="7"/>
      <c r="CJ47" s="7"/>
      <c r="CK47" s="7"/>
      <c r="CL47" s="7"/>
    </row>
    <row r="48" spans="1:90" ht="16.5" thickBot="1" x14ac:dyDescent="0.3">
      <c r="A48" s="188"/>
      <c r="B48" s="98"/>
      <c r="C48" s="98"/>
      <c r="D48" s="98"/>
      <c r="E48" s="98"/>
      <c r="F48" s="98"/>
      <c r="G48" s="183"/>
      <c r="H48" s="98"/>
      <c r="I48" s="98"/>
      <c r="J48" s="98"/>
      <c r="K48" s="98"/>
      <c r="L48" s="7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7"/>
      <c r="X48" s="7"/>
      <c r="Y48" s="15"/>
      <c r="Z48" s="7"/>
      <c r="AA48" s="176"/>
      <c r="AB48" s="91"/>
      <c r="AC48" s="91"/>
      <c r="AD48" s="189"/>
      <c r="AE48" s="189"/>
      <c r="AF48" s="190"/>
      <c r="AG48" s="411"/>
      <c r="AH48" s="411"/>
      <c r="AI48" s="411"/>
      <c r="AJ48" s="7"/>
      <c r="AM48" s="409"/>
      <c r="AN48" s="409"/>
      <c r="AO48" s="409"/>
      <c r="AR48" s="412"/>
      <c r="AS48" s="412"/>
      <c r="AT48" s="122"/>
      <c r="AU48" s="7"/>
      <c r="AV48" s="7"/>
      <c r="AW48" s="182"/>
      <c r="AX48" s="44"/>
      <c r="AY48" s="15"/>
      <c r="AZ48" s="20"/>
      <c r="BA48" s="19"/>
      <c r="BB48" s="15"/>
      <c r="BC48" s="15"/>
      <c r="BD48" s="15"/>
      <c r="BE48" s="42"/>
      <c r="BF48" s="43"/>
      <c r="BG48" s="43"/>
      <c r="BH48" s="43"/>
      <c r="BI48" s="43"/>
      <c r="BJ48" s="43"/>
      <c r="BK48" s="43"/>
      <c r="BL48" s="43"/>
      <c r="BM48" s="43"/>
      <c r="BN48" s="192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20"/>
      <c r="CC48" s="7"/>
      <c r="CD48" s="7"/>
      <c r="CE48" s="7"/>
      <c r="CF48" s="7"/>
      <c r="CG48" s="7"/>
      <c r="CH48" s="7"/>
      <c r="CI48" s="7"/>
      <c r="CJ48" s="7"/>
      <c r="CK48" s="7"/>
      <c r="CL48" s="7"/>
    </row>
    <row r="49" spans="1:95" ht="26.25" x14ac:dyDescent="0.25">
      <c r="A49" s="188"/>
      <c r="B49" s="98"/>
      <c r="C49" s="98"/>
      <c r="D49" s="98"/>
      <c r="E49" s="27"/>
      <c r="F49" s="27"/>
      <c r="G49" s="127"/>
      <c r="H49" s="98"/>
      <c r="I49" s="98"/>
      <c r="J49" s="7"/>
      <c r="K49" s="98"/>
      <c r="L49" s="7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7"/>
      <c r="X49" s="7"/>
      <c r="Y49" s="15"/>
      <c r="Z49" s="7"/>
      <c r="AA49" s="176"/>
      <c r="AB49" s="91"/>
      <c r="AC49" s="91"/>
      <c r="AD49" s="7"/>
      <c r="AE49" s="193"/>
      <c r="AF49" s="193"/>
      <c r="AG49" s="411"/>
      <c r="AH49" s="411"/>
      <c r="AI49" s="411"/>
      <c r="AJ49" s="7"/>
      <c r="AM49" s="409"/>
      <c r="AN49" s="409"/>
      <c r="AO49" s="409"/>
      <c r="AR49" s="412"/>
      <c r="AS49" s="412"/>
      <c r="AT49" s="122"/>
      <c r="AU49" s="7"/>
      <c r="AV49" s="7"/>
      <c r="AW49" s="182"/>
      <c r="AX49" s="44"/>
      <c r="AY49" s="15"/>
      <c r="AZ49" s="20"/>
      <c r="BA49" s="19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9"/>
      <c r="BN49" s="15"/>
      <c r="BO49" s="10"/>
      <c r="BP49" s="194"/>
      <c r="BQ49" s="194"/>
      <c r="BR49" s="194"/>
      <c r="BS49" s="15"/>
      <c r="BT49" s="15"/>
      <c r="BU49" s="15"/>
      <c r="BV49" s="15"/>
      <c r="BW49" s="15"/>
      <c r="BX49" s="15"/>
      <c r="BY49" s="15"/>
      <c r="BZ49" s="15"/>
      <c r="CA49" s="15"/>
      <c r="CB49" s="20"/>
      <c r="CC49" s="7"/>
      <c r="CD49" s="7"/>
      <c r="CE49" s="7"/>
      <c r="CF49" s="7"/>
      <c r="CG49" s="7"/>
      <c r="CH49" s="7"/>
      <c r="CI49" s="7"/>
      <c r="CJ49" s="7"/>
      <c r="CK49" s="7"/>
      <c r="CL49" s="7"/>
    </row>
    <row r="50" spans="1:95" ht="27" customHeight="1" thickBot="1" x14ac:dyDescent="0.3">
      <c r="A50" s="188"/>
      <c r="B50" s="98"/>
      <c r="C50" s="98"/>
      <c r="D50" s="98"/>
      <c r="E50" s="97"/>
      <c r="F50" s="97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195" t="s">
        <v>180</v>
      </c>
      <c r="X50" s="196"/>
      <c r="Y50" s="15"/>
      <c r="Z50" s="7"/>
      <c r="AA50" s="176"/>
      <c r="AB50" s="91"/>
      <c r="AC50" s="91"/>
      <c r="AD50" s="193"/>
      <c r="AE50" s="193"/>
      <c r="AF50" s="193"/>
      <c r="AG50" s="193"/>
      <c r="AH50" s="193"/>
      <c r="AI50" s="193"/>
      <c r="AJ50" s="193"/>
      <c r="AK50" s="193"/>
      <c r="AL50" s="193"/>
      <c r="AM50" s="193"/>
      <c r="AN50" s="193"/>
      <c r="AO50" s="193"/>
      <c r="AP50" s="193"/>
      <c r="AQ50" s="193"/>
      <c r="AR50" s="193"/>
      <c r="AS50" s="193"/>
      <c r="AT50" s="193"/>
      <c r="AU50" s="193"/>
      <c r="AV50" s="15"/>
      <c r="AW50" s="197"/>
      <c r="AX50" s="44"/>
      <c r="AY50" s="15"/>
      <c r="AZ50" s="20"/>
      <c r="BA50" s="19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9"/>
      <c r="BN50" s="15"/>
      <c r="BO50" s="20"/>
      <c r="BP50" s="194"/>
      <c r="BQ50" s="194"/>
      <c r="BR50" s="194"/>
      <c r="BS50" s="15"/>
      <c r="BT50" s="15"/>
      <c r="BU50" s="15"/>
      <c r="BV50" s="15"/>
      <c r="BW50" s="15"/>
      <c r="BX50" s="15"/>
      <c r="BY50" s="15"/>
      <c r="BZ50" s="15"/>
      <c r="CA50" s="15"/>
      <c r="CB50" s="20"/>
      <c r="CC50" s="7"/>
      <c r="CD50" s="7"/>
      <c r="CE50" s="7"/>
      <c r="CF50" s="7"/>
      <c r="CG50" s="7"/>
      <c r="CH50" s="7"/>
      <c r="CI50" s="7"/>
      <c r="CJ50" s="7"/>
      <c r="CK50" s="7"/>
      <c r="CL50" s="7"/>
    </row>
    <row r="51" spans="1:95" ht="27" thickBot="1" x14ac:dyDescent="0.3">
      <c r="A51" s="96"/>
      <c r="B51" s="98"/>
      <c r="C51" s="98"/>
      <c r="D51" s="153"/>
      <c r="E51" s="98"/>
      <c r="F51" s="98"/>
      <c r="G51" s="153"/>
      <c r="H51" s="491" t="s">
        <v>220</v>
      </c>
      <c r="I51" s="492"/>
      <c r="J51" s="492"/>
      <c r="K51" s="492"/>
      <c r="L51" s="492"/>
      <c r="M51" s="492"/>
      <c r="N51" s="492"/>
      <c r="O51" s="492"/>
      <c r="P51" s="492"/>
      <c r="Q51" s="492"/>
      <c r="R51" s="492"/>
      <c r="S51" s="492"/>
      <c r="T51" s="492"/>
      <c r="U51" s="492"/>
      <c r="V51" s="493"/>
      <c r="W51" s="198"/>
      <c r="X51" s="62"/>
      <c r="Y51" s="15"/>
      <c r="Z51" s="7"/>
      <c r="AA51" s="176"/>
      <c r="AB51" s="91"/>
      <c r="AC51" s="91"/>
      <c r="AD51" s="193"/>
      <c r="AE51" s="193"/>
      <c r="AF51" s="193"/>
      <c r="AG51" s="193"/>
      <c r="AH51" s="193"/>
      <c r="AI51" s="193"/>
      <c r="AJ51" s="193"/>
      <c r="AK51" s="193"/>
      <c r="AL51" s="193"/>
      <c r="AM51" s="193"/>
      <c r="AN51" s="193"/>
      <c r="AO51" s="193"/>
      <c r="AP51" s="193"/>
      <c r="AQ51" s="193"/>
      <c r="AR51" s="193"/>
      <c r="AS51" s="193"/>
      <c r="AT51" s="193"/>
      <c r="AU51" s="193"/>
      <c r="AV51" s="15"/>
      <c r="AW51" s="98"/>
      <c r="AX51" s="44"/>
      <c r="AY51" s="15"/>
      <c r="AZ51" s="20"/>
      <c r="BA51" s="19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9"/>
      <c r="BN51" s="15"/>
      <c r="BO51" s="15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10"/>
      <c r="CC51" s="7"/>
      <c r="CD51" s="7"/>
      <c r="CE51" s="7"/>
      <c r="CF51" s="7"/>
      <c r="CG51" s="7"/>
      <c r="CH51" s="7"/>
      <c r="CI51" s="7"/>
      <c r="CJ51" s="7"/>
      <c r="CK51" s="7"/>
      <c r="CL51" s="7"/>
    </row>
    <row r="52" spans="1:95" ht="15.75" x14ac:dyDescent="0.25">
      <c r="A52" s="500" t="s">
        <v>221</v>
      </c>
      <c r="B52" s="501"/>
      <c r="C52" s="199"/>
      <c r="D52" s="199"/>
      <c r="E52" s="98"/>
      <c r="F52" s="98"/>
      <c r="G52" s="98"/>
      <c r="H52" s="494"/>
      <c r="I52" s="495"/>
      <c r="J52" s="495"/>
      <c r="K52" s="495"/>
      <c r="L52" s="495"/>
      <c r="M52" s="495"/>
      <c r="N52" s="495"/>
      <c r="O52" s="495"/>
      <c r="P52" s="495"/>
      <c r="Q52" s="495"/>
      <c r="R52" s="495"/>
      <c r="S52" s="495"/>
      <c r="T52" s="495"/>
      <c r="U52" s="495"/>
      <c r="V52" s="496"/>
      <c r="W52" s="198"/>
      <c r="X52" s="62"/>
      <c r="Y52" s="98"/>
      <c r="Z52" s="98"/>
      <c r="AA52" s="176"/>
      <c r="AB52" s="91"/>
      <c r="AC52" s="91"/>
      <c r="AD52" s="200"/>
      <c r="AE52" s="200"/>
      <c r="AF52" s="200"/>
      <c r="AG52" s="200"/>
      <c r="AH52" s="200"/>
      <c r="AI52" s="200"/>
      <c r="AJ52" s="200"/>
      <c r="AK52" s="200"/>
      <c r="AL52" s="200"/>
      <c r="AM52" s="200"/>
      <c r="AN52" s="200"/>
      <c r="AO52" s="200"/>
      <c r="AP52" s="200"/>
      <c r="AQ52" s="200"/>
      <c r="AR52" s="200"/>
      <c r="AS52" s="200"/>
      <c r="AT52" s="200"/>
      <c r="AU52" s="200"/>
      <c r="AV52" s="201"/>
      <c r="AW52" s="98"/>
      <c r="AX52" s="44"/>
      <c r="AY52" s="15"/>
      <c r="AZ52" s="20"/>
      <c r="BA52" s="19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9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20"/>
      <c r="CC52" s="7"/>
      <c r="CD52" s="7"/>
      <c r="CE52" s="7"/>
      <c r="CF52" s="7"/>
      <c r="CG52" s="7"/>
      <c r="CH52" s="7"/>
      <c r="CI52" s="7"/>
      <c r="CJ52" s="7"/>
      <c r="CK52" s="7"/>
      <c r="CL52" s="7"/>
    </row>
    <row r="53" spans="1:95" ht="30.75" thickBot="1" x14ac:dyDescent="0.45">
      <c r="A53" s="502"/>
      <c r="B53" s="503"/>
      <c r="C53" s="202"/>
      <c r="D53" s="202"/>
      <c r="E53" s="98"/>
      <c r="F53" s="98"/>
      <c r="G53" s="98"/>
      <c r="H53" s="497"/>
      <c r="I53" s="498"/>
      <c r="J53" s="498"/>
      <c r="K53" s="498"/>
      <c r="L53" s="498"/>
      <c r="M53" s="498"/>
      <c r="N53" s="498"/>
      <c r="O53" s="498"/>
      <c r="P53" s="498"/>
      <c r="Q53" s="498"/>
      <c r="R53" s="498"/>
      <c r="S53" s="498"/>
      <c r="T53" s="498"/>
      <c r="U53" s="498"/>
      <c r="V53" s="499"/>
      <c r="W53" s="203"/>
      <c r="X53" s="204"/>
      <c r="Y53" s="98"/>
      <c r="Z53" s="98"/>
      <c r="AA53" s="205"/>
      <c r="AB53" s="98"/>
      <c r="AC53" s="91"/>
      <c r="AD53" s="200"/>
      <c r="AE53" s="200"/>
      <c r="AF53" s="200"/>
      <c r="AG53" s="190"/>
      <c r="AH53" s="206"/>
      <c r="AI53" s="206"/>
      <c r="AJ53" s="207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208"/>
      <c r="AY53" s="15"/>
      <c r="AZ53" s="20"/>
      <c r="BA53" s="19"/>
      <c r="BB53" s="15"/>
      <c r="BC53" s="15"/>
      <c r="BD53" s="15"/>
      <c r="BE53" s="434" t="s">
        <v>205</v>
      </c>
      <c r="BF53" s="434"/>
      <c r="BG53" s="434"/>
      <c r="BH53" s="15"/>
      <c r="BI53" s="15"/>
      <c r="BJ53" s="15"/>
      <c r="BK53" s="15"/>
      <c r="BL53" s="15"/>
      <c r="BM53" s="19"/>
      <c r="BN53" s="434" t="s">
        <v>222</v>
      </c>
      <c r="BO53" s="434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20"/>
      <c r="CC53" s="7"/>
      <c r="CD53" s="7"/>
      <c r="CE53" s="7"/>
      <c r="CF53" s="7"/>
      <c r="CG53" s="7"/>
      <c r="CH53" s="7"/>
      <c r="CI53" s="7"/>
      <c r="CJ53" s="7"/>
      <c r="CK53" s="7"/>
      <c r="CL53" s="7"/>
    </row>
    <row r="54" spans="1:95" x14ac:dyDescent="0.25">
      <c r="A54" s="44"/>
      <c r="B54" s="17"/>
      <c r="C54" s="17"/>
      <c r="D54" s="17"/>
      <c r="E54" s="17"/>
      <c r="F54" s="471" t="s">
        <v>222</v>
      </c>
      <c r="G54" s="472"/>
      <c r="H54" s="473"/>
      <c r="I54" s="473"/>
      <c r="J54" s="473"/>
      <c r="K54" s="474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209"/>
      <c r="X54" s="209"/>
      <c r="Y54" s="209"/>
      <c r="Z54" s="209"/>
      <c r="AA54" s="209"/>
      <c r="AB54" s="209"/>
      <c r="AC54" s="209"/>
      <c r="AD54" s="479"/>
      <c r="AE54" s="479"/>
      <c r="AF54" s="479"/>
      <c r="AG54" s="479"/>
      <c r="AH54" s="17"/>
      <c r="AI54" s="17"/>
      <c r="AJ54" s="17"/>
      <c r="AK54" s="15"/>
      <c r="AL54" s="15"/>
      <c r="AM54" s="15"/>
      <c r="AN54" s="15"/>
      <c r="AO54" s="15"/>
      <c r="AP54" s="15"/>
      <c r="AQ54" s="15"/>
      <c r="AR54" s="17"/>
      <c r="AS54" s="17"/>
      <c r="AT54" s="17"/>
      <c r="AU54" s="17"/>
      <c r="AV54" s="27"/>
      <c r="AW54" s="210"/>
      <c r="AX54" s="44"/>
      <c r="AY54" s="15"/>
      <c r="AZ54" s="20"/>
      <c r="BA54" s="19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9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20"/>
      <c r="CC54" s="7"/>
      <c r="CD54" s="7"/>
      <c r="CE54" s="7"/>
      <c r="CF54" s="7"/>
      <c r="CG54" s="7"/>
      <c r="CH54" s="7"/>
      <c r="CI54" s="7"/>
      <c r="CJ54" s="7"/>
      <c r="CK54" s="7"/>
      <c r="CL54" s="7"/>
    </row>
    <row r="55" spans="1:95" x14ac:dyDescent="0.25">
      <c r="A55" s="44"/>
      <c r="B55" s="211"/>
      <c r="C55" s="211"/>
      <c r="D55" s="211"/>
      <c r="E55" s="211"/>
      <c r="F55" s="475"/>
      <c r="G55" s="473"/>
      <c r="H55" s="473"/>
      <c r="I55" s="473"/>
      <c r="J55" s="473"/>
      <c r="K55" s="474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480"/>
      <c r="AE55" s="480"/>
      <c r="AF55" s="480"/>
      <c r="AG55" s="480"/>
      <c r="AH55" s="17"/>
      <c r="AI55" s="17"/>
      <c r="AJ55" s="17"/>
      <c r="AK55" s="17"/>
      <c r="AL55" s="17"/>
      <c r="AM55" s="17"/>
      <c r="AN55" s="17"/>
      <c r="AO55" s="17"/>
      <c r="AP55" s="17"/>
      <c r="AQ55" s="212"/>
      <c r="AR55" s="17"/>
      <c r="AS55" s="17"/>
      <c r="AT55" s="17"/>
      <c r="AU55" s="17"/>
      <c r="AV55" s="17"/>
      <c r="AW55" s="17"/>
      <c r="AX55" s="44"/>
      <c r="AY55" s="15"/>
      <c r="AZ55" s="20"/>
      <c r="BA55" s="19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9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20"/>
      <c r="CC55" s="7"/>
      <c r="CD55" s="7"/>
      <c r="CE55" s="7"/>
      <c r="CF55" s="7"/>
      <c r="CG55" s="7"/>
      <c r="CH55" s="7"/>
      <c r="CI55" s="7"/>
      <c r="CJ55" s="7"/>
      <c r="CK55" s="7"/>
      <c r="CL55" s="7"/>
    </row>
    <row r="56" spans="1:95" x14ac:dyDescent="0.25">
      <c r="A56" s="44"/>
      <c r="B56" s="17"/>
      <c r="C56" s="17"/>
      <c r="D56" s="17"/>
      <c r="E56" s="17"/>
      <c r="F56" s="475"/>
      <c r="G56" s="473"/>
      <c r="H56" s="473"/>
      <c r="I56" s="473"/>
      <c r="J56" s="473"/>
      <c r="K56" s="474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44"/>
      <c r="AY56" s="15"/>
      <c r="AZ56" s="20"/>
      <c r="BA56" s="19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9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20"/>
      <c r="CC56" s="7"/>
      <c r="CD56" s="7"/>
      <c r="CE56" s="7"/>
      <c r="CF56" s="7"/>
      <c r="CG56" s="7"/>
      <c r="CH56" s="7"/>
      <c r="CI56" s="7"/>
      <c r="CJ56" s="7"/>
      <c r="CK56" s="7"/>
      <c r="CL56" s="7"/>
    </row>
    <row r="57" spans="1:95" ht="15.75" thickBot="1" x14ac:dyDescent="0.3">
      <c r="A57" s="213"/>
      <c r="B57" s="77"/>
      <c r="C57" s="77"/>
      <c r="D57" s="77"/>
      <c r="E57" s="77"/>
      <c r="F57" s="476"/>
      <c r="G57" s="477"/>
      <c r="H57" s="477"/>
      <c r="I57" s="477"/>
      <c r="J57" s="477"/>
      <c r="K57" s="478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213"/>
      <c r="AY57" s="43"/>
      <c r="AZ57" s="192"/>
      <c r="BA57" s="42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2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192"/>
      <c r="CC57" s="7"/>
      <c r="CD57" s="7"/>
      <c r="CE57" s="7"/>
      <c r="CF57" s="7"/>
      <c r="CG57" s="7"/>
      <c r="CH57" s="7"/>
      <c r="CI57" s="7"/>
      <c r="CJ57" s="7"/>
      <c r="CK57" s="7"/>
      <c r="CL57" s="7"/>
    </row>
    <row r="58" spans="1:95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</row>
    <row r="59" spans="1:95" x14ac:dyDescent="0.25">
      <c r="A59" s="214"/>
      <c r="B59" s="215"/>
      <c r="C59" s="15"/>
      <c r="D59" s="167"/>
      <c r="E59" s="167"/>
      <c r="F59" s="167"/>
      <c r="G59" s="167"/>
      <c r="H59" s="167"/>
      <c r="I59" s="167"/>
      <c r="J59" s="167"/>
      <c r="K59" s="167"/>
      <c r="L59" s="167"/>
      <c r="M59" s="216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67"/>
      <c r="AB59" s="217"/>
      <c r="AC59" s="217"/>
      <c r="AD59" s="217"/>
      <c r="AE59" s="217"/>
      <c r="AF59" s="217"/>
      <c r="AG59" s="167"/>
      <c r="AH59" s="167"/>
      <c r="AI59" s="167"/>
      <c r="AJ59" s="167"/>
      <c r="AK59" s="167"/>
      <c r="AL59" s="167"/>
      <c r="AM59" s="167"/>
      <c r="AN59" s="167"/>
      <c r="AO59" s="167"/>
      <c r="AP59" s="167"/>
      <c r="AQ59" s="167"/>
      <c r="AR59" s="167"/>
      <c r="AS59" s="167"/>
      <c r="AT59" s="167"/>
      <c r="AU59" s="167"/>
      <c r="AV59" s="167"/>
      <c r="AW59" s="167"/>
      <c r="AX59" s="167"/>
      <c r="AY59" s="167"/>
      <c r="AZ59" s="167"/>
      <c r="BA59" s="167"/>
      <c r="BB59" s="167"/>
      <c r="BC59" s="167"/>
      <c r="BD59" s="167"/>
      <c r="BE59" s="167"/>
      <c r="BF59" s="167"/>
      <c r="BG59" s="167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7"/>
      <c r="BS59" s="167"/>
      <c r="BT59" s="167"/>
      <c r="BU59" s="167"/>
      <c r="BV59" s="167"/>
      <c r="BW59" s="167"/>
      <c r="BX59" s="167"/>
      <c r="BY59" s="167"/>
      <c r="BZ59" s="167"/>
      <c r="CA59" s="167"/>
      <c r="CB59" s="16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</row>
    <row r="60" spans="1:95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186"/>
      <c r="CK60" s="186"/>
      <c r="CL60" s="186"/>
      <c r="CM60" s="7"/>
      <c r="CN60" s="7"/>
      <c r="CO60" s="7"/>
      <c r="CP60" s="7"/>
      <c r="CQ60" s="7"/>
    </row>
    <row r="61" spans="1:95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186"/>
      <c r="CK61" s="186"/>
      <c r="CL61" s="186"/>
      <c r="CM61" s="7"/>
      <c r="CN61" s="7"/>
      <c r="CO61" s="7"/>
      <c r="CP61" s="7"/>
      <c r="CQ61" s="7"/>
    </row>
  </sheetData>
  <mergeCells count="32">
    <mergeCell ref="A52:B53"/>
    <mergeCell ref="BE53:BG53"/>
    <mergeCell ref="BN53:BO53"/>
    <mergeCell ref="F54:K57"/>
    <mergeCell ref="AD54:AG55"/>
    <mergeCell ref="AX30:AZ33"/>
    <mergeCell ref="CC31:CE31"/>
    <mergeCell ref="W34:Y34"/>
    <mergeCell ref="AL34:AL35"/>
    <mergeCell ref="O47:R47"/>
    <mergeCell ref="H51:V53"/>
    <mergeCell ref="A35:C46"/>
    <mergeCell ref="AO35:AR35"/>
    <mergeCell ref="Z36:AC37"/>
    <mergeCell ref="AJ36:AK36"/>
    <mergeCell ref="AV39:AV40"/>
    <mergeCell ref="AO43:AR43"/>
    <mergeCell ref="G13:J13"/>
    <mergeCell ref="D16:E16"/>
    <mergeCell ref="K16:L16"/>
    <mergeCell ref="AJ21:AL21"/>
    <mergeCell ref="A26:D34"/>
    <mergeCell ref="AJ28:AL28"/>
    <mergeCell ref="U7:V8"/>
    <mergeCell ref="BT7:CA7"/>
    <mergeCell ref="CC7:CN8"/>
    <mergeCell ref="D8:E8"/>
    <mergeCell ref="A1:CN1"/>
    <mergeCell ref="A2:CN2"/>
    <mergeCell ref="BA3:BC3"/>
    <mergeCell ref="BR3:CB6"/>
    <mergeCell ref="AE5:AH5"/>
  </mergeCells>
  <conditionalFormatting sqref="AR48">
    <cfRule type="duplicateValues" dxfId="7" priority="59"/>
  </conditionalFormatting>
  <conditionalFormatting sqref="AR49">
    <cfRule type="duplicateValues" dxfId="6" priority="57"/>
  </conditionalFormatting>
  <conditionalFormatting sqref="AS48">
    <cfRule type="duplicateValues" dxfId="5" priority="58"/>
  </conditionalFormatting>
  <conditionalFormatting sqref="AS49">
    <cfRule type="duplicateValues" dxfId="4" priority="56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rgb="FFFF66FF"/>
  </sheetPr>
  <dimension ref="A1:CQ61"/>
  <sheetViews>
    <sheetView zoomScale="41" zoomScaleNormal="41" workbookViewId="0">
      <selection sqref="A1:XFD1048576"/>
    </sheetView>
  </sheetViews>
  <sheetFormatPr baseColWidth="10" defaultColWidth="16.7109375" defaultRowHeight="15" x14ac:dyDescent="0.25"/>
  <cols>
    <col min="1" max="92" width="12.7109375" customWidth="1"/>
  </cols>
  <sheetData>
    <row r="1" spans="1:92" ht="33.75" customHeight="1" x14ac:dyDescent="0.25">
      <c r="A1" s="425" t="s">
        <v>160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426"/>
      <c r="Z1" s="426"/>
      <c r="AA1" s="426"/>
      <c r="AB1" s="426"/>
      <c r="AC1" s="426"/>
      <c r="AD1" s="426"/>
      <c r="AE1" s="426"/>
      <c r="AF1" s="426"/>
      <c r="AG1" s="426"/>
      <c r="AH1" s="426"/>
      <c r="AI1" s="426"/>
      <c r="AJ1" s="426"/>
      <c r="AK1" s="426"/>
      <c r="AL1" s="426"/>
      <c r="AM1" s="426"/>
      <c r="AN1" s="426"/>
      <c r="AO1" s="426"/>
      <c r="AP1" s="426"/>
      <c r="AQ1" s="426"/>
      <c r="AR1" s="426"/>
      <c r="AS1" s="426"/>
      <c r="AT1" s="426"/>
      <c r="AU1" s="426"/>
      <c r="AV1" s="426"/>
      <c r="AW1" s="426"/>
      <c r="AX1" s="426"/>
      <c r="AY1" s="426"/>
      <c r="AZ1" s="426"/>
      <c r="BA1" s="426"/>
      <c r="BB1" s="426"/>
      <c r="BC1" s="426"/>
      <c r="BD1" s="426"/>
      <c r="BE1" s="426"/>
      <c r="BF1" s="426"/>
      <c r="BG1" s="426"/>
      <c r="BH1" s="426"/>
      <c r="BI1" s="426"/>
      <c r="BJ1" s="426"/>
      <c r="BK1" s="426"/>
      <c r="BL1" s="426"/>
      <c r="BM1" s="426"/>
      <c r="BN1" s="426"/>
      <c r="BO1" s="426"/>
      <c r="BP1" s="426"/>
      <c r="BQ1" s="426"/>
      <c r="BR1" s="426"/>
      <c r="BS1" s="426"/>
      <c r="BT1" s="426"/>
      <c r="BU1" s="426"/>
      <c r="BV1" s="426"/>
      <c r="BW1" s="426"/>
      <c r="BX1" s="426"/>
      <c r="BY1" s="426"/>
      <c r="BZ1" s="426"/>
      <c r="CA1" s="426"/>
      <c r="CB1" s="426"/>
      <c r="CC1" s="426"/>
      <c r="CD1" s="426"/>
      <c r="CE1" s="426"/>
      <c r="CF1" s="426"/>
      <c r="CG1" s="426"/>
      <c r="CH1" s="426"/>
      <c r="CI1" s="426"/>
      <c r="CJ1" s="426"/>
      <c r="CK1" s="426"/>
      <c r="CL1" s="426"/>
      <c r="CM1" s="426"/>
      <c r="CN1" s="426"/>
    </row>
    <row r="2" spans="1:92" ht="28.5" customHeight="1" thickBot="1" x14ac:dyDescent="0.3">
      <c r="A2" s="427" t="s">
        <v>161</v>
      </c>
      <c r="B2" s="427"/>
      <c r="C2" s="427"/>
      <c r="D2" s="427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427"/>
      <c r="Z2" s="427"/>
      <c r="AA2" s="427"/>
      <c r="AB2" s="427"/>
      <c r="AC2" s="427"/>
      <c r="AD2" s="427"/>
      <c r="AE2" s="427"/>
      <c r="AF2" s="427"/>
      <c r="AG2" s="427"/>
      <c r="AH2" s="427"/>
      <c r="AI2" s="427"/>
      <c r="AJ2" s="427"/>
      <c r="AK2" s="427"/>
      <c r="AL2" s="427"/>
      <c r="AM2" s="427"/>
      <c r="AN2" s="427"/>
      <c r="AO2" s="427"/>
      <c r="AP2" s="427"/>
      <c r="AQ2" s="427"/>
      <c r="AR2" s="427"/>
      <c r="AS2" s="427"/>
      <c r="AT2" s="427"/>
      <c r="AU2" s="427"/>
      <c r="AV2" s="427"/>
      <c r="AW2" s="427"/>
      <c r="AX2" s="427"/>
      <c r="AY2" s="427"/>
      <c r="AZ2" s="427"/>
      <c r="BA2" s="427"/>
      <c r="BB2" s="427"/>
      <c r="BC2" s="427"/>
      <c r="BD2" s="427"/>
      <c r="BE2" s="427"/>
      <c r="BF2" s="427"/>
      <c r="BG2" s="427"/>
      <c r="BH2" s="427"/>
      <c r="BI2" s="427"/>
      <c r="BJ2" s="427"/>
      <c r="BK2" s="427"/>
      <c r="BL2" s="427"/>
      <c r="BM2" s="427"/>
      <c r="BN2" s="427"/>
      <c r="BO2" s="427"/>
      <c r="BP2" s="427"/>
      <c r="BQ2" s="427"/>
      <c r="BR2" s="427"/>
      <c r="BS2" s="427"/>
      <c r="BT2" s="427"/>
      <c r="BU2" s="427"/>
      <c r="BV2" s="427"/>
      <c r="BW2" s="427"/>
      <c r="BX2" s="427"/>
      <c r="BY2" s="427"/>
      <c r="BZ2" s="427"/>
      <c r="CA2" s="427"/>
      <c r="CB2" s="427"/>
      <c r="CC2" s="427"/>
      <c r="CD2" s="427"/>
      <c r="CE2" s="427"/>
      <c r="CF2" s="427"/>
      <c r="CG2" s="427"/>
      <c r="CH2" s="427"/>
      <c r="CI2" s="427"/>
      <c r="CJ2" s="427"/>
      <c r="CK2" s="427"/>
      <c r="CL2" s="427"/>
      <c r="CM2" s="427"/>
      <c r="CN2" s="427"/>
    </row>
    <row r="3" spans="1:92" ht="28.5" thickBot="1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4"/>
      <c r="T3" s="4"/>
      <c r="U3" s="5"/>
      <c r="V3" s="5"/>
      <c r="W3" s="5"/>
      <c r="X3" s="5"/>
      <c r="Y3" s="5"/>
      <c r="Z3" s="5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5"/>
      <c r="AS3" s="5"/>
      <c r="AT3" s="5"/>
      <c r="AU3" s="5"/>
      <c r="AV3" s="5"/>
      <c r="AW3" s="6"/>
      <c r="AX3" s="2"/>
      <c r="AY3" s="7"/>
      <c r="AZ3" s="7"/>
      <c r="BA3" s="428" t="s">
        <v>162</v>
      </c>
      <c r="BB3" s="429"/>
      <c r="BC3" s="429"/>
      <c r="BD3" s="8"/>
      <c r="BE3" s="9"/>
      <c r="BF3" s="9"/>
      <c r="BG3" s="10"/>
      <c r="BH3" s="11"/>
      <c r="BI3" s="9"/>
      <c r="BJ3" s="9"/>
      <c r="BK3" s="12"/>
      <c r="BL3" s="12"/>
      <c r="BM3" s="13"/>
      <c r="BN3" s="8"/>
      <c r="BO3" s="9"/>
      <c r="BP3" s="9"/>
      <c r="BQ3" s="9"/>
      <c r="BR3" s="430" t="s">
        <v>163</v>
      </c>
      <c r="BS3" s="431"/>
      <c r="BT3" s="431"/>
      <c r="BU3" s="431"/>
      <c r="BV3" s="431"/>
      <c r="BW3" s="431"/>
      <c r="BX3" s="431"/>
      <c r="BY3" s="431"/>
      <c r="BZ3" s="431"/>
      <c r="CA3" s="431"/>
      <c r="CB3" s="432"/>
      <c r="CC3" s="7"/>
      <c r="CD3" s="7"/>
      <c r="CE3" s="7"/>
      <c r="CF3" s="7"/>
      <c r="CG3" s="7"/>
      <c r="CH3" s="7"/>
      <c r="CI3" s="7"/>
      <c r="CJ3" s="7"/>
      <c r="CK3" s="7"/>
      <c r="CL3" s="7"/>
    </row>
    <row r="4" spans="1:92" ht="27.75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14"/>
      <c r="S4" s="2"/>
      <c r="T4" s="2"/>
      <c r="U4" s="15"/>
      <c r="V4" s="15"/>
      <c r="W4" s="15"/>
      <c r="X4" s="15"/>
      <c r="Y4" s="15"/>
      <c r="Z4" s="15"/>
      <c r="AA4" s="2"/>
      <c r="AB4" s="2"/>
      <c r="AC4" s="2"/>
      <c r="AD4" s="16" t="s">
        <v>164</v>
      </c>
      <c r="AE4" s="16" t="s">
        <v>165</v>
      </c>
      <c r="AF4" s="16" t="s">
        <v>166</v>
      </c>
      <c r="AG4" s="16" t="s">
        <v>167</v>
      </c>
      <c r="AH4" s="16" t="s">
        <v>168</v>
      </c>
      <c r="AI4" s="16" t="s">
        <v>169</v>
      </c>
      <c r="AJ4" s="16" t="s">
        <v>164</v>
      </c>
      <c r="AK4" s="16" t="s">
        <v>168</v>
      </c>
      <c r="AL4" s="16" t="s">
        <v>170</v>
      </c>
      <c r="AM4" s="16" t="s">
        <v>167</v>
      </c>
      <c r="AN4" s="16" t="s">
        <v>165</v>
      </c>
      <c r="AO4" s="16"/>
      <c r="AP4" s="17"/>
      <c r="AQ4" s="17"/>
      <c r="AR4" s="15"/>
      <c r="AS4" s="15"/>
      <c r="AT4" s="15"/>
      <c r="AU4" s="15"/>
      <c r="AV4" s="15"/>
      <c r="AW4" s="18"/>
      <c r="AX4" s="17"/>
      <c r="AY4" s="7"/>
      <c r="AZ4" s="7"/>
      <c r="BA4" s="19"/>
      <c r="BB4" s="15"/>
      <c r="BC4" s="15"/>
      <c r="BD4" s="19"/>
      <c r="BE4" s="15"/>
      <c r="BF4" s="15"/>
      <c r="BG4" s="20"/>
      <c r="BH4" s="7"/>
      <c r="BI4" s="7"/>
      <c r="BJ4" s="7"/>
      <c r="BK4" s="7"/>
      <c r="BL4" s="7"/>
      <c r="BM4" s="21"/>
      <c r="BN4" s="19"/>
      <c r="BO4" s="22" t="s">
        <v>171</v>
      </c>
      <c r="BP4" s="15"/>
      <c r="BQ4" s="15"/>
      <c r="BR4" s="433"/>
      <c r="BS4" s="434"/>
      <c r="BT4" s="434"/>
      <c r="BU4" s="434"/>
      <c r="BV4" s="434"/>
      <c r="BW4" s="434"/>
      <c r="BX4" s="434"/>
      <c r="BY4" s="434"/>
      <c r="BZ4" s="434"/>
      <c r="CA4" s="434"/>
      <c r="CB4" s="435"/>
      <c r="CC4" s="7"/>
      <c r="CD4" s="7"/>
      <c r="CE4" s="7"/>
      <c r="CF4" s="7"/>
      <c r="CG4" s="7"/>
      <c r="CH4" s="7"/>
      <c r="CI4" s="7"/>
      <c r="CJ4" s="7"/>
      <c r="CK4" s="7"/>
      <c r="CL4" s="7"/>
    </row>
    <row r="5" spans="1:92" ht="28.5" thickBot="1" x14ac:dyDescent="0.45">
      <c r="A5" s="26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14"/>
      <c r="S5" s="2"/>
      <c r="T5" s="2"/>
      <c r="U5" s="15"/>
      <c r="V5" s="15"/>
      <c r="W5" s="15"/>
      <c r="X5" s="15"/>
      <c r="Y5" s="15"/>
      <c r="Z5" s="15"/>
      <c r="AA5" s="2"/>
      <c r="AB5" s="2"/>
      <c r="AC5" s="2"/>
      <c r="AD5" s="2"/>
      <c r="AE5" s="439"/>
      <c r="AF5" s="439"/>
      <c r="AG5" s="439"/>
      <c r="AH5" s="439"/>
      <c r="AI5" s="2"/>
      <c r="AJ5" s="2"/>
      <c r="AK5" s="2"/>
      <c r="AL5" s="2"/>
      <c r="AM5" s="2"/>
      <c r="AN5" s="2"/>
      <c r="AO5" s="2"/>
      <c r="AP5" s="2"/>
      <c r="AQ5" s="2"/>
      <c r="AR5" s="27"/>
      <c r="AS5" s="28"/>
      <c r="AT5" s="28"/>
      <c r="AU5" s="28"/>
      <c r="AV5" s="29"/>
      <c r="AW5" s="30"/>
      <c r="AX5" s="17"/>
      <c r="AY5" s="7"/>
      <c r="AZ5" s="7"/>
      <c r="BA5" s="19"/>
      <c r="BB5" s="15"/>
      <c r="BC5" s="31" t="s">
        <v>172</v>
      </c>
      <c r="BD5" s="15"/>
      <c r="BE5" s="24" t="s">
        <v>173</v>
      </c>
      <c r="BF5" s="15"/>
      <c r="BG5" s="20"/>
      <c r="BH5" s="7"/>
      <c r="BI5" s="7"/>
      <c r="BJ5" s="7"/>
      <c r="BK5" s="7"/>
      <c r="BL5" s="7"/>
      <c r="BM5" s="15"/>
      <c r="BN5" s="19"/>
      <c r="BO5" s="15"/>
      <c r="BP5" s="15"/>
      <c r="BQ5" s="15"/>
      <c r="BR5" s="433"/>
      <c r="BS5" s="434"/>
      <c r="BT5" s="434"/>
      <c r="BU5" s="434"/>
      <c r="BV5" s="434"/>
      <c r="BW5" s="434"/>
      <c r="BX5" s="434"/>
      <c r="BY5" s="434"/>
      <c r="BZ5" s="434"/>
      <c r="CA5" s="434"/>
      <c r="CB5" s="435"/>
      <c r="CC5" s="7"/>
      <c r="CD5" s="7"/>
      <c r="CE5" s="7"/>
      <c r="CF5" s="7"/>
      <c r="CG5" s="7"/>
      <c r="CH5" s="7"/>
      <c r="CI5" s="7"/>
      <c r="CJ5" s="7"/>
      <c r="CK5" s="7"/>
      <c r="CL5" s="7"/>
    </row>
    <row r="6" spans="1:92" ht="24" thickBot="1" x14ac:dyDescent="0.3">
      <c r="A6" s="32"/>
      <c r="B6" s="33"/>
      <c r="C6" s="33"/>
      <c r="D6" s="33"/>
      <c r="E6" s="33"/>
      <c r="F6" s="33"/>
      <c r="G6" s="33"/>
      <c r="H6" s="33"/>
      <c r="I6" s="33"/>
      <c r="J6" s="34"/>
      <c r="K6" s="35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6"/>
      <c r="AR6" s="37"/>
      <c r="AS6" s="38" t="s">
        <v>174</v>
      </c>
      <c r="AT6" s="38"/>
      <c r="AU6" s="39"/>
      <c r="AV6" s="40"/>
      <c r="AW6" s="41"/>
      <c r="AX6" s="17"/>
      <c r="AY6" s="7"/>
      <c r="AZ6" s="7"/>
      <c r="BA6" s="19"/>
      <c r="BB6" s="15"/>
      <c r="BC6" s="15"/>
      <c r="BD6" s="15"/>
      <c r="BE6" s="15"/>
      <c r="BF6" s="15"/>
      <c r="BG6" s="20"/>
      <c r="BH6" s="15"/>
      <c r="BI6" s="7"/>
      <c r="BJ6" s="7"/>
      <c r="BK6" s="7"/>
      <c r="BL6" s="7"/>
      <c r="BM6" s="15"/>
      <c r="BN6" s="42"/>
      <c r="BO6" s="43"/>
      <c r="BP6" s="43"/>
      <c r="BQ6" s="43"/>
      <c r="BR6" s="436"/>
      <c r="BS6" s="437"/>
      <c r="BT6" s="434"/>
      <c r="BU6" s="434"/>
      <c r="BV6" s="434"/>
      <c r="BW6" s="434"/>
      <c r="BX6" s="434"/>
      <c r="BY6" s="434"/>
      <c r="BZ6" s="434"/>
      <c r="CA6" s="434"/>
      <c r="CB6" s="438"/>
      <c r="CC6" s="7"/>
      <c r="CD6" s="7"/>
      <c r="CE6" s="7"/>
      <c r="CF6" s="7"/>
      <c r="CG6" s="7"/>
      <c r="CH6" s="7"/>
      <c r="CI6" s="7"/>
      <c r="CJ6" s="7"/>
      <c r="CK6" s="7"/>
      <c r="CL6" s="7"/>
    </row>
    <row r="7" spans="1:92" ht="24" thickBot="1" x14ac:dyDescent="0.3">
      <c r="A7" s="44"/>
      <c r="B7" s="17"/>
      <c r="C7" s="17"/>
      <c r="D7" s="17"/>
      <c r="E7" s="17"/>
      <c r="F7" s="17"/>
      <c r="G7" s="17"/>
      <c r="H7" s="17"/>
      <c r="I7" s="17"/>
      <c r="J7" s="45"/>
      <c r="K7" s="46"/>
      <c r="L7" s="17"/>
      <c r="M7" s="17"/>
      <c r="N7" s="17"/>
      <c r="O7" s="17"/>
      <c r="P7" s="17"/>
      <c r="Q7" s="17"/>
      <c r="R7" s="17"/>
      <c r="S7" s="17"/>
      <c r="T7" s="17"/>
      <c r="U7" s="413" t="s">
        <v>175</v>
      </c>
      <c r="V7" s="414"/>
      <c r="W7" s="17"/>
      <c r="X7" s="47"/>
      <c r="Y7" s="16"/>
      <c r="Z7" s="48"/>
      <c r="AA7" s="16"/>
      <c r="AB7" s="48"/>
      <c r="AC7" s="49"/>
      <c r="AD7" s="48"/>
      <c r="AE7" s="16"/>
      <c r="AF7" s="15"/>
      <c r="AG7" s="15"/>
      <c r="AH7" s="15"/>
      <c r="AI7" s="15"/>
      <c r="AJ7" s="16"/>
      <c r="AK7" s="16"/>
      <c r="AL7" s="16"/>
      <c r="AM7" s="16"/>
      <c r="AN7" s="16"/>
      <c r="AO7" s="16"/>
      <c r="AP7" s="16"/>
      <c r="AQ7" s="16"/>
      <c r="AR7" s="50"/>
      <c r="AS7" s="27"/>
      <c r="AT7" s="27"/>
      <c r="AU7" s="51"/>
      <c r="AV7" s="52"/>
      <c r="AW7" s="53"/>
      <c r="AX7" s="17"/>
      <c r="AY7" s="7"/>
      <c r="AZ7" s="7"/>
      <c r="BA7" s="19"/>
      <c r="BB7" s="15"/>
      <c r="BC7" s="15"/>
      <c r="BD7" s="23" t="s">
        <v>176</v>
      </c>
      <c r="BE7" s="15"/>
      <c r="BF7" s="24" t="s">
        <v>177</v>
      </c>
      <c r="BG7" s="20"/>
      <c r="BH7" s="15"/>
      <c r="BI7" s="15"/>
      <c r="BJ7" s="7"/>
      <c r="BK7" s="7"/>
      <c r="BL7" s="7"/>
      <c r="BM7" s="18"/>
      <c r="BN7" s="54"/>
      <c r="BO7" s="55"/>
      <c r="BP7" s="55"/>
      <c r="BQ7" s="55"/>
      <c r="BR7" s="55"/>
      <c r="BS7" s="55"/>
      <c r="BT7" s="417" t="s">
        <v>163</v>
      </c>
      <c r="BU7" s="418"/>
      <c r="BV7" s="418"/>
      <c r="BW7" s="418"/>
      <c r="BX7" s="418"/>
      <c r="BY7" s="418"/>
      <c r="BZ7" s="418"/>
      <c r="CA7" s="419"/>
      <c r="CB7" s="56"/>
      <c r="CC7" s="420" t="s">
        <v>178</v>
      </c>
      <c r="CD7" s="421"/>
      <c r="CE7" s="421"/>
      <c r="CF7" s="421"/>
      <c r="CG7" s="421"/>
      <c r="CH7" s="421"/>
      <c r="CI7" s="421"/>
      <c r="CJ7" s="421"/>
      <c r="CK7" s="421"/>
      <c r="CL7" s="421"/>
      <c r="CM7" s="421"/>
      <c r="CN7" s="421"/>
    </row>
    <row r="8" spans="1:92" ht="28.5" thickBot="1" x14ac:dyDescent="0.45">
      <c r="A8" s="44"/>
      <c r="B8" s="17"/>
      <c r="C8" s="17"/>
      <c r="D8" s="424" t="s">
        <v>179</v>
      </c>
      <c r="E8" s="424"/>
      <c r="F8" s="17"/>
      <c r="G8" s="17"/>
      <c r="H8" s="57" t="s">
        <v>180</v>
      </c>
      <c r="I8" s="58"/>
      <c r="J8" s="7"/>
      <c r="K8" s="46"/>
      <c r="L8" s="17"/>
      <c r="M8" s="17"/>
      <c r="N8" s="17"/>
      <c r="O8" s="17"/>
      <c r="P8" s="17"/>
      <c r="Q8" s="17"/>
      <c r="R8" s="17"/>
      <c r="S8" s="17"/>
      <c r="T8" s="17"/>
      <c r="U8" s="415"/>
      <c r="V8" s="416"/>
      <c r="W8" s="17"/>
      <c r="X8" s="17"/>
      <c r="Y8" s="16"/>
      <c r="Z8" s="16"/>
      <c r="AA8" s="17"/>
      <c r="AB8" s="16"/>
      <c r="AC8" s="16"/>
      <c r="AD8" s="16"/>
      <c r="AE8" s="2"/>
      <c r="AF8" s="59"/>
      <c r="AG8" s="59"/>
      <c r="AH8" s="59"/>
      <c r="AI8" s="59"/>
      <c r="AJ8" s="2"/>
      <c r="AK8" s="17"/>
      <c r="AL8" s="17"/>
      <c r="AM8" s="17"/>
      <c r="AN8" s="17"/>
      <c r="AO8" s="17"/>
      <c r="AP8" s="17"/>
      <c r="AQ8" s="17"/>
      <c r="AR8" s="50"/>
      <c r="AS8" s="27"/>
      <c r="AT8" s="27"/>
      <c r="AU8" s="51"/>
      <c r="AV8" s="52"/>
      <c r="AW8" s="53"/>
      <c r="AX8" s="17"/>
      <c r="AY8" s="7"/>
      <c r="AZ8" s="7"/>
      <c r="BA8" s="19"/>
      <c r="BB8" s="15"/>
      <c r="BC8" s="15"/>
      <c r="BD8" s="19"/>
      <c r="BE8" s="27" t="s">
        <v>181</v>
      </c>
      <c r="BF8" s="15"/>
      <c r="BG8" s="20"/>
      <c r="BH8" s="15"/>
      <c r="BI8" s="15"/>
      <c r="BJ8" s="15"/>
      <c r="BK8" s="15"/>
      <c r="BL8" s="15"/>
      <c r="BM8" s="18"/>
      <c r="BN8" s="60"/>
      <c r="BO8" s="61"/>
      <c r="BP8" s="56"/>
      <c r="BQ8" s="56"/>
      <c r="BR8" s="56"/>
      <c r="BS8" s="56"/>
      <c r="BT8" s="56"/>
      <c r="BU8" s="56"/>
      <c r="BV8" s="56"/>
      <c r="BW8" s="56"/>
      <c r="BX8" s="62"/>
      <c r="BY8" s="56"/>
      <c r="BZ8" s="56"/>
      <c r="CA8" s="56"/>
      <c r="CB8" s="56"/>
      <c r="CC8" s="422"/>
      <c r="CD8" s="423"/>
      <c r="CE8" s="423"/>
      <c r="CF8" s="423"/>
      <c r="CG8" s="423"/>
      <c r="CH8" s="423"/>
      <c r="CI8" s="423"/>
      <c r="CJ8" s="423"/>
      <c r="CK8" s="423"/>
      <c r="CL8" s="423"/>
      <c r="CM8" s="423"/>
      <c r="CN8" s="423"/>
    </row>
    <row r="9" spans="1:92" ht="27.75" x14ac:dyDescent="0.4">
      <c r="A9" s="44"/>
      <c r="B9" s="17"/>
      <c r="C9" s="17"/>
      <c r="D9" s="17"/>
      <c r="E9" s="17"/>
      <c r="F9" s="17"/>
      <c r="G9" s="17"/>
      <c r="H9" s="17"/>
      <c r="I9" s="17"/>
      <c r="J9" s="63"/>
      <c r="K9" s="46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47"/>
      <c r="Y9" s="17"/>
      <c r="Z9" s="47"/>
      <c r="AA9" s="17"/>
      <c r="AB9" s="47"/>
      <c r="AC9" s="64"/>
      <c r="AD9" s="65"/>
      <c r="AE9" s="2"/>
      <c r="AF9" s="15"/>
      <c r="AG9" s="15"/>
      <c r="AH9" s="15"/>
      <c r="AI9" s="15"/>
      <c r="AJ9" s="2"/>
      <c r="AK9" s="66"/>
      <c r="AL9" s="66"/>
      <c r="AM9" s="17"/>
      <c r="AN9" s="17"/>
      <c r="AO9" s="17"/>
      <c r="AP9" s="17"/>
      <c r="AQ9" s="17"/>
      <c r="AR9" s="50"/>
      <c r="AS9" s="7"/>
      <c r="AT9" s="7"/>
      <c r="AU9" s="7"/>
      <c r="AV9" s="21"/>
      <c r="AW9" s="67"/>
      <c r="AX9" s="17"/>
      <c r="AY9" s="7"/>
      <c r="AZ9" s="7"/>
      <c r="BA9" s="19"/>
      <c r="BB9" s="15"/>
      <c r="BC9" s="15"/>
      <c r="BD9" s="19"/>
      <c r="BE9" s="15"/>
      <c r="BF9" s="15"/>
      <c r="BG9" s="31" t="s">
        <v>172</v>
      </c>
      <c r="BH9" s="7"/>
      <c r="BI9" s="7"/>
      <c r="BJ9" s="7"/>
      <c r="BK9" s="7"/>
      <c r="BL9" s="7"/>
      <c r="BM9" s="7"/>
      <c r="BN9" s="60"/>
      <c r="BO9" s="68"/>
      <c r="BP9" s="15"/>
      <c r="BQ9" s="15"/>
      <c r="BR9" s="15"/>
      <c r="BS9" s="15"/>
      <c r="BT9" s="15"/>
      <c r="BU9" s="15"/>
      <c r="BV9" s="15"/>
      <c r="BW9" s="15"/>
      <c r="BX9" s="15"/>
      <c r="BY9" s="15"/>
      <c r="CA9" s="56"/>
      <c r="CB9" s="69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</row>
    <row r="10" spans="1:92" ht="28.5" thickBot="1" x14ac:dyDescent="0.45">
      <c r="A10" s="44"/>
      <c r="B10" s="45"/>
      <c r="C10" s="17"/>
      <c r="D10" s="17"/>
      <c r="E10" s="17"/>
      <c r="F10" s="17"/>
      <c r="G10" s="17"/>
      <c r="H10" s="17"/>
      <c r="I10" s="17"/>
      <c r="J10" s="63"/>
      <c r="K10" s="46"/>
      <c r="L10" s="17"/>
      <c r="M10" s="70"/>
      <c r="N10" s="70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5"/>
      <c r="Z10" s="15"/>
      <c r="AA10" s="51"/>
      <c r="AB10" s="71"/>
      <c r="AC10" s="72"/>
      <c r="AD10" s="15"/>
      <c r="AE10" s="2"/>
      <c r="AF10" s="2"/>
      <c r="AG10" s="2"/>
      <c r="AH10" s="2"/>
      <c r="AI10" s="2"/>
      <c r="AJ10" s="2"/>
      <c r="AK10" s="17"/>
      <c r="AL10" s="70"/>
      <c r="AM10" s="7"/>
      <c r="AN10" s="17"/>
      <c r="AO10" s="17"/>
      <c r="AP10" s="17"/>
      <c r="AQ10" s="17"/>
      <c r="AR10" s="73"/>
      <c r="AS10" s="7"/>
      <c r="AT10" s="7"/>
      <c r="AU10" s="7"/>
      <c r="AV10" s="17"/>
      <c r="AW10" s="74"/>
      <c r="AX10" s="17"/>
      <c r="AY10" s="7"/>
      <c r="AZ10" s="7"/>
      <c r="BA10" s="19"/>
      <c r="BB10" s="15"/>
      <c r="BC10" s="15"/>
      <c r="BD10" s="42"/>
      <c r="BE10" s="43"/>
      <c r="BF10" s="43"/>
      <c r="BG10" s="43"/>
      <c r="BH10" s="7"/>
      <c r="BI10" s="7"/>
      <c r="BJ10" s="7"/>
      <c r="BK10" s="7"/>
      <c r="BL10" s="7"/>
      <c r="BM10" s="7"/>
      <c r="BN10" s="60"/>
      <c r="BO10" s="68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CA10" s="69"/>
      <c r="CB10" s="69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75"/>
    </row>
    <row r="11" spans="1:92" ht="24" thickBot="1" x14ac:dyDescent="0.4">
      <c r="A11" s="42"/>
      <c r="B11" s="76"/>
      <c r="C11" s="77"/>
      <c r="D11" s="77"/>
      <c r="E11" s="77"/>
      <c r="F11" s="77"/>
      <c r="G11" s="77"/>
      <c r="H11" s="77"/>
      <c r="I11" s="77"/>
      <c r="J11" s="78"/>
      <c r="K11" s="79"/>
      <c r="L11" s="43"/>
      <c r="M11" s="43"/>
      <c r="N11" s="43"/>
      <c r="O11" s="43"/>
      <c r="P11" s="43"/>
      <c r="Q11" s="15"/>
      <c r="R11" s="17"/>
      <c r="S11" s="17"/>
      <c r="T11" s="15"/>
      <c r="U11" s="15"/>
      <c r="V11" s="80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81"/>
      <c r="AS11" s="7"/>
      <c r="AT11" s="7"/>
      <c r="AU11" s="7"/>
      <c r="AV11" s="17"/>
      <c r="AW11" s="74"/>
      <c r="AX11" s="17"/>
      <c r="AY11" s="7"/>
      <c r="AZ11" s="7"/>
      <c r="BA11" s="19"/>
      <c r="BB11" s="15"/>
      <c r="BC11" s="15"/>
      <c r="BD11" s="15"/>
      <c r="BE11" s="15"/>
      <c r="BF11" s="15"/>
      <c r="BG11" s="15"/>
      <c r="BH11" s="7"/>
      <c r="BI11" s="7"/>
      <c r="BJ11" s="7"/>
      <c r="BK11" s="7"/>
      <c r="BL11" s="7"/>
      <c r="BM11" s="7"/>
      <c r="BN11" s="75"/>
      <c r="BO11" s="56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CA11" s="82"/>
      <c r="CB11" s="82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75"/>
    </row>
    <row r="12" spans="1:92" ht="15.75" thickBot="1" x14ac:dyDescent="0.3">
      <c r="A12" s="7"/>
      <c r="B12" s="18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4"/>
      <c r="Q12" s="17"/>
      <c r="R12" s="17"/>
      <c r="S12" s="17"/>
      <c r="T12" s="17"/>
      <c r="U12" s="17"/>
      <c r="V12" s="85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7"/>
      <c r="AO12" s="87"/>
      <c r="AP12" s="87"/>
      <c r="AQ12" s="87"/>
      <c r="AR12" s="87"/>
      <c r="AS12" s="87"/>
      <c r="AT12" s="87"/>
      <c r="AU12" s="87"/>
      <c r="AV12" s="87"/>
      <c r="AW12" s="88"/>
      <c r="AX12" s="7"/>
      <c r="AY12" s="7"/>
      <c r="AZ12" s="7"/>
      <c r="BA12" s="42"/>
      <c r="BB12" s="43"/>
      <c r="BC12" s="43"/>
      <c r="BD12" s="43"/>
      <c r="BE12" s="15"/>
      <c r="BF12" s="15"/>
      <c r="BG12" s="15"/>
      <c r="BH12" s="15"/>
      <c r="BI12" s="15"/>
      <c r="BJ12" s="15"/>
      <c r="BK12" s="15"/>
      <c r="BL12" s="15"/>
      <c r="BM12" s="15"/>
      <c r="BN12" s="75"/>
      <c r="BO12" s="56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CA12" s="89"/>
      <c r="CB12" s="89" t="s">
        <v>172</v>
      </c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75"/>
    </row>
    <row r="13" spans="1:92" ht="15.75" x14ac:dyDescent="0.25">
      <c r="A13" s="7"/>
      <c r="B13" s="18"/>
      <c r="C13" s="7"/>
      <c r="D13" s="7"/>
      <c r="E13" s="7"/>
      <c r="F13" s="7"/>
      <c r="G13" s="440"/>
      <c r="H13" s="440"/>
      <c r="I13" s="440"/>
      <c r="J13" s="440"/>
      <c r="K13" s="7"/>
      <c r="L13" s="7"/>
      <c r="M13" s="7"/>
      <c r="N13" s="7"/>
      <c r="O13" s="7"/>
      <c r="P13" s="7"/>
      <c r="Q13" s="15"/>
      <c r="R13" s="17"/>
      <c r="S13" s="17"/>
      <c r="T13" s="7"/>
      <c r="U13" s="7"/>
      <c r="V13" s="7"/>
      <c r="W13" s="7"/>
      <c r="X13" s="7"/>
      <c r="Y13" s="7"/>
      <c r="Z13" s="7"/>
      <c r="AA13" s="90"/>
      <c r="AC13" s="91"/>
      <c r="AD13" s="15"/>
      <c r="AE13" s="15"/>
      <c r="AF13" s="15"/>
      <c r="AG13" s="15"/>
      <c r="AH13" s="15"/>
      <c r="AI13" s="15"/>
      <c r="AJ13" s="15"/>
      <c r="AK13" s="15"/>
      <c r="AL13" s="15"/>
      <c r="AM13" s="92"/>
      <c r="AN13" s="21"/>
      <c r="AO13" s="15"/>
      <c r="AP13" s="7"/>
      <c r="AQ13" s="24"/>
      <c r="AR13" s="93"/>
      <c r="AS13" s="93"/>
      <c r="AT13" s="93"/>
      <c r="AU13" s="93"/>
      <c r="AV13" s="24"/>
      <c r="AW13" s="7"/>
      <c r="AX13" s="32"/>
      <c r="AY13" s="9"/>
      <c r="AZ13" s="10"/>
      <c r="BA13" s="19"/>
      <c r="BB13" s="15"/>
      <c r="BC13" s="15"/>
      <c r="BD13" s="15"/>
      <c r="BE13" s="8"/>
      <c r="BF13" s="9"/>
      <c r="BG13" s="9"/>
      <c r="BH13" s="9"/>
      <c r="BI13" s="9"/>
      <c r="BJ13" s="9"/>
      <c r="BK13" s="9"/>
      <c r="BL13" s="9"/>
      <c r="BM13" s="9"/>
      <c r="BN13" s="94"/>
      <c r="BO13" s="56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CA13" s="95"/>
      <c r="CB13" s="95" t="s">
        <v>178</v>
      </c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75"/>
    </row>
    <row r="14" spans="1:92" ht="15.75" x14ac:dyDescent="0.25">
      <c r="A14" s="96"/>
      <c r="B14" s="97"/>
      <c r="C14" s="98"/>
      <c r="D14" s="98"/>
      <c r="E14" s="98"/>
      <c r="F14" s="98"/>
      <c r="G14" s="98"/>
      <c r="H14" s="98"/>
      <c r="I14" s="51"/>
      <c r="J14" s="98"/>
      <c r="K14" s="98"/>
      <c r="L14" s="98"/>
      <c r="M14" s="98"/>
      <c r="N14" s="99"/>
      <c r="O14" s="99"/>
      <c r="P14" s="99"/>
      <c r="Q14" s="98"/>
      <c r="R14" s="17"/>
      <c r="S14" s="17"/>
      <c r="T14" s="98"/>
      <c r="U14" s="98"/>
      <c r="V14" s="98"/>
      <c r="W14" s="98"/>
      <c r="X14" s="98"/>
      <c r="Y14" s="98"/>
      <c r="Z14" s="98"/>
      <c r="AA14" s="90"/>
      <c r="AB14" s="91"/>
      <c r="AC14" s="91"/>
      <c r="AD14" s="15"/>
      <c r="AE14" s="15"/>
      <c r="AF14" s="15"/>
      <c r="AG14" s="15"/>
      <c r="AH14" s="15"/>
      <c r="AI14" s="15"/>
      <c r="AJ14" s="15"/>
      <c r="AK14" s="15"/>
      <c r="AL14" s="15"/>
      <c r="AM14" s="21"/>
      <c r="AN14" s="15"/>
      <c r="AO14" s="100"/>
      <c r="AP14" s="100"/>
      <c r="AQ14" s="100"/>
      <c r="AR14" s="100"/>
      <c r="AS14" s="7"/>
      <c r="AT14" s="100"/>
      <c r="AU14" s="100"/>
      <c r="AV14" s="100"/>
      <c r="AW14" s="100"/>
      <c r="AY14" s="15"/>
      <c r="AZ14" s="20"/>
      <c r="BA14" s="19"/>
      <c r="BB14" s="15"/>
      <c r="BC14" s="15"/>
      <c r="BD14" s="15"/>
      <c r="BE14" s="19"/>
      <c r="BF14" s="15"/>
      <c r="BG14" s="15"/>
      <c r="BH14" s="15"/>
      <c r="BI14" s="15"/>
      <c r="BJ14" s="15"/>
      <c r="BK14" s="15"/>
      <c r="BL14" s="15"/>
      <c r="BM14" s="15"/>
      <c r="BN14" s="75"/>
      <c r="BO14" s="56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82"/>
      <c r="CB14" s="82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75"/>
    </row>
    <row r="15" spans="1:92" ht="20.25" x14ac:dyDescent="0.25">
      <c r="G15" s="98"/>
      <c r="H15" s="98"/>
      <c r="I15" s="101"/>
      <c r="J15" s="51"/>
      <c r="K15" s="98"/>
      <c r="L15" s="98"/>
      <c r="M15" s="98"/>
      <c r="N15" s="98"/>
      <c r="O15" s="102"/>
      <c r="P15" s="98"/>
      <c r="Q15" s="98"/>
      <c r="R15" s="17"/>
      <c r="S15" s="17"/>
      <c r="T15" s="98"/>
      <c r="U15" s="98"/>
      <c r="V15" s="98"/>
      <c r="W15" s="98"/>
      <c r="Z15" s="98"/>
      <c r="AA15" s="90"/>
      <c r="AB15" s="91"/>
      <c r="AC15" s="91"/>
      <c r="AD15" s="15"/>
      <c r="AE15" s="15"/>
      <c r="AF15" s="15"/>
      <c r="AG15" s="15"/>
      <c r="AH15" s="15"/>
      <c r="AI15" s="15"/>
      <c r="AJ15" s="15"/>
      <c r="AK15" s="15"/>
      <c r="AL15" s="15"/>
      <c r="AM15" s="21"/>
      <c r="AN15" s="100"/>
      <c r="AO15" s="103"/>
      <c r="AP15" s="103"/>
      <c r="AQ15" s="103"/>
      <c r="AR15" s="103"/>
      <c r="AS15" s="100"/>
      <c r="AT15" s="103"/>
      <c r="AU15" s="103"/>
      <c r="AV15" s="103"/>
      <c r="AW15" s="103"/>
      <c r="AX15" s="100"/>
      <c r="AY15" s="15"/>
      <c r="AZ15" s="20"/>
      <c r="BA15" s="19"/>
      <c r="BB15" s="15"/>
      <c r="BC15" s="15"/>
      <c r="BD15" s="15"/>
      <c r="BE15" s="19"/>
      <c r="BF15" s="15"/>
      <c r="BG15" s="15"/>
      <c r="BH15" s="15"/>
      <c r="BI15" s="15"/>
      <c r="BJ15" s="15"/>
      <c r="BK15" s="15"/>
      <c r="BL15" s="15"/>
      <c r="BM15" s="15"/>
      <c r="BN15" s="75"/>
      <c r="BO15" s="56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CA15" s="82"/>
      <c r="CB15" s="82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75"/>
    </row>
    <row r="16" spans="1:92" ht="24" thickBot="1" x14ac:dyDescent="0.3">
      <c r="D16" s="441" t="s">
        <v>184</v>
      </c>
      <c r="E16" s="441"/>
      <c r="F16" s="104"/>
      <c r="G16" s="101"/>
      <c r="H16" s="101"/>
      <c r="I16" s="105"/>
      <c r="J16" s="101"/>
      <c r="K16" s="441" t="s">
        <v>184</v>
      </c>
      <c r="L16" s="441"/>
      <c r="M16" s="27"/>
      <c r="O16" s="15"/>
      <c r="P16" s="106"/>
      <c r="Q16" s="106"/>
      <c r="R16" s="106"/>
      <c r="S16" s="7"/>
      <c r="T16" s="107"/>
      <c r="U16" s="98"/>
      <c r="V16" s="7"/>
      <c r="W16" s="98"/>
      <c r="X16" s="98"/>
      <c r="Y16" s="98"/>
      <c r="Z16" s="7"/>
      <c r="AA16" s="90"/>
      <c r="AB16" s="91"/>
      <c r="AC16" s="91"/>
      <c r="AD16" s="409"/>
      <c r="AE16" s="409"/>
      <c r="AF16" s="409"/>
      <c r="AH16" s="109"/>
      <c r="AJ16" s="410"/>
      <c r="AK16" s="410"/>
      <c r="AL16" s="410"/>
      <c r="AM16" s="7"/>
      <c r="AN16" s="103"/>
      <c r="AO16" s="111"/>
      <c r="AP16" s="111"/>
      <c r="AQ16" s="111"/>
      <c r="AR16" s="111"/>
      <c r="AS16" s="103"/>
      <c r="AT16" s="111"/>
      <c r="AU16" s="111"/>
      <c r="AV16" s="111"/>
      <c r="AW16" s="111"/>
      <c r="AX16" s="103"/>
      <c r="AY16" s="15"/>
      <c r="AZ16" s="20"/>
      <c r="BA16" s="19"/>
      <c r="BB16" s="15"/>
      <c r="BC16" s="15"/>
      <c r="BD16" s="15"/>
      <c r="BE16" s="19"/>
      <c r="BF16" s="15"/>
      <c r="BG16" s="15"/>
      <c r="BH16" s="15"/>
      <c r="BI16" s="15"/>
      <c r="BJ16" s="15"/>
      <c r="BK16" s="15" t="s">
        <v>188</v>
      </c>
      <c r="BL16" s="15"/>
      <c r="BM16" s="15"/>
      <c r="BN16" s="75"/>
      <c r="BO16" s="56"/>
      <c r="BP16" s="56"/>
      <c r="BQ16" s="56"/>
      <c r="BR16" s="56"/>
      <c r="BS16" s="15"/>
      <c r="BT16" s="15"/>
      <c r="BU16" s="15"/>
      <c r="BV16" s="15"/>
      <c r="BW16" s="15"/>
      <c r="BX16" s="15"/>
      <c r="BY16" s="15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75"/>
    </row>
    <row r="17" spans="1:93" ht="18" x14ac:dyDescent="0.25">
      <c r="C17" s="112"/>
      <c r="D17" s="113"/>
      <c r="E17" s="113"/>
      <c r="F17" s="114" t="s">
        <v>189</v>
      </c>
      <c r="K17" s="113"/>
      <c r="L17" s="113"/>
      <c r="M17" s="115" t="s">
        <v>190</v>
      </c>
      <c r="N17" s="116"/>
      <c r="O17" s="116"/>
      <c r="P17" s="98"/>
      <c r="Q17" s="117"/>
      <c r="R17" s="118"/>
      <c r="S17" s="118"/>
      <c r="T17" s="118"/>
      <c r="U17" s="119"/>
      <c r="V17" s="120"/>
      <c r="W17" s="120"/>
      <c r="X17" s="120"/>
      <c r="Y17" s="121"/>
      <c r="Z17" s="7"/>
      <c r="AA17" s="90"/>
      <c r="AB17" s="91"/>
      <c r="AC17" s="91"/>
      <c r="AD17" s="409"/>
      <c r="AE17" s="409"/>
      <c r="AF17" s="409"/>
      <c r="AH17" s="122"/>
      <c r="AJ17" s="410"/>
      <c r="AK17" s="410"/>
      <c r="AL17" s="410"/>
      <c r="AM17" s="98"/>
      <c r="AN17" s="103"/>
      <c r="AO17" s="111"/>
      <c r="AP17" s="111"/>
      <c r="AQ17" s="111"/>
      <c r="AR17" s="111"/>
      <c r="AS17" s="103"/>
      <c r="AT17" s="111"/>
      <c r="AU17" s="111"/>
      <c r="AV17" s="111"/>
      <c r="AW17" s="111"/>
      <c r="AX17" s="103"/>
      <c r="AY17" s="15"/>
      <c r="AZ17" s="20"/>
      <c r="BA17" s="19"/>
      <c r="BB17" s="15"/>
      <c r="BC17" s="15"/>
      <c r="BD17" s="15"/>
      <c r="BE17" s="19"/>
      <c r="BF17" s="15"/>
      <c r="BG17" s="15"/>
      <c r="BH17" s="15"/>
      <c r="BI17" s="15"/>
      <c r="BJ17" s="15"/>
      <c r="BK17" s="15"/>
      <c r="BL17" s="15"/>
      <c r="BM17" s="15"/>
      <c r="BN17" s="75"/>
      <c r="BO17" s="56"/>
      <c r="BP17" s="56"/>
      <c r="BS17" s="15"/>
      <c r="BT17" s="15"/>
      <c r="BU17" s="15"/>
      <c r="BV17" s="15"/>
      <c r="BW17" s="15"/>
      <c r="BX17" s="15"/>
      <c r="BY17" s="15"/>
      <c r="CA17" s="56"/>
      <c r="CB17" s="15"/>
      <c r="CC17" s="56"/>
      <c r="CD17" s="56"/>
      <c r="CE17" s="56"/>
      <c r="CF17" s="56"/>
      <c r="CG17" s="56"/>
      <c r="CH17" s="56"/>
      <c r="CI17" s="56"/>
      <c r="CJ17" s="56"/>
      <c r="CK17" s="56"/>
      <c r="CL17" s="56"/>
      <c r="CM17" s="56"/>
      <c r="CN17" s="75"/>
    </row>
    <row r="18" spans="1:93" ht="23.25" x14ac:dyDescent="0.25">
      <c r="B18" s="123">
        <v>1</v>
      </c>
      <c r="C18" s="113" t="s">
        <v>191</v>
      </c>
      <c r="D18" s="124">
        <v>100</v>
      </c>
      <c r="E18" s="124">
        <v>100</v>
      </c>
      <c r="F18" s="113" t="s">
        <v>191</v>
      </c>
      <c r="G18" s="125">
        <v>6</v>
      </c>
      <c r="I18" s="123">
        <v>1</v>
      </c>
      <c r="J18" s="113" t="s">
        <v>191</v>
      </c>
      <c r="K18" s="124">
        <v>100</v>
      </c>
      <c r="L18" s="124">
        <v>100</v>
      </c>
      <c r="M18" s="113" t="s">
        <v>191</v>
      </c>
      <c r="N18" s="125">
        <v>6</v>
      </c>
      <c r="O18" s="7"/>
      <c r="P18" s="106"/>
      <c r="Q18" s="91"/>
      <c r="T18" s="7"/>
      <c r="U18" s="98"/>
      <c r="V18" s="7"/>
      <c r="W18" s="7"/>
      <c r="X18" s="7"/>
      <c r="Y18" s="126"/>
      <c r="Z18" s="7"/>
      <c r="AA18" s="90"/>
      <c r="AB18" s="91"/>
      <c r="AC18" s="91"/>
      <c r="AH18" s="98"/>
      <c r="AI18" s="98"/>
      <c r="AJ18" s="98"/>
      <c r="AK18" s="98"/>
      <c r="AL18" s="98"/>
      <c r="AM18" s="127"/>
      <c r="AN18" s="100"/>
      <c r="AO18" s="103"/>
      <c r="AP18" s="103"/>
      <c r="AQ18" s="103"/>
      <c r="AR18" s="103"/>
      <c r="AS18" s="100"/>
      <c r="AT18" s="103"/>
      <c r="AU18" s="103"/>
      <c r="AV18" s="103"/>
      <c r="AW18" s="103"/>
      <c r="AX18" s="100"/>
      <c r="AY18" s="15"/>
      <c r="AZ18" s="20"/>
      <c r="BA18" s="19"/>
      <c r="BB18" s="15"/>
      <c r="BC18" s="15"/>
      <c r="BD18" s="15"/>
      <c r="BE18" s="19"/>
      <c r="BF18" s="15"/>
      <c r="BG18" s="15"/>
      <c r="BH18" s="15"/>
      <c r="BI18" s="15"/>
      <c r="BJ18" s="15"/>
      <c r="BK18" s="15"/>
      <c r="BL18" s="15"/>
      <c r="BM18" s="15"/>
      <c r="BN18" s="75"/>
      <c r="BO18" s="15"/>
      <c r="BP18" s="56"/>
      <c r="BS18" s="15"/>
      <c r="BT18" s="15"/>
      <c r="BU18" s="15"/>
      <c r="BV18" s="15"/>
      <c r="BW18" s="15"/>
      <c r="BX18" s="15"/>
      <c r="BY18" s="15"/>
      <c r="CA18" s="56"/>
      <c r="CB18" s="15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75"/>
    </row>
    <row r="19" spans="1:93" ht="23.25" x14ac:dyDescent="0.25">
      <c r="A19" s="407"/>
      <c r="B19" s="123">
        <v>2</v>
      </c>
      <c r="C19" s="113" t="s">
        <v>191</v>
      </c>
      <c r="D19" s="124">
        <v>100</v>
      </c>
      <c r="E19" s="124">
        <v>100</v>
      </c>
      <c r="F19" s="113" t="s">
        <v>191</v>
      </c>
      <c r="G19" s="125">
        <v>5</v>
      </c>
      <c r="I19" s="123">
        <v>2</v>
      </c>
      <c r="J19" s="113" t="s">
        <v>191</v>
      </c>
      <c r="K19" s="124">
        <v>100</v>
      </c>
      <c r="L19" s="124">
        <v>100</v>
      </c>
      <c r="M19" s="113" t="s">
        <v>191</v>
      </c>
      <c r="N19" s="125">
        <v>5</v>
      </c>
      <c r="O19" s="7"/>
      <c r="P19" s="98"/>
      <c r="Q19" s="91"/>
      <c r="R19" s="7"/>
      <c r="S19" s="7"/>
      <c r="T19" s="7"/>
      <c r="U19" s="7"/>
      <c r="V19" s="7"/>
      <c r="W19" s="7"/>
      <c r="X19" s="7"/>
      <c r="Y19" s="126"/>
      <c r="Z19" s="7"/>
      <c r="AA19" s="90"/>
      <c r="AB19" s="91"/>
      <c r="AC19" s="91"/>
      <c r="AH19" s="127"/>
      <c r="AI19" s="127"/>
      <c r="AJ19" s="127"/>
      <c r="AK19" s="127"/>
      <c r="AL19" s="127"/>
      <c r="AM19" s="127"/>
      <c r="AN19" s="7"/>
      <c r="AO19" s="100"/>
      <c r="AP19" s="100"/>
      <c r="AQ19" s="100"/>
      <c r="AR19" s="100"/>
      <c r="AS19" s="7"/>
      <c r="AT19" s="100"/>
      <c r="AU19" s="100"/>
      <c r="AV19" s="100"/>
      <c r="AW19" s="100"/>
      <c r="AY19" s="24"/>
      <c r="AZ19" s="20"/>
      <c r="BA19" s="19"/>
      <c r="BB19" s="15"/>
      <c r="BC19" s="15"/>
      <c r="BD19" s="15"/>
      <c r="BE19" s="19"/>
      <c r="BF19" s="15"/>
      <c r="BG19" s="15"/>
      <c r="BH19" s="15"/>
      <c r="BI19" s="15"/>
      <c r="BJ19" s="15"/>
      <c r="BK19" s="15"/>
      <c r="BL19" s="15"/>
      <c r="BM19" s="15"/>
      <c r="BN19" s="75"/>
      <c r="BO19" s="15"/>
      <c r="BP19" s="56"/>
      <c r="BS19" s="15"/>
      <c r="BT19" s="15"/>
      <c r="BU19" s="15"/>
      <c r="BV19" s="15"/>
      <c r="BW19" s="15"/>
      <c r="BX19" s="15"/>
      <c r="BY19" s="15"/>
      <c r="CA19" s="56"/>
      <c r="CB19" s="15"/>
      <c r="CC19" s="56"/>
      <c r="CD19" s="56"/>
      <c r="CE19" s="56"/>
      <c r="CF19" s="56"/>
      <c r="CG19" s="56"/>
      <c r="CH19" s="56"/>
      <c r="CI19" s="56"/>
      <c r="CJ19" s="56"/>
      <c r="CK19" s="56"/>
      <c r="CL19" s="56"/>
      <c r="CM19" s="56"/>
      <c r="CN19" s="75"/>
    </row>
    <row r="20" spans="1:93" ht="23.25" x14ac:dyDescent="0.35">
      <c r="A20" s="407"/>
      <c r="B20" s="123">
        <v>3</v>
      </c>
      <c r="C20" s="113" t="s">
        <v>191</v>
      </c>
      <c r="D20" s="124">
        <v>100</v>
      </c>
      <c r="E20" s="124">
        <v>100</v>
      </c>
      <c r="F20" s="113" t="s">
        <v>191</v>
      </c>
      <c r="G20" s="125">
        <v>4</v>
      </c>
      <c r="I20" s="123">
        <v>3</v>
      </c>
      <c r="J20" s="113" t="s">
        <v>191</v>
      </c>
      <c r="K20" s="124">
        <v>100</v>
      </c>
      <c r="L20" s="124">
        <v>100</v>
      </c>
      <c r="M20" s="113" t="s">
        <v>191</v>
      </c>
      <c r="N20" s="125">
        <v>4</v>
      </c>
      <c r="O20" s="7"/>
      <c r="P20" s="106"/>
      <c r="Q20" s="91"/>
      <c r="R20" s="7"/>
      <c r="S20" s="7"/>
      <c r="T20" s="7"/>
      <c r="U20" s="7"/>
      <c r="V20" s="7"/>
      <c r="W20" s="7"/>
      <c r="X20" s="7"/>
      <c r="Y20" s="126"/>
      <c r="Z20" s="7"/>
      <c r="AA20" s="90"/>
      <c r="AB20" s="91"/>
      <c r="AC20" s="91"/>
      <c r="AD20" s="1"/>
      <c r="AI20" s="7"/>
      <c r="AJ20" s="98"/>
      <c r="AK20" s="98"/>
      <c r="AL20" s="98"/>
      <c r="AM20" s="98"/>
      <c r="AN20" s="7"/>
      <c r="AO20" s="7"/>
      <c r="AP20" s="7"/>
      <c r="AQ20" s="7"/>
      <c r="AR20" s="7"/>
      <c r="AS20" s="7"/>
      <c r="AT20" s="7"/>
      <c r="AU20" s="7"/>
      <c r="AV20" s="7"/>
      <c r="AW20" s="7"/>
      <c r="AY20" s="129"/>
      <c r="AZ20" s="20"/>
      <c r="BA20" s="19"/>
      <c r="BB20" s="15"/>
      <c r="BC20" s="15"/>
      <c r="BD20" s="15"/>
      <c r="BE20" s="19"/>
      <c r="BF20" s="15"/>
      <c r="BG20" s="15"/>
      <c r="BH20" s="15"/>
      <c r="BI20" s="15"/>
      <c r="BJ20" s="15"/>
      <c r="BK20" s="15"/>
      <c r="BL20" s="15"/>
      <c r="BM20" s="15"/>
      <c r="BN20" s="75"/>
      <c r="BO20" s="15"/>
      <c r="BP20" s="56"/>
      <c r="BS20" s="15"/>
      <c r="BT20" s="15"/>
      <c r="BU20" s="15"/>
      <c r="BV20" s="15"/>
      <c r="BW20" s="15"/>
      <c r="BX20" s="15"/>
      <c r="BY20" s="15"/>
      <c r="CA20" s="56"/>
      <c r="CB20" s="15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75"/>
    </row>
    <row r="21" spans="1:93" ht="18" customHeight="1" x14ac:dyDescent="0.25">
      <c r="A21" s="407"/>
      <c r="C21" s="98"/>
      <c r="D21" s="113"/>
      <c r="E21" s="113"/>
      <c r="I21" s="62"/>
      <c r="J21" s="62"/>
      <c r="K21" s="113"/>
      <c r="L21" s="113"/>
      <c r="M21" s="7"/>
      <c r="N21" s="7"/>
      <c r="O21" s="7"/>
      <c r="P21" s="98"/>
      <c r="Q21" s="91"/>
      <c r="R21" s="7"/>
      <c r="S21" s="7"/>
      <c r="T21" s="7"/>
      <c r="U21" s="7"/>
      <c r="V21" s="7"/>
      <c r="W21" s="7"/>
      <c r="X21" s="7"/>
      <c r="Y21" s="126"/>
      <c r="Z21" s="7"/>
      <c r="AA21" s="90"/>
      <c r="AB21" s="91"/>
      <c r="AC21" s="1"/>
      <c r="AD21" s="130" t="s">
        <v>193</v>
      </c>
      <c r="AE21" s="130"/>
      <c r="AF21" s="130"/>
      <c r="AI21" s="7"/>
      <c r="AJ21" s="442" t="s">
        <v>182</v>
      </c>
      <c r="AK21" s="442"/>
      <c r="AL21" s="442"/>
      <c r="AM21" s="7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44"/>
      <c r="AY21" s="15"/>
      <c r="AZ21" s="20"/>
      <c r="BA21" s="19"/>
      <c r="BB21" s="15"/>
      <c r="BC21" s="15"/>
      <c r="BD21" s="15"/>
      <c r="BE21" s="19"/>
      <c r="BF21" s="15"/>
      <c r="BG21" s="15"/>
      <c r="BH21" s="15"/>
      <c r="BI21" s="15"/>
      <c r="BJ21" s="15"/>
      <c r="BK21" s="15"/>
      <c r="BL21" s="15"/>
      <c r="BM21" s="15"/>
      <c r="BN21" s="20"/>
      <c r="BO21" s="15"/>
      <c r="BP21" s="56"/>
      <c r="BS21" s="15"/>
      <c r="BT21" s="15"/>
      <c r="BU21" s="15"/>
      <c r="BV21" s="15"/>
      <c r="BW21" s="15"/>
      <c r="BX21" s="15"/>
      <c r="BY21" s="15"/>
      <c r="CA21" s="56"/>
      <c r="CB21" s="15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75"/>
    </row>
    <row r="22" spans="1:93" ht="15.75" x14ac:dyDescent="0.25">
      <c r="A22" s="408"/>
      <c r="B22" s="7"/>
      <c r="C22" s="7"/>
      <c r="D22" s="7"/>
      <c r="E22" s="27"/>
      <c r="F22" s="98"/>
      <c r="G22" s="104"/>
      <c r="H22" s="116"/>
      <c r="I22" s="62"/>
      <c r="J22" s="133"/>
      <c r="K22" s="133"/>
      <c r="L22" s="133"/>
      <c r="M22" s="116"/>
      <c r="N22" s="15"/>
      <c r="O22" s="7"/>
      <c r="P22" s="106"/>
      <c r="Q22" s="91"/>
      <c r="R22" s="7"/>
      <c r="S22" s="7"/>
      <c r="T22" s="7"/>
      <c r="U22" s="7"/>
      <c r="V22" s="7"/>
      <c r="W22" s="7"/>
      <c r="X22" s="7"/>
      <c r="Y22" s="126"/>
      <c r="Z22" s="7"/>
      <c r="AA22" s="90"/>
      <c r="AB22" s="91"/>
      <c r="AC22" s="1" t="s">
        <v>195</v>
      </c>
      <c r="AD22" s="101">
        <v>3</v>
      </c>
      <c r="AE22" s="101">
        <v>2</v>
      </c>
      <c r="AF22" s="101">
        <v>1</v>
      </c>
      <c r="AI22" s="1" t="s">
        <v>196</v>
      </c>
      <c r="AJ22" s="134">
        <v>3</v>
      </c>
      <c r="AK22" s="134">
        <v>2</v>
      </c>
      <c r="AL22" s="134">
        <v>1</v>
      </c>
      <c r="AM22" s="7"/>
      <c r="AN22" s="7"/>
      <c r="AO22" s="100"/>
      <c r="AP22" s="100"/>
      <c r="AQ22" s="100"/>
      <c r="AR22" s="100"/>
      <c r="AS22" s="7"/>
      <c r="AT22" s="100"/>
      <c r="AU22" s="100"/>
      <c r="AV22" s="100"/>
      <c r="AW22" s="100"/>
      <c r="AX22" s="44"/>
      <c r="AY22" s="15"/>
      <c r="AZ22" s="20"/>
      <c r="BA22" s="19"/>
      <c r="BB22" s="15"/>
      <c r="BC22" s="15"/>
      <c r="BD22" s="15"/>
      <c r="BE22" s="19"/>
      <c r="BF22" s="15"/>
      <c r="BG22" s="15"/>
      <c r="BH22" s="15"/>
      <c r="BI22" s="15"/>
      <c r="BJ22" s="15"/>
      <c r="BK22" s="15"/>
      <c r="BL22" s="15"/>
      <c r="BM22" s="15"/>
      <c r="BN22" s="20"/>
      <c r="BO22" s="15"/>
      <c r="BP22" s="135"/>
      <c r="BS22" s="15"/>
      <c r="BT22" s="15"/>
      <c r="BU22" s="15"/>
      <c r="BV22" s="15"/>
      <c r="BW22" s="15"/>
      <c r="BX22" s="15"/>
      <c r="BY22" s="15"/>
      <c r="CA22" s="56"/>
      <c r="CB22" s="15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75"/>
    </row>
    <row r="23" spans="1:93" ht="23.25" x14ac:dyDescent="0.25">
      <c r="A23" s="408"/>
      <c r="B23" s="7"/>
      <c r="C23" s="7"/>
      <c r="D23" s="7"/>
      <c r="E23" s="15"/>
      <c r="F23" s="7"/>
      <c r="G23" s="104"/>
      <c r="H23" s="98"/>
      <c r="I23" s="62"/>
      <c r="J23" s="62"/>
      <c r="K23" s="136"/>
      <c r="L23" s="136"/>
      <c r="M23" s="137"/>
      <c r="N23" s="116"/>
      <c r="O23" s="116"/>
      <c r="P23" s="98"/>
      <c r="Q23" s="91"/>
      <c r="R23" s="7"/>
      <c r="S23" s="7"/>
      <c r="T23" s="7"/>
      <c r="U23" s="7"/>
      <c r="V23" s="7"/>
      <c r="W23" s="7"/>
      <c r="X23" s="7"/>
      <c r="Y23" s="126"/>
      <c r="Z23" s="7"/>
      <c r="AA23" s="90"/>
      <c r="AB23" s="91"/>
      <c r="AC23" s="138" t="s">
        <v>198</v>
      </c>
      <c r="AD23" s="139" t="s">
        <v>199</v>
      </c>
      <c r="AE23" s="139" t="s">
        <v>199</v>
      </c>
      <c r="AF23" s="139" t="s">
        <v>199</v>
      </c>
      <c r="AI23" s="138" t="s">
        <v>200</v>
      </c>
      <c r="AJ23" s="140" t="s">
        <v>201</v>
      </c>
      <c r="AK23" s="140" t="s">
        <v>201</v>
      </c>
      <c r="AL23" s="140" t="s">
        <v>201</v>
      </c>
      <c r="AN23" s="100"/>
      <c r="AO23" s="103"/>
      <c r="AP23" s="103"/>
      <c r="AQ23" s="103"/>
      <c r="AR23" s="103"/>
      <c r="AS23" s="100"/>
      <c r="AT23" s="103"/>
      <c r="AU23" s="103"/>
      <c r="AV23" s="103"/>
      <c r="AW23" s="103"/>
      <c r="AX23" s="100"/>
      <c r="AY23" s="15"/>
      <c r="AZ23" s="20"/>
      <c r="BA23" s="19"/>
      <c r="BB23" s="15"/>
      <c r="BC23" s="15"/>
      <c r="BD23" s="15"/>
      <c r="BE23" s="19"/>
      <c r="BF23" s="15"/>
      <c r="BG23" s="15"/>
      <c r="BH23" s="15"/>
      <c r="BI23" s="15"/>
      <c r="BJ23" s="15"/>
      <c r="BK23" s="15"/>
      <c r="BL23" s="15"/>
      <c r="BM23" s="15"/>
      <c r="BN23" s="20"/>
      <c r="BO23" s="15"/>
      <c r="BP23" s="135"/>
      <c r="BS23" s="15"/>
      <c r="BT23" s="15"/>
      <c r="BU23" s="15"/>
      <c r="BV23" s="15"/>
      <c r="BW23" s="15"/>
      <c r="BX23" s="15"/>
      <c r="BY23" s="15"/>
      <c r="CA23" s="56"/>
      <c r="CB23" s="15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75"/>
      <c r="CO23" s="56"/>
    </row>
    <row r="24" spans="1:93" ht="23.25" x14ac:dyDescent="0.25">
      <c r="A24" s="7"/>
      <c r="B24" s="7"/>
      <c r="C24" s="7"/>
      <c r="D24" s="7"/>
      <c r="E24" s="15"/>
      <c r="F24" s="15"/>
      <c r="G24" s="104"/>
      <c r="H24" s="116"/>
      <c r="I24" s="62"/>
      <c r="J24" s="136"/>
      <c r="K24" s="141"/>
      <c r="L24" s="141"/>
      <c r="M24" s="136"/>
      <c r="N24" s="116"/>
      <c r="O24" s="116"/>
      <c r="P24" s="106"/>
      <c r="Q24" s="91"/>
      <c r="R24" s="7"/>
      <c r="S24" s="7"/>
      <c r="T24" s="7"/>
      <c r="U24" s="7"/>
      <c r="V24" s="7"/>
      <c r="W24" s="7"/>
      <c r="X24" s="7"/>
      <c r="Y24" s="126"/>
      <c r="Z24" s="7"/>
      <c r="AA24" s="90"/>
      <c r="AB24" s="91"/>
      <c r="AC24" s="139"/>
      <c r="AD24" s="142">
        <v>340</v>
      </c>
      <c r="AE24" s="142">
        <v>340</v>
      </c>
      <c r="AF24" s="142">
        <v>340</v>
      </c>
      <c r="AG24" s="139"/>
      <c r="AI24" s="140"/>
      <c r="AJ24" s="143">
        <v>150</v>
      </c>
      <c r="AK24" s="144">
        <v>150</v>
      </c>
      <c r="AL24" s="144">
        <v>150</v>
      </c>
      <c r="AM24" s="140"/>
      <c r="AN24" s="103"/>
      <c r="AO24" s="111"/>
      <c r="AP24" s="111"/>
      <c r="AQ24" s="111"/>
      <c r="AR24" s="111"/>
      <c r="AS24" s="103"/>
      <c r="AT24" s="111"/>
      <c r="AU24" s="111"/>
      <c r="AV24" s="111"/>
      <c r="AW24" s="111"/>
      <c r="AX24" s="103"/>
      <c r="AY24" s="15"/>
      <c r="AZ24" s="20"/>
      <c r="BA24" s="19"/>
      <c r="BB24" s="15"/>
      <c r="BC24" s="15"/>
      <c r="BD24" s="15"/>
      <c r="BE24" s="19"/>
      <c r="BF24" s="15"/>
      <c r="BG24" s="15"/>
      <c r="BH24" s="15"/>
      <c r="BI24" s="15"/>
      <c r="BJ24" s="15"/>
      <c r="BK24" s="15"/>
      <c r="BL24" s="15"/>
      <c r="BM24" s="15"/>
      <c r="BN24" s="20"/>
      <c r="BO24" s="15"/>
      <c r="BP24" s="135"/>
      <c r="BS24" s="15"/>
      <c r="BT24" s="15"/>
      <c r="BU24" s="15"/>
      <c r="BV24" s="15"/>
      <c r="BW24" s="15"/>
      <c r="BX24" s="15"/>
      <c r="BY24" s="15"/>
      <c r="CA24" s="56"/>
      <c r="CB24" s="15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75"/>
      <c r="CO24" s="56"/>
    </row>
    <row r="25" spans="1:93" ht="24" thickBot="1" x14ac:dyDescent="0.3">
      <c r="A25" s="145"/>
      <c r="B25" s="27"/>
      <c r="C25" s="27"/>
      <c r="D25" s="27"/>
      <c r="E25" s="15"/>
      <c r="F25" s="98"/>
      <c r="G25" s="104"/>
      <c r="H25" s="7"/>
      <c r="I25" s="136"/>
      <c r="J25" s="103"/>
      <c r="K25" s="111"/>
      <c r="L25" s="111"/>
      <c r="M25" s="103"/>
      <c r="N25" s="136"/>
      <c r="O25" s="116"/>
      <c r="P25" s="98"/>
      <c r="Q25" s="91"/>
      <c r="R25" s="7"/>
      <c r="S25" s="7"/>
      <c r="T25" s="7"/>
      <c r="U25" s="7"/>
      <c r="V25" s="7"/>
      <c r="W25" s="7"/>
      <c r="X25" s="7"/>
      <c r="Y25" s="126"/>
      <c r="Z25" s="7"/>
      <c r="AA25" s="90"/>
      <c r="AB25" s="91"/>
      <c r="AC25" s="139"/>
      <c r="AD25" s="146">
        <v>340</v>
      </c>
      <c r="AE25" s="146">
        <v>340</v>
      </c>
      <c r="AF25" s="146">
        <v>340</v>
      </c>
      <c r="AG25" s="139"/>
      <c r="AI25" s="140"/>
      <c r="AJ25" s="147">
        <v>150</v>
      </c>
      <c r="AK25" s="147">
        <v>150</v>
      </c>
      <c r="AL25" s="144">
        <v>150</v>
      </c>
      <c r="AM25" s="140"/>
      <c r="AN25" s="103"/>
      <c r="AO25" s="111"/>
      <c r="AP25" s="111"/>
      <c r="AQ25" s="111"/>
      <c r="AR25" s="111"/>
      <c r="AS25" s="103"/>
      <c r="AT25" s="111"/>
      <c r="AU25" s="111"/>
      <c r="AV25" s="111"/>
      <c r="AW25" s="111"/>
      <c r="AX25" s="103"/>
      <c r="AY25" s="15"/>
      <c r="AZ25" s="20"/>
      <c r="BA25" s="19"/>
      <c r="BB25" s="15"/>
      <c r="BC25" s="15"/>
      <c r="BD25" s="15"/>
      <c r="BE25" s="19"/>
      <c r="BF25" s="15"/>
      <c r="BG25" s="15"/>
      <c r="BH25" s="15"/>
      <c r="BI25" s="15"/>
      <c r="BJ25" s="15"/>
      <c r="BK25" s="15"/>
      <c r="BL25" s="15"/>
      <c r="BM25" s="15"/>
      <c r="BN25" s="20"/>
      <c r="BO25" s="15"/>
      <c r="BP25" s="135"/>
      <c r="BS25" s="15"/>
      <c r="BT25" s="15"/>
      <c r="BU25" s="15"/>
      <c r="BV25" s="15"/>
      <c r="BW25" s="15"/>
      <c r="BX25" s="15"/>
      <c r="BY25" s="15"/>
      <c r="CA25" s="56"/>
      <c r="CB25" s="15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75"/>
      <c r="CO25" s="56"/>
    </row>
    <row r="26" spans="1:93" ht="23.25" x14ac:dyDescent="0.25">
      <c r="A26" s="443"/>
      <c r="B26" s="444"/>
      <c r="C26" s="444"/>
      <c r="D26" s="445"/>
      <c r="E26" s="407"/>
      <c r="F26" s="98"/>
      <c r="G26" s="104"/>
      <c r="H26" s="7"/>
      <c r="I26" s="136"/>
      <c r="J26" s="103"/>
      <c r="K26" s="111"/>
      <c r="L26" s="111"/>
      <c r="M26" s="103"/>
      <c r="N26" s="136"/>
      <c r="O26" s="116"/>
      <c r="P26" s="106"/>
      <c r="Q26" s="91"/>
      <c r="R26" s="7"/>
      <c r="S26" s="7"/>
      <c r="T26" s="7"/>
      <c r="U26" s="7"/>
      <c r="V26" s="7"/>
      <c r="W26" s="7"/>
      <c r="X26" s="7"/>
      <c r="Y26" s="126"/>
      <c r="Z26" s="7"/>
      <c r="AA26" s="90"/>
      <c r="AB26" s="91"/>
      <c r="AC26" s="91"/>
      <c r="AD26" s="139" t="s">
        <v>199</v>
      </c>
      <c r="AE26" s="139" t="s">
        <v>199</v>
      </c>
      <c r="AF26" s="139" t="s">
        <v>199</v>
      </c>
      <c r="AJ26" s="140" t="s">
        <v>201</v>
      </c>
      <c r="AK26" s="140" t="s">
        <v>201</v>
      </c>
      <c r="AL26" s="140" t="s">
        <v>201</v>
      </c>
      <c r="AN26" s="100"/>
      <c r="AO26" s="103"/>
      <c r="AP26" s="103"/>
      <c r="AQ26" s="103"/>
      <c r="AR26" s="103"/>
      <c r="AS26" s="100"/>
      <c r="AT26" s="103"/>
      <c r="AU26" s="103"/>
      <c r="AV26" s="103"/>
      <c r="AW26" s="103"/>
      <c r="AX26" s="100"/>
      <c r="AY26" s="15"/>
      <c r="AZ26" s="20"/>
      <c r="BA26" s="19"/>
      <c r="BB26" s="15"/>
      <c r="BC26" s="15"/>
      <c r="BD26" s="15"/>
      <c r="BE26" s="19"/>
      <c r="BF26" s="15"/>
      <c r="BG26" s="15"/>
      <c r="BH26" s="15"/>
      <c r="BI26" s="15"/>
      <c r="BJ26" s="15"/>
      <c r="BK26" s="15"/>
      <c r="BL26" s="15"/>
      <c r="BM26" s="15"/>
      <c r="BN26" s="20"/>
      <c r="BO26" s="15"/>
      <c r="BP26" s="135"/>
      <c r="BS26" s="15"/>
      <c r="BT26" s="15"/>
      <c r="BU26" s="15"/>
      <c r="BV26" s="15"/>
      <c r="BW26" s="15"/>
      <c r="BX26" s="15"/>
      <c r="BY26" s="15"/>
      <c r="CA26" s="56"/>
      <c r="CB26" s="15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75"/>
    </row>
    <row r="27" spans="1:93" ht="15.75" x14ac:dyDescent="0.25">
      <c r="A27" s="446"/>
      <c r="B27" s="447"/>
      <c r="C27" s="447"/>
      <c r="D27" s="448"/>
      <c r="E27" s="148"/>
      <c r="F27" s="98"/>
      <c r="G27" s="104"/>
      <c r="H27" s="7"/>
      <c r="I27" s="62"/>
      <c r="J27" s="136"/>
      <c r="K27" s="141"/>
      <c r="L27" s="141"/>
      <c r="M27" s="136"/>
      <c r="N27" s="7"/>
      <c r="O27" s="116"/>
      <c r="P27" s="98"/>
      <c r="Q27" s="91"/>
      <c r="R27" s="7"/>
      <c r="S27" s="7"/>
      <c r="T27" s="7"/>
      <c r="U27" s="7"/>
      <c r="V27" s="7"/>
      <c r="W27" s="7"/>
      <c r="X27" s="7"/>
      <c r="Y27" s="126"/>
      <c r="Z27" s="7"/>
      <c r="AA27" s="90"/>
      <c r="AB27" s="91"/>
      <c r="AC27" s="91"/>
      <c r="AD27" s="101">
        <v>4</v>
      </c>
      <c r="AE27" s="101">
        <v>5</v>
      </c>
      <c r="AF27" s="101">
        <v>6</v>
      </c>
      <c r="AI27" s="149"/>
      <c r="AJ27" s="101">
        <v>4</v>
      </c>
      <c r="AK27" s="101">
        <v>5</v>
      </c>
      <c r="AL27" s="101">
        <v>6</v>
      </c>
      <c r="AO27" s="100"/>
      <c r="AP27" s="100"/>
      <c r="AQ27" s="100"/>
      <c r="AR27" s="100"/>
      <c r="AS27" s="7"/>
      <c r="AT27" s="100"/>
      <c r="AU27" s="100"/>
      <c r="AV27" s="100"/>
      <c r="AW27" s="100"/>
      <c r="AX27" s="44"/>
      <c r="AY27" s="15"/>
      <c r="AZ27" s="20"/>
      <c r="BA27" s="19"/>
      <c r="BB27" s="15"/>
      <c r="BC27" s="15"/>
      <c r="BD27" s="15"/>
      <c r="BE27" s="19"/>
      <c r="BF27" s="15"/>
      <c r="BG27" s="15"/>
      <c r="BH27" s="15"/>
      <c r="BI27" s="15"/>
      <c r="BJ27" s="15"/>
      <c r="BK27" s="15"/>
      <c r="BL27" s="15"/>
      <c r="BM27" s="15"/>
      <c r="BN27" s="20"/>
      <c r="BO27" s="15"/>
      <c r="BP27" s="135"/>
      <c r="BS27" s="15"/>
      <c r="BT27" s="15"/>
      <c r="BU27" s="15"/>
      <c r="BV27" s="15"/>
      <c r="BW27" s="15"/>
      <c r="BX27" s="15"/>
      <c r="BY27" s="15"/>
      <c r="CA27" s="56"/>
      <c r="CB27" s="15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M27" s="56"/>
      <c r="CN27" s="75"/>
      <c r="CO27" s="56"/>
    </row>
    <row r="28" spans="1:93" ht="18" x14ac:dyDescent="0.25">
      <c r="A28" s="446"/>
      <c r="B28" s="447"/>
      <c r="C28" s="447"/>
      <c r="D28" s="448"/>
      <c r="E28" s="407"/>
      <c r="F28" s="98"/>
      <c r="G28" s="104"/>
      <c r="H28" s="7"/>
      <c r="I28" s="62"/>
      <c r="J28" s="62"/>
      <c r="K28" s="136"/>
      <c r="L28" s="136"/>
      <c r="M28" s="62"/>
      <c r="N28" s="150"/>
      <c r="O28" s="27"/>
      <c r="P28" s="106"/>
      <c r="Q28" s="91"/>
      <c r="R28" s="7"/>
      <c r="S28" s="7"/>
      <c r="T28" s="7"/>
      <c r="U28" s="7"/>
      <c r="V28" s="7"/>
      <c r="W28" s="7"/>
      <c r="X28" s="151"/>
      <c r="Y28" s="152"/>
      <c r="Z28" s="7"/>
      <c r="AA28" s="90"/>
      <c r="AB28" s="91"/>
      <c r="AC28" s="91"/>
      <c r="AE28" s="153"/>
      <c r="AF28" s="153"/>
      <c r="AG28" s="153"/>
      <c r="AH28" s="153"/>
      <c r="AJ28" s="452" t="s">
        <v>193</v>
      </c>
      <c r="AK28" s="452"/>
      <c r="AL28" s="452"/>
      <c r="AX28" s="44"/>
      <c r="AY28" s="15"/>
      <c r="AZ28" s="20"/>
      <c r="BA28" s="19"/>
      <c r="BB28" s="15"/>
      <c r="BC28" s="15"/>
      <c r="BD28" s="15"/>
      <c r="BE28" s="19"/>
      <c r="BF28" s="15"/>
      <c r="BG28" s="15"/>
      <c r="BH28" s="15"/>
      <c r="BI28" s="15"/>
      <c r="BJ28" s="15"/>
      <c r="BK28" s="15"/>
      <c r="BL28" s="15"/>
      <c r="BM28" s="15"/>
      <c r="BN28" s="20"/>
      <c r="BO28" s="15"/>
      <c r="BP28" s="135"/>
      <c r="BS28" s="15"/>
      <c r="BT28" s="15"/>
      <c r="BU28" s="15"/>
      <c r="BV28" s="15"/>
      <c r="BW28" s="15"/>
      <c r="BX28" s="15"/>
      <c r="BY28" s="15"/>
      <c r="CA28" s="56"/>
      <c r="CB28" s="15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M28" s="56"/>
      <c r="CN28" s="75"/>
      <c r="CO28" s="56"/>
    </row>
    <row r="29" spans="1:93" ht="18" customHeight="1" x14ac:dyDescent="0.25">
      <c r="A29" s="446"/>
      <c r="B29" s="447"/>
      <c r="C29" s="447"/>
      <c r="D29" s="448"/>
      <c r="E29" s="148"/>
      <c r="F29" s="98"/>
      <c r="G29" s="104"/>
      <c r="H29" s="7"/>
      <c r="O29" s="27"/>
      <c r="P29" s="98"/>
      <c r="Q29" s="91"/>
      <c r="R29" s="7"/>
      <c r="S29" s="7"/>
      <c r="T29" s="7"/>
      <c r="U29" s="7"/>
      <c r="V29" s="7"/>
      <c r="W29" s="7"/>
      <c r="X29" s="151"/>
      <c r="Y29" s="152"/>
      <c r="Z29" s="27"/>
      <c r="AA29" s="90"/>
      <c r="AB29" s="91"/>
      <c r="AC29" s="91"/>
      <c r="AI29" s="1" t="s">
        <v>203</v>
      </c>
      <c r="AJ29" s="101">
        <v>3</v>
      </c>
      <c r="AK29" s="101">
        <v>2</v>
      </c>
      <c r="AL29" s="101">
        <v>1</v>
      </c>
      <c r="AN29" s="1" t="s">
        <v>204</v>
      </c>
      <c r="AO29" s="101">
        <v>4</v>
      </c>
      <c r="AP29" s="101">
        <v>3</v>
      </c>
      <c r="AQ29" s="101">
        <v>2</v>
      </c>
      <c r="AR29" s="101">
        <v>1</v>
      </c>
      <c r="AX29" s="44"/>
      <c r="AY29" s="15"/>
      <c r="AZ29" s="20"/>
      <c r="BA29" s="19"/>
      <c r="BB29" s="154" t="s">
        <v>205</v>
      </c>
      <c r="BC29" s="15"/>
      <c r="BD29" s="15"/>
      <c r="BE29" s="19"/>
      <c r="BF29" s="15"/>
      <c r="BG29" s="15"/>
      <c r="BH29" s="15"/>
      <c r="BI29" s="15"/>
      <c r="BJ29" s="15"/>
      <c r="BK29" s="15"/>
      <c r="BL29" s="15"/>
      <c r="BM29" s="15"/>
      <c r="BN29" s="20"/>
      <c r="BO29" s="15"/>
      <c r="BP29" s="135"/>
      <c r="BQ29" s="56"/>
      <c r="BR29" s="135"/>
      <c r="BS29" s="15"/>
      <c r="BT29" s="15"/>
      <c r="BU29" s="15"/>
      <c r="BV29" s="15"/>
      <c r="BW29" s="15"/>
      <c r="BX29" s="15"/>
      <c r="BY29" s="15"/>
      <c r="CA29" s="56"/>
      <c r="CB29" s="15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75"/>
      <c r="CO29" s="56"/>
    </row>
    <row r="30" spans="1:93" ht="24" thickBot="1" x14ac:dyDescent="0.3">
      <c r="A30" s="446"/>
      <c r="B30" s="447"/>
      <c r="C30" s="447"/>
      <c r="D30" s="448"/>
      <c r="E30" s="407"/>
      <c r="F30" s="27"/>
      <c r="G30" s="104"/>
      <c r="H30" s="7"/>
      <c r="I30" s="62"/>
      <c r="J30" s="62"/>
      <c r="K30" s="136"/>
      <c r="L30" s="136"/>
      <c r="M30" s="137"/>
      <c r="N30" s="150"/>
      <c r="O30" s="27"/>
      <c r="P30" s="106"/>
      <c r="Q30" s="91"/>
      <c r="R30" s="7"/>
      <c r="S30" s="7"/>
      <c r="T30" s="7"/>
      <c r="U30" s="7"/>
      <c r="V30" s="151"/>
      <c r="W30" s="7"/>
      <c r="X30" s="151"/>
      <c r="Y30" s="152"/>
      <c r="Z30" s="27"/>
      <c r="AA30" s="20"/>
      <c r="AB30" s="91"/>
      <c r="AC30" s="91"/>
      <c r="AI30" s="138" t="s">
        <v>206</v>
      </c>
      <c r="AJ30" s="139" t="s">
        <v>199</v>
      </c>
      <c r="AK30" s="139" t="s">
        <v>199</v>
      </c>
      <c r="AL30" s="139" t="s">
        <v>199</v>
      </c>
      <c r="AN30" s="138" t="s">
        <v>207</v>
      </c>
      <c r="AO30" s="155" t="s">
        <v>201</v>
      </c>
      <c r="AP30" s="155" t="s">
        <v>201</v>
      </c>
      <c r="AQ30" s="155" t="s">
        <v>201</v>
      </c>
      <c r="AR30" s="155" t="s">
        <v>201</v>
      </c>
      <c r="AW30" s="15"/>
      <c r="AX30" s="481" t="s">
        <v>208</v>
      </c>
      <c r="AY30" s="482"/>
      <c r="AZ30" s="483"/>
      <c r="BA30" s="19"/>
      <c r="BB30" s="15"/>
      <c r="BC30" s="15"/>
      <c r="BD30" s="15"/>
      <c r="BE30" s="19"/>
      <c r="BF30" s="15"/>
      <c r="BG30" s="15"/>
      <c r="BH30" s="15"/>
      <c r="BI30" s="15"/>
      <c r="BJ30" s="15"/>
      <c r="BK30" s="15"/>
      <c r="BL30" s="15"/>
      <c r="BM30" s="15"/>
      <c r="BN30" s="20"/>
      <c r="BO30" s="15"/>
      <c r="BP30" s="135"/>
      <c r="BQ30" s="56"/>
      <c r="BR30" s="56"/>
      <c r="BS30" s="15"/>
      <c r="BT30" s="15"/>
      <c r="BU30" s="15"/>
      <c r="BV30" s="15"/>
      <c r="BW30" s="15"/>
      <c r="BX30" s="15"/>
      <c r="BY30" s="15"/>
      <c r="CA30" s="56"/>
      <c r="CB30" s="15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</row>
    <row r="31" spans="1:93" ht="24" thickBot="1" x14ac:dyDescent="0.3">
      <c r="A31" s="446"/>
      <c r="B31" s="447"/>
      <c r="C31" s="447"/>
      <c r="D31" s="448"/>
      <c r="E31" s="148"/>
      <c r="F31" s="27"/>
      <c r="G31" s="104"/>
      <c r="H31" s="7"/>
      <c r="I31" s="62"/>
      <c r="J31" s="136"/>
      <c r="K31" s="141"/>
      <c r="L31" s="141"/>
      <c r="M31" s="136"/>
      <c r="N31" s="150"/>
      <c r="O31" s="27"/>
      <c r="P31" s="98"/>
      <c r="Q31" s="91"/>
      <c r="R31" s="7"/>
      <c r="S31" s="7"/>
      <c r="T31" s="7"/>
      <c r="U31" s="7"/>
      <c r="V31" s="7"/>
      <c r="W31" s="7"/>
      <c r="X31" s="151"/>
      <c r="Y31" s="152"/>
      <c r="Z31" s="151"/>
      <c r="AA31" s="25"/>
      <c r="AB31" s="91"/>
      <c r="AC31" s="91"/>
      <c r="AD31" s="409"/>
      <c r="AE31" s="409"/>
      <c r="AF31" s="409"/>
      <c r="AI31" s="139"/>
      <c r="AJ31" s="156">
        <v>340</v>
      </c>
      <c r="AK31" s="156">
        <v>340</v>
      </c>
      <c r="AL31" s="156">
        <v>340</v>
      </c>
      <c r="AM31" s="139"/>
      <c r="AN31" s="155"/>
      <c r="AO31" s="157">
        <v>250</v>
      </c>
      <c r="AP31" s="157">
        <v>250</v>
      </c>
      <c r="AQ31" s="157">
        <v>250</v>
      </c>
      <c r="AR31" s="157">
        <v>250</v>
      </c>
      <c r="AS31" s="155"/>
      <c r="AT31" s="409"/>
      <c r="AU31" s="409"/>
      <c r="AV31" s="409"/>
      <c r="AW31" s="409"/>
      <c r="AX31" s="481"/>
      <c r="AY31" s="482"/>
      <c r="AZ31" s="483"/>
      <c r="BA31" s="19"/>
      <c r="BB31" s="15"/>
      <c r="BC31" s="15"/>
      <c r="BD31" s="15"/>
      <c r="BE31" s="19"/>
      <c r="BF31" s="15"/>
      <c r="BG31" s="15"/>
      <c r="BH31" s="15"/>
      <c r="BI31" s="15"/>
      <c r="BJ31" s="15"/>
      <c r="BK31" s="15"/>
      <c r="BL31" s="15"/>
      <c r="BM31" s="15"/>
      <c r="BN31" s="20"/>
      <c r="BO31" s="15"/>
      <c r="BP31" s="135"/>
      <c r="BQ31" s="56"/>
      <c r="BR31" s="56"/>
      <c r="BS31" s="15"/>
      <c r="BT31" s="15"/>
      <c r="BU31" s="15"/>
      <c r="BV31" s="15"/>
      <c r="BW31" s="15"/>
      <c r="BX31" s="15"/>
      <c r="BY31" s="15"/>
      <c r="CA31" s="56"/>
      <c r="CB31" s="20"/>
      <c r="CC31" s="484" t="s">
        <v>209</v>
      </c>
      <c r="CD31" s="485"/>
      <c r="CE31" s="486"/>
      <c r="CF31" s="7"/>
      <c r="CG31" s="7"/>
      <c r="CH31" s="7"/>
      <c r="CI31" s="7"/>
      <c r="CJ31" s="7"/>
      <c r="CK31" s="7"/>
      <c r="CL31" s="7"/>
    </row>
    <row r="32" spans="1:93" ht="23.25" x14ac:dyDescent="0.25">
      <c r="A32" s="446"/>
      <c r="B32" s="447"/>
      <c r="C32" s="447"/>
      <c r="D32" s="448"/>
      <c r="E32" s="407"/>
      <c r="F32" s="27"/>
      <c r="G32" s="104"/>
      <c r="H32" s="7"/>
      <c r="I32" s="136"/>
      <c r="J32" s="103"/>
      <c r="K32" s="111"/>
      <c r="L32" s="111"/>
      <c r="M32" s="103"/>
      <c r="N32" s="136"/>
      <c r="O32" s="27"/>
      <c r="P32" s="106"/>
      <c r="Q32" s="91"/>
      <c r="R32" s="7"/>
      <c r="S32" s="7"/>
      <c r="T32" s="7"/>
      <c r="U32" s="7"/>
      <c r="V32" s="7"/>
      <c r="W32" s="7"/>
      <c r="X32" s="151"/>
      <c r="Y32" s="152"/>
      <c r="Z32" s="27"/>
      <c r="AA32" s="20"/>
      <c r="AB32" s="91"/>
      <c r="AC32" s="91"/>
      <c r="AD32" s="409"/>
      <c r="AE32" s="409"/>
      <c r="AF32" s="409"/>
      <c r="AI32" s="139"/>
      <c r="AJ32" s="156">
        <v>340</v>
      </c>
      <c r="AK32" s="156">
        <v>340</v>
      </c>
      <c r="AL32" s="156">
        <v>340</v>
      </c>
      <c r="AM32" s="139"/>
      <c r="AN32" s="155"/>
      <c r="AO32" s="157">
        <v>250</v>
      </c>
      <c r="AP32" s="157">
        <v>250</v>
      </c>
      <c r="AQ32" s="157">
        <v>250</v>
      </c>
      <c r="AR32" s="157">
        <v>250</v>
      </c>
      <c r="AS32" s="155"/>
      <c r="AT32" s="409"/>
      <c r="AU32" s="409"/>
      <c r="AV32" s="409"/>
      <c r="AW32" s="409"/>
      <c r="AX32" s="481"/>
      <c r="AY32" s="482"/>
      <c r="AZ32" s="483"/>
      <c r="BA32" s="19"/>
      <c r="BB32" s="15"/>
      <c r="BC32" s="15"/>
      <c r="BD32" s="15"/>
      <c r="BE32" s="19"/>
      <c r="BF32" s="15"/>
      <c r="BG32" s="15"/>
      <c r="BH32" s="15"/>
      <c r="BI32" s="15"/>
      <c r="BJ32" s="15"/>
      <c r="BK32" s="15"/>
      <c r="BL32" s="15"/>
      <c r="BM32" s="15"/>
      <c r="BN32" s="20"/>
      <c r="BO32" s="15"/>
      <c r="BP32" s="135"/>
      <c r="BQ32" s="56"/>
      <c r="BR32" s="56"/>
      <c r="BS32" s="15"/>
      <c r="BT32" s="15"/>
      <c r="BU32" s="15"/>
      <c r="BV32" s="15"/>
      <c r="BW32" s="15"/>
      <c r="BX32" s="15"/>
      <c r="BY32" s="15"/>
      <c r="CA32" s="56"/>
      <c r="CB32" s="20"/>
      <c r="CC32" s="7"/>
      <c r="CD32" s="7"/>
      <c r="CE32" s="7"/>
      <c r="CF32" s="7"/>
      <c r="CG32" s="7"/>
      <c r="CH32" s="7"/>
      <c r="CI32" s="7"/>
      <c r="CJ32" s="7"/>
      <c r="CK32" s="7"/>
      <c r="CL32" s="7"/>
    </row>
    <row r="33" spans="1:90" ht="23.25" x14ac:dyDescent="0.25">
      <c r="A33" s="446"/>
      <c r="B33" s="447"/>
      <c r="C33" s="447"/>
      <c r="D33" s="448"/>
      <c r="E33" s="148"/>
      <c r="F33" s="27"/>
      <c r="G33" s="27"/>
      <c r="H33" s="27"/>
      <c r="I33" s="136"/>
      <c r="J33" s="103"/>
      <c r="K33" s="111"/>
      <c r="L33" s="111"/>
      <c r="M33" s="103"/>
      <c r="N33" s="136"/>
      <c r="O33" s="27"/>
      <c r="P33" s="98"/>
      <c r="Q33" s="91"/>
      <c r="R33" s="7"/>
      <c r="S33" s="7"/>
      <c r="T33" s="7"/>
      <c r="U33" s="7"/>
      <c r="V33" s="7"/>
      <c r="W33" s="7"/>
      <c r="X33" s="158"/>
      <c r="Y33" s="152"/>
      <c r="Z33" s="27"/>
      <c r="AA33" s="20"/>
      <c r="AB33" s="91"/>
      <c r="AJ33" s="139" t="s">
        <v>199</v>
      </c>
      <c r="AK33" s="139" t="s">
        <v>199</v>
      </c>
      <c r="AL33" s="139" t="s">
        <v>199</v>
      </c>
      <c r="AM33" s="7"/>
      <c r="AO33" s="155" t="s">
        <v>201</v>
      </c>
      <c r="AP33" s="155" t="s">
        <v>201</v>
      </c>
      <c r="AQ33" s="155" t="s">
        <v>201</v>
      </c>
      <c r="AR33" s="155" t="s">
        <v>201</v>
      </c>
      <c r="AS33" s="159"/>
      <c r="AX33" s="481"/>
      <c r="AY33" s="482"/>
      <c r="AZ33" s="483"/>
      <c r="BA33" s="19"/>
      <c r="BB33" s="15"/>
      <c r="BC33" s="15"/>
      <c r="BD33" s="15"/>
      <c r="BE33" s="19"/>
      <c r="BF33" s="15"/>
      <c r="BG33" s="15"/>
      <c r="BH33" s="15"/>
      <c r="BI33" s="15"/>
      <c r="BJ33" s="15"/>
      <c r="BK33" s="15"/>
      <c r="BL33" s="15"/>
      <c r="BM33" s="15"/>
      <c r="BN33" s="20"/>
      <c r="BO33" s="15"/>
      <c r="BP33" s="15"/>
      <c r="BQ33" s="135"/>
      <c r="BR33" s="56"/>
      <c r="BS33" s="15"/>
      <c r="BT33" s="15"/>
      <c r="BU33" s="15"/>
      <c r="BV33" s="15"/>
      <c r="BW33" s="15"/>
      <c r="BX33" s="15"/>
      <c r="BY33" s="15"/>
      <c r="BZ33" s="56"/>
      <c r="CA33" s="56"/>
      <c r="CB33" s="20"/>
      <c r="CC33" s="19"/>
      <c r="CD33" s="7"/>
      <c r="CE33" s="7"/>
      <c r="CF33" s="7"/>
      <c r="CG33" s="7"/>
      <c r="CH33" s="56"/>
      <c r="CI33" s="56"/>
      <c r="CJ33" s="56"/>
      <c r="CK33" s="56"/>
      <c r="CL33" s="56"/>
    </row>
    <row r="34" spans="1:90" ht="16.5" thickBot="1" x14ac:dyDescent="0.3">
      <c r="A34" s="449"/>
      <c r="B34" s="450"/>
      <c r="C34" s="450"/>
      <c r="D34" s="451"/>
      <c r="E34" s="407"/>
      <c r="F34" s="27"/>
      <c r="G34" s="27"/>
      <c r="H34" s="27"/>
      <c r="I34" s="62"/>
      <c r="J34" s="136"/>
      <c r="K34" s="141"/>
      <c r="L34" s="141"/>
      <c r="M34" s="136"/>
      <c r="N34" s="7"/>
      <c r="O34" s="27"/>
      <c r="P34" s="27"/>
      <c r="Q34" s="160"/>
      <c r="R34" s="161"/>
      <c r="S34" s="161"/>
      <c r="T34" s="161"/>
      <c r="U34" s="161"/>
      <c r="V34" s="162"/>
      <c r="W34" s="487"/>
      <c r="X34" s="487"/>
      <c r="Y34" s="488"/>
      <c r="Z34" s="27"/>
      <c r="AA34" s="163"/>
      <c r="AB34" s="27"/>
      <c r="AC34" s="164"/>
      <c r="AI34" s="159"/>
      <c r="AJ34" s="101">
        <v>4</v>
      </c>
      <c r="AK34" s="101">
        <v>5</v>
      </c>
      <c r="AL34" s="469"/>
      <c r="AM34" s="7"/>
      <c r="AO34" s="101">
        <v>5</v>
      </c>
      <c r="AP34" s="101">
        <v>6</v>
      </c>
      <c r="AQ34" s="101">
        <v>7</v>
      </c>
      <c r="AR34" s="101">
        <v>8</v>
      </c>
      <c r="AS34" s="159"/>
      <c r="AW34" s="15"/>
      <c r="AX34" s="44"/>
      <c r="AY34" s="15"/>
      <c r="AZ34" s="20"/>
      <c r="BA34" s="19"/>
      <c r="BB34" s="15"/>
      <c r="BC34" s="15"/>
      <c r="BD34" s="15"/>
      <c r="BE34" s="19"/>
      <c r="BF34" s="15"/>
      <c r="BG34" s="15"/>
      <c r="BH34" s="15"/>
      <c r="BI34" s="15"/>
      <c r="BJ34" s="15"/>
      <c r="BK34" s="15"/>
      <c r="BL34" s="15"/>
      <c r="BM34" s="15"/>
      <c r="BN34" s="20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20"/>
      <c r="CC34" s="19"/>
      <c r="CD34" s="7"/>
      <c r="CE34" s="7"/>
      <c r="CF34" s="7"/>
      <c r="CG34" s="7"/>
      <c r="CH34" s="56"/>
      <c r="CI34" s="56"/>
      <c r="CJ34" s="56"/>
      <c r="CK34" s="56"/>
      <c r="CL34" s="56"/>
    </row>
    <row r="35" spans="1:90" ht="16.5" customHeight="1" thickBot="1" x14ac:dyDescent="0.3">
      <c r="A35" s="453" t="s">
        <v>210</v>
      </c>
      <c r="B35" s="454"/>
      <c r="C35" s="455"/>
      <c r="D35" s="27"/>
      <c r="E35" s="27"/>
      <c r="F35" s="27"/>
      <c r="G35" s="27"/>
      <c r="H35" s="27"/>
      <c r="I35" s="62"/>
      <c r="J35" s="62"/>
      <c r="K35" s="136"/>
      <c r="L35" s="136"/>
      <c r="M35" s="62"/>
      <c r="N35" s="150"/>
      <c r="O35" s="7"/>
      <c r="P35" s="27"/>
      <c r="Q35" s="27"/>
      <c r="R35" s="27"/>
      <c r="S35" s="7"/>
      <c r="T35" s="27"/>
      <c r="U35" s="154"/>
      <c r="V35" s="7"/>
      <c r="W35" s="7"/>
      <c r="X35" s="27"/>
      <c r="Y35" s="27"/>
      <c r="Z35" s="27"/>
      <c r="AA35" s="165"/>
      <c r="AB35" s="98"/>
      <c r="AC35" s="153"/>
      <c r="AI35" s="15"/>
      <c r="AJ35" s="7"/>
      <c r="AK35" s="7"/>
      <c r="AL35" s="489"/>
      <c r="AM35" s="7"/>
      <c r="AO35" s="462" t="s">
        <v>211</v>
      </c>
      <c r="AP35" s="462"/>
      <c r="AQ35" s="462"/>
      <c r="AR35" s="462"/>
      <c r="AS35" s="109"/>
      <c r="AT35" s="135"/>
      <c r="AU35" s="135"/>
      <c r="AV35" s="135"/>
      <c r="AW35" s="15"/>
      <c r="AX35" s="44"/>
      <c r="AY35" s="15"/>
      <c r="AZ35" s="20"/>
      <c r="BA35" s="19"/>
      <c r="BB35" s="15"/>
      <c r="BC35" s="15"/>
      <c r="BD35" s="15"/>
      <c r="BE35" s="19"/>
      <c r="BF35" s="15"/>
      <c r="BG35" s="15"/>
      <c r="BH35" s="15"/>
      <c r="BI35" s="15"/>
      <c r="BJ35" s="15"/>
      <c r="BK35" s="15"/>
      <c r="BL35" s="15"/>
      <c r="BM35" s="15"/>
      <c r="BN35" s="20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20"/>
      <c r="CC35" s="7"/>
      <c r="CD35" s="7"/>
      <c r="CE35" s="7"/>
      <c r="CF35" s="7"/>
      <c r="CG35" s="7"/>
      <c r="CH35" s="56"/>
      <c r="CI35" s="56"/>
      <c r="CJ35" s="56"/>
      <c r="CK35" s="56"/>
      <c r="CL35" s="56"/>
    </row>
    <row r="36" spans="1:90" ht="23.25" customHeight="1" x14ac:dyDescent="0.25">
      <c r="A36" s="456"/>
      <c r="B36" s="457"/>
      <c r="C36" s="458"/>
      <c r="D36" s="166"/>
      <c r="E36" s="27"/>
      <c r="F36" s="27"/>
      <c r="G36" s="27"/>
      <c r="H36" s="27"/>
      <c r="I36" s="27"/>
      <c r="J36" s="27"/>
      <c r="K36" s="27"/>
      <c r="L36" s="15"/>
      <c r="M36" s="27"/>
      <c r="N36" s="27"/>
      <c r="O36" s="7"/>
      <c r="P36" s="27"/>
      <c r="Q36" s="27"/>
      <c r="R36" s="27"/>
      <c r="S36" s="27"/>
      <c r="T36" s="27"/>
      <c r="U36" s="7"/>
      <c r="V36" s="7"/>
      <c r="W36" s="7"/>
      <c r="X36" s="27"/>
      <c r="Y36" s="148"/>
      <c r="Z36" s="463" t="s">
        <v>212</v>
      </c>
      <c r="AA36" s="464"/>
      <c r="AB36" s="464"/>
      <c r="AC36" s="465"/>
      <c r="AE36" s="131" t="s">
        <v>193</v>
      </c>
      <c r="AF36" s="131"/>
      <c r="AI36" s="7"/>
      <c r="AJ36" s="442" t="s">
        <v>193</v>
      </c>
      <c r="AK36" s="442"/>
      <c r="AL36" s="7"/>
      <c r="AS36" s="7"/>
      <c r="AX36" s="44"/>
      <c r="AY36" s="15"/>
      <c r="AZ36" s="20"/>
      <c r="BA36" s="19"/>
      <c r="BB36" s="15"/>
      <c r="BC36" s="15"/>
      <c r="BD36" s="15"/>
      <c r="BE36" s="19"/>
      <c r="BF36" s="15"/>
      <c r="BG36" s="15"/>
      <c r="BH36" s="15"/>
      <c r="BI36" s="15"/>
      <c r="BJ36" s="15"/>
      <c r="BK36" s="15"/>
      <c r="BL36" s="15"/>
      <c r="BM36" s="15"/>
      <c r="BN36" s="20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20"/>
      <c r="CC36" s="7"/>
      <c r="CD36" s="7"/>
      <c r="CE36" s="7"/>
      <c r="CF36" s="7"/>
      <c r="CH36" s="56"/>
      <c r="CI36" s="56"/>
      <c r="CJ36" s="56"/>
      <c r="CK36" s="56"/>
      <c r="CL36" s="56"/>
    </row>
    <row r="37" spans="1:90" ht="16.5" thickBot="1" x14ac:dyDescent="0.3">
      <c r="A37" s="456"/>
      <c r="B37" s="457"/>
      <c r="C37" s="458"/>
      <c r="D37" s="166"/>
      <c r="E37" s="27"/>
      <c r="F37" s="27"/>
      <c r="G37" s="27"/>
      <c r="H37" s="27"/>
      <c r="I37" s="27"/>
      <c r="J37" s="27"/>
      <c r="K37" s="27"/>
      <c r="L37" s="15"/>
      <c r="M37" s="27"/>
      <c r="N37" s="27"/>
      <c r="O37" s="27"/>
      <c r="P37" s="27"/>
      <c r="Q37" s="27"/>
      <c r="R37" s="7"/>
      <c r="S37" s="27"/>
      <c r="T37" s="27"/>
      <c r="U37" s="7"/>
      <c r="V37" s="7"/>
      <c r="W37" s="7"/>
      <c r="X37" s="27"/>
      <c r="Y37" s="148"/>
      <c r="Z37" s="466"/>
      <c r="AA37" s="467"/>
      <c r="AB37" s="467"/>
      <c r="AC37" s="468"/>
      <c r="AD37" s="1" t="s">
        <v>213</v>
      </c>
      <c r="AE37" s="101">
        <v>2</v>
      </c>
      <c r="AF37" s="101">
        <v>1</v>
      </c>
      <c r="AI37" s="1" t="s">
        <v>214</v>
      </c>
      <c r="AJ37" s="101">
        <v>2</v>
      </c>
      <c r="AK37" s="101">
        <v>1</v>
      </c>
      <c r="AL37" s="7"/>
      <c r="AN37" s="1" t="s">
        <v>215</v>
      </c>
      <c r="AO37" s="101">
        <v>4</v>
      </c>
      <c r="AP37" s="101">
        <v>3</v>
      </c>
      <c r="AQ37" s="101">
        <v>2</v>
      </c>
      <c r="AR37" s="101">
        <v>1</v>
      </c>
      <c r="AS37" s="7"/>
      <c r="AX37" s="44"/>
      <c r="AY37" s="167"/>
      <c r="AZ37" s="20"/>
      <c r="BA37" s="19"/>
      <c r="BB37" s="15"/>
      <c r="BC37" s="15"/>
      <c r="BD37" s="15"/>
      <c r="BE37" s="19"/>
      <c r="BF37" s="15"/>
      <c r="BG37" s="15"/>
      <c r="BH37" s="15"/>
      <c r="BI37" s="15"/>
      <c r="BJ37" s="15"/>
      <c r="BK37" s="15"/>
      <c r="BL37" s="15"/>
      <c r="BM37" s="15"/>
      <c r="BN37" s="20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20"/>
      <c r="CC37" s="7"/>
      <c r="CD37" s="7"/>
      <c r="CE37" s="7"/>
      <c r="CF37" s="7"/>
      <c r="CH37" s="56"/>
      <c r="CI37" s="56"/>
      <c r="CJ37" s="56"/>
      <c r="CK37" s="56"/>
      <c r="CL37" s="56"/>
    </row>
    <row r="38" spans="1:90" ht="18" customHeight="1" x14ac:dyDescent="0.25">
      <c r="A38" s="456"/>
      <c r="B38" s="457"/>
      <c r="C38" s="458"/>
      <c r="D38" s="166"/>
      <c r="E38" s="27"/>
      <c r="F38" s="27"/>
      <c r="G38" s="27"/>
      <c r="H38" s="27"/>
      <c r="I38" s="56"/>
      <c r="J38" s="56"/>
      <c r="K38" s="56"/>
      <c r="L38" s="15"/>
      <c r="M38" s="27"/>
      <c r="P38" s="27"/>
      <c r="Q38" s="27"/>
      <c r="R38" s="7"/>
      <c r="S38" s="135"/>
      <c r="T38" s="27"/>
      <c r="U38" s="7"/>
      <c r="V38" s="7"/>
      <c r="W38" s="7"/>
      <c r="X38" s="27"/>
      <c r="Y38" s="148"/>
      <c r="Z38" s="27"/>
      <c r="AA38" s="168"/>
      <c r="AB38" s="98"/>
      <c r="AC38" s="98"/>
      <c r="AD38" s="138" t="s">
        <v>216</v>
      </c>
      <c r="AE38" s="169" t="s">
        <v>199</v>
      </c>
      <c r="AF38" s="169" t="s">
        <v>199</v>
      </c>
      <c r="AG38" s="7"/>
      <c r="AI38" s="138" t="s">
        <v>217</v>
      </c>
      <c r="AJ38" s="170" t="s">
        <v>201</v>
      </c>
      <c r="AK38" s="170" t="s">
        <v>201</v>
      </c>
      <c r="AL38" s="7"/>
      <c r="AN38" s="138" t="s">
        <v>218</v>
      </c>
      <c r="AO38" s="155" t="s">
        <v>201</v>
      </c>
      <c r="AP38" s="155" t="s">
        <v>201</v>
      </c>
      <c r="AQ38" s="155" t="s">
        <v>201</v>
      </c>
      <c r="AR38" s="155" t="s">
        <v>201</v>
      </c>
      <c r="AX38" s="44"/>
      <c r="AY38" s="15"/>
      <c r="AZ38" s="20"/>
      <c r="BA38" s="19"/>
      <c r="BB38" s="15"/>
      <c r="BC38" s="15"/>
      <c r="BD38" s="15"/>
      <c r="BE38" s="19"/>
      <c r="BF38" s="15"/>
      <c r="BG38" s="15"/>
      <c r="BH38" s="15"/>
      <c r="BI38" s="15"/>
      <c r="BJ38" s="15"/>
      <c r="BK38" s="15"/>
      <c r="BL38" s="15"/>
      <c r="BM38" s="15"/>
      <c r="BN38" s="20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20"/>
      <c r="CC38" s="7"/>
      <c r="CD38" s="7"/>
      <c r="CE38" s="7"/>
      <c r="CF38" s="7"/>
      <c r="CH38" s="56"/>
      <c r="CI38" s="56"/>
      <c r="CJ38" s="56"/>
      <c r="CK38" s="56"/>
      <c r="CL38" s="56"/>
    </row>
    <row r="39" spans="1:90" ht="23.25" x14ac:dyDescent="0.25">
      <c r="A39" s="456"/>
      <c r="B39" s="457"/>
      <c r="C39" s="458"/>
      <c r="D39" s="166"/>
      <c r="E39" s="27"/>
      <c r="F39" s="27"/>
      <c r="G39" s="27"/>
      <c r="H39" s="27"/>
      <c r="I39" s="56"/>
      <c r="J39" s="171"/>
      <c r="K39" s="408"/>
      <c r="L39" s="408"/>
      <c r="M39" s="27"/>
      <c r="P39" s="27"/>
      <c r="Q39" s="27"/>
      <c r="R39" s="7"/>
      <c r="S39" s="148"/>
      <c r="T39" s="27"/>
      <c r="U39" s="7"/>
      <c r="V39" s="7"/>
      <c r="W39" s="7"/>
      <c r="X39" s="27"/>
      <c r="Y39" s="148"/>
      <c r="Z39" s="27"/>
      <c r="AA39" s="163"/>
      <c r="AB39" s="98"/>
      <c r="AC39" s="98"/>
      <c r="AD39" s="169"/>
      <c r="AE39" s="172">
        <v>340</v>
      </c>
      <c r="AF39" s="172">
        <v>340</v>
      </c>
      <c r="AG39" s="169"/>
      <c r="AI39" s="170"/>
      <c r="AJ39" s="173">
        <v>340</v>
      </c>
      <c r="AK39" s="173">
        <v>340</v>
      </c>
      <c r="AL39" s="170"/>
      <c r="AN39" s="155"/>
      <c r="AO39" s="157">
        <v>250</v>
      </c>
      <c r="AP39" s="174">
        <v>250</v>
      </c>
      <c r="AQ39" s="174">
        <v>250</v>
      </c>
      <c r="AR39" s="174">
        <v>250</v>
      </c>
      <c r="AS39" s="155"/>
      <c r="AV39" s="469"/>
      <c r="AW39" s="7"/>
      <c r="AX39" s="44"/>
      <c r="AY39" s="15"/>
      <c r="AZ39" s="20"/>
      <c r="BA39" s="19"/>
      <c r="BB39" s="15"/>
      <c r="BC39" s="15"/>
      <c r="BD39" s="15"/>
      <c r="BE39" s="19"/>
      <c r="BF39" s="15"/>
      <c r="BG39" s="15"/>
      <c r="BH39" s="15"/>
      <c r="BI39" s="15"/>
      <c r="BJ39" s="15"/>
      <c r="BK39" s="15"/>
      <c r="BL39" s="15"/>
      <c r="BM39" s="15"/>
      <c r="BN39" s="20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20"/>
      <c r="CC39" s="7"/>
      <c r="CD39" s="7"/>
      <c r="CE39" s="7"/>
      <c r="CF39" s="7"/>
      <c r="CG39" s="7"/>
      <c r="CH39" s="56"/>
      <c r="CI39" s="56"/>
      <c r="CJ39" s="56"/>
      <c r="CK39" s="56"/>
      <c r="CL39" s="56"/>
    </row>
    <row r="40" spans="1:90" ht="25.5" customHeight="1" x14ac:dyDescent="0.25">
      <c r="A40" s="456"/>
      <c r="B40" s="457"/>
      <c r="C40" s="458"/>
      <c r="D40" s="175"/>
      <c r="E40" s="98"/>
      <c r="F40" s="27"/>
      <c r="G40" s="27"/>
      <c r="H40" s="27"/>
      <c r="I40" s="56"/>
      <c r="J40" s="56"/>
      <c r="K40" s="408"/>
      <c r="L40" s="408"/>
      <c r="M40" s="98"/>
      <c r="P40" s="27"/>
      <c r="Q40" s="27"/>
      <c r="R40" s="7"/>
      <c r="S40" s="135"/>
      <c r="T40" s="27"/>
      <c r="U40" s="7"/>
      <c r="V40" s="135"/>
      <c r="W40" s="135"/>
      <c r="X40" s="135"/>
      <c r="Y40" s="62"/>
      <c r="Z40" s="153"/>
      <c r="AA40" s="176"/>
      <c r="AB40" s="98"/>
      <c r="AC40" s="91"/>
      <c r="AD40" s="169"/>
      <c r="AE40" s="172">
        <v>340</v>
      </c>
      <c r="AF40" s="172">
        <v>340</v>
      </c>
      <c r="AG40" s="169"/>
      <c r="AI40" s="170"/>
      <c r="AJ40" s="173">
        <v>340</v>
      </c>
      <c r="AK40" s="173">
        <v>340</v>
      </c>
      <c r="AL40" s="170"/>
      <c r="AN40" s="155"/>
      <c r="AO40" s="177">
        <v>250</v>
      </c>
      <c r="AP40" s="177">
        <v>250</v>
      </c>
      <c r="AQ40" s="177">
        <v>250</v>
      </c>
      <c r="AR40" s="157">
        <v>250</v>
      </c>
      <c r="AS40" s="155"/>
      <c r="AT40" s="135"/>
      <c r="AU40" s="135"/>
      <c r="AV40" s="470"/>
      <c r="AW40" s="7"/>
      <c r="AX40" s="19"/>
      <c r="AY40" s="15"/>
      <c r="AZ40" s="20"/>
      <c r="BA40" s="19"/>
      <c r="BB40" s="15"/>
      <c r="BC40" s="15"/>
      <c r="BD40" s="15"/>
      <c r="BE40" s="19"/>
      <c r="BF40" s="15"/>
      <c r="BG40" s="15"/>
      <c r="BH40" s="15"/>
      <c r="BI40" s="15"/>
      <c r="BJ40" s="15"/>
      <c r="BK40" s="15"/>
      <c r="BL40" s="15"/>
      <c r="BM40" s="15"/>
      <c r="BN40" s="20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20"/>
      <c r="CC40" s="7"/>
      <c r="CD40" s="7"/>
      <c r="CE40" s="7"/>
      <c r="CF40" s="7"/>
      <c r="CG40" s="7"/>
      <c r="CH40" s="56"/>
      <c r="CI40" s="56"/>
      <c r="CJ40" s="56"/>
      <c r="CK40" s="56"/>
      <c r="CL40" s="56"/>
    </row>
    <row r="41" spans="1:90" ht="23.25" x14ac:dyDescent="0.25">
      <c r="A41" s="456"/>
      <c r="B41" s="457"/>
      <c r="C41" s="458"/>
      <c r="D41" s="98"/>
      <c r="E41" s="98"/>
      <c r="F41" s="27"/>
      <c r="G41" s="27"/>
      <c r="H41" s="27"/>
      <c r="I41" s="56"/>
      <c r="J41" s="56"/>
      <c r="K41" s="62"/>
      <c r="L41" s="15"/>
      <c r="M41" s="98"/>
      <c r="P41" s="21"/>
      <c r="Q41" s="27"/>
      <c r="R41" s="7"/>
      <c r="S41" s="135"/>
      <c r="T41" s="15"/>
      <c r="U41" s="7"/>
      <c r="V41" s="135"/>
      <c r="W41" s="135"/>
      <c r="X41" s="135"/>
      <c r="Y41" s="178"/>
      <c r="Z41" s="98"/>
      <c r="AA41" s="176"/>
      <c r="AB41" s="98"/>
      <c r="AC41" s="91"/>
      <c r="AE41" s="169" t="s">
        <v>199</v>
      </c>
      <c r="AF41" s="169" t="s">
        <v>199</v>
      </c>
      <c r="AJ41" s="170" t="s">
        <v>201</v>
      </c>
      <c r="AK41" s="170" t="s">
        <v>201</v>
      </c>
      <c r="AL41" s="179"/>
      <c r="AO41" s="155" t="s">
        <v>201</v>
      </c>
      <c r="AP41" s="155" t="s">
        <v>201</v>
      </c>
      <c r="AQ41" s="155" t="s">
        <v>201</v>
      </c>
      <c r="AR41" s="155" t="s">
        <v>201</v>
      </c>
      <c r="AS41" s="122"/>
      <c r="AT41" s="135"/>
      <c r="AU41" s="135"/>
      <c r="AV41" s="135"/>
      <c r="AX41" s="19"/>
      <c r="AY41" s="15"/>
      <c r="AZ41" s="20"/>
      <c r="BA41" s="19"/>
      <c r="BB41" s="15"/>
      <c r="BC41" s="15"/>
      <c r="BD41" s="15"/>
      <c r="BE41" s="19"/>
      <c r="BF41" s="15"/>
      <c r="BG41" s="15"/>
      <c r="BH41" s="15"/>
      <c r="BI41" s="15"/>
      <c r="BJ41" s="15"/>
      <c r="BK41" s="15"/>
      <c r="BL41" s="15"/>
      <c r="BM41" s="15"/>
      <c r="BN41" s="20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20"/>
      <c r="CC41" s="7"/>
      <c r="CD41" s="7"/>
      <c r="CE41" s="7"/>
      <c r="CF41" s="7"/>
      <c r="CG41" s="7"/>
      <c r="CH41" s="56"/>
      <c r="CI41" s="56"/>
      <c r="CJ41" s="56"/>
      <c r="CK41" s="56"/>
      <c r="CL41" s="56"/>
    </row>
    <row r="42" spans="1:90" ht="15.75" x14ac:dyDescent="0.25">
      <c r="A42" s="456"/>
      <c r="B42" s="457"/>
      <c r="C42" s="458"/>
      <c r="D42" s="98"/>
      <c r="E42" s="98"/>
      <c r="F42" s="27"/>
      <c r="G42" s="27"/>
      <c r="H42" s="27"/>
      <c r="I42" s="56"/>
      <c r="J42" s="62"/>
      <c r="K42" s="62"/>
      <c r="L42" s="15"/>
      <c r="M42" s="98"/>
      <c r="N42" s="7"/>
      <c r="O42" s="166"/>
      <c r="P42" s="21"/>
      <c r="Q42" s="15"/>
      <c r="R42" s="7"/>
      <c r="T42" s="15"/>
      <c r="U42" s="7"/>
      <c r="Z42" s="98"/>
      <c r="AA42" s="176"/>
      <c r="AB42" s="91"/>
      <c r="AC42" s="91"/>
      <c r="AE42" s="101">
        <v>3</v>
      </c>
      <c r="AF42" s="101">
        <v>4</v>
      </c>
      <c r="AG42" s="101"/>
      <c r="AJ42" s="101">
        <v>3</v>
      </c>
      <c r="AK42" s="101">
        <v>4</v>
      </c>
      <c r="AL42" s="180"/>
      <c r="AO42" s="101">
        <v>5</v>
      </c>
      <c r="AP42" s="101">
        <v>6</v>
      </c>
      <c r="AQ42" s="101">
        <v>7</v>
      </c>
      <c r="AR42" s="101">
        <v>8</v>
      </c>
      <c r="AT42" s="135"/>
      <c r="AU42" s="411"/>
      <c r="AV42" s="411"/>
      <c r="AW42" s="411"/>
      <c r="AX42" s="19"/>
      <c r="AY42" s="15"/>
      <c r="AZ42" s="20"/>
      <c r="BA42" s="19"/>
      <c r="BB42" s="15"/>
      <c r="BC42" s="15"/>
      <c r="BD42" s="15"/>
      <c r="BE42" s="19"/>
      <c r="BF42" s="15"/>
      <c r="BG42" s="15"/>
      <c r="BH42" s="15"/>
      <c r="BI42" s="15"/>
      <c r="BJ42" s="15"/>
      <c r="BK42" s="15"/>
      <c r="BL42" s="15"/>
      <c r="BM42" s="15"/>
      <c r="BN42" s="20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20"/>
      <c r="CC42" s="7"/>
      <c r="CD42" s="7"/>
      <c r="CE42" s="7"/>
      <c r="CF42" s="7"/>
      <c r="CG42" s="7"/>
      <c r="CH42" s="7"/>
      <c r="CI42" s="7"/>
      <c r="CJ42" s="7"/>
      <c r="CK42" s="7"/>
      <c r="CL42" s="7"/>
    </row>
    <row r="43" spans="1:90" ht="15.75" customHeight="1" x14ac:dyDescent="0.25">
      <c r="A43" s="456"/>
      <c r="B43" s="457"/>
      <c r="C43" s="458"/>
      <c r="D43" s="98"/>
      <c r="E43" s="27"/>
      <c r="F43" s="27"/>
      <c r="G43" s="27"/>
      <c r="H43" s="27"/>
      <c r="I43" s="15"/>
      <c r="J43" s="15"/>
      <c r="K43" s="15"/>
      <c r="L43" s="15"/>
      <c r="M43" s="98"/>
      <c r="N43" s="101"/>
      <c r="O43" s="51"/>
      <c r="P43" s="21"/>
      <c r="Q43" s="15"/>
      <c r="R43" s="7"/>
      <c r="T43" s="15"/>
      <c r="U43" s="7"/>
      <c r="Y43" s="135"/>
      <c r="Z43" s="98"/>
      <c r="AA43" s="176"/>
      <c r="AB43" s="91"/>
      <c r="AC43" s="91"/>
      <c r="AF43" s="101"/>
      <c r="AG43" s="101"/>
      <c r="AH43" s="101"/>
      <c r="AO43" s="462" t="s">
        <v>211</v>
      </c>
      <c r="AP43" s="462"/>
      <c r="AQ43" s="462"/>
      <c r="AR43" s="462"/>
      <c r="AT43" s="135"/>
      <c r="AU43" s="411"/>
      <c r="AV43" s="411"/>
      <c r="AW43" s="411"/>
      <c r="AX43" s="19"/>
      <c r="AY43" s="15"/>
      <c r="AZ43" s="20"/>
      <c r="BA43" s="19"/>
      <c r="BB43" s="15"/>
      <c r="BC43" s="15"/>
      <c r="BD43" s="15"/>
      <c r="BE43" s="19"/>
      <c r="BF43" s="15"/>
      <c r="BG43" s="15"/>
      <c r="BH43" s="15"/>
      <c r="BI43" s="15"/>
      <c r="BJ43" s="15"/>
      <c r="BK43" s="15"/>
      <c r="BL43" s="15"/>
      <c r="BM43" s="15"/>
      <c r="BN43" s="20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20"/>
      <c r="CC43" s="7"/>
      <c r="CD43" s="7"/>
      <c r="CE43" s="7"/>
      <c r="CF43" s="7"/>
      <c r="CG43" s="7"/>
      <c r="CH43" s="7"/>
      <c r="CI43" s="7"/>
      <c r="CJ43" s="7"/>
      <c r="CK43" s="7"/>
      <c r="CL43" s="7"/>
    </row>
    <row r="44" spans="1:90" ht="15.75" x14ac:dyDescent="0.25">
      <c r="A44" s="456"/>
      <c r="B44" s="457"/>
      <c r="C44" s="458"/>
      <c r="D44" s="98"/>
      <c r="E44" s="27"/>
      <c r="F44" s="27"/>
      <c r="G44" s="27"/>
      <c r="H44" s="27"/>
      <c r="I44" s="98"/>
      <c r="J44" s="98"/>
      <c r="K44" s="98"/>
      <c r="L44" s="98"/>
      <c r="M44" s="98"/>
      <c r="N44" s="101"/>
      <c r="O44" s="101"/>
      <c r="P44" s="101"/>
      <c r="Q44" s="27"/>
      <c r="R44" s="166"/>
      <c r="S44" s="21"/>
      <c r="T44" s="21"/>
      <c r="U44" s="7"/>
      <c r="Y44" s="178"/>
      <c r="Z44" s="98"/>
      <c r="AA44" s="176"/>
      <c r="AB44" s="91"/>
      <c r="AC44" s="91"/>
      <c r="AL44" s="109"/>
      <c r="AU44" s="7"/>
      <c r="AV44" s="7"/>
      <c r="AW44" s="182"/>
      <c r="AX44" s="19"/>
      <c r="AY44" s="15"/>
      <c r="AZ44" s="20"/>
      <c r="BA44" s="19"/>
      <c r="BB44" s="15"/>
      <c r="BC44" s="15"/>
      <c r="BD44" s="15"/>
      <c r="BE44" s="19"/>
      <c r="BF44" s="15"/>
      <c r="BG44" s="15"/>
      <c r="BH44" s="15"/>
      <c r="BI44" s="15"/>
      <c r="BJ44" s="15"/>
      <c r="BK44" s="15"/>
      <c r="BL44" s="15"/>
      <c r="BM44" s="15"/>
      <c r="BN44" s="20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20"/>
      <c r="CC44" s="7"/>
      <c r="CD44" s="7"/>
      <c r="CE44" s="7"/>
      <c r="CF44" s="7"/>
      <c r="CG44" s="7"/>
      <c r="CH44" s="7"/>
      <c r="CI44" s="7"/>
      <c r="CJ44" s="7"/>
      <c r="CK44" s="7"/>
      <c r="CL44" s="7"/>
    </row>
    <row r="45" spans="1:90" ht="15.75" x14ac:dyDescent="0.25">
      <c r="A45" s="456"/>
      <c r="B45" s="457"/>
      <c r="C45" s="458"/>
      <c r="D45" s="98"/>
      <c r="E45" s="98"/>
      <c r="F45" s="98"/>
      <c r="G45" s="183"/>
      <c r="H45" s="98"/>
      <c r="I45" s="98"/>
      <c r="J45" s="98"/>
      <c r="K45" s="98"/>
      <c r="L45" s="98"/>
      <c r="M45" s="98"/>
      <c r="N45" s="107"/>
      <c r="O45" s="101"/>
      <c r="P45" s="51"/>
      <c r="Q45" s="51"/>
      <c r="R45" s="51"/>
      <c r="S45" s="51"/>
      <c r="T45" s="51"/>
      <c r="U45" s="7"/>
      <c r="V45" s="7"/>
      <c r="W45" s="7"/>
      <c r="X45" s="7"/>
      <c r="Y45" s="98"/>
      <c r="Z45" s="7"/>
      <c r="AA45" s="176"/>
      <c r="AB45" s="91"/>
      <c r="AC45" s="91"/>
      <c r="AI45" s="109"/>
      <c r="AJ45" s="109"/>
      <c r="AK45" s="184"/>
      <c r="AM45" s="185"/>
      <c r="AU45" s="7"/>
      <c r="AV45" s="7"/>
      <c r="AW45" s="182"/>
      <c r="AX45" s="44"/>
      <c r="AY45" s="15"/>
      <c r="AZ45" s="20"/>
      <c r="BA45" s="19"/>
      <c r="BB45" s="15"/>
      <c r="BC45" s="15"/>
      <c r="BD45" s="15"/>
      <c r="BE45" s="19"/>
      <c r="BF45" s="15"/>
      <c r="BG45" s="15"/>
      <c r="BH45" s="15"/>
      <c r="BI45" s="15"/>
      <c r="BJ45" s="15"/>
      <c r="BK45" s="15"/>
      <c r="BL45" s="15"/>
      <c r="BM45" s="15"/>
      <c r="BN45" s="20"/>
      <c r="BO45" s="7"/>
      <c r="BP45" s="7"/>
      <c r="BQ45" s="7"/>
      <c r="BR45" s="7"/>
      <c r="BS45" s="186"/>
      <c r="BT45" s="15"/>
      <c r="BU45" s="15"/>
      <c r="BV45" s="15"/>
      <c r="BW45" s="15"/>
      <c r="BX45" s="15"/>
      <c r="BY45" s="15"/>
      <c r="BZ45" s="15"/>
      <c r="CA45" s="15"/>
      <c r="CB45" s="20"/>
      <c r="CC45" s="7"/>
      <c r="CD45" s="7"/>
      <c r="CE45" s="7"/>
      <c r="CF45" s="7"/>
      <c r="CG45" s="7"/>
      <c r="CH45" s="7"/>
      <c r="CI45" s="7"/>
      <c r="CJ45" s="7"/>
      <c r="CK45" s="7"/>
      <c r="CL45" s="7"/>
    </row>
    <row r="46" spans="1:90" ht="15.75" thickBot="1" x14ac:dyDescent="0.3">
      <c r="A46" s="459"/>
      <c r="B46" s="460"/>
      <c r="C46" s="461"/>
      <c r="D46" s="98"/>
      <c r="E46" s="27"/>
      <c r="F46" s="27"/>
      <c r="G46" s="183"/>
      <c r="H46" s="98"/>
      <c r="I46" s="98"/>
      <c r="J46" s="98"/>
      <c r="K46" s="98"/>
      <c r="L46" s="98"/>
      <c r="M46" s="98"/>
      <c r="N46" s="98"/>
      <c r="O46" s="107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7"/>
      <c r="AA46" s="176"/>
      <c r="AB46" s="91"/>
      <c r="AC46" s="91"/>
      <c r="AI46" s="109"/>
      <c r="AJ46" s="109"/>
      <c r="AK46" s="109"/>
      <c r="AL46" s="184"/>
      <c r="AM46" s="185"/>
      <c r="AS46" s="122"/>
      <c r="AT46" s="122"/>
      <c r="AU46" s="7"/>
      <c r="AV46" s="7"/>
      <c r="AW46" s="182"/>
      <c r="AX46" s="44"/>
      <c r="AY46" s="15"/>
      <c r="AZ46" s="20"/>
      <c r="BA46" s="19"/>
      <c r="BB46" s="15"/>
      <c r="BC46" s="15"/>
      <c r="BD46" s="15"/>
      <c r="BE46" s="19"/>
      <c r="BF46" s="15"/>
      <c r="BG46" s="15"/>
      <c r="BH46" s="15"/>
      <c r="BI46" s="15"/>
      <c r="BJ46" s="15"/>
      <c r="BK46" s="15"/>
      <c r="BL46" s="15"/>
      <c r="BM46" s="15"/>
      <c r="BN46" s="20"/>
      <c r="BO46" s="7"/>
      <c r="BP46" s="7"/>
      <c r="BQ46" s="7"/>
      <c r="BR46" s="7"/>
      <c r="BS46" s="186"/>
      <c r="BT46" s="15"/>
      <c r="BU46" s="15"/>
      <c r="BV46" s="15"/>
      <c r="BW46" s="15"/>
      <c r="BX46" s="15"/>
      <c r="BY46" s="15"/>
      <c r="BZ46" s="15"/>
      <c r="CA46" s="15"/>
      <c r="CB46" s="20"/>
      <c r="CC46" s="7"/>
      <c r="CD46" s="7"/>
      <c r="CE46" s="7"/>
      <c r="CF46" s="7"/>
      <c r="CG46" s="7"/>
      <c r="CH46" s="7"/>
      <c r="CI46" s="7"/>
      <c r="CJ46" s="7"/>
      <c r="CK46" s="7"/>
      <c r="CL46" s="7"/>
    </row>
    <row r="47" spans="1:90" ht="18" x14ac:dyDescent="0.25">
      <c r="A47" s="187"/>
      <c r="B47" s="98"/>
      <c r="C47" s="98"/>
      <c r="D47" s="98"/>
      <c r="E47" s="127"/>
      <c r="F47" s="127"/>
      <c r="G47" s="183"/>
      <c r="H47" s="98"/>
      <c r="I47" s="98"/>
      <c r="J47" s="7"/>
      <c r="K47" s="98"/>
      <c r="L47" s="7"/>
      <c r="M47" s="98"/>
      <c r="N47" s="98"/>
      <c r="O47" s="490"/>
      <c r="P47" s="490"/>
      <c r="Q47" s="490"/>
      <c r="R47" s="490"/>
      <c r="S47" s="107"/>
      <c r="T47" s="107"/>
      <c r="U47" s="107"/>
      <c r="V47" s="107"/>
      <c r="W47" s="107"/>
      <c r="X47" s="15"/>
      <c r="Y47" s="15"/>
      <c r="Z47" s="7"/>
      <c r="AA47" s="176"/>
      <c r="AB47" s="91"/>
      <c r="AC47" s="91"/>
      <c r="AI47" s="109"/>
      <c r="AJ47" s="109"/>
      <c r="AK47" s="109"/>
      <c r="AL47" s="51"/>
      <c r="AM47" s="122"/>
      <c r="AS47" s="122"/>
      <c r="AT47" s="122"/>
      <c r="AU47" s="7"/>
      <c r="AV47" s="7"/>
      <c r="AW47" s="182"/>
      <c r="AX47" s="44"/>
      <c r="AY47" s="15"/>
      <c r="AZ47" s="20"/>
      <c r="BA47" s="19"/>
      <c r="BB47" s="15"/>
      <c r="BC47" s="15"/>
      <c r="BD47" s="15"/>
      <c r="BE47" s="19"/>
      <c r="BF47" s="15"/>
      <c r="BG47" s="15"/>
      <c r="BH47" s="15"/>
      <c r="BI47" s="15"/>
      <c r="BJ47" s="15"/>
      <c r="BK47" s="15"/>
      <c r="BL47" s="15"/>
      <c r="BM47" s="15"/>
      <c r="BN47" s="20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20"/>
      <c r="CC47" s="7"/>
      <c r="CD47" s="7"/>
      <c r="CE47" s="7"/>
      <c r="CF47" s="7"/>
      <c r="CG47" s="7"/>
      <c r="CH47" s="7"/>
      <c r="CI47" s="7"/>
      <c r="CJ47" s="7"/>
      <c r="CK47" s="7"/>
      <c r="CL47" s="7"/>
    </row>
    <row r="48" spans="1:90" ht="16.5" thickBot="1" x14ac:dyDescent="0.3">
      <c r="A48" s="188"/>
      <c r="B48" s="98"/>
      <c r="C48" s="98"/>
      <c r="D48" s="98"/>
      <c r="E48" s="98"/>
      <c r="F48" s="98"/>
      <c r="G48" s="183"/>
      <c r="H48" s="98"/>
      <c r="I48" s="98"/>
      <c r="J48" s="98"/>
      <c r="K48" s="98"/>
      <c r="L48" s="7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7"/>
      <c r="X48" s="7"/>
      <c r="Y48" s="15"/>
      <c r="Z48" s="7"/>
      <c r="AA48" s="176"/>
      <c r="AB48" s="91"/>
      <c r="AC48" s="91"/>
      <c r="AD48" s="189"/>
      <c r="AE48" s="189"/>
      <c r="AF48" s="190"/>
      <c r="AG48" s="411"/>
      <c r="AH48" s="411"/>
      <c r="AI48" s="411"/>
      <c r="AJ48" s="7"/>
      <c r="AM48" s="409"/>
      <c r="AN48" s="409"/>
      <c r="AO48" s="409"/>
      <c r="AR48" s="412"/>
      <c r="AS48" s="412"/>
      <c r="AT48" s="122"/>
      <c r="AU48" s="7"/>
      <c r="AV48" s="7"/>
      <c r="AW48" s="182"/>
      <c r="AX48" s="44"/>
      <c r="AY48" s="15"/>
      <c r="AZ48" s="20"/>
      <c r="BA48" s="19"/>
      <c r="BB48" s="15"/>
      <c r="BC48" s="15"/>
      <c r="BD48" s="15"/>
      <c r="BE48" s="42"/>
      <c r="BF48" s="43"/>
      <c r="BG48" s="43"/>
      <c r="BH48" s="43"/>
      <c r="BI48" s="43"/>
      <c r="BJ48" s="43"/>
      <c r="BK48" s="43"/>
      <c r="BL48" s="43"/>
      <c r="BM48" s="43"/>
      <c r="BN48" s="192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20"/>
      <c r="CC48" s="7"/>
      <c r="CD48" s="7"/>
      <c r="CE48" s="7"/>
      <c r="CF48" s="7"/>
      <c r="CG48" s="7"/>
      <c r="CH48" s="7"/>
      <c r="CI48" s="7"/>
      <c r="CJ48" s="7"/>
      <c r="CK48" s="7"/>
      <c r="CL48" s="7"/>
    </row>
    <row r="49" spans="1:95" ht="26.25" x14ac:dyDescent="0.25">
      <c r="A49" s="188"/>
      <c r="B49" s="98"/>
      <c r="C49" s="98"/>
      <c r="D49" s="98"/>
      <c r="E49" s="27"/>
      <c r="F49" s="27"/>
      <c r="G49" s="127"/>
      <c r="H49" s="98"/>
      <c r="I49" s="98"/>
      <c r="J49" s="7"/>
      <c r="K49" s="98"/>
      <c r="L49" s="7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7"/>
      <c r="X49" s="7"/>
      <c r="Y49" s="15"/>
      <c r="Z49" s="7"/>
      <c r="AA49" s="176"/>
      <c r="AB49" s="91"/>
      <c r="AC49" s="91"/>
      <c r="AD49" s="7"/>
      <c r="AE49" s="193"/>
      <c r="AF49" s="193"/>
      <c r="AG49" s="411"/>
      <c r="AH49" s="411"/>
      <c r="AI49" s="411"/>
      <c r="AJ49" s="7"/>
      <c r="AM49" s="409"/>
      <c r="AN49" s="409"/>
      <c r="AO49" s="409"/>
      <c r="AR49" s="412"/>
      <c r="AS49" s="412"/>
      <c r="AT49" s="122"/>
      <c r="AU49" s="7"/>
      <c r="AV49" s="7"/>
      <c r="AW49" s="182"/>
      <c r="AX49" s="44"/>
      <c r="AY49" s="15"/>
      <c r="AZ49" s="20"/>
      <c r="BA49" s="19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9"/>
      <c r="BN49" s="15"/>
      <c r="BO49" s="10"/>
      <c r="BP49" s="194"/>
      <c r="BQ49" s="194"/>
      <c r="BR49" s="194"/>
      <c r="BS49" s="15"/>
      <c r="BT49" s="15"/>
      <c r="BU49" s="15"/>
      <c r="BV49" s="15"/>
      <c r="BW49" s="15"/>
      <c r="BX49" s="15"/>
      <c r="BY49" s="15"/>
      <c r="BZ49" s="15"/>
      <c r="CA49" s="15"/>
      <c r="CB49" s="20"/>
      <c r="CC49" s="7"/>
      <c r="CD49" s="7"/>
      <c r="CE49" s="7"/>
      <c r="CF49" s="7"/>
      <c r="CG49" s="7"/>
      <c r="CH49" s="7"/>
      <c r="CI49" s="7"/>
      <c r="CJ49" s="7"/>
      <c r="CK49" s="7"/>
      <c r="CL49" s="7"/>
    </row>
    <row r="50" spans="1:95" ht="27" customHeight="1" thickBot="1" x14ac:dyDescent="0.3">
      <c r="A50" s="188"/>
      <c r="B50" s="98"/>
      <c r="C50" s="98"/>
      <c r="D50" s="98"/>
      <c r="E50" s="97"/>
      <c r="F50" s="97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195" t="s">
        <v>180</v>
      </c>
      <c r="X50" s="196"/>
      <c r="Y50" s="15"/>
      <c r="Z50" s="7"/>
      <c r="AA50" s="176"/>
      <c r="AB50" s="91"/>
      <c r="AC50" s="91"/>
      <c r="AD50" s="193"/>
      <c r="AE50" s="193"/>
      <c r="AF50" s="193"/>
      <c r="AG50" s="193"/>
      <c r="AH50" s="193"/>
      <c r="AI50" s="193"/>
      <c r="AJ50" s="193"/>
      <c r="AK50" s="193"/>
      <c r="AL50" s="193"/>
      <c r="AM50" s="193"/>
      <c r="AN50" s="193"/>
      <c r="AO50" s="193"/>
      <c r="AP50" s="193"/>
      <c r="AQ50" s="193"/>
      <c r="AR50" s="193"/>
      <c r="AS50" s="193"/>
      <c r="AT50" s="193"/>
      <c r="AU50" s="193"/>
      <c r="AV50" s="15"/>
      <c r="AW50" s="197"/>
      <c r="AX50" s="44"/>
      <c r="AY50" s="15"/>
      <c r="AZ50" s="20"/>
      <c r="BA50" s="19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9"/>
      <c r="BN50" s="15"/>
      <c r="BO50" s="20"/>
      <c r="BP50" s="194"/>
      <c r="BQ50" s="194"/>
      <c r="BR50" s="194"/>
      <c r="BS50" s="15"/>
      <c r="BT50" s="15"/>
      <c r="BU50" s="15"/>
      <c r="BV50" s="15"/>
      <c r="BW50" s="15"/>
      <c r="BX50" s="15"/>
      <c r="BY50" s="15"/>
      <c r="BZ50" s="15"/>
      <c r="CA50" s="15"/>
      <c r="CB50" s="20"/>
      <c r="CC50" s="7"/>
      <c r="CD50" s="7"/>
      <c r="CE50" s="7"/>
      <c r="CF50" s="7"/>
      <c r="CG50" s="7"/>
      <c r="CH50" s="7"/>
      <c r="CI50" s="7"/>
      <c r="CJ50" s="7"/>
      <c r="CK50" s="7"/>
      <c r="CL50" s="7"/>
    </row>
    <row r="51" spans="1:95" ht="27" thickBot="1" x14ac:dyDescent="0.3">
      <c r="A51" s="96"/>
      <c r="B51" s="98"/>
      <c r="C51" s="98"/>
      <c r="D51" s="153"/>
      <c r="E51" s="98"/>
      <c r="F51" s="98"/>
      <c r="G51" s="153"/>
      <c r="H51" s="491" t="s">
        <v>220</v>
      </c>
      <c r="I51" s="492"/>
      <c r="J51" s="492"/>
      <c r="K51" s="492"/>
      <c r="L51" s="492"/>
      <c r="M51" s="492"/>
      <c r="N51" s="492"/>
      <c r="O51" s="492"/>
      <c r="P51" s="492"/>
      <c r="Q51" s="492"/>
      <c r="R51" s="492"/>
      <c r="S51" s="492"/>
      <c r="T51" s="492"/>
      <c r="U51" s="492"/>
      <c r="V51" s="493"/>
      <c r="W51" s="198"/>
      <c r="X51" s="62"/>
      <c r="Y51" s="15"/>
      <c r="Z51" s="7"/>
      <c r="AA51" s="176"/>
      <c r="AB51" s="91"/>
      <c r="AC51" s="91"/>
      <c r="AD51" s="193"/>
      <c r="AE51" s="193"/>
      <c r="AF51" s="193"/>
      <c r="AG51" s="193"/>
      <c r="AH51" s="193"/>
      <c r="AI51" s="193"/>
      <c r="AJ51" s="193"/>
      <c r="AK51" s="193"/>
      <c r="AL51" s="193"/>
      <c r="AM51" s="193"/>
      <c r="AN51" s="193"/>
      <c r="AO51" s="193"/>
      <c r="AP51" s="193"/>
      <c r="AQ51" s="193"/>
      <c r="AR51" s="193"/>
      <c r="AS51" s="193"/>
      <c r="AT51" s="193"/>
      <c r="AU51" s="193"/>
      <c r="AV51" s="15"/>
      <c r="AW51" s="98"/>
      <c r="AX51" s="44"/>
      <c r="AY51" s="15"/>
      <c r="AZ51" s="20"/>
      <c r="BA51" s="19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9"/>
      <c r="BN51" s="15"/>
      <c r="BO51" s="15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10"/>
      <c r="CC51" s="7"/>
      <c r="CD51" s="7"/>
      <c r="CE51" s="7"/>
      <c r="CF51" s="7"/>
      <c r="CG51" s="7"/>
      <c r="CH51" s="7"/>
      <c r="CI51" s="7"/>
      <c r="CJ51" s="7"/>
      <c r="CK51" s="7"/>
      <c r="CL51" s="7"/>
    </row>
    <row r="52" spans="1:95" ht="15.75" x14ac:dyDescent="0.25">
      <c r="A52" s="500" t="s">
        <v>221</v>
      </c>
      <c r="B52" s="501"/>
      <c r="C52" s="199"/>
      <c r="D52" s="199"/>
      <c r="E52" s="98"/>
      <c r="F52" s="98"/>
      <c r="G52" s="98"/>
      <c r="H52" s="494"/>
      <c r="I52" s="495"/>
      <c r="J52" s="495"/>
      <c r="K52" s="495"/>
      <c r="L52" s="495"/>
      <c r="M52" s="495"/>
      <c r="N52" s="495"/>
      <c r="O52" s="495"/>
      <c r="P52" s="495"/>
      <c r="Q52" s="495"/>
      <c r="R52" s="495"/>
      <c r="S52" s="495"/>
      <c r="T52" s="495"/>
      <c r="U52" s="495"/>
      <c r="V52" s="496"/>
      <c r="W52" s="198"/>
      <c r="X52" s="62"/>
      <c r="Y52" s="98"/>
      <c r="Z52" s="98"/>
      <c r="AA52" s="176"/>
      <c r="AB52" s="91"/>
      <c r="AC52" s="91"/>
      <c r="AD52" s="200"/>
      <c r="AE52" s="200"/>
      <c r="AF52" s="200"/>
      <c r="AG52" s="200"/>
      <c r="AH52" s="200"/>
      <c r="AI52" s="200"/>
      <c r="AJ52" s="200"/>
      <c r="AK52" s="200"/>
      <c r="AL52" s="200"/>
      <c r="AM52" s="200"/>
      <c r="AN52" s="200"/>
      <c r="AO52" s="200"/>
      <c r="AP52" s="200"/>
      <c r="AQ52" s="200"/>
      <c r="AR52" s="200"/>
      <c r="AS52" s="200"/>
      <c r="AT52" s="200"/>
      <c r="AU52" s="200"/>
      <c r="AV52" s="201"/>
      <c r="AW52" s="98"/>
      <c r="AX52" s="44"/>
      <c r="AY52" s="15"/>
      <c r="AZ52" s="20"/>
      <c r="BA52" s="19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9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20"/>
      <c r="CC52" s="7"/>
      <c r="CD52" s="7"/>
      <c r="CE52" s="7"/>
      <c r="CF52" s="7"/>
      <c r="CG52" s="7"/>
      <c r="CH52" s="7"/>
      <c r="CI52" s="7"/>
      <c r="CJ52" s="7"/>
      <c r="CK52" s="7"/>
      <c r="CL52" s="7"/>
    </row>
    <row r="53" spans="1:95" ht="30.75" thickBot="1" x14ac:dyDescent="0.45">
      <c r="A53" s="502"/>
      <c r="B53" s="503"/>
      <c r="C53" s="202"/>
      <c r="D53" s="202"/>
      <c r="E53" s="98"/>
      <c r="F53" s="98"/>
      <c r="G53" s="98"/>
      <c r="H53" s="497"/>
      <c r="I53" s="498"/>
      <c r="J53" s="498"/>
      <c r="K53" s="498"/>
      <c r="L53" s="498"/>
      <c r="M53" s="498"/>
      <c r="N53" s="498"/>
      <c r="O53" s="498"/>
      <c r="P53" s="498"/>
      <c r="Q53" s="498"/>
      <c r="R53" s="498"/>
      <c r="S53" s="498"/>
      <c r="T53" s="498"/>
      <c r="U53" s="498"/>
      <c r="V53" s="499"/>
      <c r="W53" s="203"/>
      <c r="X53" s="204"/>
      <c r="Y53" s="98"/>
      <c r="Z53" s="98"/>
      <c r="AA53" s="205"/>
      <c r="AB53" s="98"/>
      <c r="AC53" s="91"/>
      <c r="AD53" s="200"/>
      <c r="AE53" s="200"/>
      <c r="AF53" s="200"/>
      <c r="AG53" s="190"/>
      <c r="AH53" s="206"/>
      <c r="AI53" s="206"/>
      <c r="AJ53" s="207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208"/>
      <c r="AY53" s="15"/>
      <c r="AZ53" s="20"/>
      <c r="BA53" s="19"/>
      <c r="BB53" s="15"/>
      <c r="BC53" s="15"/>
      <c r="BD53" s="15"/>
      <c r="BE53" s="434" t="s">
        <v>205</v>
      </c>
      <c r="BF53" s="434"/>
      <c r="BG53" s="434"/>
      <c r="BH53" s="15"/>
      <c r="BI53" s="15"/>
      <c r="BJ53" s="15"/>
      <c r="BK53" s="15"/>
      <c r="BL53" s="15"/>
      <c r="BM53" s="19"/>
      <c r="BN53" s="434" t="s">
        <v>222</v>
      </c>
      <c r="BO53" s="434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20"/>
      <c r="CC53" s="7"/>
      <c r="CD53" s="7"/>
      <c r="CE53" s="7"/>
      <c r="CF53" s="7"/>
      <c r="CG53" s="7"/>
      <c r="CH53" s="7"/>
      <c r="CI53" s="7"/>
      <c r="CJ53" s="7"/>
      <c r="CK53" s="7"/>
      <c r="CL53" s="7"/>
    </row>
    <row r="54" spans="1:95" x14ac:dyDescent="0.25">
      <c r="A54" s="44"/>
      <c r="B54" s="17"/>
      <c r="C54" s="17"/>
      <c r="D54" s="17"/>
      <c r="E54" s="17"/>
      <c r="F54" s="471" t="s">
        <v>222</v>
      </c>
      <c r="G54" s="472"/>
      <c r="H54" s="473"/>
      <c r="I54" s="473"/>
      <c r="J54" s="473"/>
      <c r="K54" s="474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209"/>
      <c r="X54" s="209"/>
      <c r="Y54" s="209"/>
      <c r="Z54" s="209"/>
      <c r="AA54" s="209"/>
      <c r="AB54" s="209"/>
      <c r="AC54" s="209"/>
      <c r="AD54" s="479"/>
      <c r="AE54" s="479"/>
      <c r="AF54" s="479"/>
      <c r="AG54" s="479"/>
      <c r="AH54" s="17"/>
      <c r="AI54" s="17"/>
      <c r="AJ54" s="17"/>
      <c r="AK54" s="15"/>
      <c r="AL54" s="15"/>
      <c r="AM54" s="15"/>
      <c r="AN54" s="15"/>
      <c r="AO54" s="15"/>
      <c r="AP54" s="15"/>
      <c r="AQ54" s="15"/>
      <c r="AR54" s="17"/>
      <c r="AS54" s="17"/>
      <c r="AT54" s="17"/>
      <c r="AU54" s="17"/>
      <c r="AV54" s="27"/>
      <c r="AW54" s="210"/>
      <c r="AX54" s="44"/>
      <c r="AY54" s="15"/>
      <c r="AZ54" s="20"/>
      <c r="BA54" s="19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9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20"/>
      <c r="CC54" s="7"/>
      <c r="CD54" s="7"/>
      <c r="CE54" s="7"/>
      <c r="CF54" s="7"/>
      <c r="CG54" s="7"/>
      <c r="CH54" s="7"/>
      <c r="CI54" s="7"/>
      <c r="CJ54" s="7"/>
      <c r="CK54" s="7"/>
      <c r="CL54" s="7"/>
    </row>
    <row r="55" spans="1:95" x14ac:dyDescent="0.25">
      <c r="A55" s="44"/>
      <c r="B55" s="211"/>
      <c r="C55" s="211"/>
      <c r="D55" s="211"/>
      <c r="E55" s="211"/>
      <c r="F55" s="475"/>
      <c r="G55" s="473"/>
      <c r="H55" s="473"/>
      <c r="I55" s="473"/>
      <c r="J55" s="473"/>
      <c r="K55" s="474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480"/>
      <c r="AE55" s="480"/>
      <c r="AF55" s="480"/>
      <c r="AG55" s="480"/>
      <c r="AH55" s="17"/>
      <c r="AI55" s="17"/>
      <c r="AJ55" s="17"/>
      <c r="AK55" s="17"/>
      <c r="AL55" s="17"/>
      <c r="AM55" s="17"/>
      <c r="AN55" s="17"/>
      <c r="AO55" s="17"/>
      <c r="AP55" s="17"/>
      <c r="AQ55" s="212"/>
      <c r="AR55" s="17"/>
      <c r="AS55" s="17"/>
      <c r="AT55" s="17"/>
      <c r="AU55" s="17"/>
      <c r="AV55" s="17"/>
      <c r="AW55" s="17"/>
      <c r="AX55" s="44"/>
      <c r="AY55" s="15"/>
      <c r="AZ55" s="20"/>
      <c r="BA55" s="19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9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20"/>
      <c r="CC55" s="7"/>
      <c r="CD55" s="7"/>
      <c r="CE55" s="7"/>
      <c r="CF55" s="7"/>
      <c r="CG55" s="7"/>
      <c r="CH55" s="7"/>
      <c r="CI55" s="7"/>
      <c r="CJ55" s="7"/>
      <c r="CK55" s="7"/>
      <c r="CL55" s="7"/>
    </row>
    <row r="56" spans="1:95" x14ac:dyDescent="0.25">
      <c r="A56" s="44"/>
      <c r="B56" s="17"/>
      <c r="C56" s="17"/>
      <c r="D56" s="17"/>
      <c r="E56" s="17"/>
      <c r="F56" s="475"/>
      <c r="G56" s="473"/>
      <c r="H56" s="473"/>
      <c r="I56" s="473"/>
      <c r="J56" s="473"/>
      <c r="K56" s="474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44"/>
      <c r="AY56" s="15"/>
      <c r="AZ56" s="20"/>
      <c r="BA56" s="19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9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20"/>
      <c r="CC56" s="7"/>
      <c r="CD56" s="7"/>
      <c r="CE56" s="7"/>
      <c r="CF56" s="7"/>
      <c r="CG56" s="7"/>
      <c r="CH56" s="7"/>
      <c r="CI56" s="7"/>
      <c r="CJ56" s="7"/>
      <c r="CK56" s="7"/>
      <c r="CL56" s="7"/>
    </row>
    <row r="57" spans="1:95" ht="15.75" thickBot="1" x14ac:dyDescent="0.3">
      <c r="A57" s="213"/>
      <c r="B57" s="77"/>
      <c r="C57" s="77"/>
      <c r="D57" s="77"/>
      <c r="E57" s="77"/>
      <c r="F57" s="476"/>
      <c r="G57" s="477"/>
      <c r="H57" s="477"/>
      <c r="I57" s="477"/>
      <c r="J57" s="477"/>
      <c r="K57" s="478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213"/>
      <c r="AY57" s="43"/>
      <c r="AZ57" s="192"/>
      <c r="BA57" s="42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2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192"/>
      <c r="CC57" s="7"/>
      <c r="CD57" s="7"/>
      <c r="CE57" s="7"/>
      <c r="CF57" s="7"/>
      <c r="CG57" s="7"/>
      <c r="CH57" s="7"/>
      <c r="CI57" s="7"/>
      <c r="CJ57" s="7"/>
      <c r="CK57" s="7"/>
      <c r="CL57" s="7"/>
    </row>
    <row r="58" spans="1:95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</row>
    <row r="59" spans="1:95" x14ac:dyDescent="0.25">
      <c r="A59" s="214"/>
      <c r="B59" s="215"/>
      <c r="C59" s="15"/>
      <c r="D59" s="167"/>
      <c r="E59" s="167"/>
      <c r="F59" s="167"/>
      <c r="G59" s="167"/>
      <c r="H59" s="167"/>
      <c r="I59" s="167"/>
      <c r="J59" s="167"/>
      <c r="K59" s="167"/>
      <c r="L59" s="167"/>
      <c r="M59" s="216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67"/>
      <c r="AB59" s="217"/>
      <c r="AC59" s="217"/>
      <c r="AD59" s="217"/>
      <c r="AE59" s="217"/>
      <c r="AF59" s="217"/>
      <c r="AG59" s="167"/>
      <c r="AH59" s="167"/>
      <c r="AI59" s="167"/>
      <c r="AJ59" s="167"/>
      <c r="AK59" s="167"/>
      <c r="AL59" s="167"/>
      <c r="AM59" s="167"/>
      <c r="AN59" s="167"/>
      <c r="AO59" s="167"/>
      <c r="AP59" s="167"/>
      <c r="AQ59" s="167"/>
      <c r="AR59" s="167"/>
      <c r="AS59" s="167"/>
      <c r="AT59" s="167"/>
      <c r="AU59" s="167"/>
      <c r="AV59" s="167"/>
      <c r="AW59" s="167"/>
      <c r="AX59" s="167"/>
      <c r="AY59" s="167"/>
      <c r="AZ59" s="167"/>
      <c r="BA59" s="167"/>
      <c r="BB59" s="167"/>
      <c r="BC59" s="167"/>
      <c r="BD59" s="167"/>
      <c r="BE59" s="167"/>
      <c r="BF59" s="167"/>
      <c r="BG59" s="167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7"/>
      <c r="BS59" s="167"/>
      <c r="BT59" s="167"/>
      <c r="BU59" s="167"/>
      <c r="BV59" s="167"/>
      <c r="BW59" s="167"/>
      <c r="BX59" s="167"/>
      <c r="BY59" s="167"/>
      <c r="BZ59" s="167"/>
      <c r="CA59" s="167"/>
      <c r="CB59" s="16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</row>
    <row r="60" spans="1:95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186"/>
      <c r="CK60" s="186"/>
      <c r="CL60" s="186"/>
      <c r="CM60" s="7"/>
      <c r="CN60" s="7"/>
      <c r="CO60" s="7"/>
      <c r="CP60" s="7"/>
      <c r="CQ60" s="7"/>
    </row>
    <row r="61" spans="1:95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186"/>
      <c r="CK61" s="186"/>
      <c r="CL61" s="186"/>
      <c r="CM61" s="7"/>
      <c r="CN61" s="7"/>
      <c r="CO61" s="7"/>
      <c r="CP61" s="7"/>
      <c r="CQ61" s="7"/>
    </row>
  </sheetData>
  <mergeCells count="32">
    <mergeCell ref="A52:B53"/>
    <mergeCell ref="BE53:BG53"/>
    <mergeCell ref="BN53:BO53"/>
    <mergeCell ref="F54:K57"/>
    <mergeCell ref="AD54:AG55"/>
    <mergeCell ref="AX30:AZ33"/>
    <mergeCell ref="CC31:CE31"/>
    <mergeCell ref="W34:Y34"/>
    <mergeCell ref="AL34:AL35"/>
    <mergeCell ref="O47:R47"/>
    <mergeCell ref="H51:V53"/>
    <mergeCell ref="A35:C46"/>
    <mergeCell ref="AO35:AR35"/>
    <mergeCell ref="Z36:AC37"/>
    <mergeCell ref="AJ36:AK36"/>
    <mergeCell ref="AV39:AV40"/>
    <mergeCell ref="AO43:AR43"/>
    <mergeCell ref="G13:J13"/>
    <mergeCell ref="D16:E16"/>
    <mergeCell ref="K16:L16"/>
    <mergeCell ref="AJ21:AL21"/>
    <mergeCell ref="A26:D34"/>
    <mergeCell ref="AJ28:AL28"/>
    <mergeCell ref="U7:V8"/>
    <mergeCell ref="BT7:CA7"/>
    <mergeCell ref="CC7:CN8"/>
    <mergeCell ref="D8:E8"/>
    <mergeCell ref="A1:CN1"/>
    <mergeCell ref="A2:CN2"/>
    <mergeCell ref="BA3:BC3"/>
    <mergeCell ref="BR3:CB6"/>
    <mergeCell ref="AE5:AH5"/>
  </mergeCells>
  <conditionalFormatting sqref="AR48">
    <cfRule type="duplicateValues" dxfId="3" priority="4"/>
  </conditionalFormatting>
  <conditionalFormatting sqref="AR49">
    <cfRule type="duplicateValues" dxfId="2" priority="2"/>
  </conditionalFormatting>
  <conditionalFormatting sqref="AS48">
    <cfRule type="duplicateValues" dxfId="1" priority="3"/>
  </conditionalFormatting>
  <conditionalFormatting sqref="AS49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Licencias Actual</vt:lpstr>
      <vt:lpstr>Layout Actual</vt:lpstr>
      <vt:lpstr>Denominacion</vt:lpstr>
      <vt:lpstr>Apuesta Minima</vt:lpstr>
    </vt:vector>
  </TitlesOfParts>
  <Company>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tecnica</dc:creator>
  <cp:lastModifiedBy>Rodrigo Garcia Osorio</cp:lastModifiedBy>
  <cp:lastPrinted>2010-06-01T22:33:54Z</cp:lastPrinted>
  <dcterms:created xsi:type="dcterms:W3CDTF">2009-11-19T18:03:20Z</dcterms:created>
  <dcterms:modified xsi:type="dcterms:W3CDTF">2025-10-28T19:22:59Z</dcterms:modified>
</cp:coreProperties>
</file>