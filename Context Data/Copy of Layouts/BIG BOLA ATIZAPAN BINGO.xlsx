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A4AF2E5F-A304-439E-9D09-CBD0DAD32985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31" i="51" l="1"/>
  <c r="AO333" i="51" s="1"/>
  <c r="AE160" i="51" s="1"/>
  <c r="AF160" i="51" s="1"/>
  <c r="AO327" i="51"/>
  <c r="AX326" i="51"/>
  <c r="AO326" i="51"/>
  <c r="AX325" i="51"/>
  <c r="AO325" i="51"/>
  <c r="AX324" i="51"/>
  <c r="AO324" i="51"/>
  <c r="AX323" i="51"/>
  <c r="AX327" i="51" s="1"/>
  <c r="AE154" i="51" s="1"/>
  <c r="AF154" i="51" s="1"/>
  <c r="AO323" i="51"/>
  <c r="AO322" i="51"/>
  <c r="AO321" i="51"/>
  <c r="AO320" i="51"/>
  <c r="AX319" i="51"/>
  <c r="AX320" i="51" s="1"/>
  <c r="AE172" i="51" s="1"/>
  <c r="AF172" i="51" s="1"/>
  <c r="AO319" i="51"/>
  <c r="AO318" i="51"/>
  <c r="AO328" i="51" s="1"/>
  <c r="AE171" i="51" s="1"/>
  <c r="AF171" i="51" s="1"/>
  <c r="AX315" i="51"/>
  <c r="AX316" i="51" s="1"/>
  <c r="AE174" i="51" s="1"/>
  <c r="AF174" i="51" s="1"/>
  <c r="AO314" i="51"/>
  <c r="AO315" i="51" s="1"/>
  <c r="AE167" i="51" s="1"/>
  <c r="AF167" i="51" s="1"/>
  <c r="AO313" i="51"/>
  <c r="AX312" i="51"/>
  <c r="AX311" i="51"/>
  <c r="AO309" i="51"/>
  <c r="AX308" i="51"/>
  <c r="AO308" i="51"/>
  <c r="AX307" i="51"/>
  <c r="AO307" i="51"/>
  <c r="AO306" i="51"/>
  <c r="AO305" i="51"/>
  <c r="AO310" i="51" s="1"/>
  <c r="AE173" i="51" s="1"/>
  <c r="AF173" i="51" s="1"/>
  <c r="AX304" i="51"/>
  <c r="AX303" i="51"/>
  <c r="T303" i="51"/>
  <c r="AX302" i="51"/>
  <c r="T302" i="51"/>
  <c r="G302" i="51"/>
  <c r="AX301" i="51"/>
  <c r="T301" i="51"/>
  <c r="G301" i="51"/>
  <c r="G303" i="51" s="1"/>
  <c r="AX300" i="51"/>
  <c r="AX299" i="51"/>
  <c r="T299" i="51"/>
  <c r="AX298" i="51"/>
  <c r="T298" i="51"/>
  <c r="G298" i="51"/>
  <c r="T297" i="51"/>
  <c r="G297" i="51"/>
  <c r="G299" i="51" s="1"/>
  <c r="AO296" i="51"/>
  <c r="AO295" i="51"/>
  <c r="T295" i="51"/>
  <c r="G295" i="51"/>
  <c r="AX294" i="51"/>
  <c r="AO294" i="51"/>
  <c r="T294" i="51"/>
  <c r="G294" i="51"/>
  <c r="AX293" i="51"/>
  <c r="AX295" i="51" s="1"/>
  <c r="AE163" i="51" s="1"/>
  <c r="AF163" i="51" s="1"/>
  <c r="AO293" i="51"/>
  <c r="T293" i="51"/>
  <c r="G293" i="51"/>
  <c r="AO292" i="51"/>
  <c r="T292" i="51"/>
  <c r="G292" i="51"/>
  <c r="AO291" i="51"/>
  <c r="T291" i="51"/>
  <c r="G291" i="51"/>
  <c r="AO290" i="51"/>
  <c r="T290" i="51"/>
  <c r="G290" i="51"/>
  <c r="AX289" i="51"/>
  <c r="AO289" i="51"/>
  <c r="T289" i="51"/>
  <c r="G289" i="51"/>
  <c r="AX288" i="51"/>
  <c r="AO288" i="51"/>
  <c r="AX287" i="51"/>
  <c r="AO287" i="51"/>
  <c r="AX286" i="51"/>
  <c r="AO286" i="51"/>
  <c r="T286" i="51"/>
  <c r="G286" i="51"/>
  <c r="AX285" i="51"/>
  <c r="AO285" i="51"/>
  <c r="T285" i="51"/>
  <c r="G285" i="51"/>
  <c r="AX284" i="51"/>
  <c r="AO284" i="51"/>
  <c r="T284" i="51"/>
  <c r="G284" i="51"/>
  <c r="AX283" i="51"/>
  <c r="AO283" i="51"/>
  <c r="T283" i="51"/>
  <c r="G283" i="51"/>
  <c r="AX282" i="51"/>
  <c r="AO282" i="51"/>
  <c r="T282" i="51"/>
  <c r="G282" i="51"/>
  <c r="AX281" i="51"/>
  <c r="AO281" i="51"/>
  <c r="AO297" i="51" s="1"/>
  <c r="AE161" i="51" s="1"/>
  <c r="AF161" i="51" s="1"/>
  <c r="T281" i="51"/>
  <c r="G281" i="51"/>
  <c r="AX280" i="51"/>
  <c r="T280" i="51"/>
  <c r="G280" i="51"/>
  <c r="AX279" i="51"/>
  <c r="T279" i="51"/>
  <c r="G279" i="51"/>
  <c r="AX278" i="51"/>
  <c r="T278" i="51"/>
  <c r="G278" i="51"/>
  <c r="AX277" i="51"/>
  <c r="T277" i="51"/>
  <c r="G277" i="51"/>
  <c r="AX276" i="51"/>
  <c r="AO276" i="51"/>
  <c r="T276" i="51"/>
  <c r="G276" i="51"/>
  <c r="AX275" i="51"/>
  <c r="AO275" i="51"/>
  <c r="T275" i="51"/>
  <c r="G275" i="51"/>
  <c r="AX274" i="51"/>
  <c r="AO274" i="51"/>
  <c r="T274" i="51"/>
  <c r="T287" i="51" s="1"/>
  <c r="G274" i="51"/>
  <c r="G287" i="51" s="1"/>
  <c r="AX273" i="51"/>
  <c r="AO273" i="51"/>
  <c r="AX272" i="51"/>
  <c r="AO272" i="51"/>
  <c r="AX271" i="51"/>
  <c r="AO271" i="51"/>
  <c r="AA271" i="51"/>
  <c r="T271" i="51"/>
  <c r="G271" i="51"/>
  <c r="AX270" i="51"/>
  <c r="AO270" i="51"/>
  <c r="AO277" i="51" s="1"/>
  <c r="AE159" i="51" s="1"/>
  <c r="AF159" i="51" s="1"/>
  <c r="T270" i="51"/>
  <c r="G270" i="51"/>
  <c r="AX269" i="51"/>
  <c r="T269" i="51"/>
  <c r="G269" i="51"/>
  <c r="AX268" i="51"/>
  <c r="T268" i="51"/>
  <c r="G268" i="51"/>
  <c r="AX267" i="51"/>
  <c r="AA267" i="51"/>
  <c r="T267" i="51"/>
  <c r="G267" i="51"/>
  <c r="AX266" i="51"/>
  <c r="AA266" i="51"/>
  <c r="T266" i="51"/>
  <c r="T272" i="51" s="1"/>
  <c r="S263" i="51" s="1"/>
  <c r="G266" i="51"/>
  <c r="G272" i="51" s="1"/>
  <c r="AX265" i="51"/>
  <c r="AO265" i="51"/>
  <c r="AX264" i="51"/>
  <c r="AO264" i="51"/>
  <c r="AO266" i="51" s="1"/>
  <c r="AE158" i="51" s="1"/>
  <c r="AF158" i="51" s="1"/>
  <c r="AX263" i="51"/>
  <c r="AX262" i="51"/>
  <c r="AX261" i="51"/>
  <c r="AX260" i="51"/>
  <c r="AX259" i="51"/>
  <c r="AO259" i="51"/>
  <c r="AA259" i="51"/>
  <c r="AX258" i="51"/>
  <c r="AO258" i="51"/>
  <c r="AA258" i="51"/>
  <c r="AX257" i="51"/>
  <c r="AO257" i="51"/>
  <c r="AX256" i="51"/>
  <c r="AO256" i="51"/>
  <c r="AX255" i="51"/>
  <c r="AO255" i="51"/>
  <c r="AX254" i="51"/>
  <c r="AO254" i="51"/>
  <c r="AX253" i="51"/>
  <c r="AO253" i="51"/>
  <c r="AX252" i="51"/>
  <c r="AX290" i="51" s="1"/>
  <c r="AE162" i="51" s="1"/>
  <c r="AF162" i="51" s="1"/>
  <c r="AO252" i="51"/>
  <c r="AO251" i="51"/>
  <c r="AO250" i="51"/>
  <c r="Z250" i="51"/>
  <c r="T250" i="51"/>
  <c r="Y250" i="51" s="1"/>
  <c r="L250" i="51"/>
  <c r="G250" i="51"/>
  <c r="AO249" i="51"/>
  <c r="AE249" i="51"/>
  <c r="AF249" i="51" s="1"/>
  <c r="Z249" i="51"/>
  <c r="Y249" i="51"/>
  <c r="T249" i="51"/>
  <c r="L249" i="51"/>
  <c r="G249" i="51"/>
  <c r="AX248" i="51"/>
  <c r="AO248" i="51"/>
  <c r="AE248" i="51"/>
  <c r="AF248" i="51" s="1"/>
  <c r="T248" i="51"/>
  <c r="T251" i="51" s="1"/>
  <c r="Z251" i="51" s="1"/>
  <c r="G248" i="51"/>
  <c r="G251" i="51" s="1"/>
  <c r="AX247" i="51"/>
  <c r="AO247" i="51"/>
  <c r="AE247" i="51"/>
  <c r="AF247" i="51" s="1"/>
  <c r="AX246" i="51"/>
  <c r="AO246" i="51"/>
  <c r="AF246" i="51"/>
  <c r="AE246" i="51"/>
  <c r="AX245" i="51"/>
  <c r="AO245" i="51"/>
  <c r="AE245" i="51"/>
  <c r="AF245" i="51" s="1"/>
  <c r="AX244" i="51"/>
  <c r="AO244" i="51"/>
  <c r="AE244" i="51"/>
  <c r="AF244" i="51" s="1"/>
  <c r="X244" i="51"/>
  <c r="W244" i="51"/>
  <c r="K244" i="51"/>
  <c r="J244" i="51"/>
  <c r="AX243" i="51"/>
  <c r="AO243" i="51"/>
  <c r="AF243" i="51"/>
  <c r="AE243" i="51"/>
  <c r="Y243" i="51"/>
  <c r="T243" i="51"/>
  <c r="G243" i="51"/>
  <c r="Z243" i="51" s="1"/>
  <c r="AX242" i="51"/>
  <c r="AO242" i="51"/>
  <c r="AF242" i="51"/>
  <c r="AE242" i="51"/>
  <c r="Y242" i="51"/>
  <c r="T242" i="51"/>
  <c r="Z242" i="51" s="1"/>
  <c r="G242" i="51"/>
  <c r="L242" i="51" s="1"/>
  <c r="AX241" i="51"/>
  <c r="AO241" i="51"/>
  <c r="AE241" i="51"/>
  <c r="AF241" i="51" s="1"/>
  <c r="Z241" i="51"/>
  <c r="Y241" i="51"/>
  <c r="T241" i="51"/>
  <c r="G241" i="51"/>
  <c r="L241" i="51" s="1"/>
  <c r="AX240" i="51"/>
  <c r="AO240" i="51"/>
  <c r="AF240" i="51"/>
  <c r="AE240" i="51"/>
  <c r="T240" i="51"/>
  <c r="T244" i="51" s="1"/>
  <c r="L240" i="51"/>
  <c r="G240" i="51"/>
  <c r="G244" i="51" s="1"/>
  <c r="AX239" i="51"/>
  <c r="AO239" i="51"/>
  <c r="AE239" i="51"/>
  <c r="AF239" i="51" s="1"/>
  <c r="AX238" i="51"/>
  <c r="AO238" i="51"/>
  <c r="AE238" i="51"/>
  <c r="AF238" i="51" s="1"/>
  <c r="AX237" i="51"/>
  <c r="AO237" i="51"/>
  <c r="AF237" i="51"/>
  <c r="AE237" i="51"/>
  <c r="AX236" i="51"/>
  <c r="AO236" i="51"/>
  <c r="AE236" i="51"/>
  <c r="AF236" i="51" s="1"/>
  <c r="AX235" i="51"/>
  <c r="AO235" i="51"/>
  <c r="AF235" i="51"/>
  <c r="AE235" i="51"/>
  <c r="AA235" i="51"/>
  <c r="T235" i="51"/>
  <c r="T236" i="51" s="1"/>
  <c r="G235" i="51"/>
  <c r="G236" i="51" s="1"/>
  <c r="AX234" i="51"/>
  <c r="AO234" i="51"/>
  <c r="AE234" i="51"/>
  <c r="AF234" i="51" s="1"/>
  <c r="T234" i="51"/>
  <c r="Z234" i="51" s="1"/>
  <c r="G234" i="51"/>
  <c r="L234" i="51" s="1"/>
  <c r="AX233" i="51"/>
  <c r="AO233" i="51"/>
  <c r="AF233" i="51"/>
  <c r="AE233" i="51"/>
  <c r="Z233" i="51"/>
  <c r="T233" i="51"/>
  <c r="Y233" i="51" s="1"/>
  <c r="L233" i="51"/>
  <c r="G233" i="51"/>
  <c r="AX232" i="51"/>
  <c r="AO232" i="51"/>
  <c r="AE232" i="51"/>
  <c r="AF232" i="51" s="1"/>
  <c r="AX231" i="51"/>
  <c r="AO231" i="51"/>
  <c r="AO260" i="51" s="1"/>
  <c r="AE155" i="51" s="1"/>
  <c r="AF155" i="51" s="1"/>
  <c r="AF231" i="51"/>
  <c r="AE231" i="51"/>
  <c r="AX230" i="51"/>
  <c r="AE230" i="51"/>
  <c r="AF230" i="51" s="1"/>
  <c r="AX229" i="51"/>
  <c r="AF229" i="51"/>
  <c r="AE229" i="51"/>
  <c r="X229" i="51"/>
  <c r="W229" i="51"/>
  <c r="K229" i="51"/>
  <c r="J229" i="51"/>
  <c r="AX228" i="51"/>
  <c r="AO228" i="51"/>
  <c r="AE228" i="51"/>
  <c r="AF228" i="51" s="1"/>
  <c r="T228" i="51"/>
  <c r="T229" i="51" s="1"/>
  <c r="L228" i="51"/>
  <c r="G228" i="51"/>
  <c r="AX227" i="51"/>
  <c r="AF227" i="51"/>
  <c r="AE227" i="51"/>
  <c r="T227" i="51"/>
  <c r="Y227" i="51" s="1"/>
  <c r="G227" i="51"/>
  <c r="Z227" i="51" s="1"/>
  <c r="AX226" i="51"/>
  <c r="AO226" i="51"/>
  <c r="AF226" i="51"/>
  <c r="AE226" i="51"/>
  <c r="Z226" i="51"/>
  <c r="Y226" i="51"/>
  <c r="T226" i="51"/>
  <c r="L226" i="51"/>
  <c r="G226" i="51"/>
  <c r="AX225" i="51"/>
  <c r="AO225" i="51"/>
  <c r="AE225" i="51"/>
  <c r="AF225" i="51" s="1"/>
  <c r="Z225" i="51"/>
  <c r="Y225" i="51"/>
  <c r="T225" i="51"/>
  <c r="G225" i="51"/>
  <c r="L225" i="51" s="1"/>
  <c r="AX224" i="51"/>
  <c r="AO224" i="51"/>
  <c r="AE224" i="51"/>
  <c r="AF224" i="51" s="1"/>
  <c r="AX223" i="51"/>
  <c r="AO223" i="51"/>
  <c r="AF223" i="51"/>
  <c r="AE223" i="51"/>
  <c r="AX222" i="51"/>
  <c r="AO222" i="51"/>
  <c r="AE222" i="51"/>
  <c r="AF222" i="51" s="1"/>
  <c r="AX221" i="51"/>
  <c r="AO221" i="51"/>
  <c r="AE221" i="51"/>
  <c r="AF221" i="51" s="1"/>
  <c r="X221" i="51"/>
  <c r="W221" i="51"/>
  <c r="K221" i="51"/>
  <c r="J221" i="51"/>
  <c r="AX220" i="51"/>
  <c r="AO220" i="51"/>
  <c r="AE220" i="51"/>
  <c r="AF220" i="51" s="1"/>
  <c r="Y220" i="51"/>
  <c r="T220" i="51"/>
  <c r="Z220" i="51" s="1"/>
  <c r="L220" i="51"/>
  <c r="G220" i="51"/>
  <c r="AX219" i="51"/>
  <c r="AO219" i="51"/>
  <c r="AE219" i="51"/>
  <c r="AF219" i="51" s="1"/>
  <c r="T219" i="51"/>
  <c r="Z219" i="51" s="1"/>
  <c r="G219" i="51"/>
  <c r="L219" i="51" s="1"/>
  <c r="AX218" i="51"/>
  <c r="AO218" i="51"/>
  <c r="AF218" i="51"/>
  <c r="AE218" i="51"/>
  <c r="T218" i="51"/>
  <c r="Z218" i="51" s="1"/>
  <c r="G218" i="51"/>
  <c r="L218" i="51" s="1"/>
  <c r="AX217" i="51"/>
  <c r="AO217" i="51"/>
  <c r="AE217" i="51"/>
  <c r="AF217" i="51" s="1"/>
  <c r="Z217" i="51"/>
  <c r="Y217" i="51"/>
  <c r="T217" i="51"/>
  <c r="L217" i="51"/>
  <c r="G217" i="51"/>
  <c r="AX216" i="51"/>
  <c r="AO216" i="51"/>
  <c r="AE216" i="51"/>
  <c r="AF216" i="51" s="1"/>
  <c r="T216" i="51"/>
  <c r="Y216" i="51" s="1"/>
  <c r="L216" i="51"/>
  <c r="G216" i="51"/>
  <c r="AX215" i="51"/>
  <c r="AO215" i="51"/>
  <c r="AE215" i="51"/>
  <c r="AF215" i="51" s="1"/>
  <c r="T215" i="51"/>
  <c r="Z215" i="51" s="1"/>
  <c r="G215" i="51"/>
  <c r="L215" i="51" s="1"/>
  <c r="AX214" i="51"/>
  <c r="AO214" i="51"/>
  <c r="AE214" i="51"/>
  <c r="AF214" i="51" s="1"/>
  <c r="Z214" i="51"/>
  <c r="T214" i="51"/>
  <c r="Y214" i="51" s="1"/>
  <c r="G214" i="51"/>
  <c r="L214" i="51" s="1"/>
  <c r="AX213" i="51"/>
  <c r="AO213" i="51"/>
  <c r="AE213" i="51"/>
  <c r="AF213" i="51" s="1"/>
  <c r="Z213" i="51"/>
  <c r="T213" i="51"/>
  <c r="Y213" i="51" s="1"/>
  <c r="L213" i="51"/>
  <c r="G213" i="51"/>
  <c r="AX212" i="51"/>
  <c r="AO212" i="51"/>
  <c r="AE212" i="51"/>
  <c r="AF212" i="51" s="1"/>
  <c r="T212" i="51"/>
  <c r="Z212" i="51" s="1"/>
  <c r="L212" i="51"/>
  <c r="G212" i="51"/>
  <c r="AX211" i="51"/>
  <c r="AO211" i="51"/>
  <c r="AE211" i="51"/>
  <c r="AF211" i="51" s="1"/>
  <c r="T211" i="51"/>
  <c r="Z211" i="51" s="1"/>
  <c r="G211" i="51"/>
  <c r="L211" i="51" s="1"/>
  <c r="AX210" i="51"/>
  <c r="AO210" i="51"/>
  <c r="AE210" i="51"/>
  <c r="AF210" i="51" s="1"/>
  <c r="Z210" i="51"/>
  <c r="T210" i="51"/>
  <c r="Y210" i="51" s="1"/>
  <c r="G210" i="51"/>
  <c r="L210" i="51" s="1"/>
  <c r="AX209" i="51"/>
  <c r="AO209" i="51"/>
  <c r="AE209" i="51"/>
  <c r="AF209" i="51" s="1"/>
  <c r="Z209" i="51"/>
  <c r="T209" i="51"/>
  <c r="Y209" i="51" s="1"/>
  <c r="L209" i="51"/>
  <c r="G209" i="51"/>
  <c r="AX208" i="51"/>
  <c r="AO208" i="51"/>
  <c r="AE208" i="51"/>
  <c r="AF208" i="51" s="1"/>
  <c r="T208" i="51"/>
  <c r="Y208" i="51" s="1"/>
  <c r="L208" i="51"/>
  <c r="G208" i="51"/>
  <c r="AX207" i="51"/>
  <c r="AO207" i="51"/>
  <c r="AE207" i="51"/>
  <c r="AF207" i="51" s="1"/>
  <c r="T207" i="51"/>
  <c r="Z207" i="51" s="1"/>
  <c r="G207" i="51"/>
  <c r="L207" i="51" s="1"/>
  <c r="AX206" i="51"/>
  <c r="AO206" i="51"/>
  <c r="AE206" i="51"/>
  <c r="AF206" i="51" s="1"/>
  <c r="Z206" i="51"/>
  <c r="T206" i="51"/>
  <c r="Y206" i="51" s="1"/>
  <c r="G206" i="51"/>
  <c r="L206" i="51" s="1"/>
  <c r="AX205" i="51"/>
  <c r="AO205" i="51"/>
  <c r="AE205" i="51"/>
  <c r="AF205" i="51" s="1"/>
  <c r="Z205" i="51"/>
  <c r="T205" i="51"/>
  <c r="Y205" i="51" s="1"/>
  <c r="L205" i="51"/>
  <c r="G205" i="51"/>
  <c r="AX204" i="51"/>
  <c r="AO204" i="51"/>
  <c r="AE204" i="51"/>
  <c r="AF204" i="51" s="1"/>
  <c r="T204" i="51"/>
  <c r="T221" i="51" s="1"/>
  <c r="L204" i="51"/>
  <c r="G204" i="51"/>
  <c r="G221" i="51" s="1"/>
  <c r="AX203" i="51"/>
  <c r="AO203" i="51"/>
  <c r="AE203" i="51"/>
  <c r="AF203" i="51" s="1"/>
  <c r="AA203" i="51"/>
  <c r="AX202" i="51"/>
  <c r="AO202" i="51"/>
  <c r="AE202" i="51"/>
  <c r="AF202" i="51" s="1"/>
  <c r="X202" i="51"/>
  <c r="W202" i="51"/>
  <c r="K202" i="51"/>
  <c r="J202" i="51"/>
  <c r="AX201" i="51"/>
  <c r="AO201" i="51"/>
  <c r="AE201" i="51"/>
  <c r="AF201" i="51" s="1"/>
  <c r="Z201" i="51"/>
  <c r="T201" i="51"/>
  <c r="Y201" i="51" s="1"/>
  <c r="L201" i="51"/>
  <c r="G201" i="51"/>
  <c r="AX200" i="51"/>
  <c r="AO200" i="51"/>
  <c r="AE200" i="51"/>
  <c r="AF200" i="51" s="1"/>
  <c r="T200" i="51"/>
  <c r="T202" i="51" s="1"/>
  <c r="L200" i="51"/>
  <c r="L202" i="51" s="1"/>
  <c r="G200" i="51"/>
  <c r="G202" i="51" s="1"/>
  <c r="I152" i="51" s="1"/>
  <c r="AX199" i="51"/>
  <c r="AO199" i="51"/>
  <c r="AE199" i="51"/>
  <c r="AF199" i="51" s="1"/>
  <c r="AX198" i="51"/>
  <c r="AO198" i="51"/>
  <c r="AE198" i="51"/>
  <c r="AF198" i="51" s="1"/>
  <c r="X198" i="51"/>
  <c r="W198" i="51"/>
  <c r="K198" i="51"/>
  <c r="J198" i="51"/>
  <c r="AX197" i="51"/>
  <c r="AO197" i="51"/>
  <c r="AE197" i="51"/>
  <c r="AF197" i="51" s="1"/>
  <c r="Z197" i="51"/>
  <c r="Y197" i="51"/>
  <c r="T197" i="51"/>
  <c r="L197" i="51"/>
  <c r="G197" i="51"/>
  <c r="AX196" i="51"/>
  <c r="AO196" i="51"/>
  <c r="AE196" i="51"/>
  <c r="AF196" i="51" s="1"/>
  <c r="T196" i="51"/>
  <c r="Z196" i="51" s="1"/>
  <c r="L196" i="51"/>
  <c r="G196" i="51"/>
  <c r="AX195" i="51"/>
  <c r="AX249" i="51" s="1"/>
  <c r="AE157" i="51" s="1"/>
  <c r="AF157" i="51" s="1"/>
  <c r="AO195" i="51"/>
  <c r="AF195" i="51"/>
  <c r="AE195" i="51"/>
  <c r="T195" i="51"/>
  <c r="Y195" i="51" s="1"/>
  <c r="G195" i="51"/>
  <c r="Z195" i="51" s="1"/>
  <c r="AO194" i="51"/>
  <c r="AF194" i="51"/>
  <c r="AE194" i="51"/>
  <c r="Y194" i="51"/>
  <c r="T194" i="51"/>
  <c r="Z194" i="51" s="1"/>
  <c r="G194" i="51"/>
  <c r="L194" i="51" s="1"/>
  <c r="AO193" i="51"/>
  <c r="AE193" i="51"/>
  <c r="AF193" i="51" s="1"/>
  <c r="T193" i="51"/>
  <c r="Y193" i="51" s="1"/>
  <c r="L193" i="51"/>
  <c r="G193" i="51"/>
  <c r="AO192" i="51"/>
  <c r="AE192" i="51"/>
  <c r="AF192" i="51" s="1"/>
  <c r="T192" i="51"/>
  <c r="Z192" i="51" s="1"/>
  <c r="G192" i="51"/>
  <c r="L192" i="51" s="1"/>
  <c r="AX191" i="51"/>
  <c r="AO191" i="51"/>
  <c r="AE191" i="51"/>
  <c r="AF191" i="51" s="1"/>
  <c r="Z191" i="51"/>
  <c r="T191" i="51"/>
  <c r="Y191" i="51" s="1"/>
  <c r="G191" i="51"/>
  <c r="L191" i="51" s="1"/>
  <c r="AX190" i="51"/>
  <c r="AO190" i="51"/>
  <c r="AE190" i="51"/>
  <c r="AF190" i="51" s="1"/>
  <c r="Z190" i="51"/>
  <c r="T190" i="51"/>
  <c r="Y190" i="51" s="1"/>
  <c r="L190" i="51"/>
  <c r="G190" i="51"/>
  <c r="AX189" i="51"/>
  <c r="AO189" i="51"/>
  <c r="AE189" i="51"/>
  <c r="AF189" i="51" s="1"/>
  <c r="T189" i="51"/>
  <c r="Y189" i="51" s="1"/>
  <c r="L189" i="51"/>
  <c r="G189" i="51"/>
  <c r="AX188" i="51"/>
  <c r="AO188" i="51"/>
  <c r="AE188" i="51"/>
  <c r="AF188" i="51" s="1"/>
  <c r="T188" i="51"/>
  <c r="Z188" i="51" s="1"/>
  <c r="G188" i="51"/>
  <c r="AX187" i="51"/>
  <c r="AO187" i="51"/>
  <c r="AF187" i="51"/>
  <c r="AE187" i="51"/>
  <c r="Z187" i="51"/>
  <c r="Y187" i="51"/>
  <c r="T187" i="51"/>
  <c r="L187" i="51"/>
  <c r="G187" i="51"/>
  <c r="AX186" i="51"/>
  <c r="AO186" i="51"/>
  <c r="AE186" i="51"/>
  <c r="AF186" i="51" s="1"/>
  <c r="Z186" i="51"/>
  <c r="Y186" i="51"/>
  <c r="T186" i="51"/>
  <c r="L186" i="51"/>
  <c r="G186" i="51"/>
  <c r="AX185" i="51"/>
  <c r="AO185" i="51"/>
  <c r="AE185" i="51"/>
  <c r="AF185" i="51" s="1"/>
  <c r="T185" i="51"/>
  <c r="Z185" i="51" s="1"/>
  <c r="L185" i="51"/>
  <c r="G185" i="51"/>
  <c r="AX184" i="51"/>
  <c r="AO184" i="51"/>
  <c r="AF184" i="51"/>
  <c r="AE184" i="51"/>
  <c r="T184" i="51"/>
  <c r="Y184" i="51" s="1"/>
  <c r="G184" i="51"/>
  <c r="L184" i="51" s="1"/>
  <c r="AX183" i="51"/>
  <c r="AO183" i="51"/>
  <c r="AF183" i="51"/>
  <c r="AE183" i="51"/>
  <c r="Z183" i="51"/>
  <c r="Y183" i="51"/>
  <c r="T183" i="51"/>
  <c r="L183" i="51"/>
  <c r="G183" i="51"/>
  <c r="AX182" i="51"/>
  <c r="AO182" i="51"/>
  <c r="AE182" i="51"/>
  <c r="AF182" i="51" s="1"/>
  <c r="Z182" i="51"/>
  <c r="Y182" i="51"/>
  <c r="T182" i="51"/>
  <c r="L182" i="51"/>
  <c r="G182" i="51"/>
  <c r="AX181" i="51"/>
  <c r="AO181" i="51"/>
  <c r="AE181" i="51"/>
  <c r="AF181" i="51" s="1"/>
  <c r="T181" i="51"/>
  <c r="T198" i="51" s="1"/>
  <c r="L181" i="51"/>
  <c r="G181" i="51"/>
  <c r="AX180" i="51"/>
  <c r="AO180" i="51"/>
  <c r="AF180" i="51"/>
  <c r="AE180" i="51"/>
  <c r="T180" i="51"/>
  <c r="Y180" i="51" s="1"/>
  <c r="G180" i="51"/>
  <c r="Z180" i="51" s="1"/>
  <c r="AX179" i="51"/>
  <c r="AO179" i="51"/>
  <c r="AF179" i="51"/>
  <c r="AE179" i="51"/>
  <c r="AX178" i="51"/>
  <c r="AO178" i="51"/>
  <c r="AE178" i="51"/>
  <c r="AF178" i="51" s="1"/>
  <c r="X178" i="51"/>
  <c r="W178" i="51"/>
  <c r="K178" i="51"/>
  <c r="J178" i="51"/>
  <c r="AX177" i="51"/>
  <c r="AO177" i="51"/>
  <c r="AF177" i="51"/>
  <c r="AE177" i="51"/>
  <c r="T177" i="51"/>
  <c r="Z177" i="51" s="1"/>
  <c r="G177" i="51"/>
  <c r="L177" i="51" s="1"/>
  <c r="AX176" i="51"/>
  <c r="AO176" i="51"/>
  <c r="Z176" i="51"/>
  <c r="Y176" i="51"/>
  <c r="T176" i="51"/>
  <c r="L176" i="51"/>
  <c r="G176" i="51"/>
  <c r="AX175" i="51"/>
  <c r="AO175" i="51"/>
  <c r="AE175" i="51"/>
  <c r="AF175" i="51" s="1"/>
  <c r="Z175" i="51"/>
  <c r="Y175" i="51"/>
  <c r="T175" i="51"/>
  <c r="L175" i="51"/>
  <c r="G175" i="51"/>
  <c r="AX174" i="51"/>
  <c r="AO174" i="51"/>
  <c r="T174" i="51"/>
  <c r="Y174" i="51" s="1"/>
  <c r="L174" i="51"/>
  <c r="G174" i="51"/>
  <c r="AX173" i="51"/>
  <c r="AO173" i="51"/>
  <c r="T173" i="51"/>
  <c r="Y173" i="51" s="1"/>
  <c r="G173" i="51"/>
  <c r="Z173" i="51" s="1"/>
  <c r="AX172" i="51"/>
  <c r="AO172" i="51"/>
  <c r="Z172" i="51"/>
  <c r="Y172" i="51"/>
  <c r="T172" i="51"/>
  <c r="L172" i="51"/>
  <c r="G172" i="51"/>
  <c r="AX171" i="51"/>
  <c r="AO171" i="51"/>
  <c r="Z171" i="51"/>
  <c r="Y171" i="51"/>
  <c r="T171" i="51"/>
  <c r="L171" i="51"/>
  <c r="G171" i="51"/>
  <c r="AX170" i="51"/>
  <c r="AO170" i="51"/>
  <c r="AE170" i="51"/>
  <c r="AF170" i="51" s="1"/>
  <c r="T170" i="51"/>
  <c r="Y170" i="51" s="1"/>
  <c r="L170" i="51"/>
  <c r="G170" i="51"/>
  <c r="AX169" i="51"/>
  <c r="AO169" i="51"/>
  <c r="AF169" i="51"/>
  <c r="AE169" i="51"/>
  <c r="T169" i="51"/>
  <c r="Y169" i="51" s="1"/>
  <c r="G169" i="51"/>
  <c r="Z169" i="51" s="1"/>
  <c r="AX168" i="51"/>
  <c r="AO168" i="51"/>
  <c r="Z168" i="51"/>
  <c r="Y168" i="51"/>
  <c r="T168" i="51"/>
  <c r="L168" i="51"/>
  <c r="G168" i="51"/>
  <c r="AX167" i="51"/>
  <c r="AO167" i="51"/>
  <c r="Z167" i="51"/>
  <c r="Y167" i="51"/>
  <c r="T167" i="51"/>
  <c r="L167" i="51"/>
  <c r="G167" i="51"/>
  <c r="AX166" i="51"/>
  <c r="AO166" i="51"/>
  <c r="AE166" i="51"/>
  <c r="AF166" i="51" s="1"/>
  <c r="T166" i="51"/>
  <c r="Z166" i="51" s="1"/>
  <c r="G166" i="51"/>
  <c r="L166" i="51" s="1"/>
  <c r="AX165" i="51"/>
  <c r="AO165" i="51"/>
  <c r="AF165" i="51"/>
  <c r="Y165" i="51"/>
  <c r="T165" i="51"/>
  <c r="G165" i="51"/>
  <c r="Z165" i="51" s="1"/>
  <c r="AX164" i="51"/>
  <c r="AO164" i="51"/>
  <c r="AE164" i="51"/>
  <c r="AF164" i="51" s="1"/>
  <c r="Z164" i="51"/>
  <c r="Y164" i="51"/>
  <c r="T164" i="51"/>
  <c r="AA161" i="51" s="1"/>
  <c r="G164" i="51"/>
  <c r="L164" i="51" s="1"/>
  <c r="AX163" i="51"/>
  <c r="AO163" i="51"/>
  <c r="T163" i="51"/>
  <c r="Y163" i="51" s="1"/>
  <c r="G163" i="51"/>
  <c r="L163" i="51" s="1"/>
  <c r="AX162" i="51"/>
  <c r="AO162" i="51"/>
  <c r="T162" i="51"/>
  <c r="Y162" i="51" s="1"/>
  <c r="G162" i="51"/>
  <c r="L162" i="51" s="1"/>
  <c r="AX161" i="51"/>
  <c r="AO161" i="51"/>
  <c r="T161" i="51"/>
  <c r="Y161" i="51" s="1"/>
  <c r="G161" i="51"/>
  <c r="Z161" i="51" s="1"/>
  <c r="AX160" i="51"/>
  <c r="AO160" i="51"/>
  <c r="AA160" i="51"/>
  <c r="Z160" i="51"/>
  <c r="T160" i="51"/>
  <c r="Y160" i="51" s="1"/>
  <c r="G160" i="51"/>
  <c r="L160" i="51" s="1"/>
  <c r="AX159" i="51"/>
  <c r="AO159" i="51"/>
  <c r="T159" i="51"/>
  <c r="Y159" i="51" s="1"/>
  <c r="L159" i="51"/>
  <c r="G159" i="51"/>
  <c r="AX158" i="51"/>
  <c r="AO158" i="51"/>
  <c r="T158" i="51"/>
  <c r="T178" i="51" s="1"/>
  <c r="G158" i="51"/>
  <c r="L158" i="51" s="1"/>
  <c r="AX157" i="51"/>
  <c r="AO157" i="51"/>
  <c r="T157" i="51"/>
  <c r="Z157" i="51" s="1"/>
  <c r="G157" i="51"/>
  <c r="G178" i="51" s="1"/>
  <c r="I151" i="51" s="1"/>
  <c r="AX156" i="51"/>
  <c r="AO156" i="51"/>
  <c r="AE156" i="51"/>
  <c r="AF156" i="51" s="1"/>
  <c r="Z156" i="51"/>
  <c r="T156" i="51"/>
  <c r="Y156" i="51" s="1"/>
  <c r="G156" i="51"/>
  <c r="L156" i="51" s="1"/>
  <c r="AX155" i="51"/>
  <c r="AO155" i="51"/>
  <c r="AX154" i="51"/>
  <c r="AO154" i="51"/>
  <c r="AX153" i="51"/>
  <c r="AO153" i="51"/>
  <c r="AX152" i="51"/>
  <c r="AO152" i="51"/>
  <c r="AX151" i="51"/>
  <c r="AX192" i="51" s="1"/>
  <c r="AE168" i="51" s="1"/>
  <c r="AF168" i="51" s="1"/>
  <c r="AO151" i="51"/>
  <c r="AO227" i="51" s="1"/>
  <c r="AE153" i="51" s="1"/>
  <c r="AF153" i="51" s="1"/>
  <c r="V150" i="51"/>
  <c r="I150" i="51"/>
  <c r="V149" i="51"/>
  <c r="I149" i="51"/>
  <c r="Z145" i="51"/>
  <c r="Y145" i="51"/>
  <c r="X145" i="51"/>
  <c r="T145" i="51"/>
  <c r="S145" i="51"/>
  <c r="R145" i="51"/>
  <c r="Z144" i="51"/>
  <c r="Y144" i="51"/>
  <c r="X144" i="51"/>
  <c r="T144" i="51"/>
  <c r="S144" i="51"/>
  <c r="R144" i="51"/>
  <c r="Z143" i="51"/>
  <c r="Y143" i="51"/>
  <c r="X143" i="51"/>
  <c r="T143" i="51"/>
  <c r="S143" i="51"/>
  <c r="R143" i="51"/>
  <c r="Z142" i="51"/>
  <c r="Y142" i="51"/>
  <c r="X142" i="51"/>
  <c r="T142" i="51"/>
  <c r="S142" i="51"/>
  <c r="R142" i="51"/>
  <c r="Z141" i="51"/>
  <c r="Y141" i="51"/>
  <c r="X141" i="51"/>
  <c r="T141" i="51"/>
  <c r="S141" i="51"/>
  <c r="R141" i="51"/>
  <c r="E141" i="51"/>
  <c r="Z140" i="51"/>
  <c r="Y140" i="51"/>
  <c r="X140" i="51"/>
  <c r="T140" i="51"/>
  <c r="S140" i="51"/>
  <c r="R140" i="51"/>
  <c r="E140" i="51"/>
  <c r="Z244" i="51" l="1"/>
  <c r="Z236" i="51"/>
  <c r="F263" i="51"/>
  <c r="H261" i="51" s="1"/>
  <c r="V151" i="51"/>
  <c r="Z178" i="51"/>
  <c r="L221" i="51"/>
  <c r="L229" i="51"/>
  <c r="J236" i="51"/>
  <c r="Z202" i="51"/>
  <c r="V152" i="51"/>
  <c r="T254" i="51"/>
  <c r="Z221" i="51"/>
  <c r="Z159" i="51"/>
  <c r="Z163" i="51"/>
  <c r="L157" i="51"/>
  <c r="L178" i="51" s="1"/>
  <c r="Z158" i="51"/>
  <c r="Z208" i="51"/>
  <c r="Y177" i="51"/>
  <c r="L180" i="51"/>
  <c r="Z181" i="51"/>
  <c r="Y240" i="51"/>
  <c r="Y244" i="51" s="1"/>
  <c r="Y251" i="51" s="1"/>
  <c r="L165" i="51"/>
  <c r="Y188" i="51"/>
  <c r="Y211" i="51"/>
  <c r="Y235" i="51"/>
  <c r="Z240" i="51"/>
  <c r="L243" i="51"/>
  <c r="L244" i="51" s="1"/>
  <c r="Y248" i="51"/>
  <c r="Y185" i="51"/>
  <c r="Z189" i="51"/>
  <c r="L169" i="51"/>
  <c r="Z170" i="51"/>
  <c r="L227" i="51"/>
  <c r="Y157" i="51"/>
  <c r="Y178" i="51" s="1"/>
  <c r="Z162" i="51"/>
  <c r="Y192" i="51"/>
  <c r="Y207" i="51"/>
  <c r="Y215" i="51"/>
  <c r="Y219" i="51"/>
  <c r="G198" i="51"/>
  <c r="Z198" i="51" s="1"/>
  <c r="Z235" i="51"/>
  <c r="Z248" i="51"/>
  <c r="Y158" i="51"/>
  <c r="Y204" i="51"/>
  <c r="Y212" i="51"/>
  <c r="Y181" i="51"/>
  <c r="Y198" i="51" s="1"/>
  <c r="Z193" i="51"/>
  <c r="Z200" i="51"/>
  <c r="Z216" i="51"/>
  <c r="L235" i="51"/>
  <c r="L236" i="51" s="1"/>
  <c r="L248" i="51"/>
  <c r="L161" i="51"/>
  <c r="L173" i="51"/>
  <c r="Z174" i="51"/>
  <c r="Z228" i="51"/>
  <c r="Z184" i="51"/>
  <c r="Y200" i="51"/>
  <c r="Y202" i="51" s="1"/>
  <c r="Y166" i="51"/>
  <c r="Y196" i="51"/>
  <c r="Z204" i="51"/>
  <c r="Y228" i="51"/>
  <c r="L195" i="51"/>
  <c r="Y218" i="51"/>
  <c r="Y234" i="51"/>
  <c r="X236" i="51" s="1"/>
  <c r="G229" i="51"/>
  <c r="G254" i="51" s="1"/>
  <c r="I153" i="51" s="1"/>
  <c r="L198" i="51" l="1"/>
  <c r="K236" i="51"/>
  <c r="W236" i="51"/>
  <c r="Y236" i="51"/>
  <c r="X251" i="51"/>
  <c r="X254" i="51" s="1"/>
  <c r="W251" i="51"/>
  <c r="W254" i="51" s="1"/>
  <c r="L254" i="51"/>
  <c r="Z254" i="51"/>
  <c r="V153" i="51"/>
  <c r="G138" i="51" s="1"/>
  <c r="J136" i="51" s="1"/>
  <c r="Y229" i="51"/>
  <c r="K251" i="51"/>
  <c r="J251" i="51"/>
  <c r="J254" i="51" s="1"/>
  <c r="L251" i="51"/>
  <c r="Z229" i="51"/>
  <c r="Y221" i="51"/>
  <c r="Y254" i="51" l="1"/>
  <c r="E144" i="51" s="1"/>
  <c r="E145" i="51"/>
  <c r="K254" i="51"/>
  <c r="E143" i="51" s="1"/>
</calcChain>
</file>

<file path=xl/sharedStrings.xml><?xml version="1.0" encoding="utf-8"?>
<sst xmlns="http://schemas.openxmlformats.org/spreadsheetml/2006/main" count="2285" uniqueCount="1103">
  <si>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</si>
  <si>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</si>
  <si>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</si>
  <si>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</si>
  <si>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</si>
  <si>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</si>
  <si>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</si>
  <si>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</si>
  <si>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</si>
  <si>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</si>
  <si>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</si>
  <si>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</si>
  <si>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</si>
  <si>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</si>
  <si>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</si>
  <si>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</si>
  <si>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</si>
  <si>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</si>
  <si>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</si>
  <si>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</si>
  <si>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</si>
  <si>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</si>
  <si>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</si>
  <si>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</si>
  <si>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</si>
  <si>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</si>
  <si>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</si>
  <si>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</si>
  <si>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</si>
  <si>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</si>
  <si>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</si>
  <si>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</si>
  <si>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</si>
  <si>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</si>
  <si>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</si>
  <si>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</si>
  <si>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</si>
  <si>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</si>
  <si>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</si>
  <si>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</si>
  <si>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</si>
  <si>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</si>
  <si>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</si>
  <si>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</si>
  <si>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</si>
  <si>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</si>
  <si>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</si>
  <si>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</si>
  <si>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</si>
  <si>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</si>
  <si>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</si>
  <si>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</si>
  <si>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</si>
  <si>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</si>
  <si>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</si>
  <si>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</si>
  <si>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</si>
  <si>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</si>
  <si>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</si>
  <si>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</si>
  <si>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</si>
  <si>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</si>
  <si>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</si>
  <si>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</si>
  <si>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</si>
  <si>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</si>
  <si>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</si>
  <si>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</si>
  <si>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</si>
  <si>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</si>
  <si>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</si>
  <si>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</si>
  <si>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</si>
  <si>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</si>
  <si>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</si>
  <si>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</si>
  <si>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</si>
  <si>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</si>
  <si>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</si>
  <si>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</si>
  <si>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</si>
  <si>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</si>
  <si>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</si>
  <si>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</si>
  <si>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</si>
  <si>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</si>
  <si>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</si>
  <si>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</si>
  <si>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</si>
  <si>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</si>
  <si>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</si>
  <si>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</si>
  <si>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</si>
  <si>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</si>
  <si>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</si>
  <si>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</si>
  <si>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</si>
  <si>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</si>
  <si>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</si>
  <si>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</si>
  <si>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</si>
  <si>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</si>
  <si>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</si>
  <si>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</si>
  <si>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</si>
  <si>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</si>
  <si>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</si>
  <si>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</si>
  <si>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</si>
  <si>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</si>
  <si>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</si>
  <si>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</si>
  <si>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</si>
  <si>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</si>
  <si>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</si>
  <si>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</si>
  <si>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 LAND</t>
  </si>
  <si>
    <t>MAORIS</t>
  </si>
  <si>
    <t>BLAZING PEARLS</t>
  </si>
  <si>
    <t>KST</t>
  </si>
  <si>
    <t>EK MEX</t>
  </si>
  <si>
    <t>EK WST</t>
  </si>
  <si>
    <t>PZUPDB</t>
  </si>
  <si>
    <t>PZUPGDICE</t>
  </si>
  <si>
    <t>TB</t>
  </si>
  <si>
    <t>ENERGY LINK DOBLE BONUS</t>
  </si>
  <si>
    <t>ENERGY LINK P4 BONUS</t>
  </si>
  <si>
    <t>ENERGY KING TOP</t>
  </si>
  <si>
    <t>EK TOP</t>
  </si>
  <si>
    <t>ENERGY KING AQUA</t>
  </si>
  <si>
    <t>EK AQUA</t>
  </si>
  <si>
    <t>ENERGY KING MEX</t>
  </si>
  <si>
    <t>ENERGY KING WEST</t>
  </si>
  <si>
    <t>EGYTRE</t>
  </si>
  <si>
    <t>MWPANDA</t>
  </si>
  <si>
    <t>FRPIZZA</t>
  </si>
  <si>
    <t>TGREATW</t>
  </si>
  <si>
    <t>TBD2</t>
  </si>
  <si>
    <t>EGYPT TREASURES</t>
  </si>
  <si>
    <t>FRATELLI PIZZA</t>
  </si>
  <si>
    <t>MONEY WISE PANDA</t>
  </si>
  <si>
    <t>KINGO STORY</t>
  </si>
  <si>
    <t>THE GREAT WEALTH</t>
  </si>
  <si>
    <t>PRIZE UP DOBLE BONUS</t>
  </si>
  <si>
    <t>PRIZE UP GO DICE</t>
  </si>
  <si>
    <t>BEETLE JEWELS RED</t>
  </si>
  <si>
    <t>BEJR</t>
  </si>
  <si>
    <t>FIREWORKS FU RED</t>
  </si>
  <si>
    <t>FIREFUR</t>
  </si>
  <si>
    <t>I D  2 0 8 - B  I  G    B  O  L  A   -   B  I  G    B  O  L  A     A  T  I  Z  A  P  Á  N</t>
  </si>
  <si>
    <t>BOOK</t>
  </si>
  <si>
    <t>ENTRADA</t>
  </si>
  <si>
    <t>SCIGA</t>
  </si>
  <si>
    <t>NOV</t>
  </si>
  <si>
    <t>ADMI</t>
  </si>
  <si>
    <t>ISLA 14</t>
  </si>
  <si>
    <t>MER</t>
  </si>
  <si>
    <t>5c</t>
  </si>
  <si>
    <t>IGT</t>
  </si>
  <si>
    <t>5C</t>
  </si>
  <si>
    <t>AT</t>
  </si>
  <si>
    <t>GOLM</t>
  </si>
  <si>
    <t>GOLMP</t>
  </si>
  <si>
    <t>TMB</t>
  </si>
  <si>
    <t>ACM</t>
  </si>
  <si>
    <t>BCHB</t>
  </si>
  <si>
    <t>SKB</t>
  </si>
  <si>
    <t>DBXTRAST</t>
  </si>
  <si>
    <t>AR</t>
  </si>
  <si>
    <t>EGT</t>
  </si>
  <si>
    <t>E-GAM</t>
  </si>
  <si>
    <t>25c</t>
  </si>
  <si>
    <t>ISLA 6</t>
  </si>
  <si>
    <t>STF5</t>
  </si>
  <si>
    <t>DRAGON LINK</t>
  </si>
  <si>
    <t>TARZAN</t>
  </si>
  <si>
    <t>MIN JUG $2.00</t>
  </si>
  <si>
    <t>ISLA 3</t>
  </si>
  <si>
    <t>ISLA 4</t>
  </si>
  <si>
    <t>ISLA 5</t>
  </si>
  <si>
    <t>SIGN BLDW-2</t>
  </si>
  <si>
    <t>ISLA 7</t>
  </si>
  <si>
    <t>50c</t>
  </si>
  <si>
    <t>ISLA 8</t>
  </si>
  <si>
    <t>ULTRA LUCKY LINK</t>
  </si>
  <si>
    <t>SIGN LK/LM-2</t>
  </si>
  <si>
    <t>10c</t>
  </si>
  <si>
    <t>P3</t>
  </si>
  <si>
    <t>MGCH</t>
  </si>
  <si>
    <t>BPILI</t>
  </si>
  <si>
    <t>MM</t>
  </si>
  <si>
    <t>RBGO</t>
  </si>
  <si>
    <t>BLIC</t>
  </si>
  <si>
    <t>ARTB</t>
  </si>
  <si>
    <t>AFI</t>
  </si>
  <si>
    <t>MCH</t>
  </si>
  <si>
    <t>BIB</t>
  </si>
  <si>
    <t>MP</t>
  </si>
  <si>
    <t>UNDW</t>
  </si>
  <si>
    <t>30MB</t>
  </si>
  <si>
    <t>ACCESO NO FUMAR</t>
  </si>
  <si>
    <t>BAO ZHU ZHAO FU</t>
  </si>
  <si>
    <t>MIN JUG $5</t>
  </si>
  <si>
    <t>SOLAR LINK</t>
  </si>
  <si>
    <t>AGS</t>
  </si>
  <si>
    <t>APUESTA MIN $2.00</t>
  </si>
  <si>
    <t>ISLA 9</t>
  </si>
  <si>
    <t>ACCESO</t>
  </si>
  <si>
    <t>CASH STACKS</t>
  </si>
  <si>
    <t>EGT LOUNGE</t>
  </si>
  <si>
    <t>Entrada estacionamiento</t>
  </si>
  <si>
    <t>WHEEL FORCE</t>
  </si>
  <si>
    <t>AW</t>
  </si>
  <si>
    <t>ISLA 10</t>
  </si>
  <si>
    <t>SIGN MHAM-2</t>
  </si>
  <si>
    <t>25C</t>
  </si>
  <si>
    <t>MIN JUG $3.40</t>
  </si>
  <si>
    <t>LINK ZONE</t>
  </si>
  <si>
    <t>COIN  FU</t>
  </si>
  <si>
    <t>LOUNGE</t>
  </si>
  <si>
    <t>HIGH LIMIT</t>
  </si>
  <si>
    <t>WINPOTSL</t>
  </si>
  <si>
    <t>ISLA 1</t>
  </si>
  <si>
    <t>ISLA 11</t>
  </si>
  <si>
    <t>SIGN MKING/LK-2</t>
  </si>
  <si>
    <t>ISLA 12</t>
  </si>
  <si>
    <t>10C</t>
  </si>
  <si>
    <t>SIGN DBLK-2</t>
  </si>
  <si>
    <t>MIN JUG $4.40</t>
  </si>
  <si>
    <t>ARU</t>
  </si>
  <si>
    <t>ISLA 2</t>
  </si>
  <si>
    <t>MIN JUG $10.00</t>
  </si>
  <si>
    <t>MESAS EN VIVO</t>
  </si>
  <si>
    <t>BINGO CANTADO</t>
  </si>
  <si>
    <t>MIN JUG $8.00</t>
  </si>
  <si>
    <t>20C</t>
  </si>
  <si>
    <t>BAÑOS</t>
  </si>
  <si>
    <t>CAJAS</t>
  </si>
  <si>
    <t>MIN JUG $8.80</t>
  </si>
  <si>
    <t xml:space="preserve">  ALMACEN</t>
  </si>
  <si>
    <t>SITE</t>
  </si>
  <si>
    <t>SIGN  FU POTS-2</t>
  </si>
  <si>
    <t>Torre</t>
  </si>
  <si>
    <t>Solar Link</t>
  </si>
  <si>
    <t>T.Min $7,50</t>
  </si>
  <si>
    <t>TOTAL SALA</t>
  </si>
  <si>
    <t>ANTERIOR THERMO ENTREGADO</t>
  </si>
  <si>
    <t>THERMO ACTUAL</t>
  </si>
  <si>
    <t>2304-18</t>
  </si>
  <si>
    <t>FECHA</t>
  </si>
  <si>
    <t>SEMANA</t>
  </si>
  <si>
    <t>TOTAL ZITRO</t>
  </si>
  <si>
    <t>S13 a S24</t>
  </si>
  <si>
    <t>S32 a S43</t>
  </si>
  <si>
    <t>76 MAQ.</t>
  </si>
  <si>
    <t>TOTAL</t>
  </si>
  <si>
    <t>F POWER</t>
  </si>
  <si>
    <t>SIN F POWER</t>
  </si>
  <si>
    <t>VS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</si>
  <si>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</si>
  <si>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</si>
  <si>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</si>
  <si>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</si>
  <si>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</si>
  <si>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</si>
  <si>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</si>
  <si>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</si>
  <si>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</si>
  <si>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</si>
  <si>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</si>
  <si>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</si>
  <si>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</si>
  <si>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</si>
  <si>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</si>
  <si>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</si>
  <si>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</si>
  <si>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</si>
  <si>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</si>
  <si>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</si>
  <si>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</si>
  <si>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</si>
  <si>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</si>
  <si>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</si>
  <si>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</si>
  <si>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</si>
  <si>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</si>
  <si>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</si>
  <si>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</si>
  <si>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</si>
  <si>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</si>
  <si>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</si>
  <si>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</si>
  <si>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</si>
  <si>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</si>
  <si>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</si>
  <si>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</si>
  <si>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</si>
  <si>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</si>
  <si>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</si>
  <si>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</si>
  <si>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</si>
  <si>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</si>
  <si>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</si>
  <si>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</si>
  <si>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</si>
  <si>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</si>
  <si>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</si>
  <si>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</si>
  <si>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</si>
  <si>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</si>
  <si>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</si>
  <si>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</si>
  <si>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</si>
  <si>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</si>
  <si>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</si>
  <si>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</si>
  <si>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</si>
  <si>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</si>
  <si>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</si>
  <si>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</si>
  <si>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</si>
  <si>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</si>
  <si>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</si>
  <si>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</si>
  <si>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</si>
  <si>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</si>
  <si>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</si>
  <si>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</si>
  <si>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</si>
  <si>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</si>
  <si>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</si>
  <si>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</si>
  <si>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DOBLE BONUS EXTRAVAGANZA ST</t>
  </si>
  <si>
    <t>R. FRANCO</t>
  </si>
  <si>
    <t>FRANCO</t>
  </si>
  <si>
    <t>BINGOLE</t>
  </si>
  <si>
    <t>BLE</t>
  </si>
  <si>
    <t>BINGO LINK GOLDEN</t>
  </si>
  <si>
    <t>BLINKG</t>
  </si>
  <si>
    <t>DBF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</si>
  <si>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</si>
  <si>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</si>
  <si>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</si>
  <si>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</si>
  <si>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</si>
  <si>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</si>
  <si>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</si>
  <si>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</si>
  <si>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</si>
  <si>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</si>
  <si>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</si>
  <si>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</si>
  <si>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</si>
  <si>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</si>
  <si>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</si>
  <si>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</si>
  <si>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</si>
  <si>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</si>
  <si>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</si>
  <si>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</si>
  <si>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</si>
  <si>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</si>
  <si>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</si>
  <si>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</si>
  <si>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</si>
  <si>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</si>
  <si>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</si>
  <si>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</si>
  <si>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</si>
  <si>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</si>
  <si>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</si>
  <si>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</si>
  <si>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</si>
  <si>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</si>
  <si>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</si>
  <si>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</si>
  <si>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</si>
  <si>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</si>
  <si>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</si>
  <si>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</si>
  <si>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</si>
  <si>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</si>
  <si>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</si>
  <si>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</si>
  <si>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</si>
  <si>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</si>
  <si>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</si>
  <si>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</si>
  <si>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</si>
  <si>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</si>
  <si>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</si>
  <si>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</si>
  <si>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</si>
  <si>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</si>
  <si>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</si>
  <si>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</si>
  <si>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</si>
  <si>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</si>
  <si>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</si>
  <si>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</si>
  <si>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</si>
  <si>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</si>
  <si>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</si>
  <si>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</si>
  <si>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</si>
  <si>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</si>
  <si>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</si>
  <si>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</si>
  <si>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</si>
  <si>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</si>
  <si>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</si>
  <si>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</si>
  <si>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</si>
  <si>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</si>
  <si>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</si>
  <si>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</si>
  <si>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</si>
  <si>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</si>
  <si>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</si>
  <si>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</si>
  <si>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</si>
  <si>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</si>
  <si>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</si>
  <si>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</si>
  <si>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</si>
  <si>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</si>
  <si>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</si>
  <si>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</si>
  <si>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</si>
  <si>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</si>
  <si>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</si>
  <si>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</si>
  <si>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</si>
  <si>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</si>
  <si>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</si>
  <si>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</si>
  <si>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</si>
  <si>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</si>
  <si>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</si>
  <si>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</si>
  <si>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</si>
  <si>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</si>
  <si>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ADMIRAL</t>
  </si>
  <si>
    <t>GOL MANIA PLUS</t>
  </si>
  <si>
    <t>PIG WIZARD</t>
  </si>
  <si>
    <t>PGW</t>
  </si>
  <si>
    <t>BISONTE / BINGO STORY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</si>
  <si>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</si>
  <si>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</si>
  <si>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</si>
  <si>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</si>
  <si>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</si>
  <si>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</si>
  <si>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</si>
  <si>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</si>
  <si>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</si>
  <si>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</si>
  <si>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</si>
  <si>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</si>
  <si>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</si>
  <si>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</si>
  <si>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</si>
  <si>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</si>
  <si>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</si>
  <si>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</si>
  <si>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</si>
  <si>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</si>
  <si>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</si>
  <si>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</si>
  <si>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</si>
  <si>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</si>
  <si>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</si>
  <si>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</si>
  <si>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</si>
  <si>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</si>
  <si>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</si>
  <si>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</si>
  <si>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</si>
  <si>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</si>
  <si>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</si>
  <si>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</si>
  <si>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</si>
  <si>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</si>
  <si>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</si>
  <si>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</si>
  <si>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</si>
  <si>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</si>
  <si>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</si>
  <si>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</si>
  <si>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</si>
  <si>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</si>
  <si>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</si>
  <si>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</si>
  <si>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</si>
  <si>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</si>
  <si>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</si>
  <si>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MAGIC CELTIC BINGO</t>
  </si>
  <si>
    <t>MAGCELT</t>
  </si>
  <si>
    <t>VIKINGS</t>
  </si>
  <si>
    <t>VK</t>
  </si>
  <si>
    <t>AURIFY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</si>
  <si>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</si>
  <si>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</si>
  <si>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</si>
  <si>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</si>
  <si>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</si>
  <si>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</si>
  <si>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</si>
  <si>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</si>
  <si>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</si>
  <si>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</si>
  <si>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</si>
  <si>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</si>
  <si>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</si>
  <si>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</si>
  <si>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</si>
  <si>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</si>
  <si>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</si>
  <si>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</si>
  <si>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</si>
  <si>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</si>
  <si>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</si>
  <si>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</si>
  <si>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</si>
  <si>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</si>
  <si>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</si>
  <si>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</si>
  <si>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</si>
  <si>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</si>
  <si>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</si>
  <si>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MUL</t>
  </si>
  <si>
    <t>30 MANIA BONUS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</si>
  <si>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</si>
  <si>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</si>
  <si>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</si>
  <si>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</si>
  <si>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</si>
  <si>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</si>
  <si>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</si>
  <si>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</si>
  <si>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</si>
  <si>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</si>
  <si>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</si>
  <si>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CV GAMES</t>
  </si>
  <si>
    <t>CV G</t>
  </si>
  <si>
    <t>NEW TRIPLE</t>
  </si>
  <si>
    <t>NT</t>
  </si>
  <si>
    <t>BASKETBALL BINGO</t>
  </si>
  <si>
    <t>BKTB</t>
  </si>
  <si>
    <t>PRIZE UP</t>
  </si>
  <si>
    <t>CYBERVIEW</t>
  </si>
  <si>
    <t>CYB</t>
  </si>
  <si>
    <t>NIGHT BINGO</t>
  </si>
  <si>
    <t>NBNG</t>
  </si>
  <si>
    <t>BINGO BLAST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</si>
  <si>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</si>
  <si>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</si>
  <si>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</si>
  <si>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</si>
  <si>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</si>
  <si>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</si>
  <si>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</si>
  <si>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</si>
  <si>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</si>
  <si>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</si>
  <si>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</si>
  <si>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DIXPA GAMES</t>
  </si>
  <si>
    <t>DIXG</t>
  </si>
  <si>
    <t>OLE</t>
  </si>
  <si>
    <t>BINGO PILIPINO</t>
  </si>
  <si>
    <t>RESTO FAM</t>
  </si>
  <si>
    <t>E-GAMING (MULTI JUEGOS)</t>
  </si>
  <si>
    <t>PANDA SHOW</t>
  </si>
  <si>
    <t>PNDSH</t>
  </si>
  <si>
    <t>BINGO RANCHO</t>
  </si>
  <si>
    <t>BRANCH</t>
  </si>
  <si>
    <t>BEETLE BINGO (BDR)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</si>
  <si>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</si>
  <si>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</si>
  <si>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</si>
  <si>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</si>
  <si>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</si>
  <si>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</si>
  <si>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</si>
  <si>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</si>
  <si>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</si>
  <si>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</si>
  <si>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</si>
  <si>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</si>
  <si>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</si>
  <si>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</si>
  <si>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</si>
  <si>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</si>
  <si>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</si>
  <si>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</si>
  <si>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</si>
  <si>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</si>
  <si>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</si>
  <si>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</si>
  <si>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</si>
  <si>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</si>
  <si>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</si>
  <si>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</si>
  <si>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</si>
  <si>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</si>
  <si>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</si>
  <si>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</si>
  <si>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</si>
  <si>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</si>
  <si>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</si>
  <si>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</si>
  <si>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</si>
  <si>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</si>
  <si>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</si>
  <si>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</si>
  <si>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</si>
  <si>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</si>
  <si>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</si>
  <si>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</si>
  <si>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</si>
  <si>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</si>
  <si>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</si>
  <si>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</si>
  <si>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</si>
  <si>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</si>
  <si>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</si>
  <si>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</si>
  <si>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</si>
  <si>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</si>
  <si>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</si>
  <si>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</si>
  <si>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</si>
  <si>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</si>
  <si>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</si>
  <si>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</si>
  <si>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</si>
  <si>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</si>
  <si>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</si>
  <si>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</si>
  <si>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</si>
  <si>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</si>
  <si>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</si>
  <si>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</si>
  <si>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</si>
  <si>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</si>
  <si>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</si>
  <si>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</si>
  <si>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</si>
  <si>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</si>
  <si>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</si>
  <si>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</si>
  <si>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</si>
  <si>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</si>
  <si>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</si>
  <si>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</si>
  <si>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</si>
  <si>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</si>
  <si>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</si>
  <si>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</si>
  <si>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</si>
  <si>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</si>
  <si>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</si>
  <si>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</si>
  <si>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</si>
  <si>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</si>
  <si>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</si>
  <si>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</si>
  <si>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</si>
  <si>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</si>
  <si>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</si>
  <si>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</si>
  <si>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INTERBLOCK</t>
  </si>
  <si>
    <t>INTB</t>
  </si>
  <si>
    <t>TRIPLE MANIA BONUS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</si>
  <si>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</si>
  <si>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</si>
  <si>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</si>
  <si>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</si>
  <si>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</si>
  <si>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</si>
  <si>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</si>
  <si>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</si>
  <si>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</si>
  <si>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</si>
  <si>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</si>
  <si>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</si>
  <si>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</si>
  <si>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</si>
  <si>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ENERGY LINK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</si>
  <si>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</si>
  <si>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</si>
  <si>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</si>
  <si>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</si>
  <si>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</si>
  <si>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</si>
  <si>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</si>
  <si>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</si>
  <si>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</si>
  <si>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</si>
  <si>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</si>
  <si>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</si>
  <si>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KN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</si>
  <si>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</si>
  <si>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</si>
  <si>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</si>
  <si>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</si>
  <si>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</si>
  <si>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</si>
  <si>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</si>
  <si>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</si>
  <si>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</si>
  <si>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MERKUR</t>
  </si>
  <si>
    <t>TOTAL MUEBLE O-FUTURE</t>
  </si>
  <si>
    <t>O-FUT</t>
  </si>
  <si>
    <t>MULTI BINGO</t>
  </si>
  <si>
    <t>MB</t>
  </si>
  <si>
    <t>TOTAL ENERGY LINK</t>
  </si>
  <si>
    <t>MULTI MEDIA GAMES</t>
  </si>
  <si>
    <t>MMG</t>
  </si>
  <si>
    <t>MULTI CHAMPION BONUS</t>
  </si>
  <si>
    <t>MCHB</t>
  </si>
  <si>
    <t>NOVOMATIC</t>
  </si>
  <si>
    <t>MULTI CHANCE</t>
  </si>
  <si>
    <t>OPERADORA CLASS LK</t>
  </si>
  <si>
    <t>CLASSLK</t>
  </si>
  <si>
    <t>20 GRATIS</t>
  </si>
  <si>
    <t>20G</t>
  </si>
  <si>
    <t>MULTI MEGA</t>
  </si>
  <si>
    <t>ENERGY LINK 3x5</t>
  </si>
  <si>
    <t>ORION</t>
  </si>
  <si>
    <t>ORI</t>
  </si>
  <si>
    <t>ASTRAL</t>
  </si>
  <si>
    <t>ASTRA</t>
  </si>
  <si>
    <t>MULTI MEGA BONUS</t>
  </si>
  <si>
    <t>MMB</t>
  </si>
  <si>
    <t>PAULA</t>
  </si>
  <si>
    <t>PAU</t>
  </si>
  <si>
    <t>AVE CAESAR GRATIS</t>
  </si>
  <si>
    <t>ACG</t>
  </si>
  <si>
    <t>MULTI MEGA ICE BLAST</t>
  </si>
  <si>
    <t>MMIB</t>
  </si>
  <si>
    <t>PRIOR 2 ARRIVAL</t>
  </si>
  <si>
    <t>P2A</t>
  </si>
  <si>
    <t>BINGO IMPERIUM XII</t>
  </si>
  <si>
    <t>IMP XII</t>
  </si>
  <si>
    <t>MULTI MEGA MILLONAIRE</t>
  </si>
  <si>
    <t>MMBM</t>
  </si>
  <si>
    <t>PROMATIC</t>
  </si>
  <si>
    <t>PMAT</t>
  </si>
  <si>
    <t>BINGO TOP GRATIS</t>
  </si>
  <si>
    <t>BNTG</t>
  </si>
  <si>
    <t>MULTI PLUS</t>
  </si>
  <si>
    <t>TOTAL ENERGY LINK 3x5</t>
  </si>
  <si>
    <t>RCT</t>
  </si>
  <si>
    <t>BOMBA MULTI GAME</t>
  </si>
  <si>
    <t>BMG</t>
  </si>
  <si>
    <t>MULTI PLUS BONUS</t>
  </si>
  <si>
    <t>MPB</t>
  </si>
  <si>
    <t>SB</t>
  </si>
  <si>
    <t>DOBLE GRATIS</t>
  </si>
  <si>
    <t>DMG</t>
  </si>
  <si>
    <t>PLUS 3</t>
  </si>
  <si>
    <t>LIGHT &amp; WONDER</t>
  </si>
  <si>
    <t>DOBLE MANIA</t>
  </si>
  <si>
    <t>DM</t>
  </si>
  <si>
    <t>PLUS 3 BONUS</t>
  </si>
  <si>
    <t>P3B</t>
  </si>
  <si>
    <t>ENERGY KING 3x4</t>
  </si>
  <si>
    <t>SCORPIO GAMING INTERNATIONAL</t>
  </si>
  <si>
    <t>SGINT</t>
  </si>
  <si>
    <t>FUSION LINK</t>
  </si>
  <si>
    <t>FLINK</t>
  </si>
  <si>
    <t>PLUS 3 MULTI</t>
  </si>
  <si>
    <t>P3M</t>
  </si>
  <si>
    <t>SEGA SAMMY CREATION</t>
  </si>
  <si>
    <t>SAMMY</t>
  </si>
  <si>
    <t>IMPERIUM</t>
  </si>
  <si>
    <t>RACINGO</t>
  </si>
  <si>
    <t>RACNG</t>
  </si>
  <si>
    <t>SHOWBALL RODILLOS</t>
  </si>
  <si>
    <t>SHOWRO</t>
  </si>
  <si>
    <t>IMPERIUM GRATIS</t>
  </si>
  <si>
    <t>IMG</t>
  </si>
  <si>
    <t>ROCK STAR</t>
  </si>
  <si>
    <t>RKS</t>
  </si>
  <si>
    <t>SLEIC RODILLOS</t>
  </si>
  <si>
    <t>SLERO</t>
  </si>
  <si>
    <t>JOKER MEX</t>
  </si>
  <si>
    <t>JKM</t>
  </si>
  <si>
    <t>RUBINGO</t>
  </si>
  <si>
    <t>SPIELO</t>
  </si>
  <si>
    <t>SPLO</t>
  </si>
  <si>
    <t>JOKER WIN</t>
  </si>
  <si>
    <t>JKW</t>
  </si>
  <si>
    <t>SANDS OF FORTUNE</t>
  </si>
  <si>
    <t>SOFE</t>
  </si>
  <si>
    <t xml:space="preserve">TOTAL ENERGY KING
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</si>
  <si>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</si>
  <si>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</si>
  <si>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</si>
  <si>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</si>
  <si>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</si>
  <si>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</si>
  <si>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</si>
  <si>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</si>
  <si>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</si>
  <si>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</si>
  <si>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</si>
  <si>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</si>
  <si>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>VGT</t>
  </si>
  <si>
    <t>LAST MANIA</t>
  </si>
  <si>
    <t>LM</t>
  </si>
  <si>
    <t>UNDERWATER RICHES</t>
  </si>
  <si>
    <t>ENERGY KING 3x5</t>
  </si>
  <si>
    <t>WINPOT / DREIDEL SL</t>
  </si>
  <si>
    <t>LONDON PLAY</t>
  </si>
  <si>
    <t>LONP</t>
  </si>
  <si>
    <t>VIVA MEXICO</t>
  </si>
  <si>
    <t>VM</t>
  </si>
  <si>
    <t>WIN SYSTEM</t>
  </si>
  <si>
    <t>WS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</si>
  <si>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</si>
  <si>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</si>
  <si>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</si>
  <si>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</si>
  <si>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</si>
  <si>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</si>
  <si>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</si>
  <si>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</si>
  <si>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</si>
  <si>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MILLION +</t>
  </si>
  <si>
    <t>ML</t>
  </si>
  <si>
    <t>TOTAL ENERGY KING 3x5</t>
  </si>
  <si>
    <t>MULTI CHOICE</t>
  </si>
  <si>
    <t>MULTICH</t>
  </si>
  <si>
    <t>MULTI CLASSIC</t>
  </si>
  <si>
    <t>MCLS</t>
  </si>
  <si>
    <t>30 FUNNY CARS</t>
  </si>
  <si>
    <t>30FCRS</t>
  </si>
  <si>
    <t>PRIMA</t>
  </si>
  <si>
    <t>PRI</t>
  </si>
  <si>
    <t>ATLANTIS BINGO</t>
  </si>
  <si>
    <t>AB</t>
  </si>
  <si>
    <t>TOTAL NO FUMAR</t>
  </si>
  <si>
    <t>QUEEN ROULETTE</t>
  </si>
  <si>
    <t>QR</t>
  </si>
  <si>
    <t>BEACH FIESTA BINGO</t>
  </si>
  <si>
    <t>BCHF</t>
  </si>
  <si>
    <t>TNT</t>
  </si>
  <si>
    <t>BINGO BANG THEORY</t>
  </si>
  <si>
    <t>BBT</t>
  </si>
  <si>
    <t>TOP MANIA</t>
  </si>
  <si>
    <t>TOM</t>
  </si>
  <si>
    <t>BING BUZO</t>
  </si>
  <si>
    <t>BBUZO</t>
  </si>
  <si>
    <t>TOT IMPERIUM</t>
  </si>
  <si>
    <t>TOTI</t>
  </si>
  <si>
    <t>BINGO DE LOS CIELOS</t>
  </si>
  <si>
    <t>BCIELOS</t>
  </si>
  <si>
    <t>TABLA DE SIGNS BINGO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</si>
  <si>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</si>
  <si>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</si>
  <si>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</si>
  <si>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</si>
  <si>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</si>
  <si>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</si>
  <si>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</si>
  <si>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</si>
  <si>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TOTAL METRONIA</t>
  </si>
  <si>
    <t>COPA CABANA</t>
  </si>
  <si>
    <t>COPC</t>
  </si>
  <si>
    <t>TOTAL SIGNS SALA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</si>
  <si>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</si>
  <si>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</si>
  <si>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</si>
  <si>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</si>
  <si>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</si>
  <si>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</si>
  <si>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</si>
  <si>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CRAZY CACTUS BINGO</t>
  </si>
  <si>
    <t>CCB</t>
  </si>
  <si>
    <t>EL PESERO</t>
  </si>
  <si>
    <t>PESE</t>
  </si>
  <si>
    <t>FRAMELESS</t>
  </si>
  <si>
    <t>DYNAMITE BINGO</t>
  </si>
  <si>
    <t>DYB</t>
  </si>
  <si>
    <t>FUNNY CARS</t>
  </si>
  <si>
    <t>FCRS</t>
  </si>
  <si>
    <t>DRAGON WIN 1 CARA</t>
  </si>
  <si>
    <t>SIGN DW-1</t>
  </si>
  <si>
    <t>TOTAL JESTRONIC</t>
  </si>
  <si>
    <t>FUNNY CARS CLASSIC</t>
  </si>
  <si>
    <t>FCRC</t>
  </si>
  <si>
    <t>ENERGY KING 1 CARA</t>
  </si>
  <si>
    <t>SIGN EK-1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</si>
  <si>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</si>
  <si>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</si>
  <si>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</si>
  <si>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</si>
  <si>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</si>
  <si>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</si>
  <si>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</si>
  <si>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</si>
  <si>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R.FRANCO</t>
  </si>
  <si>
    <t>IMPERIAL BINGO</t>
  </si>
  <si>
    <t>IMB</t>
  </si>
  <si>
    <t>ENERGY KING 2 CARAS</t>
  </si>
  <si>
    <t>SIGN EK-2</t>
  </si>
  <si>
    <t xml:space="preserve"> BINGO CARAMEL</t>
  </si>
  <si>
    <t>BC</t>
  </si>
  <si>
    <t>IMPERIAL PALACE</t>
  </si>
  <si>
    <t>IMP</t>
  </si>
  <si>
    <t>ENERGY LINK 2 CARAS</t>
  </si>
  <si>
    <t>SIGN EL-2</t>
  </si>
  <si>
    <t>10 VECES BINGO</t>
  </si>
  <si>
    <t>10VB</t>
  </si>
  <si>
    <t>JOCKEY MANIA</t>
  </si>
  <si>
    <t>JOKCM</t>
  </si>
  <si>
    <t>5 DIAMANTES</t>
  </si>
  <si>
    <t>5D</t>
  </si>
  <si>
    <t>LA MINA DE LA SUERTE 20</t>
  </si>
  <si>
    <t>MS20</t>
  </si>
  <si>
    <t>BINGO LINK</t>
  </si>
  <si>
    <t>BON VOYAGE</t>
  </si>
  <si>
    <t>BV</t>
  </si>
  <si>
    <t>MAGIC 60</t>
  </si>
  <si>
    <t>MGC60</t>
  </si>
  <si>
    <t>SIGN BLDW-1</t>
  </si>
  <si>
    <t>CONECTA BINGO</t>
  </si>
  <si>
    <t>CB</t>
  </si>
  <si>
    <t>MULTI DRAGON</t>
  </si>
  <si>
    <t>MDRA</t>
  </si>
  <si>
    <t>SIGN BLEK-1</t>
  </si>
  <si>
    <t>CONFIDENTIAL</t>
  </si>
  <si>
    <t>CF</t>
  </si>
  <si>
    <t>MULTI JUEGO</t>
  </si>
  <si>
    <t>MULTJ</t>
  </si>
  <si>
    <t>SIGN BLEL-1</t>
  </si>
  <si>
    <t>RICH BINGO</t>
  </si>
  <si>
    <t>RCHB</t>
  </si>
  <si>
    <t>ORIGINAL BINGO</t>
  </si>
  <si>
    <t>OBGO</t>
  </si>
  <si>
    <t>SHOW TIME 1 CARA</t>
  </si>
  <si>
    <t>SIGN BLSWT-1</t>
  </si>
  <si>
    <t>TOTAL R.FRANCO</t>
  </si>
  <si>
    <t>ORIGINAL BINGO JAZZ</t>
  </si>
  <si>
    <t>OBGOJAZZ</t>
  </si>
  <si>
    <t>PLUS MANIA</t>
  </si>
  <si>
    <t>PMANIA</t>
  </si>
  <si>
    <t>ENERGY KING / ENERGY LINK 2 CARAS</t>
  </si>
  <si>
    <t>SIGN BLEK/BLEL-2</t>
  </si>
  <si>
    <t>MAGIC CHINA</t>
  </si>
  <si>
    <t>MCHINA</t>
  </si>
  <si>
    <t>SIGN BLEK-2</t>
  </si>
  <si>
    <t>RA MANIA</t>
  </si>
  <si>
    <t>SIGN BLEL-2</t>
  </si>
  <si>
    <t>CANDY PRIZE</t>
  </si>
  <si>
    <t>CNYPRZ</t>
  </si>
  <si>
    <t>SAFARI RACE</t>
  </si>
  <si>
    <t>SR</t>
  </si>
  <si>
    <t>SHOW TIME 2 CARAS</t>
  </si>
  <si>
    <t>SIGN BLSWT-2</t>
  </si>
  <si>
    <t>DREIDEL</t>
  </si>
  <si>
    <t>SATURN 8</t>
  </si>
  <si>
    <t>S8</t>
  </si>
  <si>
    <t>DRAGON WIN / LINK ME 2 CARAS</t>
  </si>
  <si>
    <t>SIGN BLDW/LM-2</t>
  </si>
  <si>
    <t>FIRE AND ICE</t>
  </si>
  <si>
    <t>FANDI</t>
  </si>
  <si>
    <t>SPIN GOAL</t>
  </si>
  <si>
    <t>SPGOAL</t>
  </si>
  <si>
    <t>DRAGON WIN/ ENERGY KING 2 CARAS</t>
  </si>
  <si>
    <t>SIGN BLDW/EK-2</t>
  </si>
  <si>
    <t>FIRE LINK</t>
  </si>
  <si>
    <t>FRELK</t>
  </si>
  <si>
    <t>STORM LINK</t>
  </si>
  <si>
    <t>STRLINK</t>
  </si>
  <si>
    <t>DRAGON WIN/ ENERGY LINK 2 CARAS</t>
  </si>
  <si>
    <t>SIGN BLDW/EL-2</t>
  </si>
  <si>
    <t>FREDDY WHEEL BINGO</t>
  </si>
  <si>
    <t>FREDWBINGO</t>
  </si>
  <si>
    <t>SWEET BINGO</t>
  </si>
  <si>
    <t>SWEETB</t>
  </si>
  <si>
    <t>DRAGON WIN / SHOW TIME FASE 5  2 CARAS</t>
  </si>
  <si>
    <t>SIGN BLDW/STF5-2</t>
  </si>
  <si>
    <t>JA PON PON</t>
  </si>
  <si>
    <t>JPON</t>
  </si>
  <si>
    <t>SWITCH LINK</t>
  </si>
  <si>
    <t>STLINK</t>
  </si>
  <si>
    <t>LUCKY DRAGON</t>
  </si>
  <si>
    <t>LKYDRGN</t>
  </si>
  <si>
    <t>TIME 4 BONUS</t>
  </si>
  <si>
    <t>T4B</t>
  </si>
  <si>
    <t>LUCKY WIZARD</t>
  </si>
  <si>
    <t>LKYWRD</t>
  </si>
  <si>
    <t>WONDER BINGO</t>
  </si>
  <si>
    <t>WBING</t>
  </si>
  <si>
    <t>SIGN BPDW-1</t>
  </si>
  <si>
    <t>MARDI JAZZ</t>
  </si>
  <si>
    <t>MARDIJ</t>
  </si>
  <si>
    <t>YETI (ICE CREAM)</t>
  </si>
  <si>
    <t>YETI</t>
  </si>
  <si>
    <t>SIGN BPEK-1</t>
  </si>
  <si>
    <t>SEA FORTUNES</t>
  </si>
  <si>
    <t>SEAFORT</t>
  </si>
  <si>
    <t>TOTAL SLEIC</t>
  </si>
  <si>
    <t>SIGN BPEL-1</t>
  </si>
  <si>
    <t>THE 7 KINGDOMS</t>
  </si>
  <si>
    <t>7KDOMS</t>
  </si>
  <si>
    <t>SIGN BPDW-2</t>
  </si>
  <si>
    <t>TINO</t>
  </si>
  <si>
    <t>SIGN BPEK-2</t>
  </si>
  <si>
    <t>TINO 60s</t>
  </si>
  <si>
    <t>TINO60s</t>
  </si>
  <si>
    <t xml:space="preserve">PACHINKO </t>
  </si>
  <si>
    <t>PKI</t>
  </si>
  <si>
    <t>SIGN BPEL-2</t>
  </si>
  <si>
    <t>TINO CHINA</t>
  </si>
  <si>
    <t>PACHINKO II</t>
  </si>
  <si>
    <t>PKII</t>
  </si>
  <si>
    <t>WEST WEST BINGO</t>
  </si>
  <si>
    <t>WWBINGO</t>
  </si>
  <si>
    <t>TOTAL PACHINKO</t>
  </si>
  <si>
    <t>ZITRO</t>
  </si>
  <si>
    <t>WINNING RAINBOWS</t>
  </si>
  <si>
    <t>WRBWS</t>
  </si>
  <si>
    <t>SIGN ZITRODW-1</t>
  </si>
  <si>
    <t>TOTAL WINPOT</t>
  </si>
  <si>
    <t>SIGN ZITRODW-2</t>
  </si>
  <si>
    <t>BINGO BINGO</t>
  </si>
  <si>
    <t>BINB</t>
  </si>
  <si>
    <t>BINGO DE LA PASION</t>
  </si>
  <si>
    <t>BPS</t>
  </si>
  <si>
    <t>ONIX</t>
  </si>
  <si>
    <t>JUKEBOX BINGO</t>
  </si>
  <si>
    <t>JBB</t>
  </si>
  <si>
    <t>SIGN ONIXDW-1</t>
  </si>
  <si>
    <t>SALSA BINGO</t>
  </si>
  <si>
    <t>SBO</t>
  </si>
  <si>
    <t>SIGN ONIXDW-2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</si>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</sst>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_(* #,##0_);_(* \(#,##0\);_(* &quot;-&quot;_);_(@_)"/>
    <numFmt numFmtId="173" formatCode="0000000"/>
  </numFmts>
  <fonts count="1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color rgb="FFC00000"/>
      <name val="Arial"/>
      <family val="2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26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indexed="8"/>
      <name val="Calibri"/>
      <family val="2"/>
    </font>
    <font>
      <b/>
      <sz val="14"/>
      <color rgb="FF00B0F0"/>
      <name val="Calibri"/>
      <family val="2"/>
    </font>
    <font>
      <b/>
      <sz val="11"/>
      <color theme="0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DDDDDD"/>
      <name val="Calibri"/>
      <family val="2"/>
      <scheme val="minor"/>
    </font>
    <font>
      <sz val="9"/>
      <color indexed="8"/>
      <name val="Calibri"/>
      <family val="2"/>
    </font>
    <font>
      <b/>
      <sz val="14"/>
      <color rgb="FFFF0000"/>
      <name val="Calibri"/>
      <family val="2"/>
      <scheme val="minor"/>
    </font>
    <font>
      <b/>
      <sz val="8"/>
      <name val="Arial"/>
      <family val="2"/>
    </font>
    <font>
      <b/>
      <sz val="12"/>
      <color rgb="FFFF0000"/>
      <name val="Calibri"/>
      <family val="2"/>
    </font>
    <font>
      <b/>
      <sz val="14"/>
      <color indexed="9"/>
      <name val="Arial"/>
      <family val="2"/>
    </font>
    <font>
      <b/>
      <sz val="12"/>
      <color theme="7" tint="-0.49998474074526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9"/>
      <color rgb="FF000000"/>
      <name val="Calibri"/>
      <family val="2"/>
    </font>
    <font>
      <b/>
      <sz val="12"/>
      <color indexed="8"/>
      <name val="ARIAL"/>
      <family val="2"/>
      <charset val="1"/>
    </font>
    <font>
      <b/>
      <sz val="16"/>
      <color rgb="FFFF0000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name val="Calibri"/>
      <family val="2"/>
    </font>
    <font>
      <b/>
      <sz val="12"/>
      <color theme="8" tint="0.39994506668294322"/>
      <name val="Arial"/>
      <family val="2"/>
    </font>
    <font>
      <b/>
      <sz val="12"/>
      <color theme="5" tint="-0.499984740745262"/>
      <name val="Arial"/>
      <family val="2"/>
    </font>
    <font>
      <b/>
      <sz val="18"/>
      <color rgb="FF1F4A7E"/>
      <name val="Calibri"/>
      <family val="2"/>
    </font>
    <font>
      <b/>
      <sz val="18"/>
      <color rgb="FFFF0000"/>
      <name val="Calibri"/>
      <family val="2"/>
    </font>
    <font>
      <b/>
      <sz val="12"/>
      <color theme="9" tint="0.3999755851924192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6"/>
      <color rgb="FFFF0000"/>
      <name val="Calibri"/>
      <family val="2"/>
    </font>
    <font>
      <b/>
      <sz val="12"/>
      <color indexed="10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494429"/>
      <name val="Calibri"/>
      <family val="2"/>
    </font>
    <font>
      <b/>
      <sz val="16"/>
      <color indexed="8"/>
      <name val="Calibri"/>
      <family val="2"/>
    </font>
    <font>
      <b/>
      <sz val="14"/>
      <color rgb="FF000000"/>
      <name val="Calibri"/>
      <family val="2"/>
    </font>
    <font>
      <sz val="8"/>
      <name val="Arial"/>
      <family val="2"/>
    </font>
    <font>
      <b/>
      <sz val="16"/>
      <color theme="0"/>
      <name val="Calibri"/>
      <family val="2"/>
    </font>
    <font>
      <b/>
      <sz val="16"/>
      <color rgb="FFFF0000"/>
      <name val="Arial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  <font>
      <sz val="20"/>
      <name val="Calibri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name val="Arial"/>
      <family val="2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12"/>
      <name val="Calibri"/>
      <family val="2"/>
      <scheme val="minor"/>
    </font>
    <font>
      <b/>
      <sz val="12"/>
      <color rgb="FFFFFF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2"/>
      <color rgb="FF990000"/>
      <name val="Calibri"/>
      <family val="2"/>
      <scheme val="minor"/>
    </font>
    <font>
      <sz val="14"/>
      <name val="Arial"/>
      <family val="2"/>
    </font>
    <font>
      <b/>
      <sz val="12"/>
      <color theme="6" tint="-0.249977111117893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rgb="FF00B0F0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3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0080"/>
        <bgColor rgb="FF800080"/>
      </patternFill>
    </fill>
    <fill>
      <patternFill patternType="lightTrellis">
        <fgColor theme="9"/>
        <bgColor theme="9" tint="-0.499984740745262"/>
      </patternFill>
    </fill>
    <fill>
      <patternFill patternType="gray0625">
        <fgColor auto="1"/>
        <bgColor rgb="FFFF0000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solid">
        <fgColor rgb="FF548DD4"/>
        <bgColor rgb="FF548DD4"/>
      </patternFill>
    </fill>
    <fill>
      <patternFill patternType="solid">
        <fgColor rgb="FFFFFFFF"/>
        <bgColor indexed="64"/>
      </patternFill>
    </fill>
    <fill>
      <patternFill patternType="solid">
        <fgColor rgb="FFE901C8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rgb="FFB2A1C7"/>
        <bgColor rgb="FFB2A1C7"/>
      </patternFill>
    </fill>
    <fill>
      <patternFill patternType="solid">
        <fgColor theme="0" tint="-0.249977111117893"/>
        <bgColor indexed="64"/>
      </patternFill>
    </fill>
    <fill>
      <patternFill patternType="lightTrellis">
        <fgColor rgb="FFFF0000"/>
        <bgColor rgb="FFC0504D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rgb="FF008080"/>
      </patternFill>
    </fill>
    <fill>
      <patternFill patternType="solid">
        <fgColor theme="2" tint="-0.249977111117893"/>
        <bgColor rgb="FFFFCC00"/>
      </patternFill>
    </fill>
    <fill>
      <patternFill patternType="solid">
        <fgColor theme="0"/>
        <bgColor rgb="FFFFCC00"/>
      </patternFill>
    </fill>
    <fill>
      <patternFill patternType="solid">
        <fgColor rgb="FFA5A5A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3366FF"/>
        <bgColor rgb="FF0066CC"/>
      </pattern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BFBFBF"/>
        <bgColor rgb="FF000000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gray0625">
        <fgColor indexed="9"/>
        <bgColor indexed="62"/>
      </patternFill>
    </fill>
    <fill>
      <patternFill patternType="gray0625">
        <bgColor theme="0"/>
      </patternFill>
    </fill>
    <fill>
      <patternFill patternType="solid">
        <fgColor rgb="FF99CCFF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6699FF"/>
        <bgColor rgb="FF003366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indexed="9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642523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5F4979"/>
        <bgColor indexed="64"/>
      </patternFill>
    </fill>
    <fill>
      <patternFill patternType="gray0625">
        <fgColor theme="4" tint="0.39994506668294322"/>
        <bgColor theme="0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00"/>
        <bgColor rgb="FFFFCC00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rgb="FFABE2A8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4" tint="0.39997558519241921"/>
        <bgColor rgb="FF0066CC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patternFill patternType="solid">
        <fgColor theme="9" tint="0.79998168889431442"/>
        <bgColor rgb="FF0066CC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800080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7F7F7F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548DD4"/>
      </patternFill>
    </fill>
    <fill>
      <patternFill patternType="solid">
        <fgColor theme="0"/>
        <bgColor rgb="FF008080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 diagonalDown="1">
      <left/>
      <right/>
      <top/>
      <bottom/>
      <diagonal style="thin">
        <color indexed="0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 style="thin">
        <color rgb="FF000000"/>
      </bottom>
      <diagonal/>
    </border>
    <border>
      <left style="mediumDashed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</borders>
  <cellStyleXfs count="315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2" fillId="0" borderId="0">
      <protection locked="0"/>
    </xf>
    <xf numFmtId="0" fontId="22" fillId="0" borderId="0">
      <protection locked="0"/>
    </xf>
    <xf numFmtId="0" fontId="1" fillId="0" borderId="0">
      <protection locked="0"/>
    </xf>
    <xf numFmtId="0" fontId="2" fillId="0" borderId="0">
      <protection locked="0"/>
    </xf>
    <xf numFmtId="0" fontId="2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protection locked="0"/>
    </xf>
    <xf numFmtId="0" fontId="23" fillId="0" borderId="0">
      <protection locked="0"/>
    </xf>
    <xf numFmtId="0" fontId="22" fillId="0" borderId="0"/>
    <xf numFmtId="0" fontId="22" fillId="0" borderId="0">
      <protection locked="0"/>
    </xf>
    <xf numFmtId="0" fontId="22" fillId="0" borderId="0">
      <protection locked="0"/>
    </xf>
  </cellStyleXfs>
  <cellXfs count="1795">
    <xf numFmtId="0" fontId="0" fillId="0" borderId="0" xfId="0"/>
    <xf numFmtId="0" fontId="0" fillId="0" borderId="0" xfId="0" applyAlignment="1">
      <alignment horizontal="center" vertical="center"/>
    </xf>
    <xf numFmtId="0" fontId="46" fillId="74" borderId="1" xfId="138" applyFont="1" applyFill="1" applyBorder="1" applyAlignment="1">
      <alignment horizontal="center" vertical="center" shrinkToFit="1"/>
    </xf>
    <xf numFmtId="0" fontId="42" fillId="55" borderId="16" xfId="150" applyFont="1" applyFill="1" applyBorder="1" applyAlignment="1">
      <alignment horizontal="center" vertical="center" shrinkToFit="1"/>
    </xf>
    <xf numFmtId="0" fontId="47" fillId="75" borderId="16" xfId="150" applyFont="1" applyFill="1" applyBorder="1" applyAlignment="1">
      <alignment horizontal="center" vertical="center" shrinkToFit="1"/>
    </xf>
    <xf numFmtId="0" fontId="41" fillId="76" borderId="17" xfId="138" applyFont="1" applyFill="1" applyBorder="1" applyAlignment="1">
      <alignment horizontal="center" vertical="center" shrinkToFit="1"/>
    </xf>
    <xf numFmtId="0" fontId="48" fillId="77" borderId="17" xfId="150" applyFont="1" applyFill="1" applyBorder="1" applyAlignment="1">
      <alignment horizontal="center" vertical="center" shrinkToFit="1"/>
    </xf>
    <xf numFmtId="0" fontId="49" fillId="78" borderId="1" xfId="15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/>
    </xf>
    <xf numFmtId="0" fontId="43" fillId="65" borderId="1" xfId="0" applyFont="1" applyFill="1" applyBorder="1" applyAlignment="1">
      <alignment horizontal="center" vertical="center"/>
    </xf>
    <xf numFmtId="0" fontId="34" fillId="71" borderId="1" xfId="0" applyFont="1" applyFill="1" applyBorder="1" applyAlignment="1">
      <alignment horizontal="center" vertical="center"/>
    </xf>
    <xf numFmtId="0" fontId="35" fillId="62" borderId="1" xfId="0" applyFont="1" applyFill="1" applyBorder="1" applyAlignment="1">
      <alignment horizontal="center" vertical="center"/>
    </xf>
    <xf numFmtId="0" fontId="34" fillId="67" borderId="1" xfId="0" applyFont="1" applyFill="1" applyBorder="1" applyAlignment="1">
      <alignment horizontal="center" vertical="center"/>
    </xf>
    <xf numFmtId="0" fontId="40" fillId="52" borderId="1" xfId="0" applyFont="1" applyFill="1" applyBorder="1" applyAlignment="1">
      <alignment horizontal="center" vertical="center"/>
    </xf>
    <xf numFmtId="0" fontId="35" fillId="57" borderId="1" xfId="0" applyFont="1" applyFill="1" applyBorder="1" applyAlignment="1">
      <alignment horizontal="center" vertical="center"/>
    </xf>
    <xf numFmtId="0" fontId="38" fillId="64" borderId="1" xfId="0" applyFont="1" applyFill="1" applyBorder="1" applyAlignment="1">
      <alignment horizontal="center" vertical="center"/>
    </xf>
    <xf numFmtId="0" fontId="36" fillId="39" borderId="1" xfId="0" applyFont="1" applyFill="1" applyBorder="1" applyAlignment="1">
      <alignment horizontal="center" vertical="center"/>
    </xf>
    <xf numFmtId="0" fontId="34" fillId="48" borderId="1" xfId="0" applyFont="1" applyFill="1" applyBorder="1" applyAlignment="1">
      <alignment horizontal="center" vertical="center"/>
    </xf>
    <xf numFmtId="0" fontId="34" fillId="52" borderId="1" xfId="0" applyFont="1" applyFill="1" applyBorder="1" applyAlignment="1">
      <alignment horizontal="center" vertical="center"/>
    </xf>
    <xf numFmtId="0" fontId="34" fillId="46" borderId="1" xfId="0" applyFont="1" applyFill="1" applyBorder="1" applyAlignment="1">
      <alignment horizontal="center" vertical="center"/>
    </xf>
    <xf numFmtId="0" fontId="34" fillId="38" borderId="1" xfId="0" applyFont="1" applyFill="1" applyBorder="1" applyAlignment="1">
      <alignment horizontal="center" vertical="center"/>
    </xf>
    <xf numFmtId="0" fontId="34" fillId="69" borderId="1" xfId="0" applyFont="1" applyFill="1" applyBorder="1" applyAlignment="1">
      <alignment horizontal="center" vertical="center"/>
    </xf>
    <xf numFmtId="0" fontId="41" fillId="82" borderId="17" xfId="138" applyFont="1" applyFill="1" applyBorder="1" applyAlignment="1">
      <alignment horizontal="center" vertical="center" shrinkToFit="1"/>
    </xf>
    <xf numFmtId="0" fontId="48" fillId="90" borderId="17" xfId="150" applyFont="1" applyFill="1" applyBorder="1" applyAlignment="1">
      <alignment horizontal="center" vertical="center" shrinkToFit="1"/>
    </xf>
    <xf numFmtId="0" fontId="49" fillId="91" borderId="1" xfId="150" applyFont="1" applyFill="1" applyBorder="1" applyAlignment="1">
      <alignment horizontal="center" vertical="center" shrinkToFit="1"/>
    </xf>
    <xf numFmtId="0" fontId="46" fillId="93" borderId="1" xfId="138" applyFont="1" applyFill="1" applyBorder="1" applyAlignment="1">
      <alignment horizontal="center" vertical="center" shrinkToFit="1"/>
    </xf>
    <xf numFmtId="0" fontId="54" fillId="94" borderId="16" xfId="150" applyFont="1" applyFill="1" applyBorder="1" applyAlignment="1">
      <alignment horizontal="center" vertical="center" shrinkToFit="1"/>
    </xf>
    <xf numFmtId="0" fontId="47" fillId="66" borderId="16" xfId="150" applyFont="1" applyFill="1" applyBorder="1" applyAlignment="1">
      <alignment horizontal="center" vertical="center" shrinkToFit="1"/>
    </xf>
    <xf numFmtId="0" fontId="49" fillId="98" borderId="1" xfId="150" applyFont="1" applyFill="1" applyBorder="1" applyAlignment="1">
      <alignment horizontal="center" vertical="center" shrinkToFi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11" fillId="0" borderId="0" xfId="133"/>
    <xf numFmtId="0" fontId="11" fillId="0" borderId="26" xfId="133" applyBorder="1"/>
    <xf numFmtId="0" fontId="11" fillId="0" borderId="5" xfId="133" applyBorder="1"/>
    <xf numFmtId="0" fontId="58" fillId="0" borderId="0" xfId="250" applyFont="1" applyAlignment="1" applyProtection="1">
      <alignment horizontal="center" vertical="center"/>
    </xf>
    <xf numFmtId="0" fontId="11" fillId="0" borderId="27" xfId="133" applyBorder="1"/>
    <xf numFmtId="0" fontId="1" fillId="0" borderId="0" xfId="131" applyFont="1"/>
    <xf numFmtId="0" fontId="11" fillId="0" borderId="27" xfId="131" applyBorder="1"/>
    <xf numFmtId="0" fontId="11" fillId="0" borderId="0" xfId="131"/>
    <xf numFmtId="0" fontId="11" fillId="0" borderId="32" xfId="122" applyBorder="1"/>
    <xf numFmtId="0" fontId="11" fillId="0" borderId="0" xfId="122"/>
    <xf numFmtId="0" fontId="61" fillId="103" borderId="1" xfId="138" applyFont="1" applyFill="1" applyBorder="1" applyAlignment="1">
      <alignment horizontal="center" vertical="center" shrinkToFit="1"/>
    </xf>
    <xf numFmtId="0" fontId="62" fillId="0" borderId="0" xfId="0" applyFont="1" applyAlignment="1">
      <alignment horizontal="center" vertical="center"/>
    </xf>
    <xf numFmtId="0" fontId="22" fillId="0" borderId="0" xfId="251" applyProtection="1"/>
    <xf numFmtId="0" fontId="63" fillId="95" borderId="34" xfId="122" applyFont="1" applyFill="1" applyBorder="1" applyAlignment="1">
      <alignment horizontal="center"/>
    </xf>
    <xf numFmtId="0" fontId="11" fillId="0" borderId="0" xfId="122" applyAlignment="1">
      <alignment horizontal="center" vertical="center"/>
    </xf>
    <xf numFmtId="0" fontId="64" fillId="84" borderId="0" xfId="251" applyFont="1" applyFill="1" applyAlignment="1" applyProtection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61" fillId="59" borderId="15" xfId="138" applyFont="1" applyFill="1" applyBorder="1" applyAlignment="1">
      <alignment horizontal="center" vertical="center" shrinkToFit="1"/>
    </xf>
    <xf numFmtId="0" fontId="65" fillId="0" borderId="0" xfId="119" applyFont="1" applyAlignment="1">
      <alignment horizontal="center" vertical="center"/>
    </xf>
    <xf numFmtId="0" fontId="66" fillId="104" borderId="0" xfId="160" applyFont="1" applyFill="1" applyAlignment="1">
      <alignment horizontal="center" vertical="center"/>
    </xf>
    <xf numFmtId="0" fontId="67" fillId="79" borderId="1" xfId="131" applyFont="1" applyFill="1" applyBorder="1" applyAlignment="1">
      <alignment horizontal="center"/>
    </xf>
    <xf numFmtId="0" fontId="68" fillId="105" borderId="15" xfId="131" applyFont="1" applyFill="1" applyBorder="1" applyAlignment="1">
      <alignment horizontal="center"/>
    </xf>
    <xf numFmtId="0" fontId="69" fillId="0" borderId="0" xfId="133" applyFont="1" applyAlignment="1">
      <alignment horizontal="center" vertical="center"/>
    </xf>
    <xf numFmtId="0" fontId="58" fillId="0" borderId="0" xfId="133" applyFont="1" applyAlignment="1">
      <alignment horizontal="center" vertical="center"/>
    </xf>
    <xf numFmtId="0" fontId="58" fillId="0" borderId="0" xfId="133" applyFont="1"/>
    <xf numFmtId="0" fontId="1" fillId="0" borderId="0" xfId="252" applyProtection="1"/>
    <xf numFmtId="0" fontId="70" fillId="0" borderId="0" xfId="133" applyFont="1" applyAlignment="1">
      <alignment vertical="center"/>
    </xf>
    <xf numFmtId="0" fontId="71" fillId="59" borderId="0" xfId="135" applyFont="1" applyFill="1" applyAlignment="1">
      <alignment horizontal="center" vertical="center"/>
    </xf>
    <xf numFmtId="0" fontId="22" fillId="84" borderId="0" xfId="0" applyFont="1" applyFill="1"/>
    <xf numFmtId="0" fontId="48" fillId="84" borderId="0" xfId="131" applyFont="1" applyFill="1" applyAlignment="1">
      <alignment horizontal="center" vertical="center"/>
    </xf>
    <xf numFmtId="0" fontId="72" fillId="106" borderId="17" xfId="122" applyFont="1" applyFill="1" applyBorder="1" applyAlignment="1">
      <alignment horizontal="center"/>
    </xf>
    <xf numFmtId="0" fontId="58" fillId="0" borderId="25" xfId="133" applyFont="1" applyBorder="1" applyAlignment="1">
      <alignment horizontal="center" vertical="center"/>
    </xf>
    <xf numFmtId="0" fontId="60" fillId="96" borderId="25" xfId="133" applyFont="1" applyFill="1" applyBorder="1" applyAlignment="1">
      <alignment horizontal="center" vertical="center"/>
    </xf>
    <xf numFmtId="0" fontId="58" fillId="96" borderId="25" xfId="133" applyFont="1" applyFill="1" applyBorder="1" applyAlignment="1">
      <alignment horizontal="center" vertical="center"/>
    </xf>
    <xf numFmtId="0" fontId="58" fillId="0" borderId="25" xfId="250" applyFont="1" applyBorder="1" applyAlignment="1" applyProtection="1">
      <alignment horizontal="center" vertical="center"/>
    </xf>
    <xf numFmtId="0" fontId="60" fillId="96" borderId="25" xfId="250" applyFont="1" applyFill="1" applyBorder="1" applyAlignment="1" applyProtection="1">
      <alignment horizontal="center" vertical="center"/>
    </xf>
    <xf numFmtId="0" fontId="58" fillId="0" borderId="33" xfId="250" applyFont="1" applyBorder="1" applyAlignment="1" applyProtection="1">
      <alignment horizontal="center" vertical="center"/>
    </xf>
    <xf numFmtId="0" fontId="11" fillId="0" borderId="35" xfId="133" applyBorder="1"/>
    <xf numFmtId="0" fontId="60" fillId="0" borderId="0" xfId="122" applyFont="1" applyAlignment="1">
      <alignment horizontal="center" vertical="center"/>
    </xf>
    <xf numFmtId="0" fontId="69" fillId="0" borderId="27" xfId="133" applyFont="1" applyBorder="1" applyAlignment="1">
      <alignment horizontal="center" vertical="center"/>
    </xf>
    <xf numFmtId="0" fontId="61" fillId="107" borderId="1" xfId="138" applyFont="1" applyFill="1" applyBorder="1" applyAlignment="1">
      <alignment horizontal="center" vertical="center" shrinkToFit="1"/>
    </xf>
    <xf numFmtId="0" fontId="73" fillId="108" borderId="1" xfId="253" applyFont="1" applyFill="1" applyBorder="1" applyAlignment="1">
      <alignment horizontal="center" vertical="center" shrinkToFit="1"/>
      <protection locked="0"/>
    </xf>
    <xf numFmtId="0" fontId="53" fillId="85" borderId="21" xfId="0" applyFont="1" applyFill="1" applyBorder="1" applyAlignment="1">
      <alignment horizontal="center" vertical="center" shrinkToFit="1"/>
    </xf>
    <xf numFmtId="0" fontId="74" fillId="109" borderId="1" xfId="138" applyFont="1" applyFill="1" applyBorder="1" applyAlignment="1">
      <alignment horizontal="center" vertical="center" shrinkToFit="1"/>
    </xf>
    <xf numFmtId="0" fontId="75" fillId="110" borderId="1" xfId="138" applyFont="1" applyFill="1" applyBorder="1" applyAlignment="1">
      <alignment horizontal="center" vertical="center" shrinkToFit="1"/>
    </xf>
    <xf numFmtId="0" fontId="75" fillId="111" borderId="1" xfId="138" applyFont="1" applyFill="1" applyBorder="1" applyAlignment="1">
      <alignment horizontal="center" vertical="center" shrinkToFit="1"/>
    </xf>
    <xf numFmtId="0" fontId="76" fillId="112" borderId="1" xfId="138" applyFont="1" applyFill="1" applyBorder="1" applyAlignment="1">
      <alignment horizontal="center" vertical="center" shrinkToFit="1"/>
    </xf>
    <xf numFmtId="0" fontId="61" fillId="113" borderId="15" xfId="138" applyFont="1" applyFill="1" applyBorder="1" applyAlignment="1">
      <alignment horizontal="center" vertical="center" shrinkToFit="1"/>
    </xf>
    <xf numFmtId="0" fontId="61" fillId="114" borderId="36" xfId="138" applyFont="1" applyFill="1" applyBorder="1" applyAlignment="1">
      <alignment horizontal="center" vertical="center" shrinkToFit="1"/>
    </xf>
    <xf numFmtId="0" fontId="75" fillId="84" borderId="36" xfId="138" applyFont="1" applyFill="1" applyBorder="1" applyAlignment="1">
      <alignment horizontal="center" vertical="center" shrinkToFit="1"/>
    </xf>
    <xf numFmtId="0" fontId="75" fillId="55" borderId="36" xfId="138" applyFont="1" applyFill="1" applyBorder="1" applyAlignment="1">
      <alignment horizontal="center" vertical="center" shrinkToFit="1"/>
    </xf>
    <xf numFmtId="0" fontId="48" fillId="115" borderId="0" xfId="250" applyFont="1" applyFill="1" applyAlignment="1" applyProtection="1">
      <alignment horizontal="center" vertical="center"/>
    </xf>
    <xf numFmtId="0" fontId="43" fillId="50" borderId="1" xfId="0" applyFont="1" applyFill="1" applyBorder="1" applyAlignment="1">
      <alignment horizontal="center" vertical="center"/>
    </xf>
    <xf numFmtId="0" fontId="0" fillId="55" borderId="0" xfId="0" applyFill="1"/>
    <xf numFmtId="0" fontId="77" fillId="116" borderId="1" xfId="131" applyFont="1" applyFill="1" applyBorder="1" applyAlignment="1">
      <alignment horizontal="center"/>
    </xf>
    <xf numFmtId="0" fontId="55" fillId="84" borderId="0" xfId="254" applyFont="1" applyFill="1" applyAlignment="1" applyProtection="1">
      <alignment horizontal="center"/>
    </xf>
    <xf numFmtId="0" fontId="78" fillId="0" borderId="0" xfId="120" applyFont="1" applyAlignment="1" applyProtection="1">
      <alignment horizontal="center" vertical="center"/>
    </xf>
    <xf numFmtId="0" fontId="79" fillId="0" borderId="0" xfId="0" applyFont="1" applyAlignment="1">
      <alignment horizontal="center" vertical="center"/>
    </xf>
    <xf numFmtId="0" fontId="77" fillId="117" borderId="1" xfId="0" applyFont="1" applyFill="1" applyBorder="1" applyAlignment="1">
      <alignment horizontal="center"/>
    </xf>
    <xf numFmtId="0" fontId="11" fillId="0" borderId="31" xfId="133" applyBorder="1"/>
    <xf numFmtId="0" fontId="80" fillId="118" borderId="1" xfId="138" applyFont="1" applyFill="1" applyBorder="1" applyAlignment="1">
      <alignment horizontal="center" vertical="center" shrinkToFit="1"/>
    </xf>
    <xf numFmtId="0" fontId="70" fillId="0" borderId="0" xfId="0" applyFont="1" applyAlignment="1">
      <alignment horizontal="center"/>
    </xf>
    <xf numFmtId="0" fontId="81" fillId="0" borderId="0" xfId="250" applyFont="1" applyAlignment="1" applyProtection="1">
      <alignment horizontal="center" vertical="center"/>
    </xf>
    <xf numFmtId="0" fontId="3" fillId="84" borderId="0" xfId="251" applyFont="1" applyFill="1" applyAlignment="1" applyProtection="1">
      <alignment horizontal="center" vertical="center"/>
    </xf>
    <xf numFmtId="0" fontId="4" fillId="0" borderId="0" xfId="160" applyAlignment="1">
      <alignment vertical="center"/>
    </xf>
    <xf numFmtId="0" fontId="83" fillId="0" borderId="0" xfId="122" applyFont="1" applyAlignment="1">
      <alignment horizontal="center" vertical="center"/>
    </xf>
    <xf numFmtId="0" fontId="58" fillId="96" borderId="0" xfId="133" applyFont="1" applyFill="1" applyAlignment="1">
      <alignment horizontal="center" vertical="center"/>
    </xf>
    <xf numFmtId="0" fontId="55" fillId="81" borderId="0" xfId="250" applyFont="1" applyFill="1" applyAlignment="1" applyProtection="1">
      <alignment horizontal="center" vertical="center"/>
    </xf>
    <xf numFmtId="0" fontId="30" fillId="81" borderId="0" xfId="0" applyFont="1" applyFill="1" applyAlignment="1" applyProtection="1">
      <alignment horizontal="center" vertical="center"/>
      <protection locked="0"/>
    </xf>
    <xf numFmtId="0" fontId="22" fillId="0" borderId="0" xfId="254" applyProtection="1"/>
    <xf numFmtId="0" fontId="0" fillId="0" borderId="28" xfId="0" applyBorder="1"/>
    <xf numFmtId="0" fontId="0" fillId="119" borderId="30" xfId="0" applyFill="1" applyBorder="1"/>
    <xf numFmtId="0" fontId="55" fillId="55" borderId="0" xfId="250" applyFont="1" applyFill="1" applyAlignment="1" applyProtection="1">
      <alignment horizontal="center" vertical="center"/>
    </xf>
    <xf numFmtId="0" fontId="30" fillId="55" borderId="0" xfId="0" applyFont="1" applyFill="1" applyAlignment="1" applyProtection="1">
      <alignment horizontal="center" vertical="center"/>
      <protection locked="0"/>
    </xf>
    <xf numFmtId="0" fontId="84" fillId="0" borderId="0" xfId="160" applyFont="1" applyAlignment="1">
      <alignment horizontal="center" vertical="center"/>
    </xf>
    <xf numFmtId="0" fontId="53" fillId="85" borderId="37" xfId="0" applyFont="1" applyFill="1" applyBorder="1" applyAlignment="1">
      <alignment horizontal="center" vertical="center" shrinkToFit="1"/>
    </xf>
    <xf numFmtId="0" fontId="53" fillId="85" borderId="38" xfId="0" applyFont="1" applyFill="1" applyBorder="1" applyAlignment="1">
      <alignment horizontal="center" vertical="center" shrinkToFit="1"/>
    </xf>
    <xf numFmtId="0" fontId="0" fillId="0" borderId="29" xfId="0" applyBorder="1"/>
    <xf numFmtId="0" fontId="64" fillId="0" borderId="29" xfId="131" applyFont="1" applyBorder="1" applyAlignment="1">
      <alignment horizontal="center" vertical="center"/>
    </xf>
    <xf numFmtId="0" fontId="62" fillId="0" borderId="29" xfId="0" applyFont="1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0" fontId="60" fillId="96" borderId="0" xfId="133" applyFont="1" applyFill="1" applyAlignment="1">
      <alignment horizontal="center" vertical="center"/>
    </xf>
    <xf numFmtId="0" fontId="70" fillId="119" borderId="31" xfId="0" applyFont="1" applyFill="1" applyBorder="1" applyAlignment="1">
      <alignment horizontal="center"/>
    </xf>
    <xf numFmtId="0" fontId="85" fillId="35" borderId="27" xfId="131" applyFont="1" applyFill="1" applyBorder="1" applyAlignment="1">
      <alignment horizontal="center" vertical="center"/>
    </xf>
    <xf numFmtId="0" fontId="58" fillId="81" borderId="0" xfId="131" applyFont="1" applyFill="1" applyAlignment="1">
      <alignment horizontal="right" vertical="center"/>
    </xf>
    <xf numFmtId="0" fontId="53" fillId="120" borderId="38" xfId="0" applyFont="1" applyFill="1" applyBorder="1" applyAlignment="1">
      <alignment horizontal="center" vertical="center" shrinkToFit="1"/>
    </xf>
    <xf numFmtId="0" fontId="61" fillId="113" borderId="1" xfId="138" applyFont="1" applyFill="1" applyBorder="1" applyAlignment="1">
      <alignment horizontal="center" vertical="center" shrinkToFit="1"/>
    </xf>
    <xf numFmtId="0" fontId="64" fillId="0" borderId="31" xfId="131" applyFont="1" applyBorder="1" applyAlignment="1">
      <alignment horizontal="center" vertical="center"/>
    </xf>
    <xf numFmtId="0" fontId="64" fillId="0" borderId="0" xfId="131" applyFont="1" applyAlignment="1">
      <alignment horizontal="center" vertical="center"/>
    </xf>
    <xf numFmtId="0" fontId="48" fillId="0" borderId="0" xfId="131" applyFont="1" applyAlignment="1">
      <alignment horizontal="center" vertical="center"/>
    </xf>
    <xf numFmtId="0" fontId="62" fillId="0" borderId="27" xfId="0" applyFont="1" applyBorder="1" applyAlignment="1">
      <alignment horizontal="center" vertical="center"/>
    </xf>
    <xf numFmtId="0" fontId="64" fillId="121" borderId="0" xfId="131" applyFont="1" applyFill="1" applyAlignment="1">
      <alignment horizontal="center" vertical="center"/>
    </xf>
    <xf numFmtId="0" fontId="85" fillId="35" borderId="31" xfId="131" applyFont="1" applyFill="1" applyBorder="1" applyAlignment="1">
      <alignment horizontal="center" vertical="center"/>
    </xf>
    <xf numFmtId="0" fontId="30" fillId="81" borderId="27" xfId="0" applyFont="1" applyFill="1" applyBorder="1" applyAlignment="1" applyProtection="1">
      <alignment horizontal="center" vertical="center"/>
      <protection locked="0"/>
    </xf>
    <xf numFmtId="0" fontId="64" fillId="121" borderId="39" xfId="131" applyFont="1" applyFill="1" applyBorder="1" applyAlignment="1">
      <alignment horizontal="center" vertical="center"/>
    </xf>
    <xf numFmtId="0" fontId="79" fillId="84" borderId="0" xfId="0" applyFont="1" applyFill="1" applyAlignment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86" fillId="122" borderId="0" xfId="254" applyFont="1" applyFill="1" applyAlignment="1" applyProtection="1">
      <alignment horizontal="center" vertical="center"/>
    </xf>
    <xf numFmtId="0" fontId="86" fillId="84" borderId="0" xfId="254" applyFont="1" applyFill="1" applyAlignment="1" applyProtection="1">
      <alignment horizontal="center" vertical="center"/>
    </xf>
    <xf numFmtId="0" fontId="87" fillId="123" borderId="0" xfId="254" applyFont="1" applyFill="1" applyAlignment="1" applyProtection="1">
      <alignment horizontal="center" vertical="center"/>
    </xf>
    <xf numFmtId="0" fontId="48" fillId="0" borderId="31" xfId="131" applyFont="1" applyBorder="1" applyAlignment="1">
      <alignment horizontal="center" vertical="center"/>
    </xf>
    <xf numFmtId="0" fontId="80" fillId="124" borderId="1" xfId="138" applyFont="1" applyFill="1" applyBorder="1" applyAlignment="1">
      <alignment horizontal="center" vertical="center" shrinkToFit="1"/>
    </xf>
    <xf numFmtId="0" fontId="80" fillId="89" borderId="1" xfId="138" applyFont="1" applyFill="1" applyBorder="1" applyAlignment="1">
      <alignment horizontal="center" vertical="center" shrinkToFit="1"/>
    </xf>
    <xf numFmtId="0" fontId="88" fillId="125" borderId="15" xfId="0" applyFont="1" applyFill="1" applyBorder="1" applyAlignment="1">
      <alignment horizontal="center" vertical="center"/>
    </xf>
    <xf numFmtId="0" fontId="75" fillId="126" borderId="41" xfId="138" applyFont="1" applyFill="1" applyBorder="1" applyAlignment="1">
      <alignment horizontal="center" vertical="center" shrinkToFit="1"/>
    </xf>
    <xf numFmtId="0" fontId="75" fillId="126" borderId="1" xfId="138" applyFont="1" applyFill="1" applyBorder="1" applyAlignment="1">
      <alignment horizontal="center" vertical="center" shrinkToFit="1"/>
    </xf>
    <xf numFmtId="0" fontId="89" fillId="127" borderId="1" xfId="0" applyFont="1" applyFill="1" applyBorder="1" applyAlignment="1">
      <alignment horizontal="center" vertical="center"/>
    </xf>
    <xf numFmtId="0" fontId="88" fillId="125" borderId="1" xfId="0" applyFont="1" applyFill="1" applyBorder="1" applyAlignment="1">
      <alignment horizontal="center" vertical="center"/>
    </xf>
    <xf numFmtId="0" fontId="75" fillId="71" borderId="1" xfId="0" applyFont="1" applyFill="1" applyBorder="1" applyAlignment="1">
      <alignment horizontal="center" vertical="center"/>
    </xf>
    <xf numFmtId="0" fontId="75" fillId="71" borderId="15" xfId="0" applyFont="1" applyFill="1" applyBorder="1" applyAlignment="1">
      <alignment horizontal="center" vertical="center"/>
    </xf>
    <xf numFmtId="0" fontId="2" fillId="110" borderId="0" xfId="0" applyFont="1" applyFill="1"/>
    <xf numFmtId="0" fontId="73" fillId="128" borderId="41" xfId="250" applyFont="1" applyFill="1" applyBorder="1" applyAlignment="1" applyProtection="1">
      <alignment horizontal="center" vertical="center" shrinkToFit="1"/>
    </xf>
    <xf numFmtId="0" fontId="73" fillId="128" borderId="1" xfId="250" applyFont="1" applyFill="1" applyBorder="1" applyAlignment="1" applyProtection="1">
      <alignment horizontal="center" vertical="center" shrinkToFit="1"/>
    </xf>
    <xf numFmtId="0" fontId="34" fillId="71" borderId="15" xfId="0" applyFont="1" applyFill="1" applyBorder="1" applyAlignment="1">
      <alignment horizontal="center" vertical="center"/>
    </xf>
    <xf numFmtId="0" fontId="2" fillId="110" borderId="31" xfId="0" applyFont="1" applyFill="1" applyBorder="1"/>
    <xf numFmtId="0" fontId="44" fillId="66" borderId="1" xfId="253" applyFont="1" applyFill="1" applyBorder="1" applyAlignment="1" applyProtection="1">
      <alignment horizontal="center" vertical="center" shrinkToFit="1"/>
    </xf>
    <xf numFmtId="0" fontId="2" fillId="110" borderId="27" xfId="0" applyFont="1" applyFill="1" applyBorder="1"/>
    <xf numFmtId="0" fontId="43" fillId="65" borderId="41" xfId="0" applyFont="1" applyFill="1" applyBorder="1" applyAlignment="1">
      <alignment horizontal="center" vertical="center"/>
    </xf>
    <xf numFmtId="0" fontId="48" fillId="115" borderId="0" xfId="131" applyFont="1" applyFill="1" applyAlignment="1">
      <alignment horizontal="center" vertical="center"/>
    </xf>
    <xf numFmtId="0" fontId="80" fillId="60" borderId="1" xfId="138" applyFont="1" applyFill="1" applyBorder="1" applyAlignment="1">
      <alignment horizontal="center" vertical="center" shrinkToFit="1"/>
    </xf>
    <xf numFmtId="0" fontId="68" fillId="105" borderId="1" xfId="131" applyFont="1" applyFill="1" applyBorder="1" applyAlignment="1">
      <alignment horizontal="center"/>
    </xf>
    <xf numFmtId="0" fontId="78" fillId="129" borderId="1" xfId="142" applyFont="1" applyFill="1" applyBorder="1" applyAlignment="1" applyProtection="1">
      <alignment horizontal="center" vertical="center" shrinkToFit="1"/>
    </xf>
    <xf numFmtId="0" fontId="75" fillId="0" borderId="1" xfId="138" applyFont="1" applyBorder="1" applyAlignment="1">
      <alignment horizontal="center" vertical="center" shrinkToFit="1"/>
    </xf>
    <xf numFmtId="0" fontId="75" fillId="130" borderId="1" xfId="138" applyFont="1" applyFill="1" applyBorder="1" applyAlignment="1">
      <alignment horizontal="center" vertical="center" shrinkToFit="1"/>
    </xf>
    <xf numFmtId="0" fontId="75" fillId="131" borderId="15" xfId="138" applyFont="1" applyFill="1" applyBorder="1" applyAlignment="1">
      <alignment horizontal="center" vertical="center" shrinkToFit="1"/>
    </xf>
    <xf numFmtId="0" fontId="88" fillId="125" borderId="41" xfId="0" applyFont="1" applyFill="1" applyBorder="1" applyAlignment="1">
      <alignment horizontal="center" vertical="center"/>
    </xf>
    <xf numFmtId="0" fontId="80" fillId="132" borderId="1" xfId="138" applyFont="1" applyFill="1" applyBorder="1" applyAlignment="1">
      <alignment horizontal="center" vertical="center" shrinkToFit="1"/>
    </xf>
    <xf numFmtId="0" fontId="75" fillId="44" borderId="42" xfId="0" applyFont="1" applyFill="1" applyBorder="1" applyAlignment="1">
      <alignment horizontal="center" vertical="center"/>
    </xf>
    <xf numFmtId="0" fontId="75" fillId="44" borderId="43" xfId="0" applyFont="1" applyFill="1" applyBorder="1" applyAlignment="1">
      <alignment horizontal="center" vertical="center"/>
    </xf>
    <xf numFmtId="0" fontId="43" fillId="50" borderId="41" xfId="0" applyFont="1" applyFill="1" applyBorder="1" applyAlignment="1">
      <alignment horizontal="center" vertical="center"/>
    </xf>
    <xf numFmtId="0" fontId="90" fillId="129" borderId="1" xfId="142" applyFont="1" applyFill="1" applyBorder="1" applyAlignment="1" applyProtection="1">
      <alignment horizontal="center" vertical="center" shrinkToFit="1"/>
    </xf>
    <xf numFmtId="0" fontId="72" fillId="134" borderId="0" xfId="0" applyFont="1" applyFill="1" applyAlignment="1">
      <alignment horizontal="center"/>
    </xf>
    <xf numFmtId="0" fontId="30" fillId="81" borderId="0" xfId="131" applyFont="1" applyFill="1" applyAlignment="1">
      <alignment horizontal="center" vertical="center"/>
    </xf>
    <xf numFmtId="0" fontId="30" fillId="81" borderId="31" xfId="131" applyFont="1" applyFill="1" applyBorder="1" applyAlignment="1">
      <alignment horizontal="center" vertical="center"/>
    </xf>
    <xf numFmtId="0" fontId="30" fillId="81" borderId="27" xfId="131" applyFont="1" applyFill="1" applyBorder="1" applyAlignment="1">
      <alignment horizontal="center" vertical="center"/>
    </xf>
    <xf numFmtId="0" fontId="58" fillId="81" borderId="45" xfId="131" applyFont="1" applyFill="1" applyBorder="1" applyAlignment="1">
      <alignment horizontal="right" vertical="center"/>
    </xf>
    <xf numFmtId="0" fontId="53" fillId="135" borderId="21" xfId="0" applyFont="1" applyFill="1" applyBorder="1" applyAlignment="1">
      <alignment horizontal="center" vertical="center" shrinkToFit="1"/>
    </xf>
    <xf numFmtId="0" fontId="58" fillId="96" borderId="0" xfId="131" applyFont="1" applyFill="1" applyAlignment="1">
      <alignment horizontal="center" vertical="center"/>
    </xf>
    <xf numFmtId="0" fontId="53" fillId="136" borderId="0" xfId="0" applyFont="1" applyFill="1" applyAlignment="1">
      <alignment horizontal="center" vertical="center" shrinkToFit="1"/>
    </xf>
    <xf numFmtId="0" fontId="92" fillId="52" borderId="1" xfId="0" applyFont="1" applyFill="1" applyBorder="1" applyAlignment="1">
      <alignment horizontal="center"/>
    </xf>
    <xf numFmtId="0" fontId="58" fillId="81" borderId="0" xfId="131" applyFont="1" applyFill="1" applyAlignment="1">
      <alignment horizontal="center" vertical="center"/>
    </xf>
    <xf numFmtId="0" fontId="0" fillId="119" borderId="24" xfId="0" applyFill="1" applyBorder="1"/>
    <xf numFmtId="0" fontId="30" fillId="81" borderId="25" xfId="0" applyFont="1" applyFill="1" applyBorder="1" applyAlignment="1" applyProtection="1">
      <alignment horizontal="center" vertical="center"/>
      <protection locked="0"/>
    </xf>
    <xf numFmtId="0" fontId="58" fillId="81" borderId="25" xfId="131" applyFont="1" applyFill="1" applyBorder="1" applyAlignment="1">
      <alignment horizontal="center" vertical="center"/>
    </xf>
    <xf numFmtId="0" fontId="55" fillId="81" borderId="25" xfId="250" applyFont="1" applyFill="1" applyBorder="1" applyAlignment="1" applyProtection="1">
      <alignment horizontal="center" vertical="center"/>
    </xf>
    <xf numFmtId="0" fontId="0" fillId="119" borderId="33" xfId="0" applyFill="1" applyBorder="1"/>
    <xf numFmtId="0" fontId="58" fillId="55" borderId="0" xfId="131" applyFont="1" applyFill="1" applyAlignment="1">
      <alignment horizontal="center" vertical="center"/>
    </xf>
    <xf numFmtId="0" fontId="63" fillId="0" borderId="0" xfId="250" applyFont="1" applyAlignment="1" applyProtection="1">
      <alignment horizontal="center" vertical="center"/>
    </xf>
    <xf numFmtId="0" fontId="11" fillId="0" borderId="31" xfId="133" applyBorder="1" applyProtection="1">
      <protection locked="0"/>
    </xf>
    <xf numFmtId="0" fontId="79" fillId="84" borderId="0" xfId="133" applyFont="1" applyFill="1" applyAlignment="1">
      <alignment horizontal="center"/>
    </xf>
    <xf numFmtId="0" fontId="11" fillId="0" borderId="0" xfId="133" applyAlignment="1">
      <alignment horizontal="center" vertical="center"/>
    </xf>
    <xf numFmtId="0" fontId="58" fillId="84" borderId="0" xfId="131" applyFont="1" applyFill="1" applyAlignment="1">
      <alignment horizontal="left" vertical="center"/>
    </xf>
    <xf numFmtId="0" fontId="77" fillId="137" borderId="0" xfId="0" applyFont="1" applyFill="1" applyAlignment="1">
      <alignment horizontal="center"/>
    </xf>
    <xf numFmtId="0" fontId="44" fillId="138" borderId="0" xfId="255" applyFont="1" applyFill="1" applyAlignment="1" applyProtection="1">
      <alignment horizontal="center" vertical="center" shrinkToFit="1"/>
    </xf>
    <xf numFmtId="0" fontId="44" fillId="35" borderId="48" xfId="131" applyFont="1" applyFill="1" applyBorder="1" applyAlignment="1">
      <alignment horizontal="center" vertical="center"/>
    </xf>
    <xf numFmtId="0" fontId="0" fillId="0" borderId="27" xfId="0" applyBorder="1"/>
    <xf numFmtId="0" fontId="70" fillId="0" borderId="31" xfId="133" applyFont="1" applyBorder="1" applyAlignment="1">
      <alignment vertical="center"/>
    </xf>
    <xf numFmtId="0" fontId="58" fillId="0" borderId="24" xfId="131" applyFont="1" applyBorder="1" applyAlignment="1">
      <alignment horizontal="center" vertical="center"/>
    </xf>
    <xf numFmtId="0" fontId="58" fillId="139" borderId="49" xfId="133" applyFont="1" applyFill="1" applyBorder="1" applyAlignment="1">
      <alignment horizontal="center" vertical="center"/>
    </xf>
    <xf numFmtId="0" fontId="11" fillId="0" borderId="0" xfId="133" applyProtection="1">
      <protection locked="0"/>
    </xf>
    <xf numFmtId="0" fontId="93" fillId="140" borderId="0" xfId="254" applyFont="1" applyFill="1" applyAlignment="1" applyProtection="1">
      <alignment horizontal="center" vertical="center"/>
    </xf>
    <xf numFmtId="0" fontId="55" fillId="141" borderId="0" xfId="254" applyFont="1" applyFill="1" applyAlignment="1" applyProtection="1">
      <alignment horizontal="center"/>
    </xf>
    <xf numFmtId="0" fontId="94" fillId="81" borderId="0" xfId="251" applyFont="1" applyFill="1" applyAlignment="1" applyProtection="1">
      <alignment horizontal="right"/>
    </xf>
    <xf numFmtId="0" fontId="96" fillId="0" borderId="0" xfId="119" applyFont="1" applyAlignment="1">
      <alignment horizontal="center" vertical="center"/>
    </xf>
    <xf numFmtId="0" fontId="58" fillId="139" borderId="50" xfId="133" applyFont="1" applyFill="1" applyBorder="1" applyAlignment="1">
      <alignment horizontal="center" vertical="center"/>
    </xf>
    <xf numFmtId="0" fontId="58" fillId="139" borderId="51" xfId="133" applyFont="1" applyFill="1" applyBorder="1" applyAlignment="1">
      <alignment horizontal="center" vertical="center"/>
    </xf>
    <xf numFmtId="0" fontId="68" fillId="105" borderId="52" xfId="131" applyFont="1" applyFill="1" applyBorder="1" applyAlignment="1">
      <alignment horizontal="center"/>
    </xf>
    <xf numFmtId="0" fontId="77" fillId="117" borderId="53" xfId="0" applyFont="1" applyFill="1" applyBorder="1" applyAlignment="1">
      <alignment horizontal="center"/>
    </xf>
    <xf numFmtId="0" fontId="77" fillId="117" borderId="52" xfId="0" applyFont="1" applyFill="1" applyBorder="1" applyAlignment="1">
      <alignment horizontal="center"/>
    </xf>
    <xf numFmtId="0" fontId="80" fillId="84" borderId="0" xfId="138" applyFont="1" applyFill="1" applyAlignment="1">
      <alignment horizontal="center" vertical="center" shrinkToFit="1"/>
    </xf>
    <xf numFmtId="0" fontId="94" fillId="81" borderId="0" xfId="251" applyFont="1" applyFill="1" applyProtection="1"/>
    <xf numFmtId="0" fontId="34" fillId="67" borderId="54" xfId="0" applyFont="1" applyFill="1" applyBorder="1" applyAlignment="1">
      <alignment horizontal="center" vertical="center"/>
    </xf>
    <xf numFmtId="0" fontId="0" fillId="0" borderId="31" xfId="0" applyBorder="1"/>
    <xf numFmtId="0" fontId="92" fillId="52" borderId="52" xfId="0" applyFont="1" applyFill="1" applyBorder="1" applyAlignment="1">
      <alignment horizontal="center"/>
    </xf>
    <xf numFmtId="0" fontId="77" fillId="61" borderId="55" xfId="131" applyFont="1" applyFill="1" applyBorder="1" applyAlignment="1">
      <alignment horizontal="center"/>
    </xf>
    <xf numFmtId="0" fontId="61" fillId="103" borderId="52" xfId="138" applyFont="1" applyFill="1" applyBorder="1" applyAlignment="1">
      <alignment horizontal="center" vertical="center" shrinkToFit="1"/>
    </xf>
    <xf numFmtId="0" fontId="68" fillId="105" borderId="56" xfId="131" applyFont="1" applyFill="1" applyBorder="1" applyAlignment="1">
      <alignment horizontal="center"/>
    </xf>
    <xf numFmtId="0" fontId="11" fillId="0" borderId="27" xfId="122" applyBorder="1"/>
    <xf numFmtId="0" fontId="55" fillId="81" borderId="0" xfId="251" applyFont="1" applyFill="1" applyAlignment="1" applyProtection="1">
      <alignment horizontal="center" vertical="center"/>
    </xf>
    <xf numFmtId="0" fontId="85" fillId="35" borderId="0" xfId="131" applyFont="1" applyFill="1" applyAlignment="1">
      <alignment vertical="center"/>
    </xf>
    <xf numFmtId="0" fontId="62" fillId="0" borderId="31" xfId="0" applyFont="1" applyBorder="1" applyAlignment="1">
      <alignment horizontal="center" vertical="center"/>
    </xf>
    <xf numFmtId="0" fontId="97" fillId="0" borderId="27" xfId="122" applyFont="1" applyBorder="1" applyAlignment="1">
      <alignment horizontal="center" vertical="center"/>
    </xf>
    <xf numFmtId="0" fontId="58" fillId="139" borderId="51" xfId="131" applyFont="1" applyFill="1" applyBorder="1" applyAlignment="1">
      <alignment horizontal="center" vertical="center"/>
    </xf>
    <xf numFmtId="0" fontId="64" fillId="142" borderId="0" xfId="251" applyFont="1" applyFill="1" applyAlignment="1" applyProtection="1">
      <alignment horizontal="center" vertical="center"/>
    </xf>
    <xf numFmtId="0" fontId="36" fillId="39" borderId="54" xfId="0" applyFont="1" applyFill="1" applyBorder="1" applyAlignment="1">
      <alignment horizontal="center" vertical="center"/>
    </xf>
    <xf numFmtId="0" fontId="93" fillId="143" borderId="0" xfId="254" applyFont="1" applyFill="1" applyAlignment="1" applyProtection="1">
      <alignment horizontal="center" vertical="center"/>
    </xf>
    <xf numFmtId="0" fontId="0" fillId="84" borderId="0" xfId="0" applyFill="1" applyAlignment="1">
      <alignment horizontal="left"/>
    </xf>
    <xf numFmtId="0" fontId="48" fillId="115" borderId="0" xfId="251" applyFont="1" applyFill="1" applyAlignment="1" applyProtection="1">
      <alignment horizontal="center" vertical="center"/>
    </xf>
    <xf numFmtId="0" fontId="73" fillId="128" borderId="52" xfId="251" applyFont="1" applyFill="1" applyBorder="1" applyAlignment="1" applyProtection="1">
      <alignment horizontal="center" vertical="center" shrinkToFit="1"/>
    </xf>
    <xf numFmtId="0" fontId="34" fillId="71" borderId="52" xfId="0" applyFont="1" applyFill="1" applyBorder="1" applyAlignment="1">
      <alignment horizontal="center" vertical="center"/>
    </xf>
    <xf numFmtId="0" fontId="34" fillId="48" borderId="52" xfId="0" applyFont="1" applyFill="1" applyBorder="1" applyAlignment="1">
      <alignment horizontal="center" vertical="center"/>
    </xf>
    <xf numFmtId="0" fontId="55" fillId="0" borderId="0" xfId="122" applyFont="1" applyAlignment="1">
      <alignment horizontal="center" vertical="center"/>
    </xf>
    <xf numFmtId="0" fontId="58" fillId="84" borderId="0" xfId="131" applyFont="1" applyFill="1" applyAlignment="1">
      <alignment horizontal="right" vertical="center"/>
    </xf>
    <xf numFmtId="0" fontId="68" fillId="105" borderId="2" xfId="131" applyFont="1" applyFill="1" applyBorder="1" applyAlignment="1">
      <alignment horizontal="center"/>
    </xf>
    <xf numFmtId="0" fontId="98" fillId="144" borderId="19" xfId="0" applyFont="1" applyFill="1" applyBorder="1" applyAlignment="1">
      <alignment horizontal="center"/>
    </xf>
    <xf numFmtId="0" fontId="98" fillId="144" borderId="21" xfId="0" applyFont="1" applyFill="1" applyBorder="1" applyAlignment="1">
      <alignment horizontal="center"/>
    </xf>
    <xf numFmtId="0" fontId="43" fillId="65" borderId="52" xfId="0" applyFont="1" applyFill="1" applyBorder="1" applyAlignment="1">
      <alignment horizontal="center" vertical="center"/>
    </xf>
    <xf numFmtId="0" fontId="38" fillId="64" borderId="52" xfId="0" applyFont="1" applyFill="1" applyBorder="1" applyAlignment="1">
      <alignment horizontal="center" vertical="center"/>
    </xf>
    <xf numFmtId="0" fontId="73" fillId="108" borderId="54" xfId="253" applyFont="1" applyFill="1" applyBorder="1" applyAlignment="1">
      <alignment horizontal="center" vertical="center" shrinkToFit="1"/>
      <protection locked="0"/>
    </xf>
    <xf numFmtId="0" fontId="58" fillId="0" borderId="24" xfId="252" applyFont="1" applyBorder="1" applyAlignment="1" applyProtection="1">
      <alignment horizontal="center" vertical="center"/>
    </xf>
    <xf numFmtId="0" fontId="22" fillId="0" borderId="25" xfId="254" applyBorder="1" applyAlignment="1" applyProtection="1">
      <alignment horizontal="center" vertical="center"/>
    </xf>
    <xf numFmtId="0" fontId="22" fillId="0" borderId="25" xfId="160" applyFont="1" applyBorder="1" applyAlignment="1">
      <alignment horizontal="center" vertical="center"/>
    </xf>
    <xf numFmtId="0" fontId="63" fillId="0" borderId="25" xfId="254" applyFont="1" applyBorder="1" applyAlignment="1" applyProtection="1">
      <alignment horizontal="center"/>
    </xf>
    <xf numFmtId="0" fontId="4" fillId="0" borderId="24" xfId="160" applyBorder="1" applyAlignment="1">
      <alignment vertical="center"/>
    </xf>
    <xf numFmtId="0" fontId="22" fillId="0" borderId="25" xfId="160" applyFont="1" applyBorder="1" applyAlignment="1" applyProtection="1">
      <protection locked="0"/>
    </xf>
    <xf numFmtId="0" fontId="79" fillId="50" borderId="53" xfId="131" applyFont="1" applyFill="1" applyBorder="1" applyAlignment="1">
      <alignment horizontal="center"/>
    </xf>
    <xf numFmtId="0" fontId="78" fillId="145" borderId="0" xfId="120" applyFont="1" applyFill="1" applyAlignment="1" applyProtection="1">
      <alignment horizontal="center" vertical="center"/>
    </xf>
    <xf numFmtId="0" fontId="22" fillId="0" borderId="0" xfId="160" applyFont="1" applyAlignment="1">
      <alignment horizontal="center" vertical="center"/>
    </xf>
    <xf numFmtId="0" fontId="0" fillId="0" borderId="30" xfId="0" applyBorder="1"/>
    <xf numFmtId="0" fontId="0" fillId="0" borderId="0" xfId="0" applyProtection="1">
      <protection locked="0"/>
    </xf>
    <xf numFmtId="0" fontId="96" fillId="0" borderId="0" xfId="120" applyFont="1" applyAlignment="1" applyProtection="1">
      <alignment horizontal="center" vertical="center"/>
    </xf>
    <xf numFmtId="0" fontId="58" fillId="84" borderId="0" xfId="250" applyFont="1" applyFill="1" applyAlignment="1" applyProtection="1">
      <alignment horizontal="center" vertical="center"/>
    </xf>
    <xf numFmtId="0" fontId="34" fillId="38" borderId="54" xfId="0" applyFont="1" applyFill="1" applyBorder="1" applyAlignment="1">
      <alignment horizontal="center" vertical="center"/>
    </xf>
    <xf numFmtId="0" fontId="22" fillId="0" borderId="0" xfId="254" applyAlignment="1" applyProtection="1">
      <alignment horizontal="center" vertical="center"/>
    </xf>
    <xf numFmtId="0" fontId="0" fillId="84" borderId="0" xfId="0" applyFill="1" applyAlignment="1" applyProtection="1">
      <alignment horizontal="left" vertical="center"/>
      <protection locked="0"/>
    </xf>
    <xf numFmtId="0" fontId="0" fillId="84" borderId="0" xfId="0" applyFill="1" applyAlignment="1">
      <alignment horizontal="center" vertical="center"/>
    </xf>
    <xf numFmtId="0" fontId="93" fillId="84" borderId="0" xfId="254" applyFont="1" applyFill="1" applyAlignment="1" applyProtection="1">
      <alignment horizontal="center" vertical="center"/>
    </xf>
    <xf numFmtId="0" fontId="68" fillId="146" borderId="0" xfId="131" applyFont="1" applyFill="1" applyAlignment="1">
      <alignment horizontal="center"/>
    </xf>
    <xf numFmtId="0" fontId="34" fillId="46" borderId="54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1" fillId="59" borderId="0" xfId="135" applyFont="1" applyFill="1" applyAlignment="1">
      <alignment horizontal="center" vertical="center"/>
    </xf>
    <xf numFmtId="0" fontId="102" fillId="50" borderId="0" xfId="254" applyFont="1" applyFill="1" applyAlignment="1" applyProtection="1">
      <alignment horizontal="center" vertical="center"/>
    </xf>
    <xf numFmtId="0" fontId="80" fillId="147" borderId="2" xfId="138" applyFont="1" applyFill="1" applyBorder="1" applyAlignment="1">
      <alignment horizontal="center" vertical="center" shrinkToFit="1"/>
    </xf>
    <xf numFmtId="0" fontId="4" fillId="104" borderId="0" xfId="160" applyFill="1" applyAlignment="1">
      <alignment vertical="center"/>
    </xf>
    <xf numFmtId="0" fontId="58" fillId="0" borderId="0" xfId="252" applyFont="1" applyAlignment="1" applyProtection="1">
      <alignment horizontal="center" vertical="center"/>
    </xf>
    <xf numFmtId="0" fontId="58" fillId="0" borderId="0" xfId="251" applyFont="1" applyAlignment="1" applyProtection="1">
      <alignment horizontal="center" vertical="center"/>
    </xf>
    <xf numFmtId="0" fontId="0" fillId="0" borderId="25" xfId="0" applyBorder="1"/>
    <xf numFmtId="0" fontId="50" fillId="84" borderId="0" xfId="0" applyFont="1" applyFill="1" applyAlignment="1">
      <alignment vertical="center"/>
    </xf>
    <xf numFmtId="0" fontId="58" fillId="96" borderId="33" xfId="133" applyFont="1" applyFill="1" applyBorder="1" applyAlignment="1">
      <alignment horizontal="center" vertical="center"/>
    </xf>
    <xf numFmtId="0" fontId="58" fillId="0" borderId="25" xfId="122" applyFont="1" applyBorder="1" applyAlignment="1">
      <alignment horizontal="center" vertical="center"/>
    </xf>
    <xf numFmtId="0" fontId="55" fillId="0" borderId="27" xfId="122" applyFont="1" applyBorder="1" applyAlignment="1">
      <alignment horizontal="center" vertical="center"/>
    </xf>
    <xf numFmtId="0" fontId="55" fillId="0" borderId="0" xfId="254" applyFont="1" applyAlignment="1" applyProtection="1">
      <alignment horizontal="left"/>
    </xf>
    <xf numFmtId="0" fontId="103" fillId="84" borderId="0" xfId="254" applyFont="1" applyFill="1" applyAlignment="1" applyProtection="1">
      <alignment vertical="center"/>
    </xf>
    <xf numFmtId="0" fontId="58" fillId="0" borderId="29" xfId="131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8" fillId="96" borderId="29" xfId="133" applyFont="1" applyFill="1" applyBorder="1" applyAlignment="1">
      <alignment horizontal="center" vertical="center"/>
    </xf>
    <xf numFmtId="0" fontId="58" fillId="0" borderId="29" xfId="122" applyFont="1" applyBorder="1" applyAlignment="1">
      <alignment horizontal="center" vertical="center"/>
    </xf>
    <xf numFmtId="0" fontId="58" fillId="0" borderId="29" xfId="133" applyFont="1" applyBorder="1" applyAlignment="1">
      <alignment horizontal="center" vertical="center"/>
    </xf>
    <xf numFmtId="0" fontId="58" fillId="0" borderId="30" xfId="133" applyFont="1" applyBorder="1" applyAlignment="1">
      <alignment horizontal="center" vertical="center"/>
    </xf>
    <xf numFmtId="0" fontId="69" fillId="0" borderId="27" xfId="133" applyFont="1" applyBorder="1"/>
    <xf numFmtId="0" fontId="58" fillId="0" borderId="0" xfId="252" applyFont="1" applyAlignment="1" applyProtection="1">
      <alignment horizontal="left" vertical="center"/>
    </xf>
    <xf numFmtId="0" fontId="58" fillId="0" borderId="0" xfId="252" applyFont="1" applyAlignment="1" applyProtection="1">
      <alignment horizontal="right" vertical="center"/>
    </xf>
    <xf numFmtId="0" fontId="55" fillId="0" borderId="0" xfId="254" applyFont="1" applyAlignment="1">
      <alignment horizontal="right" vertical="center"/>
      <protection locked="0"/>
    </xf>
    <xf numFmtId="0" fontId="79" fillId="0" borderId="0" xfId="0" applyFont="1" applyAlignment="1">
      <alignment horizontal="left" vertical="center"/>
    </xf>
    <xf numFmtId="0" fontId="99" fillId="0" borderId="0" xfId="133" applyFont="1" applyAlignment="1">
      <alignment horizontal="center" vertical="center"/>
    </xf>
    <xf numFmtId="0" fontId="58" fillId="0" borderId="0" xfId="122" applyFont="1" applyAlignment="1">
      <alignment horizontal="center" vertical="center"/>
    </xf>
    <xf numFmtId="0" fontId="64" fillId="84" borderId="0" xfId="133" applyFont="1" applyFill="1" applyAlignment="1">
      <alignment vertical="center"/>
    </xf>
    <xf numFmtId="0" fontId="58" fillId="0" borderId="27" xfId="133" applyFont="1" applyBorder="1" applyAlignment="1">
      <alignment horizontal="center" vertical="center"/>
    </xf>
    <xf numFmtId="0" fontId="104" fillId="0" borderId="0" xfId="133" applyFont="1" applyAlignment="1">
      <alignment vertical="center"/>
    </xf>
    <xf numFmtId="0" fontId="11" fillId="0" borderId="0" xfId="133" applyAlignment="1" applyProtection="1">
      <alignment horizontal="left" vertical="center"/>
      <protection locked="0"/>
    </xf>
    <xf numFmtId="0" fontId="94" fillId="0" borderId="0" xfId="133" applyFont="1" applyAlignment="1">
      <alignment horizontal="center"/>
    </xf>
    <xf numFmtId="0" fontId="58" fillId="0" borderId="31" xfId="133" applyFont="1" applyBorder="1" applyAlignment="1">
      <alignment horizontal="center" vertical="center"/>
    </xf>
    <xf numFmtId="0" fontId="105" fillId="81" borderId="0" xfId="119" applyFont="1" applyFill="1" applyAlignment="1">
      <alignment horizontal="center" vertical="center"/>
    </xf>
    <xf numFmtId="0" fontId="48" fillId="102" borderId="0" xfId="131" applyFont="1" applyFill="1" applyAlignment="1">
      <alignment horizontal="center" vertical="center"/>
    </xf>
    <xf numFmtId="0" fontId="22" fillId="81" borderId="0" xfId="250" applyFill="1" applyProtection="1"/>
    <xf numFmtId="0" fontId="79" fillId="0" borderId="0" xfId="0" applyFont="1" applyAlignment="1">
      <alignment horizontal="right" vertical="center"/>
    </xf>
    <xf numFmtId="0" fontId="22" fillId="0" borderId="0" xfId="250" applyProtection="1"/>
    <xf numFmtId="0" fontId="22" fillId="0" borderId="0" xfId="250" applyAlignment="1">
      <alignment horizontal="left" vertical="center"/>
      <protection locked="0"/>
    </xf>
    <xf numFmtId="0" fontId="94" fillId="0" borderId="0" xfId="250" applyFont="1" applyAlignment="1" applyProtection="1">
      <alignment horizontal="center"/>
    </xf>
    <xf numFmtId="0" fontId="48" fillId="102" borderId="57" xfId="131" applyFont="1" applyFill="1" applyBorder="1" applyAlignment="1">
      <alignment horizontal="center" vertical="center"/>
    </xf>
    <xf numFmtId="0" fontId="49" fillId="52" borderId="52" xfId="0" applyFont="1" applyFill="1" applyBorder="1" applyAlignment="1">
      <alignment horizontal="center" vertical="center"/>
    </xf>
    <xf numFmtId="0" fontId="34" fillId="36" borderId="52" xfId="0" applyFont="1" applyFill="1" applyBorder="1" applyAlignment="1">
      <alignment horizontal="center" vertical="center"/>
    </xf>
    <xf numFmtId="0" fontId="22" fillId="0" borderId="0" xfId="250" applyAlignment="1" applyProtection="1">
      <alignment horizontal="center" vertical="center"/>
    </xf>
    <xf numFmtId="0" fontId="58" fillId="96" borderId="24" xfId="133" applyFont="1" applyFill="1" applyBorder="1" applyAlignment="1">
      <alignment horizontal="center" vertical="center"/>
    </xf>
    <xf numFmtId="0" fontId="22" fillId="81" borderId="45" xfId="250" applyFill="1" applyBorder="1" applyProtection="1"/>
    <xf numFmtId="0" fontId="58" fillId="96" borderId="58" xfId="250" applyFont="1" applyFill="1" applyBorder="1" applyAlignment="1" applyProtection="1">
      <alignment horizontal="center" vertical="center"/>
    </xf>
    <xf numFmtId="0" fontId="58" fillId="0" borderId="59" xfId="250" applyFont="1" applyBorder="1" applyAlignment="1" applyProtection="1">
      <alignment horizontal="center" vertical="center"/>
    </xf>
    <xf numFmtId="0" fontId="99" fillId="0" borderId="0" xfId="133" applyFont="1" applyAlignment="1">
      <alignment horizontal="left" vertical="center"/>
    </xf>
    <xf numFmtId="0" fontId="58" fillId="96" borderId="0" xfId="250" applyFont="1" applyFill="1" applyAlignment="1" applyProtection="1">
      <alignment horizontal="center" vertical="center"/>
    </xf>
    <xf numFmtId="0" fontId="103" fillId="35" borderId="0" xfId="254" applyFont="1" applyFill="1" applyAlignment="1" applyProtection="1">
      <alignment vertical="center"/>
    </xf>
    <xf numFmtId="0" fontId="103" fillId="0" borderId="0" xfId="254" applyFont="1" applyAlignment="1" applyProtection="1">
      <alignment vertical="center"/>
    </xf>
    <xf numFmtId="0" fontId="22" fillId="0" borderId="31" xfId="0" applyFont="1" applyBorder="1"/>
    <xf numFmtId="0" fontId="58" fillId="0" borderId="27" xfId="133" applyFont="1" applyBorder="1"/>
    <xf numFmtId="0" fontId="58" fillId="137" borderId="0" xfId="252" applyFont="1" applyFill="1" applyAlignment="1" applyProtection="1">
      <alignment horizontal="left" vertical="center"/>
    </xf>
    <xf numFmtId="0" fontId="68" fillId="105" borderId="74" xfId="131" applyFont="1" applyFill="1" applyBorder="1" applyAlignment="1">
      <alignment horizontal="center"/>
    </xf>
    <xf numFmtId="0" fontId="0" fillId="137" borderId="0" xfId="0" applyFill="1"/>
    <xf numFmtId="0" fontId="55" fillId="137" borderId="0" xfId="254" applyFont="1" applyFill="1" applyAlignment="1" applyProtection="1">
      <alignment horizontal="left"/>
    </xf>
    <xf numFmtId="0" fontId="67" fillId="79" borderId="74" xfId="131" applyFont="1" applyFill="1" applyBorder="1" applyAlignment="1">
      <alignment horizontal="center"/>
    </xf>
    <xf numFmtId="0" fontId="22" fillId="0" borderId="29" xfId="0" applyFont="1" applyBorder="1" applyProtection="1">
      <protection locked="0"/>
    </xf>
    <xf numFmtId="0" fontId="11" fillId="0" borderId="0" xfId="0" applyFont="1" applyAlignment="1">
      <alignment horizontal="left"/>
    </xf>
    <xf numFmtId="0" fontId="11" fillId="0" borderId="0" xfId="122" applyProtection="1">
      <protection locked="0"/>
    </xf>
    <xf numFmtId="0" fontId="22" fillId="0" borderId="0" xfId="254">
      <protection locked="0"/>
    </xf>
    <xf numFmtId="0" fontId="11" fillId="0" borderId="0" xfId="122" applyAlignment="1" applyProtection="1">
      <alignment horizontal="left" vertical="center"/>
      <protection locked="0"/>
    </xf>
    <xf numFmtId="0" fontId="95" fillId="84" borderId="0" xfId="252" applyFont="1" applyFill="1" applyAlignment="1" applyProtection="1">
      <alignment vertical="center"/>
    </xf>
    <xf numFmtId="0" fontId="77" fillId="117" borderId="74" xfId="0" applyFont="1" applyFill="1" applyBorder="1" applyAlignment="1">
      <alignment horizontal="center"/>
    </xf>
    <xf numFmtId="0" fontId="95" fillId="0" borderId="0" xfId="252" applyFont="1" applyAlignment="1" applyProtection="1">
      <alignment vertical="center"/>
    </xf>
    <xf numFmtId="0" fontId="55" fillId="0" borderId="0" xfId="254" applyFont="1" applyAlignment="1">
      <alignment horizontal="center" vertical="center"/>
      <protection locked="0"/>
    </xf>
    <xf numFmtId="0" fontId="22" fillId="142" borderId="0" xfId="0" applyFont="1" applyFill="1"/>
    <xf numFmtId="0" fontId="64" fillId="142" borderId="0" xfId="250" applyFont="1" applyFill="1" applyAlignment="1" applyProtection="1">
      <alignment horizontal="center" vertical="center"/>
    </xf>
    <xf numFmtId="0" fontId="49" fillId="98" borderId="74" xfId="150" applyFont="1" applyFill="1" applyBorder="1" applyAlignment="1">
      <alignment horizontal="center" vertical="center" shrinkToFit="1"/>
    </xf>
    <xf numFmtId="0" fontId="43" fillId="65" borderId="74" xfId="0" applyFont="1" applyFill="1" applyBorder="1" applyAlignment="1">
      <alignment horizontal="center" vertical="center"/>
    </xf>
    <xf numFmtId="0" fontId="34" fillId="71" borderId="74" xfId="0" applyFont="1" applyFill="1" applyBorder="1" applyAlignment="1">
      <alignment horizontal="center" vertical="center"/>
    </xf>
    <xf numFmtId="0" fontId="55" fillId="141" borderId="31" xfId="254" applyFont="1" applyFill="1" applyBorder="1" applyAlignment="1" applyProtection="1">
      <alignment horizontal="center"/>
    </xf>
    <xf numFmtId="0" fontId="4" fillId="0" borderId="0" xfId="160" applyAlignment="1">
      <alignment horizontal="left" vertical="center"/>
    </xf>
    <xf numFmtId="0" fontId="106" fillId="0" borderId="0" xfId="254" applyFont="1">
      <protection locked="0"/>
    </xf>
    <xf numFmtId="0" fontId="9" fillId="0" borderId="0" xfId="254" applyFont="1">
      <protection locked="0"/>
    </xf>
    <xf numFmtId="0" fontId="55" fillId="141" borderId="75" xfId="254" applyFont="1" applyFill="1" applyBorder="1" applyAlignment="1" applyProtection="1">
      <alignment horizontal="center"/>
    </xf>
    <xf numFmtId="0" fontId="22" fillId="0" borderId="25" xfId="254" applyBorder="1">
      <protection locked="0"/>
    </xf>
    <xf numFmtId="0" fontId="91" fillId="0" borderId="25" xfId="160" applyFont="1" applyBorder="1" applyAlignment="1">
      <alignment vertical="center"/>
    </xf>
    <xf numFmtId="0" fontId="91" fillId="0" borderId="76" xfId="160" applyFont="1" applyBorder="1" applyAlignment="1">
      <alignment vertical="center"/>
    </xf>
    <xf numFmtId="0" fontId="91" fillId="0" borderId="77" xfId="160" applyFont="1" applyBorder="1" applyAlignment="1">
      <alignment vertical="center"/>
    </xf>
    <xf numFmtId="0" fontId="106" fillId="0" borderId="25" xfId="254" applyFont="1" applyBorder="1">
      <protection locked="0"/>
    </xf>
    <xf numFmtId="0" fontId="30" fillId="0" borderId="0" xfId="122" applyFont="1" applyProtection="1">
      <protection locked="0"/>
    </xf>
    <xf numFmtId="0" fontId="11" fillId="0" borderId="29" xfId="122" quotePrefix="1" applyBorder="1" applyProtection="1">
      <protection locked="0"/>
    </xf>
    <xf numFmtId="0" fontId="11" fillId="0" borderId="29" xfId="122" applyBorder="1"/>
    <xf numFmtId="0" fontId="33" fillId="0" borderId="0" xfId="122" applyFont="1" applyProtection="1">
      <protection locked="0"/>
    </xf>
    <xf numFmtId="0" fontId="11" fillId="0" borderId="0" xfId="122" quotePrefix="1" applyProtection="1">
      <protection locked="0"/>
    </xf>
    <xf numFmtId="0" fontId="33" fillId="0" borderId="0" xfId="0" applyFont="1"/>
    <xf numFmtId="0" fontId="111" fillId="0" borderId="0" xfId="0" applyFont="1" applyAlignment="1">
      <alignment horizontal="center" vertical="center"/>
    </xf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52" fillId="0" borderId="0" xfId="0" applyFont="1" applyAlignment="1">
      <alignment horizontal="left" vertical="top" wrapText="1"/>
    </xf>
    <xf numFmtId="0" fontId="116" fillId="84" borderId="0" xfId="138" applyFont="1" applyFill="1" applyAlignment="1">
      <alignment horizontal="center" vertical="center" shrinkToFit="1"/>
    </xf>
    <xf numFmtId="170" fontId="115" fillId="0" borderId="74" xfId="0" applyNumberFormat="1" applyFont="1" applyBorder="1" applyAlignment="1">
      <alignment horizontal="center" vertical="center" wrapText="1"/>
    </xf>
    <xf numFmtId="14" fontId="110" fillId="61" borderId="74" xfId="0" applyNumberFormat="1" applyFont="1" applyFill="1" applyBorder="1" applyAlignment="1" applyProtection="1">
      <alignment horizontal="center" vertical="center" wrapText="1"/>
      <protection locked="0"/>
    </xf>
    <xf numFmtId="0" fontId="110" fillId="61" borderId="74" xfId="0" applyFont="1" applyFill="1" applyBorder="1" applyAlignment="1" applyProtection="1">
      <alignment horizontal="center" vertical="center" wrapText="1"/>
      <protection locked="0"/>
    </xf>
    <xf numFmtId="0" fontId="49" fillId="84" borderId="0" xfId="138" applyFont="1" applyFill="1" applyAlignment="1">
      <alignment vertical="center" shrinkToFit="1"/>
    </xf>
    <xf numFmtId="170" fontId="118" fillId="84" borderId="78" xfId="138" applyNumberFormat="1" applyFont="1" applyFill="1" applyBorder="1" applyAlignment="1">
      <alignment horizontal="center" vertical="center" shrinkToFit="1"/>
    </xf>
    <xf numFmtId="0" fontId="30" fillId="150" borderId="74" xfId="0" applyFont="1" applyFill="1" applyBorder="1" applyAlignment="1" applyProtection="1">
      <alignment horizontal="center" vertical="center" wrapText="1"/>
      <protection locked="0"/>
    </xf>
    <xf numFmtId="167" fontId="30" fillId="150" borderId="74" xfId="43" applyFont="1" applyFill="1" applyBorder="1" applyAlignment="1">
      <alignment horizontal="right" vertical="center"/>
    </xf>
    <xf numFmtId="0" fontId="82" fillId="84" borderId="0" xfId="138" applyFont="1" applyFill="1" applyAlignment="1">
      <alignment vertical="center" shrinkToFit="1"/>
    </xf>
    <xf numFmtId="0" fontId="119" fillId="84" borderId="0" xfId="138" applyFont="1" applyFill="1" applyAlignment="1">
      <alignment horizontal="center" vertical="center" shrinkToFit="1"/>
    </xf>
    <xf numFmtId="0" fontId="30" fillId="151" borderId="74" xfId="0" applyFont="1" applyFill="1" applyBorder="1" applyAlignment="1" applyProtection="1">
      <alignment horizontal="center" vertical="center" wrapText="1"/>
      <protection locked="0"/>
    </xf>
    <xf numFmtId="167" fontId="30" fillId="151" borderId="79" xfId="43" applyFont="1" applyFill="1" applyBorder="1" applyAlignment="1">
      <alignment horizontal="right" vertical="center"/>
    </xf>
    <xf numFmtId="167" fontId="30" fillId="151" borderId="74" xfId="43" applyFont="1" applyFill="1" applyBorder="1" applyAlignment="1">
      <alignment horizontal="right" vertical="center"/>
    </xf>
    <xf numFmtId="0" fontId="120" fillId="0" borderId="0" xfId="150" applyFont="1" applyAlignment="1">
      <alignment vertical="center" shrinkToFit="1"/>
    </xf>
    <xf numFmtId="0" fontId="30" fillId="152" borderId="80" xfId="0" applyFont="1" applyFill="1" applyBorder="1" applyAlignment="1" applyProtection="1">
      <alignment horizontal="center" vertical="center" wrapText="1"/>
      <protection locked="0"/>
    </xf>
    <xf numFmtId="171" fontId="30" fillId="152" borderId="74" xfId="203" applyNumberFormat="1" applyFont="1" applyFill="1" applyBorder="1" applyAlignment="1" applyProtection="1">
      <alignment horizontal="right" vertical="center" wrapText="1"/>
      <protection locked="0"/>
    </xf>
    <xf numFmtId="0" fontId="61" fillId="84" borderId="0" xfId="138" applyFont="1" applyFill="1" applyAlignment="1">
      <alignment vertical="center" shrinkToFit="1"/>
    </xf>
    <xf numFmtId="170" fontId="121" fillId="99" borderId="44" xfId="150" applyNumberFormat="1" applyFont="1" applyFill="1" applyBorder="1" applyAlignment="1">
      <alignment horizontal="center" vertical="center" shrinkToFit="1"/>
    </xf>
    <xf numFmtId="0" fontId="30" fillId="153" borderId="74" xfId="0" applyFont="1" applyFill="1" applyBorder="1" applyAlignment="1" applyProtection="1">
      <alignment horizontal="center" vertical="center" wrapText="1"/>
      <protection locked="0"/>
    </xf>
    <xf numFmtId="10" fontId="30" fillId="153" borderId="2" xfId="203" applyNumberFormat="1" applyFont="1" applyFill="1" applyBorder="1" applyAlignment="1">
      <alignment horizontal="right" vertical="center"/>
    </xf>
    <xf numFmtId="10" fontId="30" fillId="153" borderId="74" xfId="203" applyNumberFormat="1" applyFont="1" applyFill="1" applyBorder="1" applyAlignment="1">
      <alignment horizontal="right" vertical="center"/>
    </xf>
    <xf numFmtId="170" fontId="121" fillId="60" borderId="3" xfId="150" applyNumberFormat="1" applyFont="1" applyFill="1" applyBorder="1" applyAlignment="1">
      <alignment horizontal="center" vertical="center" shrinkToFit="1"/>
    </xf>
    <xf numFmtId="0" fontId="30" fillId="154" borderId="74" xfId="0" applyFont="1" applyFill="1" applyBorder="1" applyAlignment="1" applyProtection="1">
      <alignment horizontal="center" vertical="center" wrapText="1"/>
      <protection locked="0"/>
    </xf>
    <xf numFmtId="1" fontId="30" fillId="154" borderId="2" xfId="203" applyNumberFormat="1" applyFont="1" applyFill="1" applyBorder="1" applyAlignment="1">
      <alignment horizontal="right" vertical="center"/>
    </xf>
    <xf numFmtId="1" fontId="30" fillId="154" borderId="74" xfId="203" applyNumberFormat="1" applyFont="1" applyFill="1" applyBorder="1" applyAlignment="1">
      <alignment horizontal="right" vertical="center"/>
    </xf>
    <xf numFmtId="170" fontId="82" fillId="155" borderId="3" xfId="138" applyNumberFormat="1" applyFont="1" applyFill="1" applyBorder="1" applyAlignment="1">
      <alignment horizontal="center" vertical="center"/>
    </xf>
    <xf numFmtId="0" fontId="30" fillId="59" borderId="74" xfId="0" applyFont="1" applyFill="1" applyBorder="1" applyAlignment="1" applyProtection="1">
      <alignment horizontal="center" vertical="center" wrapText="1"/>
      <protection locked="0"/>
    </xf>
    <xf numFmtId="1" fontId="30" fillId="59" borderId="2" xfId="203" applyNumberFormat="1" applyFont="1" applyFill="1" applyBorder="1" applyAlignment="1">
      <alignment horizontal="right" vertical="center"/>
    </xf>
    <xf numFmtId="1" fontId="30" fillId="59" borderId="74" xfId="203" applyNumberFormat="1" applyFont="1" applyFill="1" applyBorder="1" applyAlignment="1">
      <alignment horizontal="right" vertical="center"/>
    </xf>
    <xf numFmtId="0" fontId="123" fillId="0" borderId="0" xfId="256" applyFont="1" applyProtection="1"/>
    <xf numFmtId="0" fontId="124" fillId="0" borderId="0" xfId="0" applyFont="1" applyAlignment="1">
      <alignment horizontal="center" wrapText="1" shrinkToFit="1"/>
    </xf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126" fillId="0" borderId="0" xfId="0" applyFont="1"/>
    <xf numFmtId="0" fontId="61" fillId="0" borderId="52" xfId="138" applyFont="1" applyBorder="1" applyAlignment="1">
      <alignment horizontal="center" vertical="center" shrinkToFit="1"/>
    </xf>
    <xf numFmtId="0" fontId="126" fillId="0" borderId="53" xfId="0" applyFont="1" applyBorder="1"/>
    <xf numFmtId="0" fontId="0" fillId="0" borderId="92" xfId="0" applyBorder="1"/>
    <xf numFmtId="0" fontId="127" fillId="0" borderId="0" xfId="0" applyFont="1"/>
    <xf numFmtId="0" fontId="31" fillId="0" borderId="0" xfId="0" applyFont="1" applyAlignment="1">
      <alignment horizontal="center" vertical="center"/>
    </xf>
    <xf numFmtId="0" fontId="62" fillId="0" borderId="44" xfId="0" applyFont="1" applyBorder="1"/>
    <xf numFmtId="0" fontId="62" fillId="0" borderId="30" xfId="0" applyFont="1" applyBorder="1"/>
    <xf numFmtId="0" fontId="61" fillId="107" borderId="52" xfId="138" applyFont="1" applyFill="1" applyBorder="1" applyAlignment="1">
      <alignment horizontal="center" vertical="center" shrinkToFit="1"/>
    </xf>
    <xf numFmtId="170" fontId="128" fillId="0" borderId="52" xfId="138" applyNumberFormat="1" applyFont="1" applyBorder="1" applyAlignment="1">
      <alignment horizontal="center" vertical="center" shrinkToFit="1"/>
    </xf>
    <xf numFmtId="0" fontId="126" fillId="156" borderId="0" xfId="0" applyFont="1" applyFill="1"/>
    <xf numFmtId="0" fontId="82" fillId="0" borderId="17" xfId="138" applyFont="1" applyBorder="1" applyAlignment="1">
      <alignment horizontal="left" vertical="center" shrinkToFit="1"/>
    </xf>
    <xf numFmtId="0" fontId="82" fillId="0" borderId="18" xfId="138" applyFont="1" applyBorder="1" applyAlignment="1">
      <alignment horizontal="left" vertical="center" shrinkToFit="1"/>
    </xf>
    <xf numFmtId="0" fontId="80" fillId="124" borderId="52" xfId="138" applyFont="1" applyFill="1" applyBorder="1" applyAlignment="1">
      <alignment horizontal="center" vertical="center" shrinkToFit="1"/>
    </xf>
    <xf numFmtId="0" fontId="126" fillId="157" borderId="58" xfId="0" applyFont="1" applyFill="1" applyBorder="1" applyAlignment="1">
      <alignment wrapText="1"/>
    </xf>
    <xf numFmtId="0" fontId="129" fillId="0" borderId="0" xfId="0" applyFont="1" applyAlignment="1">
      <alignment wrapText="1" shrinkToFit="1"/>
    </xf>
    <xf numFmtId="0" fontId="12" fillId="0" borderId="0" xfId="0" applyFont="1"/>
    <xf numFmtId="0" fontId="75" fillId="111" borderId="52" xfId="138" applyFont="1" applyFill="1" applyBorder="1" applyAlignment="1">
      <alignment horizontal="center" vertical="center" shrinkToFit="1"/>
    </xf>
    <xf numFmtId="0" fontId="80" fillId="158" borderId="52" xfId="138" applyFont="1" applyFill="1" applyBorder="1" applyAlignment="1">
      <alignment horizontal="center" vertical="center" shrinkToFit="1"/>
    </xf>
    <xf numFmtId="0" fontId="126" fillId="157" borderId="0" xfId="0" applyFont="1" applyFill="1" applyAlignment="1">
      <alignment wrapText="1"/>
    </xf>
    <xf numFmtId="0" fontId="71" fillId="0" borderId="0" xfId="0" applyFont="1" applyAlignment="1">
      <alignment horizontal="center" wrapText="1" shrinkToFit="1"/>
    </xf>
    <xf numFmtId="15" fontId="48" fillId="0" borderId="0" xfId="0" applyNumberFormat="1" applyFont="1" applyAlignment="1">
      <alignment shrinkToFit="1"/>
    </xf>
    <xf numFmtId="0" fontId="130" fillId="0" borderId="52" xfId="126" applyFont="1" applyBorder="1" applyAlignment="1">
      <alignment shrinkToFit="1"/>
    </xf>
    <xf numFmtId="0" fontId="79" fillId="63" borderId="53" xfId="131" applyFont="1" applyFill="1" applyBorder="1" applyAlignment="1">
      <alignment horizontal="center"/>
    </xf>
    <xf numFmtId="170" fontId="0" fillId="0" borderId="52" xfId="0" applyNumberFormat="1" applyBorder="1" applyAlignment="1">
      <alignment horizontal="center" vertical="center"/>
    </xf>
    <xf numFmtId="9" fontId="0" fillId="0" borderId="52" xfId="200" applyFont="1" applyFill="1" applyBorder="1" applyAlignment="1">
      <alignment horizontal="center"/>
    </xf>
    <xf numFmtId="0" fontId="131" fillId="159" borderId="52" xfId="138" applyFont="1" applyFill="1" applyBorder="1" applyAlignment="1">
      <alignment horizontal="center" vertical="center" shrinkToFit="1"/>
    </xf>
    <xf numFmtId="0" fontId="80" fillId="89" borderId="52" xfId="138" applyFont="1" applyFill="1" applyBorder="1" applyAlignment="1">
      <alignment horizontal="center" vertical="center" shrinkToFit="1"/>
    </xf>
    <xf numFmtId="0" fontId="0" fillId="84" borderId="0" xfId="0" applyFill="1"/>
    <xf numFmtId="0" fontId="12" fillId="84" borderId="0" xfId="0" applyFont="1" applyFill="1"/>
    <xf numFmtId="0" fontId="59" fillId="84" borderId="0" xfId="0" applyFont="1" applyFill="1" applyAlignment="1">
      <alignment horizontal="center"/>
    </xf>
    <xf numFmtId="170" fontId="121" fillId="84" borderId="0" xfId="0" applyNumberFormat="1" applyFont="1" applyFill="1" applyAlignment="1">
      <alignment horizontal="center"/>
    </xf>
    <xf numFmtId="0" fontId="33" fillId="84" borderId="0" xfId="0" applyFont="1" applyFill="1"/>
    <xf numFmtId="0" fontId="77" fillId="160" borderId="0" xfId="0" applyFont="1" applyFill="1" applyAlignment="1">
      <alignment horizontal="center" vertical="center"/>
    </xf>
    <xf numFmtId="0" fontId="76" fillId="112" borderId="52" xfId="138" applyFont="1" applyFill="1" applyBorder="1" applyAlignment="1">
      <alignment horizontal="center" vertical="center" shrinkToFit="1"/>
    </xf>
    <xf numFmtId="0" fontId="80" fillId="161" borderId="52" xfId="138" applyFont="1" applyFill="1" applyBorder="1" applyAlignment="1">
      <alignment horizontal="center" vertical="center" shrinkToFit="1"/>
    </xf>
    <xf numFmtId="0" fontId="48" fillId="0" borderId="0" xfId="0" applyFont="1" applyAlignment="1">
      <alignment wrapText="1" shrinkToFit="1"/>
    </xf>
    <xf numFmtId="2" fontId="49" fillId="0" borderId="0" xfId="56" applyNumberFormat="1" applyFont="1" applyFill="1" applyBorder="1" applyAlignment="1" applyProtection="1">
      <alignment shrinkToFit="1"/>
    </xf>
    <xf numFmtId="0" fontId="3" fillId="0" borderId="52" xfId="150" applyFont="1" applyBorder="1" applyAlignment="1">
      <alignment horizontal="center" vertical="center"/>
    </xf>
    <xf numFmtId="0" fontId="3" fillId="0" borderId="53" xfId="150" applyFont="1" applyBorder="1" applyAlignment="1">
      <alignment horizontal="center" vertical="center"/>
    </xf>
    <xf numFmtId="0" fontId="132" fillId="84" borderId="53" xfId="131" applyFont="1" applyFill="1" applyBorder="1" applyAlignment="1">
      <alignment horizontal="center"/>
    </xf>
    <xf numFmtId="0" fontId="75" fillId="112" borderId="52" xfId="138" applyFont="1" applyFill="1" applyBorder="1" applyAlignment="1">
      <alignment horizontal="center" vertical="center" shrinkToFit="1"/>
    </xf>
    <xf numFmtId="0" fontId="48" fillId="0" borderId="0" xfId="0" applyFont="1" applyAlignment="1">
      <alignment shrinkToFit="1"/>
    </xf>
    <xf numFmtId="0" fontId="3" fillId="0" borderId="54" xfId="138" applyFont="1" applyBorder="1" applyAlignment="1">
      <alignment horizontal="center" vertical="center" shrinkToFit="1"/>
    </xf>
    <xf numFmtId="0" fontId="82" fillId="0" borderId="95" xfId="138" applyFont="1" applyBorder="1" applyAlignment="1">
      <alignment horizontal="center" vertical="center" shrinkToFit="1"/>
    </xf>
    <xf numFmtId="0" fontId="35" fillId="35" borderId="5" xfId="0" applyFont="1" applyFill="1" applyBorder="1" applyAlignment="1">
      <alignment horizontal="center" vertical="center"/>
    </xf>
    <xf numFmtId="172" fontId="3" fillId="155" borderId="0" xfId="138" applyNumberFormat="1" applyFont="1" applyFill="1" applyAlignment="1">
      <alignment horizontal="center" vertical="center"/>
    </xf>
    <xf numFmtId="172" fontId="3" fillId="99" borderId="0" xfId="150" applyNumberFormat="1" applyFont="1" applyFill="1" applyAlignment="1">
      <alignment horizontal="center" vertical="center" shrinkToFit="1"/>
    </xf>
    <xf numFmtId="170" fontId="3" fillId="60" borderId="0" xfId="150" applyNumberFormat="1" applyFont="1" applyFill="1" applyAlignment="1">
      <alignment horizontal="center" vertical="center" shrinkToFit="1"/>
    </xf>
    <xf numFmtId="170" fontId="81" fillId="162" borderId="0" xfId="138" applyNumberFormat="1" applyFont="1" applyFill="1" applyAlignment="1">
      <alignment horizontal="center" vertical="center"/>
    </xf>
    <xf numFmtId="0" fontId="130" fillId="72" borderId="53" xfId="131" applyFont="1" applyFill="1" applyBorder="1" applyAlignment="1">
      <alignment horizontal="center"/>
    </xf>
    <xf numFmtId="0" fontId="75" fillId="54" borderId="52" xfId="138" applyFont="1" applyFill="1" applyBorder="1" applyAlignment="1">
      <alignment horizontal="center" vertical="center" shrinkToFit="1"/>
    </xf>
    <xf numFmtId="0" fontId="80" fillId="163" borderId="52" xfId="138" applyFont="1" applyFill="1" applyBorder="1" applyAlignment="1">
      <alignment horizontal="center" vertical="center" shrinkToFit="1"/>
    </xf>
    <xf numFmtId="0" fontId="35" fillId="37" borderId="33" xfId="0" applyFont="1" applyFill="1" applyBorder="1" applyAlignment="1">
      <alignment horizontal="center" vertical="center"/>
    </xf>
    <xf numFmtId="0" fontId="79" fillId="88" borderId="53" xfId="131" applyFont="1" applyFill="1" applyBorder="1" applyAlignment="1">
      <alignment horizontal="center"/>
    </xf>
    <xf numFmtId="0" fontId="74" fillId="164" borderId="52" xfId="138" applyFont="1" applyFill="1" applyBorder="1" applyAlignment="1">
      <alignment horizontal="center" vertical="center" shrinkToFit="1"/>
    </xf>
    <xf numFmtId="0" fontId="80" fillId="165" borderId="52" xfId="138" applyFont="1" applyFill="1" applyBorder="1" applyAlignment="1">
      <alignment horizontal="center" vertical="center" shrinkToFit="1"/>
    </xf>
    <xf numFmtId="0" fontId="43" fillId="65" borderId="25" xfId="0" applyFont="1" applyFill="1" applyBorder="1" applyAlignment="1">
      <alignment horizontal="center" vertical="center"/>
    </xf>
    <xf numFmtId="0" fontId="77" fillId="80" borderId="53" xfId="131" applyFont="1" applyFill="1" applyBorder="1" applyAlignment="1">
      <alignment horizontal="center"/>
    </xf>
    <xf numFmtId="0" fontId="74" fillId="166" borderId="52" xfId="138" applyFont="1" applyFill="1" applyBorder="1" applyAlignment="1">
      <alignment horizontal="center" vertical="center" shrinkToFit="1"/>
    </xf>
    <xf numFmtId="0" fontId="80" fillId="167" borderId="52" xfId="138" applyFont="1" applyFill="1" applyBorder="1" applyAlignment="1">
      <alignment horizontal="center" vertical="center" shrinkToFit="1"/>
    </xf>
    <xf numFmtId="3" fontId="48" fillId="0" borderId="0" xfId="0" applyNumberFormat="1" applyFont="1" applyAlignment="1">
      <alignment shrinkToFit="1"/>
    </xf>
    <xf numFmtId="0" fontId="43" fillId="50" borderId="25" xfId="0" applyFont="1" applyFill="1" applyBorder="1" applyAlignment="1">
      <alignment horizontal="center" vertical="center"/>
    </xf>
    <xf numFmtId="0" fontId="79" fillId="44" borderId="53" xfId="131" applyFont="1" applyFill="1" applyBorder="1" applyAlignment="1">
      <alignment horizontal="center"/>
    </xf>
    <xf numFmtId="0" fontId="75" fillId="110" borderId="52" xfId="138" applyFont="1" applyFill="1" applyBorder="1" applyAlignment="1">
      <alignment horizontal="center" vertical="center" shrinkToFit="1"/>
    </xf>
    <xf numFmtId="0" fontId="80" fillId="168" borderId="52" xfId="138" applyFont="1" applyFill="1" applyBorder="1" applyAlignment="1">
      <alignment horizontal="center" vertical="center" shrinkToFit="1"/>
    </xf>
    <xf numFmtId="0" fontId="35" fillId="63" borderId="33" xfId="0" applyFont="1" applyFill="1" applyBorder="1" applyAlignment="1">
      <alignment horizontal="center" vertical="center"/>
    </xf>
    <xf numFmtId="0" fontId="67" fillId="63" borderId="52" xfId="131" applyFont="1" applyFill="1" applyBorder="1" applyAlignment="1">
      <alignment horizontal="center"/>
    </xf>
    <xf numFmtId="0" fontId="133" fillId="169" borderId="52" xfId="138" applyFont="1" applyFill="1" applyBorder="1" applyAlignment="1">
      <alignment horizontal="center" vertical="center" shrinkToFit="1"/>
    </xf>
    <xf numFmtId="0" fontId="77" fillId="80" borderId="52" xfId="0" applyFont="1" applyFill="1" applyBorder="1" applyAlignment="1">
      <alignment horizontal="center" vertical="center"/>
    </xf>
    <xf numFmtId="0" fontId="34" fillId="71" borderId="0" xfId="0" applyFont="1" applyFill="1" applyAlignment="1">
      <alignment horizontal="center" vertical="center"/>
    </xf>
    <xf numFmtId="0" fontId="131" fillId="170" borderId="52" xfId="138" applyFont="1" applyFill="1" applyBorder="1" applyAlignment="1">
      <alignment horizontal="center" vertical="center" shrinkToFit="1"/>
    </xf>
    <xf numFmtId="0" fontId="77" fillId="171" borderId="52" xfId="0" applyFont="1" applyFill="1" applyBorder="1" applyAlignment="1">
      <alignment horizontal="center" vertical="center"/>
    </xf>
    <xf numFmtId="0" fontId="35" fillId="62" borderId="26" xfId="0" applyFont="1" applyFill="1" applyBorder="1" applyAlignment="1">
      <alignment horizontal="center" vertical="center"/>
    </xf>
    <xf numFmtId="0" fontId="79" fillId="172" borderId="53" xfId="131" applyFont="1" applyFill="1" applyBorder="1" applyAlignment="1">
      <alignment horizontal="center"/>
    </xf>
    <xf numFmtId="0" fontId="77" fillId="72" borderId="52" xfId="0" applyFont="1" applyFill="1" applyBorder="1" applyAlignment="1">
      <alignment horizontal="center" vertical="center"/>
    </xf>
    <xf numFmtId="0" fontId="136" fillId="173" borderId="52" xfId="0" applyFont="1" applyFill="1" applyBorder="1" applyAlignment="1">
      <alignment horizontal="center" vertical="center"/>
    </xf>
    <xf numFmtId="0" fontId="34" fillId="67" borderId="0" xfId="0" applyFont="1" applyFill="1" applyAlignment="1">
      <alignment horizontal="center" vertical="center"/>
    </xf>
    <xf numFmtId="0" fontId="79" fillId="55" borderId="53" xfId="131" applyFont="1" applyFill="1" applyBorder="1" applyAlignment="1">
      <alignment horizontal="center"/>
    </xf>
    <xf numFmtId="0" fontId="130" fillId="102" borderId="52" xfId="0" applyFont="1" applyFill="1" applyBorder="1" applyAlignment="1">
      <alignment horizontal="center" vertical="center"/>
    </xf>
    <xf numFmtId="0" fontId="35" fillId="51" borderId="23" xfId="0" applyFont="1" applyFill="1" applyBorder="1" applyAlignment="1">
      <alignment horizontal="center" vertical="center"/>
    </xf>
    <xf numFmtId="0" fontId="130" fillId="0" borderId="52" xfId="138" applyFont="1" applyBorder="1" applyAlignment="1">
      <alignment vertical="center" shrinkToFit="1"/>
    </xf>
    <xf numFmtId="0" fontId="75" fillId="174" borderId="53" xfId="138" applyFont="1" applyFill="1" applyBorder="1" applyAlignment="1">
      <alignment horizontal="center" vertical="center" shrinkToFit="1"/>
    </xf>
    <xf numFmtId="0" fontId="137" fillId="175" borderId="52" xfId="138" applyFont="1" applyFill="1" applyBorder="1" applyAlignment="1">
      <alignment horizontal="center" vertical="center" shrinkToFit="1"/>
    </xf>
    <xf numFmtId="0" fontId="75" fillId="0" borderId="52" xfId="138" applyFont="1" applyBorder="1" applyAlignment="1">
      <alignment horizontal="center" vertical="center" shrinkToFit="1"/>
    </xf>
    <xf numFmtId="0" fontId="35" fillId="47" borderId="96" xfId="0" applyFont="1" applyFill="1" applyBorder="1" applyAlignment="1">
      <alignment horizontal="center" vertical="center"/>
    </xf>
    <xf numFmtId="0" fontId="79" fillId="44" borderId="52" xfId="131" applyFont="1" applyFill="1" applyBorder="1" applyAlignment="1">
      <alignment horizontal="center"/>
    </xf>
    <xf numFmtId="0" fontId="80" fillId="176" borderId="52" xfId="138" applyFont="1" applyFill="1" applyBorder="1" applyAlignment="1">
      <alignment horizontal="center" vertical="center" shrinkToFit="1"/>
    </xf>
    <xf numFmtId="0" fontId="75" fillId="126" borderId="52" xfId="138" applyFont="1" applyFill="1" applyBorder="1" applyAlignment="1">
      <alignment horizontal="center" vertical="center" shrinkToFit="1"/>
    </xf>
    <xf numFmtId="0" fontId="44" fillId="66" borderId="52" xfId="150" applyFont="1" applyFill="1" applyBorder="1" applyAlignment="1">
      <alignment horizontal="center" vertical="center" shrinkToFit="1"/>
    </xf>
    <xf numFmtId="0" fontId="75" fillId="177" borderId="53" xfId="138" applyFont="1" applyFill="1" applyBorder="1" applyAlignment="1">
      <alignment horizontal="center" vertical="center" shrinkToFit="1"/>
    </xf>
    <xf numFmtId="0" fontId="131" fillId="178" borderId="52" xfId="138" applyFont="1" applyFill="1" applyBorder="1" applyAlignment="1">
      <alignment horizontal="center" vertical="center" shrinkToFit="1"/>
    </xf>
    <xf numFmtId="0" fontId="79" fillId="150" borderId="52" xfId="0" applyFont="1" applyFill="1" applyBorder="1" applyAlignment="1">
      <alignment horizontal="center" vertical="center"/>
    </xf>
    <xf numFmtId="0" fontId="40" fillId="52" borderId="33" xfId="0" applyFont="1" applyFill="1" applyBorder="1" applyAlignment="1">
      <alignment horizontal="center" vertical="center"/>
    </xf>
    <xf numFmtId="0" fontId="75" fillId="179" borderId="53" xfId="138" applyFont="1" applyFill="1" applyBorder="1" applyAlignment="1">
      <alignment horizontal="center" vertical="center" shrinkToFit="1"/>
    </xf>
    <xf numFmtId="0" fontId="80" fillId="180" borderId="52" xfId="138" applyFont="1" applyFill="1" applyBorder="1" applyAlignment="1">
      <alignment horizontal="center" vertical="center" shrinkToFit="1"/>
    </xf>
    <xf numFmtId="0" fontId="80" fillId="181" borderId="52" xfId="138" applyFont="1" applyFill="1" applyBorder="1" applyAlignment="1">
      <alignment horizontal="center" vertical="center" shrinkToFit="1"/>
    </xf>
    <xf numFmtId="0" fontId="35" fillId="62" borderId="33" xfId="0" applyFont="1" applyFill="1" applyBorder="1" applyAlignment="1">
      <alignment horizontal="center" vertical="center"/>
    </xf>
    <xf numFmtId="0" fontId="138" fillId="44" borderId="52" xfId="131" applyFont="1" applyFill="1" applyBorder="1" applyAlignment="1">
      <alignment horizontal="center"/>
    </xf>
    <xf numFmtId="0" fontId="128" fillId="156" borderId="0" xfId="0" applyFont="1" applyFill="1" applyAlignment="1">
      <alignment horizontal="center" vertical="center"/>
    </xf>
    <xf numFmtId="0" fontId="38" fillId="43" borderId="25" xfId="0" applyFont="1" applyFill="1" applyBorder="1" applyAlignment="1">
      <alignment horizontal="center" vertical="center"/>
    </xf>
    <xf numFmtId="0" fontId="130" fillId="0" borderId="52" xfId="138" applyFont="1" applyBorder="1" applyAlignment="1">
      <alignment shrinkToFit="1"/>
    </xf>
    <xf numFmtId="0" fontId="75" fillId="182" borderId="52" xfId="138" applyFont="1" applyFill="1" applyBorder="1" applyAlignment="1">
      <alignment horizontal="center" vertical="center" shrinkToFit="1"/>
    </xf>
    <xf numFmtId="0" fontId="75" fillId="130" borderId="52" xfId="138" applyFont="1" applyFill="1" applyBorder="1" applyAlignment="1">
      <alignment horizontal="center" vertical="center" shrinkToFit="1"/>
    </xf>
    <xf numFmtId="0" fontId="41" fillId="58" borderId="54" xfId="138" applyFont="1" applyFill="1" applyBorder="1" applyAlignment="1">
      <alignment horizontal="center" vertical="center" shrinkToFit="1"/>
    </xf>
    <xf numFmtId="0" fontId="80" fillId="183" borderId="53" xfId="138" applyFont="1" applyFill="1" applyBorder="1" applyAlignment="1">
      <alignment horizontal="center" vertical="center" shrinkToFit="1"/>
    </xf>
    <xf numFmtId="0" fontId="61" fillId="184" borderId="52" xfId="138" applyFont="1" applyFill="1" applyBorder="1" applyAlignment="1">
      <alignment horizontal="center" vertical="center" shrinkToFit="1"/>
    </xf>
    <xf numFmtId="0" fontId="77" fillId="101" borderId="52" xfId="0" applyFont="1" applyFill="1" applyBorder="1" applyAlignment="1">
      <alignment horizontal="center" vertical="center"/>
    </xf>
    <xf numFmtId="0" fontId="34" fillId="55" borderId="25" xfId="0" applyFont="1" applyFill="1" applyBorder="1" applyAlignment="1">
      <alignment horizontal="center" vertical="center"/>
    </xf>
    <xf numFmtId="0" fontId="61" fillId="185" borderId="53" xfId="138" applyFont="1" applyFill="1" applyBorder="1" applyAlignment="1">
      <alignment horizontal="center" vertical="center" shrinkToFit="1"/>
    </xf>
    <xf numFmtId="0" fontId="75" fillId="186" borderId="52" xfId="138" applyFont="1" applyFill="1" applyBorder="1" applyAlignment="1">
      <alignment horizontal="center" vertical="center" shrinkToFit="1"/>
    </xf>
    <xf numFmtId="0" fontId="77" fillId="164" borderId="52" xfId="0" applyFont="1" applyFill="1" applyBorder="1" applyAlignment="1">
      <alignment horizontal="center" vertical="center"/>
    </xf>
    <xf numFmtId="0" fontId="35" fillId="57" borderId="25" xfId="0" applyFont="1" applyFill="1" applyBorder="1" applyAlignment="1">
      <alignment horizontal="center" vertical="center"/>
    </xf>
    <xf numFmtId="0" fontId="80" fillId="187" borderId="53" xfId="138" applyFont="1" applyFill="1" applyBorder="1" applyAlignment="1">
      <alignment horizontal="center" vertical="center" shrinkToFit="1"/>
    </xf>
    <xf numFmtId="0" fontId="139" fillId="110" borderId="52" xfId="138" applyFont="1" applyFill="1" applyBorder="1" applyAlignment="1">
      <alignment horizontal="center" vertical="center" shrinkToFit="1"/>
    </xf>
    <xf numFmtId="0" fontId="34" fillId="36" borderId="25" xfId="0" applyFont="1" applyFill="1" applyBorder="1" applyAlignment="1">
      <alignment horizontal="center" vertical="center"/>
    </xf>
    <xf numFmtId="0" fontId="80" fillId="188" borderId="53" xfId="138" applyFont="1" applyFill="1" applyBorder="1" applyAlignment="1">
      <alignment horizontal="center" vertical="center" shrinkToFit="1"/>
    </xf>
    <xf numFmtId="0" fontId="135" fillId="189" borderId="52" xfId="0" applyFont="1" applyFill="1" applyBorder="1" applyAlignment="1">
      <alignment horizontal="center" vertical="center"/>
    </xf>
    <xf numFmtId="0" fontId="35" fillId="40" borderId="25" xfId="0" applyFont="1" applyFill="1" applyBorder="1" applyAlignment="1">
      <alignment horizontal="center" vertical="center"/>
    </xf>
    <xf numFmtId="0" fontId="79" fillId="190" borderId="52" xfId="0" applyFont="1" applyFill="1" applyBorder="1" applyAlignment="1">
      <alignment horizontal="center"/>
    </xf>
    <xf numFmtId="0" fontId="80" fillId="191" borderId="52" xfId="138" applyFont="1" applyFill="1" applyBorder="1" applyAlignment="1">
      <alignment horizontal="center" vertical="center" shrinkToFit="1"/>
    </xf>
    <xf numFmtId="0" fontId="79" fillId="44" borderId="52" xfId="0" applyFont="1" applyFill="1" applyBorder="1" applyAlignment="1">
      <alignment horizontal="center" vertical="center"/>
    </xf>
    <xf numFmtId="0" fontId="44" fillId="72" borderId="25" xfId="0" applyFont="1" applyFill="1" applyBorder="1" applyAlignment="1">
      <alignment horizontal="center" vertical="center"/>
    </xf>
    <xf numFmtId="0" fontId="130" fillId="192" borderId="52" xfId="0" applyFont="1" applyFill="1" applyBorder="1" applyAlignment="1">
      <alignment horizontal="center" vertical="center"/>
    </xf>
    <xf numFmtId="0" fontId="140" fillId="193" borderId="52" xfId="0" applyFont="1" applyFill="1" applyBorder="1" applyAlignment="1">
      <alignment horizontal="center" vertical="center"/>
    </xf>
    <xf numFmtId="0" fontId="38" fillId="64" borderId="25" xfId="0" applyFont="1" applyFill="1" applyBorder="1" applyAlignment="1">
      <alignment horizontal="center" vertical="center"/>
    </xf>
    <xf numFmtId="0" fontId="130" fillId="34" borderId="52" xfId="0" applyFont="1" applyFill="1" applyBorder="1" applyAlignment="1">
      <alignment horizontal="center" vertical="center"/>
    </xf>
    <xf numFmtId="0" fontId="140" fillId="194" borderId="52" xfId="0" applyFont="1" applyFill="1" applyBorder="1" applyAlignment="1">
      <alignment horizontal="center" vertical="center"/>
    </xf>
    <xf numFmtId="0" fontId="126" fillId="0" borderId="92" xfId="0" applyFont="1" applyBorder="1"/>
    <xf numFmtId="0" fontId="35" fillId="59" borderId="25" xfId="0" applyFont="1" applyFill="1" applyBorder="1" applyAlignment="1">
      <alignment horizontal="center" vertical="center"/>
    </xf>
    <xf numFmtId="0" fontId="130" fillId="0" borderId="54" xfId="126" applyFont="1" applyBorder="1" applyAlignment="1">
      <alignment horizontal="left" shrinkToFit="1"/>
    </xf>
    <xf numFmtId="0" fontId="77" fillId="61" borderId="52" xfId="131" applyFont="1" applyFill="1" applyBorder="1" applyAlignment="1">
      <alignment horizontal="center"/>
    </xf>
    <xf numFmtId="0" fontId="75" fillId="195" borderId="52" xfId="138" applyFont="1" applyFill="1" applyBorder="1" applyAlignment="1">
      <alignment horizontal="center" vertical="center" shrinkToFit="1"/>
    </xf>
    <xf numFmtId="0" fontId="80" fillId="196" borderId="52" xfId="138" applyFont="1" applyFill="1" applyBorder="1" applyAlignment="1">
      <alignment horizontal="center" vertical="center" shrinkToFit="1"/>
    </xf>
    <xf numFmtId="0" fontId="34" fillId="197" borderId="91" xfId="138" applyFont="1" applyFill="1" applyBorder="1" applyAlignment="1">
      <alignment vertical="center" shrinkToFit="1"/>
    </xf>
    <xf numFmtId="170" fontId="3" fillId="155" borderId="0" xfId="138" applyNumberFormat="1" applyFont="1" applyFill="1" applyAlignment="1">
      <alignment horizontal="center" vertical="center"/>
    </xf>
    <xf numFmtId="170" fontId="3" fillId="99" borderId="0" xfId="150" applyNumberFormat="1" applyFont="1" applyFill="1" applyAlignment="1">
      <alignment horizontal="center" vertical="center" shrinkToFit="1"/>
    </xf>
    <xf numFmtId="0" fontId="34" fillId="197" borderId="97" xfId="138" applyFont="1" applyFill="1" applyBorder="1" applyAlignment="1">
      <alignment vertical="center" shrinkToFit="1"/>
    </xf>
    <xf numFmtId="0" fontId="61" fillId="59" borderId="52" xfId="138" applyFont="1" applyFill="1" applyBorder="1" applyAlignment="1">
      <alignment horizontal="center" vertical="center" shrinkToFit="1"/>
    </xf>
    <xf numFmtId="0" fontId="74" fillId="109" borderId="52" xfId="138" applyFont="1" applyFill="1" applyBorder="1" applyAlignment="1">
      <alignment horizontal="center" vertical="center" shrinkToFit="1"/>
    </xf>
    <xf numFmtId="0" fontId="141" fillId="199" borderId="52" xfId="0" applyFont="1" applyFill="1" applyBorder="1" applyAlignment="1">
      <alignment horizontal="center" vertical="center"/>
    </xf>
    <xf numFmtId="0" fontId="11" fillId="0" borderId="0" xfId="0" applyFont="1"/>
    <xf numFmtId="0" fontId="135" fillId="171" borderId="52" xfId="0" applyFont="1" applyFill="1" applyBorder="1" applyAlignment="1">
      <alignment horizontal="center"/>
    </xf>
    <xf numFmtId="0" fontId="74" fillId="200" borderId="52" xfId="138" applyFont="1" applyFill="1" applyBorder="1" applyAlignment="1">
      <alignment horizontal="center" vertical="center" shrinkToFit="1"/>
    </xf>
    <xf numFmtId="0" fontId="79" fillId="201" borderId="52" xfId="0" applyFont="1" applyFill="1" applyBorder="1" applyAlignment="1">
      <alignment horizontal="center" vertical="center"/>
    </xf>
    <xf numFmtId="0" fontId="3" fillId="0" borderId="98" xfId="138" applyFont="1" applyBorder="1" applyAlignment="1">
      <alignment horizontal="center" vertical="center" shrinkToFit="1"/>
    </xf>
    <xf numFmtId="0" fontId="82" fillId="0" borderId="99" xfId="138" applyFont="1" applyBorder="1" applyAlignment="1">
      <alignment horizontal="center" vertical="center" shrinkToFit="1"/>
    </xf>
    <xf numFmtId="0" fontId="36" fillId="39" borderId="0" xfId="0" applyFont="1" applyFill="1" applyAlignment="1">
      <alignment horizontal="center" vertical="center"/>
    </xf>
    <xf numFmtId="0" fontId="79" fillId="171" borderId="52" xfId="0" applyFont="1" applyFill="1" applyBorder="1" applyAlignment="1">
      <alignment horizontal="center"/>
    </xf>
    <xf numFmtId="0" fontId="76" fillId="110" borderId="52" xfId="138" applyFont="1" applyFill="1" applyBorder="1" applyAlignment="1">
      <alignment horizontal="center" vertical="center" shrinkToFit="1"/>
    </xf>
    <xf numFmtId="0" fontId="82" fillId="0" borderId="90" xfId="138" applyFont="1" applyBorder="1" applyAlignment="1">
      <alignment horizontal="center" vertical="center" shrinkToFit="1"/>
    </xf>
    <xf numFmtId="0" fontId="34" fillId="42" borderId="52" xfId="0" applyFont="1" applyFill="1" applyBorder="1" applyAlignment="1">
      <alignment horizontal="center" vertical="center"/>
    </xf>
    <xf numFmtId="0" fontId="34" fillId="42" borderId="25" xfId="0" applyFont="1" applyFill="1" applyBorder="1" applyAlignment="1">
      <alignment horizontal="center" vertical="center"/>
    </xf>
    <xf numFmtId="0" fontId="75" fillId="131" borderId="52" xfId="138" applyFont="1" applyFill="1" applyBorder="1" applyAlignment="1">
      <alignment horizontal="center" vertical="center" shrinkToFit="1"/>
    </xf>
    <xf numFmtId="0" fontId="56" fillId="97" borderId="100" xfId="0" applyFont="1" applyFill="1" applyBorder="1" applyAlignment="1">
      <alignment horizontal="center" vertical="center"/>
    </xf>
    <xf numFmtId="0" fontId="79" fillId="81" borderId="52" xfId="0" applyFont="1" applyFill="1" applyBorder="1" applyAlignment="1">
      <alignment horizontal="center"/>
    </xf>
    <xf numFmtId="0" fontId="76" fillId="149" borderId="52" xfId="138" applyFont="1" applyFill="1" applyBorder="1" applyAlignment="1">
      <alignment horizontal="center" vertical="center" shrinkToFit="1"/>
    </xf>
    <xf numFmtId="0" fontId="80" fillId="202" borderId="52" xfId="138" applyFont="1" applyFill="1" applyBorder="1" applyAlignment="1">
      <alignment horizontal="center" vertical="center" shrinkToFit="1"/>
    </xf>
    <xf numFmtId="0" fontId="49" fillId="52" borderId="101" xfId="0" applyFont="1" applyFill="1" applyBorder="1" applyAlignment="1">
      <alignment horizontal="center" vertical="center"/>
    </xf>
    <xf numFmtId="0" fontId="61" fillId="148" borderId="52" xfId="138" applyFont="1" applyFill="1" applyBorder="1" applyAlignment="1">
      <alignment horizontal="center" vertical="center" shrinkToFit="1"/>
    </xf>
    <xf numFmtId="0" fontId="80" fillId="110" borderId="52" xfId="138" applyFont="1" applyFill="1" applyBorder="1" applyAlignment="1">
      <alignment horizontal="center" vertical="center" shrinkToFit="1"/>
    </xf>
    <xf numFmtId="0" fontId="75" fillId="203" borderId="52" xfId="138" applyFont="1" applyFill="1" applyBorder="1" applyAlignment="1">
      <alignment horizontal="center" vertical="center" shrinkToFit="1"/>
    </xf>
    <xf numFmtId="0" fontId="45" fillId="63" borderId="5" xfId="0" applyFont="1" applyFill="1" applyBorder="1" applyAlignment="1">
      <alignment horizontal="center" vertical="center"/>
    </xf>
    <xf numFmtId="0" fontId="79" fillId="192" borderId="52" xfId="0" applyFont="1" applyFill="1" applyBorder="1" applyAlignment="1">
      <alignment horizontal="center"/>
    </xf>
    <xf numFmtId="0" fontId="133" fillId="204" borderId="52" xfId="138" applyFont="1" applyFill="1" applyBorder="1" applyAlignment="1">
      <alignment horizontal="center" vertical="center" shrinkToFit="1"/>
    </xf>
    <xf numFmtId="0" fontId="80" fillId="205" borderId="52" xfId="138" applyFont="1" applyFill="1" applyBorder="1" applyAlignment="1">
      <alignment horizontal="center" vertical="center" shrinkToFit="1"/>
    </xf>
    <xf numFmtId="0" fontId="126" fillId="157" borderId="35" xfId="0" applyFont="1" applyFill="1" applyBorder="1" applyAlignment="1">
      <alignment wrapText="1"/>
    </xf>
    <xf numFmtId="0" fontId="34" fillId="48" borderId="96" xfId="0" applyFont="1" applyFill="1" applyBorder="1" applyAlignment="1">
      <alignment horizontal="center" vertical="center"/>
    </xf>
    <xf numFmtId="0" fontId="77" fillId="116" borderId="52" xfId="131" applyFont="1" applyFill="1" applyBorder="1" applyAlignment="1">
      <alignment horizontal="center"/>
    </xf>
    <xf numFmtId="0" fontId="131" fillId="206" borderId="52" xfId="138" applyFont="1" applyFill="1" applyBorder="1" applyAlignment="1">
      <alignment horizontal="center" vertical="center" shrinkToFit="1"/>
    </xf>
    <xf numFmtId="0" fontId="75" fillId="207" borderId="52" xfId="138" applyFont="1" applyFill="1" applyBorder="1" applyAlignment="1">
      <alignment horizontal="center" vertical="center" shrinkToFit="1"/>
    </xf>
    <xf numFmtId="0" fontId="35" fillId="68" borderId="102" xfId="0" applyFont="1" applyFill="1" applyBorder="1" applyAlignment="1">
      <alignment horizontal="center" vertical="center"/>
    </xf>
    <xf numFmtId="0" fontId="80" fillId="147" borderId="52" xfId="138" applyFont="1" applyFill="1" applyBorder="1" applyAlignment="1">
      <alignment horizontal="center" vertical="center" shrinkToFit="1"/>
    </xf>
    <xf numFmtId="0" fontId="130" fillId="63" borderId="52" xfId="0" applyFont="1" applyFill="1" applyBorder="1" applyAlignment="1">
      <alignment horizontal="center" vertical="center"/>
    </xf>
    <xf numFmtId="0" fontId="34" fillId="70" borderId="103" xfId="0" applyFont="1" applyFill="1" applyBorder="1" applyAlignment="1">
      <alignment horizontal="center" vertical="center"/>
    </xf>
    <xf numFmtId="0" fontId="34" fillId="70" borderId="33" xfId="0" applyFont="1" applyFill="1" applyBorder="1" applyAlignment="1">
      <alignment horizontal="center" vertical="center"/>
    </xf>
    <xf numFmtId="0" fontId="130" fillId="208" borderId="52" xfId="0" applyFont="1" applyFill="1" applyBorder="1" applyAlignment="1">
      <alignment horizontal="center"/>
    </xf>
    <xf numFmtId="0" fontId="80" fillId="209" borderId="52" xfId="138" applyFont="1" applyFill="1" applyBorder="1" applyAlignment="1">
      <alignment horizontal="center" vertical="center" shrinkToFit="1"/>
    </xf>
    <xf numFmtId="0" fontId="34" fillId="34" borderId="104" xfId="0" applyFont="1" applyFill="1" applyBorder="1" applyAlignment="1">
      <alignment horizontal="center" vertical="center"/>
    </xf>
    <xf numFmtId="0" fontId="3" fillId="155" borderId="0" xfId="138" applyFont="1" applyFill="1" applyAlignment="1">
      <alignment horizontal="center" vertical="center"/>
    </xf>
    <xf numFmtId="0" fontId="3" fillId="99" borderId="0" xfId="150" applyFont="1" applyFill="1" applyAlignment="1">
      <alignment horizontal="center" vertical="center" shrinkToFit="1"/>
    </xf>
    <xf numFmtId="170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39" fillId="110" borderId="1" xfId="138" applyFont="1" applyFill="1" applyBorder="1" applyAlignment="1">
      <alignment horizontal="center" vertical="center" shrinkToFit="1"/>
    </xf>
    <xf numFmtId="170" fontId="128" fillId="0" borderId="1" xfId="138" applyNumberFormat="1" applyFont="1" applyBorder="1" applyAlignment="1">
      <alignment horizontal="center" vertical="center" shrinkToFit="1"/>
    </xf>
    <xf numFmtId="0" fontId="80" fillId="210" borderId="1" xfId="138" applyFont="1" applyFill="1" applyBorder="1" applyAlignment="1">
      <alignment horizontal="center" vertical="center" shrinkToFit="1"/>
    </xf>
    <xf numFmtId="0" fontId="34" fillId="41" borderId="101" xfId="0" applyFont="1" applyFill="1" applyBorder="1" applyAlignment="1">
      <alignment horizontal="center" vertical="center"/>
    </xf>
    <xf numFmtId="0" fontId="34" fillId="41" borderId="25" xfId="0" applyFont="1" applyFill="1" applyBorder="1" applyAlignment="1">
      <alignment horizontal="center" vertical="center"/>
    </xf>
    <xf numFmtId="0" fontId="80" fillId="110" borderId="1" xfId="138" applyFont="1" applyFill="1" applyBorder="1" applyAlignment="1">
      <alignment horizontal="center" vertical="center" shrinkToFit="1"/>
    </xf>
    <xf numFmtId="0" fontId="80" fillId="181" borderId="1" xfId="138" applyFont="1" applyFill="1" applyBorder="1" applyAlignment="1">
      <alignment horizontal="center" vertical="center" shrinkToFit="1"/>
    </xf>
    <xf numFmtId="0" fontId="61" fillId="59" borderId="1" xfId="138" applyFont="1" applyFill="1" applyBorder="1" applyAlignment="1">
      <alignment horizontal="center" vertical="center" shrinkToFit="1"/>
    </xf>
    <xf numFmtId="0" fontId="76" fillId="35" borderId="1" xfId="0" applyFont="1" applyFill="1" applyBorder="1" applyAlignment="1">
      <alignment horizontal="center" vertical="center"/>
    </xf>
    <xf numFmtId="0" fontId="80" fillId="211" borderId="1" xfId="138" applyFont="1" applyFill="1" applyBorder="1" applyAlignment="1">
      <alignment horizontal="center" vertical="center" shrinkToFit="1"/>
    </xf>
    <xf numFmtId="0" fontId="39" fillId="35" borderId="96" xfId="0" applyFont="1" applyFill="1" applyBorder="1" applyAlignment="1">
      <alignment horizontal="center" vertical="center"/>
    </xf>
    <xf numFmtId="0" fontId="136" fillId="81" borderId="1" xfId="0" applyFont="1" applyFill="1" applyBorder="1" applyAlignment="1">
      <alignment horizontal="center"/>
    </xf>
    <xf numFmtId="0" fontId="15" fillId="192" borderId="1" xfId="0" applyFont="1" applyFill="1" applyBorder="1" applyAlignment="1">
      <alignment horizontal="center" vertical="center"/>
    </xf>
    <xf numFmtId="0" fontId="126" fillId="157" borderId="40" xfId="0" applyFont="1" applyFill="1" applyBorder="1" applyAlignment="1">
      <alignment wrapText="1"/>
    </xf>
    <xf numFmtId="0" fontId="34" fillId="52" borderId="25" xfId="0" applyFont="1" applyFill="1" applyBorder="1" applyAlignment="1">
      <alignment horizontal="center" vertical="center"/>
    </xf>
    <xf numFmtId="0" fontId="79" fillId="44" borderId="1" xfId="131" applyFont="1" applyFill="1" applyBorder="1" applyAlignment="1">
      <alignment horizontal="center"/>
    </xf>
    <xf numFmtId="0" fontId="80" fillId="212" borderId="1" xfId="138" applyFont="1" applyFill="1" applyBorder="1" applyAlignment="1">
      <alignment horizontal="center" vertical="center" shrinkToFit="1"/>
    </xf>
    <xf numFmtId="0" fontId="79" fillId="0" borderId="1" xfId="0" applyFont="1" applyBorder="1"/>
    <xf numFmtId="170" fontId="79" fillId="0" borderId="1" xfId="0" applyNumberFormat="1" applyFont="1" applyBorder="1" applyAlignment="1">
      <alignment horizontal="center" vertical="center"/>
    </xf>
    <xf numFmtId="0" fontId="42" fillId="61" borderId="25" xfId="0" applyFont="1" applyFill="1" applyBorder="1" applyAlignment="1">
      <alignment horizontal="center" vertical="center"/>
    </xf>
    <xf numFmtId="0" fontId="75" fillId="174" borderId="1" xfId="138" applyFont="1" applyFill="1" applyBorder="1" applyAlignment="1">
      <alignment horizontal="center" vertical="center" shrinkToFit="1"/>
    </xf>
    <xf numFmtId="0" fontId="80" fillId="213" borderId="1" xfId="0" applyFont="1" applyFill="1" applyBorder="1" applyAlignment="1">
      <alignment horizontal="center" vertical="center"/>
    </xf>
    <xf numFmtId="0" fontId="34" fillId="34" borderId="25" xfId="0" applyFont="1" applyFill="1" applyBorder="1" applyAlignment="1">
      <alignment horizontal="center" vertical="center"/>
    </xf>
    <xf numFmtId="0" fontId="143" fillId="149" borderId="1" xfId="131" applyFont="1" applyFill="1" applyBorder="1" applyAlignment="1">
      <alignment horizontal="center"/>
    </xf>
    <xf numFmtId="0" fontId="61" fillId="0" borderId="1" xfId="138" applyFont="1" applyBorder="1" applyAlignment="1">
      <alignment horizontal="center" vertical="center" shrinkToFit="1"/>
    </xf>
    <xf numFmtId="0" fontId="34" fillId="54" borderId="25" xfId="0" applyFont="1" applyFill="1" applyBorder="1" applyAlignment="1">
      <alignment horizontal="center" vertical="center"/>
    </xf>
    <xf numFmtId="0" fontId="130" fillId="0" borderId="1" xfId="126" applyFont="1" applyBorder="1" applyAlignment="1" applyProtection="1">
      <alignment shrinkToFit="1"/>
      <protection locked="0"/>
    </xf>
    <xf numFmtId="0" fontId="80" fillId="214" borderId="1" xfId="0" applyFont="1" applyFill="1" applyBorder="1" applyAlignment="1">
      <alignment horizontal="center" vertical="center"/>
    </xf>
    <xf numFmtId="0" fontId="75" fillId="44" borderId="1" xfId="0" applyFont="1" applyFill="1" applyBorder="1" applyAlignment="1">
      <alignment horizontal="center" vertical="center"/>
    </xf>
    <xf numFmtId="0" fontId="126" fillId="88" borderId="0" xfId="0" applyFont="1" applyFill="1"/>
    <xf numFmtId="0" fontId="34" fillId="44" borderId="25" xfId="0" applyFont="1" applyFill="1" applyBorder="1" applyAlignment="1">
      <alignment horizontal="center" vertical="center"/>
    </xf>
    <xf numFmtId="0" fontId="75" fillId="182" borderId="1" xfId="138" applyFont="1" applyFill="1" applyBorder="1" applyAlignment="1">
      <alignment horizontal="center" vertical="center" shrinkToFit="1"/>
    </xf>
    <xf numFmtId="0" fontId="75" fillId="71" borderId="1" xfId="0" applyFont="1" applyFill="1" applyBorder="1" applyAlignment="1">
      <alignment horizontal="center" vertical="center" wrapText="1"/>
    </xf>
    <xf numFmtId="0" fontId="3" fillId="0" borderId="90" xfId="138" applyFont="1" applyBorder="1" applyAlignment="1">
      <alignment horizontal="center" vertical="center" shrinkToFit="1"/>
    </xf>
    <xf numFmtId="0" fontId="34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82" fillId="0" borderId="0" xfId="138" applyFont="1" applyAlignment="1">
      <alignment horizontal="center" vertical="center" shrinkToFit="1"/>
    </xf>
    <xf numFmtId="0" fontId="136" fillId="35" borderId="53" xfId="0" applyFont="1" applyFill="1" applyBorder="1" applyAlignment="1">
      <alignment horizontal="center"/>
    </xf>
    <xf numFmtId="0" fontId="80" fillId="215" borderId="1" xfId="138" applyFont="1" applyFill="1" applyBorder="1" applyAlignment="1">
      <alignment horizontal="center" vertical="center" shrinkToFit="1"/>
    </xf>
    <xf numFmtId="0" fontId="34" fillId="197" borderId="53" xfId="138" applyFont="1" applyFill="1" applyBorder="1" applyAlignment="1">
      <alignment vertical="center" shrinkToFit="1"/>
    </xf>
    <xf numFmtId="0" fontId="34" fillId="197" borderId="109" xfId="138" applyFont="1" applyFill="1" applyBorder="1" applyAlignment="1">
      <alignment vertical="center" shrinkToFit="1"/>
    </xf>
    <xf numFmtId="0" fontId="135" fillId="216" borderId="1" xfId="0" applyFont="1" applyFill="1" applyBorder="1" applyAlignment="1">
      <alignment horizontal="center"/>
    </xf>
    <xf numFmtId="0" fontId="137" fillId="217" borderId="1" xfId="0" applyFont="1" applyFill="1" applyBorder="1" applyAlignment="1">
      <alignment horizontal="center" vertical="center"/>
    </xf>
    <xf numFmtId="0" fontId="3" fillId="0" borderId="1" xfId="150" applyFont="1" applyBorder="1" applyAlignment="1">
      <alignment horizontal="center" vertical="center"/>
    </xf>
    <xf numFmtId="0" fontId="79" fillId="219" borderId="1" xfId="0" applyFont="1" applyFill="1" applyBorder="1" applyAlignment="1">
      <alignment horizontal="center"/>
    </xf>
    <xf numFmtId="0" fontId="145" fillId="220" borderId="1" xfId="138" applyFont="1" applyFill="1" applyBorder="1" applyAlignment="1">
      <alignment horizontal="center" vertical="center" shrinkToFit="1"/>
    </xf>
    <xf numFmtId="0" fontId="61" fillId="185" borderId="1" xfId="138" applyFont="1" applyFill="1" applyBorder="1" applyAlignment="1">
      <alignment horizontal="center" vertical="center" shrinkToFit="1"/>
    </xf>
    <xf numFmtId="0" fontId="80" fillId="221" borderId="1" xfId="138" applyFont="1" applyFill="1" applyBorder="1" applyAlignment="1">
      <alignment horizontal="center" vertical="center" shrinkToFit="1"/>
    </xf>
    <xf numFmtId="0" fontId="79" fillId="35" borderId="1" xfId="0" applyFont="1" applyFill="1" applyBorder="1" applyAlignment="1">
      <alignment horizontal="center"/>
    </xf>
    <xf numFmtId="0" fontId="80" fillId="222" borderId="1" xfId="138" applyFont="1" applyFill="1" applyBorder="1" applyAlignment="1">
      <alignment horizontal="center" vertical="center" shrinkToFit="1"/>
    </xf>
    <xf numFmtId="0" fontId="126" fillId="88" borderId="0" xfId="0" applyFont="1" applyFill="1" applyAlignment="1">
      <alignment wrapText="1"/>
    </xf>
    <xf numFmtId="0" fontId="77" fillId="44" borderId="1" xfId="0" applyFont="1" applyFill="1" applyBorder="1" applyAlignment="1">
      <alignment horizontal="center"/>
    </xf>
    <xf numFmtId="0" fontId="75" fillId="223" borderId="1" xfId="138" applyFont="1" applyFill="1" applyBorder="1" applyAlignment="1">
      <alignment horizontal="center" vertical="center" shrinkToFit="1"/>
    </xf>
    <xf numFmtId="0" fontId="61" fillId="218" borderId="1" xfId="138" applyFont="1" applyFill="1" applyBorder="1" applyAlignment="1">
      <alignment horizontal="center" vertical="center" shrinkToFit="1"/>
    </xf>
    <xf numFmtId="0" fontId="34" fillId="56" borderId="25" xfId="0" applyFont="1" applyFill="1" applyBorder="1" applyAlignment="1">
      <alignment horizontal="center" vertical="center"/>
    </xf>
    <xf numFmtId="0" fontId="130" fillId="0" borderId="1" xfId="138" applyFont="1" applyBorder="1" applyAlignment="1">
      <alignment shrinkToFit="1"/>
    </xf>
    <xf numFmtId="0" fontId="76" fillId="116" borderId="1" xfId="138" applyFont="1" applyFill="1" applyBorder="1" applyAlignment="1">
      <alignment horizontal="center" vertical="center" shrinkToFit="1"/>
    </xf>
    <xf numFmtId="0" fontId="77" fillId="117" borderId="1" xfId="0" applyFont="1" applyFill="1" applyBorder="1" applyAlignment="1">
      <alignment horizontal="center" vertical="center"/>
    </xf>
    <xf numFmtId="0" fontId="80" fillId="52" borderId="1" xfId="0" applyFont="1" applyFill="1" applyBorder="1" applyAlignment="1">
      <alignment horizontal="center" vertical="center"/>
    </xf>
    <xf numFmtId="0" fontId="39" fillId="63" borderId="0" xfId="0" applyFont="1" applyFill="1" applyAlignment="1">
      <alignment horizontal="center" vertical="center"/>
    </xf>
    <xf numFmtId="0" fontId="146" fillId="116" borderId="1" xfId="138" applyFont="1" applyFill="1" applyBorder="1" applyAlignment="1">
      <alignment horizontal="center" vertical="center" shrinkToFit="1"/>
    </xf>
    <xf numFmtId="0" fontId="80" fillId="224" borderId="1" xfId="138" applyFont="1" applyFill="1" applyBorder="1" applyAlignment="1">
      <alignment horizontal="center" vertical="center" shrinkToFit="1"/>
    </xf>
    <xf numFmtId="0" fontId="0" fillId="156" borderId="35" xfId="0" applyFill="1" applyBorder="1" applyAlignment="1">
      <alignment wrapText="1"/>
    </xf>
    <xf numFmtId="0" fontId="34" fillId="46" borderId="25" xfId="0" applyFont="1" applyFill="1" applyBorder="1" applyAlignment="1">
      <alignment horizontal="center" vertical="center"/>
    </xf>
    <xf numFmtId="0" fontId="147" fillId="52" borderId="1" xfId="138" applyFont="1" applyFill="1" applyBorder="1" applyAlignment="1">
      <alignment horizontal="center" vertical="center" shrinkToFit="1"/>
    </xf>
    <xf numFmtId="0" fontId="80" fillId="225" borderId="1" xfId="138" applyFont="1" applyFill="1" applyBorder="1" applyAlignment="1">
      <alignment horizontal="center" vertical="center" shrinkToFit="1"/>
    </xf>
    <xf numFmtId="0" fontId="34" fillId="38" borderId="25" xfId="0" applyFont="1" applyFill="1" applyBorder="1" applyAlignment="1">
      <alignment horizontal="center" vertical="center"/>
    </xf>
    <xf numFmtId="0" fontId="75" fillId="226" borderId="1" xfId="138" applyFont="1" applyFill="1" applyBorder="1" applyAlignment="1">
      <alignment horizontal="center" vertical="center" shrinkToFit="1"/>
    </xf>
    <xf numFmtId="0" fontId="34" fillId="53" borderId="33" xfId="0" applyFont="1" applyFill="1" applyBorder="1" applyAlignment="1">
      <alignment horizontal="center" vertical="center"/>
    </xf>
    <xf numFmtId="0" fontId="75" fillId="227" borderId="1" xfId="138" applyFont="1" applyFill="1" applyBorder="1" applyAlignment="1" applyProtection="1">
      <alignment horizontal="center" vertical="center" shrinkToFit="1"/>
      <protection locked="0"/>
    </xf>
    <xf numFmtId="0" fontId="61" fillId="97" borderId="1" xfId="138" applyFont="1" applyFill="1" applyBorder="1" applyAlignment="1">
      <alignment horizontal="center" vertical="center" shrinkToFit="1"/>
    </xf>
    <xf numFmtId="0" fontId="61" fillId="228" borderId="1" xfId="0" applyFont="1" applyFill="1" applyBorder="1" applyAlignment="1">
      <alignment horizontal="center" vertical="center"/>
    </xf>
    <xf numFmtId="0" fontId="56" fillId="63" borderId="0" xfId="0" applyFont="1" applyFill="1" applyAlignment="1">
      <alignment horizontal="center" vertical="center"/>
    </xf>
    <xf numFmtId="0" fontId="80" fillId="229" borderId="1" xfId="138" applyFont="1" applyFill="1" applyBorder="1" applyAlignment="1">
      <alignment horizontal="center" vertical="center" shrinkToFit="1"/>
    </xf>
    <xf numFmtId="0" fontId="75" fillId="230" borderId="1" xfId="138" applyFont="1" applyFill="1" applyBorder="1" applyAlignment="1">
      <alignment horizontal="center" vertical="center" shrinkToFit="1"/>
    </xf>
    <xf numFmtId="0" fontId="79" fillId="80" borderId="1" xfId="0" applyFont="1" applyFill="1" applyBorder="1" applyAlignment="1">
      <alignment horizontal="center"/>
    </xf>
    <xf numFmtId="0" fontId="61" fillId="231" borderId="1" xfId="138" applyFont="1" applyFill="1" applyBorder="1" applyAlignment="1">
      <alignment horizontal="center" vertical="center" shrinkToFit="1"/>
    </xf>
    <xf numFmtId="0" fontId="75" fillId="42" borderId="1" xfId="0" applyFont="1" applyFill="1" applyBorder="1" applyAlignment="1">
      <alignment horizontal="center" vertical="center" wrapText="1"/>
    </xf>
    <xf numFmtId="0" fontId="34" fillId="69" borderId="0" xfId="0" applyFont="1" applyFill="1" applyAlignment="1">
      <alignment horizontal="center" vertical="center"/>
    </xf>
    <xf numFmtId="0" fontId="131" fillId="232" borderId="1" xfId="0" applyFont="1" applyFill="1" applyBorder="1" applyAlignment="1">
      <alignment horizontal="center" vertical="center"/>
    </xf>
    <xf numFmtId="0" fontId="37" fillId="49" borderId="0" xfId="0" applyFont="1" applyFill="1" applyAlignment="1">
      <alignment horizontal="center" vertical="center"/>
    </xf>
    <xf numFmtId="0" fontId="61" fillId="79" borderId="1" xfId="138" applyFont="1" applyFill="1" applyBorder="1" applyAlignment="1">
      <alignment horizontal="center" vertical="center" shrinkToFit="1"/>
    </xf>
    <xf numFmtId="0" fontId="131" fillId="50" borderId="1" xfId="138" applyFont="1" applyFill="1" applyBorder="1" applyAlignment="1">
      <alignment horizontal="center" vertical="center" shrinkToFit="1"/>
    </xf>
    <xf numFmtId="0" fontId="75" fillId="34" borderId="1" xfId="0" applyFont="1" applyFill="1" applyBorder="1" applyAlignment="1">
      <alignment horizontal="center" vertical="center"/>
    </xf>
    <xf numFmtId="0" fontId="76" fillId="55" borderId="1" xfId="138" applyFont="1" applyFill="1" applyBorder="1" applyAlignment="1" applyProtection="1">
      <alignment horizontal="center" vertical="center" shrinkToFit="1"/>
      <protection locked="0"/>
    </xf>
    <xf numFmtId="0" fontId="148" fillId="233" borderId="1" xfId="138" applyFont="1" applyFill="1" applyBorder="1" applyAlignment="1">
      <alignment horizontal="center" vertical="center" shrinkToFit="1"/>
    </xf>
    <xf numFmtId="0" fontId="34" fillId="69" borderId="33" xfId="0" applyFont="1" applyFill="1" applyBorder="1" applyAlignment="1">
      <alignment horizontal="center" vertical="center"/>
    </xf>
    <xf numFmtId="0" fontId="75" fillId="233" borderId="1" xfId="138" applyFont="1" applyFill="1" applyBorder="1" applyAlignment="1">
      <alignment horizontal="center" vertical="center" shrinkToFit="1"/>
    </xf>
    <xf numFmtId="0" fontId="75" fillId="54" borderId="1" xfId="0" applyFont="1" applyFill="1" applyBorder="1" applyAlignment="1">
      <alignment horizontal="center" vertical="center"/>
    </xf>
    <xf numFmtId="0" fontId="75" fillId="234" borderId="1" xfId="138" applyFont="1" applyFill="1" applyBorder="1" applyAlignment="1">
      <alignment horizontal="center" vertical="center" shrinkToFit="1"/>
    </xf>
    <xf numFmtId="0" fontId="137" fillId="235" borderId="1" xfId="0" applyFont="1" applyFill="1" applyBorder="1" applyAlignment="1">
      <alignment horizontal="center" vertical="center"/>
    </xf>
    <xf numFmtId="0" fontId="34" fillId="69" borderId="26" xfId="0" applyFont="1" applyFill="1" applyBorder="1" applyAlignment="1">
      <alignment horizontal="center" vertical="center"/>
    </xf>
    <xf numFmtId="0" fontId="79" fillId="42" borderId="1" xfId="0" applyFont="1" applyFill="1" applyBorder="1" applyAlignment="1">
      <alignment horizontal="center"/>
    </xf>
    <xf numFmtId="0" fontId="34" fillId="45" borderId="0" xfId="0" applyFont="1" applyFill="1" applyAlignment="1">
      <alignment horizontal="center" vertical="center"/>
    </xf>
    <xf numFmtId="0" fontId="79" fillId="52" borderId="1" xfId="0" applyFont="1" applyFill="1" applyBorder="1" applyAlignment="1">
      <alignment horizontal="center"/>
    </xf>
    <xf numFmtId="0" fontId="133" fillId="236" borderId="1" xfId="138" applyFont="1" applyFill="1" applyBorder="1" applyAlignment="1">
      <alignment horizontal="center" vertical="center" shrinkToFit="1"/>
    </xf>
    <xf numFmtId="0" fontId="75" fillId="237" borderId="1" xfId="0" applyFont="1" applyFill="1" applyBorder="1" applyAlignment="1">
      <alignment horizontal="center" vertical="center" wrapText="1"/>
    </xf>
    <xf numFmtId="0" fontId="37" fillId="38" borderId="0" xfId="0" applyFont="1" applyFill="1" applyAlignment="1">
      <alignment horizontal="center" vertical="center"/>
    </xf>
    <xf numFmtId="0" fontId="136" fillId="190" borderId="1" xfId="131" applyFont="1" applyFill="1" applyBorder="1" applyAlignment="1">
      <alignment horizontal="center"/>
    </xf>
    <xf numFmtId="0" fontId="131" fillId="238" borderId="1" xfId="138" applyFont="1" applyFill="1" applyBorder="1" applyAlignment="1">
      <alignment horizontal="center" vertical="center" shrinkToFit="1"/>
    </xf>
    <xf numFmtId="0" fontId="34" fillId="50" borderId="0" xfId="0" applyFont="1" applyFill="1" applyAlignment="1">
      <alignment horizontal="center" vertical="center"/>
    </xf>
    <xf numFmtId="0" fontId="79" fillId="55" borderId="1" xfId="0" applyFont="1" applyFill="1" applyBorder="1" applyAlignment="1">
      <alignment horizontal="center"/>
    </xf>
    <xf numFmtId="0" fontId="42" fillId="60" borderId="25" xfId="0" applyFont="1" applyFill="1" applyBorder="1" applyAlignment="1">
      <alignment horizontal="center" vertical="center"/>
    </xf>
    <xf numFmtId="0" fontId="79" fillId="147" borderId="1" xfId="0" applyFont="1" applyFill="1" applyBorder="1" applyAlignment="1">
      <alignment horizontal="center"/>
    </xf>
    <xf numFmtId="0" fontId="149" fillId="239" borderId="1" xfId="138" applyFont="1" applyFill="1" applyBorder="1" applyAlignment="1">
      <alignment horizontal="center" vertical="center" shrinkToFit="1"/>
    </xf>
    <xf numFmtId="0" fontId="79" fillId="190" borderId="1" xfId="0" applyFont="1" applyFill="1" applyBorder="1" applyAlignment="1">
      <alignment horizontal="center"/>
    </xf>
    <xf numFmtId="0" fontId="48" fillId="0" borderId="0" xfId="138" applyFont="1" applyAlignment="1">
      <alignment horizontal="center" vertical="center" shrinkToFit="1"/>
    </xf>
    <xf numFmtId="0" fontId="34" fillId="197" borderId="0" xfId="138" applyFont="1" applyFill="1" applyAlignment="1">
      <alignment vertical="center" shrinkToFit="1"/>
    </xf>
    <xf numFmtId="170" fontId="0" fillId="0" borderId="0" xfId="0" applyNumberFormat="1"/>
    <xf numFmtId="0" fontId="80" fillId="156" borderId="1" xfId="0" applyFont="1" applyFill="1" applyBorder="1" applyAlignment="1">
      <alignment horizontal="center" vertical="center"/>
    </xf>
    <xf numFmtId="0" fontId="61" fillId="0" borderId="114" xfId="138" applyFont="1" applyBorder="1" applyAlignment="1">
      <alignment vertical="center" shrinkToFit="1"/>
    </xf>
    <xf numFmtId="0" fontId="2" fillId="0" borderId="53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75" fillId="240" borderId="1" xfId="138" applyFont="1" applyFill="1" applyBorder="1" applyAlignment="1">
      <alignment horizontal="center" vertical="center" shrinkToFit="1"/>
    </xf>
    <xf numFmtId="0" fontId="131" fillId="110" borderId="1" xfId="138" applyFont="1" applyFill="1" applyBorder="1" applyAlignment="1">
      <alignment horizontal="center" vertical="center" shrinkToFit="1"/>
    </xf>
    <xf numFmtId="0" fontId="46" fillId="73" borderId="54" xfId="138" applyFont="1" applyFill="1" applyBorder="1" applyAlignment="1">
      <alignment horizontal="center" vertical="center" shrinkToFit="1"/>
    </xf>
    <xf numFmtId="0" fontId="75" fillId="241" borderId="1" xfId="138" applyFont="1" applyFill="1" applyBorder="1" applyAlignment="1">
      <alignment horizontal="center" vertical="center" shrinkToFit="1"/>
    </xf>
    <xf numFmtId="0" fontId="150" fillId="242" borderId="1" xfId="138" applyFont="1" applyFill="1" applyBorder="1" applyAlignment="1">
      <alignment horizontal="center" vertical="center" shrinkToFit="1"/>
    </xf>
    <xf numFmtId="0" fontId="151" fillId="243" borderId="1" xfId="0" applyFont="1" applyFill="1" applyBorder="1" applyAlignment="1">
      <alignment horizontal="center" vertical="center"/>
    </xf>
    <xf numFmtId="0" fontId="67" fillId="63" borderId="1" xfId="131" applyFont="1" applyFill="1" applyBorder="1" applyAlignment="1">
      <alignment horizontal="center"/>
    </xf>
    <xf numFmtId="0" fontId="150" fillId="242" borderId="56" xfId="138" applyFont="1" applyFill="1" applyBorder="1" applyAlignment="1">
      <alignment horizontal="center" vertical="center" shrinkToFit="1"/>
    </xf>
    <xf numFmtId="0" fontId="75" fillId="149" borderId="1" xfId="0" applyFont="1" applyFill="1" applyBorder="1" applyAlignment="1">
      <alignment horizontal="center" vertical="center"/>
    </xf>
    <xf numFmtId="0" fontId="80" fillId="244" borderId="1" xfId="138" applyFont="1" applyFill="1" applyBorder="1" applyAlignment="1">
      <alignment horizontal="center" vertical="center" shrinkToFit="1"/>
    </xf>
    <xf numFmtId="0" fontId="79" fillId="0" borderId="56" xfId="0" applyFont="1" applyBorder="1"/>
    <xf numFmtId="0" fontId="62" fillId="63" borderId="115" xfId="0" applyFont="1" applyFill="1" applyBorder="1" applyAlignment="1">
      <alignment horizontal="center"/>
    </xf>
    <xf numFmtId="0" fontId="75" fillId="203" borderId="1" xfId="138" applyFont="1" applyFill="1" applyBorder="1" applyAlignment="1">
      <alignment horizontal="center" vertical="center" shrinkToFit="1"/>
    </xf>
    <xf numFmtId="170" fontId="3" fillId="245" borderId="0" xfId="150" applyNumberFormat="1" applyFont="1" applyFill="1" applyAlignment="1">
      <alignment horizontal="center" vertical="center" shrinkToFit="1"/>
    </xf>
    <xf numFmtId="170" fontId="0" fillId="88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79" fillId="54" borderId="1" xfId="0" applyFont="1" applyFill="1" applyBorder="1" applyAlignment="1">
      <alignment horizontal="center"/>
    </xf>
    <xf numFmtId="0" fontId="0" fillId="0" borderId="116" xfId="0" applyBorder="1"/>
    <xf numFmtId="0" fontId="0" fillId="0" borderId="22" xfId="0" applyBorder="1"/>
    <xf numFmtId="0" fontId="79" fillId="100" borderId="1" xfId="131" applyFont="1" applyFill="1" applyBorder="1" applyAlignment="1">
      <alignment horizontal="center"/>
    </xf>
    <xf numFmtId="0" fontId="126" fillId="0" borderId="1" xfId="0" applyFont="1" applyBorder="1"/>
    <xf numFmtId="0" fontId="152" fillId="246" borderId="1" xfId="0" applyFont="1" applyFill="1" applyBorder="1" applyAlignment="1">
      <alignment horizontal="center" vertical="center" wrapText="1"/>
    </xf>
    <xf numFmtId="0" fontId="126" fillId="50" borderId="0" xfId="0" applyFont="1" applyFill="1" applyAlignment="1">
      <alignment wrapText="1"/>
    </xf>
    <xf numFmtId="0" fontId="79" fillId="247" borderId="1" xfId="0" applyFont="1" applyFill="1" applyBorder="1" applyAlignment="1">
      <alignment horizontal="center"/>
    </xf>
    <xf numFmtId="0" fontId="75" fillId="110" borderId="1" xfId="0" applyFont="1" applyFill="1" applyBorder="1" applyAlignment="1">
      <alignment horizontal="center" vertical="center" wrapText="1"/>
    </xf>
    <xf numFmtId="0" fontId="80" fillId="202" borderId="1" xfId="138" applyFont="1" applyFill="1" applyBorder="1" applyAlignment="1">
      <alignment horizontal="center" vertical="center" shrinkToFit="1"/>
    </xf>
    <xf numFmtId="0" fontId="75" fillId="248" borderId="1" xfId="138" applyFont="1" applyFill="1" applyBorder="1" applyAlignment="1">
      <alignment horizontal="center" vertical="center" shrinkToFit="1"/>
    </xf>
    <xf numFmtId="0" fontId="75" fillId="63" borderId="1" xfId="0" applyFont="1" applyFill="1" applyBorder="1" applyAlignment="1">
      <alignment horizontal="center" vertical="center" wrapText="1"/>
    </xf>
    <xf numFmtId="0" fontId="80" fillId="249" borderId="1" xfId="138" applyFont="1" applyFill="1" applyBorder="1" applyAlignment="1">
      <alignment horizontal="center" vertical="center" shrinkToFit="1"/>
    </xf>
    <xf numFmtId="0" fontId="153" fillId="250" borderId="1" xfId="0" applyFont="1" applyFill="1" applyBorder="1" applyAlignment="1">
      <alignment horizontal="center" vertical="center" wrapText="1"/>
    </xf>
    <xf numFmtId="0" fontId="79" fillId="83" borderId="1" xfId="0" applyFont="1" applyFill="1" applyBorder="1" applyAlignment="1">
      <alignment horizontal="center"/>
    </xf>
    <xf numFmtId="0" fontId="61" fillId="251" borderId="1" xfId="0" applyFont="1" applyFill="1" applyBorder="1" applyAlignment="1">
      <alignment horizontal="center" vertical="center" wrapText="1"/>
    </xf>
    <xf numFmtId="0" fontId="75" fillId="131" borderId="1" xfId="138" applyFont="1" applyFill="1" applyBorder="1" applyAlignment="1">
      <alignment horizontal="center" vertical="center" shrinkToFit="1"/>
    </xf>
    <xf numFmtId="0" fontId="75" fillId="117" borderId="1" xfId="0" applyFont="1" applyFill="1" applyBorder="1" applyAlignment="1">
      <alignment horizontal="center" vertical="center"/>
    </xf>
    <xf numFmtId="0" fontId="79" fillId="237" borderId="1" xfId="0" applyFont="1" applyFill="1" applyBorder="1" applyAlignment="1">
      <alignment horizontal="center"/>
    </xf>
    <xf numFmtId="0" fontId="142" fillId="0" borderId="0" xfId="138" applyFont="1" applyAlignment="1">
      <alignment shrinkToFit="1"/>
    </xf>
    <xf numFmtId="0" fontId="75" fillId="163" borderId="1" xfId="138" applyFont="1" applyFill="1" applyBorder="1" applyAlignment="1">
      <alignment horizontal="center" vertical="center" shrinkToFit="1"/>
    </xf>
    <xf numFmtId="0" fontId="82" fillId="0" borderId="0" xfId="138" applyFont="1" applyAlignment="1">
      <alignment vertical="center" shrinkToFit="1"/>
    </xf>
    <xf numFmtId="0" fontId="79" fillId="150" borderId="1" xfId="0" applyFont="1" applyFill="1" applyBorder="1" applyAlignment="1">
      <alignment horizontal="center"/>
    </xf>
    <xf numFmtId="0" fontId="80" fillId="252" borderId="1" xfId="138" applyFont="1" applyFill="1" applyBorder="1" applyAlignment="1">
      <alignment horizontal="center" vertical="center" shrinkToFit="1"/>
    </xf>
    <xf numFmtId="0" fontId="47" fillId="92" borderId="54" xfId="138" applyFont="1" applyFill="1" applyBorder="1" applyAlignment="1">
      <alignment horizontal="center" vertical="center" shrinkToFit="1"/>
    </xf>
    <xf numFmtId="0" fontId="80" fillId="177" borderId="1" xfId="138" applyFont="1" applyFill="1" applyBorder="1" applyAlignment="1">
      <alignment horizontal="center" vertical="center" shrinkToFit="1"/>
    </xf>
    <xf numFmtId="0" fontId="75" fillId="50" borderId="56" xfId="0" applyFont="1" applyFill="1" applyBorder="1" applyAlignment="1">
      <alignment horizontal="center" vertical="center"/>
    </xf>
    <xf numFmtId="10" fontId="82" fillId="0" borderId="0" xfId="126" applyNumberFormat="1" applyFont="1" applyAlignment="1">
      <alignment vertical="center" shrinkToFit="1"/>
    </xf>
    <xf numFmtId="0" fontId="154" fillId="253" borderId="1" xfId="0" applyFont="1" applyFill="1" applyBorder="1" applyAlignment="1">
      <alignment horizontal="center" vertical="center" wrapText="1"/>
    </xf>
    <xf numFmtId="0" fontId="76" fillId="254" borderId="1" xfId="138" applyFont="1" applyFill="1" applyBorder="1" applyAlignment="1">
      <alignment horizontal="center" vertical="center" shrinkToFit="1"/>
    </xf>
    <xf numFmtId="0" fontId="76" fillId="255" borderId="2" xfId="0" applyFont="1" applyFill="1" applyBorder="1" applyAlignment="1">
      <alignment horizontal="center" vertical="center"/>
    </xf>
    <xf numFmtId="0" fontId="75" fillId="196" borderId="2" xfId="138" applyFont="1" applyFill="1" applyBorder="1" applyAlignment="1">
      <alignment horizontal="center" vertical="center" shrinkToFit="1"/>
    </xf>
    <xf numFmtId="0" fontId="80" fillId="256" borderId="1" xfId="138" applyFont="1" applyFill="1" applyBorder="1" applyAlignment="1">
      <alignment horizontal="center" vertical="center" shrinkToFit="1"/>
    </xf>
    <xf numFmtId="0" fontId="80" fillId="257" borderId="1" xfId="138" applyFont="1" applyFill="1" applyBorder="1" applyAlignment="1">
      <alignment horizontal="center" vertical="center" shrinkToFit="1"/>
    </xf>
    <xf numFmtId="0" fontId="61" fillId="153" borderId="1" xfId="138" applyFont="1" applyFill="1" applyBorder="1" applyAlignment="1">
      <alignment horizontal="center" vertical="center" shrinkToFit="1"/>
    </xf>
    <xf numFmtId="0" fontId="75" fillId="207" borderId="1" xfId="138" applyFont="1" applyFill="1" applyBorder="1" applyAlignment="1">
      <alignment horizontal="center" vertical="center" shrinkToFit="1"/>
    </xf>
    <xf numFmtId="0" fontId="76" fillId="81" borderId="1" xfId="0" applyFont="1" applyFill="1" applyBorder="1" applyAlignment="1">
      <alignment horizontal="center" vertical="center" wrapText="1"/>
    </xf>
    <xf numFmtId="0" fontId="76" fillId="258" borderId="1" xfId="0" applyFont="1" applyFill="1" applyBorder="1" applyAlignment="1">
      <alignment horizontal="center" vertical="center"/>
    </xf>
    <xf numFmtId="0" fontId="79" fillId="149" borderId="1" xfId="0" applyFont="1" applyFill="1" applyBorder="1" applyAlignment="1">
      <alignment horizontal="center"/>
    </xf>
    <xf numFmtId="0" fontId="76" fillId="50" borderId="1" xfId="0" applyFont="1" applyFill="1" applyBorder="1" applyAlignment="1">
      <alignment horizontal="center" vertical="center" wrapText="1"/>
    </xf>
    <xf numFmtId="0" fontId="155" fillId="259" borderId="1" xfId="0" applyFont="1" applyFill="1" applyBorder="1" applyAlignment="1">
      <alignment horizontal="center" vertical="center" wrapText="1"/>
    </xf>
    <xf numFmtId="0" fontId="80" fillId="82" borderId="1" xfId="0" applyFont="1" applyFill="1" applyBorder="1" applyAlignment="1">
      <alignment horizontal="center" vertical="center" wrapText="1"/>
    </xf>
    <xf numFmtId="0" fontId="126" fillId="103" borderId="0" xfId="0" applyFont="1" applyFill="1"/>
    <xf numFmtId="0" fontId="156" fillId="35" borderId="1" xfId="0" applyFont="1" applyFill="1" applyBorder="1" applyAlignment="1">
      <alignment horizontal="center" vertical="center" wrapText="1"/>
    </xf>
    <xf numFmtId="170" fontId="82" fillId="155" borderId="0" xfId="138" applyNumberFormat="1" applyFont="1" applyFill="1" applyAlignment="1">
      <alignment horizontal="center" vertical="center"/>
    </xf>
    <xf numFmtId="0" fontId="75" fillId="55" borderId="1" xfId="0" applyFont="1" applyFill="1" applyBorder="1" applyAlignment="1">
      <alignment horizontal="center" vertical="center" wrapText="1"/>
    </xf>
    <xf numFmtId="0" fontId="80" fillId="55" borderId="1" xfId="0" applyFont="1" applyFill="1" applyBorder="1" applyAlignment="1">
      <alignment horizontal="center" vertical="center"/>
    </xf>
    <xf numFmtId="0" fontId="48" fillId="0" borderId="0" xfId="138" applyFont="1" applyAlignment="1">
      <alignment horizontal="center" shrinkToFit="1"/>
    </xf>
    <xf numFmtId="0" fontId="80" fillId="61" borderId="1" xfId="0" applyFont="1" applyFill="1" applyBorder="1" applyAlignment="1">
      <alignment horizontal="center" vertical="center"/>
    </xf>
    <xf numFmtId="0" fontId="75" fillId="260" borderId="1" xfId="138" applyFont="1" applyFill="1" applyBorder="1" applyAlignment="1">
      <alignment horizontal="center" vertical="center" shrinkToFit="1"/>
    </xf>
    <xf numFmtId="0" fontId="75" fillId="261" borderId="1" xfId="0" applyFont="1" applyFill="1" applyBorder="1" applyAlignment="1">
      <alignment horizontal="center" vertical="center"/>
    </xf>
    <xf numFmtId="0" fontId="131" fillId="50" borderId="1" xfId="0" applyFont="1" applyFill="1" applyBorder="1" applyAlignment="1">
      <alignment horizontal="center" vertical="center"/>
    </xf>
    <xf numFmtId="0" fontId="80" fillId="117" borderId="1" xfId="0" applyFont="1" applyFill="1" applyBorder="1" applyAlignment="1">
      <alignment horizontal="center" vertical="center"/>
    </xf>
    <xf numFmtId="0" fontId="75" fillId="82" borderId="1" xfId="0" applyFont="1" applyFill="1" applyBorder="1" applyAlignment="1">
      <alignment horizontal="center" vertical="center"/>
    </xf>
    <xf numFmtId="0" fontId="131" fillId="262" borderId="1" xfId="0" applyFont="1" applyFill="1" applyBorder="1" applyAlignment="1">
      <alignment horizontal="center" vertical="center"/>
    </xf>
    <xf numFmtId="0" fontId="80" fillId="263" borderId="1" xfId="0" applyFont="1" applyFill="1" applyBorder="1" applyAlignment="1">
      <alignment horizontal="center" vertical="center"/>
    </xf>
    <xf numFmtId="170" fontId="157" fillId="0" borderId="3" xfId="0" applyNumberFormat="1" applyFont="1" applyBorder="1" applyAlignment="1">
      <alignment horizontal="center" vertical="center"/>
    </xf>
    <xf numFmtId="0" fontId="126" fillId="0" borderId="118" xfId="0" applyFont="1" applyBorder="1"/>
    <xf numFmtId="0" fontId="75" fillId="192" borderId="1" xfId="0" applyFont="1" applyFill="1" applyBorder="1" applyAlignment="1">
      <alignment horizontal="center" vertical="center"/>
    </xf>
    <xf numFmtId="0" fontId="158" fillId="103" borderId="0" xfId="0" applyFont="1" applyFill="1"/>
    <xf numFmtId="0" fontId="131" fillId="264" borderId="1" xfId="0" applyFont="1" applyFill="1" applyBorder="1" applyAlignment="1">
      <alignment horizontal="center" vertical="center"/>
    </xf>
    <xf numFmtId="0" fontId="59" fillId="0" borderId="28" xfId="0" applyFont="1" applyBorder="1" applyAlignment="1" applyProtection="1">
      <alignment horizontal="center"/>
      <protection locked="0"/>
    </xf>
    <xf numFmtId="0" fontId="59" fillId="0" borderId="29" xfId="0" applyFont="1" applyBorder="1" applyAlignment="1" applyProtection="1">
      <alignment horizontal="center"/>
      <protection locked="0"/>
    </xf>
    <xf numFmtId="0" fontId="59" fillId="0" borderId="0" xfId="0" applyFont="1" applyAlignment="1" applyProtection="1">
      <alignment horizontal="center"/>
      <protection locked="0"/>
    </xf>
    <xf numFmtId="0" fontId="80" fillId="124" borderId="121" xfId="138" applyFont="1" applyFill="1" applyBorder="1" applyAlignment="1">
      <alignment horizontal="center" vertical="center" shrinkToFit="1"/>
    </xf>
    <xf numFmtId="0" fontId="126" fillId="61" borderId="0" xfId="0" applyFont="1" applyFill="1"/>
    <xf numFmtId="0" fontId="159" fillId="265" borderId="1" xfId="0" applyFont="1" applyFill="1" applyBorder="1" applyAlignment="1">
      <alignment horizontal="center" vertical="center"/>
    </xf>
    <xf numFmtId="0" fontId="75" fillId="35" borderId="17" xfId="138" applyFont="1" applyFill="1" applyBorder="1" applyAlignment="1">
      <alignment horizontal="center" vertical="center" shrinkToFit="1"/>
    </xf>
    <xf numFmtId="0" fontId="89" fillId="266" borderId="1" xfId="0" applyFont="1" applyFill="1" applyBorder="1" applyAlignment="1">
      <alignment horizontal="center" vertical="center" wrapText="1"/>
    </xf>
    <xf numFmtId="0" fontId="75" fillId="83" borderId="1" xfId="0" applyFont="1" applyFill="1" applyBorder="1" applyAlignment="1">
      <alignment horizontal="center" vertical="center"/>
    </xf>
    <xf numFmtId="0" fontId="126" fillId="44" borderId="58" xfId="0" applyFont="1" applyFill="1" applyBorder="1" applyAlignment="1">
      <alignment horizontal="center" wrapText="1"/>
    </xf>
    <xf numFmtId="0" fontId="75" fillId="267" borderId="1" xfId="138" applyFont="1" applyFill="1" applyBorder="1" applyAlignment="1">
      <alignment horizontal="center" vertical="center" shrinkToFit="1"/>
    </xf>
    <xf numFmtId="0" fontId="48" fillId="0" borderId="92" xfId="138" applyFont="1" applyBorder="1" applyAlignment="1">
      <alignment horizontal="center" shrinkToFit="1"/>
    </xf>
    <xf numFmtId="0" fontId="126" fillId="44" borderId="0" xfId="0" applyFont="1" applyFill="1" applyAlignment="1">
      <alignment horizontal="center" wrapText="1"/>
    </xf>
    <xf numFmtId="0" fontId="131" fillId="268" borderId="1" xfId="138" applyFont="1" applyFill="1" applyBorder="1" applyAlignment="1">
      <alignment horizontal="center" vertical="center" shrinkToFit="1"/>
    </xf>
    <xf numFmtId="170" fontId="56" fillId="198" borderId="1" xfId="141" applyNumberFormat="1" applyFont="1" applyFill="1" applyBorder="1" applyAlignment="1">
      <alignment vertical="center" shrinkToFit="1"/>
    </xf>
    <xf numFmtId="0" fontId="75" fillId="152" borderId="17" xfId="0" applyFont="1" applyFill="1" applyBorder="1" applyAlignment="1">
      <alignment horizontal="center" vertical="center"/>
    </xf>
    <xf numFmtId="0" fontId="75" fillId="23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5" fillId="126" borderId="17" xfId="138" applyFont="1" applyFill="1" applyBorder="1" applyAlignment="1">
      <alignment horizontal="center" vertical="center" shrinkToFit="1"/>
    </xf>
    <xf numFmtId="0" fontId="137" fillId="269" borderId="1" xfId="0" applyFont="1" applyFill="1" applyBorder="1" applyAlignment="1">
      <alignment horizontal="center" vertical="center"/>
    </xf>
    <xf numFmtId="0" fontId="75" fillId="131" borderId="16" xfId="138" applyFont="1" applyFill="1" applyBorder="1" applyAlignment="1">
      <alignment horizontal="center" vertical="center" shrinkToFit="1"/>
    </xf>
    <xf numFmtId="0" fontId="75" fillId="270" borderId="1" xfId="0" applyFont="1" applyFill="1" applyBorder="1" applyAlignment="1">
      <alignment horizontal="center" vertical="center" wrapText="1"/>
    </xf>
    <xf numFmtId="0" fontId="75" fillId="50" borderId="1" xfId="0" applyFont="1" applyFill="1" applyBorder="1" applyAlignment="1">
      <alignment horizontal="center" vertical="center"/>
    </xf>
    <xf numFmtId="0" fontId="80" fillId="271" borderId="1" xfId="0" applyFont="1" applyFill="1" applyBorder="1" applyAlignment="1">
      <alignment horizontal="center" vertical="center" wrapText="1"/>
    </xf>
    <xf numFmtId="0" fontId="161" fillId="0" borderId="0" xfId="138" applyFont="1" applyAlignment="1">
      <alignment horizontal="center" vertical="center" shrinkToFit="1"/>
    </xf>
    <xf numFmtId="0" fontId="80" fillId="272" borderId="1" xfId="0" applyFont="1" applyFill="1" applyBorder="1" applyAlignment="1">
      <alignment horizontal="center" vertical="center" wrapText="1"/>
    </xf>
    <xf numFmtId="0" fontId="0" fillId="0" borderId="118" xfId="0" applyBorder="1"/>
    <xf numFmtId="0" fontId="80" fillId="273" borderId="1" xfId="0" applyFont="1" applyFill="1" applyBorder="1" applyAlignment="1">
      <alignment horizontal="center" vertical="center" wrapText="1"/>
    </xf>
    <xf numFmtId="0" fontId="126" fillId="0" borderId="69" xfId="0" applyFont="1" applyBorder="1"/>
    <xf numFmtId="0" fontId="151" fillId="274" borderId="1" xfId="0" applyFont="1" applyFill="1" applyBorder="1" applyAlignment="1">
      <alignment horizontal="center" vertical="center" wrapText="1"/>
    </xf>
    <xf numFmtId="0" fontId="144" fillId="0" borderId="0" xfId="138" applyFont="1" applyAlignment="1">
      <alignment horizontal="center" vertical="center" shrinkToFit="1"/>
    </xf>
    <xf numFmtId="0" fontId="162" fillId="275" borderId="121" xfId="138" applyFont="1" applyFill="1" applyBorder="1" applyAlignment="1">
      <alignment horizontal="center" vertical="center" shrinkToFit="1"/>
    </xf>
    <xf numFmtId="0" fontId="126" fillId="54" borderId="58" xfId="0" applyFont="1" applyFill="1" applyBorder="1" applyAlignment="1">
      <alignment horizontal="center" wrapText="1"/>
    </xf>
    <xf numFmtId="0" fontId="126" fillId="54" borderId="0" xfId="0" applyFont="1" applyFill="1" applyAlignment="1">
      <alignment horizontal="center" wrapText="1"/>
    </xf>
    <xf numFmtId="0" fontId="148" fillId="54" borderId="1" xfId="0" applyFont="1" applyFill="1" applyBorder="1" applyAlignment="1">
      <alignment horizontal="center" vertical="center"/>
    </xf>
    <xf numFmtId="0" fontId="80" fillId="54" borderId="1" xfId="0" applyFont="1" applyFill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61" fillId="35" borderId="1" xfId="0" applyFont="1" applyFill="1" applyBorder="1" applyAlignment="1">
      <alignment horizontal="center" vertical="center"/>
    </xf>
    <xf numFmtId="0" fontId="80" fillId="50" borderId="1" xfId="0" applyFont="1" applyFill="1" applyBorder="1" applyAlignment="1">
      <alignment horizontal="center" vertical="center"/>
    </xf>
    <xf numFmtId="0" fontId="152" fillId="276" borderId="1" xfId="0" applyFont="1" applyFill="1" applyBorder="1" applyAlignment="1">
      <alignment horizontal="center" vertical="center"/>
    </xf>
    <xf numFmtId="0" fontId="75" fillId="277" borderId="121" xfId="138" applyFont="1" applyFill="1" applyBorder="1" applyAlignment="1">
      <alignment horizontal="center" vertical="center" shrinkToFit="1"/>
    </xf>
    <xf numFmtId="0" fontId="126" fillId="55" borderId="0" xfId="0" applyFont="1" applyFill="1"/>
    <xf numFmtId="0" fontId="75" fillId="278" borderId="17" xfId="138" applyFont="1" applyFill="1" applyBorder="1" applyAlignment="1">
      <alignment horizontal="center" vertical="center" shrinkToFit="1"/>
    </xf>
    <xf numFmtId="0" fontId="75" fillId="35" borderId="121" xfId="0" applyFont="1" applyFill="1" applyBorder="1" applyAlignment="1">
      <alignment horizontal="center" vertical="center"/>
    </xf>
    <xf numFmtId="0" fontId="0" fillId="86" borderId="0" xfId="0" applyFill="1"/>
    <xf numFmtId="0" fontId="80" fillId="100" borderId="17" xfId="0" applyFont="1" applyFill="1" applyBorder="1" applyAlignment="1">
      <alignment horizontal="center" vertical="center"/>
    </xf>
    <xf numFmtId="0" fontId="0" fillId="56" borderId="1" xfId="0" applyFill="1" applyBorder="1"/>
    <xf numFmtId="0" fontId="75" fillId="119" borderId="1" xfId="0" applyFont="1" applyFill="1" applyBorder="1" applyAlignment="1">
      <alignment horizontal="center" vertical="center"/>
    </xf>
    <xf numFmtId="0" fontId="80" fillId="147" borderId="1" xfId="0" applyFont="1" applyFill="1" applyBorder="1" applyAlignment="1">
      <alignment horizontal="center" vertical="center"/>
    </xf>
    <xf numFmtId="0" fontId="75" fillId="279" borderId="1" xfId="138" applyFont="1" applyFill="1" applyBorder="1" applyAlignment="1">
      <alignment horizontal="center" vertical="center" shrinkToFit="1"/>
    </xf>
    <xf numFmtId="0" fontId="75" fillId="277" borderId="1" xfId="138" applyFont="1" applyFill="1" applyBorder="1" applyAlignment="1">
      <alignment horizontal="center" vertical="center" shrinkToFit="1"/>
    </xf>
    <xf numFmtId="0" fontId="75" fillId="280" borderId="121" xfId="138" applyFont="1" applyFill="1" applyBorder="1" applyAlignment="1">
      <alignment horizontal="center" vertical="center" shrinkToFit="1"/>
    </xf>
    <xf numFmtId="0" fontId="126" fillId="100" borderId="58" xfId="0" applyFont="1" applyFill="1" applyBorder="1" applyAlignment="1">
      <alignment horizontal="center" wrapText="1"/>
    </xf>
    <xf numFmtId="0" fontId="75" fillId="137" borderId="17" xfId="138" applyFont="1" applyFill="1" applyBorder="1" applyAlignment="1">
      <alignment horizontal="center" vertical="center" shrinkToFit="1"/>
    </xf>
    <xf numFmtId="0" fontId="126" fillId="100" borderId="0" xfId="0" applyFont="1" applyFill="1" applyAlignment="1">
      <alignment horizontal="center" wrapText="1"/>
    </xf>
    <xf numFmtId="0" fontId="75" fillId="248" borderId="17" xfId="138" applyFont="1" applyFill="1" applyBorder="1" applyAlignment="1">
      <alignment horizontal="center" vertical="center" shrinkToFit="1"/>
    </xf>
    <xf numFmtId="0" fontId="75" fillId="174" borderId="121" xfId="138" applyFont="1" applyFill="1" applyBorder="1" applyAlignment="1">
      <alignment horizontal="center" vertical="center" shrinkToFit="1"/>
    </xf>
    <xf numFmtId="0" fontId="75" fillId="281" borderId="17" xfId="138" applyFont="1" applyFill="1" applyBorder="1" applyAlignment="1">
      <alignment horizontal="center" vertical="center" shrinkToFit="1"/>
    </xf>
    <xf numFmtId="0" fontId="75" fillId="282" borderId="16" xfId="138" applyFont="1" applyFill="1" applyBorder="1" applyAlignment="1">
      <alignment horizontal="center" vertical="center" shrinkToFit="1"/>
    </xf>
    <xf numFmtId="0" fontId="75" fillId="177" borderId="121" xfId="138" applyFont="1" applyFill="1" applyBorder="1" applyAlignment="1">
      <alignment horizontal="center" vertical="center" shrinkToFit="1"/>
    </xf>
    <xf numFmtId="0" fontId="75" fillId="177" borderId="35" xfId="138" applyFont="1" applyFill="1" applyBorder="1" applyAlignment="1">
      <alignment horizontal="center" vertical="center" shrinkToFit="1"/>
    </xf>
    <xf numFmtId="0" fontId="76" fillId="152" borderId="1" xfId="138" applyFont="1" applyFill="1" applyBorder="1" applyAlignment="1">
      <alignment horizontal="center" vertical="center" shrinkToFit="1"/>
    </xf>
    <xf numFmtId="0" fontId="126" fillId="35" borderId="0" xfId="0" applyFont="1" applyFill="1"/>
    <xf numFmtId="0" fontId="80" fillId="283" borderId="128" xfId="138" applyFont="1" applyFill="1" applyBorder="1" applyAlignment="1">
      <alignment horizontal="center" vertical="center" shrinkToFit="1"/>
    </xf>
    <xf numFmtId="0" fontId="80" fillId="284" borderId="121" xfId="138" applyFont="1" applyFill="1" applyBorder="1" applyAlignment="1">
      <alignment horizontal="center" vertical="center" shrinkToFit="1"/>
    </xf>
    <xf numFmtId="0" fontId="0" fillId="79" borderId="0" xfId="0" applyFill="1"/>
    <xf numFmtId="0" fontId="75" fillId="0" borderId="1" xfId="0" applyFont="1" applyBorder="1"/>
    <xf numFmtId="0" fontId="126" fillId="152" borderId="0" xfId="0" applyFont="1" applyFill="1"/>
    <xf numFmtId="0" fontId="75" fillId="285" borderId="121" xfId="138" applyFont="1" applyFill="1" applyBorder="1" applyAlignment="1">
      <alignment horizontal="center" vertical="center" shrinkToFit="1"/>
    </xf>
    <xf numFmtId="0" fontId="80" fillId="187" borderId="121" xfId="138" applyFont="1" applyFill="1" applyBorder="1" applyAlignment="1">
      <alignment horizontal="center" vertical="center" shrinkToFit="1"/>
    </xf>
    <xf numFmtId="0" fontId="0" fillId="152" borderId="0" xfId="0" applyFill="1"/>
    <xf numFmtId="0" fontId="75" fillId="286" borderId="121" xfId="138" applyFont="1" applyFill="1" applyBorder="1" applyAlignment="1">
      <alignment horizontal="center" vertical="center" shrinkToFit="1"/>
    </xf>
    <xf numFmtId="0" fontId="75" fillId="287" borderId="121" xfId="138" applyFont="1" applyFill="1" applyBorder="1" applyAlignment="1">
      <alignment horizontal="center" vertical="center" shrinkToFit="1"/>
    </xf>
    <xf numFmtId="0" fontId="75" fillId="288" borderId="121" xfId="138" applyFont="1" applyFill="1" applyBorder="1" applyAlignment="1">
      <alignment horizontal="center" vertical="center" shrinkToFit="1"/>
    </xf>
    <xf numFmtId="0" fontId="75" fillId="289" borderId="121" xfId="138" applyFont="1" applyFill="1" applyBorder="1" applyAlignment="1">
      <alignment horizontal="center" vertical="center" shrinkToFit="1"/>
    </xf>
    <xf numFmtId="0" fontId="163" fillId="290" borderId="1" xfId="138" applyFont="1" applyFill="1" applyBorder="1" applyAlignment="1">
      <alignment horizontal="center" vertical="center" shrinkToFit="1"/>
    </xf>
    <xf numFmtId="0" fontId="0" fillId="160" borderId="0" xfId="0" applyFill="1"/>
    <xf numFmtId="0" fontId="75" fillId="291" borderId="121" xfId="138" applyFont="1" applyFill="1" applyBorder="1" applyAlignment="1">
      <alignment horizontal="center" vertical="center" shrinkToFit="1"/>
    </xf>
    <xf numFmtId="0" fontId="164" fillId="292" borderId="1" xfId="138" applyFont="1" applyFill="1" applyBorder="1" applyAlignment="1">
      <alignment horizontal="center" vertical="center" shrinkToFit="1"/>
    </xf>
    <xf numFmtId="0" fontId="75" fillId="293" borderId="121" xfId="138" applyFont="1" applyFill="1" applyBorder="1" applyAlignment="1">
      <alignment horizontal="center" vertical="center" shrinkToFit="1"/>
    </xf>
    <xf numFmtId="0" fontId="80" fillId="294" borderId="1" xfId="138" applyFont="1" applyFill="1" applyBorder="1" applyAlignment="1">
      <alignment horizontal="center" vertical="center" shrinkToFit="1"/>
    </xf>
    <xf numFmtId="0" fontId="75" fillId="295" borderId="121" xfId="138" applyFont="1" applyFill="1" applyBorder="1" applyAlignment="1">
      <alignment horizontal="center" vertical="center" shrinkToFit="1"/>
    </xf>
    <xf numFmtId="0" fontId="165" fillId="296" borderId="1" xfId="138" applyFont="1" applyFill="1" applyBorder="1" applyAlignment="1">
      <alignment horizontal="center" vertical="center" shrinkToFit="1"/>
    </xf>
    <xf numFmtId="0" fontId="75" fillId="297" borderId="121" xfId="138" applyFont="1" applyFill="1" applyBorder="1" applyAlignment="1">
      <alignment horizontal="center" vertical="center" shrinkToFit="1"/>
    </xf>
    <xf numFmtId="0" fontId="79" fillId="0" borderId="2" xfId="0" applyFont="1" applyBorder="1"/>
    <xf numFmtId="0" fontId="76" fillId="35" borderId="1" xfId="138" applyFont="1" applyFill="1" applyBorder="1" applyAlignment="1">
      <alignment horizontal="center" vertical="center" shrinkToFit="1"/>
    </xf>
    <xf numFmtId="0" fontId="80" fillId="0" borderId="128" xfId="138" applyFont="1" applyBorder="1" applyAlignment="1">
      <alignment horizontal="center" vertical="center" shrinkToFit="1"/>
    </xf>
    <xf numFmtId="0" fontId="75" fillId="0" borderId="118" xfId="138" applyFont="1" applyBorder="1" applyAlignment="1">
      <alignment horizontal="center" vertical="center" shrinkToFit="1"/>
    </xf>
    <xf numFmtId="0" fontId="75" fillId="0" borderId="0" xfId="138" applyFont="1" applyAlignment="1">
      <alignment horizontal="center" vertical="center" shrinkToFit="1"/>
    </xf>
    <xf numFmtId="0" fontId="79" fillId="0" borderId="0" xfId="0" applyFont="1"/>
    <xf numFmtId="170" fontId="79" fillId="0" borderId="0" xfId="0" applyNumberFormat="1" applyFont="1" applyAlignment="1">
      <alignment horizontal="center" vertical="center"/>
    </xf>
    <xf numFmtId="0" fontId="0" fillId="0" borderId="130" xfId="0" applyBorder="1"/>
    <xf numFmtId="0" fontId="0" fillId="0" borderId="131" xfId="0" applyBorder="1"/>
    <xf numFmtId="0" fontId="12" fillId="0" borderId="132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42" fillId="0" borderId="0" xfId="138" applyFont="1" applyAlignment="1">
      <alignment horizontal="center" shrinkToFit="1"/>
    </xf>
    <xf numFmtId="10" fontId="82" fillId="0" borderId="0" xfId="126" applyNumberFormat="1" applyFont="1" applyAlignment="1">
      <alignment horizontal="center" vertical="center" shrinkToFit="1"/>
    </xf>
    <xf numFmtId="0" fontId="12" fillId="63" borderId="0" xfId="0" applyFont="1" applyFill="1" applyAlignment="1">
      <alignment horizontal="center" vertical="center"/>
    </xf>
    <xf numFmtId="0" fontId="61" fillId="114" borderId="58" xfId="138" applyFont="1" applyFill="1" applyBorder="1" applyAlignment="1">
      <alignment horizontal="center" vertical="center" shrinkToFit="1"/>
    </xf>
    <xf numFmtId="0" fontId="75" fillId="84" borderId="58" xfId="138" applyFont="1" applyFill="1" applyBorder="1" applyAlignment="1">
      <alignment horizontal="center" vertical="center" shrinkToFit="1"/>
    </xf>
    <xf numFmtId="0" fontId="75" fillId="55" borderId="58" xfId="138" applyFont="1" applyFill="1" applyBorder="1" applyAlignment="1">
      <alignment horizontal="center" vertical="center" shrinkToFit="1"/>
    </xf>
    <xf numFmtId="0" fontId="73" fillId="128" borderId="53" xfId="250" applyFont="1" applyFill="1" applyBorder="1" applyAlignment="1" applyProtection="1">
      <alignment horizontal="center" vertical="center" shrinkToFit="1"/>
    </xf>
    <xf numFmtId="0" fontId="34" fillId="71" borderId="54" xfId="0" applyFont="1" applyFill="1" applyBorder="1" applyAlignment="1">
      <alignment horizontal="center" vertical="center"/>
    </xf>
    <xf numFmtId="0" fontId="43" fillId="65" borderId="53" xfId="0" applyFont="1" applyFill="1" applyBorder="1" applyAlignment="1">
      <alignment horizontal="center" vertical="center"/>
    </xf>
    <xf numFmtId="0" fontId="43" fillId="50" borderId="53" xfId="0" applyFont="1" applyFill="1" applyBorder="1" applyAlignment="1">
      <alignment horizontal="center" vertical="center"/>
    </xf>
    <xf numFmtId="0" fontId="58" fillId="139" borderId="133" xfId="133" applyFont="1" applyFill="1" applyBorder="1" applyAlignment="1">
      <alignment horizontal="center" vertical="center"/>
    </xf>
    <xf numFmtId="0" fontId="34" fillId="67" borderId="136" xfId="0" applyFont="1" applyFill="1" applyBorder="1" applyAlignment="1">
      <alignment horizontal="center" vertical="center"/>
    </xf>
    <xf numFmtId="0" fontId="36" fillId="39" borderId="136" xfId="0" applyFont="1" applyFill="1" applyBorder="1" applyAlignment="1">
      <alignment horizontal="center" vertical="center"/>
    </xf>
    <xf numFmtId="0" fontId="73" fillId="128" borderId="134" xfId="251" applyFont="1" applyFill="1" applyBorder="1" applyAlignment="1" applyProtection="1">
      <alignment horizontal="center" vertical="center" shrinkToFit="1"/>
    </xf>
    <xf numFmtId="0" fontId="34" fillId="71" borderId="134" xfId="0" applyFont="1" applyFill="1" applyBorder="1" applyAlignment="1">
      <alignment horizontal="center" vertical="center"/>
    </xf>
    <xf numFmtId="0" fontId="34" fillId="48" borderId="134" xfId="0" applyFont="1" applyFill="1" applyBorder="1" applyAlignment="1">
      <alignment horizontal="center" vertical="center"/>
    </xf>
    <xf numFmtId="0" fontId="43" fillId="65" borderId="134" xfId="0" applyFont="1" applyFill="1" applyBorder="1" applyAlignment="1">
      <alignment horizontal="center" vertical="center"/>
    </xf>
    <xf numFmtId="0" fontId="38" fillId="64" borderId="134" xfId="0" applyFont="1" applyFill="1" applyBorder="1" applyAlignment="1">
      <alignment horizontal="center" vertical="center"/>
    </xf>
    <xf numFmtId="0" fontId="73" fillId="108" borderId="136" xfId="253" applyFont="1" applyFill="1" applyBorder="1" applyAlignment="1">
      <alignment horizontal="center" vertical="center" shrinkToFit="1"/>
      <protection locked="0"/>
    </xf>
    <xf numFmtId="0" fontId="34" fillId="38" borderId="136" xfId="0" applyFont="1" applyFill="1" applyBorder="1" applyAlignment="1">
      <alignment horizontal="center" vertical="center"/>
    </xf>
    <xf numFmtId="0" fontId="34" fillId="46" borderId="136" xfId="0" applyFont="1" applyFill="1" applyBorder="1" applyAlignment="1">
      <alignment horizontal="center" vertical="center"/>
    </xf>
    <xf numFmtId="0" fontId="49" fillId="52" borderId="134" xfId="0" applyFont="1" applyFill="1" applyBorder="1" applyAlignment="1">
      <alignment horizontal="center" vertical="center"/>
    </xf>
    <xf numFmtId="0" fontId="34" fillId="36" borderId="134" xfId="0" applyFont="1" applyFill="1" applyBorder="1" applyAlignment="1">
      <alignment horizontal="center" vertical="center"/>
    </xf>
    <xf numFmtId="0" fontId="49" fillId="98" borderId="134" xfId="150" applyFont="1" applyFill="1" applyBorder="1" applyAlignment="1">
      <alignment horizontal="center" vertical="center" shrinkToFit="1"/>
    </xf>
    <xf numFmtId="0" fontId="61" fillId="84" borderId="1" xfId="138" applyFont="1" applyFill="1" applyBorder="1" applyAlignment="1">
      <alignment horizontal="center" vertical="center" shrinkToFit="1"/>
    </xf>
    <xf numFmtId="0" fontId="22" fillId="84" borderId="0" xfId="254" applyFill="1" applyProtection="1"/>
    <xf numFmtId="0" fontId="80" fillId="298" borderId="1" xfId="138" applyFont="1" applyFill="1" applyBorder="1" applyAlignment="1">
      <alignment horizontal="center" vertical="center" shrinkToFit="1"/>
    </xf>
    <xf numFmtId="0" fontId="80" fillId="299" borderId="1" xfId="138" applyFont="1" applyFill="1" applyBorder="1" applyAlignment="1">
      <alignment horizontal="center" vertical="center" shrinkToFit="1"/>
    </xf>
    <xf numFmtId="0" fontId="88" fillId="300" borderId="54" xfId="0" applyFont="1" applyFill="1" applyBorder="1" applyAlignment="1">
      <alignment horizontal="center" vertical="center"/>
    </xf>
    <xf numFmtId="0" fontId="75" fillId="301" borderId="53" xfId="138" applyFont="1" applyFill="1" applyBorder="1" applyAlignment="1">
      <alignment horizontal="center" vertical="center" shrinkToFit="1"/>
    </xf>
    <xf numFmtId="0" fontId="11" fillId="84" borderId="0" xfId="122" applyFill="1"/>
    <xf numFmtId="0" fontId="75" fillId="301" borderId="1" xfId="138" applyFont="1" applyFill="1" applyBorder="1" applyAlignment="1">
      <alignment horizontal="center" vertical="center" shrinkToFit="1"/>
    </xf>
    <xf numFmtId="0" fontId="75" fillId="84" borderId="1" xfId="138" applyFont="1" applyFill="1" applyBorder="1" applyAlignment="1">
      <alignment horizontal="center" vertical="center" shrinkToFit="1"/>
    </xf>
    <xf numFmtId="0" fontId="75" fillId="302" borderId="1" xfId="138" applyFont="1" applyFill="1" applyBorder="1" applyAlignment="1">
      <alignment horizontal="center" vertical="center" shrinkToFit="1"/>
    </xf>
    <xf numFmtId="0" fontId="75" fillId="114" borderId="54" xfId="138" applyFont="1" applyFill="1" applyBorder="1" applyAlignment="1">
      <alignment horizontal="center" vertical="center" shrinkToFit="1"/>
    </xf>
    <xf numFmtId="0" fontId="88" fillId="300" borderId="53" xfId="0" applyFont="1" applyFill="1" applyBorder="1" applyAlignment="1">
      <alignment horizontal="center" vertical="center"/>
    </xf>
    <xf numFmtId="0" fontId="0" fillId="84" borderId="0" xfId="0" applyFill="1" applyAlignment="1" applyProtection="1">
      <alignment horizontal="right"/>
      <protection locked="0"/>
    </xf>
    <xf numFmtId="0" fontId="89" fillId="300" borderId="1" xfId="0" applyFont="1" applyFill="1" applyBorder="1" applyAlignment="1">
      <alignment horizontal="center" vertical="center"/>
    </xf>
    <xf numFmtId="0" fontId="88" fillId="300" borderId="1" xfId="0" applyFont="1" applyFill="1" applyBorder="1" applyAlignment="1">
      <alignment horizontal="center" vertical="center"/>
    </xf>
    <xf numFmtId="0" fontId="75" fillId="84" borderId="1" xfId="0" applyFont="1" applyFill="1" applyBorder="1" applyAlignment="1">
      <alignment horizontal="center" vertical="center"/>
    </xf>
    <xf numFmtId="0" fontId="75" fillId="84" borderId="54" xfId="0" applyFont="1" applyFill="1" applyBorder="1" applyAlignment="1">
      <alignment horizontal="center" vertical="center"/>
    </xf>
    <xf numFmtId="0" fontId="80" fillId="303" borderId="1" xfId="138" applyFont="1" applyFill="1" applyBorder="1" applyAlignment="1">
      <alignment horizontal="center" vertical="center" shrinkToFit="1"/>
    </xf>
    <xf numFmtId="0" fontId="75" fillId="84" borderId="56" xfId="0" applyFont="1" applyFill="1" applyBorder="1" applyAlignment="1">
      <alignment horizontal="center" vertical="center"/>
    </xf>
    <xf numFmtId="0" fontId="75" fillId="84" borderId="123" xfId="0" applyFont="1" applyFill="1" applyBorder="1" applyAlignment="1">
      <alignment horizontal="center" vertical="center"/>
    </xf>
    <xf numFmtId="0" fontId="67" fillId="84" borderId="1" xfId="131" applyFont="1" applyFill="1" applyBorder="1" applyAlignment="1">
      <alignment horizontal="center"/>
    </xf>
    <xf numFmtId="0" fontId="92" fillId="84" borderId="1" xfId="0" applyFont="1" applyFill="1" applyBorder="1" applyAlignment="1">
      <alignment horizontal="center"/>
    </xf>
    <xf numFmtId="0" fontId="92" fillId="84" borderId="134" xfId="0" applyFont="1" applyFill="1" applyBorder="1" applyAlignment="1">
      <alignment horizontal="center"/>
    </xf>
    <xf numFmtId="0" fontId="77" fillId="84" borderId="55" xfId="131" applyFont="1" applyFill="1" applyBorder="1" applyAlignment="1">
      <alignment horizontal="center"/>
    </xf>
    <xf numFmtId="0" fontId="0" fillId="84" borderId="0" xfId="0" applyFill="1" applyProtection="1">
      <protection locked="0"/>
    </xf>
    <xf numFmtId="0" fontId="96" fillId="84" borderId="0" xfId="120" applyFont="1" applyFill="1" applyAlignment="1" applyProtection="1">
      <alignment horizontal="center" vertical="center"/>
    </xf>
    <xf numFmtId="0" fontId="65" fillId="84" borderId="0" xfId="119" applyFont="1" applyFill="1" applyAlignment="1">
      <alignment horizontal="center" vertical="center"/>
    </xf>
    <xf numFmtId="0" fontId="71" fillId="84" borderId="0" xfId="135" applyFont="1" applyFill="1" applyAlignment="1">
      <alignment horizontal="center" vertical="center"/>
    </xf>
    <xf numFmtId="0" fontId="32" fillId="84" borderId="0" xfId="0" applyFont="1" applyFill="1" applyAlignment="1">
      <alignment horizontal="center" vertical="center"/>
    </xf>
    <xf numFmtId="0" fontId="101" fillId="84" borderId="0" xfId="135" applyFont="1" applyFill="1" applyAlignment="1">
      <alignment horizontal="center" vertical="center"/>
    </xf>
    <xf numFmtId="0" fontId="68" fillId="146" borderId="134" xfId="131" applyFont="1" applyFill="1" applyBorder="1" applyAlignment="1">
      <alignment horizontal="center"/>
    </xf>
    <xf numFmtId="0" fontId="69" fillId="84" borderId="27" xfId="133" applyFont="1" applyFill="1" applyBorder="1" applyAlignment="1">
      <alignment horizontal="center" vertical="center"/>
    </xf>
    <xf numFmtId="0" fontId="58" fillId="84" borderId="0" xfId="133" applyFont="1" applyFill="1" applyAlignment="1">
      <alignment horizontal="center" vertical="center"/>
    </xf>
    <xf numFmtId="0" fontId="11" fillId="84" borderId="0" xfId="122" applyFill="1" applyAlignment="1">
      <alignment horizontal="center" vertical="center"/>
    </xf>
    <xf numFmtId="0" fontId="11" fillId="84" borderId="0" xfId="133" applyFill="1" applyAlignment="1">
      <alignment horizontal="center" vertical="center"/>
    </xf>
    <xf numFmtId="0" fontId="58" fillId="84" borderId="24" xfId="252" applyFont="1" applyFill="1" applyBorder="1" applyAlignment="1" applyProtection="1">
      <alignment horizontal="center" vertical="center"/>
    </xf>
    <xf numFmtId="0" fontId="22" fillId="84" borderId="25" xfId="254" applyFill="1" applyBorder="1" applyAlignment="1" applyProtection="1">
      <alignment horizontal="center" vertical="center"/>
    </xf>
    <xf numFmtId="0" fontId="22" fillId="84" borderId="25" xfId="160" applyFont="1" applyFill="1" applyBorder="1" applyAlignment="1">
      <alignment horizontal="center" vertical="center"/>
    </xf>
    <xf numFmtId="0" fontId="63" fillId="84" borderId="25" xfId="254" applyFont="1" applyFill="1" applyBorder="1" applyAlignment="1" applyProtection="1">
      <alignment horizontal="center"/>
    </xf>
    <xf numFmtId="0" fontId="4" fillId="84" borderId="24" xfId="160" applyFill="1" applyBorder="1" applyAlignment="1">
      <alignment vertical="center"/>
    </xf>
    <xf numFmtId="0" fontId="78" fillId="84" borderId="0" xfId="120" applyFont="1" applyFill="1" applyAlignment="1" applyProtection="1">
      <alignment horizontal="center" vertical="center"/>
    </xf>
    <xf numFmtId="0" fontId="22" fillId="84" borderId="0" xfId="254" applyFill="1" applyAlignment="1" applyProtection="1">
      <alignment horizontal="center" vertical="center"/>
    </xf>
    <xf numFmtId="0" fontId="30" fillId="84" borderId="0" xfId="0" applyFont="1" applyFill="1" applyAlignment="1">
      <alignment horizontal="center" vertical="center"/>
    </xf>
    <xf numFmtId="0" fontId="22" fillId="84" borderId="0" xfId="160" applyFont="1" applyFill="1" applyAlignment="1">
      <alignment horizontal="center" vertical="center"/>
    </xf>
    <xf numFmtId="0" fontId="60" fillId="84" borderId="0" xfId="122" applyFont="1" applyFill="1" applyAlignment="1">
      <alignment horizontal="center" vertical="center"/>
    </xf>
    <xf numFmtId="0" fontId="97" fillId="84" borderId="27" xfId="122" applyFont="1" applyFill="1" applyBorder="1" applyAlignment="1">
      <alignment horizontal="center" vertical="center"/>
    </xf>
    <xf numFmtId="0" fontId="53" fillId="136" borderId="21" xfId="0" applyFont="1" applyFill="1" applyBorder="1" applyAlignment="1">
      <alignment horizontal="center" vertical="center" shrinkToFit="1"/>
    </xf>
    <xf numFmtId="0" fontId="74" fillId="300" borderId="1" xfId="138" applyFont="1" applyFill="1" applyBorder="1" applyAlignment="1">
      <alignment horizontal="center" vertical="center" shrinkToFit="1"/>
    </xf>
    <xf numFmtId="0" fontId="0" fillId="84" borderId="27" xfId="0" applyFill="1" applyBorder="1"/>
    <xf numFmtId="0" fontId="22" fillId="84" borderId="0" xfId="251" applyFill="1" applyProtection="1"/>
    <xf numFmtId="0" fontId="55" fillId="84" borderId="0" xfId="254" applyFont="1" applyFill="1" applyAlignment="1">
      <alignment horizontal="right" vertical="center"/>
      <protection locked="0"/>
    </xf>
    <xf numFmtId="0" fontId="79" fillId="84" borderId="0" xfId="0" applyFont="1" applyFill="1" applyAlignment="1">
      <alignment horizontal="left" vertical="center"/>
    </xf>
    <xf numFmtId="0" fontId="79" fillId="84" borderId="0" xfId="0" applyFont="1" applyFill="1" applyAlignment="1">
      <alignment horizontal="right" vertical="center"/>
    </xf>
    <xf numFmtId="0" fontId="4" fillId="84" borderId="0" xfId="160" applyFill="1" applyAlignment="1">
      <alignment vertical="center"/>
    </xf>
    <xf numFmtId="0" fontId="66" fillId="84" borderId="0" xfId="160" applyFont="1" applyFill="1" applyAlignment="1">
      <alignment horizontal="center" vertical="center"/>
    </xf>
    <xf numFmtId="0" fontId="55" fillId="84" borderId="0" xfId="254" applyFont="1" applyFill="1" applyAlignment="1" applyProtection="1">
      <alignment horizontal="left"/>
    </xf>
    <xf numFmtId="0" fontId="58" fillId="84" borderId="0" xfId="252" applyFont="1" applyFill="1" applyAlignment="1" applyProtection="1">
      <alignment horizontal="left" vertical="center"/>
    </xf>
    <xf numFmtId="0" fontId="58" fillId="84" borderId="0" xfId="252" applyFont="1" applyFill="1" applyAlignment="1" applyProtection="1">
      <alignment horizontal="center" vertical="center"/>
    </xf>
    <xf numFmtId="0" fontId="77" fillId="84" borderId="0" xfId="0" applyFont="1" applyFill="1" applyAlignment="1">
      <alignment horizontal="center"/>
    </xf>
    <xf numFmtId="0" fontId="55" fillId="84" borderId="31" xfId="254" applyFont="1" applyFill="1" applyBorder="1" applyAlignment="1" applyProtection="1">
      <alignment horizontal="center"/>
    </xf>
    <xf numFmtId="0" fontId="22" fillId="84" borderId="0" xfId="254" applyFill="1">
      <protection locked="0"/>
    </xf>
    <xf numFmtId="0" fontId="4" fillId="84" borderId="0" xfId="160" applyFill="1" applyAlignment="1">
      <alignment horizontal="left" vertical="center"/>
    </xf>
    <xf numFmtId="0" fontId="55" fillId="84" borderId="75" xfId="254" applyFont="1" applyFill="1" applyBorder="1" applyAlignment="1" applyProtection="1">
      <alignment horizontal="center"/>
    </xf>
    <xf numFmtId="0" fontId="22" fillId="84" borderId="25" xfId="254" applyFill="1" applyBorder="1">
      <protection locked="0"/>
    </xf>
    <xf numFmtId="0" fontId="11" fillId="84" borderId="0" xfId="0" applyFont="1" applyFill="1" applyAlignment="1">
      <alignment horizontal="left"/>
    </xf>
    <xf numFmtId="0" fontId="55" fillId="84" borderId="0" xfId="254" applyFont="1" applyFill="1" applyAlignment="1">
      <alignment horizontal="center" vertical="center"/>
      <protection locked="0"/>
    </xf>
    <xf numFmtId="0" fontId="106" fillId="84" borderId="0" xfId="254" applyFont="1" applyFill="1">
      <protection locked="0"/>
    </xf>
    <xf numFmtId="0" fontId="9" fillId="84" borderId="0" xfId="254" applyFont="1" applyFill="1">
      <protection locked="0"/>
    </xf>
    <xf numFmtId="0" fontId="91" fillId="84" borderId="25" xfId="160" applyFont="1" applyFill="1" applyBorder="1" applyAlignment="1">
      <alignment vertical="center"/>
    </xf>
    <xf numFmtId="0" fontId="91" fillId="84" borderId="76" xfId="160" applyFont="1" applyFill="1" applyBorder="1" applyAlignment="1">
      <alignment vertical="center"/>
    </xf>
    <xf numFmtId="0" fontId="91" fillId="84" borderId="77" xfId="160" applyFont="1" applyFill="1" applyBorder="1" applyAlignment="1">
      <alignment vertical="center"/>
    </xf>
    <xf numFmtId="0" fontId="106" fillId="84" borderId="25" xfId="254" applyFont="1" applyFill="1" applyBorder="1">
      <protection locked="0"/>
    </xf>
    <xf numFmtId="0" fontId="94" fillId="84" borderId="0" xfId="133" applyFont="1" applyFill="1" applyAlignment="1">
      <alignment horizontal="center"/>
    </xf>
    <xf numFmtId="0" fontId="22" fillId="84" borderId="0" xfId="250" applyFill="1" applyProtection="1"/>
    <xf numFmtId="0" fontId="22" fillId="84" borderId="0" xfId="250" applyFill="1" applyAlignment="1">
      <alignment horizontal="left" vertical="center"/>
      <protection locked="0"/>
    </xf>
    <xf numFmtId="0" fontId="94" fillId="84" borderId="0" xfId="250" applyFont="1" applyFill="1" applyAlignment="1" applyProtection="1">
      <alignment horizontal="center"/>
    </xf>
    <xf numFmtId="0" fontId="22" fillId="84" borderId="0" xfId="250" applyFill="1" applyAlignment="1" applyProtection="1">
      <alignment horizontal="center" vertical="center"/>
    </xf>
    <xf numFmtId="0" fontId="58" fillId="84" borderId="138" xfId="250" applyFont="1" applyFill="1" applyBorder="1" applyAlignment="1" applyProtection="1">
      <alignment horizontal="center" vertical="center"/>
    </xf>
    <xf numFmtId="0" fontId="58" fillId="84" borderId="139" xfId="250" applyFont="1" applyFill="1" applyBorder="1" applyAlignment="1" applyProtection="1">
      <alignment horizontal="center" vertical="center"/>
    </xf>
    <xf numFmtId="0" fontId="58" fillId="84" borderId="0" xfId="133" applyFont="1" applyFill="1"/>
    <xf numFmtId="0" fontId="61" fillId="84" borderId="134" xfId="138" applyFont="1" applyFill="1" applyBorder="1" applyAlignment="1">
      <alignment horizontal="center" vertical="center" shrinkToFit="1"/>
    </xf>
    <xf numFmtId="0" fontId="44" fillId="304" borderId="0" xfId="255" applyFont="1" applyFill="1" applyAlignment="1" applyProtection="1">
      <alignment horizontal="center" vertical="center" shrinkToFit="1"/>
    </xf>
    <xf numFmtId="0" fontId="44" fillId="84" borderId="48" xfId="131" applyFont="1" applyFill="1" applyBorder="1" applyAlignment="1">
      <alignment horizontal="center" vertical="center"/>
    </xf>
    <xf numFmtId="0" fontId="68" fillId="146" borderId="1" xfId="131" applyFont="1" applyFill="1" applyBorder="1" applyAlignment="1">
      <alignment horizontal="center"/>
    </xf>
    <xf numFmtId="0" fontId="68" fillId="146" borderId="137" xfId="131" applyFont="1" applyFill="1" applyBorder="1" applyAlignment="1">
      <alignment horizontal="center"/>
    </xf>
    <xf numFmtId="0" fontId="68" fillId="146" borderId="2" xfId="131" applyFont="1" applyFill="1" applyBorder="1" applyAlignment="1">
      <alignment horizontal="center"/>
    </xf>
    <xf numFmtId="0" fontId="79" fillId="84" borderId="135" xfId="131" applyFont="1" applyFill="1" applyBorder="1" applyAlignment="1">
      <alignment horizontal="center"/>
    </xf>
    <xf numFmtId="0" fontId="102" fillId="84" borderId="0" xfId="254" applyFont="1" applyFill="1" applyAlignment="1" applyProtection="1">
      <alignment horizontal="center" vertical="center"/>
    </xf>
    <xf numFmtId="0" fontId="96" fillId="84" borderId="0" xfId="119" applyFont="1" applyFill="1" applyAlignment="1">
      <alignment horizontal="center" vertical="center"/>
    </xf>
    <xf numFmtId="0" fontId="0" fillId="84" borderId="25" xfId="0" applyFill="1" applyBorder="1"/>
    <xf numFmtId="0" fontId="77" fillId="84" borderId="135" xfId="0" applyFont="1" applyFill="1" applyBorder="1" applyAlignment="1">
      <alignment horizontal="center"/>
    </xf>
    <xf numFmtId="0" fontId="77" fillId="84" borderId="134" xfId="0" applyFont="1" applyFill="1" applyBorder="1" applyAlignment="1">
      <alignment horizontal="center"/>
    </xf>
    <xf numFmtId="0" fontId="98" fillId="305" borderId="19" xfId="0" applyFont="1" applyFill="1" applyBorder="1" applyAlignment="1">
      <alignment horizontal="center"/>
    </xf>
    <xf numFmtId="0" fontId="98" fillId="305" borderId="21" xfId="0" applyFont="1" applyFill="1" applyBorder="1" applyAlignment="1">
      <alignment horizontal="center"/>
    </xf>
    <xf numFmtId="0" fontId="80" fillId="84" borderId="2" xfId="138" applyFont="1" applyFill="1" applyBorder="1" applyAlignment="1">
      <alignment horizontal="center" vertical="center" shrinkToFit="1"/>
    </xf>
    <xf numFmtId="0" fontId="77" fillId="84" borderId="1" xfId="131" applyFont="1" applyFill="1" applyBorder="1" applyAlignment="1">
      <alignment horizontal="center"/>
    </xf>
    <xf numFmtId="0" fontId="81" fillId="84" borderId="0" xfId="250" applyFont="1" applyFill="1" applyAlignment="1" applyProtection="1">
      <alignment horizontal="center" vertical="center"/>
    </xf>
    <xf numFmtId="0" fontId="80" fillId="84" borderId="1" xfId="138" applyFont="1" applyFill="1" applyBorder="1" applyAlignment="1">
      <alignment horizontal="center" vertical="center" shrinkToFit="1"/>
    </xf>
    <xf numFmtId="0" fontId="77" fillId="84" borderId="1" xfId="0" applyFont="1" applyFill="1" applyBorder="1" applyAlignment="1">
      <alignment horizontal="center"/>
    </xf>
    <xf numFmtId="0" fontId="84" fillId="84" borderId="0" xfId="160" applyFont="1" applyFill="1" applyAlignment="1">
      <alignment horizontal="center" vertical="center"/>
    </xf>
    <xf numFmtId="0" fontId="87" fillId="84" borderId="0" xfId="254" applyFont="1" applyFill="1" applyAlignment="1" applyProtection="1">
      <alignment horizontal="center" vertical="center"/>
    </xf>
    <xf numFmtId="0" fontId="68" fillId="146" borderId="54" xfId="131" applyFont="1" applyFill="1" applyBorder="1" applyAlignment="1">
      <alignment horizontal="center"/>
    </xf>
    <xf numFmtId="0" fontId="11" fillId="84" borderId="31" xfId="133" applyFill="1" applyBorder="1"/>
    <xf numFmtId="0" fontId="11" fillId="84" borderId="31" xfId="133" applyFill="1" applyBorder="1" applyProtection="1">
      <protection locked="0"/>
    </xf>
    <xf numFmtId="0" fontId="70" fillId="84" borderId="31" xfId="133" applyFont="1" applyFill="1" applyBorder="1" applyAlignment="1">
      <alignment vertical="center"/>
    </xf>
    <xf numFmtId="0" fontId="70" fillId="84" borderId="0" xfId="133" applyFont="1" applyFill="1" applyAlignment="1">
      <alignment vertical="center"/>
    </xf>
    <xf numFmtId="0" fontId="11" fillId="84" borderId="0" xfId="133" applyFill="1"/>
    <xf numFmtId="0" fontId="11" fillId="84" borderId="0" xfId="133" applyFill="1" applyProtection="1">
      <protection locked="0"/>
    </xf>
    <xf numFmtId="0" fontId="55" fillId="84" borderId="0" xfId="122" applyFont="1" applyFill="1" applyAlignment="1">
      <alignment horizontal="center" vertical="center"/>
    </xf>
    <xf numFmtId="0" fontId="58" fillId="84" borderId="25" xfId="122" applyFont="1" applyFill="1" applyBorder="1" applyAlignment="1">
      <alignment horizontal="center" vertical="center"/>
    </xf>
    <xf numFmtId="0" fontId="58" fillId="84" borderId="29" xfId="133" applyFont="1" applyFill="1" applyBorder="1" applyAlignment="1">
      <alignment horizontal="center" vertical="center"/>
    </xf>
    <xf numFmtId="0" fontId="58" fillId="84" borderId="29" xfId="122" applyFont="1" applyFill="1" applyBorder="1" applyAlignment="1">
      <alignment horizontal="center" vertical="center"/>
    </xf>
    <xf numFmtId="0" fontId="11" fillId="84" borderId="0" xfId="131" applyFill="1"/>
    <xf numFmtId="0" fontId="1" fillId="84" borderId="0" xfId="131" applyFont="1" applyFill="1"/>
    <xf numFmtId="0" fontId="62" fillId="84" borderId="0" xfId="0" applyFont="1" applyFill="1" applyAlignment="1">
      <alignment horizontal="center" vertical="center"/>
    </xf>
    <xf numFmtId="0" fontId="83" fillId="84" borderId="0" xfId="122" applyFont="1" applyFill="1" applyAlignment="1">
      <alignment horizontal="center" vertical="center"/>
    </xf>
    <xf numFmtId="0" fontId="53" fillId="136" borderId="37" xfId="0" applyFont="1" applyFill="1" applyBorder="1" applyAlignment="1">
      <alignment horizontal="center" vertical="center" shrinkToFit="1"/>
    </xf>
    <xf numFmtId="0" fontId="53" fillId="136" borderId="38" xfId="0" applyFont="1" applyFill="1" applyBorder="1" applyAlignment="1">
      <alignment horizontal="center" vertical="center" shrinkToFit="1"/>
    </xf>
    <xf numFmtId="0" fontId="53" fillId="306" borderId="38" xfId="0" applyFont="1" applyFill="1" applyBorder="1" applyAlignment="1">
      <alignment horizontal="center" vertical="center" shrinkToFit="1"/>
    </xf>
    <xf numFmtId="0" fontId="61" fillId="114" borderId="1" xfId="138" applyFont="1" applyFill="1" applyBorder="1" applyAlignment="1">
      <alignment horizontal="center" vertical="center" shrinkToFit="1"/>
    </xf>
    <xf numFmtId="0" fontId="53" fillId="307" borderId="21" xfId="0" applyFont="1" applyFill="1" applyBorder="1" applyAlignment="1">
      <alignment horizontal="center" vertical="center" shrinkToFit="1"/>
    </xf>
    <xf numFmtId="0" fontId="0" fillId="84" borderId="28" xfId="0" applyFill="1" applyBorder="1"/>
    <xf numFmtId="0" fontId="0" fillId="84" borderId="29" xfId="0" applyFill="1" applyBorder="1"/>
    <xf numFmtId="0" fontId="63" fillId="308" borderId="34" xfId="122" applyFont="1" applyFill="1" applyBorder="1" applyAlignment="1">
      <alignment horizontal="center"/>
    </xf>
    <xf numFmtId="0" fontId="61" fillId="84" borderId="54" xfId="138" applyFont="1" applyFill="1" applyBorder="1" applyAlignment="1">
      <alignment horizontal="center" vertical="center" shrinkToFit="1"/>
    </xf>
    <xf numFmtId="0" fontId="72" fillId="134" borderId="17" xfId="122" applyFont="1" applyFill="1" applyBorder="1" applyAlignment="1">
      <alignment horizontal="center"/>
    </xf>
    <xf numFmtId="0" fontId="11" fillId="84" borderId="32" xfId="122" applyFill="1" applyBorder="1"/>
    <xf numFmtId="0" fontId="62" fillId="84" borderId="30" xfId="0" applyFont="1" applyFill="1" applyBorder="1" applyAlignment="1">
      <alignment horizontal="center" vertical="center"/>
    </xf>
    <xf numFmtId="0" fontId="62" fillId="84" borderId="27" xfId="0" applyFont="1" applyFill="1" applyBorder="1" applyAlignment="1">
      <alignment horizontal="center" vertical="center"/>
    </xf>
    <xf numFmtId="0" fontId="76" fillId="309" borderId="1" xfId="138" applyFont="1" applyFill="1" applyBorder="1" applyAlignment="1">
      <alignment horizontal="center" vertical="center" shrinkToFit="1"/>
    </xf>
    <xf numFmtId="0" fontId="61" fillId="114" borderId="54" xfId="138" applyFont="1" applyFill="1" applyBorder="1" applyAlignment="1">
      <alignment horizontal="center" vertical="center" shrinkToFit="1"/>
    </xf>
    <xf numFmtId="0" fontId="69" fillId="84" borderId="27" xfId="133" applyFont="1" applyFill="1" applyBorder="1"/>
    <xf numFmtId="0" fontId="67" fillId="84" borderId="134" xfId="131" applyFont="1" applyFill="1" applyBorder="1" applyAlignment="1">
      <alignment horizontal="center"/>
    </xf>
    <xf numFmtId="0" fontId="103" fillId="84" borderId="31" xfId="254" applyFont="1" applyFill="1" applyBorder="1" applyAlignment="1" applyProtection="1">
      <alignment horizontal="center" vertical="center"/>
    </xf>
    <xf numFmtId="0" fontId="103" fillId="84" borderId="0" xfId="254" applyFont="1" applyFill="1" applyAlignment="1" applyProtection="1">
      <alignment horizontal="center" vertical="center"/>
    </xf>
    <xf numFmtId="0" fontId="95" fillId="35" borderId="0" xfId="160" applyFont="1" applyFill="1" applyAlignment="1">
      <alignment horizontal="center" vertical="center"/>
    </xf>
    <xf numFmtId="0" fontId="58" fillId="84" borderId="28" xfId="131" applyFont="1" applyFill="1" applyBorder="1" applyAlignment="1">
      <alignment horizontal="center" vertical="center"/>
    </xf>
    <xf numFmtId="0" fontId="58" fillId="84" borderId="29" xfId="131" applyFont="1" applyFill="1" applyBorder="1" applyAlignment="1">
      <alignment horizontal="center" vertical="center"/>
    </xf>
    <xf numFmtId="0" fontId="58" fillId="84" borderId="30" xfId="131" applyFont="1" applyFill="1" applyBorder="1" applyAlignment="1">
      <alignment horizontal="center" vertical="center"/>
    </xf>
    <xf numFmtId="0" fontId="58" fillId="84" borderId="31" xfId="131" applyFont="1" applyFill="1" applyBorder="1" applyAlignment="1">
      <alignment horizontal="center" vertical="center"/>
    </xf>
    <xf numFmtId="0" fontId="58" fillId="84" borderId="0" xfId="131" applyFont="1" applyFill="1" applyAlignment="1">
      <alignment horizontal="center" vertical="center"/>
    </xf>
    <xf numFmtId="0" fontId="58" fillId="84" borderId="27" xfId="131" applyFont="1" applyFill="1" applyBorder="1" applyAlignment="1">
      <alignment horizontal="center" vertical="center"/>
    </xf>
    <xf numFmtId="0" fontId="58" fillId="84" borderId="24" xfId="131" applyFont="1" applyFill="1" applyBorder="1" applyAlignment="1">
      <alignment horizontal="center" vertical="center"/>
    </xf>
    <xf numFmtId="0" fontId="58" fillId="84" borderId="25" xfId="131" applyFont="1" applyFill="1" applyBorder="1" applyAlignment="1">
      <alignment horizontal="center" vertical="center"/>
    </xf>
    <xf numFmtId="0" fontId="58" fillId="84" borderId="33" xfId="131" applyFont="1" applyFill="1" applyBorder="1" applyAlignment="1">
      <alignment horizontal="center" vertical="center"/>
    </xf>
    <xf numFmtId="0" fontId="64" fillId="84" borderId="4" xfId="133" applyFont="1" applyFill="1" applyBorder="1" applyAlignment="1">
      <alignment horizontal="center" vertical="center"/>
    </xf>
    <xf numFmtId="0" fontId="64" fillId="84" borderId="5" xfId="133" applyFont="1" applyFill="1" applyBorder="1" applyAlignment="1">
      <alignment horizontal="center" vertical="center"/>
    </xf>
    <xf numFmtId="0" fontId="86" fillId="84" borderId="29" xfId="250" applyFont="1" applyFill="1" applyBorder="1" applyAlignment="1" applyProtection="1">
      <alignment horizontal="center" vertical="center"/>
    </xf>
    <xf numFmtId="0" fontId="86" fillId="84" borderId="30" xfId="250" applyFont="1" applyFill="1" applyBorder="1" applyAlignment="1" applyProtection="1">
      <alignment horizontal="center" vertical="center"/>
    </xf>
    <xf numFmtId="0" fontId="86" fillId="84" borderId="0" xfId="250" applyFont="1" applyFill="1" applyAlignment="1" applyProtection="1">
      <alignment horizontal="center" vertical="center"/>
    </xf>
    <xf numFmtId="0" fontId="86" fillId="84" borderId="27" xfId="250" applyFont="1" applyFill="1" applyBorder="1" applyAlignment="1" applyProtection="1">
      <alignment horizontal="center" vertical="center"/>
    </xf>
    <xf numFmtId="0" fontId="86" fillId="84" borderId="25" xfId="250" applyFont="1" applyFill="1" applyBorder="1" applyAlignment="1" applyProtection="1">
      <alignment horizontal="center" vertical="center"/>
    </xf>
    <xf numFmtId="0" fontId="86" fillId="84" borderId="33" xfId="250" applyFont="1" applyFill="1" applyBorder="1" applyAlignment="1" applyProtection="1">
      <alignment horizontal="center" vertical="center"/>
    </xf>
    <xf numFmtId="0" fontId="99" fillId="84" borderId="63" xfId="250" applyFont="1" applyFill="1" applyBorder="1" applyAlignment="1" applyProtection="1">
      <alignment horizontal="center" vertical="center"/>
    </xf>
    <xf numFmtId="0" fontId="99" fillId="84" borderId="0" xfId="250" applyFont="1" applyFill="1" applyAlignment="1" applyProtection="1">
      <alignment horizontal="center" vertical="center"/>
    </xf>
    <xf numFmtId="0" fontId="99" fillId="84" borderId="64" xfId="250" applyFont="1" applyFill="1" applyBorder="1" applyAlignment="1" applyProtection="1">
      <alignment horizontal="center" vertical="center"/>
    </xf>
    <xf numFmtId="0" fontId="99" fillId="84" borderId="65" xfId="250" applyFont="1" applyFill="1" applyBorder="1" applyAlignment="1" applyProtection="1">
      <alignment horizontal="center" vertical="center"/>
    </xf>
    <xf numFmtId="0" fontId="99" fillId="84" borderId="49" xfId="250" applyFont="1" applyFill="1" applyBorder="1" applyAlignment="1" applyProtection="1">
      <alignment horizontal="center" vertical="center"/>
    </xf>
    <xf numFmtId="0" fontId="99" fillId="84" borderId="66" xfId="250" applyFont="1" applyFill="1" applyBorder="1" applyAlignment="1" applyProtection="1">
      <alignment horizontal="center" vertical="center"/>
    </xf>
    <xf numFmtId="0" fontId="76" fillId="84" borderId="31" xfId="160" applyFont="1" applyFill="1" applyBorder="1" applyAlignment="1">
      <alignment horizontal="center" vertical="center"/>
    </xf>
    <xf numFmtId="0" fontId="76" fillId="84" borderId="0" xfId="160" applyFont="1" applyFill="1" applyAlignment="1">
      <alignment horizontal="center" vertical="center"/>
    </xf>
    <xf numFmtId="0" fontId="99" fillId="84" borderId="35" xfId="250" applyFont="1" applyFill="1" applyBorder="1" applyAlignment="1" applyProtection="1">
      <alignment horizontal="center" vertical="center"/>
    </xf>
    <xf numFmtId="0" fontId="99" fillId="84" borderId="69" xfId="250" applyFont="1" applyFill="1" applyBorder="1" applyAlignment="1" applyProtection="1">
      <alignment horizontal="center" vertical="center"/>
    </xf>
    <xf numFmtId="0" fontId="99" fillId="84" borderId="72" xfId="250" applyFont="1" applyFill="1" applyBorder="1" applyAlignment="1" applyProtection="1">
      <alignment horizontal="center" vertical="center"/>
    </xf>
    <xf numFmtId="0" fontId="99" fillId="84" borderId="73" xfId="250" applyFont="1" applyFill="1" applyBorder="1" applyAlignment="1" applyProtection="1">
      <alignment horizontal="center" vertical="center"/>
    </xf>
    <xf numFmtId="0" fontId="86" fillId="84" borderId="31" xfId="250" applyFont="1" applyFill="1" applyBorder="1" applyAlignment="1" applyProtection="1">
      <alignment horizontal="center" vertical="center"/>
    </xf>
    <xf numFmtId="0" fontId="86" fillId="84" borderId="69" xfId="250" applyFont="1" applyFill="1" applyBorder="1" applyAlignment="1" applyProtection="1">
      <alignment horizontal="center" vertical="center"/>
    </xf>
    <xf numFmtId="0" fontId="55" fillId="84" borderId="35" xfId="250" applyFont="1" applyFill="1" applyBorder="1" applyAlignment="1" applyProtection="1">
      <alignment horizontal="center" vertical="center"/>
    </xf>
    <xf numFmtId="0" fontId="55" fillId="84" borderId="0" xfId="250" applyFont="1" applyFill="1" applyAlignment="1" applyProtection="1">
      <alignment horizontal="center" vertical="center"/>
    </xf>
    <xf numFmtId="0" fontId="55" fillId="84" borderId="69" xfId="250" applyFont="1" applyFill="1" applyBorder="1" applyAlignment="1" applyProtection="1">
      <alignment horizontal="center" vertical="center"/>
    </xf>
    <xf numFmtId="0" fontId="95" fillId="84" borderId="0" xfId="252" applyFont="1" applyFill="1" applyAlignment="1" applyProtection="1">
      <alignment horizontal="center" vertical="center"/>
    </xf>
    <xf numFmtId="0" fontId="60" fillId="35" borderId="0" xfId="122" applyFont="1" applyFill="1" applyAlignment="1">
      <alignment horizontal="center" vertical="center"/>
    </xf>
    <xf numFmtId="0" fontId="91" fillId="84" borderId="0" xfId="160" applyFont="1" applyFill="1" applyAlignment="1">
      <alignment horizontal="center" vertical="center"/>
    </xf>
    <xf numFmtId="0" fontId="99" fillId="84" borderId="28" xfId="250" applyFont="1" applyFill="1" applyBorder="1" applyAlignment="1" applyProtection="1">
      <alignment horizontal="center" vertical="center"/>
    </xf>
    <xf numFmtId="0" fontId="99" fillId="84" borderId="29" xfId="250" applyFont="1" applyFill="1" applyBorder="1" applyAlignment="1" applyProtection="1">
      <alignment horizontal="center" vertical="center"/>
    </xf>
    <xf numFmtId="0" fontId="99" fillId="84" borderId="30" xfId="250" applyFont="1" applyFill="1" applyBorder="1" applyAlignment="1" applyProtection="1">
      <alignment horizontal="center" vertical="center"/>
    </xf>
    <xf numFmtId="0" fontId="99" fillId="84" borderId="31" xfId="250" applyFont="1" applyFill="1" applyBorder="1" applyAlignment="1" applyProtection="1">
      <alignment horizontal="center" vertical="center"/>
    </xf>
    <xf numFmtId="0" fontId="99" fillId="84" borderId="27" xfId="250" applyFont="1" applyFill="1" applyBorder="1" applyAlignment="1" applyProtection="1">
      <alignment horizontal="center" vertical="center"/>
    </xf>
    <xf numFmtId="0" fontId="99" fillId="84" borderId="24" xfId="250" applyFont="1" applyFill="1" applyBorder="1" applyAlignment="1" applyProtection="1">
      <alignment horizontal="center" vertical="center"/>
    </xf>
    <xf numFmtId="0" fontId="99" fillId="84" borderId="25" xfId="250" applyFont="1" applyFill="1" applyBorder="1" applyAlignment="1" applyProtection="1">
      <alignment horizontal="center" vertical="center"/>
    </xf>
    <xf numFmtId="0" fontId="99" fillId="84" borderId="33" xfId="250" applyFont="1" applyFill="1" applyBorder="1" applyAlignment="1" applyProtection="1">
      <alignment horizontal="center" vertical="center"/>
    </xf>
    <xf numFmtId="0" fontId="100" fillId="84" borderId="4" xfId="250" applyFont="1" applyFill="1" applyBorder="1" applyAlignment="1" applyProtection="1">
      <alignment horizontal="center" vertical="center"/>
    </xf>
    <xf numFmtId="0" fontId="100" fillId="84" borderId="5" xfId="250" applyFont="1" applyFill="1" applyBorder="1" applyAlignment="1" applyProtection="1">
      <alignment horizontal="center" vertical="center"/>
    </xf>
    <xf numFmtId="0" fontId="32" fillId="84" borderId="0" xfId="0" applyFont="1" applyFill="1" applyAlignment="1">
      <alignment horizontal="center" vertical="center"/>
    </xf>
    <xf numFmtId="0" fontId="63" fillId="84" borderId="0" xfId="252" applyFont="1" applyFill="1" applyAlignment="1">
      <alignment horizontal="center"/>
      <protection locked="0"/>
    </xf>
    <xf numFmtId="0" fontId="62" fillId="84" borderId="31" xfId="0" applyFont="1" applyFill="1" applyBorder="1" applyAlignment="1">
      <alignment horizontal="center"/>
    </xf>
    <xf numFmtId="0" fontId="62" fillId="84" borderId="0" xfId="0" applyFont="1" applyFill="1" applyAlignment="1">
      <alignment horizontal="center"/>
    </xf>
    <xf numFmtId="0" fontId="57" fillId="79" borderId="24" xfId="122" applyFont="1" applyFill="1" applyBorder="1" applyAlignment="1">
      <alignment horizontal="center" vertical="center"/>
    </xf>
    <xf numFmtId="0" fontId="57" fillId="79" borderId="25" xfId="122" applyFont="1" applyFill="1" applyBorder="1" applyAlignment="1">
      <alignment horizontal="center" vertical="center"/>
    </xf>
    <xf numFmtId="0" fontId="59" fillId="84" borderId="28" xfId="131" applyFont="1" applyFill="1" applyBorder="1" applyAlignment="1">
      <alignment horizontal="center" vertical="center"/>
    </xf>
    <xf numFmtId="0" fontId="59" fillId="84" borderId="29" xfId="131" applyFont="1" applyFill="1" applyBorder="1" applyAlignment="1">
      <alignment horizontal="center" vertical="center"/>
    </xf>
    <xf numFmtId="0" fontId="59" fillId="84" borderId="30" xfId="131" applyFont="1" applyFill="1" applyBorder="1" applyAlignment="1">
      <alignment horizontal="center" vertical="center"/>
    </xf>
    <xf numFmtId="0" fontId="59" fillId="84" borderId="31" xfId="131" applyFont="1" applyFill="1" applyBorder="1" applyAlignment="1">
      <alignment horizontal="center" vertical="center"/>
    </xf>
    <xf numFmtId="0" fontId="59" fillId="84" borderId="0" xfId="131" applyFont="1" applyFill="1" applyAlignment="1">
      <alignment horizontal="center" vertical="center"/>
    </xf>
    <xf numFmtId="0" fontId="59" fillId="84" borderId="27" xfId="131" applyFont="1" applyFill="1" applyBorder="1" applyAlignment="1">
      <alignment horizontal="center" vertical="center"/>
    </xf>
    <xf numFmtId="0" fontId="59" fillId="84" borderId="24" xfId="131" applyFont="1" applyFill="1" applyBorder="1" applyAlignment="1">
      <alignment horizontal="center" vertical="center"/>
    </xf>
    <xf numFmtId="0" fontId="59" fillId="84" borderId="25" xfId="131" applyFont="1" applyFill="1" applyBorder="1" applyAlignment="1">
      <alignment horizontal="center" vertical="center"/>
    </xf>
    <xf numFmtId="0" fontId="59" fillId="84" borderId="33" xfId="131" applyFont="1" applyFill="1" applyBorder="1" applyAlignment="1">
      <alignment horizontal="center" vertical="center"/>
    </xf>
    <xf numFmtId="0" fontId="60" fillId="84" borderId="4" xfId="131" applyFont="1" applyFill="1" applyBorder="1" applyAlignment="1">
      <alignment horizontal="center"/>
    </xf>
    <xf numFmtId="0" fontId="60" fillId="84" borderId="5" xfId="131" applyFont="1" applyFill="1" applyBorder="1" applyAlignment="1">
      <alignment horizontal="center"/>
    </xf>
    <xf numFmtId="0" fontId="82" fillId="84" borderId="36" xfId="250" applyFont="1" applyFill="1" applyBorder="1" applyAlignment="1" applyProtection="1">
      <alignment horizontal="center" vertical="center"/>
    </xf>
    <xf numFmtId="0" fontId="32" fillId="35" borderId="29" xfId="0" applyFont="1" applyFill="1" applyBorder="1" applyAlignment="1">
      <alignment horizontal="center"/>
    </xf>
    <xf numFmtId="0" fontId="0" fillId="84" borderId="40" xfId="0" applyFill="1" applyBorder="1" applyAlignment="1">
      <alignment horizontal="center"/>
    </xf>
    <xf numFmtId="0" fontId="32" fillId="301" borderId="44" xfId="122" applyFont="1" applyFill="1" applyBorder="1" applyAlignment="1">
      <alignment horizontal="center" vertical="center"/>
    </xf>
    <xf numFmtId="0" fontId="32" fillId="301" borderId="47" xfId="122" applyFont="1" applyFill="1" applyBorder="1" applyAlignment="1">
      <alignment horizontal="center" vertical="center"/>
    </xf>
    <xf numFmtId="0" fontId="0" fillId="84" borderId="36" xfId="0" applyFill="1" applyBorder="1" applyAlignment="1">
      <alignment horizontal="center"/>
    </xf>
    <xf numFmtId="0" fontId="91" fillId="84" borderId="46" xfId="160" applyFont="1" applyFill="1" applyBorder="1" applyAlignment="1">
      <alignment horizontal="center" vertical="center"/>
    </xf>
    <xf numFmtId="0" fontId="44" fillId="35" borderId="0" xfId="131" applyFont="1" applyFill="1" applyAlignment="1">
      <alignment horizontal="center" vertical="center"/>
    </xf>
    <xf numFmtId="0" fontId="95" fillId="35" borderId="4" xfId="131" applyFont="1" applyFill="1" applyBorder="1" applyAlignment="1">
      <alignment horizontal="center" vertical="center"/>
    </xf>
    <xf numFmtId="0" fontId="95" fillId="35" borderId="5" xfId="131" applyFont="1" applyFill="1" applyBorder="1" applyAlignment="1">
      <alignment horizontal="center" vertical="center"/>
    </xf>
    <xf numFmtId="0" fontId="48" fillId="0" borderId="0" xfId="138" applyFont="1" applyAlignment="1">
      <alignment horizontal="center" shrinkToFit="1"/>
    </xf>
    <xf numFmtId="0" fontId="142" fillId="0" borderId="0" xfId="138" applyFont="1" applyAlignment="1">
      <alignment horizontal="center" shrinkToFit="1"/>
    </xf>
    <xf numFmtId="0" fontId="61" fillId="0" borderId="0" xfId="126" applyFont="1" applyAlignment="1">
      <alignment horizontal="center" shrinkToFit="1"/>
    </xf>
    <xf numFmtId="0" fontId="82" fillId="0" borderId="0" xfId="126" applyFont="1" applyAlignment="1">
      <alignment horizontal="center" vertical="center" shrinkToFit="1"/>
    </xf>
    <xf numFmtId="0" fontId="75" fillId="0" borderId="89" xfId="138" applyFont="1" applyBorder="1" applyAlignment="1">
      <alignment horizontal="center" vertical="center" shrinkToFit="1"/>
    </xf>
    <xf numFmtId="0" fontId="75" fillId="0" borderId="90" xfId="138" applyFont="1" applyBorder="1" applyAlignment="1">
      <alignment horizontal="center" vertical="center" shrinkToFit="1"/>
    </xf>
    <xf numFmtId="0" fontId="75" fillId="0" borderId="53" xfId="138" applyFont="1" applyBorder="1" applyAlignment="1">
      <alignment horizontal="center" vertical="center" shrinkToFit="1"/>
    </xf>
    <xf numFmtId="0" fontId="128" fillId="0" borderId="89" xfId="138" applyFont="1" applyBorder="1" applyAlignment="1">
      <alignment horizontal="left" vertical="center" shrinkToFit="1"/>
    </xf>
    <xf numFmtId="0" fontId="128" fillId="0" borderId="90" xfId="138" applyFont="1" applyBorder="1" applyAlignment="1">
      <alignment horizontal="left" vertical="center" shrinkToFit="1"/>
    </xf>
    <xf numFmtId="0" fontId="128" fillId="0" borderId="53" xfId="138" applyFont="1" applyBorder="1" applyAlignment="1">
      <alignment horizontal="left" vertical="center" shrinkToFit="1"/>
    </xf>
    <xf numFmtId="0" fontId="61" fillId="0" borderId="121" xfId="138" applyFont="1" applyBorder="1" applyAlignment="1">
      <alignment horizontal="center" vertical="center" shrinkToFit="1"/>
    </xf>
    <xf numFmtId="0" fontId="61" fillId="0" borderId="22" xfId="138" applyFont="1" applyBorder="1" applyAlignment="1">
      <alignment horizontal="center" vertical="center" shrinkToFit="1"/>
    </xf>
    <xf numFmtId="0" fontId="61" fillId="0" borderId="129" xfId="138" applyFont="1" applyBorder="1" applyAlignment="1">
      <alignment horizontal="center" vertical="center" shrinkToFit="1"/>
    </xf>
    <xf numFmtId="0" fontId="61" fillId="0" borderId="122" xfId="138" applyFont="1" applyBorder="1" applyAlignment="1">
      <alignment horizontal="center" vertical="center" shrinkToFit="1"/>
    </xf>
    <xf numFmtId="0" fontId="61" fillId="0" borderId="20" xfId="138" applyFont="1" applyBorder="1" applyAlignment="1">
      <alignment horizontal="center" vertical="center" shrinkToFit="1"/>
    </xf>
    <xf numFmtId="0" fontId="61" fillId="0" borderId="91" xfId="138" applyFont="1" applyBorder="1" applyAlignment="1">
      <alignment horizontal="center" vertical="center" shrinkToFit="1"/>
    </xf>
    <xf numFmtId="0" fontId="128" fillId="0" borderId="95" xfId="138" applyFont="1" applyBorder="1" applyAlignment="1">
      <alignment horizontal="left" vertical="center" shrinkToFit="1"/>
    </xf>
    <xf numFmtId="0" fontId="82" fillId="0" borderId="1" xfId="138" applyFont="1" applyBorder="1" applyAlignment="1">
      <alignment horizontal="left" vertical="center" shrinkToFit="1"/>
    </xf>
    <xf numFmtId="0" fontId="61" fillId="0" borderId="17" xfId="138" applyFont="1" applyBorder="1" applyAlignment="1">
      <alignment horizontal="center" vertical="center" shrinkToFit="1"/>
    </xf>
    <xf numFmtId="0" fontId="61" fillId="0" borderId="18" xfId="138" applyFont="1" applyBorder="1" applyAlignment="1">
      <alignment horizontal="center" vertical="center" shrinkToFit="1"/>
    </xf>
    <xf numFmtId="0" fontId="61" fillId="0" borderId="119" xfId="138" applyFont="1" applyBorder="1" applyAlignment="1">
      <alignment horizontal="center" vertical="center" shrinkToFit="1"/>
    </xf>
    <xf numFmtId="0" fontId="61" fillId="0" borderId="16" xfId="138" applyFont="1" applyBorder="1" applyAlignment="1">
      <alignment horizontal="center" vertical="center" shrinkToFit="1"/>
    </xf>
    <xf numFmtId="0" fontId="82" fillId="0" borderId="17" xfId="138" applyFont="1" applyBorder="1" applyAlignment="1">
      <alignment horizontal="left" vertical="center" shrinkToFit="1"/>
    </xf>
    <xf numFmtId="0" fontId="82" fillId="0" borderId="18" xfId="138" applyFont="1" applyBorder="1" applyAlignment="1">
      <alignment horizontal="left" vertical="center" shrinkToFit="1"/>
    </xf>
    <xf numFmtId="0" fontId="82" fillId="0" borderId="19" xfId="138" applyFont="1" applyBorder="1" applyAlignment="1">
      <alignment horizontal="left" vertical="center" shrinkToFit="1"/>
    </xf>
    <xf numFmtId="0" fontId="128" fillId="0" borderId="107" xfId="138" applyFont="1" applyBorder="1" applyAlignment="1">
      <alignment horizontal="left" vertical="center" shrinkToFit="1"/>
    </xf>
    <xf numFmtId="0" fontId="128" fillId="0" borderId="106" xfId="138" applyFont="1" applyBorder="1" applyAlignment="1">
      <alignment horizontal="left" vertical="center" shrinkToFit="1"/>
    </xf>
    <xf numFmtId="0" fontId="128" fillId="0" borderId="120" xfId="138" applyFont="1" applyBorder="1" applyAlignment="1">
      <alignment horizontal="left" vertical="center" shrinkToFit="1"/>
    </xf>
    <xf numFmtId="0" fontId="82" fillId="0" borderId="127" xfId="138" applyFont="1" applyBorder="1" applyAlignment="1">
      <alignment horizontal="left" vertical="center" shrinkToFit="1"/>
    </xf>
    <xf numFmtId="0" fontId="61" fillId="0" borderId="117" xfId="138" applyFont="1" applyBorder="1" applyAlignment="1">
      <alignment horizontal="center" vertical="center" shrinkToFit="1"/>
    </xf>
    <xf numFmtId="0" fontId="160" fillId="0" borderId="1" xfId="150" applyFont="1" applyBorder="1" applyAlignment="1">
      <alignment horizontal="left" vertical="center" shrinkToFit="1"/>
    </xf>
    <xf numFmtId="170" fontId="48" fillId="0" borderId="54" xfId="138" applyNumberFormat="1" applyFont="1" applyBorder="1" applyAlignment="1">
      <alignment horizontal="center" vertical="center" shrinkToFit="1"/>
    </xf>
    <xf numFmtId="170" fontId="48" fillId="0" borderId="90" xfId="138" applyNumberFormat="1" applyFont="1" applyBorder="1" applyAlignment="1">
      <alignment horizontal="center" vertical="center" shrinkToFit="1"/>
    </xf>
    <xf numFmtId="170" fontId="48" fillId="0" borderId="53" xfId="138" applyNumberFormat="1" applyFont="1" applyBorder="1" applyAlignment="1">
      <alignment horizontal="center" vertical="center" shrinkToFit="1"/>
    </xf>
    <xf numFmtId="170" fontId="48" fillId="0" borderId="1" xfId="138" applyNumberFormat="1" applyFont="1" applyBorder="1" applyAlignment="1">
      <alignment horizontal="center" vertical="center" shrinkToFit="1"/>
    </xf>
    <xf numFmtId="0" fontId="61" fillId="0" borderId="124" xfId="0" applyFont="1" applyBorder="1" applyAlignment="1">
      <alignment horizontal="left" vertical="center" wrapText="1" shrinkToFit="1"/>
    </xf>
    <xf numFmtId="0" fontId="61" fillId="0" borderId="125" xfId="0" applyFont="1" applyBorder="1" applyAlignment="1">
      <alignment horizontal="left" vertical="center" wrapText="1" shrinkToFit="1"/>
    </xf>
    <xf numFmtId="0" fontId="61" fillId="0" borderId="126" xfId="0" applyFont="1" applyBorder="1" applyAlignment="1">
      <alignment horizontal="left" vertical="center" wrapText="1" shrinkToFit="1"/>
    </xf>
    <xf numFmtId="170" fontId="56" fillId="198" borderId="54" xfId="141" applyNumberFormat="1" applyFont="1" applyFill="1" applyBorder="1" applyAlignment="1">
      <alignment horizontal="center" vertical="center" shrinkToFit="1"/>
    </xf>
    <xf numFmtId="170" fontId="56" fillId="198" borderId="90" xfId="141" applyNumberFormat="1" applyFont="1" applyFill="1" applyBorder="1" applyAlignment="1">
      <alignment horizontal="center" vertical="center" shrinkToFit="1"/>
    </xf>
    <xf numFmtId="170" fontId="56" fillId="198" borderId="53" xfId="141" applyNumberFormat="1" applyFont="1" applyFill="1" applyBorder="1" applyAlignment="1">
      <alignment horizontal="center" vertical="center" shrinkToFit="1"/>
    </xf>
    <xf numFmtId="0" fontId="48" fillId="0" borderId="4" xfId="0" applyFont="1" applyBorder="1" applyAlignment="1">
      <alignment horizontal="center" vertical="center" wrapText="1" shrinkToFit="1"/>
    </xf>
    <xf numFmtId="0" fontId="48" fillId="0" borderId="26" xfId="0" applyFont="1" applyBorder="1" applyAlignment="1">
      <alignment horizontal="center" vertical="center" wrapText="1" shrinkToFit="1"/>
    </xf>
    <xf numFmtId="0" fontId="48" fillId="0" borderId="5" xfId="0" applyFont="1" applyBorder="1" applyAlignment="1">
      <alignment horizontal="center" vertical="center" wrapText="1" shrinkToFit="1"/>
    </xf>
    <xf numFmtId="0" fontId="48" fillId="0" borderId="4" xfId="0" applyFont="1" applyBorder="1" applyAlignment="1">
      <alignment horizontal="center" vertical="center" shrinkToFit="1"/>
    </xf>
    <xf numFmtId="0" fontId="48" fillId="0" borderId="26" xfId="0" applyFont="1" applyBorder="1" applyAlignment="1">
      <alignment horizontal="center" vertical="center" shrinkToFit="1"/>
    </xf>
    <xf numFmtId="0" fontId="48" fillId="0" borderId="5" xfId="0" applyFont="1" applyBorder="1" applyAlignment="1">
      <alignment horizontal="center" vertical="center" shrinkToFit="1"/>
    </xf>
    <xf numFmtId="0" fontId="128" fillId="0" borderId="117" xfId="138" applyFont="1" applyBorder="1" applyAlignment="1">
      <alignment horizontal="left" vertical="center" shrinkToFit="1"/>
    </xf>
    <xf numFmtId="0" fontId="128" fillId="0" borderId="18" xfId="138" applyFont="1" applyBorder="1" applyAlignment="1">
      <alignment horizontal="left" vertical="center" shrinkToFit="1"/>
    </xf>
    <xf numFmtId="0" fontId="128" fillId="0" borderId="19" xfId="138" applyFont="1" applyBorder="1" applyAlignment="1">
      <alignment horizontal="left" vertical="center" shrinkToFit="1"/>
    </xf>
    <xf numFmtId="0" fontId="61" fillId="0" borderId="4" xfId="0" applyFont="1" applyBorder="1" applyAlignment="1">
      <alignment horizontal="left" vertical="center" wrapText="1" shrinkToFit="1"/>
    </xf>
    <xf numFmtId="0" fontId="61" fillId="0" borderId="26" xfId="0" applyFont="1" applyBorder="1" applyAlignment="1">
      <alignment horizontal="left" vertical="center" wrapText="1" shrinkToFit="1"/>
    </xf>
    <xf numFmtId="0" fontId="75" fillId="0" borderId="54" xfId="0" applyFont="1" applyBorder="1" applyAlignment="1">
      <alignment horizontal="center" wrapText="1"/>
    </xf>
    <xf numFmtId="0" fontId="75" fillId="0" borderId="90" xfId="0" applyFont="1" applyBorder="1" applyAlignment="1">
      <alignment horizontal="center" wrapText="1"/>
    </xf>
    <xf numFmtId="0" fontId="75" fillId="0" borderId="53" xfId="0" applyFont="1" applyBorder="1" applyAlignment="1">
      <alignment horizontal="center" wrapText="1"/>
    </xf>
    <xf numFmtId="0" fontId="160" fillId="0" borderId="56" xfId="150" applyFont="1" applyBorder="1" applyAlignment="1">
      <alignment horizontal="left" vertical="center" shrinkToFit="1"/>
    </xf>
    <xf numFmtId="0" fontId="128" fillId="0" borderId="54" xfId="0" applyFont="1" applyBorder="1" applyAlignment="1">
      <alignment horizontal="left" wrapText="1"/>
    </xf>
    <xf numFmtId="0" fontId="128" fillId="0" borderId="90" xfId="0" applyFont="1" applyBorder="1" applyAlignment="1">
      <alignment horizontal="left" wrapText="1"/>
    </xf>
    <xf numFmtId="0" fontId="128" fillId="0" borderId="95" xfId="0" applyFont="1" applyBorder="1" applyAlignment="1">
      <alignment horizontal="left" wrapText="1"/>
    </xf>
    <xf numFmtId="0" fontId="82" fillId="0" borderId="105" xfId="138" applyFont="1" applyBorder="1" applyAlignment="1">
      <alignment horizontal="left" vertical="center" shrinkToFit="1"/>
    </xf>
    <xf numFmtId="0" fontId="82" fillId="0" borderId="106" xfId="138" applyFont="1" applyBorder="1" applyAlignment="1">
      <alignment horizontal="left" vertical="center" shrinkToFit="1"/>
    </xf>
    <xf numFmtId="0" fontId="82" fillId="0" borderId="120" xfId="138" applyFont="1" applyBorder="1" applyAlignment="1">
      <alignment horizontal="left" vertical="center" shrinkToFit="1"/>
    </xf>
    <xf numFmtId="0" fontId="79" fillId="0" borderId="54" xfId="0" applyFont="1" applyBorder="1" applyAlignment="1">
      <alignment horizontal="center"/>
    </xf>
    <xf numFmtId="0" fontId="79" fillId="0" borderId="90" xfId="0" applyFont="1" applyBorder="1" applyAlignment="1">
      <alignment horizontal="center"/>
    </xf>
    <xf numFmtId="0" fontId="79" fillId="0" borderId="53" xfId="0" applyFont="1" applyBorder="1" applyAlignment="1">
      <alignment horizontal="center"/>
    </xf>
    <xf numFmtId="0" fontId="128" fillId="0" borderId="17" xfId="0" applyFont="1" applyBorder="1" applyAlignment="1">
      <alignment horizontal="left" wrapText="1"/>
    </xf>
    <xf numFmtId="0" fontId="128" fillId="0" borderId="18" xfId="0" applyFont="1" applyBorder="1" applyAlignment="1">
      <alignment horizontal="left" wrapText="1"/>
    </xf>
    <xf numFmtId="0" fontId="61" fillId="0" borderId="56" xfId="0" applyFont="1" applyBorder="1" applyAlignment="1">
      <alignment horizontal="left" vertical="center" wrapText="1" shrinkToFit="1"/>
    </xf>
    <xf numFmtId="0" fontId="160" fillId="0" borderId="2" xfId="150" applyFont="1" applyBorder="1" applyAlignment="1">
      <alignment horizontal="left" vertical="center" shrinkToFit="1"/>
    </xf>
    <xf numFmtId="0" fontId="61" fillId="0" borderId="123" xfId="0" applyFont="1" applyBorder="1" applyAlignment="1">
      <alignment horizontal="left" vertical="center" wrapText="1" shrinkToFit="1"/>
    </xf>
    <xf numFmtId="0" fontId="61" fillId="0" borderId="58" xfId="0" applyFont="1" applyBorder="1" applyAlignment="1">
      <alignment horizontal="left" vertical="center" wrapText="1" shrinkToFit="1"/>
    </xf>
    <xf numFmtId="0" fontId="128" fillId="0" borderId="17" xfId="0" applyFont="1" applyBorder="1" applyAlignment="1">
      <alignment horizontal="left" vertical="center" wrapText="1"/>
    </xf>
    <xf numFmtId="0" fontId="128" fillId="0" borderId="18" xfId="0" applyFont="1" applyBorder="1" applyAlignment="1">
      <alignment horizontal="left" vertical="center" wrapText="1"/>
    </xf>
    <xf numFmtId="170" fontId="48" fillId="0" borderId="0" xfId="138" applyNumberFormat="1" applyFont="1" applyAlignment="1">
      <alignment horizontal="center" vertical="center" shrinkToFit="1"/>
    </xf>
    <xf numFmtId="0" fontId="70" fillId="150" borderId="4" xfId="0" applyFont="1" applyFill="1" applyBorder="1" applyAlignment="1">
      <alignment horizontal="center" vertical="center"/>
    </xf>
    <xf numFmtId="0" fontId="70" fillId="150" borderId="26" xfId="0" applyFont="1" applyFill="1" applyBorder="1" applyAlignment="1">
      <alignment horizontal="center" vertical="center"/>
    </xf>
    <xf numFmtId="0" fontId="70" fillId="150" borderId="5" xfId="0" applyFont="1" applyFill="1" applyBorder="1" applyAlignment="1">
      <alignment horizontal="center" vertical="center"/>
    </xf>
    <xf numFmtId="0" fontId="59" fillId="0" borderId="4" xfId="0" applyFont="1" applyBorder="1" applyAlignment="1" applyProtection="1">
      <alignment horizontal="center"/>
      <protection locked="0"/>
    </xf>
    <xf numFmtId="0" fontId="59" fillId="0" borderId="26" xfId="0" applyFont="1" applyBorder="1" applyAlignment="1" applyProtection="1">
      <alignment horizontal="center"/>
      <protection locked="0"/>
    </xf>
    <xf numFmtId="0" fontId="59" fillId="0" borderId="5" xfId="0" applyFont="1" applyBorder="1" applyAlignment="1" applyProtection="1">
      <alignment horizontal="center"/>
      <protection locked="0"/>
    </xf>
    <xf numFmtId="172" fontId="121" fillId="116" borderId="4" xfId="0" applyNumberFormat="1" applyFont="1" applyFill="1" applyBorder="1" applyAlignment="1">
      <alignment horizontal="center" vertical="center"/>
    </xf>
    <xf numFmtId="172" fontId="121" fillId="116" borderId="5" xfId="0" applyNumberFormat="1" applyFont="1" applyFill="1" applyBorder="1" applyAlignment="1">
      <alignment horizontal="center" vertical="center"/>
    </xf>
    <xf numFmtId="0" fontId="122" fillId="35" borderId="0" xfId="0" applyFont="1" applyFill="1" applyAlignment="1" applyProtection="1">
      <alignment horizontal="center" vertical="center"/>
      <protection locked="0"/>
    </xf>
    <xf numFmtId="0" fontId="48" fillId="0" borderId="108" xfId="138" applyFont="1" applyBorder="1" applyAlignment="1">
      <alignment horizontal="center" vertical="center" shrinkToFit="1"/>
    </xf>
    <xf numFmtId="0" fontId="48" fillId="0" borderId="90" xfId="138" applyFont="1" applyBorder="1" applyAlignment="1">
      <alignment horizontal="center" vertical="center" shrinkToFit="1"/>
    </xf>
    <xf numFmtId="170" fontId="49" fillId="116" borderId="1" xfId="138" applyNumberFormat="1" applyFont="1" applyFill="1" applyBorder="1" applyAlignment="1">
      <alignment horizontal="center" vertical="center" shrinkToFit="1"/>
    </xf>
    <xf numFmtId="0" fontId="48" fillId="0" borderId="1" xfId="138" applyFont="1" applyBorder="1" applyAlignment="1">
      <alignment horizontal="center" vertical="center" wrapText="1" shrinkToFit="1"/>
    </xf>
    <xf numFmtId="0" fontId="48" fillId="0" borderId="1" xfId="138" applyFont="1" applyBorder="1" applyAlignment="1">
      <alignment horizontal="center" vertical="center" shrinkToFit="1"/>
    </xf>
    <xf numFmtId="170" fontId="49" fillId="116" borderId="56" xfId="138" applyNumberFormat="1" applyFont="1" applyFill="1" applyBorder="1" applyAlignment="1">
      <alignment horizontal="center" vertical="center" shrinkToFit="1"/>
    </xf>
    <xf numFmtId="0" fontId="82" fillId="0" borderId="54" xfId="150" applyFont="1" applyBorder="1" applyAlignment="1">
      <alignment horizontal="left" vertical="center" shrinkToFit="1"/>
    </xf>
    <xf numFmtId="0" fontId="82" fillId="0" borderId="90" xfId="150" applyFont="1" applyBorder="1" applyAlignment="1">
      <alignment horizontal="left" vertical="center" shrinkToFit="1"/>
    </xf>
    <xf numFmtId="0" fontId="82" fillId="0" borderId="53" xfId="150" applyFont="1" applyBorder="1" applyAlignment="1">
      <alignment horizontal="left" vertical="center" shrinkToFit="1"/>
    </xf>
    <xf numFmtId="0" fontId="82" fillId="0" borderId="54" xfId="138" applyFont="1" applyBorder="1" applyAlignment="1">
      <alignment horizontal="left" vertical="center" shrinkToFit="1"/>
    </xf>
    <xf numFmtId="0" fontId="82" fillId="0" borderId="53" xfId="138" applyFont="1" applyBorder="1" applyAlignment="1">
      <alignment horizontal="left" vertical="center" shrinkToFit="1"/>
    </xf>
    <xf numFmtId="0" fontId="61" fillId="82" borderId="113" xfId="138" applyFont="1" applyFill="1" applyBorder="1" applyAlignment="1">
      <alignment horizontal="center" vertical="center" shrinkToFit="1"/>
    </xf>
    <xf numFmtId="0" fontId="61" fillId="82" borderId="106" xfId="138" applyFont="1" applyFill="1" applyBorder="1" applyAlignment="1">
      <alignment horizontal="center" vertical="center" shrinkToFit="1"/>
    </xf>
    <xf numFmtId="0" fontId="61" fillId="82" borderId="97" xfId="138" applyFont="1" applyFill="1" applyBorder="1" applyAlignment="1">
      <alignment horizontal="center" vertical="center" shrinkToFit="1"/>
    </xf>
    <xf numFmtId="170" fontId="48" fillId="0" borderId="40" xfId="138" applyNumberFormat="1" applyFont="1" applyBorder="1" applyAlignment="1">
      <alignment horizontal="center" vertical="center" shrinkToFit="1"/>
    </xf>
    <xf numFmtId="170" fontId="48" fillId="0" borderId="55" xfId="138" applyNumberFormat="1" applyFont="1" applyBorder="1" applyAlignment="1">
      <alignment horizontal="center" vertical="center" shrinkToFit="1"/>
    </xf>
    <xf numFmtId="0" fontId="61" fillId="149" borderId="113" xfId="138" applyFont="1" applyFill="1" applyBorder="1" applyAlignment="1">
      <alignment horizontal="center" vertical="center" shrinkToFit="1"/>
    </xf>
    <xf numFmtId="0" fontId="61" fillId="149" borderId="106" xfId="138" applyFont="1" applyFill="1" applyBorder="1" applyAlignment="1">
      <alignment horizontal="center" vertical="center" shrinkToFit="1"/>
    </xf>
    <xf numFmtId="0" fontId="61" fillId="149" borderId="97" xfId="138" applyFont="1" applyFill="1" applyBorder="1" applyAlignment="1">
      <alignment horizontal="center" vertical="center" shrinkToFit="1"/>
    </xf>
    <xf numFmtId="0" fontId="61" fillId="80" borderId="113" xfId="138" applyFont="1" applyFill="1" applyBorder="1" applyAlignment="1">
      <alignment horizontal="center" vertical="center" shrinkToFit="1"/>
    </xf>
    <xf numFmtId="0" fontId="61" fillId="80" borderId="106" xfId="138" applyFont="1" applyFill="1" applyBorder="1" applyAlignment="1">
      <alignment horizontal="center" vertical="center" shrinkToFit="1"/>
    </xf>
    <xf numFmtId="0" fontId="61" fillId="80" borderId="97" xfId="138" applyFont="1" applyFill="1" applyBorder="1" applyAlignment="1">
      <alignment horizontal="center" vertical="center" shrinkToFit="1"/>
    </xf>
    <xf numFmtId="0" fontId="79" fillId="0" borderId="89" xfId="0" applyFont="1" applyBorder="1" applyAlignment="1">
      <alignment horizontal="center"/>
    </xf>
    <xf numFmtId="0" fontId="126" fillId="0" borderId="89" xfId="0" applyFont="1" applyBorder="1" applyAlignment="1">
      <alignment horizontal="center"/>
    </xf>
    <xf numFmtId="0" fontId="126" fillId="0" borderId="90" xfId="0" applyFont="1" applyBorder="1" applyAlignment="1">
      <alignment horizontal="center"/>
    </xf>
    <xf numFmtId="0" fontId="61" fillId="63" borderId="113" xfId="138" applyFont="1" applyFill="1" applyBorder="1" applyAlignment="1">
      <alignment horizontal="center" vertical="center" shrinkToFit="1"/>
    </xf>
    <xf numFmtId="0" fontId="61" fillId="63" borderId="106" xfId="138" applyFont="1" applyFill="1" applyBorder="1" applyAlignment="1">
      <alignment horizontal="center" vertical="center" shrinkToFit="1"/>
    </xf>
    <xf numFmtId="0" fontId="61" fillId="63" borderId="97" xfId="138" applyFont="1" applyFill="1" applyBorder="1" applyAlignment="1">
      <alignment horizontal="center" vertical="center" shrinkToFit="1"/>
    </xf>
    <xf numFmtId="170" fontId="56" fillId="198" borderId="1" xfId="138" applyNumberFormat="1" applyFont="1" applyFill="1" applyBorder="1" applyAlignment="1">
      <alignment horizontal="center" vertical="center" shrinkToFit="1"/>
    </xf>
    <xf numFmtId="0" fontId="48" fillId="0" borderId="17" xfId="138" applyFont="1" applyBorder="1" applyAlignment="1">
      <alignment horizontal="center" vertical="center" shrinkToFit="1"/>
    </xf>
    <xf numFmtId="0" fontId="48" fillId="0" borderId="18" xfId="138" applyFont="1" applyBorder="1" applyAlignment="1">
      <alignment horizontal="center" vertical="center" shrinkToFit="1"/>
    </xf>
    <xf numFmtId="170" fontId="144" fillId="198" borderId="1" xfId="138" applyNumberFormat="1" applyFont="1" applyFill="1" applyBorder="1" applyAlignment="1">
      <alignment horizontal="center" vertical="center" shrinkToFit="1"/>
    </xf>
    <xf numFmtId="0" fontId="142" fillId="148" borderId="54" xfId="138" applyFont="1" applyFill="1" applyBorder="1" applyAlignment="1">
      <alignment horizontal="center" vertical="center" shrinkToFit="1"/>
    </xf>
    <xf numFmtId="0" fontId="142" fillId="148" borderId="90" xfId="138" applyFont="1" applyFill="1" applyBorder="1" applyAlignment="1">
      <alignment horizontal="center" vertical="center" shrinkToFit="1"/>
    </xf>
    <xf numFmtId="0" fontId="142" fillId="148" borderId="53" xfId="138" applyFont="1" applyFill="1" applyBorder="1" applyAlignment="1">
      <alignment horizontal="center" vertical="center" shrinkToFit="1"/>
    </xf>
    <xf numFmtId="170" fontId="48" fillId="0" borderId="110" xfId="138" applyNumberFormat="1" applyFont="1" applyBorder="1" applyAlignment="1">
      <alignment horizontal="center" vertical="center" shrinkToFit="1"/>
    </xf>
    <xf numFmtId="170" fontId="48" fillId="0" borderId="111" xfId="138" applyNumberFormat="1" applyFont="1" applyBorder="1" applyAlignment="1">
      <alignment horizontal="center" vertical="center" shrinkToFit="1"/>
    </xf>
    <xf numFmtId="170" fontId="48" fillId="0" borderId="112" xfId="138" applyNumberFormat="1" applyFont="1" applyBorder="1" applyAlignment="1">
      <alignment horizontal="center" vertical="center" shrinkToFit="1"/>
    </xf>
    <xf numFmtId="0" fontId="82" fillId="84" borderId="54" xfId="150" applyFont="1" applyFill="1" applyBorder="1" applyAlignment="1">
      <alignment horizontal="left" vertical="center" shrinkToFit="1"/>
    </xf>
    <xf numFmtId="0" fontId="82" fillId="84" borderId="90" xfId="150" applyFont="1" applyFill="1" applyBorder="1" applyAlignment="1">
      <alignment horizontal="left" vertical="center" shrinkToFit="1"/>
    </xf>
    <xf numFmtId="0" fontId="82" fillId="84" borderId="53" xfId="150" applyFont="1" applyFill="1" applyBorder="1" applyAlignment="1">
      <alignment horizontal="left" vertical="center" shrinkToFit="1"/>
    </xf>
    <xf numFmtId="0" fontId="142" fillId="218" borderId="54" xfId="138" applyFont="1" applyFill="1" applyBorder="1" applyAlignment="1">
      <alignment horizontal="center" vertical="center" shrinkToFit="1"/>
    </xf>
    <xf numFmtId="0" fontId="142" fillId="218" borderId="90" xfId="138" applyFont="1" applyFill="1" applyBorder="1" applyAlignment="1">
      <alignment horizontal="center" vertical="center" shrinkToFit="1"/>
    </xf>
    <xf numFmtId="0" fontId="142" fillId="218" borderId="53" xfId="138" applyFont="1" applyFill="1" applyBorder="1" applyAlignment="1">
      <alignment horizontal="center" vertical="center" shrinkToFit="1"/>
    </xf>
    <xf numFmtId="0" fontId="82" fillId="84" borderId="98" xfId="150" applyFont="1" applyFill="1" applyBorder="1" applyAlignment="1">
      <alignment horizontal="left" vertical="center" shrinkToFit="1"/>
    </xf>
    <xf numFmtId="0" fontId="82" fillId="84" borderId="40" xfId="150" applyFont="1" applyFill="1" applyBorder="1" applyAlignment="1">
      <alignment horizontal="left" vertical="center" shrinkToFit="1"/>
    </xf>
    <xf numFmtId="0" fontId="82" fillId="84" borderId="55" xfId="150" applyFont="1" applyFill="1" applyBorder="1" applyAlignment="1">
      <alignment horizontal="left" vertical="center" shrinkToFit="1"/>
    </xf>
    <xf numFmtId="170" fontId="48" fillId="0" borderId="98" xfId="138" applyNumberFormat="1" applyFont="1" applyBorder="1" applyAlignment="1">
      <alignment horizontal="center" vertical="center" shrinkToFit="1"/>
    </xf>
    <xf numFmtId="0" fontId="82" fillId="0" borderId="97" xfId="138" applyFont="1" applyBorder="1" applyAlignment="1">
      <alignment horizontal="left" vertical="center" shrinkToFit="1"/>
    </xf>
    <xf numFmtId="170" fontId="48" fillId="0" borderId="52" xfId="138" applyNumberFormat="1" applyFont="1" applyBorder="1" applyAlignment="1">
      <alignment horizontal="center" vertical="center" shrinkToFit="1"/>
    </xf>
    <xf numFmtId="0" fontId="142" fillId="55" borderId="54" xfId="138" applyFont="1" applyFill="1" applyBorder="1" applyAlignment="1">
      <alignment horizontal="center" vertical="center" shrinkToFit="1"/>
    </xf>
    <xf numFmtId="0" fontId="142" fillId="55" borderId="90" xfId="138" applyFont="1" applyFill="1" applyBorder="1" applyAlignment="1">
      <alignment horizontal="center" vertical="center" shrinkToFit="1"/>
    </xf>
    <xf numFmtId="0" fontId="142" fillId="55" borderId="53" xfId="138" applyFont="1" applyFill="1" applyBorder="1" applyAlignment="1">
      <alignment horizontal="center" vertical="center" shrinkToFit="1"/>
    </xf>
    <xf numFmtId="0" fontId="48" fillId="0" borderId="16" xfId="138" applyFont="1" applyBorder="1" applyAlignment="1">
      <alignment horizontal="center" vertical="center" shrinkToFit="1"/>
    </xf>
    <xf numFmtId="0" fontId="48" fillId="0" borderId="20" xfId="138" applyFont="1" applyBorder="1" applyAlignment="1">
      <alignment horizontal="center" vertical="center" shrinkToFit="1"/>
    </xf>
    <xf numFmtId="170" fontId="56" fillId="198" borderId="56" xfId="138" applyNumberFormat="1" applyFont="1" applyFill="1" applyBorder="1" applyAlignment="1">
      <alignment horizontal="center" vertical="center" shrinkToFit="1"/>
    </xf>
    <xf numFmtId="170" fontId="56" fillId="198" borderId="52" xfId="138" applyNumberFormat="1" applyFont="1" applyFill="1" applyBorder="1" applyAlignment="1">
      <alignment horizontal="center" vertical="center" shrinkToFit="1"/>
    </xf>
    <xf numFmtId="0" fontId="80" fillId="116" borderId="54" xfId="138" applyFont="1" applyFill="1" applyBorder="1" applyAlignment="1">
      <alignment horizontal="center" vertical="center" shrinkToFit="1"/>
    </xf>
    <xf numFmtId="0" fontId="80" fillId="116" borderId="90" xfId="138" applyFont="1" applyFill="1" applyBorder="1" applyAlignment="1">
      <alignment horizontal="center" vertical="center" shrinkToFit="1"/>
    </xf>
    <xf numFmtId="0" fontId="61" fillId="34" borderId="35" xfId="138" applyFont="1" applyFill="1" applyBorder="1" applyAlignment="1">
      <alignment horizontal="center" vertical="center" shrinkToFit="1"/>
    </xf>
    <xf numFmtId="0" fontId="61" fillId="34" borderId="0" xfId="138" applyFont="1" applyFill="1" applyAlignment="1">
      <alignment horizontal="center" vertical="center" shrinkToFit="1"/>
    </xf>
    <xf numFmtId="0" fontId="61" fillId="34" borderId="69" xfId="138" applyFont="1" applyFill="1" applyBorder="1" applyAlignment="1">
      <alignment horizontal="center" vertical="center" shrinkToFit="1"/>
    </xf>
    <xf numFmtId="0" fontId="59" fillId="0" borderId="4" xfId="0" applyFont="1" applyBorder="1" applyAlignment="1">
      <alignment horizontal="center"/>
    </xf>
    <xf numFmtId="0" fontId="59" fillId="0" borderId="26" xfId="0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170" fontId="121" fillId="116" borderId="4" xfId="0" applyNumberFormat="1" applyFont="1" applyFill="1" applyBorder="1" applyAlignment="1">
      <alignment horizontal="center"/>
    </xf>
    <xf numFmtId="170" fontId="121" fillId="116" borderId="5" xfId="0" applyNumberFormat="1" applyFont="1" applyFill="1" applyBorder="1" applyAlignment="1">
      <alignment horizontal="center"/>
    </xf>
    <xf numFmtId="0" fontId="62" fillId="0" borderId="28" xfId="0" applyFont="1" applyBorder="1" applyAlignment="1">
      <alignment horizontal="center"/>
    </xf>
    <xf numFmtId="0" fontId="62" fillId="0" borderId="29" xfId="0" applyFont="1" applyBorder="1" applyAlignment="1">
      <alignment horizontal="center"/>
    </xf>
    <xf numFmtId="0" fontId="62" fillId="0" borderId="26" xfId="0" applyFont="1" applyBorder="1" applyAlignment="1">
      <alignment horizontal="center"/>
    </xf>
    <xf numFmtId="0" fontId="62" fillId="0" borderId="5" xfId="0" applyFont="1" applyBorder="1" applyAlignment="1">
      <alignment horizontal="center"/>
    </xf>
    <xf numFmtId="170" fontId="121" fillId="101" borderId="28" xfId="0" applyNumberFormat="1" applyFont="1" applyFill="1" applyBorder="1" applyAlignment="1">
      <alignment horizontal="center"/>
    </xf>
    <xf numFmtId="170" fontId="121" fillId="101" borderId="30" xfId="0" applyNumberFormat="1" applyFont="1" applyFill="1" applyBorder="1" applyAlignment="1">
      <alignment horizontal="center"/>
    </xf>
    <xf numFmtId="0" fontId="62" fillId="0" borderId="30" xfId="0" applyFont="1" applyBorder="1" applyAlignment="1">
      <alignment horizontal="center"/>
    </xf>
    <xf numFmtId="0" fontId="61" fillId="0" borderId="89" xfId="138" applyFont="1" applyBorder="1" applyAlignment="1">
      <alignment horizontal="center" vertical="center" shrinkToFit="1"/>
    </xf>
    <xf numFmtId="0" fontId="61" fillId="0" borderId="90" xfId="138" applyFont="1" applyBorder="1" applyAlignment="1">
      <alignment horizontal="center" vertical="center" shrinkToFit="1"/>
    </xf>
    <xf numFmtId="0" fontId="61" fillId="0" borderId="53" xfId="138" applyFont="1" applyBorder="1" applyAlignment="1">
      <alignment horizontal="center" vertical="center" shrinkToFit="1"/>
    </xf>
    <xf numFmtId="0" fontId="62" fillId="0" borderId="93" xfId="0" applyFont="1" applyBorder="1" applyAlignment="1">
      <alignment horizontal="center"/>
    </xf>
    <xf numFmtId="0" fontId="62" fillId="0" borderId="94" xfId="0" applyFont="1" applyBorder="1" applyAlignment="1">
      <alignment horizontal="center"/>
    </xf>
    <xf numFmtId="0" fontId="122" fillId="35" borderId="31" xfId="0" applyFont="1" applyFill="1" applyBorder="1" applyAlignment="1">
      <alignment horizontal="center"/>
    </xf>
    <xf numFmtId="0" fontId="122" fillId="35" borderId="0" xfId="0" applyFont="1" applyFill="1" applyAlignment="1">
      <alignment horizontal="center"/>
    </xf>
    <xf numFmtId="170" fontId="59" fillId="0" borderId="84" xfId="0" applyNumberFormat="1" applyFont="1" applyBorder="1" applyAlignment="1">
      <alignment horizontal="center"/>
    </xf>
    <xf numFmtId="170" fontId="59" fillId="0" borderId="85" xfId="0" applyNumberFormat="1" applyFont="1" applyBorder="1" applyAlignment="1">
      <alignment horizontal="center"/>
    </xf>
    <xf numFmtId="0" fontId="125" fillId="87" borderId="28" xfId="0" applyFont="1" applyFill="1" applyBorder="1" applyAlignment="1">
      <alignment horizontal="center" vertical="center"/>
    </xf>
    <xf numFmtId="0" fontId="125" fillId="87" borderId="29" xfId="0" applyFont="1" applyFill="1" applyBorder="1" applyAlignment="1">
      <alignment horizontal="center" vertical="center"/>
    </xf>
    <xf numFmtId="0" fontId="125" fillId="87" borderId="30" xfId="0" applyFont="1" applyFill="1" applyBorder="1" applyAlignment="1">
      <alignment horizontal="center" vertical="center"/>
    </xf>
    <xf numFmtId="0" fontId="125" fillId="87" borderId="24" xfId="0" applyFont="1" applyFill="1" applyBorder="1" applyAlignment="1">
      <alignment horizontal="center" vertical="center"/>
    </xf>
    <xf numFmtId="0" fontId="125" fillId="87" borderId="25" xfId="0" applyFont="1" applyFill="1" applyBorder="1" applyAlignment="1">
      <alignment horizontal="center" vertical="center"/>
    </xf>
    <xf numFmtId="0" fontId="125" fillId="87" borderId="33" xfId="0" applyFont="1" applyFill="1" applyBorder="1" applyAlignment="1">
      <alignment horizontal="center" vertical="center"/>
    </xf>
    <xf numFmtId="0" fontId="52" fillId="0" borderId="35" xfId="0" applyFont="1" applyBorder="1" applyAlignment="1">
      <alignment horizontal="center"/>
    </xf>
    <xf numFmtId="0" fontId="52" fillId="0" borderId="69" xfId="0" applyFont="1" applyBorder="1" applyAlignment="1">
      <alignment horizontal="center"/>
    </xf>
    <xf numFmtId="0" fontId="117" fillId="84" borderId="4" xfId="138" applyFont="1" applyFill="1" applyBorder="1" applyAlignment="1">
      <alignment horizontal="center" vertical="center" shrinkToFit="1"/>
    </xf>
    <xf numFmtId="0" fontId="117" fillId="84" borderId="26" xfId="138" applyFont="1" applyFill="1" applyBorder="1" applyAlignment="1">
      <alignment horizontal="center" vertical="center" shrinkToFit="1"/>
    </xf>
    <xf numFmtId="0" fontId="59" fillId="0" borderId="81" xfId="0" applyFont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/>
    </xf>
    <xf numFmtId="0" fontId="115" fillId="149" borderId="74" xfId="0" applyFont="1" applyFill="1" applyBorder="1" applyAlignment="1">
      <alignment horizontal="center" wrapText="1"/>
    </xf>
    <xf numFmtId="0" fontId="116" fillId="116" borderId="4" xfId="138" applyFont="1" applyFill="1" applyBorder="1" applyAlignment="1">
      <alignment horizontal="center" vertical="center" shrinkToFit="1"/>
    </xf>
    <xf numFmtId="0" fontId="116" fillId="116" borderId="26" xfId="138" applyFont="1" applyFill="1" applyBorder="1" applyAlignment="1">
      <alignment horizontal="center" vertical="center" shrinkToFit="1"/>
    </xf>
    <xf numFmtId="0" fontId="116" fillId="116" borderId="5" xfId="138" applyFont="1" applyFill="1" applyBorder="1" applyAlignment="1">
      <alignment horizontal="center" vertical="center" shrinkToFit="1"/>
    </xf>
    <xf numFmtId="170" fontId="51" fillId="116" borderId="4" xfId="138" applyNumberFormat="1" applyFont="1" applyFill="1" applyBorder="1" applyAlignment="1">
      <alignment horizontal="center" vertical="center" shrinkToFit="1"/>
    </xf>
    <xf numFmtId="170" fontId="51" fillId="116" borderId="26" xfId="138" applyNumberFormat="1" applyFont="1" applyFill="1" applyBorder="1" applyAlignment="1">
      <alignment horizontal="center" vertical="center" shrinkToFit="1"/>
    </xf>
    <xf numFmtId="170" fontId="51" fillId="116" borderId="5" xfId="138" applyNumberFormat="1" applyFont="1" applyFill="1" applyBorder="1" applyAlignment="1">
      <alignment horizontal="center" vertical="center" shrinkToFit="1"/>
    </xf>
    <xf numFmtId="14" fontId="115" fillId="0" borderId="74" xfId="0" applyNumberFormat="1" applyFont="1" applyBorder="1" applyAlignment="1">
      <alignment horizontal="center" wrapText="1"/>
    </xf>
    <xf numFmtId="0" fontId="115" fillId="0" borderId="74" xfId="0" applyFont="1" applyBorder="1" applyAlignment="1" applyProtection="1">
      <alignment horizontal="center" wrapText="1"/>
      <protection locked="0"/>
    </xf>
    <xf numFmtId="0" fontId="103" fillId="35" borderId="31" xfId="254" applyFont="1" applyFill="1" applyBorder="1" applyAlignment="1" applyProtection="1">
      <alignment horizontal="center" vertical="center"/>
    </xf>
    <xf numFmtId="0" fontId="103" fillId="35" borderId="0" xfId="254" applyFont="1" applyFill="1" applyAlignment="1" applyProtection="1">
      <alignment horizontal="center" vertical="center"/>
    </xf>
    <xf numFmtId="0" fontId="107" fillId="148" borderId="4" xfId="256" applyFont="1" applyFill="1" applyBorder="1" applyAlignment="1" applyProtection="1">
      <alignment horizontal="center" vertical="top" shrinkToFit="1"/>
    </xf>
    <xf numFmtId="0" fontId="108" fillId="148" borderId="26" xfId="256" applyFont="1" applyFill="1" applyBorder="1" applyAlignment="1" applyProtection="1">
      <alignment horizontal="center" vertical="top" shrinkToFit="1"/>
    </xf>
    <xf numFmtId="0" fontId="108" fillId="148" borderId="5" xfId="256" applyFont="1" applyFill="1" applyBorder="1" applyAlignment="1" applyProtection="1">
      <alignment horizontal="center" vertical="top" shrinkToFit="1"/>
    </xf>
    <xf numFmtId="170" fontId="109" fillId="148" borderId="4" xfId="256" applyNumberFormat="1" applyFont="1" applyFill="1" applyBorder="1" applyAlignment="1" applyProtection="1">
      <alignment horizontal="center" vertical="center" shrinkToFit="1"/>
    </xf>
    <xf numFmtId="170" fontId="109" fillId="148" borderId="26" xfId="256" applyNumberFormat="1" applyFont="1" applyFill="1" applyBorder="1" applyAlignment="1" applyProtection="1">
      <alignment horizontal="center" vertical="center" shrinkToFit="1"/>
    </xf>
    <xf numFmtId="170" fontId="109" fillId="148" borderId="5" xfId="256" applyNumberFormat="1" applyFont="1" applyFill="1" applyBorder="1" applyAlignment="1" applyProtection="1">
      <alignment horizontal="center" vertical="center" shrinkToFit="1"/>
    </xf>
    <xf numFmtId="0" fontId="110" fillId="80" borderId="74" xfId="0" applyFont="1" applyFill="1" applyBorder="1" applyAlignment="1">
      <alignment horizontal="center" vertical="center" wrapText="1"/>
    </xf>
    <xf numFmtId="0" fontId="58" fillId="0" borderId="28" xfId="131" applyFont="1" applyBorder="1" applyAlignment="1">
      <alignment horizontal="center" vertical="center"/>
    </xf>
    <xf numFmtId="0" fontId="58" fillId="0" borderId="29" xfId="131" applyFont="1" applyBorder="1" applyAlignment="1">
      <alignment horizontal="center" vertical="center"/>
    </xf>
    <xf numFmtId="0" fontId="58" fillId="0" borderId="30" xfId="131" applyFont="1" applyBorder="1" applyAlignment="1">
      <alignment horizontal="center" vertical="center"/>
    </xf>
    <xf numFmtId="0" fontId="58" fillId="0" borderId="31" xfId="131" applyFont="1" applyBorder="1" applyAlignment="1">
      <alignment horizontal="center" vertical="center"/>
    </xf>
    <xf numFmtId="0" fontId="58" fillId="0" borderId="0" xfId="131" applyFont="1" applyAlignment="1">
      <alignment horizontal="center" vertical="center"/>
    </xf>
    <xf numFmtId="0" fontId="58" fillId="0" borderId="27" xfId="131" applyFont="1" applyBorder="1" applyAlignment="1">
      <alignment horizontal="center" vertical="center"/>
    </xf>
    <xf numFmtId="0" fontId="58" fillId="0" borderId="24" xfId="131" applyFont="1" applyBorder="1" applyAlignment="1">
      <alignment horizontal="center" vertical="center"/>
    </xf>
    <xf numFmtId="0" fontId="58" fillId="0" borderId="25" xfId="131" applyFont="1" applyBorder="1" applyAlignment="1">
      <alignment horizontal="center" vertical="center"/>
    </xf>
    <xf numFmtId="0" fontId="58" fillId="0" borderId="33" xfId="131" applyFont="1" applyBorder="1" applyAlignment="1">
      <alignment horizontal="center" vertical="center"/>
    </xf>
    <xf numFmtId="0" fontId="64" fillId="35" borderId="4" xfId="133" applyFont="1" applyFill="1" applyBorder="1" applyAlignment="1">
      <alignment horizontal="center" vertical="center"/>
    </xf>
    <xf numFmtId="0" fontId="64" fillId="35" borderId="5" xfId="133" applyFont="1" applyFill="1" applyBorder="1" applyAlignment="1">
      <alignment horizontal="center" vertical="center"/>
    </xf>
    <xf numFmtId="0" fontId="86" fillId="35" borderId="29" xfId="250" applyFont="1" applyFill="1" applyBorder="1" applyAlignment="1" applyProtection="1">
      <alignment horizontal="center" vertical="center"/>
    </xf>
    <xf numFmtId="0" fontId="86" fillId="35" borderId="30" xfId="250" applyFont="1" applyFill="1" applyBorder="1" applyAlignment="1" applyProtection="1">
      <alignment horizontal="center" vertical="center"/>
    </xf>
    <xf numFmtId="0" fontId="86" fillId="35" borderId="0" xfId="250" applyFont="1" applyFill="1" applyAlignment="1" applyProtection="1">
      <alignment horizontal="center" vertical="center"/>
    </xf>
    <xf numFmtId="0" fontId="86" fillId="35" borderId="27" xfId="250" applyFont="1" applyFill="1" applyBorder="1" applyAlignment="1" applyProtection="1">
      <alignment horizontal="center" vertical="center"/>
    </xf>
    <xf numFmtId="0" fontId="86" fillId="35" borderId="25" xfId="250" applyFont="1" applyFill="1" applyBorder="1" applyAlignment="1" applyProtection="1">
      <alignment horizontal="center" vertical="center"/>
    </xf>
    <xf numFmtId="0" fontId="86" fillId="35" borderId="33" xfId="250" applyFont="1" applyFill="1" applyBorder="1" applyAlignment="1" applyProtection="1">
      <alignment horizontal="center" vertical="center"/>
    </xf>
    <xf numFmtId="0" fontId="99" fillId="35" borderId="60" xfId="250" applyFont="1" applyFill="1" applyBorder="1" applyAlignment="1" applyProtection="1">
      <alignment horizontal="center" vertical="center"/>
    </xf>
    <xf numFmtId="0" fontId="99" fillId="35" borderId="61" xfId="250" applyFont="1" applyFill="1" applyBorder="1" applyAlignment="1" applyProtection="1">
      <alignment horizontal="center" vertical="center"/>
    </xf>
    <xf numFmtId="0" fontId="99" fillId="35" borderId="62" xfId="250" applyFont="1" applyFill="1" applyBorder="1" applyAlignment="1" applyProtection="1">
      <alignment horizontal="center" vertical="center"/>
    </xf>
    <xf numFmtId="0" fontId="99" fillId="35" borderId="63" xfId="250" applyFont="1" applyFill="1" applyBorder="1" applyAlignment="1" applyProtection="1">
      <alignment horizontal="center" vertical="center"/>
    </xf>
    <xf numFmtId="0" fontId="99" fillId="35" borderId="0" xfId="250" applyFont="1" applyFill="1" applyAlignment="1" applyProtection="1">
      <alignment horizontal="center" vertical="center"/>
    </xf>
    <xf numFmtId="0" fontId="99" fillId="35" borderId="64" xfId="250" applyFont="1" applyFill="1" applyBorder="1" applyAlignment="1" applyProtection="1">
      <alignment horizontal="center" vertical="center"/>
    </xf>
    <xf numFmtId="0" fontId="99" fillId="35" borderId="65" xfId="250" applyFont="1" applyFill="1" applyBorder="1" applyAlignment="1" applyProtection="1">
      <alignment horizontal="center" vertical="center"/>
    </xf>
    <xf numFmtId="0" fontId="99" fillId="35" borderId="49" xfId="250" applyFont="1" applyFill="1" applyBorder="1" applyAlignment="1" applyProtection="1">
      <alignment horizontal="center" vertical="center"/>
    </xf>
    <xf numFmtId="0" fontId="99" fillId="35" borderId="66" xfId="250" applyFont="1" applyFill="1" applyBorder="1" applyAlignment="1" applyProtection="1">
      <alignment horizontal="center" vertical="center"/>
    </xf>
    <xf numFmtId="0" fontId="76" fillId="35" borderId="31" xfId="160" applyFont="1" applyFill="1" applyBorder="1" applyAlignment="1">
      <alignment horizontal="center" vertical="center"/>
    </xf>
    <xf numFmtId="0" fontId="76" fillId="35" borderId="0" xfId="160" applyFont="1" applyFill="1" applyAlignment="1">
      <alignment horizontal="center" vertical="center"/>
    </xf>
    <xf numFmtId="0" fontId="99" fillId="35" borderId="67" xfId="250" applyFont="1" applyFill="1" applyBorder="1" applyAlignment="1" applyProtection="1">
      <alignment horizontal="center" vertical="center"/>
    </xf>
    <xf numFmtId="0" fontId="99" fillId="35" borderId="68" xfId="250" applyFont="1" applyFill="1" applyBorder="1" applyAlignment="1" applyProtection="1">
      <alignment horizontal="center" vertical="center"/>
    </xf>
    <xf numFmtId="0" fontId="99" fillId="35" borderId="35" xfId="250" applyFont="1" applyFill="1" applyBorder="1" applyAlignment="1" applyProtection="1">
      <alignment horizontal="center" vertical="center"/>
    </xf>
    <xf numFmtId="0" fontId="99" fillId="35" borderId="69" xfId="250" applyFont="1" applyFill="1" applyBorder="1" applyAlignment="1" applyProtection="1">
      <alignment horizontal="center" vertical="center"/>
    </xf>
    <xf numFmtId="0" fontId="99" fillId="35" borderId="72" xfId="250" applyFont="1" applyFill="1" applyBorder="1" applyAlignment="1" applyProtection="1">
      <alignment horizontal="center" vertical="center"/>
    </xf>
    <xf numFmtId="0" fontId="99" fillId="35" borderId="73" xfId="250" applyFont="1" applyFill="1" applyBorder="1" applyAlignment="1" applyProtection="1">
      <alignment horizontal="center" vertical="center"/>
    </xf>
    <xf numFmtId="0" fontId="86" fillId="35" borderId="70" xfId="250" applyFont="1" applyFill="1" applyBorder="1" applyAlignment="1" applyProtection="1">
      <alignment horizontal="center" vertical="center"/>
    </xf>
    <xf numFmtId="0" fontId="86" fillId="35" borderId="58" xfId="250" applyFont="1" applyFill="1" applyBorder="1" applyAlignment="1" applyProtection="1">
      <alignment horizontal="center" vertical="center"/>
    </xf>
    <xf numFmtId="0" fontId="86" fillId="35" borderId="71" xfId="250" applyFont="1" applyFill="1" applyBorder="1" applyAlignment="1" applyProtection="1">
      <alignment horizontal="center" vertical="center"/>
    </xf>
    <xf numFmtId="0" fontId="86" fillId="35" borderId="31" xfId="250" applyFont="1" applyFill="1" applyBorder="1" applyAlignment="1" applyProtection="1">
      <alignment horizontal="center" vertical="center"/>
    </xf>
    <xf numFmtId="0" fontId="86" fillId="35" borderId="69" xfId="250" applyFont="1" applyFill="1" applyBorder="1" applyAlignment="1" applyProtection="1">
      <alignment horizontal="center" vertical="center"/>
    </xf>
    <xf numFmtId="0" fontId="55" fillId="35" borderId="67" xfId="250" applyFont="1" applyFill="1" applyBorder="1" applyAlignment="1" applyProtection="1">
      <alignment horizontal="center" vertical="center"/>
    </xf>
    <xf numFmtId="0" fontId="55" fillId="35" borderId="61" xfId="250" applyFont="1" applyFill="1" applyBorder="1" applyAlignment="1" applyProtection="1">
      <alignment horizontal="center" vertical="center"/>
    </xf>
    <xf numFmtId="0" fontId="55" fillId="35" borderId="68" xfId="250" applyFont="1" applyFill="1" applyBorder="1" applyAlignment="1" applyProtection="1">
      <alignment horizontal="center" vertical="center"/>
    </xf>
    <xf numFmtId="0" fontId="55" fillId="35" borderId="35" xfId="250" applyFont="1" applyFill="1" applyBorder="1" applyAlignment="1" applyProtection="1">
      <alignment horizontal="center" vertical="center"/>
    </xf>
    <xf numFmtId="0" fontId="55" fillId="35" borderId="0" xfId="250" applyFont="1" applyFill="1" applyAlignment="1" applyProtection="1">
      <alignment horizontal="center" vertical="center"/>
    </xf>
    <xf numFmtId="0" fontId="55" fillId="35" borderId="69" xfId="250" applyFont="1" applyFill="1" applyBorder="1" applyAlignment="1" applyProtection="1">
      <alignment horizontal="center" vertical="center"/>
    </xf>
    <xf numFmtId="0" fontId="95" fillId="35" borderId="0" xfId="252" applyFont="1" applyFill="1" applyAlignment="1" applyProtection="1">
      <alignment horizontal="center" vertical="center"/>
    </xf>
    <xf numFmtId="0" fontId="91" fillId="35" borderId="0" xfId="160" applyFont="1" applyFill="1" applyAlignment="1">
      <alignment horizontal="center" vertical="center"/>
    </xf>
    <xf numFmtId="0" fontId="99" fillId="35" borderId="28" xfId="250" applyFont="1" applyFill="1" applyBorder="1" applyAlignment="1" applyProtection="1">
      <alignment horizontal="center" vertical="center"/>
    </xf>
    <xf numFmtId="0" fontId="99" fillId="35" borderId="29" xfId="250" applyFont="1" applyFill="1" applyBorder="1" applyAlignment="1" applyProtection="1">
      <alignment horizontal="center" vertical="center"/>
    </xf>
    <xf numFmtId="0" fontId="99" fillId="35" borderId="30" xfId="250" applyFont="1" applyFill="1" applyBorder="1" applyAlignment="1" applyProtection="1">
      <alignment horizontal="center" vertical="center"/>
    </xf>
    <xf numFmtId="0" fontId="99" fillId="35" borderId="31" xfId="250" applyFont="1" applyFill="1" applyBorder="1" applyAlignment="1" applyProtection="1">
      <alignment horizontal="center" vertical="center"/>
    </xf>
    <xf numFmtId="0" fontId="99" fillId="35" borderId="27" xfId="250" applyFont="1" applyFill="1" applyBorder="1" applyAlignment="1" applyProtection="1">
      <alignment horizontal="center" vertical="center"/>
    </xf>
    <xf numFmtId="0" fontId="99" fillId="35" borderId="24" xfId="250" applyFont="1" applyFill="1" applyBorder="1" applyAlignment="1" applyProtection="1">
      <alignment horizontal="center" vertical="center"/>
    </xf>
    <xf numFmtId="0" fontId="99" fillId="35" borderId="25" xfId="250" applyFont="1" applyFill="1" applyBorder="1" applyAlignment="1" applyProtection="1">
      <alignment horizontal="center" vertical="center"/>
    </xf>
    <xf numFmtId="0" fontId="99" fillId="35" borderId="33" xfId="250" applyFont="1" applyFill="1" applyBorder="1" applyAlignment="1" applyProtection="1">
      <alignment horizontal="center" vertical="center"/>
    </xf>
    <xf numFmtId="0" fontId="100" fillId="35" borderId="4" xfId="250" applyFont="1" applyFill="1" applyBorder="1" applyAlignment="1" applyProtection="1">
      <alignment horizontal="center" vertical="center"/>
    </xf>
    <xf numFmtId="0" fontId="100" fillId="35" borderId="5" xfId="250" applyFont="1" applyFill="1" applyBorder="1" applyAlignment="1" applyProtection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32" fillId="133" borderId="44" xfId="122" applyFont="1" applyFill="1" applyBorder="1" applyAlignment="1">
      <alignment horizontal="center" vertical="center"/>
    </xf>
    <xf numFmtId="0" fontId="32" fillId="133" borderId="47" xfId="122" applyFont="1" applyFill="1" applyBorder="1" applyAlignment="1">
      <alignment horizontal="center" vertical="center"/>
    </xf>
    <xf numFmtId="0" fontId="91" fillId="35" borderId="46" xfId="160" applyFont="1" applyFill="1" applyBorder="1" applyAlignment="1">
      <alignment horizontal="center" vertical="center"/>
    </xf>
    <xf numFmtId="0" fontId="62" fillId="35" borderId="31" xfId="0" applyFont="1" applyFill="1" applyBorder="1" applyAlignment="1">
      <alignment horizontal="center"/>
    </xf>
    <xf numFmtId="0" fontId="62" fillId="35" borderId="0" xfId="0" applyFont="1" applyFill="1" applyAlignment="1">
      <alignment horizontal="center"/>
    </xf>
    <xf numFmtId="0" fontId="59" fillId="35" borderId="28" xfId="131" applyFont="1" applyFill="1" applyBorder="1" applyAlignment="1">
      <alignment horizontal="center" vertical="center"/>
    </xf>
    <xf numFmtId="0" fontId="59" fillId="35" borderId="29" xfId="131" applyFont="1" applyFill="1" applyBorder="1" applyAlignment="1">
      <alignment horizontal="center" vertical="center"/>
    </xf>
    <xf numFmtId="0" fontId="59" fillId="35" borderId="30" xfId="131" applyFont="1" applyFill="1" applyBorder="1" applyAlignment="1">
      <alignment horizontal="center" vertical="center"/>
    </xf>
    <xf numFmtId="0" fontId="59" fillId="35" borderId="31" xfId="131" applyFont="1" applyFill="1" applyBorder="1" applyAlignment="1">
      <alignment horizontal="center" vertical="center"/>
    </xf>
    <xf numFmtId="0" fontId="59" fillId="35" borderId="0" xfId="131" applyFont="1" applyFill="1" applyAlignment="1">
      <alignment horizontal="center" vertical="center"/>
    </xf>
    <xf numFmtId="0" fontId="59" fillId="35" borderId="27" xfId="131" applyFont="1" applyFill="1" applyBorder="1" applyAlignment="1">
      <alignment horizontal="center" vertical="center"/>
    </xf>
    <xf numFmtId="0" fontId="59" fillId="35" borderId="24" xfId="131" applyFont="1" applyFill="1" applyBorder="1" applyAlignment="1">
      <alignment horizontal="center" vertical="center"/>
    </xf>
    <xf numFmtId="0" fontId="59" fillId="35" borderId="25" xfId="131" applyFont="1" applyFill="1" applyBorder="1" applyAlignment="1">
      <alignment horizontal="center" vertical="center"/>
    </xf>
    <xf numFmtId="0" fontId="59" fillId="35" borderId="33" xfId="131" applyFont="1" applyFill="1" applyBorder="1" applyAlignment="1">
      <alignment horizontal="center" vertical="center"/>
    </xf>
    <xf numFmtId="0" fontId="60" fillId="35" borderId="4" xfId="131" applyFont="1" applyFill="1" applyBorder="1" applyAlignment="1">
      <alignment horizontal="center"/>
    </xf>
    <xf numFmtId="0" fontId="60" fillId="35" borderId="5" xfId="131" applyFont="1" applyFill="1" applyBorder="1" applyAlignment="1">
      <alignment horizontal="center"/>
    </xf>
    <xf numFmtId="0" fontId="99" fillId="84" borderId="140" xfId="250" applyFont="1" applyFill="1" applyBorder="1" applyAlignment="1" applyProtection="1">
      <alignment horizontal="center" vertical="center"/>
    </xf>
    <xf numFmtId="0" fontId="99" fillId="84" borderId="141" xfId="250" applyFont="1" applyFill="1" applyBorder="1" applyAlignment="1" applyProtection="1">
      <alignment horizontal="center" vertical="center"/>
    </xf>
    <xf numFmtId="0" fontId="99" fillId="84" borderId="142" xfId="250" applyFont="1" applyFill="1" applyBorder="1" applyAlignment="1" applyProtection="1">
      <alignment horizontal="center" vertical="center"/>
    </xf>
    <xf numFmtId="0" fontId="99" fillId="84" borderId="143" xfId="250" applyFont="1" applyFill="1" applyBorder="1" applyAlignment="1" applyProtection="1">
      <alignment horizontal="center" vertical="center"/>
    </xf>
    <xf numFmtId="0" fontId="99" fillId="84" borderId="144" xfId="250" applyFont="1" applyFill="1" applyBorder="1" applyAlignment="1" applyProtection="1">
      <alignment horizontal="center" vertical="center"/>
    </xf>
    <xf numFmtId="0" fontId="86" fillId="84" borderId="145" xfId="250" applyFont="1" applyFill="1" applyBorder="1" applyAlignment="1" applyProtection="1">
      <alignment horizontal="center" vertical="center"/>
    </xf>
    <xf numFmtId="0" fontId="86" fillId="84" borderId="138" xfId="250" applyFont="1" applyFill="1" applyBorder="1" applyAlignment="1" applyProtection="1">
      <alignment horizontal="center" vertical="center"/>
    </xf>
    <xf numFmtId="0" fontId="86" fillId="84" borderId="146" xfId="250" applyFont="1" applyFill="1" applyBorder="1" applyAlignment="1" applyProtection="1">
      <alignment horizontal="center" vertical="center"/>
    </xf>
    <xf numFmtId="0" fontId="55" fillId="84" borderId="147" xfId="250" applyFont="1" applyFill="1" applyBorder="1" applyAlignment="1" applyProtection="1">
      <alignment horizontal="center" vertical="center"/>
    </xf>
    <xf numFmtId="0" fontId="55" fillId="84" borderId="133" xfId="250" applyFont="1" applyFill="1" applyBorder="1" applyAlignment="1" applyProtection="1">
      <alignment horizontal="center" vertical="center"/>
    </xf>
    <xf numFmtId="0" fontId="55" fillId="84" borderId="148" xfId="250" applyFont="1" applyFill="1" applyBorder="1" applyAlignment="1" applyProtection="1">
      <alignment horizontal="center" vertical="center"/>
    </xf>
    <xf numFmtId="0" fontId="60" fillId="84" borderId="0" xfId="122" applyFont="1" applyFill="1" applyAlignment="1">
      <alignment horizontal="center" vertical="center"/>
    </xf>
    <xf numFmtId="0" fontId="82" fillId="84" borderId="58" xfId="250" applyFont="1" applyFill="1" applyBorder="1" applyAlignment="1" applyProtection="1">
      <alignment horizontal="center" vertical="center"/>
    </xf>
    <xf numFmtId="0" fontId="0" fillId="84" borderId="58" xfId="0" applyFill="1" applyBorder="1" applyAlignment="1">
      <alignment horizontal="center"/>
    </xf>
    <xf numFmtId="173" fontId="57" fillId="79" borderId="24" xfId="122" applyNumberFormat="1" applyFont="1" applyFill="1" applyBorder="1" applyAlignment="1">
      <alignment horizontal="center" vertical="center"/>
    </xf>
    <xf numFmtId="173" fontId="57" fillId="79" borderId="25" xfId="122" applyNumberFormat="1" applyFont="1" applyFill="1" applyBorder="1" applyAlignment="1">
      <alignment horizontal="center" vertical="center"/>
    </xf>
    <xf numFmtId="173" fontId="22" fillId="0" borderId="0" xfId="0" applyNumberFormat="1" applyFont="1"/>
    <xf numFmtId="173" fontId="22" fillId="0" borderId="0" xfId="0" applyNumberFormat="1" applyFont="1" applyAlignment="1">
      <alignment horizontal="center" vertical="center"/>
    </xf>
    <xf numFmtId="173" fontId="0" fillId="0" borderId="0" xfId="0" applyNumberFormat="1"/>
    <xf numFmtId="173" fontId="11" fillId="0" borderId="0" xfId="133" applyNumberFormat="1"/>
    <xf numFmtId="173" fontId="11" fillId="0" borderId="26" xfId="133" applyNumberFormat="1" applyBorder="1"/>
    <xf numFmtId="173" fontId="11" fillId="84" borderId="26" xfId="133" applyNumberFormat="1" applyFill="1" applyBorder="1"/>
    <xf numFmtId="173" fontId="11" fillId="0" borderId="5" xfId="133" applyNumberFormat="1" applyBorder="1"/>
    <xf numFmtId="173" fontId="58" fillId="0" borderId="0" xfId="250" applyNumberFormat="1" applyFont="1" applyAlignment="1" applyProtection="1">
      <alignment horizontal="center" vertical="center"/>
    </xf>
    <xf numFmtId="173" fontId="11" fillId="0" borderId="27" xfId="133" applyNumberFormat="1" applyBorder="1"/>
    <xf numFmtId="173" fontId="59" fillId="84" borderId="28" xfId="131" applyNumberFormat="1" applyFont="1" applyFill="1" applyBorder="1" applyAlignment="1">
      <alignment horizontal="center" vertical="center"/>
    </xf>
    <xf numFmtId="173" fontId="59" fillId="84" borderId="29" xfId="131" applyNumberFormat="1" applyFont="1" applyFill="1" applyBorder="1" applyAlignment="1">
      <alignment horizontal="center" vertical="center"/>
    </xf>
    <xf numFmtId="173" fontId="59" fillId="84" borderId="30" xfId="131" applyNumberFormat="1" applyFont="1" applyFill="1" applyBorder="1" applyAlignment="1">
      <alignment horizontal="center" vertical="center"/>
    </xf>
    <xf numFmtId="173" fontId="1" fillId="84" borderId="0" xfId="131" applyNumberFormat="1" applyFont="1" applyFill="1"/>
    <xf numFmtId="173" fontId="1" fillId="0" borderId="0" xfId="131" applyNumberFormat="1" applyFont="1"/>
    <xf numFmtId="173" fontId="60" fillId="84" borderId="4" xfId="131" applyNumberFormat="1" applyFont="1" applyFill="1" applyBorder="1" applyAlignment="1">
      <alignment horizontal="center"/>
    </xf>
    <xf numFmtId="173" fontId="60" fillId="84" borderId="5" xfId="131" applyNumberFormat="1" applyFont="1" applyFill="1" applyBorder="1" applyAlignment="1">
      <alignment horizontal="center"/>
    </xf>
    <xf numFmtId="173" fontId="11" fillId="0" borderId="27" xfId="131" applyNumberFormat="1" applyBorder="1"/>
    <xf numFmtId="173" fontId="59" fillId="84" borderId="31" xfId="131" applyNumberFormat="1" applyFont="1" applyFill="1" applyBorder="1" applyAlignment="1">
      <alignment horizontal="center" vertical="center"/>
    </xf>
    <xf numFmtId="173" fontId="59" fillId="84" borderId="0" xfId="131" applyNumberFormat="1" applyFont="1" applyFill="1" applyAlignment="1">
      <alignment horizontal="center" vertical="center"/>
    </xf>
    <xf numFmtId="173" fontId="59" fillId="84" borderId="27" xfId="131" applyNumberFormat="1" applyFont="1" applyFill="1" applyBorder="1" applyAlignment="1">
      <alignment horizontal="center" vertical="center"/>
    </xf>
    <xf numFmtId="173" fontId="11" fillId="84" borderId="0" xfId="131" applyNumberFormat="1" applyFill="1"/>
    <xf numFmtId="173" fontId="11" fillId="0" borderId="0" xfId="131" applyNumberFormat="1"/>
    <xf numFmtId="173" fontId="11" fillId="84" borderId="32" xfId="122" applyNumberFormat="1" applyFill="1" applyBorder="1"/>
    <xf numFmtId="173" fontId="11" fillId="84" borderId="0" xfId="122" applyNumberFormat="1" applyFill="1"/>
    <xf numFmtId="173" fontId="11" fillId="84" borderId="0" xfId="133" applyNumberFormat="1" applyFill="1"/>
    <xf numFmtId="173" fontId="61" fillId="84" borderId="1" xfId="138" applyNumberFormat="1" applyFont="1" applyFill="1" applyBorder="1" applyAlignment="1">
      <alignment horizontal="center" vertical="center" shrinkToFit="1"/>
    </xf>
    <xf numFmtId="173" fontId="62" fillId="0" borderId="0" xfId="0" applyNumberFormat="1" applyFont="1" applyAlignment="1">
      <alignment horizontal="center" vertical="center"/>
    </xf>
    <xf numFmtId="173" fontId="11" fillId="0" borderId="0" xfId="122" applyNumberFormat="1"/>
    <xf numFmtId="173" fontId="59" fillId="84" borderId="24" xfId="131" applyNumberFormat="1" applyFont="1" applyFill="1" applyBorder="1" applyAlignment="1">
      <alignment horizontal="center" vertical="center"/>
    </xf>
    <xf numFmtId="173" fontId="59" fillId="84" borderId="25" xfId="131" applyNumberFormat="1" applyFont="1" applyFill="1" applyBorder="1" applyAlignment="1">
      <alignment horizontal="center" vertical="center"/>
    </xf>
    <xf numFmtId="173" fontId="59" fillId="84" borderId="33" xfId="131" applyNumberFormat="1" applyFont="1" applyFill="1" applyBorder="1" applyAlignment="1">
      <alignment horizontal="center" vertical="center"/>
    </xf>
    <xf numFmtId="173" fontId="22" fillId="0" borderId="0" xfId="251" applyNumberFormat="1" applyProtection="1"/>
    <xf numFmtId="173" fontId="63" fillId="308" borderId="34" xfId="122" applyNumberFormat="1" applyFont="1" applyFill="1" applyBorder="1" applyAlignment="1">
      <alignment horizontal="center"/>
    </xf>
    <xf numFmtId="173" fontId="11" fillId="0" borderId="0" xfId="122" applyNumberFormat="1" applyAlignment="1">
      <alignment horizontal="center" vertical="center"/>
    </xf>
    <xf numFmtId="173" fontId="22" fillId="84" borderId="0" xfId="0" applyNumberFormat="1" applyFont="1" applyFill="1"/>
    <xf numFmtId="173" fontId="64" fillId="84" borderId="0" xfId="251" applyNumberFormat="1" applyFont="1" applyFill="1" applyAlignment="1" applyProtection="1">
      <alignment horizontal="center" vertical="center"/>
    </xf>
    <xf numFmtId="173" fontId="62" fillId="84" borderId="0" xfId="0" applyNumberFormat="1" applyFont="1" applyFill="1" applyAlignment="1">
      <alignment horizontal="center" vertical="center"/>
    </xf>
    <xf numFmtId="173" fontId="22" fillId="84" borderId="0" xfId="251" applyNumberFormat="1" applyFill="1" applyProtection="1"/>
    <xf numFmtId="173" fontId="0" fillId="0" borderId="0" xfId="0" applyNumberFormat="1" applyAlignment="1" applyProtection="1">
      <alignment horizontal="right"/>
      <protection locked="0"/>
    </xf>
    <xf numFmtId="173" fontId="0" fillId="84" borderId="0" xfId="0" applyNumberFormat="1" applyFill="1"/>
    <xf numFmtId="173" fontId="11" fillId="84" borderId="0" xfId="122" applyNumberFormat="1" applyFill="1" applyAlignment="1">
      <alignment horizontal="center" vertical="center"/>
    </xf>
    <xf numFmtId="173" fontId="61" fillId="84" borderId="15" xfId="138" applyNumberFormat="1" applyFont="1" applyFill="1" applyBorder="1" applyAlignment="1">
      <alignment horizontal="center" vertical="center" shrinkToFit="1"/>
    </xf>
    <xf numFmtId="173" fontId="0" fillId="84" borderId="0" xfId="0" applyNumberFormat="1" applyFill="1" applyAlignment="1" applyProtection="1">
      <alignment horizontal="right"/>
      <protection locked="0"/>
    </xf>
    <xf numFmtId="173" fontId="65" fillId="84" borderId="0" xfId="119" applyNumberFormat="1" applyFont="1" applyFill="1" applyAlignment="1">
      <alignment horizontal="center" vertical="center"/>
    </xf>
    <xf numFmtId="173" fontId="66" fillId="84" borderId="0" xfId="160" applyNumberFormat="1" applyFont="1" applyFill="1" applyAlignment="1">
      <alignment horizontal="center" vertical="center"/>
    </xf>
    <xf numFmtId="173" fontId="67" fillId="84" borderId="1" xfId="131" applyNumberFormat="1" applyFont="1" applyFill="1" applyBorder="1" applyAlignment="1">
      <alignment horizontal="center"/>
    </xf>
    <xf numFmtId="173" fontId="68" fillId="146" borderId="15" xfId="131" applyNumberFormat="1" applyFont="1" applyFill="1" applyBorder="1" applyAlignment="1">
      <alignment horizontal="center"/>
    </xf>
    <xf numFmtId="173" fontId="69" fillId="0" borderId="0" xfId="133" applyNumberFormat="1" applyFont="1" applyAlignment="1">
      <alignment horizontal="center" vertical="center"/>
    </xf>
    <xf numFmtId="173" fontId="58" fillId="0" borderId="0" xfId="133" applyNumberFormat="1" applyFont="1" applyAlignment="1">
      <alignment horizontal="center" vertical="center"/>
    </xf>
    <xf numFmtId="173" fontId="58" fillId="0" borderId="0" xfId="133" applyNumberFormat="1" applyFont="1"/>
    <xf numFmtId="173" fontId="1" fillId="0" borderId="0" xfId="252" applyNumberFormat="1" applyProtection="1"/>
    <xf numFmtId="173" fontId="70" fillId="84" borderId="0" xfId="133" applyNumberFormat="1" applyFont="1" applyFill="1" applyAlignment="1">
      <alignment vertical="center"/>
    </xf>
    <xf numFmtId="173" fontId="71" fillId="84" borderId="0" xfId="135" applyNumberFormat="1" applyFont="1" applyFill="1" applyAlignment="1">
      <alignment horizontal="center" vertical="center"/>
    </xf>
    <xf numFmtId="173" fontId="48" fillId="84" borderId="0" xfId="131" applyNumberFormat="1" applyFont="1" applyFill="1" applyAlignment="1">
      <alignment horizontal="center" vertical="center"/>
    </xf>
    <xf numFmtId="173" fontId="72" fillId="134" borderId="17" xfId="122" applyNumberFormat="1" applyFont="1" applyFill="1" applyBorder="1" applyAlignment="1">
      <alignment horizontal="center"/>
    </xf>
    <xf numFmtId="173" fontId="58" fillId="0" borderId="25" xfId="133" applyNumberFormat="1" applyFont="1" applyBorder="1" applyAlignment="1">
      <alignment horizontal="center" vertical="center"/>
    </xf>
    <xf numFmtId="173" fontId="60" fillId="96" borderId="25" xfId="133" applyNumberFormat="1" applyFont="1" applyFill="1" applyBorder="1" applyAlignment="1">
      <alignment horizontal="center" vertical="center"/>
    </xf>
    <xf numFmtId="173" fontId="58" fillId="96" borderId="25" xfId="133" applyNumberFormat="1" applyFont="1" applyFill="1" applyBorder="1" applyAlignment="1">
      <alignment horizontal="center" vertical="center"/>
    </xf>
    <xf numFmtId="173" fontId="58" fillId="0" borderId="25" xfId="250" applyNumberFormat="1" applyFont="1" applyBorder="1" applyAlignment="1" applyProtection="1">
      <alignment horizontal="center" vertical="center"/>
    </xf>
    <xf numFmtId="173" fontId="60" fillId="96" borderId="25" xfId="250" applyNumberFormat="1" applyFont="1" applyFill="1" applyBorder="1" applyAlignment="1" applyProtection="1">
      <alignment horizontal="center" vertical="center"/>
    </xf>
    <xf numFmtId="173" fontId="58" fillId="84" borderId="25" xfId="250" applyNumberFormat="1" applyFont="1" applyFill="1" applyBorder="1" applyAlignment="1" applyProtection="1">
      <alignment horizontal="center" vertical="center"/>
    </xf>
    <xf numFmtId="173" fontId="58" fillId="0" borderId="33" xfId="250" applyNumberFormat="1" applyFont="1" applyBorder="1" applyAlignment="1" applyProtection="1">
      <alignment horizontal="center" vertical="center"/>
    </xf>
    <xf numFmtId="173" fontId="11" fillId="0" borderId="35" xfId="133" applyNumberFormat="1" applyBorder="1"/>
    <xf numFmtId="173" fontId="60" fillId="0" borderId="0" xfId="122" applyNumberFormat="1" applyFont="1" applyAlignment="1">
      <alignment horizontal="center" vertical="center"/>
    </xf>
    <xf numFmtId="173" fontId="69" fillId="0" borderId="27" xfId="133" applyNumberFormat="1" applyFont="1" applyBorder="1" applyAlignment="1">
      <alignment horizontal="center" vertical="center"/>
    </xf>
    <xf numFmtId="173" fontId="43" fillId="65" borderId="1" xfId="0" applyNumberFormat="1" applyFont="1" applyFill="1" applyBorder="1" applyAlignment="1">
      <alignment horizontal="center" vertical="center"/>
    </xf>
    <xf numFmtId="173" fontId="73" fillId="108" borderId="1" xfId="253" applyNumberFormat="1" applyFont="1" applyFill="1" applyBorder="1" applyAlignment="1">
      <alignment horizontal="center" vertical="center" shrinkToFit="1"/>
      <protection locked="0"/>
    </xf>
    <xf numFmtId="173" fontId="53" fillId="136" borderId="21" xfId="0" applyNumberFormat="1" applyFont="1" applyFill="1" applyBorder="1" applyAlignment="1">
      <alignment horizontal="center" vertical="center" shrinkToFit="1"/>
    </xf>
    <xf numFmtId="173" fontId="74" fillId="300" borderId="1" xfId="138" applyNumberFormat="1" applyFont="1" applyFill="1" applyBorder="1" applyAlignment="1">
      <alignment horizontal="center" vertical="center" shrinkToFit="1"/>
    </xf>
    <xf numFmtId="173" fontId="75" fillId="84" borderId="1" xfId="138" applyNumberFormat="1" applyFont="1" applyFill="1" applyBorder="1" applyAlignment="1">
      <alignment horizontal="center" vertical="center" shrinkToFit="1"/>
    </xf>
    <xf numFmtId="173" fontId="75" fillId="301" borderId="1" xfId="138" applyNumberFormat="1" applyFont="1" applyFill="1" applyBorder="1" applyAlignment="1">
      <alignment horizontal="center" vertical="center" shrinkToFit="1"/>
    </xf>
    <xf numFmtId="173" fontId="76" fillId="309" borderId="1" xfId="138" applyNumberFormat="1" applyFont="1" applyFill="1" applyBorder="1" applyAlignment="1">
      <alignment horizontal="center" vertical="center" shrinkToFit="1"/>
    </xf>
    <xf numFmtId="173" fontId="61" fillId="114" borderId="15" xfId="138" applyNumberFormat="1" applyFont="1" applyFill="1" applyBorder="1" applyAlignment="1">
      <alignment horizontal="center" vertical="center" shrinkToFit="1"/>
    </xf>
    <xf numFmtId="173" fontId="61" fillId="114" borderId="36" xfId="138" applyNumberFormat="1" applyFont="1" applyFill="1" applyBorder="1" applyAlignment="1">
      <alignment horizontal="center" vertical="center" shrinkToFit="1"/>
    </xf>
    <xf numFmtId="173" fontId="75" fillId="84" borderId="36" xfId="138" applyNumberFormat="1" applyFont="1" applyFill="1" applyBorder="1" applyAlignment="1">
      <alignment horizontal="center" vertical="center" shrinkToFit="1"/>
    </xf>
    <xf numFmtId="173" fontId="75" fillId="55" borderId="36" xfId="138" applyNumberFormat="1" applyFont="1" applyFill="1" applyBorder="1" applyAlignment="1">
      <alignment horizontal="center" vertical="center" shrinkToFit="1"/>
    </xf>
    <xf numFmtId="173" fontId="48" fillId="115" borderId="0" xfId="250" applyNumberFormat="1" applyFont="1" applyFill="1" applyAlignment="1" applyProtection="1">
      <alignment horizontal="center" vertical="center"/>
    </xf>
    <xf numFmtId="173" fontId="43" fillId="50" borderId="1" xfId="0" applyNumberFormat="1" applyFont="1" applyFill="1" applyBorder="1" applyAlignment="1">
      <alignment horizontal="center" vertical="center"/>
    </xf>
    <xf numFmtId="173" fontId="34" fillId="48" borderId="1" xfId="0" applyNumberFormat="1" applyFont="1" applyFill="1" applyBorder="1" applyAlignment="1">
      <alignment horizontal="center" vertical="center"/>
    </xf>
    <xf numFmtId="173" fontId="36" fillId="39" borderId="1" xfId="0" applyNumberFormat="1" applyFont="1" applyFill="1" applyBorder="1" applyAlignment="1">
      <alignment horizontal="center" vertical="center"/>
    </xf>
    <xf numFmtId="173" fontId="34" fillId="67" borderId="1" xfId="0" applyNumberFormat="1" applyFont="1" applyFill="1" applyBorder="1" applyAlignment="1">
      <alignment horizontal="center" vertical="center"/>
    </xf>
    <xf numFmtId="173" fontId="0" fillId="55" borderId="0" xfId="0" applyNumberFormat="1" applyFill="1"/>
    <xf numFmtId="173" fontId="77" fillId="84" borderId="1" xfId="131" applyNumberFormat="1" applyFont="1" applyFill="1" applyBorder="1" applyAlignment="1">
      <alignment horizontal="center"/>
    </xf>
    <xf numFmtId="173" fontId="34" fillId="46" borderId="1" xfId="0" applyNumberFormat="1" applyFont="1" applyFill="1" applyBorder="1" applyAlignment="1">
      <alignment horizontal="center" vertical="center"/>
    </xf>
    <xf numFmtId="173" fontId="34" fillId="38" borderId="1" xfId="0" applyNumberFormat="1" applyFont="1" applyFill="1" applyBorder="1" applyAlignment="1">
      <alignment horizontal="center" vertical="center"/>
    </xf>
    <xf numFmtId="173" fontId="55" fillId="84" borderId="0" xfId="254" applyNumberFormat="1" applyFont="1" applyFill="1" applyAlignment="1" applyProtection="1">
      <alignment horizontal="center"/>
    </xf>
    <xf numFmtId="173" fontId="78" fillId="84" borderId="0" xfId="120" applyNumberFormat="1" applyFont="1" applyFill="1" applyAlignment="1" applyProtection="1">
      <alignment horizontal="center" vertical="center"/>
    </xf>
    <xf numFmtId="173" fontId="79" fillId="84" borderId="0" xfId="0" applyNumberFormat="1" applyFont="1" applyFill="1" applyAlignment="1">
      <alignment horizontal="center" vertical="center"/>
    </xf>
    <xf numFmtId="173" fontId="77" fillId="84" borderId="1" xfId="0" applyNumberFormat="1" applyFont="1" applyFill="1" applyBorder="1" applyAlignment="1">
      <alignment horizontal="center"/>
    </xf>
    <xf numFmtId="173" fontId="79" fillId="0" borderId="0" xfId="0" applyNumberFormat="1" applyFont="1" applyAlignment="1">
      <alignment horizontal="center" vertical="center"/>
    </xf>
    <xf numFmtId="173" fontId="11" fillId="0" borderId="31" xfId="133" applyNumberFormat="1" applyBorder="1"/>
    <xf numFmtId="173" fontId="80" fillId="298" borderId="1" xfId="138" applyNumberFormat="1" applyFont="1" applyFill="1" applyBorder="1" applyAlignment="1">
      <alignment horizontal="center" vertical="center" shrinkToFit="1"/>
    </xf>
    <xf numFmtId="173" fontId="70" fillId="0" borderId="0" xfId="0" applyNumberFormat="1" applyFont="1" applyAlignment="1">
      <alignment horizontal="center"/>
    </xf>
    <xf numFmtId="173" fontId="81" fillId="0" borderId="0" xfId="250" applyNumberFormat="1" applyFont="1" applyAlignment="1" applyProtection="1">
      <alignment horizontal="center" vertical="center"/>
    </xf>
    <xf numFmtId="173" fontId="82" fillId="84" borderId="36" xfId="250" applyNumberFormat="1" applyFont="1" applyFill="1" applyBorder="1" applyAlignment="1" applyProtection="1">
      <alignment horizontal="center" vertical="center"/>
    </xf>
    <xf numFmtId="173" fontId="3" fillId="84" borderId="0" xfId="251" applyNumberFormat="1" applyFont="1" applyFill="1" applyAlignment="1" applyProtection="1">
      <alignment horizontal="center" vertical="center"/>
    </xf>
    <xf numFmtId="173" fontId="81" fillId="84" borderId="0" xfId="250" applyNumberFormat="1" applyFont="1" applyFill="1" applyAlignment="1" applyProtection="1">
      <alignment horizontal="center" vertical="center"/>
    </xf>
    <xf numFmtId="173" fontId="4" fillId="84" borderId="0" xfId="160" applyNumberFormat="1" applyFill="1" applyAlignment="1">
      <alignment vertical="center"/>
    </xf>
    <xf numFmtId="173" fontId="78" fillId="0" borderId="0" xfId="120" applyNumberFormat="1" applyFont="1" applyAlignment="1" applyProtection="1">
      <alignment horizontal="center" vertical="center"/>
    </xf>
    <xf numFmtId="173" fontId="83" fillId="84" borderId="0" xfId="122" applyNumberFormat="1" applyFont="1" applyFill="1" applyAlignment="1">
      <alignment horizontal="center" vertical="center"/>
    </xf>
    <xf numFmtId="173" fontId="58" fillId="96" borderId="0" xfId="133" applyNumberFormat="1" applyFont="1" applyFill="1" applyAlignment="1">
      <alignment horizontal="center" vertical="center"/>
    </xf>
    <xf numFmtId="173" fontId="55" fillId="81" borderId="0" xfId="250" applyNumberFormat="1" applyFont="1" applyFill="1" applyAlignment="1" applyProtection="1">
      <alignment horizontal="center" vertical="center"/>
    </xf>
    <xf numFmtId="173" fontId="30" fillId="81" borderId="0" xfId="0" applyNumberFormat="1" applyFont="1" applyFill="1" applyAlignment="1" applyProtection="1">
      <alignment horizontal="center" vertical="center"/>
      <protection locked="0"/>
    </xf>
    <xf numFmtId="173" fontId="22" fillId="0" borderId="0" xfId="254" applyNumberFormat="1" applyProtection="1"/>
    <xf numFmtId="173" fontId="0" fillId="0" borderId="28" xfId="0" applyNumberFormat="1" applyBorder="1"/>
    <xf numFmtId="173" fontId="32" fillId="35" borderId="29" xfId="0" applyNumberFormat="1" applyFont="1" applyFill="1" applyBorder="1" applyAlignment="1">
      <alignment horizontal="center"/>
    </xf>
    <xf numFmtId="173" fontId="0" fillId="119" borderId="30" xfId="0" applyNumberFormat="1" applyFill="1" applyBorder="1"/>
    <xf numFmtId="173" fontId="55" fillId="55" borderId="0" xfId="250" applyNumberFormat="1" applyFont="1" applyFill="1" applyAlignment="1" applyProtection="1">
      <alignment horizontal="center" vertical="center"/>
    </xf>
    <xf numFmtId="173" fontId="30" fillId="55" borderId="0" xfId="0" applyNumberFormat="1" applyFont="1" applyFill="1" applyAlignment="1" applyProtection="1">
      <alignment horizontal="center" vertical="center"/>
      <protection locked="0"/>
    </xf>
    <xf numFmtId="173" fontId="22" fillId="84" borderId="0" xfId="254" applyNumberFormat="1" applyFill="1" applyProtection="1"/>
    <xf numFmtId="173" fontId="84" fillId="84" borderId="0" xfId="160" applyNumberFormat="1" applyFont="1" applyFill="1" applyAlignment="1">
      <alignment horizontal="center" vertical="center"/>
    </xf>
    <xf numFmtId="173" fontId="53" fillId="136" borderId="37" xfId="0" applyNumberFormat="1" applyFont="1" applyFill="1" applyBorder="1" applyAlignment="1">
      <alignment horizontal="center" vertical="center" shrinkToFit="1"/>
    </xf>
    <xf numFmtId="173" fontId="53" fillId="136" borderId="38" xfId="0" applyNumberFormat="1" applyFont="1" applyFill="1" applyBorder="1" applyAlignment="1">
      <alignment horizontal="center" vertical="center" shrinkToFit="1"/>
    </xf>
    <xf numFmtId="173" fontId="0" fillId="0" borderId="29" xfId="0" applyNumberFormat="1" applyBorder="1"/>
    <xf numFmtId="173" fontId="64" fillId="0" borderId="29" xfId="131" applyNumberFormat="1" applyFont="1" applyBorder="1" applyAlignment="1">
      <alignment horizontal="center" vertical="center"/>
    </xf>
    <xf numFmtId="173" fontId="62" fillId="0" borderId="29" xfId="0" applyNumberFormat="1" applyFont="1" applyBorder="1" applyAlignment="1">
      <alignment horizontal="center" vertical="center"/>
    </xf>
    <xf numFmtId="173" fontId="62" fillId="0" borderId="30" xfId="0" applyNumberFormat="1" applyFont="1" applyBorder="1" applyAlignment="1">
      <alignment horizontal="center" vertical="center"/>
    </xf>
    <xf numFmtId="173" fontId="60" fillId="96" borderId="0" xfId="133" applyNumberFormat="1" applyFont="1" applyFill="1" applyAlignment="1">
      <alignment horizontal="center" vertical="center"/>
    </xf>
    <xf numFmtId="173" fontId="70" fillId="119" borderId="31" xfId="0" applyNumberFormat="1" applyFont="1" applyFill="1" applyBorder="1" applyAlignment="1">
      <alignment horizontal="center"/>
    </xf>
    <xf numFmtId="173" fontId="85" fillId="35" borderId="27" xfId="131" applyNumberFormat="1" applyFont="1" applyFill="1" applyBorder="1" applyAlignment="1">
      <alignment horizontal="center" vertical="center"/>
    </xf>
    <xf numFmtId="173" fontId="58" fillId="81" borderId="0" xfId="131" applyNumberFormat="1" applyFont="1" applyFill="1" applyAlignment="1">
      <alignment horizontal="right" vertical="center"/>
    </xf>
    <xf numFmtId="173" fontId="70" fillId="0" borderId="0" xfId="133" applyNumberFormat="1" applyFont="1" applyAlignment="1">
      <alignment vertical="center"/>
    </xf>
    <xf numFmtId="173" fontId="53" fillId="306" borderId="38" xfId="0" applyNumberFormat="1" applyFont="1" applyFill="1" applyBorder="1" applyAlignment="1">
      <alignment horizontal="center" vertical="center" shrinkToFit="1"/>
    </xf>
    <xf numFmtId="173" fontId="61" fillId="114" borderId="1" xfId="138" applyNumberFormat="1" applyFont="1" applyFill="1" applyBorder="1" applyAlignment="1">
      <alignment horizontal="center" vertical="center" shrinkToFit="1"/>
    </xf>
    <xf numFmtId="173" fontId="64" fillId="0" borderId="31" xfId="131" applyNumberFormat="1" applyFont="1" applyBorder="1" applyAlignment="1">
      <alignment horizontal="center" vertical="center"/>
    </xf>
    <xf numFmtId="173" fontId="64" fillId="0" borderId="0" xfId="131" applyNumberFormat="1" applyFont="1" applyAlignment="1">
      <alignment horizontal="center" vertical="center"/>
    </xf>
    <xf numFmtId="173" fontId="48" fillId="0" borderId="0" xfId="131" applyNumberFormat="1" applyFont="1" applyAlignment="1">
      <alignment horizontal="center" vertical="center"/>
    </xf>
    <xf numFmtId="173" fontId="62" fillId="0" borderId="27" xfId="0" applyNumberFormat="1" applyFont="1" applyBorder="1" applyAlignment="1">
      <alignment horizontal="center" vertical="center"/>
    </xf>
    <xf numFmtId="173" fontId="64" fillId="121" borderId="0" xfId="131" applyNumberFormat="1" applyFont="1" applyFill="1" applyAlignment="1">
      <alignment horizontal="center" vertical="center"/>
    </xf>
    <xf numFmtId="173" fontId="85" fillId="35" borderId="31" xfId="131" applyNumberFormat="1" applyFont="1" applyFill="1" applyBorder="1" applyAlignment="1">
      <alignment horizontal="center" vertical="center"/>
    </xf>
    <xf numFmtId="173" fontId="30" fillId="81" borderId="27" xfId="0" applyNumberFormat="1" applyFont="1" applyFill="1" applyBorder="1" applyAlignment="1" applyProtection="1">
      <alignment horizontal="center" vertical="center"/>
      <protection locked="0"/>
    </xf>
    <xf numFmtId="173" fontId="64" fillId="121" borderId="39" xfId="131" applyNumberFormat="1" applyFont="1" applyFill="1" applyBorder="1" applyAlignment="1">
      <alignment horizontal="center" vertical="center"/>
    </xf>
    <xf numFmtId="173" fontId="0" fillId="84" borderId="40" xfId="0" applyNumberFormat="1" applyFill="1" applyBorder="1" applyAlignment="1">
      <alignment horizontal="center"/>
    </xf>
    <xf numFmtId="173" fontId="32" fillId="84" borderId="0" xfId="0" applyNumberFormat="1" applyFont="1" applyFill="1" applyAlignment="1">
      <alignment horizontal="center" vertical="center"/>
    </xf>
    <xf numFmtId="173" fontId="86" fillId="84" borderId="0" xfId="254" applyNumberFormat="1" applyFont="1" applyFill="1" applyAlignment="1" applyProtection="1">
      <alignment horizontal="center" vertical="center"/>
    </xf>
    <xf numFmtId="173" fontId="87" fillId="84" borderId="0" xfId="254" applyNumberFormat="1" applyFont="1" applyFill="1" applyAlignment="1" applyProtection="1">
      <alignment horizontal="center" vertical="center"/>
    </xf>
    <xf numFmtId="173" fontId="48" fillId="0" borderId="31" xfId="131" applyNumberFormat="1" applyFont="1" applyBorder="1" applyAlignment="1">
      <alignment horizontal="center" vertical="center"/>
    </xf>
    <xf numFmtId="173" fontId="80" fillId="299" borderId="1" xfId="138" applyNumberFormat="1" applyFont="1" applyFill="1" applyBorder="1" applyAlignment="1">
      <alignment horizontal="center" vertical="center" shrinkToFit="1"/>
    </xf>
    <xf numFmtId="173" fontId="88" fillId="300" borderId="15" xfId="0" applyNumberFormat="1" applyFont="1" applyFill="1" applyBorder="1" applyAlignment="1">
      <alignment horizontal="center" vertical="center"/>
    </xf>
    <xf numFmtId="173" fontId="75" fillId="301" borderId="41" xfId="138" applyNumberFormat="1" applyFont="1" applyFill="1" applyBorder="1" applyAlignment="1">
      <alignment horizontal="center" vertical="center" shrinkToFit="1"/>
    </xf>
    <xf numFmtId="173" fontId="89" fillId="300" borderId="1" xfId="0" applyNumberFormat="1" applyFont="1" applyFill="1" applyBorder="1" applyAlignment="1">
      <alignment horizontal="center" vertical="center"/>
    </xf>
    <xf numFmtId="173" fontId="88" fillId="300" borderId="1" xfId="0" applyNumberFormat="1" applyFont="1" applyFill="1" applyBorder="1" applyAlignment="1">
      <alignment horizontal="center" vertical="center"/>
    </xf>
    <xf numFmtId="173" fontId="75" fillId="84" borderId="1" xfId="0" applyNumberFormat="1" applyFont="1" applyFill="1" applyBorder="1" applyAlignment="1">
      <alignment horizontal="center" vertical="center"/>
    </xf>
    <xf numFmtId="173" fontId="75" fillId="84" borderId="15" xfId="0" applyNumberFormat="1" applyFont="1" applyFill="1" applyBorder="1" applyAlignment="1">
      <alignment horizontal="center" vertical="center"/>
    </xf>
    <xf numFmtId="173" fontId="2" fillId="110" borderId="0" xfId="0" applyNumberFormat="1" applyFont="1" applyFill="1"/>
    <xf numFmtId="173" fontId="73" fillId="128" borderId="41" xfId="250" applyNumberFormat="1" applyFont="1" applyFill="1" applyBorder="1" applyAlignment="1" applyProtection="1">
      <alignment horizontal="center" vertical="center" shrinkToFit="1"/>
    </xf>
    <xf numFmtId="173" fontId="73" fillId="128" borderId="1" xfId="250" applyNumberFormat="1" applyFont="1" applyFill="1" applyBorder="1" applyAlignment="1" applyProtection="1">
      <alignment horizontal="center" vertical="center" shrinkToFit="1"/>
    </xf>
    <xf numFmtId="173" fontId="34" fillId="71" borderId="1" xfId="0" applyNumberFormat="1" applyFont="1" applyFill="1" applyBorder="1" applyAlignment="1">
      <alignment horizontal="center" vertical="center"/>
    </xf>
    <xf numFmtId="173" fontId="34" fillId="71" borderId="15" xfId="0" applyNumberFormat="1" applyFont="1" applyFill="1" applyBorder="1" applyAlignment="1">
      <alignment horizontal="center" vertical="center"/>
    </xf>
    <xf numFmtId="173" fontId="2" fillId="110" borderId="31" xfId="0" applyNumberFormat="1" applyFont="1" applyFill="1" applyBorder="1"/>
    <xf numFmtId="173" fontId="44" fillId="66" borderId="1" xfId="253" applyNumberFormat="1" applyFont="1" applyFill="1" applyBorder="1" applyAlignment="1" applyProtection="1">
      <alignment horizontal="center" vertical="center" shrinkToFit="1"/>
    </xf>
    <xf numFmtId="173" fontId="34" fillId="52" borderId="1" xfId="0" applyNumberFormat="1" applyFont="1" applyFill="1" applyBorder="1" applyAlignment="1">
      <alignment horizontal="center" vertical="center"/>
    </xf>
    <xf numFmtId="173" fontId="2" fillId="110" borderId="27" xfId="0" applyNumberFormat="1" applyFont="1" applyFill="1" applyBorder="1"/>
    <xf numFmtId="173" fontId="43" fillId="65" borderId="41" xfId="0" applyNumberFormat="1" applyFont="1" applyFill="1" applyBorder="1" applyAlignment="1">
      <alignment horizontal="center" vertical="center"/>
    </xf>
    <xf numFmtId="173" fontId="38" fillId="64" borderId="1" xfId="0" applyNumberFormat="1" applyFont="1" applyFill="1" applyBorder="1" applyAlignment="1">
      <alignment horizontal="center" vertical="center"/>
    </xf>
    <xf numFmtId="173" fontId="35" fillId="62" borderId="1" xfId="0" applyNumberFormat="1" applyFont="1" applyFill="1" applyBorder="1" applyAlignment="1">
      <alignment horizontal="center" vertical="center"/>
    </xf>
    <xf numFmtId="173" fontId="48" fillId="115" borderId="0" xfId="131" applyNumberFormat="1" applyFont="1" applyFill="1" applyAlignment="1">
      <alignment horizontal="center" vertical="center"/>
    </xf>
    <xf numFmtId="173" fontId="80" fillId="84" borderId="1" xfId="138" applyNumberFormat="1" applyFont="1" applyFill="1" applyBorder="1" applyAlignment="1">
      <alignment horizontal="center" vertical="center" shrinkToFit="1"/>
    </xf>
    <xf numFmtId="173" fontId="68" fillId="146" borderId="1" xfId="131" applyNumberFormat="1" applyFont="1" applyFill="1" applyBorder="1" applyAlignment="1">
      <alignment horizontal="center"/>
    </xf>
    <xf numFmtId="173" fontId="78" fillId="129" borderId="1" xfId="142" applyNumberFormat="1" applyFont="1" applyFill="1" applyBorder="1" applyAlignment="1" applyProtection="1">
      <alignment horizontal="center" vertical="center" shrinkToFit="1"/>
    </xf>
    <xf numFmtId="173" fontId="11" fillId="84" borderId="31" xfId="133" applyNumberFormat="1" applyFill="1" applyBorder="1"/>
    <xf numFmtId="173" fontId="75" fillId="302" borderId="1" xfId="138" applyNumberFormat="1" applyFont="1" applyFill="1" applyBorder="1" applyAlignment="1">
      <alignment horizontal="center" vertical="center" shrinkToFit="1"/>
    </xf>
    <xf numFmtId="173" fontId="75" fillId="114" borderId="15" xfId="138" applyNumberFormat="1" applyFont="1" applyFill="1" applyBorder="1" applyAlignment="1">
      <alignment horizontal="center" vertical="center" shrinkToFit="1"/>
    </xf>
    <xf numFmtId="173" fontId="88" fillId="300" borderId="41" xfId="0" applyNumberFormat="1" applyFont="1" applyFill="1" applyBorder="1" applyAlignment="1">
      <alignment horizontal="center" vertical="center"/>
    </xf>
    <xf numFmtId="173" fontId="80" fillId="303" borderId="1" xfId="138" applyNumberFormat="1" applyFont="1" applyFill="1" applyBorder="1" applyAlignment="1">
      <alignment horizontal="center" vertical="center" shrinkToFit="1"/>
    </xf>
    <xf numFmtId="173" fontId="75" fillId="84" borderId="42" xfId="0" applyNumberFormat="1" applyFont="1" applyFill="1" applyBorder="1" applyAlignment="1">
      <alignment horizontal="center" vertical="center"/>
    </xf>
    <xf numFmtId="173" fontId="75" fillId="84" borderId="43" xfId="0" applyNumberFormat="1" applyFont="1" applyFill="1" applyBorder="1" applyAlignment="1">
      <alignment horizontal="center" vertical="center"/>
    </xf>
    <xf numFmtId="173" fontId="40" fillId="52" borderId="1" xfId="0" applyNumberFormat="1" applyFont="1" applyFill="1" applyBorder="1" applyAlignment="1">
      <alignment horizontal="center" vertical="center"/>
    </xf>
    <xf numFmtId="173" fontId="34" fillId="69" borderId="1" xfId="0" applyNumberFormat="1" applyFont="1" applyFill="1" applyBorder="1" applyAlignment="1">
      <alignment horizontal="center" vertical="center"/>
    </xf>
    <xf numFmtId="173" fontId="43" fillId="50" borderId="41" xfId="0" applyNumberFormat="1" applyFont="1" applyFill="1" applyBorder="1" applyAlignment="1">
      <alignment horizontal="center" vertical="center"/>
    </xf>
    <xf numFmtId="173" fontId="35" fillId="57" borderId="1" xfId="0" applyNumberFormat="1" applyFont="1" applyFill="1" applyBorder="1" applyAlignment="1">
      <alignment horizontal="center" vertical="center"/>
    </xf>
    <xf numFmtId="173" fontId="90" fillId="129" borderId="1" xfId="142" applyNumberFormat="1" applyFont="1" applyFill="1" applyBorder="1" applyAlignment="1" applyProtection="1">
      <alignment horizontal="center" vertical="center" shrinkToFit="1"/>
    </xf>
    <xf numFmtId="173" fontId="32" fillId="301" borderId="44" xfId="122" applyNumberFormat="1" applyFont="1" applyFill="1" applyBorder="1" applyAlignment="1">
      <alignment horizontal="center" vertical="center"/>
    </xf>
    <xf numFmtId="173" fontId="72" fillId="134" borderId="0" xfId="0" applyNumberFormat="1" applyFont="1" applyFill="1" applyAlignment="1">
      <alignment horizontal="center"/>
    </xf>
    <xf numFmtId="173" fontId="30" fillId="81" borderId="0" xfId="131" applyNumberFormat="1" applyFont="1" applyFill="1" applyAlignment="1">
      <alignment horizontal="center" vertical="center"/>
    </xf>
    <xf numFmtId="173" fontId="30" fillId="81" borderId="31" xfId="131" applyNumberFormat="1" applyFont="1" applyFill="1" applyBorder="1" applyAlignment="1">
      <alignment horizontal="center" vertical="center"/>
    </xf>
    <xf numFmtId="173" fontId="30" fillId="81" borderId="27" xfId="131" applyNumberFormat="1" applyFont="1" applyFill="1" applyBorder="1" applyAlignment="1">
      <alignment horizontal="center" vertical="center"/>
    </xf>
    <xf numFmtId="173" fontId="58" fillId="81" borderId="45" xfId="131" applyNumberFormat="1" applyFont="1" applyFill="1" applyBorder="1" applyAlignment="1">
      <alignment horizontal="right" vertical="center"/>
    </xf>
    <xf numFmtId="173" fontId="0" fillId="84" borderId="36" xfId="0" applyNumberFormat="1" applyFill="1" applyBorder="1" applyAlignment="1">
      <alignment horizontal="center"/>
    </xf>
    <xf numFmtId="173" fontId="91" fillId="84" borderId="46" xfId="160" applyNumberFormat="1" applyFont="1" applyFill="1" applyBorder="1" applyAlignment="1">
      <alignment horizontal="center" vertical="center"/>
    </xf>
    <xf numFmtId="173" fontId="91" fillId="84" borderId="0" xfId="160" applyNumberFormat="1" applyFont="1" applyFill="1" applyAlignment="1">
      <alignment horizontal="center" vertical="center"/>
    </xf>
    <xf numFmtId="173" fontId="32" fillId="301" borderId="47" xfId="122" applyNumberFormat="1" applyFont="1" applyFill="1" applyBorder="1" applyAlignment="1">
      <alignment horizontal="center" vertical="center"/>
    </xf>
    <xf numFmtId="173" fontId="53" fillId="307" borderId="21" xfId="0" applyNumberFormat="1" applyFont="1" applyFill="1" applyBorder="1" applyAlignment="1">
      <alignment horizontal="center" vertical="center" shrinkToFit="1"/>
    </xf>
    <xf numFmtId="173" fontId="58" fillId="96" borderId="0" xfId="131" applyNumberFormat="1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53" fillId="136" borderId="0" xfId="0" applyNumberFormat="1" applyFont="1" applyFill="1" applyAlignment="1">
      <alignment horizontal="center" vertical="center" shrinkToFit="1"/>
    </xf>
    <xf numFmtId="173" fontId="92" fillId="84" borderId="1" xfId="0" applyNumberFormat="1" applyFont="1" applyFill="1" applyBorder="1" applyAlignment="1">
      <alignment horizontal="center"/>
    </xf>
    <xf numFmtId="173" fontId="58" fillId="81" borderId="0" xfId="131" applyNumberFormat="1" applyFont="1" applyFill="1" applyAlignment="1">
      <alignment horizontal="center" vertical="center"/>
    </xf>
    <xf numFmtId="173" fontId="0" fillId="119" borderId="24" xfId="0" applyNumberFormat="1" applyFill="1" applyBorder="1"/>
    <xf numFmtId="173" fontId="30" fillId="81" borderId="25" xfId="0" applyNumberFormat="1" applyFont="1" applyFill="1" applyBorder="1" applyAlignment="1" applyProtection="1">
      <alignment horizontal="center" vertical="center"/>
      <protection locked="0"/>
    </xf>
    <xf numFmtId="173" fontId="58" fillId="81" borderId="25" xfId="131" applyNumberFormat="1" applyFont="1" applyFill="1" applyBorder="1" applyAlignment="1">
      <alignment horizontal="center" vertical="center"/>
    </xf>
    <xf numFmtId="173" fontId="55" fillId="81" borderId="25" xfId="250" applyNumberFormat="1" applyFont="1" applyFill="1" applyBorder="1" applyAlignment="1" applyProtection="1">
      <alignment horizontal="center" vertical="center"/>
    </xf>
    <xf numFmtId="173" fontId="0" fillId="119" borderId="33" xfId="0" applyNumberFormat="1" applyFill="1" applyBorder="1"/>
    <xf numFmtId="173" fontId="58" fillId="55" borderId="0" xfId="131" applyNumberFormat="1" applyFont="1" applyFill="1" applyAlignment="1">
      <alignment horizontal="center" vertical="center"/>
    </xf>
    <xf numFmtId="173" fontId="63" fillId="0" borderId="0" xfId="250" applyNumberFormat="1" applyFont="1" applyAlignment="1" applyProtection="1">
      <alignment horizontal="center" vertical="center"/>
    </xf>
    <xf numFmtId="173" fontId="11" fillId="84" borderId="31" xfId="133" applyNumberFormat="1" applyFill="1" applyBorder="1" applyProtection="1">
      <protection locked="0"/>
    </xf>
    <xf numFmtId="173" fontId="79" fillId="84" borderId="0" xfId="133" applyNumberFormat="1" applyFont="1" applyFill="1" applyAlignment="1">
      <alignment horizontal="center"/>
    </xf>
    <xf numFmtId="173" fontId="11" fillId="0" borderId="0" xfId="133" applyNumberFormat="1" applyAlignment="1">
      <alignment horizontal="center" vertical="center"/>
    </xf>
    <xf numFmtId="173" fontId="58" fillId="84" borderId="0" xfId="131" applyNumberFormat="1" applyFont="1" applyFill="1" applyAlignment="1">
      <alignment horizontal="left" vertical="center"/>
    </xf>
    <xf numFmtId="173" fontId="77" fillId="84" borderId="0" xfId="0" applyNumberFormat="1" applyFont="1" applyFill="1" applyAlignment="1">
      <alignment horizontal="center"/>
    </xf>
    <xf numFmtId="173" fontId="44" fillId="304" borderId="0" xfId="255" applyNumberFormat="1" applyFont="1" applyFill="1" applyAlignment="1" applyProtection="1">
      <alignment horizontal="center" vertical="center" shrinkToFit="1"/>
    </xf>
    <xf numFmtId="173" fontId="44" fillId="84" borderId="48" xfId="131" applyNumberFormat="1" applyFont="1" applyFill="1" applyBorder="1" applyAlignment="1">
      <alignment horizontal="center" vertical="center"/>
    </xf>
    <xf numFmtId="173" fontId="44" fillId="35" borderId="0" xfId="131" applyNumberFormat="1" applyFont="1" applyFill="1" applyAlignment="1">
      <alignment horizontal="center" vertical="center"/>
    </xf>
    <xf numFmtId="173" fontId="0" fillId="0" borderId="27" xfId="0" applyNumberFormat="1" applyBorder="1"/>
    <xf numFmtId="173" fontId="70" fillId="84" borderId="31" xfId="133" applyNumberFormat="1" applyFont="1" applyFill="1" applyBorder="1" applyAlignment="1">
      <alignment vertical="center"/>
    </xf>
    <xf numFmtId="173" fontId="58" fillId="0" borderId="24" xfId="131" applyNumberFormat="1" applyFont="1" applyBorder="1" applyAlignment="1">
      <alignment horizontal="center" vertical="center"/>
    </xf>
    <xf numFmtId="173" fontId="58" fillId="139" borderId="49" xfId="133" applyNumberFormat="1" applyFont="1" applyFill="1" applyBorder="1" applyAlignment="1">
      <alignment horizontal="center" vertical="center"/>
    </xf>
    <xf numFmtId="173" fontId="11" fillId="0" borderId="0" xfId="133" applyNumberFormat="1" applyProtection="1">
      <protection locked="0"/>
    </xf>
    <xf numFmtId="173" fontId="93" fillId="84" borderId="0" xfId="254" applyNumberFormat="1" applyFont="1" applyFill="1" applyAlignment="1" applyProtection="1">
      <alignment horizontal="center" vertical="center"/>
    </xf>
    <xf numFmtId="173" fontId="94" fillId="81" borderId="0" xfId="251" applyNumberFormat="1" applyFont="1" applyFill="1" applyAlignment="1" applyProtection="1">
      <alignment horizontal="right"/>
    </xf>
    <xf numFmtId="173" fontId="95" fillId="35" borderId="4" xfId="131" applyNumberFormat="1" applyFont="1" applyFill="1" applyBorder="1" applyAlignment="1">
      <alignment horizontal="center" vertical="center"/>
    </xf>
    <xf numFmtId="173" fontId="95" fillId="35" borderId="5" xfId="131" applyNumberFormat="1" applyFont="1" applyFill="1" applyBorder="1" applyAlignment="1">
      <alignment horizontal="center" vertical="center"/>
    </xf>
    <xf numFmtId="173" fontId="96" fillId="0" borderId="0" xfId="119" applyNumberFormat="1" applyFont="1" applyAlignment="1">
      <alignment horizontal="center" vertical="center"/>
    </xf>
    <xf numFmtId="173" fontId="58" fillId="139" borderId="50" xfId="133" applyNumberFormat="1" applyFont="1" applyFill="1" applyBorder="1" applyAlignment="1">
      <alignment horizontal="center" vertical="center"/>
    </xf>
    <xf numFmtId="173" fontId="58" fillId="139" borderId="51" xfId="133" applyNumberFormat="1" applyFont="1" applyFill="1" applyBorder="1" applyAlignment="1">
      <alignment horizontal="center" vertical="center"/>
    </xf>
    <xf numFmtId="173" fontId="63" fillId="84" borderId="0" xfId="252" applyNumberFormat="1" applyFont="1" applyFill="1" applyAlignment="1">
      <alignment horizontal="center"/>
      <protection locked="0"/>
    </xf>
    <xf numFmtId="173" fontId="68" fillId="146" borderId="52" xfId="131" applyNumberFormat="1" applyFont="1" applyFill="1" applyBorder="1" applyAlignment="1">
      <alignment horizontal="center"/>
    </xf>
    <xf numFmtId="173" fontId="77" fillId="84" borderId="53" xfId="0" applyNumberFormat="1" applyFont="1" applyFill="1" applyBorder="1" applyAlignment="1">
      <alignment horizontal="center"/>
    </xf>
    <xf numFmtId="173" fontId="77" fillId="84" borderId="52" xfId="0" applyNumberFormat="1" applyFont="1" applyFill="1" applyBorder="1" applyAlignment="1">
      <alignment horizontal="center"/>
    </xf>
    <xf numFmtId="173" fontId="62" fillId="84" borderId="31" xfId="0" applyNumberFormat="1" applyFont="1" applyFill="1" applyBorder="1" applyAlignment="1">
      <alignment horizontal="center"/>
    </xf>
    <xf numFmtId="173" fontId="62" fillId="84" borderId="0" xfId="0" applyNumberFormat="1" applyFont="1" applyFill="1" applyAlignment="1">
      <alignment horizontal="center"/>
    </xf>
    <xf numFmtId="173" fontId="80" fillId="84" borderId="0" xfId="138" applyNumberFormat="1" applyFont="1" applyFill="1" applyAlignment="1">
      <alignment horizontal="center" vertical="center" shrinkToFit="1"/>
    </xf>
    <xf numFmtId="173" fontId="94" fillId="81" borderId="0" xfId="251" applyNumberFormat="1" applyFont="1" applyFill="1" applyProtection="1"/>
    <xf numFmtId="173" fontId="34" fillId="67" borderId="54" xfId="0" applyNumberFormat="1" applyFont="1" applyFill="1" applyBorder="1" applyAlignment="1">
      <alignment horizontal="center" vertical="center"/>
    </xf>
    <xf numFmtId="173" fontId="0" fillId="0" borderId="31" xfId="0" applyNumberFormat="1" applyBorder="1"/>
    <xf numFmtId="173" fontId="60" fillId="35" borderId="0" xfId="122" applyNumberFormat="1" applyFont="1" applyFill="1" applyAlignment="1">
      <alignment horizontal="center" vertical="center"/>
    </xf>
    <xf numFmtId="173" fontId="92" fillId="84" borderId="52" xfId="0" applyNumberFormat="1" applyFont="1" applyFill="1" applyBorder="1" applyAlignment="1">
      <alignment horizontal="center"/>
    </xf>
    <xf numFmtId="173" fontId="77" fillId="84" borderId="55" xfId="131" applyNumberFormat="1" applyFont="1" applyFill="1" applyBorder="1" applyAlignment="1">
      <alignment horizontal="center"/>
    </xf>
    <xf numFmtId="173" fontId="61" fillId="84" borderId="52" xfId="138" applyNumberFormat="1" applyFont="1" applyFill="1" applyBorder="1" applyAlignment="1">
      <alignment horizontal="center" vertical="center" shrinkToFit="1"/>
    </xf>
    <xf numFmtId="173" fontId="68" fillId="146" borderId="56" xfId="131" applyNumberFormat="1" applyFont="1" applyFill="1" applyBorder="1" applyAlignment="1">
      <alignment horizontal="center"/>
    </xf>
    <xf numFmtId="173" fontId="11" fillId="0" borderId="27" xfId="122" applyNumberFormat="1" applyBorder="1"/>
    <xf numFmtId="173" fontId="55" fillId="81" borderId="0" xfId="251" applyNumberFormat="1" applyFont="1" applyFill="1" applyAlignment="1" applyProtection="1">
      <alignment horizontal="center" vertical="center"/>
    </xf>
    <xf numFmtId="173" fontId="85" fillId="35" borderId="0" xfId="131" applyNumberFormat="1" applyFont="1" applyFill="1" applyAlignment="1">
      <alignment vertical="center"/>
    </xf>
    <xf numFmtId="173" fontId="62" fillId="0" borderId="31" xfId="0" applyNumberFormat="1" applyFont="1" applyBorder="1" applyAlignment="1">
      <alignment horizontal="center" vertical="center"/>
    </xf>
    <xf numFmtId="173" fontId="97" fillId="0" borderId="27" xfId="122" applyNumberFormat="1" applyFont="1" applyBorder="1" applyAlignment="1">
      <alignment horizontal="center" vertical="center"/>
    </xf>
    <xf numFmtId="173" fontId="58" fillId="139" borderId="51" xfId="131" applyNumberFormat="1" applyFont="1" applyFill="1" applyBorder="1" applyAlignment="1">
      <alignment horizontal="center" vertical="center"/>
    </xf>
    <xf numFmtId="173" fontId="11" fillId="84" borderId="0" xfId="133" applyNumberFormat="1" applyFill="1" applyProtection="1">
      <protection locked="0"/>
    </xf>
    <xf numFmtId="173" fontId="64" fillId="142" borderId="0" xfId="251" applyNumberFormat="1" applyFont="1" applyFill="1" applyAlignment="1" applyProtection="1">
      <alignment horizontal="center" vertical="center"/>
    </xf>
    <xf numFmtId="173" fontId="36" fillId="39" borderId="54" xfId="0" applyNumberFormat="1" applyFont="1" applyFill="1" applyBorder="1" applyAlignment="1">
      <alignment horizontal="center" vertical="center"/>
    </xf>
    <xf numFmtId="173" fontId="0" fillId="84" borderId="0" xfId="0" applyNumberFormat="1" applyFill="1" applyAlignment="1">
      <alignment horizontal="left"/>
    </xf>
    <xf numFmtId="173" fontId="48" fillId="115" borderId="0" xfId="251" applyNumberFormat="1" applyFont="1" applyFill="1" applyAlignment="1" applyProtection="1">
      <alignment horizontal="center" vertical="center"/>
    </xf>
    <xf numFmtId="173" fontId="73" fillId="128" borderId="52" xfId="251" applyNumberFormat="1" applyFont="1" applyFill="1" applyBorder="1" applyAlignment="1" applyProtection="1">
      <alignment horizontal="center" vertical="center" shrinkToFit="1"/>
    </xf>
    <xf numFmtId="173" fontId="34" fillId="71" borderId="52" xfId="0" applyNumberFormat="1" applyFont="1" applyFill="1" applyBorder="1" applyAlignment="1">
      <alignment horizontal="center" vertical="center"/>
    </xf>
    <xf numFmtId="173" fontId="34" fillId="48" borderId="52" xfId="0" applyNumberFormat="1" applyFont="1" applyFill="1" applyBorder="1" applyAlignment="1">
      <alignment horizontal="center" vertical="center"/>
    </xf>
    <xf numFmtId="173" fontId="58" fillId="84" borderId="0" xfId="133" applyNumberFormat="1" applyFont="1" applyFill="1" applyAlignment="1">
      <alignment horizontal="center" vertical="center"/>
    </xf>
    <xf numFmtId="173" fontId="0" fillId="84" borderId="0" xfId="0" applyNumberFormat="1" applyFill="1" applyAlignment="1">
      <alignment horizontal="center" vertical="center"/>
    </xf>
    <xf numFmtId="173" fontId="11" fillId="84" borderId="0" xfId="133" applyNumberFormat="1" applyFill="1" applyAlignment="1">
      <alignment horizontal="center" vertical="center"/>
    </xf>
    <xf numFmtId="173" fontId="55" fillId="84" borderId="0" xfId="122" applyNumberFormat="1" applyFont="1" applyFill="1" applyAlignment="1">
      <alignment horizontal="center" vertical="center"/>
    </xf>
    <xf numFmtId="173" fontId="58" fillId="84" borderId="0" xfId="131" applyNumberFormat="1" applyFont="1" applyFill="1" applyAlignment="1">
      <alignment horizontal="right" vertical="center"/>
    </xf>
    <xf numFmtId="173" fontId="68" fillId="146" borderId="2" xfId="131" applyNumberFormat="1" applyFont="1" applyFill="1" applyBorder="1" applyAlignment="1">
      <alignment horizontal="center"/>
    </xf>
    <xf numFmtId="173" fontId="98" fillId="305" borderId="19" xfId="0" applyNumberFormat="1" applyFont="1" applyFill="1" applyBorder="1" applyAlignment="1">
      <alignment horizontal="center"/>
    </xf>
    <xf numFmtId="173" fontId="98" fillId="305" borderId="21" xfId="0" applyNumberFormat="1" applyFont="1" applyFill="1" applyBorder="1" applyAlignment="1">
      <alignment horizontal="center"/>
    </xf>
    <xf numFmtId="173" fontId="99" fillId="84" borderId="28" xfId="250" applyNumberFormat="1" applyFont="1" applyFill="1" applyBorder="1" applyAlignment="1" applyProtection="1">
      <alignment horizontal="center" vertical="center"/>
    </xf>
    <xf numFmtId="173" fontId="99" fillId="84" borderId="29" xfId="250" applyNumberFormat="1" applyFont="1" applyFill="1" applyBorder="1" applyAlignment="1" applyProtection="1">
      <alignment horizontal="center" vertical="center"/>
    </xf>
    <xf numFmtId="173" fontId="99" fillId="84" borderId="30" xfId="250" applyNumberFormat="1" applyFont="1" applyFill="1" applyBorder="1" applyAlignment="1" applyProtection="1">
      <alignment horizontal="center" vertical="center"/>
    </xf>
    <xf numFmtId="173" fontId="43" fillId="65" borderId="52" xfId="0" applyNumberFormat="1" applyFont="1" applyFill="1" applyBorder="1" applyAlignment="1">
      <alignment horizontal="center" vertical="center"/>
    </xf>
    <xf numFmtId="173" fontId="38" fillId="64" borderId="52" xfId="0" applyNumberFormat="1" applyFont="1" applyFill="1" applyBorder="1" applyAlignment="1">
      <alignment horizontal="center" vertical="center"/>
    </xf>
    <xf numFmtId="173" fontId="73" fillId="108" borderId="54" xfId="253" applyNumberFormat="1" applyFont="1" applyFill="1" applyBorder="1" applyAlignment="1">
      <alignment horizontal="center" vertical="center" shrinkToFit="1"/>
      <protection locked="0"/>
    </xf>
    <xf numFmtId="173" fontId="58" fillId="84" borderId="24" xfId="252" applyNumberFormat="1" applyFont="1" applyFill="1" applyBorder="1" applyAlignment="1" applyProtection="1">
      <alignment horizontal="center" vertical="center"/>
    </xf>
    <xf numFmtId="173" fontId="22" fillId="84" borderId="25" xfId="254" applyNumberFormat="1" applyFill="1" applyBorder="1" applyAlignment="1" applyProtection="1">
      <alignment horizontal="center" vertical="center"/>
    </xf>
    <xf numFmtId="173" fontId="22" fillId="84" borderId="25" xfId="160" applyNumberFormat="1" applyFont="1" applyFill="1" applyBorder="1" applyAlignment="1">
      <alignment horizontal="center" vertical="center"/>
    </xf>
    <xf numFmtId="173" fontId="63" fillId="84" borderId="25" xfId="254" applyNumberFormat="1" applyFont="1" applyFill="1" applyBorder="1" applyAlignment="1" applyProtection="1">
      <alignment horizontal="center"/>
    </xf>
    <xf numFmtId="173" fontId="100" fillId="84" borderId="4" xfId="250" applyNumberFormat="1" applyFont="1" applyFill="1" applyBorder="1" applyAlignment="1" applyProtection="1">
      <alignment horizontal="center" vertical="center"/>
    </xf>
    <xf numFmtId="173" fontId="100" fillId="84" borderId="5" xfId="250" applyNumberFormat="1" applyFont="1" applyFill="1" applyBorder="1" applyAlignment="1" applyProtection="1">
      <alignment horizontal="center" vertical="center"/>
    </xf>
    <xf numFmtId="173" fontId="4" fillId="0" borderId="24" xfId="160" applyNumberFormat="1" applyBorder="1" applyAlignment="1">
      <alignment vertical="center"/>
    </xf>
    <xf numFmtId="173" fontId="22" fillId="0" borderId="25" xfId="160" applyNumberFormat="1" applyFont="1" applyBorder="1" applyAlignment="1" applyProtection="1">
      <protection locked="0"/>
    </xf>
    <xf numFmtId="173" fontId="79" fillId="84" borderId="53" xfId="131" applyNumberFormat="1" applyFont="1" applyFill="1" applyBorder="1" applyAlignment="1">
      <alignment horizontal="center"/>
    </xf>
    <xf numFmtId="173" fontId="99" fillId="84" borderId="31" xfId="250" applyNumberFormat="1" applyFont="1" applyFill="1" applyBorder="1" applyAlignment="1" applyProtection="1">
      <alignment horizontal="center" vertical="center"/>
    </xf>
    <xf numFmtId="173" fontId="99" fillId="84" borderId="0" xfId="250" applyNumberFormat="1" applyFont="1" applyFill="1" applyAlignment="1" applyProtection="1">
      <alignment horizontal="center" vertical="center"/>
    </xf>
    <xf numFmtId="173" fontId="99" fillId="84" borderId="27" xfId="250" applyNumberFormat="1" applyFont="1" applyFill="1" applyBorder="1" applyAlignment="1" applyProtection="1">
      <alignment horizontal="center" vertical="center"/>
    </xf>
    <xf numFmtId="173" fontId="22" fillId="0" borderId="0" xfId="160" applyNumberFormat="1" applyFont="1" applyAlignment="1">
      <alignment horizontal="center" vertical="center"/>
    </xf>
    <xf numFmtId="173" fontId="0" fillId="0" borderId="30" xfId="0" applyNumberFormat="1" applyBorder="1"/>
    <xf numFmtId="173" fontId="0" fillId="84" borderId="0" xfId="0" applyNumberFormat="1" applyFill="1" applyProtection="1">
      <protection locked="0"/>
    </xf>
    <xf numFmtId="173" fontId="96" fillId="84" borderId="0" xfId="120" applyNumberFormat="1" applyFont="1" applyFill="1" applyAlignment="1" applyProtection="1">
      <alignment horizontal="center" vertical="center"/>
    </xf>
    <xf numFmtId="173" fontId="58" fillId="84" borderId="0" xfId="250" applyNumberFormat="1" applyFont="1" applyFill="1" applyAlignment="1" applyProtection="1">
      <alignment horizontal="center" vertical="center"/>
    </xf>
    <xf numFmtId="173" fontId="34" fillId="38" borderId="54" xfId="0" applyNumberFormat="1" applyFont="1" applyFill="1" applyBorder="1" applyAlignment="1">
      <alignment horizontal="center" vertical="center"/>
    </xf>
    <xf numFmtId="173" fontId="22" fillId="84" borderId="0" xfId="254" applyNumberFormat="1" applyFill="1" applyAlignment="1" applyProtection="1">
      <alignment horizontal="center" vertical="center"/>
    </xf>
    <xf numFmtId="173" fontId="0" fillId="84" borderId="0" xfId="0" applyNumberFormat="1" applyFill="1" applyAlignment="1" applyProtection="1">
      <alignment horizontal="left" vertical="center"/>
      <protection locked="0"/>
    </xf>
    <xf numFmtId="173" fontId="68" fillId="146" borderId="0" xfId="131" applyNumberFormat="1" applyFont="1" applyFill="1" applyAlignment="1">
      <alignment horizontal="center"/>
    </xf>
    <xf numFmtId="173" fontId="34" fillId="46" borderId="54" xfId="0" applyNumberFormat="1" applyFont="1" applyFill="1" applyBorder="1" applyAlignment="1">
      <alignment horizontal="center" vertical="center"/>
    </xf>
    <xf numFmtId="173" fontId="30" fillId="84" borderId="0" xfId="0" applyNumberFormat="1" applyFont="1" applyFill="1" applyAlignment="1">
      <alignment horizontal="center" vertical="center"/>
    </xf>
    <xf numFmtId="173" fontId="101" fillId="84" borderId="0" xfId="135" applyNumberFormat="1" applyFont="1" applyFill="1" applyAlignment="1">
      <alignment horizontal="center" vertical="center"/>
    </xf>
    <xf numFmtId="173" fontId="102" fillId="84" borderId="0" xfId="254" applyNumberFormat="1" applyFont="1" applyFill="1" applyAlignment="1" applyProtection="1">
      <alignment horizontal="center" vertical="center"/>
    </xf>
    <xf numFmtId="173" fontId="0" fillId="84" borderId="27" xfId="0" applyNumberFormat="1" applyFill="1" applyBorder="1"/>
    <xf numFmtId="173" fontId="80" fillId="84" borderId="2" xfId="138" applyNumberFormat="1" applyFont="1" applyFill="1" applyBorder="1" applyAlignment="1">
      <alignment horizontal="center" vertical="center" shrinkToFit="1"/>
    </xf>
    <xf numFmtId="173" fontId="22" fillId="84" borderId="0" xfId="160" applyNumberFormat="1" applyFont="1" applyFill="1" applyAlignment="1">
      <alignment horizontal="center" vertical="center"/>
    </xf>
    <xf numFmtId="173" fontId="58" fillId="0" borderId="0" xfId="252" applyNumberFormat="1" applyFont="1" applyAlignment="1" applyProtection="1">
      <alignment horizontal="center" vertical="center"/>
    </xf>
    <xf numFmtId="173" fontId="58" fillId="0" borderId="0" xfId="251" applyNumberFormat="1" applyFont="1" applyAlignment="1" applyProtection="1">
      <alignment horizontal="center" vertical="center"/>
    </xf>
    <xf numFmtId="173" fontId="32" fillId="84" borderId="0" xfId="0" applyNumberFormat="1" applyFont="1" applyFill="1" applyAlignment="1">
      <alignment horizontal="center" vertical="center"/>
    </xf>
    <xf numFmtId="173" fontId="96" fillId="84" borderId="0" xfId="119" applyNumberFormat="1" applyFont="1" applyFill="1" applyAlignment="1">
      <alignment horizontal="center" vertical="center"/>
    </xf>
    <xf numFmtId="173" fontId="0" fillId="84" borderId="25" xfId="0" applyNumberFormat="1" applyFill="1" applyBorder="1"/>
    <xf numFmtId="173" fontId="0" fillId="0" borderId="25" xfId="0" applyNumberFormat="1" applyBorder="1"/>
    <xf numFmtId="173" fontId="50" fillId="84" borderId="0" xfId="0" applyNumberFormat="1" applyFont="1" applyFill="1" applyAlignment="1">
      <alignment vertical="center"/>
    </xf>
    <xf numFmtId="173" fontId="99" fillId="84" borderId="24" xfId="250" applyNumberFormat="1" applyFont="1" applyFill="1" applyBorder="1" applyAlignment="1" applyProtection="1">
      <alignment horizontal="center" vertical="center"/>
    </xf>
    <xf numFmtId="173" fontId="99" fillId="84" borderId="25" xfId="250" applyNumberFormat="1" applyFont="1" applyFill="1" applyBorder="1" applyAlignment="1" applyProtection="1">
      <alignment horizontal="center" vertical="center"/>
    </xf>
    <xf numFmtId="173" fontId="99" fillId="84" borderId="33" xfId="250" applyNumberFormat="1" applyFont="1" applyFill="1" applyBorder="1" applyAlignment="1" applyProtection="1">
      <alignment horizontal="center" vertical="center"/>
    </xf>
    <xf numFmtId="173" fontId="58" fillId="96" borderId="33" xfId="133" applyNumberFormat="1" applyFont="1" applyFill="1" applyBorder="1" applyAlignment="1">
      <alignment horizontal="center" vertical="center"/>
    </xf>
    <xf numFmtId="173" fontId="58" fillId="84" borderId="25" xfId="122" applyNumberFormat="1" applyFont="1" applyFill="1" applyBorder="1" applyAlignment="1">
      <alignment horizontal="center" vertical="center"/>
    </xf>
    <xf numFmtId="173" fontId="55" fillId="0" borderId="27" xfId="122" applyNumberFormat="1" applyFont="1" applyBorder="1" applyAlignment="1">
      <alignment horizontal="center" vertical="center"/>
    </xf>
    <xf numFmtId="173" fontId="55" fillId="84" borderId="0" xfId="254" applyNumberFormat="1" applyFont="1" applyFill="1" applyAlignment="1" applyProtection="1">
      <alignment horizontal="left"/>
    </xf>
    <xf numFmtId="173" fontId="103" fillId="84" borderId="0" xfId="254" applyNumberFormat="1" applyFont="1" applyFill="1" applyAlignment="1" applyProtection="1">
      <alignment vertical="center"/>
    </xf>
    <xf numFmtId="173" fontId="58" fillId="84" borderId="28" xfId="131" applyNumberFormat="1" applyFont="1" applyFill="1" applyBorder="1" applyAlignment="1">
      <alignment horizontal="center" vertical="center"/>
    </xf>
    <xf numFmtId="173" fontId="58" fillId="84" borderId="29" xfId="131" applyNumberFormat="1" applyFont="1" applyFill="1" applyBorder="1" applyAlignment="1">
      <alignment horizontal="center" vertical="center"/>
    </xf>
    <xf numFmtId="173" fontId="58" fillId="84" borderId="30" xfId="131" applyNumberFormat="1" applyFont="1" applyFill="1" applyBorder="1" applyAlignment="1">
      <alignment horizontal="center" vertical="center"/>
    </xf>
    <xf numFmtId="173" fontId="58" fillId="0" borderId="29" xfId="131" applyNumberFormat="1" applyFont="1" applyBorder="1" applyAlignment="1">
      <alignment horizontal="center" vertical="center"/>
    </xf>
    <xf numFmtId="173" fontId="50" fillId="0" borderId="0" xfId="0" applyNumberFormat="1" applyFont="1" applyAlignment="1">
      <alignment vertical="center"/>
    </xf>
    <xf numFmtId="173" fontId="58" fillId="96" borderId="29" xfId="133" applyNumberFormat="1" applyFont="1" applyFill="1" applyBorder="1" applyAlignment="1">
      <alignment horizontal="center" vertical="center"/>
    </xf>
    <xf numFmtId="173" fontId="58" fillId="84" borderId="29" xfId="133" applyNumberFormat="1" applyFont="1" applyFill="1" applyBorder="1" applyAlignment="1">
      <alignment horizontal="center" vertical="center"/>
    </xf>
    <xf numFmtId="173" fontId="58" fillId="84" borderId="29" xfId="122" applyNumberFormat="1" applyFont="1" applyFill="1" applyBorder="1" applyAlignment="1">
      <alignment horizontal="center" vertical="center"/>
    </xf>
    <xf numFmtId="173" fontId="64" fillId="84" borderId="4" xfId="133" applyNumberFormat="1" applyFont="1" applyFill="1" applyBorder="1" applyAlignment="1">
      <alignment horizontal="center" vertical="center"/>
    </xf>
    <xf numFmtId="173" fontId="64" fillId="84" borderId="5" xfId="133" applyNumberFormat="1" applyFont="1" applyFill="1" applyBorder="1" applyAlignment="1">
      <alignment horizontal="center" vertical="center"/>
    </xf>
    <xf numFmtId="173" fontId="58" fillId="0" borderId="29" xfId="133" applyNumberFormat="1" applyFont="1" applyBorder="1" applyAlignment="1">
      <alignment horizontal="center" vertical="center"/>
    </xf>
    <xf numFmtId="173" fontId="58" fillId="0" borderId="30" xfId="133" applyNumberFormat="1" applyFont="1" applyBorder="1" applyAlignment="1">
      <alignment horizontal="center" vertical="center"/>
    </xf>
    <xf numFmtId="173" fontId="69" fillId="0" borderId="27" xfId="133" applyNumberFormat="1" applyFont="1" applyBorder="1"/>
    <xf numFmtId="173" fontId="58" fillId="84" borderId="0" xfId="252" applyNumberFormat="1" applyFont="1" applyFill="1" applyAlignment="1" applyProtection="1">
      <alignment horizontal="left" vertical="center"/>
    </xf>
    <xf numFmtId="173" fontId="58" fillId="0" borderId="0" xfId="252" applyNumberFormat="1" applyFont="1" applyAlignment="1" applyProtection="1">
      <alignment horizontal="right" vertical="center"/>
    </xf>
    <xf numFmtId="173" fontId="95" fillId="35" borderId="0" xfId="160" applyNumberFormat="1" applyFont="1" applyFill="1" applyAlignment="1">
      <alignment horizontal="center" vertical="center"/>
    </xf>
    <xf numFmtId="173" fontId="55" fillId="84" borderId="0" xfId="254" applyNumberFormat="1" applyFont="1" applyFill="1" applyAlignment="1">
      <alignment horizontal="right" vertical="center"/>
      <protection locked="0"/>
    </xf>
    <xf numFmtId="173" fontId="79" fillId="84" borderId="0" xfId="0" applyNumberFormat="1" applyFont="1" applyFill="1" applyAlignment="1">
      <alignment horizontal="left" vertical="center"/>
    </xf>
    <xf numFmtId="173" fontId="58" fillId="84" borderId="31" xfId="131" applyNumberFormat="1" applyFont="1" applyFill="1" applyBorder="1" applyAlignment="1">
      <alignment horizontal="center" vertical="center"/>
    </xf>
    <xf numFmtId="173" fontId="58" fillId="84" borderId="0" xfId="131" applyNumberFormat="1" applyFont="1" applyFill="1" applyAlignment="1">
      <alignment horizontal="center" vertical="center"/>
    </xf>
    <xf numFmtId="173" fontId="58" fillId="84" borderId="27" xfId="131" applyNumberFormat="1" applyFont="1" applyFill="1" applyBorder="1" applyAlignment="1">
      <alignment horizontal="center" vertical="center"/>
    </xf>
    <xf numFmtId="173" fontId="99" fillId="0" borderId="0" xfId="133" applyNumberFormat="1" applyFont="1" applyAlignment="1">
      <alignment horizontal="center" vertical="center"/>
    </xf>
    <xf numFmtId="173" fontId="58" fillId="0" borderId="0" xfId="122" applyNumberFormat="1" applyFont="1" applyAlignment="1">
      <alignment horizontal="center" vertical="center"/>
    </xf>
    <xf numFmtId="173" fontId="64" fillId="84" borderId="0" xfId="133" applyNumberFormat="1" applyFont="1" applyFill="1" applyAlignment="1">
      <alignment vertical="center"/>
    </xf>
    <xf numFmtId="173" fontId="58" fillId="0" borderId="27" xfId="133" applyNumberFormat="1" applyFont="1" applyBorder="1" applyAlignment="1">
      <alignment horizontal="center" vertical="center"/>
    </xf>
    <xf numFmtId="173" fontId="30" fillId="0" borderId="0" xfId="0" applyNumberFormat="1" applyFont="1" applyAlignment="1">
      <alignment horizontal="center" vertical="center"/>
    </xf>
    <xf numFmtId="173" fontId="104" fillId="84" borderId="0" xfId="133" applyNumberFormat="1" applyFont="1" applyFill="1" applyAlignment="1">
      <alignment vertical="center"/>
    </xf>
    <xf numFmtId="173" fontId="11" fillId="84" borderId="0" xfId="133" applyNumberFormat="1" applyFill="1" applyAlignment="1" applyProtection="1">
      <alignment horizontal="left" vertical="center"/>
      <protection locked="0"/>
    </xf>
    <xf numFmtId="173" fontId="94" fillId="84" borderId="0" xfId="133" applyNumberFormat="1" applyFont="1" applyFill="1" applyAlignment="1">
      <alignment horizontal="center"/>
    </xf>
    <xf numFmtId="173" fontId="58" fillId="0" borderId="31" xfId="133" applyNumberFormat="1" applyFont="1" applyBorder="1" applyAlignment="1">
      <alignment horizontal="center" vertical="center"/>
    </xf>
    <xf numFmtId="173" fontId="105" fillId="81" borderId="0" xfId="119" applyNumberFormat="1" applyFont="1" applyFill="1" applyAlignment="1">
      <alignment horizontal="center" vertical="center"/>
    </xf>
    <xf numFmtId="173" fontId="48" fillId="102" borderId="0" xfId="131" applyNumberFormat="1" applyFont="1" applyFill="1" applyAlignment="1">
      <alignment horizontal="center" vertical="center"/>
    </xf>
    <xf numFmtId="173" fontId="22" fillId="81" borderId="0" xfId="250" applyNumberFormat="1" applyFill="1" applyProtection="1"/>
    <xf numFmtId="173" fontId="79" fillId="84" borderId="0" xfId="0" applyNumberFormat="1" applyFont="1" applyFill="1" applyAlignment="1">
      <alignment horizontal="right" vertical="center"/>
    </xf>
    <xf numFmtId="173" fontId="94" fillId="0" borderId="0" xfId="133" applyNumberFormat="1" applyFont="1" applyAlignment="1">
      <alignment horizontal="center"/>
    </xf>
    <xf numFmtId="173" fontId="86" fillId="84" borderId="29" xfId="250" applyNumberFormat="1" applyFont="1" applyFill="1" applyBorder="1" applyAlignment="1" applyProtection="1">
      <alignment horizontal="center" vertical="center"/>
    </xf>
    <xf numFmtId="173" fontId="86" fillId="84" borderId="30" xfId="250" applyNumberFormat="1" applyFont="1" applyFill="1" applyBorder="1" applyAlignment="1" applyProtection="1">
      <alignment horizontal="center" vertical="center"/>
    </xf>
    <xf numFmtId="173" fontId="22" fillId="84" borderId="0" xfId="250" applyNumberFormat="1" applyFill="1" applyProtection="1"/>
    <xf numFmtId="173" fontId="22" fillId="84" borderId="0" xfId="250" applyNumberFormat="1" applyFill="1" applyAlignment="1">
      <alignment horizontal="left" vertical="center"/>
      <protection locked="0"/>
    </xf>
    <xf numFmtId="173" fontId="94" fillId="84" borderId="0" xfId="250" applyNumberFormat="1" applyFont="1" applyFill="1" applyAlignment="1" applyProtection="1">
      <alignment horizontal="center"/>
    </xf>
    <xf numFmtId="173" fontId="48" fillId="102" borderId="57" xfId="131" applyNumberFormat="1" applyFont="1" applyFill="1" applyBorder="1" applyAlignment="1">
      <alignment horizontal="center" vertical="center"/>
    </xf>
    <xf numFmtId="173" fontId="49" fillId="52" borderId="52" xfId="0" applyNumberFormat="1" applyFont="1" applyFill="1" applyBorder="1" applyAlignment="1">
      <alignment horizontal="center" vertical="center"/>
    </xf>
    <xf numFmtId="173" fontId="34" fillId="36" borderId="52" xfId="0" applyNumberFormat="1" applyFont="1" applyFill="1" applyBorder="1" applyAlignment="1">
      <alignment horizontal="center" vertical="center"/>
    </xf>
    <xf numFmtId="173" fontId="86" fillId="84" borderId="0" xfId="250" applyNumberFormat="1" applyFont="1" applyFill="1" applyAlignment="1" applyProtection="1">
      <alignment horizontal="center" vertical="center"/>
    </xf>
    <xf numFmtId="173" fontId="86" fillId="84" borderId="27" xfId="250" applyNumberFormat="1" applyFont="1" applyFill="1" applyBorder="1" applyAlignment="1" applyProtection="1">
      <alignment horizontal="center" vertical="center"/>
    </xf>
    <xf numFmtId="173" fontId="22" fillId="84" borderId="0" xfId="250" applyNumberFormat="1" applyFill="1" applyAlignment="1" applyProtection="1">
      <alignment horizontal="center" vertical="center"/>
    </xf>
    <xf numFmtId="173" fontId="58" fillId="96" borderId="24" xfId="133" applyNumberFormat="1" applyFont="1" applyFill="1" applyBorder="1" applyAlignment="1">
      <alignment horizontal="center" vertical="center"/>
    </xf>
    <xf numFmtId="173" fontId="22" fillId="81" borderId="45" xfId="250" applyNumberFormat="1" applyFill="1" applyBorder="1" applyProtection="1"/>
    <xf numFmtId="173" fontId="58" fillId="84" borderId="58" xfId="250" applyNumberFormat="1" applyFont="1" applyFill="1" applyBorder="1" applyAlignment="1" applyProtection="1">
      <alignment horizontal="center" vertical="center"/>
    </xf>
    <xf numFmtId="173" fontId="58" fillId="84" borderId="59" xfId="250" applyNumberFormat="1" applyFont="1" applyFill="1" applyBorder="1" applyAlignment="1" applyProtection="1">
      <alignment horizontal="center" vertical="center"/>
    </xf>
    <xf numFmtId="173" fontId="99" fillId="84" borderId="60" xfId="250" applyNumberFormat="1" applyFont="1" applyFill="1" applyBorder="1" applyAlignment="1" applyProtection="1">
      <alignment horizontal="center" vertical="center"/>
    </xf>
    <xf numFmtId="173" fontId="99" fillId="84" borderId="61" xfId="250" applyNumberFormat="1" applyFont="1" applyFill="1" applyBorder="1" applyAlignment="1" applyProtection="1">
      <alignment horizontal="center" vertical="center"/>
    </xf>
    <xf numFmtId="173" fontId="99" fillId="84" borderId="62" xfId="250" applyNumberFormat="1" applyFont="1" applyFill="1" applyBorder="1" applyAlignment="1" applyProtection="1">
      <alignment horizontal="center" vertical="center"/>
    </xf>
    <xf numFmtId="173" fontId="99" fillId="0" borderId="0" xfId="133" applyNumberFormat="1" applyFont="1" applyAlignment="1">
      <alignment horizontal="left" vertical="center"/>
    </xf>
    <xf numFmtId="173" fontId="4" fillId="0" borderId="0" xfId="160" applyNumberFormat="1" applyAlignment="1">
      <alignment vertical="center"/>
    </xf>
    <xf numFmtId="173" fontId="99" fillId="84" borderId="63" xfId="250" applyNumberFormat="1" applyFont="1" applyFill="1" applyBorder="1" applyAlignment="1" applyProtection="1">
      <alignment horizontal="center" vertical="center"/>
    </xf>
    <xf numFmtId="173" fontId="99" fillId="84" borderId="64" xfId="250" applyNumberFormat="1" applyFont="1" applyFill="1" applyBorder="1" applyAlignment="1" applyProtection="1">
      <alignment horizontal="center" vertical="center"/>
    </xf>
    <xf numFmtId="173" fontId="76" fillId="84" borderId="31" xfId="160" applyNumberFormat="1" applyFont="1" applyFill="1" applyBorder="1" applyAlignment="1">
      <alignment horizontal="center" vertical="center"/>
    </xf>
    <xf numFmtId="173" fontId="76" fillId="84" borderId="0" xfId="160" applyNumberFormat="1" applyFont="1" applyFill="1" applyAlignment="1">
      <alignment horizontal="center" vertical="center"/>
    </xf>
    <xf numFmtId="173" fontId="99" fillId="84" borderId="65" xfId="250" applyNumberFormat="1" applyFont="1" applyFill="1" applyBorder="1" applyAlignment="1" applyProtection="1">
      <alignment horizontal="center" vertical="center"/>
    </xf>
    <xf numFmtId="173" fontId="99" fillId="84" borderId="49" xfId="250" applyNumberFormat="1" applyFont="1" applyFill="1" applyBorder="1" applyAlignment="1" applyProtection="1">
      <alignment horizontal="center" vertical="center"/>
    </xf>
    <xf numFmtId="173" fontId="99" fillId="84" borderId="66" xfId="250" applyNumberFormat="1" applyFont="1" applyFill="1" applyBorder="1" applyAlignment="1" applyProtection="1">
      <alignment horizontal="center" vertical="center"/>
    </xf>
    <xf numFmtId="173" fontId="58" fillId="84" borderId="0" xfId="252" applyNumberFormat="1" applyFont="1" applyFill="1" applyAlignment="1" applyProtection="1">
      <alignment horizontal="center" vertical="center"/>
    </xf>
    <xf numFmtId="173" fontId="99" fillId="84" borderId="67" xfId="250" applyNumberFormat="1" applyFont="1" applyFill="1" applyBorder="1" applyAlignment="1" applyProtection="1">
      <alignment horizontal="center" vertical="center"/>
    </xf>
    <xf numFmtId="173" fontId="99" fillId="84" borderId="68" xfId="250" applyNumberFormat="1" applyFont="1" applyFill="1" applyBorder="1" applyAlignment="1" applyProtection="1">
      <alignment horizontal="center" vertical="center"/>
    </xf>
    <xf numFmtId="173" fontId="99" fillId="84" borderId="35" xfId="250" applyNumberFormat="1" applyFont="1" applyFill="1" applyBorder="1" applyAlignment="1" applyProtection="1">
      <alignment horizontal="center" vertical="center"/>
    </xf>
    <xf numFmtId="173" fontId="99" fillId="84" borderId="69" xfId="250" applyNumberFormat="1" applyFont="1" applyFill="1" applyBorder="1" applyAlignment="1" applyProtection="1">
      <alignment horizontal="center" vertical="center"/>
    </xf>
    <xf numFmtId="173" fontId="22" fillId="0" borderId="31" xfId="0" applyNumberFormat="1" applyFont="1" applyBorder="1"/>
    <xf numFmtId="173" fontId="86" fillId="84" borderId="70" xfId="250" applyNumberFormat="1" applyFont="1" applyFill="1" applyBorder="1" applyAlignment="1" applyProtection="1">
      <alignment horizontal="center" vertical="center"/>
    </xf>
    <xf numFmtId="173" fontId="86" fillId="84" borderId="58" xfId="250" applyNumberFormat="1" applyFont="1" applyFill="1" applyBorder="1" applyAlignment="1" applyProtection="1">
      <alignment horizontal="center" vertical="center"/>
    </xf>
    <xf numFmtId="173" fontId="86" fillId="84" borderId="71" xfId="250" applyNumberFormat="1" applyFont="1" applyFill="1" applyBorder="1" applyAlignment="1" applyProtection="1">
      <alignment horizontal="center" vertical="center"/>
    </xf>
    <xf numFmtId="173" fontId="58" fillId="0" borderId="27" xfId="133" applyNumberFormat="1" applyFont="1" applyBorder="1"/>
    <xf numFmtId="173" fontId="86" fillId="84" borderId="31" xfId="250" applyNumberFormat="1" applyFont="1" applyFill="1" applyBorder="1" applyAlignment="1" applyProtection="1">
      <alignment horizontal="center" vertical="center"/>
    </xf>
    <xf numFmtId="173" fontId="86" fillId="84" borderId="69" xfId="250" applyNumberFormat="1" applyFont="1" applyFill="1" applyBorder="1" applyAlignment="1" applyProtection="1">
      <alignment horizontal="center" vertical="center"/>
    </xf>
    <xf numFmtId="173" fontId="99" fillId="84" borderId="72" xfId="250" applyNumberFormat="1" applyFont="1" applyFill="1" applyBorder="1" applyAlignment="1" applyProtection="1">
      <alignment horizontal="center" vertical="center"/>
    </xf>
    <xf numFmtId="173" fontId="99" fillId="84" borderId="73" xfId="250" applyNumberFormat="1" applyFont="1" applyFill="1" applyBorder="1" applyAlignment="1" applyProtection="1">
      <alignment horizontal="center" vertical="center"/>
    </xf>
    <xf numFmtId="173" fontId="68" fillId="146" borderId="74" xfId="131" applyNumberFormat="1" applyFont="1" applyFill="1" applyBorder="1" applyAlignment="1">
      <alignment horizontal="center"/>
    </xf>
    <xf numFmtId="173" fontId="55" fillId="84" borderId="67" xfId="250" applyNumberFormat="1" applyFont="1" applyFill="1" applyBorder="1" applyAlignment="1" applyProtection="1">
      <alignment horizontal="center" vertical="center"/>
    </xf>
    <xf numFmtId="173" fontId="55" fillId="84" borderId="61" xfId="250" applyNumberFormat="1" applyFont="1" applyFill="1" applyBorder="1" applyAlignment="1" applyProtection="1">
      <alignment horizontal="center" vertical="center"/>
    </xf>
    <xf numFmtId="173" fontId="55" fillId="84" borderId="68" xfId="250" applyNumberFormat="1" applyFont="1" applyFill="1" applyBorder="1" applyAlignment="1" applyProtection="1">
      <alignment horizontal="center" vertical="center"/>
    </xf>
    <xf numFmtId="173" fontId="86" fillId="84" borderId="25" xfId="250" applyNumberFormat="1" applyFont="1" applyFill="1" applyBorder="1" applyAlignment="1" applyProtection="1">
      <alignment horizontal="center" vertical="center"/>
    </xf>
    <xf numFmtId="173" fontId="86" fillId="84" borderId="33" xfId="250" applyNumberFormat="1" applyFont="1" applyFill="1" applyBorder="1" applyAlignment="1" applyProtection="1">
      <alignment horizontal="center" vertical="center"/>
    </xf>
    <xf numFmtId="173" fontId="55" fillId="84" borderId="35" xfId="250" applyNumberFormat="1" applyFont="1" applyFill="1" applyBorder="1" applyAlignment="1" applyProtection="1">
      <alignment horizontal="center" vertical="center"/>
    </xf>
    <xf numFmtId="173" fontId="55" fillId="84" borderId="0" xfId="250" applyNumberFormat="1" applyFont="1" applyFill="1" applyAlignment="1" applyProtection="1">
      <alignment horizontal="center" vertical="center"/>
    </xf>
    <xf numFmtId="173" fontId="55" fillId="84" borderId="69" xfId="250" applyNumberFormat="1" applyFont="1" applyFill="1" applyBorder="1" applyAlignment="1" applyProtection="1">
      <alignment horizontal="center" vertical="center"/>
    </xf>
    <xf numFmtId="173" fontId="67" fillId="84" borderId="74" xfId="131" applyNumberFormat="1" applyFont="1" applyFill="1" applyBorder="1" applyAlignment="1">
      <alignment horizontal="center"/>
    </xf>
    <xf numFmtId="173" fontId="22" fillId="0" borderId="29" xfId="0" applyNumberFormat="1" applyFont="1" applyBorder="1" applyProtection="1">
      <protection locked="0"/>
    </xf>
    <xf numFmtId="173" fontId="11" fillId="84" borderId="0" xfId="0" applyNumberFormat="1" applyFont="1" applyFill="1" applyAlignment="1">
      <alignment horizontal="left"/>
    </xf>
    <xf numFmtId="173" fontId="11" fillId="0" borderId="0" xfId="122" applyNumberFormat="1" applyProtection="1">
      <protection locked="0"/>
    </xf>
    <xf numFmtId="173" fontId="22" fillId="84" borderId="0" xfId="254" applyNumberFormat="1" applyFill="1">
      <protection locked="0"/>
    </xf>
    <xf numFmtId="173" fontId="11" fillId="0" borderId="0" xfId="122" applyNumberFormat="1" applyAlignment="1" applyProtection="1">
      <alignment horizontal="left" vertical="center"/>
      <protection locked="0"/>
    </xf>
    <xf numFmtId="173" fontId="95" fillId="84" borderId="0" xfId="252" applyNumberFormat="1" applyFont="1" applyFill="1" applyAlignment="1" applyProtection="1">
      <alignment vertical="center"/>
    </xf>
    <xf numFmtId="173" fontId="77" fillId="84" borderId="74" xfId="0" applyNumberFormat="1" applyFont="1" applyFill="1" applyBorder="1" applyAlignment="1">
      <alignment horizontal="center"/>
    </xf>
    <xf numFmtId="173" fontId="95" fillId="84" borderId="0" xfId="252" applyNumberFormat="1" applyFont="1" applyFill="1" applyAlignment="1" applyProtection="1">
      <alignment horizontal="center" vertical="center"/>
    </xf>
    <xf numFmtId="173" fontId="103" fillId="0" borderId="0" xfId="254" applyNumberFormat="1" applyFont="1" applyAlignment="1" applyProtection="1">
      <alignment vertical="center"/>
    </xf>
    <xf numFmtId="173" fontId="55" fillId="84" borderId="0" xfId="254" applyNumberFormat="1" applyFont="1" applyFill="1" applyAlignment="1">
      <alignment horizontal="center" vertical="center"/>
      <protection locked="0"/>
    </xf>
    <xf numFmtId="173" fontId="103" fillId="84" borderId="31" xfId="254" applyNumberFormat="1" applyFont="1" applyFill="1" applyBorder="1" applyAlignment="1" applyProtection="1">
      <alignment horizontal="center" vertical="center"/>
    </xf>
    <xf numFmtId="173" fontId="103" fillId="84" borderId="0" xfId="254" applyNumberFormat="1" applyFont="1" applyFill="1" applyAlignment="1" applyProtection="1">
      <alignment horizontal="center" vertical="center"/>
    </xf>
    <xf numFmtId="173" fontId="22" fillId="142" borderId="0" xfId="0" applyNumberFormat="1" applyFont="1" applyFill="1"/>
    <xf numFmtId="173" fontId="64" fillId="142" borderId="0" xfId="250" applyNumberFormat="1" applyFont="1" applyFill="1" applyAlignment="1" applyProtection="1">
      <alignment horizontal="center" vertical="center"/>
    </xf>
    <xf numFmtId="173" fontId="49" fillId="98" borderId="74" xfId="150" applyNumberFormat="1" applyFont="1" applyFill="1" applyBorder="1" applyAlignment="1">
      <alignment horizontal="center" vertical="center" shrinkToFit="1"/>
    </xf>
    <xf numFmtId="173" fontId="43" fillId="65" borderId="74" xfId="0" applyNumberFormat="1" applyFont="1" applyFill="1" applyBorder="1" applyAlignment="1">
      <alignment horizontal="center" vertical="center"/>
    </xf>
    <xf numFmtId="173" fontId="55" fillId="0" borderId="0" xfId="254" applyNumberFormat="1" applyFont="1" applyAlignment="1">
      <alignment horizontal="center" vertical="center"/>
      <protection locked="0"/>
    </xf>
    <xf numFmtId="173" fontId="34" fillId="71" borderId="74" xfId="0" applyNumberFormat="1" applyFont="1" applyFill="1" applyBorder="1" applyAlignment="1">
      <alignment horizontal="center" vertical="center"/>
    </xf>
    <xf numFmtId="173" fontId="55" fillId="84" borderId="31" xfId="254" applyNumberFormat="1" applyFont="1" applyFill="1" applyBorder="1" applyAlignment="1" applyProtection="1">
      <alignment horizontal="center"/>
    </xf>
    <xf numFmtId="173" fontId="22" fillId="0" borderId="0" xfId="254" applyNumberFormat="1">
      <protection locked="0"/>
    </xf>
    <xf numFmtId="173" fontId="4" fillId="84" borderId="0" xfId="160" applyNumberFormat="1" applyFill="1" applyAlignment="1">
      <alignment horizontal="left" vertical="center"/>
    </xf>
    <xf numFmtId="173" fontId="106" fillId="84" borderId="0" xfId="254" applyNumberFormat="1" applyFont="1" applyFill="1">
      <protection locked="0"/>
    </xf>
    <xf numFmtId="173" fontId="9" fillId="84" borderId="0" xfId="254" applyNumberFormat="1" applyFont="1" applyFill="1">
      <protection locked="0"/>
    </xf>
    <xf numFmtId="173" fontId="55" fillId="84" borderId="75" xfId="254" applyNumberFormat="1" applyFont="1" applyFill="1" applyBorder="1" applyAlignment="1" applyProtection="1">
      <alignment horizontal="center"/>
    </xf>
    <xf numFmtId="173" fontId="22" fillId="84" borderId="25" xfId="254" applyNumberFormat="1" applyFill="1" applyBorder="1">
      <protection locked="0"/>
    </xf>
    <xf numFmtId="173" fontId="22" fillId="0" borderId="25" xfId="254" applyNumberFormat="1" applyBorder="1">
      <protection locked="0"/>
    </xf>
    <xf numFmtId="173" fontId="91" fillId="84" borderId="25" xfId="160" applyNumberFormat="1" applyFont="1" applyFill="1" applyBorder="1" applyAlignment="1">
      <alignment vertical="center"/>
    </xf>
    <xf numFmtId="173" fontId="91" fillId="84" borderId="76" xfId="160" applyNumberFormat="1" applyFont="1" applyFill="1" applyBorder="1" applyAlignment="1">
      <alignment vertical="center"/>
    </xf>
    <xf numFmtId="173" fontId="91" fillId="84" borderId="77" xfId="160" applyNumberFormat="1" applyFont="1" applyFill="1" applyBorder="1" applyAlignment="1">
      <alignment vertical="center"/>
    </xf>
    <xf numFmtId="173" fontId="106" fillId="84" borderId="25" xfId="254" applyNumberFormat="1" applyFont="1" applyFill="1" applyBorder="1">
      <protection locked="0"/>
    </xf>
    <xf numFmtId="173" fontId="58" fillId="84" borderId="24" xfId="131" applyNumberFormat="1" applyFont="1" applyFill="1" applyBorder="1" applyAlignment="1">
      <alignment horizontal="center" vertical="center"/>
    </xf>
    <xf numFmtId="173" fontId="58" fillId="84" borderId="25" xfId="131" applyNumberFormat="1" applyFont="1" applyFill="1" applyBorder="1" applyAlignment="1">
      <alignment horizontal="center" vertical="center"/>
    </xf>
    <xf numFmtId="173" fontId="58" fillId="84" borderId="33" xfId="131" applyNumberFormat="1" applyFont="1" applyFill="1" applyBorder="1" applyAlignment="1">
      <alignment horizontal="center" vertical="center"/>
    </xf>
    <xf numFmtId="173" fontId="30" fillId="0" borderId="0" xfId="122" applyNumberFormat="1" applyFont="1" applyProtection="1">
      <protection locked="0"/>
    </xf>
    <xf numFmtId="173" fontId="11" fillId="84" borderId="29" xfId="122" quotePrefix="1" applyNumberFormat="1" applyFill="1" applyBorder="1" applyProtection="1">
      <protection locked="0"/>
    </xf>
    <xf numFmtId="173" fontId="11" fillId="84" borderId="29" xfId="122" applyNumberFormat="1" applyFill="1" applyBorder="1"/>
    <xf numFmtId="173" fontId="0" fillId="84" borderId="29" xfId="0" applyNumberFormat="1" applyFill="1" applyBorder="1"/>
    <xf numFmtId="173" fontId="11" fillId="84" borderId="0" xfId="122" applyNumberFormat="1" applyFill="1" applyProtection="1">
      <protection locked="0"/>
    </xf>
    <xf numFmtId="173" fontId="33" fillId="84" borderId="0" xfId="122" applyNumberFormat="1" applyFont="1" applyFill="1" applyProtection="1">
      <protection locked="0"/>
    </xf>
    <xf numFmtId="173" fontId="11" fillId="84" borderId="0" xfId="122" quotePrefix="1" applyNumberFormat="1" applyFill="1" applyProtection="1">
      <protection locked="0"/>
    </xf>
    <xf numFmtId="173" fontId="33" fillId="0" borderId="0" xfId="0" applyNumberFormat="1" applyFont="1"/>
  </cellXfs>
  <cellStyles count="31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2 2 2 2" xfId="258" xr:uid="{86FCA32F-ADD6-4FC6-92EB-6C560603BE1D}"/>
    <cellStyle name="Millares 2 2 3" xfId="257" xr:uid="{DAC2E049-7EF9-422A-B49C-1B1EBF1BAF4D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2 2 2" xfId="261" xr:uid="{C9A10D69-8ACA-4A7D-B509-196DBD173398}"/>
    <cellStyle name="Millares 3 2 3" xfId="260" xr:uid="{F947FB9A-BC87-4E4A-BC7E-C40925F27983}"/>
    <cellStyle name="Millares 3 3" xfId="44" xr:uid="{00000000-0005-0000-0000-00002B000000}"/>
    <cellStyle name="Millares 3 3 2" xfId="45" xr:uid="{00000000-0005-0000-0000-00002C000000}"/>
    <cellStyle name="Millares 3 3 2 2" xfId="263" xr:uid="{56EB1149-FA11-4CBB-8AAB-A42F2CBFF3A5}"/>
    <cellStyle name="Millares 3 3 3" xfId="262" xr:uid="{4B97746E-9349-4D25-A590-51C0024A3000}"/>
    <cellStyle name="Millares 3 4" xfId="46" xr:uid="{00000000-0005-0000-0000-00002D000000}"/>
    <cellStyle name="Millares 3 4 2" xfId="264" xr:uid="{54FF2565-71E1-4301-9B58-8064F39CD85F}"/>
    <cellStyle name="Millares 3 5" xfId="47" xr:uid="{00000000-0005-0000-0000-00002E000000}"/>
    <cellStyle name="Millares 3 5 2" xfId="265" xr:uid="{49607185-1A95-416C-80B8-607A655786B9}"/>
    <cellStyle name="Millares 3 6" xfId="259" xr:uid="{435F611E-D6EE-4998-815F-901A67CD9A29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2 2 2" xfId="268" xr:uid="{4D9620A1-30B5-45D8-A923-470DA72DCC08}"/>
    <cellStyle name="Millares 4 2 3" xfId="267" xr:uid="{B222C46F-9226-47AC-B8D8-E087FE5E6783}"/>
    <cellStyle name="Millares 4 3" xfId="51" xr:uid="{00000000-0005-0000-0000-000032000000}"/>
    <cellStyle name="Millares 4 3 2" xfId="52" xr:uid="{00000000-0005-0000-0000-000033000000}"/>
    <cellStyle name="Millares 4 3 2 2" xfId="270" xr:uid="{A92E4E92-D248-4AA5-9188-D747BC5C7F36}"/>
    <cellStyle name="Millares 4 3 3" xfId="269" xr:uid="{534AF5CD-60C2-41B7-B74F-B2A7A84388FD}"/>
    <cellStyle name="Millares 4 4" xfId="53" xr:uid="{00000000-0005-0000-0000-000034000000}"/>
    <cellStyle name="Millares 4 4 2" xfId="271" xr:uid="{20F7827B-ADE6-4680-80E7-862473DEECC5}"/>
    <cellStyle name="Millares 4 5" xfId="266" xr:uid="{FA6CF3D1-4C07-45F0-92C1-18F2CE849CF6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2 2" xfId="275" xr:uid="{224D9D4A-9BE7-4058-935B-1264BAEE0771}"/>
    <cellStyle name="Millares 5 2 2 2 2 3" xfId="60" xr:uid="{00000000-0005-0000-0000-00003B000000}"/>
    <cellStyle name="Millares 5 2 2 2 2 3 2" xfId="276" xr:uid="{7C66DB5E-563D-43BE-B138-6E1F611F25B2}"/>
    <cellStyle name="Millares 5 2 2 2 2 4" xfId="61" xr:uid="{00000000-0005-0000-0000-00003C000000}"/>
    <cellStyle name="Millares 5 2 2 2 2 4 2" xfId="277" xr:uid="{CB3B53C9-65A1-435A-BEEB-91AAEEC5CA93}"/>
    <cellStyle name="Millares 5 2 2 2 2 5" xfId="274" xr:uid="{3DE6A0A5-FA18-431F-824C-A36F8193C344}"/>
    <cellStyle name="Millares 5 2 2 2 3" xfId="62" xr:uid="{00000000-0005-0000-0000-00003D000000}"/>
    <cellStyle name="Millares 5 2 2 2 3 2" xfId="278" xr:uid="{C1127EBE-5FCC-4B1D-9491-DD5C35F10443}"/>
    <cellStyle name="Millares 5 2 2 2 4" xfId="63" xr:uid="{00000000-0005-0000-0000-00003E000000}"/>
    <cellStyle name="Millares 5 2 2 2 4 2" xfId="279" xr:uid="{41522883-F9DC-401D-83FB-F35165CFF81D}"/>
    <cellStyle name="Millares 5 2 2 2 5" xfId="273" xr:uid="{0525BE15-A29C-4E92-84C0-89BF687C1CA2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2 2" xfId="281" xr:uid="{541EB61E-B791-42B7-81DC-6AF30C18585C}"/>
    <cellStyle name="Millares 5 2 2 4 3" xfId="73" xr:uid="{00000000-0005-0000-0000-000048000000}"/>
    <cellStyle name="Millares 5 2 2 4 3 2" xfId="282" xr:uid="{2A8E4A41-7711-4B10-A0CD-B1AA9E5FE09C}"/>
    <cellStyle name="Millares 5 2 2 4 4" xfId="74" xr:uid="{00000000-0005-0000-0000-000049000000}"/>
    <cellStyle name="Millares 5 2 2 4 4 2" xfId="283" xr:uid="{D961995A-48B7-4D04-8A55-75FA238296B9}"/>
    <cellStyle name="Millares 5 2 2 4 5" xfId="280" xr:uid="{FFD168DC-ADFF-41EE-A9D1-DA896FC0188D}"/>
    <cellStyle name="Millares 5 2 2 5" xfId="75" xr:uid="{00000000-0005-0000-0000-00004A000000}"/>
    <cellStyle name="Millares 5 2 2 6" xfId="76" xr:uid="{00000000-0005-0000-0000-00004B000000}"/>
    <cellStyle name="Millares 5 2 2 6 2" xfId="284" xr:uid="{EFFDE4B9-135B-45CA-BAA8-76BAAC49154F}"/>
    <cellStyle name="Millares 5 2 3" xfId="77" xr:uid="{00000000-0005-0000-0000-00004C000000}"/>
    <cellStyle name="Millares 5 2 3 2" xfId="285" xr:uid="{0AAB30D8-3619-462E-ABC8-1B84A694A973}"/>
    <cellStyle name="Millares 5 2 4" xfId="272" xr:uid="{0CDC725A-83F1-466F-BD66-603501C1B566}"/>
    <cellStyle name="Millares 5 3" xfId="78" xr:uid="{00000000-0005-0000-0000-00004D000000}"/>
    <cellStyle name="Millares 5 3 2" xfId="286" xr:uid="{B421B049-3A5E-4C2E-867B-9798EA95E52F}"/>
    <cellStyle name="Millares 5 4" xfId="79" xr:uid="{00000000-0005-0000-0000-00004E000000}"/>
    <cellStyle name="Millares 5 4 2" xfId="287" xr:uid="{44E05FE1-A855-4E36-9F24-ED6A7FDFF47F}"/>
    <cellStyle name="Millares 6" xfId="80" xr:uid="{00000000-0005-0000-0000-00004F000000}"/>
    <cellStyle name="Millares 6 2" xfId="81" xr:uid="{00000000-0005-0000-0000-000050000000}"/>
    <cellStyle name="Millares 6 2 2" xfId="289" xr:uid="{22F51763-0DDC-494B-912A-DC8D5AE39551}"/>
    <cellStyle name="Millares 6 3" xfId="288" xr:uid="{A84353B7-34C2-48B9-9B8E-8CF12DAEB46E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2 2" xfId="293" xr:uid="{DE62C298-F456-42C7-9ADC-9A954D502622}"/>
    <cellStyle name="Moneda 2 2 2 3" xfId="86" xr:uid="{00000000-0005-0000-0000-000055000000}"/>
    <cellStyle name="Moneda 2 2 2 3 2" xfId="294" xr:uid="{68A03250-98CB-4CB6-9F1D-8743520045A2}"/>
    <cellStyle name="Moneda 2 2 2 4" xfId="87" xr:uid="{00000000-0005-0000-0000-000056000000}"/>
    <cellStyle name="Moneda 2 2 2 4 2" xfId="295" xr:uid="{D96E390F-07B1-4D78-A320-ED2571948CF0}"/>
    <cellStyle name="Moneda 2 2 2 5" xfId="292" xr:uid="{2D8294D5-A262-4174-AA58-73A280CEAF15}"/>
    <cellStyle name="Moneda 2 2 3" xfId="88" xr:uid="{00000000-0005-0000-0000-000057000000}"/>
    <cellStyle name="Moneda 2 2 3 2" xfId="296" xr:uid="{ABC698B2-2DCD-4F1C-BD16-AE6517752E1F}"/>
    <cellStyle name="Moneda 2 2 4" xfId="89" xr:uid="{00000000-0005-0000-0000-000058000000}"/>
    <cellStyle name="Moneda 2 2 4 2" xfId="297" xr:uid="{9C5E3495-D277-4992-9D32-1DD2E816C309}"/>
    <cellStyle name="Moneda 2 2 5" xfId="291" xr:uid="{9439D6CD-F924-4554-9788-DB076DDC174A}"/>
    <cellStyle name="Moneda 2 3" xfId="90" xr:uid="{00000000-0005-0000-0000-000059000000}"/>
    <cellStyle name="Moneda 2 3 2" xfId="298" xr:uid="{E0E5056E-DCAC-40F3-BE0D-3256444099AE}"/>
    <cellStyle name="Moneda 2 4" xfId="91" xr:uid="{00000000-0005-0000-0000-00005A000000}"/>
    <cellStyle name="Moneda 2 4 2" xfId="92" xr:uid="{00000000-0005-0000-0000-00005B000000}"/>
    <cellStyle name="Moneda 2 4 2 2" xfId="300" xr:uid="{E70272ED-683B-4AB4-8E52-E96F20E7EC9E}"/>
    <cellStyle name="Moneda 2 4 3" xfId="93" xr:uid="{00000000-0005-0000-0000-00005C000000}"/>
    <cellStyle name="Moneda 2 4 3 2" xfId="301" xr:uid="{4A60B5CD-DE0C-4AF0-BD0B-3E370ADA3D85}"/>
    <cellStyle name="Moneda 2 4 4" xfId="94" xr:uid="{00000000-0005-0000-0000-00005D000000}"/>
    <cellStyle name="Moneda 2 4 4 2" xfId="302" xr:uid="{8075ADF9-929F-4BBA-A178-4AA45A04FB02}"/>
    <cellStyle name="Moneda 2 4 5" xfId="299" xr:uid="{4DBD18A4-A18D-432D-99DB-8EE6EEAD92BC}"/>
    <cellStyle name="Moneda 2 5" xfId="95" xr:uid="{00000000-0005-0000-0000-00005E000000}"/>
    <cellStyle name="Moneda 2 5 2" xfId="303" xr:uid="{32371227-BDB1-4222-8146-F79818F64DD5}"/>
    <cellStyle name="Moneda 2 6" xfId="96" xr:uid="{00000000-0005-0000-0000-00005F000000}"/>
    <cellStyle name="Moneda 2 6 2" xfId="304" xr:uid="{F68B4858-61E3-40D3-A57C-5D3A705840D7}"/>
    <cellStyle name="Moneda 2 7" xfId="290" xr:uid="{EABDC8CB-2511-4EA3-B1A2-4FE7D437D443}"/>
    <cellStyle name="Moneda 3" xfId="97" xr:uid="{00000000-0005-0000-0000-000060000000}"/>
    <cellStyle name="Moneda 3 2" xfId="98" xr:uid="{00000000-0005-0000-0000-000061000000}"/>
    <cellStyle name="Moneda 3 2 2" xfId="306" xr:uid="{60261896-31FA-4F37-B6BD-0BDB416921E0}"/>
    <cellStyle name="Moneda 3 3" xfId="99" xr:uid="{00000000-0005-0000-0000-000062000000}"/>
    <cellStyle name="Moneda 3 3 2" xfId="307" xr:uid="{092CC7FD-427E-4F88-85B3-C9AE0A37B414}"/>
    <cellStyle name="Moneda 3 4" xfId="100" xr:uid="{00000000-0005-0000-0000-000063000000}"/>
    <cellStyle name="Moneda 3 4 2" xfId="308" xr:uid="{2A069432-C9F2-4717-A19C-F5E006D0DA17}"/>
    <cellStyle name="Moneda 3 5" xfId="305" xr:uid="{E3109648-551B-4A89-8D79-183824A249A6}"/>
    <cellStyle name="Moneda 4" xfId="101" xr:uid="{00000000-0005-0000-0000-000064000000}"/>
    <cellStyle name="Moneda 4 2" xfId="309" xr:uid="{F07C7C82-2601-4400-AF2C-C917A006F8FF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 3" xfId="313" xr:uid="{E499E080-EBCC-4226-9AC5-52F3BF3CA5AD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8" xfId="314" xr:uid="{91E58310-12D1-459A-94AD-62570722212C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 2 2 2 2" xfId="310" xr:uid="{B0C98359-F4DE-44C1-92D4-36FF6DB0AA06}"/>
    <cellStyle name="Normal 2 100" xfId="121" xr:uid="{00000000-0005-0000-0000-000079000000}"/>
    <cellStyle name="Normal 2 100 2" xfId="122" xr:uid="{00000000-0005-0000-0000-00007A000000}"/>
    <cellStyle name="Normal 2 100 2 2" xfId="254" xr:uid="{42111B94-DFAC-433E-8116-24B0A91C071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2" xfId="252" xr:uid="{AC28C1F9-E28D-4A96-BC21-77A3866A382C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4 5" xfId="250" xr:uid="{0B65F901-EDFC-4A9A-8511-6D57559B2796}"/>
    <cellStyle name="Normal 2 2 4 5 2" xfId="251" xr:uid="{F4873C26-1530-4EB5-9BE4-3A2CA0A9394D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4 2 2" xfId="312" xr:uid="{F62B857B-A1FC-4B2F-9810-23F50D5DF9CB}"/>
    <cellStyle name="Normal 2 5" xfId="149" xr:uid="{00000000-0005-0000-0000-000095000000}"/>
    <cellStyle name="Normal 2 5 2" xfId="311" xr:uid="{42B10379-7069-4627-ADD0-9A047E5900EC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10 2 2" xfId="253" xr:uid="{3A01F299-328A-4196-A35A-6A4483E34996}"/>
    <cellStyle name="Normal 2 6 2" xfId="153" xr:uid="{00000000-0005-0000-0000-000099000000}"/>
    <cellStyle name="Normal 2 6 2 2" xfId="255" xr:uid="{BA1876E9-A0E5-4EF8-9A5D-CA51EAB4D13E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6" xr:uid="{F3F4591B-C1B3-410B-BC36-D715AA844301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54758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40190737" y="2538412"/>
          <a:ext cx="15792450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401431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366617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1597162" y="7677149"/>
          <a:ext cx="21097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256317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434625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356616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23481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68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354758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40190737" y="2538412"/>
          <a:ext cx="15792450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401431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>
          <a:off x="366617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91597162" y="7677149"/>
          <a:ext cx="21097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256317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34625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356616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23481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668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669044</xdr:colOff>
      <xdr:row>57</xdr:row>
      <xdr:rowOff>11835</xdr:rowOff>
    </xdr:from>
    <xdr:to>
      <xdr:col>11</xdr:col>
      <xdr:colOff>114300</xdr:colOff>
      <xdr:row>61</xdr:row>
      <xdr:rowOff>152400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698869" y="14499360"/>
          <a:ext cx="1674106" cy="98829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468313</xdr:colOff>
      <xdr:row>54</xdr:row>
      <xdr:rowOff>31751</xdr:rowOff>
    </xdr:from>
    <xdr:to>
      <xdr:col>12</xdr:col>
      <xdr:colOff>189058</xdr:colOff>
      <xdr:row>57</xdr:row>
      <xdr:rowOff>157164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9383713" y="13919201"/>
          <a:ext cx="4178445" cy="7254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57</xdr:col>
      <xdr:colOff>492831</xdr:colOff>
      <xdr:row>29</xdr:row>
      <xdr:rowOff>302347</xdr:rowOff>
    </xdr:from>
    <xdr:to>
      <xdr:col>59</xdr:col>
      <xdr:colOff>68791</xdr:colOff>
      <xdr:row>33</xdr:row>
      <xdr:rowOff>164042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4015056" y="7703272"/>
          <a:ext cx="1804810" cy="10237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56</xdr:col>
      <xdr:colOff>349250</xdr:colOff>
      <xdr:row>28</xdr:row>
      <xdr:rowOff>0</xdr:rowOff>
    </xdr:from>
    <xdr:to>
      <xdr:col>60</xdr:col>
      <xdr:colOff>69995</xdr:colOff>
      <xdr:row>30</xdr:row>
      <xdr:rowOff>77788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2757050" y="7172325"/>
          <a:ext cx="4178445" cy="6111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9</xdr:col>
      <xdr:colOff>669044</xdr:colOff>
      <xdr:row>57</xdr:row>
      <xdr:rowOff>11835</xdr:rowOff>
    </xdr:from>
    <xdr:to>
      <xdr:col>11</xdr:col>
      <xdr:colOff>114300</xdr:colOff>
      <xdr:row>61</xdr:row>
      <xdr:rowOff>152400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698869" y="14499360"/>
          <a:ext cx="1674106" cy="98829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468313</xdr:colOff>
      <xdr:row>54</xdr:row>
      <xdr:rowOff>31751</xdr:rowOff>
    </xdr:from>
    <xdr:to>
      <xdr:col>12</xdr:col>
      <xdr:colOff>189058</xdr:colOff>
      <xdr:row>57</xdr:row>
      <xdr:rowOff>157164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400-000007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9383713" y="13919201"/>
          <a:ext cx="4178445" cy="7254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57</xdr:col>
      <xdr:colOff>492831</xdr:colOff>
      <xdr:row>29</xdr:row>
      <xdr:rowOff>302347</xdr:rowOff>
    </xdr:from>
    <xdr:to>
      <xdr:col>59</xdr:col>
      <xdr:colOff>68791</xdr:colOff>
      <xdr:row>33</xdr:row>
      <xdr:rowOff>164042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4015056" y="7703272"/>
          <a:ext cx="1804810" cy="10237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56</xdr:col>
      <xdr:colOff>349250</xdr:colOff>
      <xdr:row>28</xdr:row>
      <xdr:rowOff>0</xdr:rowOff>
    </xdr:from>
    <xdr:to>
      <xdr:col>60</xdr:col>
      <xdr:colOff>69995</xdr:colOff>
      <xdr:row>30</xdr:row>
      <xdr:rowOff>77788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2757050" y="7172325"/>
          <a:ext cx="4178445" cy="61118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72</xdr:col>
      <xdr:colOff>602674</xdr:colOff>
      <xdr:row>24</xdr:row>
      <xdr:rowOff>22518</xdr:rowOff>
    </xdr:from>
    <xdr:ext cx="1053883" cy="818036"/>
    <xdr:pic>
      <xdr:nvPicPr>
        <xdr:cNvPr id="10" name="Imagen 17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1274" y="6156618"/>
          <a:ext cx="1053883" cy="818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71</xdr:col>
      <xdr:colOff>4013</xdr:colOff>
      <xdr:row>22</xdr:row>
      <xdr:rowOff>63500</xdr:rowOff>
    </xdr:from>
    <xdr:to>
      <xdr:col>75</xdr:col>
      <xdr:colOff>31750</xdr:colOff>
      <xdr:row>23</xdr:row>
      <xdr:rowOff>254000</xdr:rowOff>
    </xdr:to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400-00000B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9128188" y="5597525"/>
          <a:ext cx="4485437" cy="4857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 FUMAR</a:t>
          </a:r>
        </a:p>
      </xdr:txBody>
    </xdr:sp>
    <xdr:clientData/>
  </xdr:twoCellAnchor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354758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40190737" y="2538412"/>
          <a:ext cx="15792450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401431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366617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1597162" y="7677149"/>
          <a:ext cx="21097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256317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434625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356616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423481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68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65223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31237237" y="2538412"/>
          <a:ext cx="9448800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11896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277082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4868762" y="7677149"/>
          <a:ext cx="11953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66782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345090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67081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333946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287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265223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31237237" y="2538412"/>
          <a:ext cx="9448800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311896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277082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4868762" y="7677149"/>
          <a:ext cx="11953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66782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345090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267081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333946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287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31</xdr:col>
      <xdr:colOff>928687</xdr:colOff>
      <xdr:row>9</xdr:row>
      <xdr:rowOff>119062</xdr:rowOff>
    </xdr:from>
    <xdr:to>
      <xdr:col>35</xdr:col>
      <xdr:colOff>881062</xdr:colOff>
      <xdr:row>15</xdr:row>
      <xdr:rowOff>23812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26522362" y="2300287"/>
          <a:ext cx="4410075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ACUMULADO</a:t>
          </a:r>
          <a:r>
            <a:rPr lang="es-MX" sz="2000" baseline="0">
              <a:solidFill>
                <a:schemeClr val="bg1"/>
              </a:solidFill>
            </a:rPr>
            <a:t> COLOR AZUL - MIGRACION SHOWTIME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71437</xdr:colOff>
      <xdr:row>10</xdr:row>
      <xdr:rowOff>119062</xdr:rowOff>
    </xdr:from>
    <xdr:to>
      <xdr:col>50</xdr:col>
      <xdr:colOff>261937</xdr:colOff>
      <xdr:row>14</xdr:row>
      <xdr:rowOff>142875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31237237" y="2538412"/>
          <a:ext cx="12658725" cy="97631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</xdr:colOff>
      <xdr:row>12</xdr:row>
      <xdr:rowOff>71437</xdr:rowOff>
    </xdr:from>
    <xdr:to>
      <xdr:col>37</xdr:col>
      <xdr:colOff>23812</xdr:colOff>
      <xdr:row>15</xdr:row>
      <xdr:rowOff>166687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>
          <a:off x="31189612" y="2967037"/>
          <a:ext cx="1114425" cy="8096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1000125</xdr:colOff>
      <xdr:row>15</xdr:row>
      <xdr:rowOff>95250</xdr:rowOff>
    </xdr:from>
    <xdr:to>
      <xdr:col>32</xdr:col>
      <xdr:colOff>1000125</xdr:colOff>
      <xdr:row>18</xdr:row>
      <xdr:rowOff>95249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>
          <a:off x="27708225" y="3705225"/>
          <a:ext cx="0" cy="84772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214312</xdr:colOff>
      <xdr:row>29</xdr:row>
      <xdr:rowOff>238124</xdr:rowOff>
    </xdr:from>
    <xdr:to>
      <xdr:col>84</xdr:col>
      <xdr:colOff>95250</xdr:colOff>
      <xdr:row>33</xdr:row>
      <xdr:rowOff>190499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1974412" y="7677149"/>
          <a:ext cx="1195388" cy="1076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24</xdr:col>
      <xdr:colOff>1000126</xdr:colOff>
      <xdr:row>29</xdr:row>
      <xdr:rowOff>47625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6678275" y="6381750"/>
          <a:ext cx="2114551" cy="1104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40</xdr:col>
      <xdr:colOff>1000126</xdr:colOff>
      <xdr:row>30</xdr:row>
      <xdr:rowOff>23813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34509075" y="6629400"/>
          <a:ext cx="2114551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1000125</xdr:colOff>
      <xdr:row>30</xdr:row>
      <xdr:rowOff>23813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26708100" y="6629400"/>
          <a:ext cx="2114550" cy="110013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39</xdr:col>
      <xdr:colOff>1000125</xdr:colOff>
      <xdr:row>15</xdr:row>
      <xdr:rowOff>142875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33394650" y="2657475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1000125</xdr:colOff>
      <xdr:row>14</xdr:row>
      <xdr:rowOff>142875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2876550" y="2419350"/>
          <a:ext cx="2114550" cy="1095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>
              <a:solidFill>
                <a:schemeClr val="bg1"/>
              </a:solidFill>
            </a:rPr>
            <a:t>CAMBIO DE MIX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P113"/>
  <sheetViews>
    <sheetView tabSelected="1" topLeftCell="AF1" zoomScale="70" zoomScaleNormal="70" workbookViewId="0">
      <selection activeCell="AF1" sqref="A1:XFD1048576"/>
    </sheetView>
  </sheetViews>
  <sheetFormatPr baseColWidth="10" defaultColWidth="16.7109375" defaultRowHeight="15" x14ac:dyDescent="0.25"/>
  <cols>
    <col min="1" max="4" width="1.28515625" style="1369" customWidth="1"/>
    <col min="5" max="15" width="16.7109375" style="1369"/>
    <col min="16" max="20" width="3" style="1369" customWidth="1"/>
    <col min="21" max="43" width="16.7109375" style="1369"/>
    <col min="44" max="48" width="3.5703125" style="1369" customWidth="1"/>
    <col min="49" max="55" width="16.7109375" style="1369"/>
    <col min="56" max="72" width="1.28515625" style="1369" customWidth="1"/>
    <col min="73" max="16384" width="16.7109375" style="1369"/>
  </cols>
  <sheetData>
    <row r="1" spans="1:94" ht="34.5" thickBot="1" x14ac:dyDescent="0.3">
      <c r="A1" s="1365"/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1366"/>
      <c r="M1" s="1366"/>
      <c r="N1" s="1366"/>
      <c r="O1" s="1366"/>
      <c r="P1" s="1366"/>
      <c r="Q1" s="1366"/>
      <c r="R1" s="1366"/>
      <c r="S1" s="1366"/>
      <c r="T1" s="1366"/>
      <c r="U1" s="1366"/>
      <c r="V1" s="1366"/>
      <c r="W1" s="1366"/>
      <c r="X1" s="1366"/>
      <c r="Y1" s="1366"/>
      <c r="Z1" s="1366"/>
      <c r="AA1" s="1366"/>
      <c r="AB1" s="1366"/>
      <c r="AC1" s="1366"/>
      <c r="AD1" s="1366"/>
      <c r="AE1" s="1366"/>
      <c r="AF1" s="1366"/>
      <c r="AG1" s="1366"/>
      <c r="AH1" s="1366"/>
      <c r="AI1" s="1366"/>
      <c r="AJ1" s="1366"/>
      <c r="AK1" s="1366"/>
      <c r="AL1" s="1366"/>
      <c r="AM1" s="1366"/>
      <c r="AN1" s="1366"/>
      <c r="AO1" s="1366"/>
      <c r="AP1" s="1366"/>
      <c r="AQ1" s="1366"/>
      <c r="AR1" s="1366"/>
      <c r="AS1" s="1366"/>
      <c r="AT1" s="1366"/>
      <c r="AU1" s="1366"/>
      <c r="AV1" s="1366"/>
      <c r="AW1" s="1366"/>
      <c r="AX1" s="1366"/>
      <c r="AY1" s="1366"/>
      <c r="AZ1" s="1366"/>
      <c r="BA1" s="1366"/>
      <c r="BB1" s="1366"/>
      <c r="BC1" s="1366"/>
      <c r="BD1" s="1366"/>
      <c r="BE1" s="1366"/>
      <c r="BF1" s="1366"/>
      <c r="BG1" s="1366"/>
      <c r="BH1" s="1366"/>
      <c r="BI1" s="1366"/>
      <c r="BJ1" s="1366"/>
      <c r="BK1" s="1366"/>
      <c r="BL1" s="1366"/>
      <c r="BM1" s="1366"/>
      <c r="BN1" s="1366"/>
      <c r="BO1" s="1366"/>
      <c r="BP1" s="1366"/>
      <c r="BQ1" s="1366"/>
      <c r="BR1" s="1366"/>
      <c r="BS1" s="1366"/>
      <c r="BT1" s="1366"/>
      <c r="BU1" s="1366"/>
      <c r="BV1" s="1366"/>
      <c r="BW1" s="1366"/>
      <c r="BX1" s="1366"/>
      <c r="BY1" s="1366"/>
      <c r="BZ1" s="1366"/>
      <c r="CA1" s="1366"/>
      <c r="CB1" s="1366"/>
      <c r="CC1" s="1366"/>
      <c r="CD1" s="1366"/>
      <c r="CE1" s="1366"/>
      <c r="CF1" s="1366"/>
      <c r="CG1" s="1366"/>
      <c r="CH1" s="1366"/>
      <c r="CI1" s="1366"/>
      <c r="CJ1" s="1366"/>
      <c r="CK1" s="1366"/>
      <c r="CL1" s="1366"/>
      <c r="CM1" s="1366"/>
      <c r="CN1" s="1366"/>
      <c r="CO1" s="1367"/>
      <c r="CP1" s="1368"/>
    </row>
    <row r="2" spans="1:94" ht="15.75" thickBot="1" x14ac:dyDescent="0.3">
      <c r="A2" s="1370"/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  <c r="AF2" s="1370"/>
      <c r="AG2" s="1370"/>
      <c r="AH2" s="1370"/>
      <c r="AI2" s="1370"/>
      <c r="AJ2" s="1370"/>
      <c r="AK2" s="1370"/>
      <c r="AL2" s="1370"/>
      <c r="AM2" s="1370"/>
      <c r="AN2" s="1370"/>
      <c r="AO2" s="1370"/>
      <c r="AP2" s="1370"/>
      <c r="AQ2" s="1370"/>
      <c r="AR2" s="1370"/>
      <c r="AS2" s="1370"/>
      <c r="AT2" s="1370"/>
      <c r="AU2" s="1370"/>
      <c r="AV2" s="1370"/>
      <c r="AW2" s="1370"/>
      <c r="AX2" s="1370"/>
      <c r="AY2" s="1370"/>
      <c r="AZ2" s="1370"/>
      <c r="BA2" s="1370"/>
      <c r="BB2" s="1370"/>
      <c r="BC2" s="1370"/>
      <c r="BD2" s="1370"/>
      <c r="BE2" s="1370"/>
      <c r="BF2" s="1370"/>
      <c r="BG2" s="1370"/>
      <c r="BH2" s="1370"/>
      <c r="BI2" s="1370"/>
      <c r="BJ2" s="1370"/>
      <c r="BK2" s="1370"/>
      <c r="BL2" s="1371"/>
      <c r="BM2" s="1371"/>
      <c r="BN2" s="1371"/>
      <c r="BO2" s="1371"/>
      <c r="BP2" s="1371"/>
      <c r="BQ2" s="1371"/>
      <c r="BR2" s="1371"/>
      <c r="BS2" s="1371"/>
      <c r="BT2" s="1371"/>
      <c r="BU2" s="1371"/>
      <c r="BV2" s="1371"/>
      <c r="BW2" s="1371"/>
      <c r="BX2" s="1371"/>
      <c r="BY2" s="1371"/>
      <c r="BZ2" s="1371"/>
      <c r="CA2" s="1371"/>
      <c r="CB2" s="1371"/>
      <c r="CC2" s="1371"/>
      <c r="CD2" s="1371"/>
      <c r="CE2" s="1371"/>
      <c r="CF2" s="1371"/>
      <c r="CG2" s="1371"/>
      <c r="CH2" s="1371"/>
      <c r="CI2" s="1371"/>
      <c r="CJ2" s="1372"/>
      <c r="CK2" s="1372"/>
      <c r="CL2" s="1372"/>
      <c r="CM2" s="1372"/>
      <c r="CN2" s="1373"/>
      <c r="CO2" s="1374"/>
      <c r="CP2" s="1368"/>
    </row>
    <row r="3" spans="1:94" ht="15" customHeight="1" thickBot="1" x14ac:dyDescent="0.3">
      <c r="A3" s="1370"/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  <c r="AF3" s="1370"/>
      <c r="AG3" s="1370"/>
      <c r="AH3" s="1370"/>
      <c r="AI3" s="1370"/>
      <c r="AJ3" s="1370"/>
      <c r="AK3" s="1370"/>
      <c r="AL3" s="1370"/>
      <c r="AM3" s="1370"/>
      <c r="AN3" s="1370"/>
      <c r="AO3" s="1370"/>
      <c r="AP3" s="1370"/>
      <c r="AQ3" s="1370"/>
      <c r="AR3" s="1370"/>
      <c r="AS3" s="1370"/>
      <c r="AT3" s="1370"/>
      <c r="AU3" s="1370"/>
      <c r="AV3" s="1370"/>
      <c r="AW3" s="1370"/>
      <c r="AX3" s="1370"/>
      <c r="AY3" s="1370"/>
      <c r="AZ3" s="1370"/>
      <c r="BA3" s="1370"/>
      <c r="BB3" s="1370"/>
      <c r="BC3" s="1370"/>
      <c r="BD3" s="1370"/>
      <c r="BE3" s="1370"/>
      <c r="BF3" s="1370"/>
      <c r="BG3" s="1370"/>
      <c r="BH3" s="1370"/>
      <c r="BI3" s="1370"/>
      <c r="BJ3" s="1370"/>
      <c r="BK3" s="1375"/>
      <c r="BL3" s="1376"/>
      <c r="BM3" s="1377"/>
      <c r="BN3" s="1377"/>
      <c r="BO3" s="1378"/>
      <c r="BP3" s="1379"/>
      <c r="BQ3" s="1380"/>
      <c r="BR3" s="1380"/>
      <c r="BS3" s="1380"/>
      <c r="BT3" s="1380"/>
      <c r="BU3" s="1380"/>
      <c r="BV3" s="1380"/>
      <c r="BW3" s="1380"/>
      <c r="BX3" s="1380"/>
      <c r="BY3" s="1380"/>
      <c r="BZ3" s="1380"/>
      <c r="CA3" s="1380"/>
      <c r="CB3" s="1380"/>
      <c r="CC3" s="1380"/>
      <c r="CD3" s="1380"/>
      <c r="CE3" s="1380"/>
      <c r="CF3" s="1380"/>
      <c r="CG3" s="1380"/>
      <c r="CH3" s="1380"/>
      <c r="CI3" s="1380"/>
      <c r="CJ3" s="1379"/>
      <c r="CK3" s="1381"/>
      <c r="CL3" s="1382"/>
      <c r="CM3" s="1379"/>
      <c r="CN3" s="1383"/>
      <c r="CO3" s="1374"/>
      <c r="CP3" s="1368"/>
    </row>
    <row r="4" spans="1:94" x14ac:dyDescent="0.25">
      <c r="A4" s="1370"/>
      <c r="B4" s="1370"/>
      <c r="C4" s="1370"/>
      <c r="D4" s="1370"/>
      <c r="E4" s="1370"/>
      <c r="F4" s="1370"/>
      <c r="G4" s="1370"/>
      <c r="H4" s="1370"/>
      <c r="I4" s="1370"/>
      <c r="J4" s="1370"/>
      <c r="K4" s="1370"/>
      <c r="L4" s="1370"/>
      <c r="M4" s="1370"/>
      <c r="N4" s="1370"/>
      <c r="O4" s="1370"/>
      <c r="P4" s="1370"/>
      <c r="Q4" s="1370"/>
      <c r="R4" s="1370"/>
      <c r="S4" s="1370"/>
      <c r="T4" s="1370"/>
      <c r="U4" s="1370"/>
      <c r="V4" s="1370"/>
      <c r="W4" s="1370"/>
      <c r="X4" s="1370"/>
      <c r="Y4" s="1370"/>
      <c r="Z4" s="1370"/>
      <c r="AA4" s="1370"/>
      <c r="AB4" s="1370"/>
      <c r="AC4" s="1370"/>
      <c r="AD4" s="1370"/>
      <c r="AE4" s="1370"/>
      <c r="AF4" s="1370"/>
      <c r="AG4" s="1370"/>
      <c r="AH4" s="1370"/>
      <c r="AI4" s="1370"/>
      <c r="AJ4" s="1370"/>
      <c r="AK4" s="1370"/>
      <c r="AL4" s="1370"/>
      <c r="AM4" s="1370"/>
      <c r="AN4" s="1370"/>
      <c r="AO4" s="1370"/>
      <c r="AP4" s="1370"/>
      <c r="AQ4" s="1370"/>
      <c r="AR4" s="1370"/>
      <c r="AS4" s="1370"/>
      <c r="AT4" s="1370"/>
      <c r="AU4" s="1370"/>
      <c r="AV4" s="1370"/>
      <c r="AW4" s="1370"/>
      <c r="AX4" s="1370"/>
      <c r="AY4" s="1370"/>
      <c r="AZ4" s="1370"/>
      <c r="BA4" s="1370"/>
      <c r="BB4" s="1370"/>
      <c r="BC4" s="1370"/>
      <c r="BD4" s="1370"/>
      <c r="BE4" s="1370"/>
      <c r="BF4" s="1370"/>
      <c r="BG4" s="1370"/>
      <c r="BH4" s="1370"/>
      <c r="BI4" s="1370"/>
      <c r="BJ4" s="1370"/>
      <c r="BK4" s="1375"/>
      <c r="BL4" s="1384"/>
      <c r="BM4" s="1385"/>
      <c r="BN4" s="1385"/>
      <c r="BO4" s="1386"/>
      <c r="BP4" s="1387"/>
      <c r="BQ4" s="1388"/>
      <c r="BR4" s="1388"/>
      <c r="BS4" s="1388"/>
      <c r="BT4" s="1388"/>
      <c r="BU4" s="1388"/>
      <c r="BV4" s="1388"/>
      <c r="BW4" s="1388"/>
      <c r="BX4" s="1388"/>
      <c r="BY4" s="1388"/>
      <c r="BZ4" s="1388"/>
      <c r="CA4" s="1388"/>
      <c r="CB4" s="1388"/>
      <c r="CC4" s="1388"/>
      <c r="CD4" s="1388"/>
      <c r="CE4" s="1388"/>
      <c r="CF4" s="1388"/>
      <c r="CG4" s="1388"/>
      <c r="CH4" s="1388"/>
      <c r="CI4" s="1388"/>
      <c r="CJ4" s="1388"/>
      <c r="CK4" s="1388"/>
      <c r="CL4" s="1388"/>
      <c r="CM4" s="1388"/>
      <c r="CN4" s="1389"/>
      <c r="CO4" s="1374"/>
      <c r="CP4" s="1368"/>
    </row>
    <row r="5" spans="1:94" ht="15.75" x14ac:dyDescent="0.25">
      <c r="A5" s="1370"/>
      <c r="B5" s="1370"/>
      <c r="C5" s="1370"/>
      <c r="D5" s="1370"/>
      <c r="E5" s="1370"/>
      <c r="F5" s="1370"/>
      <c r="G5" s="1370"/>
      <c r="H5" s="1370"/>
      <c r="I5" s="1370"/>
      <c r="J5" s="1370"/>
      <c r="K5" s="1370"/>
      <c r="L5" s="1370"/>
      <c r="M5" s="1370"/>
      <c r="N5" s="1370"/>
      <c r="O5" s="1370"/>
      <c r="P5" s="1370"/>
      <c r="Q5" s="1370"/>
      <c r="R5" s="1370"/>
      <c r="S5" s="1370"/>
      <c r="T5" s="1370"/>
      <c r="U5" s="1370"/>
      <c r="V5" s="1370"/>
      <c r="W5" s="1370"/>
      <c r="X5" s="1370"/>
      <c r="Y5" s="1370"/>
      <c r="Z5" s="1370"/>
      <c r="AA5" s="1370"/>
      <c r="AB5" s="1370"/>
      <c r="AC5" s="1370"/>
      <c r="AD5" s="1370"/>
      <c r="AE5" s="1370"/>
      <c r="AF5" s="1370"/>
      <c r="AG5" s="1370"/>
      <c r="AH5" s="1370"/>
      <c r="AI5" s="1370"/>
      <c r="AJ5" s="1370"/>
      <c r="AK5" s="1370"/>
      <c r="AL5" s="1370"/>
      <c r="AM5" s="1370"/>
      <c r="AN5" s="1370"/>
      <c r="AO5" s="1370"/>
      <c r="AP5" s="1370"/>
      <c r="AQ5" s="1370"/>
      <c r="AR5" s="1370"/>
      <c r="AS5" s="1370"/>
      <c r="AT5" s="1370"/>
      <c r="AU5" s="1370"/>
      <c r="AV5" s="1370"/>
      <c r="AW5" s="1370"/>
      <c r="AX5" s="1370"/>
      <c r="AY5" s="1370"/>
      <c r="AZ5" s="1370"/>
      <c r="BA5" s="1370"/>
      <c r="BB5" s="1370"/>
      <c r="BC5" s="1370"/>
      <c r="BD5" s="1370"/>
      <c r="BE5" s="1370"/>
      <c r="BF5" s="1370"/>
      <c r="BG5" s="1370"/>
      <c r="BH5" s="1370"/>
      <c r="BI5" s="1370"/>
      <c r="BJ5" s="1370"/>
      <c r="BK5" s="1375"/>
      <c r="BL5" s="1384"/>
      <c r="BM5" s="1385"/>
      <c r="BN5" s="1385"/>
      <c r="BO5" s="1386"/>
      <c r="BP5" s="1387"/>
      <c r="BQ5" s="1388"/>
      <c r="BR5" s="1388"/>
      <c r="BS5" s="1388"/>
      <c r="BT5" s="1388"/>
      <c r="BZ5" s="1390"/>
      <c r="CA5" s="1390"/>
      <c r="CB5" s="1390"/>
      <c r="CC5" s="1391"/>
      <c r="CD5" s="1391"/>
      <c r="CE5" s="1391"/>
      <c r="CF5" s="1391"/>
      <c r="CG5" s="1370"/>
      <c r="CH5" s="1370"/>
      <c r="CI5" s="1370"/>
      <c r="CJ5" s="1370"/>
      <c r="CK5" s="1370"/>
      <c r="CL5" s="1370"/>
      <c r="CM5" s="1370"/>
      <c r="CN5" s="1392"/>
      <c r="CO5" s="1374"/>
      <c r="CP5" s="1368"/>
    </row>
    <row r="6" spans="1:94" ht="18.75" x14ac:dyDescent="0.25">
      <c r="A6" s="1370"/>
      <c r="B6" s="1370"/>
      <c r="C6" s="1370"/>
      <c r="D6" s="1370"/>
      <c r="E6" s="1370"/>
      <c r="F6" s="1370"/>
      <c r="G6" s="1370"/>
      <c r="H6" s="1370"/>
      <c r="I6" s="1370"/>
      <c r="J6" s="1370"/>
      <c r="K6" s="1370"/>
      <c r="L6" s="1370"/>
      <c r="M6" s="1370"/>
      <c r="N6" s="1370"/>
      <c r="O6" s="1370"/>
      <c r="P6" s="1370"/>
      <c r="Q6" s="1370"/>
      <c r="R6" s="1370"/>
      <c r="S6" s="1370"/>
      <c r="T6" s="1370"/>
      <c r="U6" s="1370"/>
      <c r="V6" s="1370"/>
      <c r="W6" s="1370"/>
      <c r="X6" s="1370"/>
      <c r="Y6" s="1370"/>
      <c r="Z6" s="1370"/>
      <c r="AA6" s="1370"/>
      <c r="AB6" s="1370"/>
      <c r="AC6" s="1370"/>
      <c r="AD6" s="1370"/>
      <c r="AE6" s="1370"/>
      <c r="AF6" s="1370"/>
      <c r="AG6" s="1370"/>
      <c r="AH6" s="1370"/>
      <c r="AI6" s="1370"/>
      <c r="AJ6" s="1370"/>
      <c r="AK6" s="1370"/>
      <c r="AL6" s="1370"/>
      <c r="AM6" s="1370"/>
      <c r="AN6" s="1370"/>
      <c r="AO6" s="1370"/>
      <c r="AP6" s="1370"/>
      <c r="AQ6" s="1370"/>
      <c r="AR6" s="1370"/>
      <c r="AS6" s="1370"/>
      <c r="AT6" s="1370"/>
      <c r="AU6" s="1370"/>
      <c r="AV6" s="1370"/>
      <c r="AW6" s="1370"/>
      <c r="AX6" s="1370"/>
      <c r="AY6" s="1370"/>
      <c r="AZ6" s="1370"/>
      <c r="BA6" s="1370"/>
      <c r="BB6" s="1370"/>
      <c r="BC6" s="1370"/>
      <c r="BD6" s="1370"/>
      <c r="BE6" s="1370"/>
      <c r="BF6" s="1370"/>
      <c r="BG6" s="1370"/>
      <c r="BH6" s="1370"/>
      <c r="BI6" s="1370"/>
      <c r="BJ6" s="1370"/>
      <c r="BK6" s="1375"/>
      <c r="BL6" s="1384"/>
      <c r="BM6" s="1385"/>
      <c r="BN6" s="1385"/>
      <c r="BO6" s="1386"/>
      <c r="BP6" s="1387"/>
      <c r="BQ6" s="1388"/>
      <c r="BR6" s="1388"/>
      <c r="BS6" s="1388"/>
      <c r="BT6" s="1388"/>
      <c r="BW6" s="1393"/>
      <c r="BZ6" s="1390"/>
      <c r="CA6" s="1390"/>
      <c r="CB6" s="1390"/>
      <c r="CC6" s="1390"/>
      <c r="CD6" s="1390"/>
      <c r="CE6" s="1390"/>
      <c r="CF6" s="1390"/>
      <c r="CG6" s="1394"/>
      <c r="CH6" s="1394"/>
      <c r="CI6" s="1394"/>
      <c r="CJ6" s="1394"/>
      <c r="CK6" s="1370"/>
      <c r="CL6" s="1370"/>
      <c r="CM6" s="1370"/>
      <c r="CN6" s="1392"/>
      <c r="CO6" s="1374"/>
      <c r="CP6" s="1368"/>
    </row>
    <row r="7" spans="1:94" ht="19.5" thickBot="1" x14ac:dyDescent="0.3">
      <c r="A7" s="1370"/>
      <c r="B7" s="1370"/>
      <c r="C7" s="1370"/>
      <c r="D7" s="1370"/>
      <c r="E7" s="1370"/>
      <c r="F7" s="1370"/>
      <c r="G7" s="1370"/>
      <c r="H7" s="1370"/>
      <c r="I7" s="1370"/>
      <c r="J7" s="1370"/>
      <c r="K7" s="1370"/>
      <c r="L7" s="1370"/>
      <c r="M7" s="1370"/>
      <c r="N7" s="1370"/>
      <c r="O7" s="1370"/>
      <c r="P7" s="1370"/>
      <c r="Q7" s="1370"/>
      <c r="R7" s="1370"/>
      <c r="S7" s="1370"/>
      <c r="T7" s="1370"/>
      <c r="U7" s="1370"/>
      <c r="V7" s="1370"/>
      <c r="W7" s="1370"/>
      <c r="X7" s="1370"/>
      <c r="Y7" s="1370"/>
      <c r="Z7" s="1370"/>
      <c r="AA7" s="1370"/>
      <c r="AB7" s="1370"/>
      <c r="AC7" s="1370"/>
      <c r="AD7" s="1370"/>
      <c r="AE7" s="1370"/>
      <c r="AF7" s="1370"/>
      <c r="AG7" s="1370"/>
      <c r="AH7" s="1370"/>
      <c r="AI7" s="1370"/>
      <c r="AJ7" s="1370"/>
      <c r="AK7" s="1370"/>
      <c r="AL7" s="1370"/>
      <c r="AM7" s="1370"/>
      <c r="AN7" s="1370"/>
      <c r="AO7" s="1370"/>
      <c r="AP7" s="1370"/>
      <c r="AQ7" s="1370"/>
      <c r="AR7" s="1370"/>
      <c r="AS7" s="1370"/>
      <c r="AT7" s="1370"/>
      <c r="AU7" s="1370"/>
      <c r="AV7" s="1370"/>
      <c r="AW7" s="1370"/>
      <c r="AX7" s="1370"/>
      <c r="AY7" s="1370"/>
      <c r="AZ7" s="1370"/>
      <c r="BA7" s="1370"/>
      <c r="BB7" s="1370"/>
      <c r="BC7" s="1370"/>
      <c r="BD7" s="1370"/>
      <c r="BE7" s="1370"/>
      <c r="BF7" s="1370"/>
      <c r="BG7" s="1370"/>
      <c r="BH7" s="1370"/>
      <c r="BI7" s="1370"/>
      <c r="BJ7" s="1370"/>
      <c r="BK7" s="1375"/>
      <c r="BL7" s="1395"/>
      <c r="BM7" s="1396"/>
      <c r="BN7" s="1396"/>
      <c r="BO7" s="1397"/>
      <c r="BP7" s="1387"/>
      <c r="BQ7" s="1388"/>
      <c r="BR7" s="1388"/>
      <c r="BS7" s="1388"/>
      <c r="BT7" s="1398"/>
      <c r="BW7" s="1393"/>
      <c r="BY7" s="1367"/>
      <c r="BZ7" s="1391"/>
      <c r="CA7" s="1391"/>
      <c r="CB7" s="1399"/>
      <c r="CC7" s="1399"/>
      <c r="CD7" s="1399"/>
      <c r="CE7" s="1390"/>
      <c r="CF7" s="1390"/>
      <c r="CG7" s="1394"/>
      <c r="CH7" s="1394"/>
      <c r="CI7" s="1394"/>
      <c r="CJ7" s="1394"/>
      <c r="CK7" s="1400"/>
      <c r="CL7" s="1400"/>
      <c r="CM7" s="1400"/>
      <c r="CN7" s="1392"/>
      <c r="CO7" s="1374"/>
      <c r="CP7" s="1368"/>
    </row>
    <row r="8" spans="1:94" ht="18.75" x14ac:dyDescent="0.25">
      <c r="A8" s="1370"/>
      <c r="B8" s="1370"/>
      <c r="C8" s="1370"/>
      <c r="D8" s="1370"/>
      <c r="E8" s="1370"/>
      <c r="F8" s="1370"/>
      <c r="G8" s="1370"/>
      <c r="H8" s="1370"/>
      <c r="I8" s="1370"/>
      <c r="J8" s="1370"/>
      <c r="K8" s="1370"/>
      <c r="L8" s="1370"/>
      <c r="M8" s="1370"/>
      <c r="N8" s="1370"/>
      <c r="O8" s="1370"/>
      <c r="P8" s="1370"/>
      <c r="Q8" s="1370"/>
      <c r="R8" s="1370"/>
      <c r="S8" s="1370"/>
      <c r="T8" s="1370"/>
      <c r="U8" s="1370"/>
      <c r="V8" s="1370"/>
      <c r="W8" s="1370"/>
      <c r="X8" s="1370"/>
      <c r="Y8" s="1370"/>
      <c r="Z8" s="1370"/>
      <c r="AA8" s="1370"/>
      <c r="AB8" s="1370"/>
      <c r="AC8" s="1370"/>
      <c r="AD8" s="1370"/>
      <c r="AE8" s="1370"/>
      <c r="AF8" s="1370"/>
      <c r="AG8" s="1370"/>
      <c r="AH8" s="1370"/>
      <c r="AI8" s="1370"/>
      <c r="AJ8" s="1370"/>
      <c r="AK8" s="1370"/>
      <c r="AL8" s="1370"/>
      <c r="AM8" s="1370"/>
      <c r="AN8" s="1370"/>
      <c r="AO8" s="1370"/>
      <c r="AP8" s="1370"/>
      <c r="AQ8" s="1370"/>
      <c r="AR8" s="1370"/>
      <c r="AS8" s="1370"/>
      <c r="AT8" s="1370"/>
      <c r="AU8" s="1370"/>
      <c r="AV8" s="1370"/>
      <c r="AW8" s="1370"/>
      <c r="AX8" s="1370"/>
      <c r="AY8" s="1370"/>
      <c r="AZ8" s="1370"/>
      <c r="BA8" s="1370"/>
      <c r="BB8" s="1370"/>
      <c r="BC8" s="1370"/>
      <c r="BD8" s="1370"/>
      <c r="BE8" s="1370"/>
      <c r="BF8" s="1370"/>
      <c r="BG8" s="1370"/>
      <c r="BH8" s="1370"/>
      <c r="BI8" s="1370"/>
      <c r="BJ8" s="1370"/>
      <c r="BK8" s="1375"/>
      <c r="BL8" s="1398"/>
      <c r="BM8" s="1388"/>
      <c r="BN8" s="1388"/>
      <c r="BO8" s="1388"/>
      <c r="BP8" s="1388"/>
      <c r="BQ8" s="1388"/>
      <c r="BR8" s="1388"/>
      <c r="BS8" s="1387"/>
      <c r="BT8" s="1401"/>
      <c r="BU8" s="1402"/>
      <c r="BV8" s="1402"/>
      <c r="BW8" s="1403"/>
      <c r="BX8" s="1404"/>
      <c r="BY8" s="1367"/>
      <c r="BZ8" s="1391"/>
      <c r="CA8" s="1391"/>
      <c r="CB8" s="1399"/>
      <c r="CC8" s="1390"/>
      <c r="CD8" s="1399"/>
      <c r="CE8" s="1390"/>
      <c r="CF8" s="1390"/>
      <c r="CG8" s="1394"/>
      <c r="CH8" s="1394"/>
      <c r="CI8" s="1394"/>
      <c r="CJ8" s="1394"/>
      <c r="CK8" s="1400"/>
      <c r="CL8" s="1400"/>
      <c r="CM8" s="1400"/>
      <c r="CN8" s="1392"/>
      <c r="CO8" s="1374"/>
      <c r="CP8" s="1368"/>
    </row>
    <row r="9" spans="1:94" ht="18.75" x14ac:dyDescent="0.25">
      <c r="A9" s="1370"/>
      <c r="B9" s="1370"/>
      <c r="C9" s="1370"/>
      <c r="D9" s="1370"/>
      <c r="E9" s="1370"/>
      <c r="F9" s="1370"/>
      <c r="G9" s="1370"/>
      <c r="H9" s="1370"/>
      <c r="I9" s="1370"/>
      <c r="J9" s="1370"/>
      <c r="K9" s="1370"/>
      <c r="L9" s="1370"/>
      <c r="M9" s="1370"/>
      <c r="N9" s="1370"/>
      <c r="O9" s="1370"/>
      <c r="P9" s="1370"/>
      <c r="Q9" s="1370"/>
      <c r="R9" s="1370"/>
      <c r="S9" s="1370"/>
      <c r="T9" s="1370"/>
      <c r="U9" s="1370"/>
      <c r="V9" s="1370"/>
      <c r="W9" s="1394"/>
      <c r="X9" s="1370"/>
      <c r="Y9" s="1370"/>
      <c r="Z9" s="1370"/>
      <c r="AA9" s="1370"/>
      <c r="AB9" s="1370"/>
      <c r="AC9" s="1370"/>
      <c r="AD9" s="1370"/>
      <c r="AE9" s="1370"/>
      <c r="AF9" s="1370"/>
      <c r="AG9" s="1370"/>
      <c r="AH9" s="1370"/>
      <c r="AI9" s="1370"/>
      <c r="AJ9" s="1370"/>
      <c r="AK9" s="1370"/>
      <c r="AL9" s="1370"/>
      <c r="AM9" s="1370"/>
      <c r="AN9" s="1370"/>
      <c r="AO9" s="1370"/>
      <c r="AP9" s="1370"/>
      <c r="AQ9" s="1370"/>
      <c r="AR9" s="1370"/>
      <c r="AS9" s="1370"/>
      <c r="AT9" s="1370"/>
      <c r="AU9" s="1370"/>
      <c r="AV9" s="1370"/>
      <c r="AW9" s="1370"/>
      <c r="AX9" s="1370"/>
      <c r="AY9" s="1370"/>
      <c r="AZ9" s="1370"/>
      <c r="BA9" s="1370"/>
      <c r="BB9" s="1370"/>
      <c r="BC9" s="1370"/>
      <c r="BD9" s="1370"/>
      <c r="BE9" s="1370"/>
      <c r="BF9" s="1370"/>
      <c r="BG9" s="1370"/>
      <c r="BH9" s="1370"/>
      <c r="BI9" s="1370"/>
      <c r="BJ9" s="1370"/>
      <c r="BK9" s="1375"/>
      <c r="BL9" s="1398"/>
      <c r="BM9" s="1405"/>
      <c r="BN9" s="1405"/>
      <c r="BO9" s="1405"/>
      <c r="BP9" s="1388"/>
      <c r="BQ9" s="1388"/>
      <c r="BS9" s="1406"/>
      <c r="BT9" s="1387"/>
      <c r="BU9" s="1403"/>
      <c r="BV9" s="1403"/>
      <c r="BW9" s="1403"/>
      <c r="BX9" s="1406"/>
      <c r="BZ9" s="1391"/>
      <c r="CA9" s="1406"/>
      <c r="CB9" s="1399"/>
      <c r="CC9" s="1390"/>
      <c r="CD9" s="1399"/>
      <c r="CE9" s="1390"/>
      <c r="CF9" s="1390"/>
      <c r="CG9" s="1394"/>
      <c r="CH9" s="1390"/>
      <c r="CI9" s="1390"/>
      <c r="CJ9" s="1390"/>
      <c r="CK9" s="1407"/>
      <c r="CL9" s="1407"/>
      <c r="CM9" s="1400"/>
      <c r="CN9" s="1408"/>
      <c r="CO9" s="1374"/>
      <c r="CP9" s="1368"/>
    </row>
    <row r="10" spans="1:94" ht="18.75" x14ac:dyDescent="0.25">
      <c r="A10" s="1370"/>
      <c r="B10" s="1370"/>
      <c r="C10" s="1370"/>
      <c r="D10" s="1370"/>
      <c r="E10" s="1370"/>
      <c r="F10" s="1370"/>
      <c r="G10" s="1370"/>
      <c r="H10" s="1370"/>
      <c r="I10" s="1370"/>
      <c r="J10" s="1370"/>
      <c r="K10" s="1370"/>
      <c r="L10" s="1370"/>
      <c r="M10" s="1370"/>
      <c r="N10" s="1370"/>
      <c r="O10" s="1370"/>
      <c r="P10" s="1370"/>
      <c r="Q10" s="1370"/>
      <c r="R10" s="1370"/>
      <c r="S10" s="1370"/>
      <c r="T10" s="1370"/>
      <c r="U10" s="1370"/>
      <c r="V10" s="1370"/>
      <c r="W10" s="1394"/>
      <c r="X10" s="1370"/>
      <c r="Y10" s="1370"/>
      <c r="Z10" s="1370"/>
      <c r="AA10" s="1370"/>
      <c r="AB10" s="1370"/>
      <c r="AC10" s="1370"/>
      <c r="AD10" s="1370"/>
      <c r="AE10" s="1370"/>
      <c r="AF10" s="1370"/>
      <c r="AG10" s="1370"/>
      <c r="AH10" s="1370"/>
      <c r="AI10" s="1370"/>
      <c r="AJ10" s="1370"/>
      <c r="AK10" s="1370"/>
      <c r="AL10" s="1370"/>
      <c r="AM10" s="1370"/>
      <c r="AN10" s="1370"/>
      <c r="AO10" s="1370"/>
      <c r="AP10" s="1370"/>
      <c r="AQ10" s="1370"/>
      <c r="AR10" s="1370"/>
      <c r="AS10" s="1370"/>
      <c r="AT10" s="1370"/>
      <c r="AU10" s="1370"/>
      <c r="AV10" s="1370"/>
      <c r="AW10" s="1370"/>
      <c r="AX10" s="1370"/>
      <c r="AY10" s="1370"/>
      <c r="AZ10" s="1370"/>
      <c r="BA10" s="1370"/>
      <c r="BB10" s="1370"/>
      <c r="BC10" s="1370"/>
      <c r="BD10" s="1370"/>
      <c r="BE10" s="1370"/>
      <c r="BF10" s="1370"/>
      <c r="BG10" s="1370"/>
      <c r="BH10" s="1370"/>
      <c r="BI10" s="1370"/>
      <c r="BJ10" s="1370"/>
      <c r="BK10" s="1375"/>
      <c r="BL10" s="1398"/>
      <c r="BM10" s="1405"/>
      <c r="BN10" s="1405"/>
      <c r="BO10" s="1409"/>
      <c r="BP10" s="1387"/>
      <c r="BQ10" s="1387"/>
      <c r="BS10" s="1406"/>
      <c r="BT10" s="1410"/>
      <c r="BU10" s="1411"/>
      <c r="BV10" s="1411"/>
      <c r="BW10" s="1406"/>
      <c r="BX10" s="1406"/>
      <c r="BZ10" s="1390"/>
      <c r="CA10" s="1406"/>
      <c r="CB10" s="1406"/>
      <c r="CC10" s="1399"/>
      <c r="CD10" s="1399"/>
      <c r="CE10" s="1390"/>
      <c r="CF10" s="1390"/>
      <c r="CG10" s="1394"/>
      <c r="CH10" s="1390"/>
      <c r="CI10" s="1390"/>
      <c r="CJ10" s="1390"/>
      <c r="CK10" s="1407"/>
      <c r="CL10" s="1407"/>
      <c r="CM10" s="1400"/>
      <c r="CN10" s="1408"/>
      <c r="CO10" s="1374"/>
      <c r="CP10" s="1368"/>
    </row>
    <row r="11" spans="1:94" ht="18.75" x14ac:dyDescent="0.25">
      <c r="A11" s="1370"/>
      <c r="B11" s="1370"/>
      <c r="C11" s="1370"/>
      <c r="D11" s="1370"/>
      <c r="E11" s="1370"/>
      <c r="F11" s="1370"/>
      <c r="G11" s="1370"/>
      <c r="H11" s="1370"/>
      <c r="I11" s="1370"/>
      <c r="J11" s="1370"/>
      <c r="K11" s="1370"/>
      <c r="L11" s="1370"/>
      <c r="M11" s="1370"/>
      <c r="N11" s="1370"/>
      <c r="O11" s="1370"/>
      <c r="P11" s="1370"/>
      <c r="Q11" s="1370"/>
      <c r="R11" s="1370"/>
      <c r="S11" s="1370"/>
      <c r="T11" s="1370"/>
      <c r="U11" s="1370"/>
      <c r="V11" s="1370"/>
      <c r="W11" s="1394"/>
      <c r="X11" s="1370"/>
      <c r="Y11" s="1370"/>
      <c r="Z11" s="1370"/>
      <c r="AA11" s="1370"/>
      <c r="AB11" s="1370"/>
      <c r="AC11" s="1370"/>
      <c r="AD11" s="1370"/>
      <c r="AE11" s="1370"/>
      <c r="AF11" s="1370"/>
      <c r="AG11" s="1370"/>
      <c r="AH11" s="1370"/>
      <c r="AI11" s="1370"/>
      <c r="AJ11" s="1370"/>
      <c r="AK11" s="1370"/>
      <c r="AL11" s="1370"/>
      <c r="AM11" s="1370"/>
      <c r="AN11" s="1370"/>
      <c r="AO11" s="1370"/>
      <c r="AP11" s="1370"/>
      <c r="AQ11" s="1370"/>
      <c r="AR11" s="1370"/>
      <c r="AS11" s="1370"/>
      <c r="AT11" s="1370"/>
      <c r="AU11" s="1370"/>
      <c r="AV11" s="1370"/>
      <c r="AW11" s="1370"/>
      <c r="AX11" s="1370"/>
      <c r="AY11" s="1370"/>
      <c r="AZ11" s="1370"/>
      <c r="BA11" s="1370"/>
      <c r="BB11" s="1370"/>
      <c r="BC11" s="1370"/>
      <c r="BD11" s="1370"/>
      <c r="BE11" s="1370"/>
      <c r="BF11" s="1370"/>
      <c r="BG11" s="1370"/>
      <c r="BH11" s="1370"/>
      <c r="BI11" s="1370"/>
      <c r="BJ11" s="1370"/>
      <c r="BK11" s="1375"/>
      <c r="BL11" s="1398"/>
      <c r="BM11" s="1405"/>
      <c r="BN11" s="1405"/>
      <c r="BO11" s="1409"/>
      <c r="BP11" s="1412"/>
      <c r="BQ11" s="1412"/>
      <c r="BS11" s="1406"/>
      <c r="BT11" s="1411"/>
      <c r="BU11" s="1413"/>
      <c r="BV11" s="1413"/>
      <c r="BW11" s="1411"/>
      <c r="BX11" s="1406"/>
      <c r="BY11" s="1393"/>
      <c r="BZ11" s="1390"/>
      <c r="CA11" s="1390"/>
      <c r="CB11" s="1390"/>
      <c r="CC11" s="1390"/>
      <c r="CD11" s="1390"/>
      <c r="CE11" s="1390"/>
      <c r="CF11" s="1390"/>
      <c r="CG11" s="1394"/>
      <c r="CH11" s="1390"/>
      <c r="CI11" s="1390"/>
      <c r="CJ11" s="1392"/>
      <c r="CK11" s="1407"/>
      <c r="CL11" s="1407"/>
      <c r="CM11" s="1400"/>
      <c r="CN11" s="1408"/>
      <c r="CO11" s="1374"/>
      <c r="CP11" s="1368"/>
    </row>
    <row r="12" spans="1:94" ht="18.75" x14ac:dyDescent="0.25">
      <c r="A12" s="1370"/>
      <c r="B12" s="1370"/>
      <c r="C12" s="1370"/>
      <c r="D12" s="1370"/>
      <c r="E12" s="1370"/>
      <c r="F12" s="1370"/>
      <c r="G12" s="1370"/>
      <c r="H12" s="1370"/>
      <c r="I12" s="1370"/>
      <c r="J12" s="1370"/>
      <c r="K12" s="1370"/>
      <c r="L12" s="1370"/>
      <c r="M12" s="1370"/>
      <c r="N12" s="1370"/>
      <c r="O12" s="1370"/>
      <c r="P12" s="1370"/>
      <c r="Q12" s="1370"/>
      <c r="R12" s="1370"/>
      <c r="S12" s="1370"/>
      <c r="T12" s="1370"/>
      <c r="U12" s="1394"/>
      <c r="V12" s="1370"/>
      <c r="W12" s="1394"/>
      <c r="X12" s="1370"/>
      <c r="Y12" s="1370"/>
      <c r="Z12" s="1370"/>
      <c r="AA12" s="1370"/>
      <c r="AB12" s="1370"/>
      <c r="AC12" s="1370"/>
      <c r="AD12" s="1370"/>
      <c r="AE12" s="1370"/>
      <c r="AF12" s="1370"/>
      <c r="AG12" s="1370"/>
      <c r="AH12" s="1370"/>
      <c r="AI12" s="1370"/>
      <c r="AJ12" s="1370"/>
      <c r="AK12" s="1370"/>
      <c r="AL12" s="1370"/>
      <c r="AM12" s="1370"/>
      <c r="AN12" s="1370"/>
      <c r="AO12" s="1370"/>
      <c r="AP12" s="1370"/>
      <c r="AQ12" s="1370"/>
      <c r="AR12" s="1370"/>
      <c r="AS12" s="1370"/>
      <c r="AT12" s="1370"/>
      <c r="AU12" s="1370"/>
      <c r="AV12" s="1370"/>
      <c r="AW12" s="1370"/>
      <c r="AX12" s="1370"/>
      <c r="AY12" s="1370"/>
      <c r="AZ12" s="1370"/>
      <c r="BA12" s="1370"/>
      <c r="BB12" s="1370"/>
      <c r="BC12" s="1370"/>
      <c r="BD12" s="1370"/>
      <c r="BE12" s="1370"/>
      <c r="BF12" s="1370"/>
      <c r="BG12" s="1370"/>
      <c r="BH12" s="1370"/>
      <c r="BI12" s="1370"/>
      <c r="BJ12" s="1370"/>
      <c r="BK12" s="1375"/>
      <c r="BL12" s="1398"/>
      <c r="BM12" s="1405"/>
      <c r="BN12" s="1405"/>
      <c r="BO12" s="1409"/>
      <c r="BP12" s="1412"/>
      <c r="BQ12" s="1412"/>
      <c r="BS12" s="1406"/>
      <c r="BT12" s="1411"/>
      <c r="BU12" s="1413"/>
      <c r="BV12" s="1413"/>
      <c r="BW12" s="1411"/>
      <c r="BX12" s="1401"/>
      <c r="BY12" s="1393"/>
      <c r="BZ12" s="1390"/>
      <c r="CA12" s="1390"/>
      <c r="CB12" s="1390"/>
      <c r="CC12" s="1390"/>
      <c r="CD12" s="1390"/>
      <c r="CE12" s="1390"/>
      <c r="CF12" s="1390"/>
      <c r="CG12" s="1394"/>
      <c r="CH12" s="1390"/>
      <c r="CI12" s="1392"/>
      <c r="CJ12" s="1390"/>
      <c r="CK12" s="1392"/>
      <c r="CL12" s="1407"/>
      <c r="CM12" s="1400"/>
      <c r="CN12" s="1392"/>
      <c r="CO12" s="1374"/>
      <c r="CP12" s="1368"/>
    </row>
    <row r="13" spans="1:94" ht="18.75" x14ac:dyDescent="0.25">
      <c r="A13" s="1370"/>
      <c r="B13" s="1370"/>
      <c r="C13" s="1370"/>
      <c r="D13" s="1370"/>
      <c r="E13" s="1370"/>
      <c r="F13" s="1370"/>
      <c r="G13" s="1370"/>
      <c r="H13" s="1370"/>
      <c r="I13" s="1370"/>
      <c r="J13" s="1370"/>
      <c r="K13" s="1370"/>
      <c r="L13" s="1370"/>
      <c r="M13" s="1370"/>
      <c r="N13" s="1370"/>
      <c r="O13" s="1370"/>
      <c r="P13" s="1370"/>
      <c r="Q13" s="1370"/>
      <c r="R13" s="1370"/>
      <c r="S13" s="1370"/>
      <c r="T13" s="1370"/>
      <c r="U13" s="1394"/>
      <c r="AZ13" s="1370"/>
      <c r="BA13" s="1370"/>
      <c r="BB13" s="1370"/>
      <c r="BC13" s="1370"/>
      <c r="BD13" s="1370"/>
      <c r="BE13" s="1370"/>
      <c r="BF13" s="1370"/>
      <c r="BG13" s="1370"/>
      <c r="BH13" s="1370"/>
      <c r="BI13" s="1370"/>
      <c r="BJ13" s="1370"/>
      <c r="BK13" s="1375"/>
      <c r="BL13" s="1398"/>
      <c r="BM13" s="1405"/>
      <c r="BN13" s="1405"/>
      <c r="BO13" s="1409"/>
      <c r="BP13" s="1387"/>
      <c r="BQ13" s="1387"/>
      <c r="BS13" s="1406"/>
      <c r="BT13" s="1387"/>
      <c r="BU13" s="1411"/>
      <c r="BV13" s="1411"/>
      <c r="BW13" s="1387"/>
      <c r="BX13" s="1387"/>
      <c r="BY13" s="1393"/>
      <c r="BZ13" s="1390"/>
      <c r="CA13" s="1390"/>
      <c r="CB13" s="1390"/>
      <c r="CC13" s="1390"/>
      <c r="CD13" s="1390"/>
      <c r="CE13" s="1390"/>
      <c r="CF13" s="1390"/>
      <c r="CG13" s="1394"/>
      <c r="CH13" s="1392"/>
      <c r="CI13" s="1390"/>
      <c r="CJ13" s="1406"/>
      <c r="CK13" s="1406"/>
      <c r="CL13" s="1392"/>
      <c r="CM13" s="1400"/>
      <c r="CN13" s="1392"/>
      <c r="CO13" s="1374"/>
      <c r="CP13" s="1368"/>
    </row>
    <row r="14" spans="1:94" ht="18.75" x14ac:dyDescent="0.25">
      <c r="A14" s="1370"/>
      <c r="B14" s="1370"/>
      <c r="C14" s="1370"/>
      <c r="D14" s="1370"/>
      <c r="E14" s="1370"/>
      <c r="F14" s="1370"/>
      <c r="G14" s="1370"/>
      <c r="H14" s="1370"/>
      <c r="I14" s="1370"/>
      <c r="J14" s="1370"/>
      <c r="K14" s="1370"/>
      <c r="L14" s="1370"/>
      <c r="M14" s="1370"/>
      <c r="N14" s="1370"/>
      <c r="O14" s="1370"/>
      <c r="P14" s="1370"/>
      <c r="Q14" s="1370"/>
      <c r="R14" s="1370"/>
      <c r="S14" s="1370"/>
      <c r="T14" s="1370"/>
      <c r="U14" s="1394"/>
      <c r="V14" s="1394"/>
      <c r="W14" s="1394"/>
      <c r="X14" s="1370"/>
      <c r="Y14" s="1370"/>
      <c r="Z14" s="1370"/>
      <c r="AA14" s="1370"/>
      <c r="AB14" s="1370"/>
      <c r="AC14" s="1370"/>
      <c r="AD14" s="1370"/>
      <c r="AE14" s="1370"/>
      <c r="AF14" s="1370"/>
      <c r="AG14" s="1370"/>
      <c r="AH14" s="1370"/>
      <c r="AI14" s="1370"/>
      <c r="AJ14" s="1370"/>
      <c r="AK14" s="1370"/>
      <c r="AL14" s="1370"/>
      <c r="AM14" s="1370"/>
      <c r="AN14" s="1370"/>
      <c r="AO14" s="1370"/>
      <c r="AP14" s="1370"/>
      <c r="AQ14" s="1370"/>
      <c r="AR14" s="1370"/>
      <c r="AS14" s="1370"/>
      <c r="AT14" s="1370"/>
      <c r="AU14" s="1370"/>
      <c r="AV14" s="1370"/>
      <c r="AW14" s="1370"/>
      <c r="AX14" s="1370"/>
      <c r="AY14" s="1370"/>
      <c r="AZ14" s="1370"/>
      <c r="BA14" s="1370"/>
      <c r="BB14" s="1370"/>
      <c r="BC14" s="1370"/>
      <c r="BD14" s="1370"/>
      <c r="BE14" s="1370"/>
      <c r="BF14" s="1370"/>
      <c r="BG14" s="1370"/>
      <c r="BH14" s="1370"/>
      <c r="BI14" s="1370"/>
      <c r="BJ14" s="1370"/>
      <c r="BK14" s="1375"/>
      <c r="BL14" s="1398"/>
      <c r="BM14" s="1405"/>
      <c r="BN14" s="1405"/>
      <c r="BO14" s="1409"/>
      <c r="BP14" s="1387"/>
      <c r="BQ14" s="1387"/>
      <c r="BS14" s="1406"/>
      <c r="BT14" s="1387"/>
      <c r="BU14" s="1403"/>
      <c r="BV14" s="1403"/>
      <c r="BW14" s="1406"/>
      <c r="BX14" s="1406"/>
      <c r="BY14" s="1393"/>
      <c r="BZ14" s="1406"/>
      <c r="CA14" s="1390"/>
      <c r="CB14" s="1390"/>
      <c r="CC14" s="1390"/>
      <c r="CD14" s="1390"/>
      <c r="CE14" s="1390"/>
      <c r="CF14" s="1390"/>
      <c r="CG14" s="1394"/>
      <c r="CH14" s="1390"/>
      <c r="CI14" s="1392"/>
      <c r="CJ14" s="1406"/>
      <c r="CK14" s="1392"/>
      <c r="CL14" s="1407"/>
      <c r="CM14" s="1400"/>
      <c r="CN14" s="1392"/>
      <c r="CO14" s="1374"/>
      <c r="CP14" s="1368"/>
    </row>
    <row r="15" spans="1:94" ht="18.75" x14ac:dyDescent="0.25">
      <c r="A15" s="1414"/>
      <c r="B15" s="1415"/>
      <c r="C15" s="1415"/>
      <c r="D15" s="1415"/>
      <c r="E15" s="1415"/>
      <c r="F15" s="1415"/>
      <c r="G15" s="1415"/>
      <c r="H15" s="1415"/>
      <c r="I15" s="1415"/>
      <c r="J15" s="1415"/>
      <c r="K15" s="1415"/>
      <c r="L15" s="1415"/>
      <c r="M15" s="1415"/>
      <c r="N15" s="1416"/>
      <c r="O15" s="1416"/>
      <c r="P15" s="1416"/>
      <c r="Q15" s="1416"/>
      <c r="R15" s="1416"/>
      <c r="S15" s="1416"/>
      <c r="T15" s="1416"/>
      <c r="U15" s="1416"/>
      <c r="V15" s="1416"/>
      <c r="W15" s="1416"/>
      <c r="X15" s="1416"/>
      <c r="Y15" s="1416"/>
      <c r="Z15" s="1416"/>
      <c r="AA15" s="1416"/>
      <c r="AB15" s="1416"/>
      <c r="AC15" s="1416"/>
      <c r="AD15" s="1415"/>
      <c r="AE15" s="1415"/>
      <c r="AF15" s="1415"/>
      <c r="AG15" s="1415"/>
      <c r="AH15" s="1415"/>
      <c r="AI15" s="1415"/>
      <c r="AJ15" s="1415"/>
      <c r="AK15" s="1415"/>
      <c r="AL15" s="1415"/>
      <c r="AM15" s="1415"/>
      <c r="AN15" s="1415"/>
      <c r="AO15" s="1415"/>
      <c r="AP15" s="1415"/>
      <c r="AQ15" s="1415"/>
      <c r="AR15" s="1415"/>
      <c r="AS15" s="1415"/>
      <c r="AT15" s="1415"/>
      <c r="AU15" s="1415"/>
      <c r="AV15" s="1415"/>
      <c r="AW15" s="1415"/>
      <c r="AX15" s="1415"/>
      <c r="AY15" s="1415"/>
      <c r="AZ15" s="1415"/>
      <c r="BA15" s="1415"/>
      <c r="BB15" s="1370"/>
      <c r="BC15" s="1370"/>
      <c r="BD15" s="1370"/>
      <c r="BE15" s="1370"/>
      <c r="BF15" s="1370"/>
      <c r="BG15" s="1370"/>
      <c r="BH15" s="1370"/>
      <c r="BI15" s="1370"/>
      <c r="BJ15" s="1370"/>
      <c r="BK15" s="1375"/>
      <c r="BL15" s="1417"/>
      <c r="BM15" s="1405"/>
      <c r="BN15" s="1405"/>
      <c r="BO15" s="1409"/>
      <c r="BP15" s="1418"/>
      <c r="BQ15" s="1418"/>
      <c r="BS15" s="1406"/>
      <c r="BT15" s="1418"/>
      <c r="BU15" s="1419"/>
      <c r="BV15" s="1419"/>
      <c r="BW15" s="1401"/>
      <c r="BX15" s="1420"/>
      <c r="BY15" s="1393"/>
      <c r="BZ15" s="1406"/>
      <c r="CA15" s="1406"/>
      <c r="CB15" s="1406"/>
      <c r="CC15" s="1406"/>
      <c r="CD15" s="1406"/>
      <c r="CE15" s="1390"/>
      <c r="CF15" s="1390"/>
      <c r="CG15" s="1394"/>
      <c r="CH15" s="1390"/>
      <c r="CI15" s="1390"/>
      <c r="CJ15" s="1392"/>
      <c r="CK15" s="1406"/>
      <c r="CL15" s="1407"/>
      <c r="CM15" s="1400"/>
      <c r="CN15" s="1421"/>
      <c r="CO15" s="1374"/>
      <c r="CP15" s="1368"/>
    </row>
    <row r="16" spans="1:94" ht="19.5" thickBot="1" x14ac:dyDescent="0.3">
      <c r="A16" s="1414"/>
      <c r="B16" s="1422"/>
      <c r="C16" s="1422"/>
      <c r="D16" s="1422"/>
      <c r="E16" s="1422"/>
      <c r="F16" s="1422"/>
      <c r="G16" s="1422"/>
      <c r="H16" s="1422"/>
      <c r="I16" s="1423"/>
      <c r="J16" s="1422"/>
      <c r="K16" s="1424"/>
      <c r="L16" s="1425"/>
      <c r="M16" s="1425"/>
      <c r="N16" s="1425"/>
      <c r="O16" s="1425"/>
      <c r="P16" s="1425"/>
      <c r="Q16" s="1425"/>
      <c r="R16" s="1425"/>
      <c r="S16" s="1425"/>
      <c r="T16" s="1425"/>
      <c r="U16" s="1425"/>
      <c r="V16" s="1425"/>
      <c r="W16" s="1425"/>
      <c r="X16" s="1426"/>
      <c r="Y16" s="1425"/>
      <c r="Z16" s="1425"/>
      <c r="AA16" s="1425"/>
      <c r="AB16" s="1425"/>
      <c r="AC16" s="1425"/>
      <c r="AD16" s="1425"/>
      <c r="AE16" s="1425"/>
      <c r="AF16" s="1425"/>
      <c r="AG16" s="1425"/>
      <c r="AH16" s="1425"/>
      <c r="AI16" s="1425"/>
      <c r="AJ16" s="1425"/>
      <c r="AK16" s="1425"/>
      <c r="AL16" s="1425"/>
      <c r="AM16" s="1425"/>
      <c r="AN16" s="1425"/>
      <c r="AO16" s="1425"/>
      <c r="AP16" s="1425"/>
      <c r="AQ16" s="1425"/>
      <c r="AR16" s="1425"/>
      <c r="AS16" s="1425"/>
      <c r="AT16" s="1425"/>
      <c r="AU16" s="1425"/>
      <c r="AV16" s="1425"/>
      <c r="AW16" s="1425"/>
      <c r="AX16" s="1425"/>
      <c r="AY16" s="1425"/>
      <c r="AZ16" s="1425"/>
      <c r="BA16" s="1425"/>
      <c r="BB16" s="1425"/>
      <c r="BC16" s="1425"/>
      <c r="BD16" s="1427"/>
      <c r="BE16" s="1427"/>
      <c r="BF16" s="1427"/>
      <c r="BG16" s="1427"/>
      <c r="BH16" s="1427"/>
      <c r="BI16" s="1427"/>
      <c r="BJ16" s="1427"/>
      <c r="BK16" s="1428"/>
      <c r="BL16" s="1429"/>
      <c r="BM16" s="1405"/>
      <c r="BN16" s="1405"/>
      <c r="BO16" s="1409"/>
      <c r="BP16" s="1418"/>
      <c r="BQ16" s="1418"/>
      <c r="BS16" s="1403"/>
      <c r="BT16" s="1419"/>
      <c r="BU16" s="1413"/>
      <c r="BV16" s="1413"/>
      <c r="BW16" s="1419"/>
      <c r="BX16" s="1403"/>
      <c r="BY16" s="1393"/>
      <c r="BZ16" s="1406"/>
      <c r="CA16" s="1392"/>
      <c r="CB16" s="1392"/>
      <c r="CC16" s="1392"/>
      <c r="CD16" s="1392"/>
      <c r="CE16" s="1392"/>
      <c r="CF16" s="1390"/>
      <c r="CG16" s="1394"/>
      <c r="CH16" s="1390"/>
      <c r="CI16" s="1390"/>
      <c r="CJ16" s="1390"/>
      <c r="CK16" s="1407"/>
      <c r="CL16" s="1407"/>
      <c r="CM16" s="1430"/>
      <c r="CN16" s="1421"/>
      <c r="CO16" s="1374"/>
      <c r="CP16" s="1368"/>
    </row>
    <row r="17" spans="1:94" ht="23.25" x14ac:dyDescent="0.25">
      <c r="A17" s="1431"/>
      <c r="D17" s="1392"/>
      <c r="F17" s="1432">
        <v>113546</v>
      </c>
      <c r="G17" s="1432">
        <v>113537</v>
      </c>
      <c r="H17" s="1433">
        <v>110454</v>
      </c>
      <c r="I17" s="1433">
        <v>113221</v>
      </c>
      <c r="J17" s="1434"/>
      <c r="K17" s="1434"/>
      <c r="L17" s="1434"/>
      <c r="M17" s="1434"/>
      <c r="N17" s="1435"/>
      <c r="O17" s="1435"/>
      <c r="P17" s="1435"/>
      <c r="Q17" s="1435"/>
      <c r="R17" s="1435"/>
      <c r="S17" s="1435"/>
      <c r="T17" s="1435"/>
      <c r="U17" s="1436"/>
      <c r="V17" s="1436"/>
      <c r="W17" s="1436"/>
      <c r="X17" s="1436"/>
      <c r="Y17" s="1437"/>
      <c r="Z17" s="1437"/>
      <c r="AA17" s="1438"/>
      <c r="AB17" s="1438"/>
      <c r="AC17" s="1439"/>
      <c r="AD17" s="1440"/>
      <c r="AE17" s="1441"/>
      <c r="AF17" s="1441"/>
      <c r="AG17" s="1442"/>
      <c r="AH17" s="1443"/>
      <c r="AI17" s="1444">
        <v>110737</v>
      </c>
      <c r="AJ17" s="1444">
        <v>110661</v>
      </c>
      <c r="AK17" s="1445">
        <v>110033</v>
      </c>
      <c r="AL17" s="1446">
        <v>110203</v>
      </c>
      <c r="AM17" s="1447">
        <v>113543</v>
      </c>
      <c r="AN17" s="1433">
        <v>103942</v>
      </c>
      <c r="AO17" s="1433">
        <v>113843</v>
      </c>
      <c r="AP17" s="1433">
        <v>109980</v>
      </c>
      <c r="AQ17" s="1448"/>
      <c r="AR17" s="1449"/>
      <c r="AS17" s="1449"/>
      <c r="AT17" s="1449"/>
      <c r="AU17" s="1449"/>
      <c r="AV17" s="1449"/>
      <c r="AW17" s="1447">
        <v>112589</v>
      </c>
      <c r="AX17" s="1447">
        <v>115194</v>
      </c>
      <c r="AY17" s="1450">
        <v>110668</v>
      </c>
      <c r="AZ17" s="1450">
        <v>113383</v>
      </c>
      <c r="BA17" s="1451">
        <v>113957</v>
      </c>
      <c r="BB17" s="1443"/>
      <c r="BC17" s="1452"/>
      <c r="BD17" s="1453"/>
      <c r="BE17" s="1454"/>
      <c r="BF17" s="1455"/>
      <c r="BG17" s="1455"/>
      <c r="BH17" s="1455"/>
      <c r="BI17" s="1455"/>
      <c r="BJ17" s="1454"/>
      <c r="BK17" s="1456"/>
      <c r="BL17" s="1457"/>
      <c r="BM17" s="1405"/>
      <c r="BN17" s="1405"/>
      <c r="BO17" s="1409"/>
      <c r="BP17" s="1458"/>
      <c r="BQ17" s="1458"/>
      <c r="BS17" s="1403"/>
      <c r="BT17" s="1419"/>
      <c r="BU17" s="1413"/>
      <c r="BV17" s="1413"/>
      <c r="BW17" s="1419"/>
      <c r="BX17" s="1403"/>
      <c r="BY17" s="1393"/>
      <c r="BZ17" s="1406"/>
      <c r="CA17" s="1392"/>
      <c r="CB17" s="1392"/>
      <c r="CC17" s="1392"/>
      <c r="CD17" s="1392"/>
      <c r="CE17" s="1392"/>
      <c r="CF17" s="1390"/>
      <c r="CG17" s="1394"/>
      <c r="CH17" s="1394"/>
      <c r="CI17" s="1394"/>
      <c r="CJ17" s="1394"/>
      <c r="CK17" s="1400"/>
      <c r="CL17" s="1400"/>
      <c r="CM17" s="1430"/>
      <c r="CN17" s="1421"/>
      <c r="CO17" s="1374"/>
      <c r="CP17" s="1368"/>
    </row>
    <row r="18" spans="1:94" ht="24" thickBot="1" x14ac:dyDescent="0.35">
      <c r="A18" s="1431"/>
      <c r="B18" s="1400"/>
      <c r="C18" s="1400"/>
      <c r="D18" s="1394"/>
      <c r="E18" s="1394"/>
      <c r="F18" s="1443"/>
      <c r="G18" s="1443"/>
      <c r="H18" s="1443"/>
      <c r="I18" s="1443"/>
      <c r="AE18" s="1459"/>
      <c r="AH18" s="1448"/>
      <c r="AI18" s="1443"/>
      <c r="AJ18" s="1443"/>
      <c r="AK18" s="1443"/>
      <c r="AL18" s="1443"/>
      <c r="AM18" s="1443"/>
      <c r="AN18" s="1443"/>
      <c r="AO18" s="1443"/>
      <c r="AP18" s="1443"/>
      <c r="AQ18" s="1460"/>
      <c r="AR18" s="1461"/>
      <c r="AS18" s="1461"/>
      <c r="AT18" s="1461"/>
      <c r="AU18" s="1462"/>
      <c r="AV18" s="1463"/>
      <c r="AW18" s="1443"/>
      <c r="AX18" s="1443"/>
      <c r="AY18" s="1443"/>
      <c r="AZ18" s="1443"/>
      <c r="BA18" s="1443"/>
      <c r="BB18" s="1448"/>
      <c r="BD18" s="1464"/>
      <c r="BE18" s="1453"/>
      <c r="BF18" s="1406"/>
      <c r="BG18" s="1453"/>
      <c r="BH18" s="1406"/>
      <c r="BI18" s="1453"/>
      <c r="BJ18" s="1406"/>
      <c r="BK18" s="1465"/>
      <c r="BL18" s="1457"/>
      <c r="BM18" s="1405"/>
      <c r="BN18" s="1405"/>
      <c r="BO18" s="1409"/>
      <c r="BP18" s="1458"/>
      <c r="BQ18" s="1458"/>
      <c r="BS18" s="1403"/>
      <c r="BT18" s="1419"/>
      <c r="BU18" s="1413"/>
      <c r="BV18" s="1413"/>
      <c r="BW18" s="1419"/>
      <c r="BX18" s="1403"/>
      <c r="BY18" s="1403"/>
      <c r="BZ18" s="1406"/>
      <c r="CA18" s="1466"/>
      <c r="CB18" s="1466"/>
      <c r="CC18" s="1466"/>
      <c r="CD18" s="1466"/>
      <c r="CE18" s="1406"/>
      <c r="CF18" s="1407"/>
      <c r="CG18" s="1400"/>
      <c r="CH18" s="1467"/>
      <c r="CI18" s="1400"/>
      <c r="CJ18" s="1400"/>
      <c r="CK18" s="1400"/>
      <c r="CL18" s="1400"/>
      <c r="CM18" s="1388"/>
      <c r="CN18" s="1389"/>
      <c r="CO18" s="1367"/>
      <c r="CP18" s="1368"/>
    </row>
    <row r="19" spans="1:94" ht="18.75" x14ac:dyDescent="0.3">
      <c r="A19" s="1431"/>
      <c r="B19" s="1400"/>
      <c r="C19" s="1400"/>
      <c r="D19" s="1370"/>
      <c r="E19" s="1370"/>
      <c r="F19" s="1468"/>
      <c r="G19" s="1469"/>
      <c r="H19" s="1469"/>
      <c r="I19" s="1468"/>
      <c r="L19" s="1470"/>
      <c r="Z19" s="1471"/>
      <c r="AA19" s="1472"/>
      <c r="AB19" s="1472"/>
      <c r="AC19" s="1472"/>
      <c r="AD19" s="1472"/>
      <c r="AE19" s="1473"/>
      <c r="AH19" s="1459"/>
      <c r="AI19" s="1474"/>
      <c r="AJ19" s="1474"/>
      <c r="AK19" s="1474"/>
      <c r="AL19" s="1475"/>
      <c r="AM19" s="1474"/>
      <c r="AN19" s="1474"/>
      <c r="AO19" s="1475"/>
      <c r="AP19" s="1475"/>
      <c r="AQ19" s="1474"/>
      <c r="AR19" s="1476"/>
      <c r="AS19" s="1476"/>
      <c r="AT19" s="1476"/>
      <c r="AU19" s="1476"/>
      <c r="AV19" s="1476"/>
      <c r="AW19" s="1475"/>
      <c r="AX19" s="1475"/>
      <c r="AY19" s="1474"/>
      <c r="AZ19" s="1475"/>
      <c r="BA19" s="1475"/>
      <c r="BB19" s="1459"/>
      <c r="BC19" s="1456"/>
      <c r="BD19" s="1454"/>
      <c r="BE19" s="1454"/>
      <c r="BF19" s="1454"/>
      <c r="BG19" s="1477"/>
      <c r="BH19" s="1454"/>
      <c r="BI19" s="1454"/>
      <c r="BJ19" s="1454"/>
      <c r="BK19" s="1456"/>
      <c r="BL19" s="1457"/>
      <c r="BM19" s="1405"/>
      <c r="BN19" s="1405"/>
      <c r="BO19" s="1409"/>
      <c r="BP19" s="1458"/>
      <c r="BQ19" s="1458"/>
      <c r="BS19" s="1403"/>
      <c r="BT19" s="1403"/>
      <c r="BU19" s="1419"/>
      <c r="BV19" s="1419"/>
      <c r="BW19" s="1403"/>
      <c r="BX19" s="1403"/>
      <c r="BY19" s="1403"/>
      <c r="BZ19" s="1478"/>
      <c r="CA19" s="1478"/>
      <c r="CB19" s="1478"/>
      <c r="CC19" s="1478"/>
      <c r="CD19" s="1479"/>
      <c r="CE19" s="1471"/>
      <c r="CF19" s="1480"/>
      <c r="CG19" s="1480"/>
      <c r="CH19" s="1480"/>
      <c r="CI19" s="1481"/>
      <c r="CJ19" s="1482"/>
      <c r="CK19" s="1482"/>
      <c r="CL19" s="1482"/>
      <c r="CM19" s="1482"/>
      <c r="CN19" s="1483"/>
      <c r="CO19" s="1367"/>
      <c r="CP19" s="1368"/>
    </row>
    <row r="20" spans="1:94" ht="21" x14ac:dyDescent="0.3">
      <c r="A20" s="1431"/>
      <c r="B20" s="1370"/>
      <c r="C20" s="1467"/>
      <c r="D20" s="1484"/>
      <c r="E20" s="1467"/>
      <c r="F20" s="1470"/>
      <c r="G20" s="1470"/>
      <c r="H20" s="1470"/>
      <c r="I20" s="1470"/>
      <c r="J20" s="1470"/>
      <c r="K20" s="1470"/>
      <c r="L20" s="1470"/>
      <c r="M20" s="1470"/>
      <c r="N20" s="1470"/>
      <c r="O20" s="1470"/>
      <c r="P20" s="1470"/>
      <c r="Q20" s="1470"/>
      <c r="R20" s="1470"/>
      <c r="S20" s="1470"/>
      <c r="T20" s="1470"/>
      <c r="U20" s="1459"/>
      <c r="V20" s="1468"/>
      <c r="W20" s="1469"/>
      <c r="X20" s="1469"/>
      <c r="Y20" s="1468"/>
      <c r="Z20" s="1485"/>
      <c r="AA20" s="1469"/>
      <c r="AB20" s="1469"/>
      <c r="AC20" s="1468"/>
      <c r="AD20" s="1469"/>
      <c r="AE20" s="1486"/>
      <c r="AF20" s="1475"/>
      <c r="AG20" s="1474"/>
      <c r="AH20" s="1475"/>
      <c r="AI20" s="1475"/>
      <c r="AK20" s="1459"/>
      <c r="AL20" s="1468"/>
      <c r="AM20" s="1469"/>
      <c r="AN20" s="1469"/>
      <c r="AO20" s="1468"/>
      <c r="AP20" s="1469"/>
      <c r="AQ20" s="1487"/>
      <c r="AR20" s="1476"/>
      <c r="AS20" s="1476"/>
      <c r="AT20" s="1476"/>
      <c r="AU20" s="1476"/>
      <c r="AV20" s="1476"/>
      <c r="AW20" s="1470"/>
      <c r="BA20" s="1405"/>
      <c r="BC20" s="1470"/>
      <c r="BD20" s="1406"/>
      <c r="BE20" s="1406"/>
      <c r="BF20" s="1406"/>
      <c r="BG20" s="1406"/>
      <c r="BH20" s="1406"/>
      <c r="BI20" s="1406"/>
      <c r="BJ20" s="1476"/>
      <c r="BL20" s="1457"/>
      <c r="BM20" s="1488"/>
      <c r="BN20" s="1488"/>
      <c r="BO20" s="1418"/>
      <c r="BP20" s="1418"/>
      <c r="BQ20" s="1418"/>
      <c r="BR20" s="1488"/>
      <c r="BS20" s="1370"/>
      <c r="BT20" s="1393"/>
      <c r="BU20" s="1393"/>
      <c r="BV20" s="1393"/>
      <c r="BW20" s="1393"/>
      <c r="BX20" s="1403"/>
      <c r="BY20" s="1403"/>
      <c r="BZ20" s="1489"/>
      <c r="CA20" s="1489"/>
      <c r="CB20" s="1490"/>
      <c r="CC20" s="1490"/>
      <c r="CD20" s="1479"/>
      <c r="CE20" s="1491"/>
      <c r="CF20" s="1492"/>
      <c r="CG20" s="1492"/>
      <c r="CH20" s="1492"/>
      <c r="CI20" s="1493"/>
      <c r="CJ20" s="1393"/>
      <c r="CK20" s="1393"/>
      <c r="CL20" s="1393"/>
      <c r="CM20" s="1393"/>
      <c r="CN20" s="1494"/>
      <c r="CO20" s="1367"/>
      <c r="CP20" s="1368"/>
    </row>
    <row r="21" spans="1:94" ht="21" x14ac:dyDescent="0.3">
      <c r="A21" s="1431"/>
      <c r="B21" s="1370"/>
      <c r="C21" s="1467"/>
      <c r="D21" s="1484"/>
      <c r="F21" s="1470"/>
      <c r="G21" s="1470"/>
      <c r="H21" s="1470"/>
      <c r="I21" s="1470"/>
      <c r="J21" s="1470"/>
      <c r="K21" s="1470"/>
      <c r="L21" s="1470"/>
      <c r="M21" s="1476"/>
      <c r="N21" s="1476"/>
      <c r="O21" s="1476"/>
      <c r="P21" s="1476"/>
      <c r="Q21" s="1476"/>
      <c r="R21" s="1476"/>
      <c r="S21" s="1470"/>
      <c r="T21" s="1470"/>
      <c r="U21" s="1469"/>
      <c r="V21" s="1495"/>
      <c r="W21" s="1495"/>
      <c r="X21" s="1495"/>
      <c r="Y21" s="1495"/>
      <c r="Z21" s="1496"/>
      <c r="AA21" s="1495"/>
      <c r="AB21" s="1495"/>
      <c r="AC21" s="1495"/>
      <c r="AD21" s="1495"/>
      <c r="AE21" s="1497"/>
      <c r="AF21" s="1495"/>
      <c r="AG21" s="1498"/>
      <c r="AH21" s="1498"/>
      <c r="AI21" s="1498"/>
      <c r="AJ21" s="1469"/>
      <c r="AK21" s="1469"/>
      <c r="AL21" s="1443"/>
      <c r="AM21" s="1443"/>
      <c r="AN21" s="1443"/>
      <c r="AO21" s="1443"/>
      <c r="AP21" s="1443"/>
      <c r="AQ21" s="1459"/>
      <c r="AR21" s="1406"/>
      <c r="AS21" s="1499"/>
      <c r="AT21" s="1499"/>
      <c r="AU21" s="1499"/>
      <c r="AV21" s="1499"/>
      <c r="AW21" s="1470"/>
      <c r="AX21" s="1454"/>
      <c r="AY21" s="1454"/>
      <c r="AZ21" s="1406"/>
      <c r="BA21" s="1405"/>
      <c r="BC21" s="1470"/>
      <c r="BD21" s="1500"/>
      <c r="BE21" s="1501"/>
      <c r="BF21" s="1501"/>
      <c r="BG21" s="1501"/>
      <c r="BH21" s="1501"/>
      <c r="BI21" s="1502"/>
      <c r="BJ21" s="1476"/>
      <c r="BL21" s="1457"/>
      <c r="BM21" s="1488"/>
      <c r="BN21" s="1488"/>
      <c r="BO21" s="1418"/>
      <c r="BP21" s="1418"/>
      <c r="BQ21" s="1418"/>
      <c r="BR21" s="1488"/>
      <c r="BS21" s="1370"/>
      <c r="BT21" s="1393"/>
      <c r="BU21" s="1393"/>
      <c r="BV21" s="1393"/>
      <c r="BW21" s="1393"/>
      <c r="BX21" s="1403"/>
      <c r="BY21" s="1403"/>
      <c r="BZ21" s="1476"/>
      <c r="CA21" s="1476"/>
      <c r="CB21" s="1476"/>
      <c r="CC21" s="1476"/>
      <c r="CD21" s="1476"/>
      <c r="CE21" s="1503"/>
      <c r="CF21" s="1493"/>
      <c r="CG21" s="1393"/>
      <c r="CH21" s="1393"/>
      <c r="CI21" s="1393"/>
      <c r="CJ21" s="1393"/>
      <c r="CK21" s="1393"/>
      <c r="CL21" s="1393"/>
      <c r="CM21" s="1393"/>
      <c r="CN21" s="1494"/>
      <c r="CO21" s="1367"/>
      <c r="CP21" s="1368"/>
    </row>
    <row r="22" spans="1:94" ht="24" thickBot="1" x14ac:dyDescent="0.3">
      <c r="A22" s="1431"/>
      <c r="B22" s="1370"/>
      <c r="C22" s="1467"/>
      <c r="D22" s="1484"/>
      <c r="E22" s="1406"/>
      <c r="F22" s="1458"/>
      <c r="G22" s="1458"/>
      <c r="H22" s="1458"/>
      <c r="I22" s="1458"/>
      <c r="J22" s="1504"/>
      <c r="K22" s="1505"/>
      <c r="L22" s="1470"/>
      <c r="M22" s="1506"/>
      <c r="N22" s="1437"/>
      <c r="O22" s="1507"/>
      <c r="P22" s="1508"/>
      <c r="Q22" s="1509"/>
      <c r="R22" s="1510"/>
      <c r="S22" s="1470"/>
      <c r="T22" s="1470"/>
      <c r="U22" s="1511"/>
      <c r="V22" s="1512">
        <v>3333983</v>
      </c>
      <c r="W22" s="1513">
        <v>3321740</v>
      </c>
      <c r="X22" s="1514">
        <v>3321657</v>
      </c>
      <c r="Y22" s="1515">
        <v>3321661</v>
      </c>
      <c r="Z22" s="1516"/>
      <c r="AA22" s="1517">
        <v>3321671</v>
      </c>
      <c r="AB22" s="1517">
        <v>3321678</v>
      </c>
      <c r="AC22" s="1517">
        <v>3321216</v>
      </c>
      <c r="AD22" s="1518">
        <v>3321221</v>
      </c>
      <c r="AE22" s="1519"/>
      <c r="AF22" s="1520">
        <v>3321208</v>
      </c>
      <c r="AG22" s="1432">
        <v>3321833</v>
      </c>
      <c r="AH22" s="1521">
        <v>3321754</v>
      </c>
      <c r="AI22" s="1521">
        <v>3333994</v>
      </c>
      <c r="AJ22" s="1511"/>
      <c r="AK22" s="1511"/>
      <c r="AL22" s="1513">
        <v>109949</v>
      </c>
      <c r="AM22" s="1513">
        <v>109750</v>
      </c>
      <c r="AN22" s="1522">
        <v>109968</v>
      </c>
      <c r="AO22" s="1514">
        <v>115033</v>
      </c>
      <c r="AP22" s="1514">
        <v>113222</v>
      </c>
      <c r="AQ22" s="1523"/>
      <c r="AR22" s="1406"/>
      <c r="AS22" s="1449"/>
      <c r="AT22" s="1449"/>
      <c r="AU22" s="1449"/>
      <c r="AV22" s="1449"/>
      <c r="AW22" s="1470"/>
      <c r="AX22" s="1524"/>
      <c r="AY22" s="1524"/>
      <c r="AZ22" s="1524"/>
      <c r="BA22" s="1405"/>
      <c r="BC22" s="1470"/>
      <c r="BD22" s="1476"/>
      <c r="BE22" s="1525"/>
      <c r="BF22" s="1525"/>
      <c r="BG22" s="1525"/>
      <c r="BH22" s="1526"/>
      <c r="BI22" s="1413"/>
      <c r="BJ22" s="1476"/>
      <c r="BL22" s="1527"/>
      <c r="BM22" s="1418"/>
      <c r="BN22" s="1488"/>
      <c r="BO22" s="1488"/>
      <c r="BP22" s="1488"/>
      <c r="BQ22" s="1488"/>
      <c r="BR22" s="1488"/>
      <c r="BS22" s="1370"/>
      <c r="BT22" s="1393"/>
      <c r="BU22" s="1393"/>
      <c r="BV22" s="1393"/>
      <c r="BW22" s="1393"/>
      <c r="BX22" s="1403"/>
      <c r="BY22" s="1403"/>
      <c r="BZ22" s="1476"/>
      <c r="CA22" s="1476"/>
      <c r="CB22" s="1476"/>
      <c r="CC22" s="1476"/>
      <c r="CD22" s="1476"/>
      <c r="CE22" s="1503"/>
      <c r="CF22" s="1493"/>
      <c r="CG22" s="1393"/>
      <c r="CH22" s="1393"/>
      <c r="CI22" s="1393"/>
      <c r="CJ22" s="1393"/>
      <c r="CK22" s="1393"/>
      <c r="CL22" s="1393"/>
      <c r="CM22" s="1393"/>
      <c r="CN22" s="1494"/>
      <c r="CO22" s="1367"/>
      <c r="CP22" s="1368"/>
    </row>
    <row r="23" spans="1:94" ht="23.25" x14ac:dyDescent="0.25">
      <c r="A23" s="1431"/>
      <c r="B23" s="1370"/>
      <c r="C23" s="1467"/>
      <c r="D23" s="1484"/>
      <c r="E23" s="1390"/>
      <c r="F23" s="1437"/>
      <c r="G23" s="1436"/>
      <c r="H23" s="1436"/>
      <c r="I23" s="1528"/>
      <c r="J23" s="1437"/>
      <c r="K23" s="1529"/>
      <c r="L23" s="1470"/>
      <c r="M23" s="1530"/>
      <c r="N23" s="1508"/>
      <c r="O23" s="1531"/>
      <c r="P23" s="1531"/>
      <c r="Q23" s="1532"/>
      <c r="R23" s="1533"/>
      <c r="S23" s="1470"/>
      <c r="T23" s="1470"/>
      <c r="U23" s="1511"/>
      <c r="V23" s="1433">
        <v>3333985</v>
      </c>
      <c r="W23" s="1433">
        <v>3321664</v>
      </c>
      <c r="X23" s="1432">
        <v>3321732</v>
      </c>
      <c r="Y23" s="1432">
        <v>3321737</v>
      </c>
      <c r="Z23" s="1516"/>
      <c r="AA23" s="1517">
        <v>3321767</v>
      </c>
      <c r="AB23" s="1534">
        <v>3321753</v>
      </c>
      <c r="AC23" s="1518">
        <v>3321210</v>
      </c>
      <c r="AD23" s="1535">
        <v>3321224</v>
      </c>
      <c r="AE23" s="1519"/>
      <c r="AF23" s="1536">
        <v>3321209</v>
      </c>
      <c r="AG23" s="1444">
        <v>3321829</v>
      </c>
      <c r="AH23" s="1444">
        <v>3321673</v>
      </c>
      <c r="AI23" s="1444">
        <v>3333995</v>
      </c>
      <c r="AJ23" s="1511"/>
      <c r="AK23" s="1511"/>
      <c r="AL23" s="1521">
        <v>109752</v>
      </c>
      <c r="AM23" s="1521">
        <v>109959</v>
      </c>
      <c r="AN23" s="1537">
        <v>109946</v>
      </c>
      <c r="AO23" s="1432">
        <v>115192</v>
      </c>
      <c r="AP23" s="1432">
        <v>110215</v>
      </c>
      <c r="AQ23" s="1523"/>
      <c r="AR23" s="1406"/>
      <c r="AS23" s="1449"/>
      <c r="AT23" s="1449"/>
      <c r="AU23" s="1449"/>
      <c r="AV23" s="1449"/>
      <c r="AW23" s="1470"/>
      <c r="AX23" s="1524"/>
      <c r="AY23" s="1524"/>
      <c r="AZ23" s="1524"/>
      <c r="BA23" s="1405"/>
      <c r="BC23" s="1470"/>
      <c r="BD23" s="1476"/>
      <c r="BE23" s="1525"/>
      <c r="BF23" s="1525"/>
      <c r="BG23" s="1525"/>
      <c r="BH23" s="1538"/>
      <c r="BI23" s="1413"/>
      <c r="BJ23" s="1476"/>
      <c r="BL23" s="1539"/>
      <c r="BM23" s="1391"/>
      <c r="BN23" s="1370"/>
      <c r="BO23" s="1370"/>
      <c r="BP23" s="1488"/>
      <c r="BQ23" s="1488"/>
      <c r="BR23" s="1488"/>
      <c r="BS23" s="1370"/>
      <c r="BT23" s="1393"/>
      <c r="BU23" s="1393"/>
      <c r="BV23" s="1393"/>
      <c r="BW23" s="1393"/>
      <c r="BX23" s="1489"/>
      <c r="BY23" s="1489"/>
      <c r="BZ23" s="1476"/>
      <c r="CA23" s="1437"/>
      <c r="CB23" s="1509"/>
      <c r="CC23" s="1437"/>
      <c r="CD23" s="1476"/>
      <c r="CE23" s="1503"/>
      <c r="CF23" s="1493"/>
      <c r="CG23" s="1393"/>
      <c r="CH23" s="1393"/>
      <c r="CI23" s="1393"/>
      <c r="CJ23" s="1393"/>
      <c r="CK23" s="1393"/>
      <c r="CL23" s="1393"/>
      <c r="CM23" s="1393"/>
      <c r="CN23" s="1494"/>
      <c r="CO23" s="1367"/>
      <c r="CP23" s="1368"/>
    </row>
    <row r="24" spans="1:94" ht="24" thickBot="1" x14ac:dyDescent="0.3">
      <c r="A24" s="1431"/>
      <c r="B24" s="1370"/>
      <c r="C24" s="1394"/>
      <c r="D24" s="1394"/>
      <c r="E24" s="1390"/>
      <c r="F24" s="1406"/>
      <c r="G24" s="1406"/>
      <c r="H24" s="1406"/>
      <c r="I24" s="1406"/>
      <c r="J24" s="1409"/>
      <c r="K24" s="1409"/>
      <c r="L24" s="1470"/>
      <c r="M24" s="1409"/>
      <c r="N24" s="1409"/>
      <c r="O24" s="1540"/>
      <c r="P24" s="1540"/>
      <c r="Q24" s="1406"/>
      <c r="R24" s="1409"/>
      <c r="S24" s="1470"/>
      <c r="T24" s="1470"/>
      <c r="U24" s="1541"/>
      <c r="V24" s="1495"/>
      <c r="W24" s="1495"/>
      <c r="X24" s="1495"/>
      <c r="Y24" s="1495"/>
      <c r="Z24" s="1542"/>
      <c r="AA24" s="1495"/>
      <c r="AB24" s="1495"/>
      <c r="AC24" s="1495"/>
      <c r="AD24" s="1495"/>
      <c r="AE24" s="1543"/>
      <c r="AF24" s="1495"/>
      <c r="AG24" s="1498"/>
      <c r="AH24" s="1498"/>
      <c r="AI24" s="1498"/>
      <c r="AJ24" s="1541"/>
      <c r="AK24" s="1541"/>
      <c r="AL24" s="1443"/>
      <c r="AM24" s="1443"/>
      <c r="AN24" s="1443"/>
      <c r="AO24" s="1443"/>
      <c r="AP24" s="1443"/>
      <c r="AQ24" s="1544"/>
      <c r="AR24" s="1406"/>
      <c r="AS24" s="1545"/>
      <c r="AT24" s="1545"/>
      <c r="AU24" s="1545"/>
      <c r="AV24" s="1545"/>
      <c r="AW24" s="1470"/>
      <c r="AX24" s="1546"/>
      <c r="AY24" s="1547"/>
      <c r="AZ24" s="1547"/>
      <c r="BA24" s="1405"/>
      <c r="BC24" s="1470"/>
      <c r="BD24" s="1476"/>
      <c r="BE24" s="1501"/>
      <c r="BF24" s="1501"/>
      <c r="BG24" s="1501"/>
      <c r="BH24" s="1501"/>
      <c r="BI24" s="1502"/>
      <c r="BJ24" s="1476"/>
      <c r="BL24" s="1548"/>
      <c r="BM24" s="1391"/>
      <c r="BN24" s="1370"/>
      <c r="BO24" s="1370"/>
      <c r="BP24" s="1488"/>
      <c r="BQ24" s="1488"/>
      <c r="BR24" s="1488"/>
      <c r="BS24" s="1370"/>
      <c r="BT24" s="1393"/>
      <c r="BU24" s="1393"/>
      <c r="BV24" s="1393"/>
      <c r="BW24" s="1393"/>
      <c r="BX24" s="1478"/>
      <c r="BY24" s="1549"/>
      <c r="BZ24" s="1476"/>
      <c r="CA24" s="1436"/>
      <c r="CB24" s="1436"/>
      <c r="CC24" s="1506"/>
      <c r="CD24" s="1476"/>
      <c r="CE24" s="1503"/>
      <c r="CG24" s="1393"/>
      <c r="CH24" s="1393"/>
      <c r="CI24" s="1393"/>
      <c r="CJ24" s="1393"/>
      <c r="CK24" s="1393"/>
      <c r="CL24" s="1393"/>
      <c r="CM24" s="1393"/>
      <c r="CN24" s="1494"/>
      <c r="CO24" s="1367"/>
      <c r="CP24" s="1368"/>
    </row>
    <row r="25" spans="1:94" ht="19.5" thickBot="1" x14ac:dyDescent="0.3">
      <c r="A25" s="1431"/>
      <c r="B25" s="1370"/>
      <c r="C25" s="1467"/>
      <c r="D25" s="1467"/>
      <c r="E25" s="1467"/>
      <c r="F25" s="1550"/>
      <c r="H25" s="1550"/>
      <c r="I25" s="1551"/>
      <c r="J25" s="1405"/>
      <c r="K25" s="1405"/>
      <c r="L25" s="1470"/>
      <c r="M25" s="1409"/>
      <c r="N25" s="1409"/>
      <c r="O25" s="1406"/>
      <c r="P25" s="1412"/>
      <c r="Q25" s="1552"/>
      <c r="R25" s="1412"/>
      <c r="S25" s="1470"/>
      <c r="T25" s="1553"/>
      <c r="U25" s="1553"/>
      <c r="V25" s="1468"/>
      <c r="W25" s="1469"/>
      <c r="X25" s="1554"/>
      <c r="Y25" s="1468"/>
      <c r="Z25" s="1555"/>
      <c r="AA25" s="1556"/>
      <c r="AB25" s="1557"/>
      <c r="AC25" s="1558"/>
      <c r="AD25" s="1556"/>
      <c r="AE25" s="1559"/>
      <c r="AF25" s="1560"/>
      <c r="AG25" s="1474"/>
      <c r="AH25" s="1475"/>
      <c r="AI25" s="1560"/>
      <c r="AJ25" s="1460"/>
      <c r="AL25" s="1468"/>
      <c r="AM25" s="1469"/>
      <c r="AN25" s="1469"/>
      <c r="AO25" s="1468"/>
      <c r="AP25" s="1469"/>
      <c r="AQ25" s="1561"/>
      <c r="AR25" s="1406"/>
      <c r="AS25" s="1406"/>
      <c r="AT25" s="1406"/>
      <c r="AU25" s="1406"/>
      <c r="AV25" s="1406"/>
      <c r="AW25" s="1470"/>
      <c r="AX25" s="1406"/>
      <c r="AY25" s="1406"/>
      <c r="AZ25" s="1406"/>
      <c r="BA25" s="1405"/>
      <c r="BC25" s="1470"/>
      <c r="BD25" s="1476"/>
      <c r="BE25" s="1476"/>
      <c r="BF25" s="1476"/>
      <c r="BG25" s="1476"/>
      <c r="BH25" s="1476"/>
      <c r="BI25" s="1476"/>
      <c r="BJ25" s="1476"/>
      <c r="BL25" s="1562"/>
      <c r="BM25" s="1418"/>
      <c r="BN25" s="1418"/>
      <c r="BO25" s="1418"/>
      <c r="BP25" s="1418"/>
      <c r="BQ25" s="1418"/>
      <c r="BR25" s="1418"/>
      <c r="BS25" s="1391"/>
      <c r="BT25" s="1403"/>
      <c r="BU25" s="1393"/>
      <c r="BV25" s="1393"/>
      <c r="BW25" s="1393"/>
      <c r="BX25" s="1478"/>
      <c r="BY25" s="1490"/>
      <c r="BZ25" s="1476"/>
      <c r="CA25" s="1476"/>
      <c r="CB25" s="1476"/>
      <c r="CC25" s="1476"/>
      <c r="CD25" s="1476"/>
      <c r="CE25" s="1503"/>
      <c r="CF25" s="1493"/>
      <c r="CG25" s="1393"/>
      <c r="CH25" s="1393"/>
      <c r="CI25" s="1393"/>
      <c r="CJ25" s="1393"/>
      <c r="CK25" s="1393"/>
      <c r="CL25" s="1393"/>
      <c r="CM25" s="1393"/>
      <c r="CN25" s="1494"/>
      <c r="CO25" s="1367"/>
      <c r="CP25" s="1368"/>
    </row>
    <row r="26" spans="1:94" ht="19.5" thickBot="1" x14ac:dyDescent="0.3">
      <c r="A26" s="1431"/>
      <c r="B26" s="1370"/>
      <c r="C26" s="1467"/>
      <c r="D26" s="1467"/>
      <c r="E26" s="1563"/>
      <c r="F26" s="1400"/>
      <c r="G26" s="1564"/>
      <c r="H26" s="1400"/>
      <c r="I26" s="1400"/>
      <c r="J26" s="1405"/>
      <c r="K26" s="1405"/>
      <c r="L26" s="1405"/>
      <c r="M26" s="1409"/>
      <c r="N26" s="1409"/>
      <c r="O26" s="1406"/>
      <c r="P26" s="1552"/>
      <c r="Q26" s="1412"/>
      <c r="R26" s="1409"/>
      <c r="S26" s="1470"/>
      <c r="T26" s="1553"/>
      <c r="U26" s="1553"/>
      <c r="V26" s="1405"/>
      <c r="W26" s="1405"/>
      <c r="X26" s="1405"/>
      <c r="Y26" s="1405"/>
      <c r="Z26" s="1405"/>
      <c r="AA26" s="1405"/>
      <c r="AB26" s="1405"/>
      <c r="AC26" s="1565"/>
      <c r="AD26" s="1566"/>
      <c r="AE26" s="1566"/>
      <c r="AF26" s="1567"/>
      <c r="AG26" s="1568"/>
      <c r="AH26" s="1568"/>
      <c r="AI26" s="1568"/>
      <c r="AJ26" s="1406"/>
      <c r="AK26" s="1406"/>
      <c r="AL26" s="1569"/>
      <c r="AM26" s="1569"/>
      <c r="AN26" s="1569"/>
      <c r="AO26" s="1569"/>
      <c r="AP26" s="1569"/>
      <c r="AQ26" s="1405"/>
      <c r="AR26" s="1406"/>
      <c r="AW26" s="1470"/>
      <c r="AX26" s="1406"/>
      <c r="AY26" s="1406"/>
      <c r="AZ26" s="1406"/>
      <c r="BA26" s="1405"/>
      <c r="BC26" s="1470"/>
      <c r="BD26" s="1476"/>
      <c r="BE26" s="1476"/>
      <c r="BF26" s="1476"/>
      <c r="BG26" s="1476"/>
      <c r="BH26" s="1476"/>
      <c r="BI26" s="1476"/>
      <c r="BJ26" s="1476"/>
      <c r="BK26" s="1570"/>
      <c r="BL26" s="1571"/>
      <c r="BM26" s="1418"/>
      <c r="BN26" s="1418"/>
      <c r="BO26" s="1418"/>
      <c r="BP26" s="1391"/>
      <c r="BQ26" s="1418"/>
      <c r="BR26" s="1418"/>
      <c r="BS26" s="1391"/>
      <c r="BT26" s="1391"/>
      <c r="BU26" s="1393"/>
      <c r="BV26" s="1393"/>
      <c r="BW26" s="1393"/>
      <c r="BX26" s="1370"/>
      <c r="BY26" s="1370"/>
      <c r="BZ26" s="1470"/>
      <c r="CA26" s="1470"/>
      <c r="CB26" s="1470"/>
      <c r="CC26" s="1470"/>
      <c r="CD26" s="1470"/>
      <c r="CE26" s="1572"/>
      <c r="CG26" s="1393"/>
      <c r="CH26" s="1393"/>
      <c r="CI26" s="1393"/>
      <c r="CJ26" s="1393"/>
      <c r="CK26" s="1393"/>
      <c r="CL26" s="1393"/>
      <c r="CM26" s="1393"/>
      <c r="CN26" s="1494"/>
      <c r="CO26" s="1367"/>
      <c r="CP26" s="1368"/>
    </row>
    <row r="27" spans="1:94" ht="21.75" thickBot="1" x14ac:dyDescent="0.35">
      <c r="A27" s="1431"/>
      <c r="B27" s="1370"/>
      <c r="C27" s="1573"/>
      <c r="D27" s="1467"/>
      <c r="E27" s="1563"/>
      <c r="F27" s="1400"/>
      <c r="G27" s="1574"/>
      <c r="H27" s="1394"/>
      <c r="I27" s="1394"/>
      <c r="J27" s="1405"/>
      <c r="K27" s="1405"/>
      <c r="L27" s="1405"/>
      <c r="M27" s="1409"/>
      <c r="N27" s="1409"/>
      <c r="O27" s="1406"/>
      <c r="P27" s="1552"/>
      <c r="Q27" s="1409"/>
      <c r="R27" s="1409"/>
      <c r="S27" s="1405"/>
      <c r="T27" s="1409"/>
      <c r="U27" s="1409"/>
      <c r="V27" s="1405"/>
      <c r="W27" s="1405"/>
      <c r="X27" s="1405"/>
      <c r="Y27" s="1405"/>
      <c r="Z27" s="1405"/>
      <c r="AA27" s="1405"/>
      <c r="AB27" s="1405"/>
      <c r="AC27" s="1566"/>
      <c r="AD27" s="1525"/>
      <c r="AE27" s="1525"/>
      <c r="AF27" s="1566"/>
      <c r="AG27" s="1406"/>
      <c r="AH27" s="1575"/>
      <c r="AI27" s="1525"/>
      <c r="AJ27" s="1525"/>
      <c r="AK27" s="1575"/>
      <c r="AL27" s="1406"/>
      <c r="AM27" s="1406"/>
      <c r="AN27" s="1452"/>
      <c r="AO27" s="1525"/>
      <c r="AP27" s="1525"/>
      <c r="AQ27" s="1452"/>
      <c r="BC27" s="1470"/>
      <c r="BD27" s="1476"/>
      <c r="BE27" s="1476"/>
      <c r="BF27" s="1476"/>
      <c r="BG27" s="1476"/>
      <c r="BH27" s="1476"/>
      <c r="BI27" s="1406"/>
      <c r="BJ27" s="1476"/>
      <c r="BK27" s="1570"/>
      <c r="BL27" s="1418"/>
      <c r="BM27" s="1418"/>
      <c r="BN27" s="1418"/>
      <c r="BO27" s="1418"/>
      <c r="BP27" s="1391"/>
      <c r="BQ27" s="1391"/>
      <c r="BR27" s="1406"/>
      <c r="BS27" s="1406"/>
      <c r="BT27" s="1406"/>
      <c r="BU27" s="1393"/>
      <c r="BV27" s="1393"/>
      <c r="BW27" s="1393"/>
      <c r="BZ27" s="1388"/>
      <c r="CA27" s="1470"/>
      <c r="CB27" s="1459"/>
      <c r="CC27" s="1576"/>
      <c r="CD27" s="1577"/>
      <c r="CE27" s="1578"/>
      <c r="CF27" s="1579"/>
      <c r="CG27" s="1393"/>
      <c r="CH27" s="1393"/>
      <c r="CI27" s="1393"/>
      <c r="CJ27" s="1393"/>
      <c r="CK27" s="1393"/>
      <c r="CL27" s="1393"/>
      <c r="CM27" s="1393"/>
      <c r="CN27" s="1494"/>
      <c r="CO27" s="1367"/>
      <c r="CP27" s="1368"/>
    </row>
    <row r="28" spans="1:94" ht="21" x14ac:dyDescent="0.3">
      <c r="A28" s="1431"/>
      <c r="B28" s="1580"/>
      <c r="C28" s="1400"/>
      <c r="D28" s="1581"/>
      <c r="E28" s="1563"/>
      <c r="F28" s="1400"/>
      <c r="G28" s="1400"/>
      <c r="H28" s="1394"/>
      <c r="I28" s="1394"/>
      <c r="J28" s="1405"/>
      <c r="K28" s="1405"/>
      <c r="L28" s="1405"/>
      <c r="M28" s="1409"/>
      <c r="N28" s="1409"/>
      <c r="O28" s="1406"/>
      <c r="P28" s="1390"/>
      <c r="Q28" s="1390"/>
      <c r="R28" s="1409"/>
      <c r="S28" s="1405"/>
      <c r="T28" s="1582"/>
      <c r="U28" s="1582"/>
      <c r="V28" s="1405"/>
      <c r="W28" s="1405"/>
      <c r="X28" s="1409"/>
      <c r="Y28" s="1409"/>
      <c r="Z28" s="1409"/>
      <c r="AA28" s="1405"/>
      <c r="AB28" s="1405"/>
      <c r="AC28" s="1566"/>
      <c r="AD28" s="1583"/>
      <c r="AE28" s="1583"/>
      <c r="AF28" s="1566"/>
      <c r="AG28" s="1406"/>
      <c r="AH28" s="1575"/>
      <c r="AI28" s="1583"/>
      <c r="AJ28" s="1583"/>
      <c r="AK28" s="1575"/>
      <c r="AL28" s="1409"/>
      <c r="AM28" s="1409"/>
      <c r="AN28" s="1452"/>
      <c r="AO28" s="1583"/>
      <c r="AP28" s="1583"/>
      <c r="AQ28" s="1452"/>
      <c r="AR28" s="1406"/>
      <c r="AS28" s="1584"/>
      <c r="AT28" s="1585"/>
      <c r="AU28" s="1406"/>
      <c r="BD28" s="1476"/>
      <c r="BE28" s="1476"/>
      <c r="BF28" s="1476"/>
      <c r="BG28" s="1476"/>
      <c r="BH28" s="1476"/>
      <c r="BI28" s="1406"/>
      <c r="BJ28" s="1406"/>
      <c r="BK28" s="1570"/>
      <c r="BL28" s="1586"/>
      <c r="BM28" s="1587"/>
      <c r="BN28" s="1587"/>
      <c r="BO28" s="1587"/>
      <c r="BP28" s="1587"/>
      <c r="BQ28" s="1587"/>
      <c r="BR28" s="1587"/>
      <c r="BS28" s="1587"/>
      <c r="BT28" s="1587"/>
      <c r="BU28" s="1393"/>
      <c r="BV28" s="1393"/>
      <c r="BW28" s="1393"/>
      <c r="BX28" s="1588"/>
      <c r="BZ28" s="1388"/>
      <c r="CA28" s="1470"/>
      <c r="CB28" s="1589"/>
      <c r="CC28" s="1523"/>
      <c r="CD28" s="1590">
        <v>106149</v>
      </c>
      <c r="CE28" s="1591"/>
      <c r="CF28" s="1393"/>
      <c r="CG28" s="1393"/>
      <c r="CH28" s="1393"/>
      <c r="CI28" s="1393"/>
      <c r="CJ28" s="1393"/>
      <c r="CK28" s="1393"/>
      <c r="CL28" s="1393"/>
      <c r="CM28" s="1393"/>
      <c r="CN28" s="1494"/>
      <c r="CO28" s="1367"/>
      <c r="CP28" s="1368"/>
    </row>
    <row r="29" spans="1:94" ht="21" x14ac:dyDescent="0.3">
      <c r="A29" s="1592"/>
      <c r="B29" s="1592"/>
      <c r="C29" s="1400"/>
      <c r="D29" s="1400"/>
      <c r="E29" s="1581"/>
      <c r="F29" s="1400"/>
      <c r="G29" s="1400"/>
      <c r="H29" s="1394"/>
      <c r="I29" s="1394"/>
      <c r="J29" s="1405"/>
      <c r="K29" s="1405"/>
      <c r="L29" s="1405"/>
      <c r="M29" s="1409"/>
      <c r="N29" s="1409"/>
      <c r="O29" s="1406"/>
      <c r="P29" s="1593"/>
      <c r="Q29" s="1593"/>
      <c r="R29" s="1409"/>
      <c r="S29" s="1405"/>
      <c r="T29" s="1594"/>
      <c r="U29" s="1594"/>
      <c r="V29" s="1405"/>
      <c r="W29" s="1405"/>
      <c r="X29" s="1595"/>
      <c r="Y29" s="1595"/>
      <c r="Z29" s="1409"/>
      <c r="AA29" s="1405"/>
      <c r="AB29" s="1405"/>
      <c r="AC29" s="1566"/>
      <c r="AD29" s="1596"/>
      <c r="AE29" s="1596"/>
      <c r="AF29" s="1566"/>
      <c r="AG29" s="1406"/>
      <c r="AH29" s="1575"/>
      <c r="AI29" s="1583"/>
      <c r="AJ29" s="1583"/>
      <c r="AK29" s="1575"/>
      <c r="AL29" s="1406"/>
      <c r="AM29" s="1406"/>
      <c r="AN29" s="1406"/>
      <c r="AO29" s="1452"/>
      <c r="AP29" s="1452"/>
      <c r="AQ29" s="1406"/>
      <c r="AR29" s="1406"/>
      <c r="AS29" s="1584"/>
      <c r="AT29" s="1585"/>
      <c r="AU29" s="1406"/>
      <c r="BB29" s="1394"/>
      <c r="BC29" s="1394"/>
      <c r="BD29" s="1476"/>
      <c r="BE29" s="1476"/>
      <c r="BF29" s="1476"/>
      <c r="BG29" s="1476"/>
      <c r="BH29" s="1476"/>
      <c r="BI29" s="1390"/>
      <c r="BJ29" s="1390"/>
      <c r="BK29" s="1597"/>
      <c r="BL29" s="1406"/>
      <c r="BM29" s="1418"/>
      <c r="BN29" s="1585"/>
      <c r="BO29" s="1585"/>
      <c r="BP29" s="1391"/>
      <c r="BQ29" s="1391"/>
      <c r="BR29" s="1585"/>
      <c r="BS29" s="1585"/>
      <c r="BT29" s="1391"/>
      <c r="BU29" s="1459"/>
      <c r="BV29" s="1598"/>
      <c r="BW29" s="1469"/>
      <c r="BX29" s="1469"/>
      <c r="BY29" s="1598"/>
      <c r="BZ29" s="1599"/>
      <c r="CA29" s="1470"/>
      <c r="CB29" s="1589"/>
      <c r="CC29" s="1523"/>
      <c r="CD29" s="1590">
        <v>115080</v>
      </c>
      <c r="CE29" s="1600"/>
      <c r="CF29" s="1393"/>
      <c r="CG29" s="1393"/>
      <c r="CH29" s="1393"/>
      <c r="CI29" s="1393"/>
      <c r="CJ29" s="1393"/>
      <c r="CK29" s="1393"/>
      <c r="CL29" s="1393"/>
      <c r="CM29" s="1393"/>
      <c r="CN29" s="1494"/>
      <c r="CO29" s="1367"/>
      <c r="CP29" s="1368"/>
    </row>
    <row r="30" spans="1:94" ht="21" x14ac:dyDescent="0.25">
      <c r="A30" s="1601"/>
      <c r="B30" s="1415"/>
      <c r="C30" s="1400"/>
      <c r="D30" s="1400"/>
      <c r="E30" s="1400"/>
      <c r="F30" s="1602"/>
      <c r="G30" s="1400"/>
      <c r="H30" s="1394"/>
      <c r="I30" s="1394"/>
      <c r="J30" s="1405"/>
      <c r="K30" s="1405"/>
      <c r="L30" s="1405"/>
      <c r="M30" s="1409"/>
      <c r="N30" s="1409"/>
      <c r="O30" s="1406"/>
      <c r="P30" s="1593"/>
      <c r="Q30" s="1593"/>
      <c r="R30" s="1409"/>
      <c r="S30" s="1405"/>
      <c r="T30" s="1594"/>
      <c r="U30" s="1594"/>
      <c r="V30" s="1405"/>
      <c r="W30" s="1405"/>
      <c r="X30" s="1595"/>
      <c r="Y30" s="1595"/>
      <c r="Z30" s="1409"/>
      <c r="AA30" s="1405"/>
      <c r="AB30" s="1405"/>
      <c r="AC30" s="1406"/>
      <c r="AD30" s="1566"/>
      <c r="AE30" s="1566"/>
      <c r="AF30" s="1500"/>
      <c r="AG30" s="1406"/>
      <c r="AH30" s="1406"/>
      <c r="AI30" s="1575"/>
      <c r="AJ30" s="1575"/>
      <c r="AK30" s="1406"/>
      <c r="AL30" s="1406"/>
      <c r="AM30" s="1406"/>
      <c r="AN30" s="1406"/>
      <c r="AO30" s="1406"/>
      <c r="AP30" s="1406"/>
      <c r="AQ30" s="1406"/>
      <c r="AR30" s="1406"/>
      <c r="AS30" s="1584"/>
      <c r="AT30" s="1585"/>
      <c r="AU30" s="1406"/>
      <c r="AV30" s="1406"/>
      <c r="AW30" s="1406"/>
      <c r="AX30" s="1406"/>
      <c r="AY30" s="1406"/>
      <c r="AZ30" s="1406"/>
      <c r="BA30" s="1406"/>
      <c r="BB30" s="1390"/>
      <c r="BC30" s="1394"/>
      <c r="BD30" s="1476"/>
      <c r="BE30" s="1476"/>
      <c r="BF30" s="1476"/>
      <c r="BG30" s="1476"/>
      <c r="BH30" s="1476"/>
      <c r="BI30" s="1390"/>
      <c r="BJ30" s="1390"/>
      <c r="BK30" s="1597"/>
      <c r="BL30" s="1603"/>
      <c r="BM30" s="1418"/>
      <c r="BN30" s="1585"/>
      <c r="BO30" s="1585"/>
      <c r="BP30" s="1406"/>
      <c r="BQ30" s="1391"/>
      <c r="BR30" s="1585"/>
      <c r="BS30" s="1585"/>
      <c r="BT30" s="1406"/>
      <c r="BU30" s="1576"/>
      <c r="BV30" s="1604"/>
      <c r="BW30" s="1604"/>
      <c r="BX30" s="1604"/>
      <c r="BY30" s="1604"/>
      <c r="BZ30" s="1576"/>
      <c r="CA30" s="1470"/>
      <c r="CB30" s="1589"/>
      <c r="CC30" s="1523"/>
      <c r="CD30" s="1605">
        <v>113592</v>
      </c>
      <c r="CE30" s="1600"/>
      <c r="CF30" s="1393"/>
      <c r="CG30" s="1393"/>
      <c r="CH30" s="1393"/>
      <c r="CI30" s="1393"/>
      <c r="CJ30" s="1393"/>
      <c r="CK30" s="1393"/>
      <c r="CL30" s="1393"/>
      <c r="CM30" s="1393"/>
      <c r="CN30" s="1494"/>
      <c r="CO30" s="1367"/>
      <c r="CP30" s="1368"/>
    </row>
    <row r="31" spans="1:94" ht="24" thickBot="1" x14ac:dyDescent="0.3">
      <c r="A31" s="1431"/>
      <c r="B31" s="1415"/>
      <c r="C31" s="1400"/>
      <c r="D31" s="1400"/>
      <c r="E31" s="1400"/>
      <c r="F31" s="1551"/>
      <c r="G31" s="1400"/>
      <c r="H31" s="1394"/>
      <c r="I31" s="1394"/>
      <c r="J31" s="1405"/>
      <c r="K31" s="1405"/>
      <c r="L31" s="1405"/>
      <c r="M31" s="1409"/>
      <c r="N31" s="1409"/>
      <c r="O31" s="1406"/>
      <c r="P31" s="1409"/>
      <c r="Q31" s="1409"/>
      <c r="R31" s="1409"/>
      <c r="S31" s="1405"/>
      <c r="T31" s="1594"/>
      <c r="U31" s="1594"/>
      <c r="V31" s="1405"/>
      <c r="W31" s="1405"/>
      <c r="X31" s="1595"/>
      <c r="Y31" s="1595"/>
      <c r="Z31" s="1409"/>
      <c r="AA31" s="1405"/>
      <c r="AB31" s="1405"/>
      <c r="AC31" s="1547"/>
      <c r="AD31" s="1547"/>
      <c r="AE31" s="1547"/>
      <c r="AF31" s="1547"/>
      <c r="AG31" s="1406"/>
      <c r="AH31" s="1406"/>
      <c r="AI31" s="1575"/>
      <c r="AJ31" s="1575"/>
      <c r="AK31" s="1406"/>
      <c r="AL31" s="1406"/>
      <c r="AM31" s="1406"/>
      <c r="AN31" s="1406"/>
      <c r="AO31" s="1606"/>
      <c r="AP31" s="1406"/>
      <c r="AQ31" s="1406"/>
      <c r="AR31" s="1406"/>
      <c r="AS31" s="1406"/>
      <c r="AT31" s="1406"/>
      <c r="AU31" s="1406"/>
      <c r="AV31" s="1406"/>
      <c r="AW31" s="1406"/>
      <c r="AX31" s="1406"/>
      <c r="AY31" s="1406"/>
      <c r="AZ31" s="1406"/>
      <c r="BA31" s="1406"/>
      <c r="BB31" s="1390"/>
      <c r="BC31" s="1394"/>
      <c r="BD31" s="1476"/>
      <c r="BE31" s="1476"/>
      <c r="BF31" s="1476"/>
      <c r="BG31" s="1476"/>
      <c r="BH31" s="1476"/>
      <c r="BI31" s="1390"/>
      <c r="BJ31" s="1390"/>
      <c r="BK31" s="1597"/>
      <c r="BL31" s="1603"/>
      <c r="BM31" s="1418"/>
      <c r="BN31" s="1585"/>
      <c r="BO31" s="1585"/>
      <c r="BP31" s="1406"/>
      <c r="BQ31" s="1406"/>
      <c r="BR31" s="1585"/>
      <c r="BS31" s="1585"/>
      <c r="BT31" s="1406"/>
      <c r="BU31" s="1607"/>
      <c r="BV31" s="1608">
        <v>3333978</v>
      </c>
      <c r="BW31" s="1608">
        <v>3333965</v>
      </c>
      <c r="BX31" s="1609">
        <v>3321496</v>
      </c>
      <c r="BY31" s="1609">
        <v>3322379</v>
      </c>
      <c r="BZ31" s="1607"/>
      <c r="CA31" s="1470"/>
      <c r="CB31" s="1589"/>
      <c r="CC31" s="1523"/>
      <c r="CD31" s="1610">
        <v>114975</v>
      </c>
      <c r="CE31" s="1600"/>
      <c r="CF31" s="1393"/>
      <c r="CG31" s="1393"/>
      <c r="CH31" s="1393"/>
      <c r="CI31" s="1393"/>
      <c r="CJ31" s="1393"/>
      <c r="CK31" s="1393"/>
      <c r="CL31" s="1393"/>
      <c r="CM31" s="1393"/>
      <c r="CN31" s="1494"/>
      <c r="CO31" s="1367"/>
      <c r="CP31" s="1368"/>
    </row>
    <row r="32" spans="1:94" ht="21.75" thickBot="1" x14ac:dyDescent="0.3">
      <c r="A32" s="1431"/>
      <c r="B32" s="1611"/>
      <c r="C32" s="1407"/>
      <c r="D32" s="1407"/>
      <c r="E32" s="1407"/>
      <c r="F32" s="1612"/>
      <c r="G32" s="1407"/>
      <c r="H32" s="1407"/>
      <c r="I32" s="1613"/>
      <c r="J32" s="1409"/>
      <c r="K32" s="1409"/>
      <c r="L32" s="1405"/>
      <c r="M32" s="1409"/>
      <c r="N32" s="1409"/>
      <c r="O32" s="1614"/>
      <c r="P32" s="1409"/>
      <c r="Q32" s="1409"/>
      <c r="R32" s="1409"/>
      <c r="S32" s="1405"/>
      <c r="T32" s="1405"/>
      <c r="U32" s="1405"/>
      <c r="V32" s="1405"/>
      <c r="W32" s="1405"/>
      <c r="X32" s="1595"/>
      <c r="Y32" s="1595"/>
      <c r="Z32" s="1409"/>
      <c r="AA32" s="1405"/>
      <c r="AB32" s="1405"/>
      <c r="AC32" s="1476"/>
      <c r="AD32" s="1615"/>
      <c r="AE32" s="1420"/>
      <c r="AF32" s="1406"/>
      <c r="AG32" s="1406"/>
      <c r="AH32" s="1575"/>
      <c r="AI32" s="1616"/>
      <c r="AJ32" s="1616"/>
      <c r="AK32" s="1575"/>
      <c r="AL32" s="1406"/>
      <c r="AM32" s="1406"/>
      <c r="AN32" s="1406"/>
      <c r="AO32" s="1617"/>
      <c r="AP32" s="1618"/>
      <c r="AQ32" s="1406"/>
      <c r="AR32" s="1406"/>
      <c r="AS32" s="1406"/>
      <c r="AT32" s="1406"/>
      <c r="AU32" s="1406"/>
      <c r="AV32" s="1619"/>
      <c r="AW32" s="1620"/>
      <c r="AX32" s="1620"/>
      <c r="AY32" s="1620"/>
      <c r="AZ32" s="1620"/>
      <c r="BA32" s="1620"/>
      <c r="BB32" s="1621"/>
      <c r="BC32" s="1394"/>
      <c r="BD32" s="1394"/>
      <c r="BE32" s="1470"/>
      <c r="BF32" s="1470"/>
      <c r="BG32" s="1470"/>
      <c r="BH32" s="1470"/>
      <c r="BI32" s="1394"/>
      <c r="BJ32" s="1394"/>
      <c r="BK32" s="1597"/>
      <c r="BL32" s="1603"/>
      <c r="BM32" s="1418"/>
      <c r="BN32" s="1406"/>
      <c r="BO32" s="1406"/>
      <c r="BP32" s="1406"/>
      <c r="BQ32" s="1406"/>
      <c r="BR32" s="1418"/>
      <c r="BS32" s="1418"/>
      <c r="BT32" s="1406"/>
      <c r="BU32" s="1607"/>
      <c r="BV32" s="1622">
        <v>110730</v>
      </c>
      <c r="BW32" s="1622">
        <v>110706</v>
      </c>
      <c r="BX32" s="1623">
        <v>106561</v>
      </c>
      <c r="BY32" s="1623">
        <v>113842</v>
      </c>
      <c r="BZ32" s="1607"/>
      <c r="CA32" s="1470"/>
      <c r="CB32" s="1589"/>
      <c r="CC32" s="1523"/>
      <c r="CD32" s="1624">
        <v>106679</v>
      </c>
      <c r="CE32" s="1600"/>
      <c r="CF32" s="1393"/>
      <c r="CG32" s="1393"/>
      <c r="CH32" s="1393"/>
      <c r="CI32" s="1393"/>
      <c r="CJ32" s="1393"/>
      <c r="CK32" s="1393"/>
      <c r="CL32" s="1393"/>
      <c r="CM32" s="1393"/>
      <c r="CN32" s="1494"/>
      <c r="CO32" s="1367"/>
      <c r="CP32" s="1368"/>
    </row>
    <row r="33" spans="1:94" ht="21.75" thickBot="1" x14ac:dyDescent="0.3">
      <c r="A33" s="1431"/>
      <c r="B33" s="1625"/>
      <c r="C33" s="1626"/>
      <c r="D33" s="1626"/>
      <c r="E33" s="1626"/>
      <c r="F33" s="1627"/>
      <c r="G33" s="1628"/>
      <c r="H33" s="1628"/>
      <c r="I33" s="1628"/>
      <c r="J33" s="1629"/>
      <c r="K33" s="1630"/>
      <c r="L33" s="1631"/>
      <c r="M33" s="1632"/>
      <c r="N33" s="1632"/>
      <c r="Q33" s="1406"/>
      <c r="R33" s="1409"/>
      <c r="S33" s="1409"/>
      <c r="T33" s="1409"/>
      <c r="U33" s="1409"/>
      <c r="V33" s="1409"/>
      <c r="W33" s="1405"/>
      <c r="X33" s="1595"/>
      <c r="Y33" s="1595"/>
      <c r="Z33" s="1409"/>
      <c r="AA33" s="1405"/>
      <c r="AB33" s="1405"/>
      <c r="AC33" s="1476"/>
      <c r="AD33" s="1633"/>
      <c r="AE33" s="1633"/>
      <c r="AF33" s="1406"/>
      <c r="AG33" s="1406"/>
      <c r="AH33" s="1575"/>
      <c r="AI33" s="1583"/>
      <c r="AJ33" s="1583"/>
      <c r="AK33" s="1575"/>
      <c r="AL33" s="1406"/>
      <c r="AM33" s="1406"/>
      <c r="AN33" s="1406"/>
      <c r="AO33" s="1617"/>
      <c r="AP33" s="1618"/>
      <c r="AQ33" s="1406"/>
      <c r="AR33" s="1406"/>
      <c r="AS33" s="1406"/>
      <c r="AT33" s="1406"/>
      <c r="AU33" s="1406"/>
      <c r="AV33" s="1634"/>
      <c r="AW33" s="1635"/>
      <c r="AX33" s="1635"/>
      <c r="AY33" s="1635"/>
      <c r="AZ33" s="1635"/>
      <c r="BA33" s="1635"/>
      <c r="BB33" s="1636"/>
      <c r="BC33" s="1394"/>
      <c r="BD33" s="1394"/>
      <c r="BE33" s="1394"/>
      <c r="BF33" s="1394"/>
      <c r="BG33" s="1394"/>
      <c r="BH33" s="1394"/>
      <c r="BI33" s="1394"/>
      <c r="BJ33" s="1394"/>
      <c r="BK33" s="1597"/>
      <c r="BL33" s="1391"/>
      <c r="BM33" s="1418"/>
      <c r="BN33" s="1406"/>
      <c r="BO33" s="1406"/>
      <c r="BP33" s="1406"/>
      <c r="BQ33" s="1391"/>
      <c r="BR33" s="1418"/>
      <c r="BS33" s="1418"/>
      <c r="BT33" s="1406"/>
      <c r="BU33" s="1576"/>
      <c r="BV33" s="1523"/>
      <c r="BW33" s="1523"/>
      <c r="BX33" s="1523"/>
      <c r="BY33" s="1523"/>
      <c r="BZ33" s="1576"/>
      <c r="CA33" s="1470"/>
      <c r="CB33" s="1589"/>
      <c r="CC33" s="1523"/>
      <c r="CD33" s="1624">
        <v>109922</v>
      </c>
      <c r="CE33" s="1600"/>
      <c r="CF33" s="1393"/>
      <c r="CG33" s="1393"/>
      <c r="CH33" s="1393"/>
      <c r="CI33" s="1393"/>
      <c r="CJ33" s="1393"/>
      <c r="CK33" s="1393"/>
      <c r="CL33" s="1393"/>
      <c r="CM33" s="1393"/>
      <c r="CN33" s="1494"/>
      <c r="CO33" s="1367"/>
      <c r="CP33" s="1368"/>
    </row>
    <row r="34" spans="1:94" ht="23.25" x14ac:dyDescent="0.25">
      <c r="A34" s="1431"/>
      <c r="B34" s="1583"/>
      <c r="C34" s="1453"/>
      <c r="D34" s="1583"/>
      <c r="E34" s="1453"/>
      <c r="F34" s="1583"/>
      <c r="G34" s="1453"/>
      <c r="H34" s="1583"/>
      <c r="I34" s="1453"/>
      <c r="J34" s="1476"/>
      <c r="K34" s="1476"/>
      <c r="L34" s="1470"/>
      <c r="M34" s="1470"/>
      <c r="N34" s="1637"/>
      <c r="O34" s="1480"/>
      <c r="P34" s="1638"/>
      <c r="Q34" s="1406"/>
      <c r="R34" s="1639"/>
      <c r="S34" s="1401"/>
      <c r="T34" s="1401"/>
      <c r="U34" s="1401"/>
      <c r="V34" s="1640"/>
      <c r="W34" s="1641"/>
      <c r="X34" s="1409"/>
      <c r="Y34" s="1409"/>
      <c r="Z34" s="1409"/>
      <c r="AA34" s="1405"/>
      <c r="AB34" s="1405"/>
      <c r="AC34" s="1476"/>
      <c r="AD34" s="1633"/>
      <c r="AE34" s="1633"/>
      <c r="AF34" s="1406"/>
      <c r="AG34" s="1406"/>
      <c r="AH34" s="1575"/>
      <c r="AI34" s="1596"/>
      <c r="AJ34" s="1596"/>
      <c r="AK34" s="1575"/>
      <c r="AL34" s="1406"/>
      <c r="AM34" s="1406"/>
      <c r="AN34" s="1406"/>
      <c r="AO34" s="1617"/>
      <c r="AP34" s="1618"/>
      <c r="AQ34" s="1406"/>
      <c r="AR34" s="1406"/>
      <c r="AS34" s="1406"/>
      <c r="AT34" s="1406"/>
      <c r="AU34" s="1406"/>
      <c r="AV34" s="1634"/>
      <c r="AW34" s="1635"/>
      <c r="AX34" s="1635"/>
      <c r="AY34" s="1635"/>
      <c r="AZ34" s="1635"/>
      <c r="BA34" s="1635"/>
      <c r="BB34" s="1636"/>
      <c r="BC34" s="1394"/>
      <c r="BD34" s="1394"/>
      <c r="BE34" s="1394"/>
      <c r="BF34" s="1394"/>
      <c r="BG34" s="1394"/>
      <c r="BH34" s="1394"/>
      <c r="BI34" s="1394"/>
      <c r="BJ34" s="1394"/>
      <c r="BK34" s="1597"/>
      <c r="BL34" s="1611"/>
      <c r="BM34" s="1418"/>
      <c r="BN34" s="1406"/>
      <c r="BO34" s="1406"/>
      <c r="BP34" s="1406"/>
      <c r="BQ34" s="1391"/>
      <c r="BR34" s="1418"/>
      <c r="BS34" s="1418"/>
      <c r="BT34" s="1391"/>
      <c r="BV34" s="1598"/>
      <c r="BW34" s="1469"/>
      <c r="BX34" s="1469"/>
      <c r="BY34" s="1598"/>
      <c r="CA34" s="1470"/>
      <c r="CB34" s="1589"/>
      <c r="CC34" s="1523"/>
      <c r="CD34" s="1642">
        <v>115263</v>
      </c>
      <c r="CE34" s="1600"/>
      <c r="CF34" s="1393"/>
      <c r="CG34" s="1393"/>
      <c r="CH34" s="1393"/>
      <c r="CI34" s="1393"/>
      <c r="CJ34" s="1393"/>
      <c r="CK34" s="1393"/>
      <c r="CL34" s="1393"/>
      <c r="CM34" s="1393"/>
      <c r="CN34" s="1494"/>
      <c r="CO34" s="1367"/>
      <c r="CP34" s="1368"/>
    </row>
    <row r="35" spans="1:94" ht="23.25" x14ac:dyDescent="0.25">
      <c r="A35" s="1431"/>
      <c r="B35" s="1453"/>
      <c r="C35" s="1643"/>
      <c r="D35" s="1453"/>
      <c r="E35" s="1643"/>
      <c r="F35" s="1453"/>
      <c r="G35" s="1643"/>
      <c r="H35" s="1453"/>
      <c r="I35" s="1410"/>
      <c r="J35" s="1476"/>
      <c r="K35" s="1409"/>
      <c r="L35" s="1405"/>
      <c r="M35" s="1405"/>
      <c r="N35" s="1405"/>
      <c r="P35" s="1570"/>
      <c r="Q35" s="1410"/>
      <c r="R35" s="1406"/>
      <c r="S35" s="1419"/>
      <c r="T35" s="1419"/>
      <c r="U35" s="1419"/>
      <c r="V35" s="1500"/>
      <c r="W35" s="1401"/>
      <c r="X35" s="1367"/>
      <c r="Y35" s="1367"/>
      <c r="Z35" s="1367"/>
      <c r="AA35" s="1367"/>
      <c r="AB35" s="1367"/>
      <c r="AC35" s="1476"/>
      <c r="AD35" s="1644"/>
      <c r="AE35" s="1612"/>
      <c r="AF35" s="1406"/>
      <c r="AG35" s="1406"/>
      <c r="AH35" s="1575"/>
      <c r="AI35" s="1645"/>
      <c r="AJ35" s="1645"/>
      <c r="AK35" s="1575"/>
      <c r="AL35" s="1406"/>
      <c r="AM35" s="1406"/>
      <c r="AN35" s="1406"/>
      <c r="AO35" s="1406"/>
      <c r="AP35" s="1406"/>
      <c r="AQ35" s="1406"/>
      <c r="AR35" s="1406"/>
      <c r="AS35" s="1406"/>
      <c r="AT35" s="1406"/>
      <c r="AU35" s="1406"/>
      <c r="AV35" s="1634"/>
      <c r="AW35" s="1635"/>
      <c r="AX35" s="1635"/>
      <c r="AY35" s="1635"/>
      <c r="AZ35" s="1635"/>
      <c r="BA35" s="1635"/>
      <c r="BB35" s="1636"/>
      <c r="BC35" s="1394"/>
      <c r="BD35" s="1394"/>
      <c r="BE35" s="1394"/>
      <c r="BF35" s="1394"/>
      <c r="BG35" s="1394"/>
      <c r="BH35" s="1394"/>
      <c r="BI35" s="1394"/>
      <c r="BJ35" s="1394"/>
      <c r="BK35" s="1597"/>
      <c r="BL35" s="1406"/>
      <c r="BM35" s="1418"/>
      <c r="BN35" s="1406"/>
      <c r="BO35" s="1406"/>
      <c r="BP35" s="1406"/>
      <c r="BQ35" s="1391"/>
      <c r="BR35" s="1418"/>
      <c r="BS35" s="1391"/>
      <c r="BT35" s="1391"/>
      <c r="BU35" s="1470"/>
      <c r="BV35" s="1470"/>
      <c r="BW35" s="1470"/>
      <c r="BX35" s="1470"/>
      <c r="BY35" s="1470"/>
      <c r="BZ35" s="1470"/>
      <c r="CA35" s="1470"/>
      <c r="CB35" s="1589"/>
      <c r="CC35" s="1523"/>
      <c r="CD35" s="1646">
        <v>106234</v>
      </c>
      <c r="CE35" s="1600"/>
      <c r="CF35" s="1393"/>
      <c r="CG35" s="1393"/>
      <c r="CH35" s="1393"/>
      <c r="CI35" s="1393"/>
      <c r="CJ35" s="1393"/>
      <c r="CK35" s="1393"/>
      <c r="CL35" s="1393"/>
      <c r="CM35" s="1393"/>
      <c r="CN35" s="1494"/>
      <c r="CO35" s="1367"/>
      <c r="CP35" s="1368"/>
    </row>
    <row r="36" spans="1:94" ht="21" x14ac:dyDescent="0.25">
      <c r="A36" s="1431"/>
      <c r="B36" s="1647"/>
      <c r="C36" s="1647"/>
      <c r="D36" s="1647"/>
      <c r="E36" s="1647"/>
      <c r="F36" s="1647"/>
      <c r="G36" s="1647"/>
      <c r="H36" s="1647"/>
      <c r="I36" s="1643"/>
      <c r="J36" s="1476"/>
      <c r="K36" s="1409"/>
      <c r="L36" s="1405"/>
      <c r="M36" s="1405"/>
      <c r="N36" s="1405"/>
      <c r="P36" s="1570"/>
      <c r="Q36" s="1406"/>
      <c r="R36" s="1648"/>
      <c r="S36" s="1583"/>
      <c r="T36" s="1583"/>
      <c r="U36" s="1583"/>
      <c r="V36" s="1648"/>
      <c r="W36" s="1406"/>
      <c r="X36" s="1406"/>
      <c r="Y36" s="1593"/>
      <c r="Z36" s="1593"/>
      <c r="AA36" s="1593"/>
      <c r="AB36" s="1593"/>
      <c r="AC36" s="1593"/>
      <c r="AD36" s="1406"/>
      <c r="AE36" s="1410"/>
      <c r="AF36" s="1649"/>
      <c r="AG36" s="1649"/>
      <c r="AH36" s="1649"/>
      <c r="AI36" s="1500"/>
      <c r="AJ36" s="1406"/>
      <c r="AL36" s="1406"/>
      <c r="AM36" s="1406"/>
      <c r="AN36" s="1406"/>
      <c r="AO36" s="1406"/>
      <c r="AP36" s="1406"/>
      <c r="AQ36" s="1406"/>
      <c r="AR36" s="1406"/>
      <c r="AS36" s="1406"/>
      <c r="AT36" s="1406"/>
      <c r="AU36" s="1406"/>
      <c r="AV36" s="1634"/>
      <c r="AW36" s="1635"/>
      <c r="AX36" s="1635"/>
      <c r="AY36" s="1635"/>
      <c r="AZ36" s="1635"/>
      <c r="BA36" s="1635"/>
      <c r="BB36" s="1636"/>
      <c r="BC36" s="1394"/>
      <c r="BD36" s="1394"/>
      <c r="BE36" s="1394"/>
      <c r="BF36" s="1394"/>
      <c r="BG36" s="1394"/>
      <c r="BH36" s="1394"/>
      <c r="BI36" s="1394"/>
      <c r="BJ36" s="1394"/>
      <c r="BK36" s="1597"/>
      <c r="BL36" s="1614"/>
      <c r="BM36" s="1418"/>
      <c r="BN36" s="1406"/>
      <c r="BO36" s="1406"/>
      <c r="BP36" s="1406"/>
      <c r="BQ36" s="1391"/>
      <c r="BR36" s="1406"/>
      <c r="BS36" s="1391"/>
      <c r="BT36" s="1391"/>
      <c r="BU36" s="1470"/>
      <c r="BV36" s="1470"/>
      <c r="BW36" s="1470"/>
      <c r="BX36" s="1470"/>
      <c r="BY36" s="1470"/>
      <c r="BZ36" s="1470"/>
      <c r="CA36" s="1470"/>
      <c r="CB36" s="1589"/>
      <c r="CC36" s="1523"/>
      <c r="CD36" s="1646">
        <v>106768</v>
      </c>
      <c r="CE36" s="1600"/>
      <c r="CF36" s="1393"/>
      <c r="CG36" s="1393"/>
      <c r="CH36" s="1393"/>
      <c r="CI36" s="1393"/>
      <c r="CJ36" s="1393"/>
      <c r="CK36" s="1393"/>
      <c r="CL36" s="1393"/>
      <c r="CM36" s="1393"/>
      <c r="CN36" s="1494"/>
      <c r="CO36" s="1367"/>
      <c r="CP36" s="1368"/>
    </row>
    <row r="37" spans="1:94" ht="23.25" x14ac:dyDescent="0.25">
      <c r="A37" s="1431"/>
      <c r="B37" s="1547"/>
      <c r="C37" s="1547"/>
      <c r="D37" s="1547"/>
      <c r="E37" s="1547"/>
      <c r="F37" s="1547"/>
      <c r="G37" s="1547"/>
      <c r="H37" s="1547"/>
      <c r="I37" s="1643"/>
      <c r="J37" s="1476"/>
      <c r="K37" s="1409"/>
      <c r="L37" s="1409"/>
      <c r="M37" s="1409"/>
      <c r="N37" s="1409"/>
      <c r="O37" s="1406"/>
      <c r="P37" s="1650"/>
      <c r="Q37" s="1406"/>
      <c r="R37" s="1648"/>
      <c r="S37" s="1583"/>
      <c r="T37" s="1583"/>
      <c r="U37" s="1583"/>
      <c r="V37" s="1648"/>
      <c r="W37" s="1406"/>
      <c r="X37" s="1406"/>
      <c r="Y37" s="1593"/>
      <c r="Z37" s="1593"/>
      <c r="AA37" s="1593"/>
      <c r="AB37" s="1593"/>
      <c r="AC37" s="1593"/>
      <c r="AD37" s="1406"/>
      <c r="AE37" s="1649"/>
      <c r="AF37" s="1583"/>
      <c r="AG37" s="1583"/>
      <c r="AH37" s="1583"/>
      <c r="AI37" s="1649"/>
      <c r="AJ37" s="1406"/>
      <c r="AL37" s="1594"/>
      <c r="AM37" s="1594"/>
      <c r="AN37" s="1594"/>
      <c r="AO37" s="1594"/>
      <c r="AP37" s="1406"/>
      <c r="AQ37" s="1406"/>
      <c r="AR37" s="1651"/>
      <c r="AS37" s="1651"/>
      <c r="AT37" s="1651"/>
      <c r="AU37" s="1406"/>
      <c r="AV37" s="1634"/>
      <c r="AW37" s="1635"/>
      <c r="AX37" s="1635"/>
      <c r="AY37" s="1635"/>
      <c r="AZ37" s="1635"/>
      <c r="BA37" s="1635"/>
      <c r="BB37" s="1636"/>
      <c r="BC37" s="1394"/>
      <c r="BD37" s="1394"/>
      <c r="BE37" s="1394"/>
      <c r="BF37" s="1394"/>
      <c r="BG37" s="1394"/>
      <c r="BH37" s="1394"/>
      <c r="BI37" s="1394"/>
      <c r="BJ37" s="1394"/>
      <c r="BK37" s="1597"/>
      <c r="BL37" s="1611"/>
      <c r="BM37" s="1614"/>
      <c r="BN37" s="1406"/>
      <c r="BO37" s="1406"/>
      <c r="BP37" s="1406"/>
      <c r="BQ37" s="1585"/>
      <c r="BR37" s="1585"/>
      <c r="BS37" s="1391"/>
      <c r="BT37" s="1476"/>
      <c r="BU37" s="1470"/>
      <c r="BV37" s="1470"/>
      <c r="BW37" s="1470"/>
      <c r="BX37" s="1470"/>
      <c r="BY37" s="1470"/>
      <c r="BZ37" s="1470"/>
      <c r="CA37" s="1470"/>
      <c r="CB37" s="1470"/>
      <c r="CC37" s="1576"/>
      <c r="CD37" s="1576"/>
      <c r="CE37" s="1600"/>
      <c r="CF37" s="1393"/>
      <c r="CG37" s="1393"/>
      <c r="CH37" s="1393"/>
      <c r="CI37" s="1393"/>
      <c r="CJ37" s="1393"/>
      <c r="CK37" s="1393"/>
      <c r="CL37" s="1393"/>
      <c r="CM37" s="1393"/>
      <c r="CN37" s="1494"/>
      <c r="CO37" s="1367"/>
      <c r="CP37" s="1368"/>
    </row>
    <row r="38" spans="1:94" ht="21" x14ac:dyDescent="0.25">
      <c r="A38" s="1431"/>
      <c r="B38" s="1406"/>
      <c r="C38" s="1406"/>
      <c r="D38" s="1643"/>
      <c r="E38" s="1643"/>
      <c r="F38" s="1652"/>
      <c r="G38" s="1652"/>
      <c r="H38" s="1652"/>
      <c r="I38" s="1652"/>
      <c r="J38" s="1476"/>
      <c r="K38" s="1406"/>
      <c r="L38" s="1406"/>
      <c r="M38" s="1406"/>
      <c r="N38" s="1406"/>
      <c r="O38" s="1406"/>
      <c r="P38" s="1650"/>
      <c r="Q38" s="1406"/>
      <c r="R38" s="1406"/>
      <c r="S38" s="1419"/>
      <c r="T38" s="1419"/>
      <c r="U38" s="1419"/>
      <c r="V38" s="1406"/>
      <c r="W38" s="1406"/>
      <c r="X38" s="1406"/>
      <c r="Y38" s="1406"/>
      <c r="Z38" s="1406"/>
      <c r="AA38" s="1406"/>
      <c r="AB38" s="1406"/>
      <c r="AC38" s="1406"/>
      <c r="AD38" s="1406"/>
      <c r="AE38" s="1649"/>
      <c r="AF38" s="1583"/>
      <c r="AG38" s="1583"/>
      <c r="AH38" s="1583"/>
      <c r="AI38" s="1649"/>
      <c r="AJ38" s="1406"/>
      <c r="AL38" s="1594"/>
      <c r="AM38" s="1594"/>
      <c r="AN38" s="1594"/>
      <c r="AO38" s="1594"/>
      <c r="AP38" s="1406"/>
      <c r="AQ38" s="1406"/>
      <c r="AR38" s="1651"/>
      <c r="AS38" s="1651"/>
      <c r="AT38" s="1651"/>
      <c r="AU38" s="1406"/>
      <c r="AV38" s="1634"/>
      <c r="AW38" s="1635"/>
      <c r="AX38" s="1635"/>
      <c r="AY38" s="1635"/>
      <c r="AZ38" s="1635"/>
      <c r="BA38" s="1635"/>
      <c r="BB38" s="1636"/>
      <c r="BC38" s="1394"/>
      <c r="BD38" s="1394"/>
      <c r="BE38" s="1394"/>
      <c r="BF38" s="1394"/>
      <c r="BG38" s="1394"/>
      <c r="BH38" s="1394"/>
      <c r="BI38" s="1394"/>
      <c r="BJ38" s="1394"/>
      <c r="BK38" s="1597"/>
      <c r="BL38" s="1611"/>
      <c r="BM38" s="1585"/>
      <c r="BN38" s="1585"/>
      <c r="BO38" s="1406"/>
      <c r="BP38" s="1406"/>
      <c r="BQ38" s="1406"/>
      <c r="BR38" s="1406"/>
      <c r="BS38" s="1406"/>
      <c r="BT38" s="1476"/>
      <c r="BU38" s="1470"/>
      <c r="BV38" s="1470"/>
      <c r="BW38" s="1470"/>
      <c r="BX38" s="1470"/>
      <c r="BY38" s="1470"/>
      <c r="BZ38" s="1470"/>
      <c r="CA38" s="1470"/>
      <c r="CB38" s="1470"/>
      <c r="CC38" s="1393"/>
      <c r="CD38" s="1393"/>
      <c r="CE38" s="1600"/>
      <c r="CF38" s="1393"/>
      <c r="CG38" s="1393"/>
      <c r="CH38" s="1393"/>
      <c r="CI38" s="1393"/>
      <c r="CJ38" s="1393"/>
      <c r="CK38" s="1393"/>
      <c r="CL38" s="1393"/>
      <c r="CM38" s="1393"/>
      <c r="CN38" s="1494"/>
      <c r="CO38" s="1367"/>
      <c r="CP38" s="1368"/>
    </row>
    <row r="39" spans="1:94" ht="24" thickBot="1" x14ac:dyDescent="0.3">
      <c r="A39" s="1431"/>
      <c r="B39" s="1464"/>
      <c r="C39" s="1410"/>
      <c r="D39" s="1643"/>
      <c r="E39" s="1653"/>
      <c r="F39" s="1654"/>
      <c r="G39" s="1654"/>
      <c r="H39" s="1654"/>
      <c r="I39" s="1654"/>
      <c r="J39" s="1470"/>
      <c r="K39" s="1404"/>
      <c r="L39" s="1406"/>
      <c r="M39" s="1655"/>
      <c r="N39" s="1655"/>
      <c r="O39" s="1406"/>
      <c r="P39" s="1650"/>
      <c r="Q39" s="1406"/>
      <c r="R39" s="1406"/>
      <c r="S39" s="1406"/>
      <c r="T39" s="1406"/>
      <c r="U39" s="1406"/>
      <c r="V39" s="1406"/>
      <c r="W39" s="1406"/>
      <c r="X39" s="1406"/>
      <c r="Y39" s="1406"/>
      <c r="Z39" s="1406"/>
      <c r="AA39" s="1406"/>
      <c r="AB39" s="1406"/>
      <c r="AC39" s="1406"/>
      <c r="AD39" s="1406"/>
      <c r="AE39" s="1656"/>
      <c r="AF39" s="1649"/>
      <c r="AG39" s="1649"/>
      <c r="AH39" s="1649"/>
      <c r="AI39" s="1406"/>
      <c r="AJ39" s="1657"/>
      <c r="AK39" s="1658"/>
      <c r="AL39" s="1657"/>
      <c r="AM39" s="1657"/>
      <c r="AN39" s="1657"/>
      <c r="AO39" s="1657"/>
      <c r="AP39" s="1657"/>
      <c r="AQ39" s="1657"/>
      <c r="AR39" s="1657"/>
      <c r="AS39" s="1657"/>
      <c r="AT39" s="1657"/>
      <c r="AU39" s="1659"/>
      <c r="AV39" s="1660"/>
      <c r="AW39" s="1661"/>
      <c r="AX39" s="1661"/>
      <c r="AY39" s="1661"/>
      <c r="AZ39" s="1661"/>
      <c r="BA39" s="1661"/>
      <c r="BB39" s="1662"/>
      <c r="BC39" s="1424"/>
      <c r="BD39" s="1424"/>
      <c r="BE39" s="1424"/>
      <c r="BF39" s="1424"/>
      <c r="BG39" s="1424"/>
      <c r="BH39" s="1424"/>
      <c r="BI39" s="1424"/>
      <c r="BJ39" s="1424"/>
      <c r="BK39" s="1663"/>
      <c r="BL39" s="1584"/>
      <c r="BM39" s="1664"/>
      <c r="BN39" s="1664"/>
      <c r="BO39" s="1585"/>
      <c r="BP39" s="1406"/>
      <c r="BQ39" s="1406"/>
      <c r="BR39" s="1406"/>
      <c r="BS39" s="1406"/>
      <c r="BT39" s="1476"/>
      <c r="BU39" s="1470"/>
      <c r="BV39" s="1470"/>
      <c r="BW39" s="1470"/>
      <c r="BX39" s="1470"/>
      <c r="BY39" s="1470"/>
      <c r="BZ39" s="1470"/>
      <c r="CA39" s="1470"/>
      <c r="CB39" s="1470"/>
      <c r="CC39" s="1393"/>
      <c r="CD39" s="1393"/>
      <c r="CE39" s="1600"/>
      <c r="CF39" s="1393"/>
      <c r="CG39" s="1393"/>
      <c r="CH39" s="1393"/>
      <c r="CI39" s="1393"/>
      <c r="CJ39" s="1393"/>
      <c r="CK39" s="1393"/>
      <c r="CL39" s="1393"/>
      <c r="CM39" s="1393"/>
      <c r="CN39" s="1665"/>
      <c r="CO39" s="1367"/>
      <c r="CP39" s="1368"/>
    </row>
    <row r="40" spans="1:94" ht="24" thickBot="1" x14ac:dyDescent="0.3">
      <c r="A40" s="1431"/>
      <c r="B40" s="1583"/>
      <c r="C40" s="1411"/>
      <c r="D40" s="1666"/>
      <c r="E40" s="1667"/>
      <c r="J40" s="1470"/>
      <c r="K40" s="1406"/>
      <c r="L40" s="1410"/>
      <c r="M40" s="1501"/>
      <c r="N40" s="1501"/>
      <c r="O40" s="1500"/>
      <c r="P40" s="1650"/>
      <c r="Q40" s="1668"/>
      <c r="R40" s="1669"/>
      <c r="S40" s="1670"/>
      <c r="T40" s="1671"/>
      <c r="U40" s="1671"/>
      <c r="V40" s="1671"/>
      <c r="W40" s="1671"/>
      <c r="X40" s="1671"/>
      <c r="Y40" s="1671"/>
      <c r="Z40" s="1671"/>
      <c r="AA40" s="1671"/>
      <c r="AB40" s="1671"/>
      <c r="AC40" s="1480"/>
      <c r="AD40" s="1480"/>
      <c r="AE40" s="1480"/>
      <c r="AF40" s="1480"/>
      <c r="AG40" s="1480"/>
      <c r="AH40" s="1480"/>
      <c r="AI40" s="1480"/>
      <c r="AJ40" s="1480"/>
      <c r="AK40" s="1672"/>
      <c r="AM40" s="1550"/>
      <c r="AN40" s="1550"/>
      <c r="AO40" s="1550"/>
      <c r="AP40" s="1467"/>
      <c r="AQ40" s="1467"/>
      <c r="AR40" s="1467"/>
      <c r="AS40" s="1467"/>
      <c r="AT40" s="1467"/>
      <c r="AU40" s="1673"/>
      <c r="AV40" s="1467"/>
      <c r="AW40" s="1467"/>
      <c r="AX40" s="1415"/>
      <c r="AY40" s="1415"/>
      <c r="AZ40" s="1415"/>
      <c r="BA40" s="1415"/>
      <c r="BB40" s="1415"/>
      <c r="BC40" s="1415"/>
      <c r="BD40" s="1415"/>
      <c r="BE40" s="1415"/>
      <c r="BF40" s="1415"/>
      <c r="BG40" s="1415"/>
      <c r="BH40" s="1415"/>
      <c r="BI40" s="1415"/>
      <c r="BJ40" s="1415"/>
      <c r="BK40" s="1415"/>
      <c r="BL40" s="1674"/>
      <c r="BM40" s="1675"/>
      <c r="BN40" s="1674"/>
      <c r="BO40" s="1674"/>
      <c r="BP40" s="1674"/>
      <c r="BQ40" s="1674"/>
      <c r="BR40" s="1674"/>
      <c r="BS40" s="1676"/>
      <c r="BT40" s="1677"/>
      <c r="BU40" s="1678"/>
      <c r="BV40" s="1678"/>
      <c r="BW40" s="1678"/>
      <c r="BX40" s="1678"/>
      <c r="BY40" s="1678"/>
      <c r="BZ40" s="1678"/>
      <c r="CA40" s="1678"/>
      <c r="CB40" s="1678"/>
      <c r="CC40" s="1679"/>
      <c r="CD40" s="1393"/>
      <c r="CE40" s="1600"/>
      <c r="CF40" s="1393"/>
      <c r="CG40" s="1393"/>
      <c r="CH40" s="1393"/>
      <c r="CI40" s="1393"/>
      <c r="CJ40" s="1393"/>
      <c r="CK40" s="1393"/>
      <c r="CL40" s="1393"/>
      <c r="CM40" s="1393"/>
      <c r="CN40" s="1665"/>
      <c r="CO40" s="1367"/>
      <c r="CP40" s="1368"/>
    </row>
    <row r="41" spans="1:94" ht="21" x14ac:dyDescent="0.25">
      <c r="A41" s="1680"/>
      <c r="B41" s="1464"/>
      <c r="C41" s="1464"/>
      <c r="D41" s="1681"/>
      <c r="E41" s="1682"/>
      <c r="F41" s="1683"/>
      <c r="G41" s="1683"/>
      <c r="H41" s="1683"/>
      <c r="J41" s="1470"/>
      <c r="K41" s="1684"/>
      <c r="L41" s="1501"/>
      <c r="M41" s="1583"/>
      <c r="N41" s="1583"/>
      <c r="O41" s="1501"/>
      <c r="P41" s="1685"/>
      <c r="Q41" s="1686"/>
      <c r="R41" s="1687"/>
      <c r="S41" s="1688"/>
      <c r="T41" s="1415"/>
      <c r="U41" s="1415"/>
      <c r="V41" s="1415"/>
      <c r="W41" s="1415"/>
      <c r="X41" s="1415"/>
      <c r="Y41" s="1415"/>
      <c r="Z41" s="1415"/>
      <c r="AA41" s="1415"/>
      <c r="AB41" s="1415"/>
      <c r="AC41" s="1415"/>
      <c r="AD41" s="1467"/>
      <c r="AE41" s="1467"/>
      <c r="AF41" s="1394"/>
      <c r="AG41" s="1394"/>
      <c r="AH41" s="1394"/>
      <c r="AI41" s="1394"/>
      <c r="AJ41" s="1394"/>
      <c r="AK41" s="1394"/>
      <c r="AL41" s="1394"/>
      <c r="AM41" s="1394"/>
      <c r="AN41" s="1394"/>
      <c r="AO41" s="1394"/>
      <c r="AP41" s="1394"/>
      <c r="AQ41" s="1394"/>
      <c r="AR41" s="1394"/>
      <c r="AS41" s="1689"/>
      <c r="AT41" s="1689"/>
      <c r="AU41" s="1689"/>
      <c r="AV41" s="1689"/>
      <c r="AW41" s="1689"/>
      <c r="AX41" s="1689"/>
      <c r="AY41" s="1467"/>
      <c r="AZ41" s="1467"/>
      <c r="BA41" s="1467"/>
      <c r="BB41" s="1467"/>
      <c r="BC41" s="1467"/>
      <c r="BD41" s="1467"/>
      <c r="BE41" s="1467"/>
      <c r="BF41" s="1467"/>
      <c r="BG41" s="1467"/>
      <c r="BH41" s="1467"/>
      <c r="BI41" s="1467"/>
      <c r="BJ41" s="1467"/>
      <c r="BK41" s="1467"/>
      <c r="BL41" s="1467"/>
      <c r="BM41" s="1690"/>
      <c r="BN41" s="1691"/>
      <c r="BO41" s="1691"/>
      <c r="BP41" s="1415"/>
      <c r="BQ41" s="1415"/>
      <c r="BR41" s="1415"/>
      <c r="BS41" s="1415"/>
      <c r="BT41" s="1415"/>
      <c r="BU41" s="1415"/>
      <c r="BV41" s="1415"/>
      <c r="BW41" s="1415"/>
      <c r="BX41" s="1415"/>
      <c r="BY41" s="1415"/>
      <c r="BZ41" s="1415"/>
      <c r="CA41" s="1415"/>
      <c r="CB41" s="1415"/>
      <c r="CC41" s="1692"/>
      <c r="CD41" s="1393"/>
      <c r="CE41" s="1600"/>
      <c r="CF41" s="1393"/>
      <c r="CG41" s="1393"/>
      <c r="CH41" s="1393"/>
      <c r="CI41" s="1393"/>
      <c r="CJ41" s="1393"/>
      <c r="CK41" s="1393"/>
      <c r="CL41" s="1393"/>
      <c r="CM41" s="1393"/>
      <c r="CN41" s="1665"/>
      <c r="CO41" s="1367"/>
      <c r="CP41" s="1368"/>
    </row>
    <row r="42" spans="1:94" ht="21" x14ac:dyDescent="0.3">
      <c r="A42" s="1680"/>
      <c r="B42" s="1583"/>
      <c r="C42" s="1411"/>
      <c r="D42" s="1666"/>
      <c r="E42" s="1459"/>
      <c r="F42" s="1468"/>
      <c r="G42" s="1693"/>
      <c r="H42" s="1468"/>
      <c r="J42" s="1653"/>
      <c r="K42" s="1684"/>
      <c r="L42" s="1501"/>
      <c r="M42" s="1583"/>
      <c r="N42" s="1583"/>
      <c r="O42" s="1501"/>
      <c r="P42" s="1685"/>
      <c r="Q42" s="1686"/>
      <c r="R42" s="1687"/>
      <c r="S42" s="1688"/>
      <c r="T42" s="1694"/>
      <c r="U42" s="1694"/>
      <c r="V42" s="1694"/>
      <c r="W42" s="1694"/>
      <c r="X42" s="1694"/>
      <c r="Y42" s="1694"/>
      <c r="Z42" s="1694"/>
      <c r="AA42" s="1694"/>
      <c r="AB42" s="1694"/>
      <c r="AC42" s="1694"/>
      <c r="AD42" s="1391"/>
      <c r="AE42" s="1391"/>
      <c r="AF42" s="1695"/>
      <c r="AG42" s="1390"/>
      <c r="AH42" s="1391"/>
      <c r="AI42" s="1391"/>
      <c r="AJ42" s="1696"/>
      <c r="AK42" s="1696"/>
      <c r="AL42" s="1696"/>
      <c r="AM42" s="1696"/>
      <c r="AN42" s="1394"/>
      <c r="AO42" s="1394"/>
      <c r="AP42" s="1394"/>
      <c r="AQ42" s="1394"/>
      <c r="AR42" s="1394"/>
      <c r="AS42" s="1415"/>
      <c r="AT42" s="1415"/>
      <c r="BB42" s="1467"/>
      <c r="BC42" s="1467"/>
      <c r="BD42" s="1467"/>
      <c r="BE42" s="1467"/>
      <c r="BF42" s="1467"/>
      <c r="BG42" s="1467"/>
      <c r="BH42" s="1467"/>
      <c r="BI42" s="1467"/>
      <c r="BJ42" s="1467"/>
      <c r="BK42" s="1467"/>
      <c r="BL42" s="1415"/>
      <c r="BM42" s="1467"/>
      <c r="BN42" s="1394"/>
      <c r="BO42" s="1394"/>
      <c r="BP42" s="1394"/>
      <c r="BQ42" s="1394"/>
      <c r="BR42" s="1394"/>
      <c r="BS42" s="1394"/>
      <c r="BT42" s="1394"/>
      <c r="BU42" s="1394"/>
      <c r="BV42" s="1394"/>
      <c r="BW42" s="1394"/>
      <c r="BX42" s="1394"/>
      <c r="BY42" s="1394"/>
      <c r="BZ42" s="1394"/>
      <c r="CA42" s="1394"/>
      <c r="CB42" s="1394"/>
      <c r="CC42" s="1597"/>
      <c r="CD42" s="1393"/>
      <c r="CE42" s="1697"/>
      <c r="CF42" s="1393"/>
      <c r="CG42" s="1393"/>
      <c r="CH42" s="1393"/>
      <c r="CI42" s="1393"/>
      <c r="CJ42" s="1393"/>
      <c r="CK42" s="1393"/>
      <c r="CL42" s="1393"/>
      <c r="CM42" s="1393"/>
      <c r="CN42" s="1665"/>
      <c r="CO42" s="1367"/>
      <c r="CP42" s="1368"/>
    </row>
    <row r="43" spans="1:94" ht="21.75" thickBot="1" x14ac:dyDescent="0.3">
      <c r="A43" s="1680"/>
      <c r="B43" s="1464"/>
      <c r="C43" s="1464"/>
      <c r="D43" s="1681"/>
      <c r="E43" s="1698"/>
      <c r="F43" s="1699"/>
      <c r="G43" s="1700"/>
      <c r="H43" s="1699"/>
      <c r="I43" s="1698"/>
      <c r="J43" s="1456"/>
      <c r="K43" s="1701"/>
      <c r="L43" s="1501"/>
      <c r="M43" s="1583"/>
      <c r="N43" s="1583"/>
      <c r="O43" s="1501"/>
      <c r="P43" s="1685"/>
      <c r="Q43" s="1686"/>
      <c r="R43" s="1687"/>
      <c r="S43" s="1688"/>
      <c r="T43" s="1401"/>
      <c r="U43" s="1641"/>
      <c r="V43" s="1641"/>
      <c r="W43" s="1406"/>
      <c r="X43" s="1406"/>
      <c r="Y43" s="1406"/>
      <c r="Z43" s="1406"/>
      <c r="AA43" s="1406"/>
      <c r="AB43" s="1406"/>
      <c r="AC43" s="1406"/>
      <c r="AD43" s="1406"/>
      <c r="AE43" s="1406"/>
      <c r="AF43" s="1406"/>
      <c r="AG43" s="1406"/>
      <c r="AH43" s="1406"/>
      <c r="AI43" s="1406"/>
      <c r="AJ43" s="1406"/>
      <c r="AK43" s="1406"/>
      <c r="AL43" s="1406"/>
      <c r="AM43" s="1406"/>
      <c r="AO43" s="1702"/>
      <c r="AP43" s="1394"/>
      <c r="AQ43" s="1415"/>
      <c r="AR43" s="1415"/>
      <c r="AS43" s="1415"/>
      <c r="AT43" s="1415"/>
      <c r="BB43" s="1415"/>
      <c r="BC43" s="1415"/>
      <c r="BD43" s="1415"/>
      <c r="BE43" s="1467"/>
      <c r="BF43" s="1467"/>
      <c r="BG43" s="1467"/>
      <c r="BH43" s="1467"/>
      <c r="BI43" s="1467"/>
      <c r="BJ43" s="1467"/>
      <c r="BK43" s="1467"/>
      <c r="BL43" s="1415"/>
      <c r="BM43" s="1415"/>
      <c r="BN43" s="1394"/>
      <c r="BO43" s="1394"/>
      <c r="BP43" s="1394"/>
      <c r="BQ43" s="1394"/>
      <c r="BR43" s="1394"/>
      <c r="BS43" s="1394"/>
      <c r="BT43" s="1394"/>
      <c r="BU43" s="1394"/>
      <c r="BV43" s="1394"/>
      <c r="BW43" s="1394"/>
      <c r="BX43" s="1394"/>
      <c r="BY43" s="1394"/>
      <c r="BZ43" s="1394"/>
      <c r="CA43" s="1394"/>
      <c r="CB43" s="1394"/>
      <c r="CC43" s="1597"/>
      <c r="CD43" s="1393"/>
      <c r="CE43" s="1697"/>
      <c r="CF43" s="1393"/>
      <c r="CG43" s="1393"/>
      <c r="CH43" s="1393"/>
      <c r="CI43" s="1393"/>
      <c r="CJ43" s="1393"/>
      <c r="CK43" s="1393"/>
      <c r="CL43" s="1393"/>
      <c r="CM43" s="1393"/>
      <c r="CN43" s="1692"/>
      <c r="CO43" s="1367"/>
      <c r="CP43" s="1368"/>
    </row>
    <row r="44" spans="1:94" ht="21" x14ac:dyDescent="0.25">
      <c r="A44" s="1680"/>
      <c r="B44" s="1583"/>
      <c r="C44" s="1411"/>
      <c r="D44" s="1666"/>
      <c r="E44" s="1699"/>
      <c r="F44" s="1623">
        <v>110699</v>
      </c>
      <c r="G44" s="1699"/>
      <c r="H44" s="1622">
        <v>109925</v>
      </c>
      <c r="I44" s="1699"/>
      <c r="J44" s="1653"/>
      <c r="K44" s="1701"/>
      <c r="L44" s="1501"/>
      <c r="M44" s="1583"/>
      <c r="N44" s="1583"/>
      <c r="O44" s="1501"/>
      <c r="P44" s="1685"/>
      <c r="Q44" s="1686"/>
      <c r="R44" s="1687"/>
      <c r="S44" s="1688"/>
      <c r="T44" s="1703"/>
      <c r="U44" s="1703"/>
      <c r="V44" s="1703"/>
      <c r="W44" s="1703"/>
      <c r="X44" s="1703"/>
      <c r="Y44" s="1703"/>
      <c r="Z44" s="1703"/>
      <c r="AA44" s="1703"/>
      <c r="AB44" s="1704"/>
      <c r="AC44" s="1705"/>
      <c r="AD44" s="1705"/>
      <c r="AE44" s="1705"/>
      <c r="AF44" s="1706"/>
      <c r="AG44" s="1401"/>
      <c r="AH44" s="1705"/>
      <c r="AI44" s="1705"/>
      <c r="AJ44" s="1707"/>
      <c r="AK44" s="1707"/>
      <c r="AL44" s="1707"/>
      <c r="AM44" s="1707"/>
      <c r="AO44" s="1415"/>
      <c r="AP44" s="1394"/>
      <c r="AQ44" s="1415"/>
      <c r="AR44" s="1415"/>
      <c r="AS44" s="1415"/>
      <c r="AT44" s="1415"/>
      <c r="BB44" s="1415"/>
      <c r="BC44" s="1415"/>
      <c r="BD44" s="1415"/>
      <c r="BE44" s="1370"/>
      <c r="BF44" s="1370"/>
      <c r="BG44" s="1370"/>
      <c r="BH44" s="1370"/>
      <c r="BI44" s="1370"/>
      <c r="BJ44" s="1370"/>
      <c r="BK44" s="1370"/>
      <c r="BL44" s="1415"/>
      <c r="BM44" s="1415"/>
      <c r="BN44" s="1415"/>
      <c r="BO44" s="1415"/>
      <c r="BP44" s="1415"/>
      <c r="BQ44" s="1415"/>
      <c r="BR44" s="1415"/>
      <c r="BS44" s="1415"/>
      <c r="BT44" s="1415"/>
      <c r="BU44" s="1415"/>
      <c r="BV44" s="1415"/>
      <c r="BW44" s="1415"/>
      <c r="BX44" s="1415"/>
      <c r="BY44" s="1415"/>
      <c r="BZ44" s="1415"/>
      <c r="CA44" s="1415"/>
      <c r="CB44" s="1415"/>
      <c r="CC44" s="1692"/>
      <c r="CD44" s="1393"/>
      <c r="CE44" s="1697"/>
      <c r="CF44" s="1393"/>
      <c r="CG44" s="1415"/>
      <c r="CH44" s="1415"/>
      <c r="CI44" s="1415"/>
      <c r="CJ44" s="1415"/>
      <c r="CK44" s="1415"/>
      <c r="CL44" s="1415"/>
      <c r="CM44" s="1415"/>
      <c r="CN44" s="1692"/>
      <c r="CO44" s="1367"/>
      <c r="CP44" s="1368"/>
    </row>
    <row r="45" spans="1:94" ht="21.75" thickBot="1" x14ac:dyDescent="0.3">
      <c r="A45" s="1680"/>
      <c r="B45" s="1464"/>
      <c r="C45" s="1464"/>
      <c r="D45" s="1681"/>
      <c r="E45" s="1708"/>
      <c r="F45" s="1709">
        <v>114018</v>
      </c>
      <c r="G45" s="1699"/>
      <c r="H45" s="1710">
        <v>109923</v>
      </c>
      <c r="I45" s="1708"/>
      <c r="J45" s="1653"/>
      <c r="K45" s="1406"/>
      <c r="L45" s="1406"/>
      <c r="M45" s="1501"/>
      <c r="N45" s="1501"/>
      <c r="O45" s="1406"/>
      <c r="P45" s="1476"/>
      <c r="Q45" s="1686"/>
      <c r="R45" s="1687"/>
      <c r="S45" s="1688"/>
      <c r="T45" s="1711"/>
      <c r="U45" s="1711"/>
      <c r="V45" s="1711"/>
      <c r="W45" s="1711"/>
      <c r="X45" s="1711"/>
      <c r="Y45" s="1711"/>
      <c r="Z45" s="1711"/>
      <c r="AA45" s="1711"/>
      <c r="AB45" s="1712"/>
      <c r="AC45" s="1713"/>
      <c r="AD45" s="1713"/>
      <c r="AE45" s="1713"/>
      <c r="AF45" s="1713"/>
      <c r="AG45" s="1713"/>
      <c r="AH45" s="1713"/>
      <c r="AI45" s="1713"/>
      <c r="AJ45" s="1713"/>
      <c r="AK45" s="1713"/>
      <c r="AL45" s="1713"/>
      <c r="AM45" s="1713"/>
      <c r="AO45" s="1415"/>
      <c r="AP45" s="1394"/>
      <c r="AQ45" s="1415"/>
      <c r="AR45" s="1415"/>
      <c r="AS45" s="1415"/>
      <c r="AT45" s="1415"/>
      <c r="BB45" s="1415"/>
      <c r="BC45" s="1370"/>
      <c r="BD45" s="1415"/>
      <c r="BE45" s="1370"/>
      <c r="BF45" s="1370"/>
      <c r="BG45" s="1370"/>
      <c r="BH45" s="1370"/>
      <c r="BI45" s="1370"/>
      <c r="BJ45" s="1370"/>
      <c r="BK45" s="1370"/>
      <c r="BL45" s="1415"/>
      <c r="BM45" s="1415"/>
      <c r="BN45" s="1415"/>
      <c r="BO45" s="1415"/>
      <c r="BP45" s="1415"/>
      <c r="BQ45" s="1415"/>
      <c r="BR45" s="1415"/>
      <c r="BS45" s="1370"/>
      <c r="BT45" s="1415"/>
      <c r="BU45" s="1415"/>
      <c r="BV45" s="1415"/>
      <c r="BW45" s="1415"/>
      <c r="BX45" s="1415"/>
      <c r="BY45" s="1415"/>
      <c r="BZ45" s="1415"/>
      <c r="CA45" s="1415"/>
      <c r="CB45" s="1415"/>
      <c r="CC45" s="1692"/>
      <c r="CD45" s="1393"/>
      <c r="CE45" s="1714"/>
      <c r="CF45" s="1424"/>
      <c r="CG45" s="1424"/>
      <c r="CH45" s="1424"/>
      <c r="CI45" s="1424"/>
      <c r="CJ45" s="1424"/>
      <c r="CK45" s="1424"/>
      <c r="CL45" s="1424"/>
      <c r="CM45" s="1424"/>
      <c r="CN45" s="1663"/>
      <c r="CO45" s="1367"/>
      <c r="CP45" s="1368"/>
    </row>
    <row r="46" spans="1:94" ht="21" x14ac:dyDescent="0.25">
      <c r="A46" s="1680"/>
      <c r="B46" s="1583"/>
      <c r="C46" s="1411"/>
      <c r="D46" s="1681"/>
      <c r="E46" s="1715"/>
      <c r="F46" s="1699"/>
      <c r="G46" s="1700"/>
      <c r="H46" s="1699"/>
      <c r="I46" s="1715"/>
      <c r="J46" s="1653"/>
      <c r="K46" s="1406"/>
      <c r="L46" s="1406"/>
      <c r="M46" s="1406"/>
      <c r="N46" s="1406"/>
      <c r="O46" s="1476"/>
      <c r="P46" s="1406"/>
      <c r="Q46" s="1686"/>
      <c r="R46" s="1687"/>
      <c r="S46" s="1688"/>
      <c r="T46" s="1711"/>
      <c r="U46" s="1711"/>
      <c r="V46" s="1711"/>
      <c r="W46" s="1711"/>
      <c r="X46" s="1711"/>
      <c r="Y46" s="1711"/>
      <c r="Z46" s="1711"/>
      <c r="AA46" s="1711"/>
      <c r="AB46" s="1712"/>
      <c r="AC46" s="1716"/>
      <c r="AD46" s="1717"/>
      <c r="AE46" s="1718"/>
      <c r="AF46" s="1719"/>
      <c r="AG46" s="1719"/>
      <c r="AH46" s="1719"/>
      <c r="AI46" s="1719"/>
      <c r="AJ46" s="1719"/>
      <c r="AK46" s="1719"/>
      <c r="AL46" s="1719"/>
      <c r="AM46" s="1720"/>
      <c r="AO46" s="1415"/>
      <c r="AP46" s="1394"/>
      <c r="AQ46" s="1415"/>
      <c r="AR46" s="1415"/>
      <c r="AS46" s="1415"/>
      <c r="AT46" s="1415"/>
      <c r="BB46" s="1415"/>
      <c r="BC46" s="1415"/>
      <c r="BD46" s="1721"/>
      <c r="BE46" s="1689"/>
      <c r="BF46" s="1689"/>
      <c r="BG46" s="1689"/>
      <c r="BJ46" s="1689"/>
      <c r="BK46" s="1689"/>
      <c r="BL46" s="1415"/>
      <c r="BM46" s="1689"/>
      <c r="BN46" s="1689"/>
      <c r="BO46" s="1415"/>
      <c r="BP46" s="1415"/>
      <c r="BQ46" s="1415"/>
      <c r="BR46" s="1415"/>
      <c r="BS46" s="1370"/>
      <c r="BT46" s="1415"/>
      <c r="BU46" s="1415"/>
      <c r="BV46" s="1415"/>
      <c r="BW46" s="1415"/>
      <c r="BX46" s="1415"/>
      <c r="BY46" s="1415"/>
      <c r="BZ46" s="1415"/>
      <c r="CA46" s="1415"/>
      <c r="CB46" s="1415"/>
      <c r="CC46" s="1415"/>
      <c r="CD46" s="1678"/>
      <c r="CE46" s="1678"/>
      <c r="CF46" s="1678"/>
      <c r="CG46" s="1678"/>
      <c r="CH46" s="1678"/>
      <c r="CI46" s="1678"/>
      <c r="CJ46" s="1678"/>
      <c r="CK46" s="1678"/>
      <c r="CL46" s="1678"/>
      <c r="CM46" s="1678"/>
      <c r="CN46" s="1679"/>
      <c r="CO46" s="1367"/>
      <c r="CP46" s="1368"/>
    </row>
    <row r="47" spans="1:94" x14ac:dyDescent="0.25">
      <c r="A47" s="1680"/>
      <c r="B47" s="1464"/>
      <c r="C47" s="1406"/>
      <c r="D47" s="1681"/>
      <c r="E47" s="1722"/>
      <c r="F47" s="1468"/>
      <c r="G47" s="1693"/>
      <c r="H47" s="1468"/>
      <c r="I47" s="1722"/>
      <c r="J47" s="1653"/>
      <c r="O47" s="1470"/>
      <c r="Q47" s="1686"/>
      <c r="R47" s="1687"/>
      <c r="S47" s="1688"/>
      <c r="T47" s="1711"/>
      <c r="U47" s="1711"/>
      <c r="V47" s="1711"/>
      <c r="W47" s="1711"/>
      <c r="X47" s="1711"/>
      <c r="Y47" s="1711"/>
      <c r="Z47" s="1711"/>
      <c r="AA47" s="1711"/>
      <c r="AB47" s="1712"/>
      <c r="AC47" s="1641"/>
      <c r="AD47" s="1641"/>
      <c r="AE47" s="1723"/>
      <c r="AF47" s="1635"/>
      <c r="AG47" s="1635"/>
      <c r="AH47" s="1635"/>
      <c r="AI47" s="1635"/>
      <c r="AJ47" s="1635"/>
      <c r="AK47" s="1635"/>
      <c r="AL47" s="1635"/>
      <c r="AM47" s="1724"/>
      <c r="AO47" s="1415"/>
      <c r="AP47" s="1415"/>
      <c r="AQ47" s="1415"/>
      <c r="AR47" s="1415"/>
      <c r="AS47" s="1415"/>
      <c r="AT47" s="1415"/>
      <c r="BB47" s="1415"/>
      <c r="BC47" s="1415"/>
      <c r="BD47" s="1415"/>
      <c r="BE47" s="1415"/>
      <c r="BF47" s="1415"/>
      <c r="BG47" s="1415"/>
      <c r="BH47" s="1415"/>
      <c r="BI47" s="1415"/>
      <c r="BJ47" s="1415"/>
      <c r="BK47" s="1415"/>
      <c r="BL47" s="1415"/>
      <c r="BM47" s="1415"/>
      <c r="BN47" s="1415"/>
      <c r="BO47" s="1415"/>
      <c r="BP47" s="1415"/>
      <c r="BQ47" s="1415"/>
      <c r="BR47" s="1415"/>
      <c r="BS47" s="1415"/>
      <c r="BT47" s="1415"/>
      <c r="BU47" s="1415"/>
      <c r="BV47" s="1415"/>
      <c r="BW47" s="1415"/>
      <c r="BX47" s="1415"/>
      <c r="BY47" s="1415"/>
      <c r="BZ47" s="1415"/>
      <c r="CA47" s="1415"/>
      <c r="CB47" s="1415"/>
      <c r="CC47" s="1415"/>
      <c r="CD47" s="1415"/>
      <c r="CE47" s="1415"/>
      <c r="CF47" s="1415"/>
      <c r="CG47" s="1415"/>
      <c r="CH47" s="1415"/>
      <c r="CI47" s="1415"/>
      <c r="CJ47" s="1415"/>
      <c r="CK47" s="1415"/>
      <c r="CL47" s="1415"/>
      <c r="CM47" s="1415"/>
      <c r="CN47" s="1692"/>
      <c r="CO47" s="1367"/>
      <c r="CP47" s="1368"/>
    </row>
    <row r="48" spans="1:94" ht="15.75" x14ac:dyDescent="0.25">
      <c r="A48" s="1680"/>
      <c r="B48" s="1725"/>
      <c r="C48" s="1726"/>
      <c r="D48" s="1681"/>
      <c r="J48" s="1653"/>
      <c r="K48" s="1637"/>
      <c r="L48" s="1653"/>
      <c r="M48" s="1653"/>
      <c r="N48" s="1653"/>
      <c r="O48" s="1470"/>
      <c r="P48" s="1470"/>
      <c r="Q48" s="1686"/>
      <c r="R48" s="1687"/>
      <c r="S48" s="1688"/>
      <c r="T48" s="1711"/>
      <c r="U48" s="1711"/>
      <c r="V48" s="1711"/>
      <c r="W48" s="1711"/>
      <c r="X48" s="1711"/>
      <c r="Y48" s="1711"/>
      <c r="Z48" s="1711"/>
      <c r="AA48" s="1711"/>
      <c r="AB48" s="1712"/>
      <c r="AC48" s="1641"/>
      <c r="AD48" s="1641"/>
      <c r="AE48" s="1727"/>
      <c r="AF48" s="1728"/>
      <c r="AG48" s="1728"/>
      <c r="AH48" s="1728"/>
      <c r="AI48" s="1728"/>
      <c r="AJ48" s="1728"/>
      <c r="AK48" s="1728"/>
      <c r="AL48" s="1728"/>
      <c r="AM48" s="1729"/>
      <c r="AO48" s="1415"/>
      <c r="AP48" s="1415"/>
      <c r="AQ48" s="1415"/>
      <c r="AR48" s="1415"/>
      <c r="AS48" s="1415"/>
      <c r="AT48" s="1415"/>
      <c r="BB48" s="1415"/>
      <c r="BC48" s="1415"/>
      <c r="BD48" s="1415"/>
      <c r="BE48" s="1415"/>
      <c r="BF48" s="1415"/>
      <c r="BG48" s="1415"/>
      <c r="BH48" s="1415"/>
      <c r="BI48" s="1415"/>
      <c r="BJ48" s="1415"/>
      <c r="BK48" s="1415"/>
      <c r="BL48" s="1415"/>
      <c r="BM48" s="1415"/>
      <c r="BN48" s="1415"/>
      <c r="BO48" s="1415"/>
      <c r="BP48" s="1415"/>
      <c r="BQ48" s="1415"/>
      <c r="BR48" s="1415"/>
      <c r="BS48" s="1415"/>
      <c r="BT48" s="1415"/>
      <c r="BU48" s="1415"/>
      <c r="BV48" s="1415"/>
      <c r="BW48" s="1415"/>
      <c r="BX48" s="1415"/>
      <c r="BY48" s="1415"/>
      <c r="BZ48" s="1415"/>
      <c r="CA48" s="1415"/>
      <c r="CB48" s="1415"/>
      <c r="CC48" s="1415"/>
      <c r="CD48" s="1415"/>
      <c r="CE48" s="1415"/>
      <c r="CF48" s="1415"/>
      <c r="CG48" s="1415"/>
      <c r="CH48" s="1415"/>
      <c r="CI48" s="1415"/>
      <c r="CJ48" s="1415"/>
      <c r="CK48" s="1415"/>
      <c r="CL48" s="1415"/>
      <c r="CM48" s="1415"/>
      <c r="CN48" s="1692"/>
      <c r="CO48" s="1367"/>
      <c r="CP48" s="1368"/>
    </row>
    <row r="49" spans="1:94" x14ac:dyDescent="0.25">
      <c r="A49" s="1680"/>
      <c r="B49" s="1730"/>
      <c r="C49" s="1730"/>
      <c r="D49" s="1681"/>
      <c r="E49" s="1406"/>
      <c r="F49" s="1406"/>
      <c r="G49" s="1406"/>
      <c r="H49" s="1406"/>
      <c r="I49" s="1406"/>
      <c r="J49" s="1406"/>
      <c r="L49" s="1653"/>
      <c r="M49" s="1653"/>
      <c r="N49" s="1653"/>
      <c r="O49" s="1470"/>
      <c r="P49" s="1653"/>
      <c r="Q49" s="1686"/>
      <c r="R49" s="1687"/>
      <c r="S49" s="1688"/>
      <c r="T49" s="1711"/>
      <c r="U49" s="1711"/>
      <c r="V49" s="1711"/>
      <c r="W49" s="1711"/>
      <c r="X49" s="1711"/>
      <c r="Y49" s="1711"/>
      <c r="Z49" s="1711"/>
      <c r="AA49" s="1711"/>
      <c r="AB49" s="1712"/>
      <c r="AC49" s="1641"/>
      <c r="AD49" s="1641"/>
      <c r="AE49" s="1641"/>
      <c r="AF49" s="1641"/>
      <c r="AG49" s="1641"/>
      <c r="AH49" s="1641"/>
      <c r="AI49" s="1641"/>
      <c r="AJ49" s="1641"/>
      <c r="AK49" s="1731"/>
      <c r="AL49" s="1719"/>
      <c r="AM49" s="1732"/>
      <c r="AO49" s="1415"/>
      <c r="AP49" s="1415"/>
      <c r="AQ49" s="1415"/>
      <c r="AR49" s="1415"/>
      <c r="AS49" s="1415"/>
      <c r="AT49" s="1415"/>
      <c r="BB49" s="1415"/>
      <c r="BC49" s="1415"/>
      <c r="BD49" s="1415"/>
      <c r="BE49" s="1415"/>
      <c r="BF49" s="1415"/>
      <c r="BG49" s="1415"/>
      <c r="BH49" s="1415"/>
      <c r="BI49" s="1415"/>
      <c r="BJ49" s="1415"/>
      <c r="BK49" s="1415"/>
      <c r="BL49" s="1415"/>
      <c r="BM49" s="1415"/>
      <c r="BN49" s="1415"/>
      <c r="BO49" s="1415"/>
      <c r="BP49" s="1415"/>
      <c r="BQ49" s="1415"/>
      <c r="BR49" s="1415"/>
      <c r="BS49" s="1415"/>
      <c r="BT49" s="1415"/>
      <c r="BU49" s="1415"/>
      <c r="BV49" s="1415"/>
      <c r="BW49" s="1415"/>
      <c r="BX49" s="1415"/>
      <c r="BY49" s="1415"/>
      <c r="BZ49" s="1415"/>
      <c r="CA49" s="1415"/>
      <c r="CB49" s="1415"/>
      <c r="CC49" s="1415"/>
      <c r="CD49" s="1415"/>
      <c r="CE49" s="1415"/>
      <c r="CF49" s="1415"/>
      <c r="CG49" s="1415"/>
      <c r="CH49" s="1415"/>
      <c r="CI49" s="1415"/>
      <c r="CJ49" s="1415"/>
      <c r="CK49" s="1415"/>
      <c r="CL49" s="1415"/>
      <c r="CM49" s="1415"/>
      <c r="CN49" s="1692"/>
      <c r="CO49" s="1367"/>
      <c r="CP49" s="1368"/>
    </row>
    <row r="50" spans="1:94" ht="20.25" x14ac:dyDescent="0.25">
      <c r="A50" s="1680"/>
      <c r="B50" s="1730"/>
      <c r="C50" s="1730"/>
      <c r="D50" s="1406"/>
      <c r="E50" s="1681"/>
      <c r="F50" s="1667"/>
      <c r="G50" s="1667"/>
      <c r="H50" s="1667"/>
      <c r="I50" s="1667"/>
      <c r="J50" s="1406"/>
      <c r="L50" s="1653"/>
      <c r="M50" s="1653"/>
      <c r="N50" s="1653"/>
      <c r="O50" s="1653"/>
      <c r="P50" s="1653"/>
      <c r="Q50" s="1686"/>
      <c r="R50" s="1687"/>
      <c r="S50" s="1688"/>
      <c r="T50" s="1711"/>
      <c r="U50" s="1711"/>
      <c r="V50" s="1711"/>
      <c r="W50" s="1711"/>
      <c r="X50" s="1711"/>
      <c r="Y50" s="1711"/>
      <c r="Z50" s="1711"/>
      <c r="AA50" s="1711"/>
      <c r="AB50" s="1712"/>
      <c r="AC50" s="1641"/>
      <c r="AD50" s="1641"/>
      <c r="AE50" s="1641"/>
      <c r="AF50" s="1641"/>
      <c r="AG50" s="1641"/>
      <c r="AH50" s="1641"/>
      <c r="AI50" s="1641"/>
      <c r="AJ50" s="1641"/>
      <c r="AK50" s="1733"/>
      <c r="AL50" s="1635"/>
      <c r="AM50" s="1734"/>
      <c r="AO50" s="1415"/>
      <c r="AP50" s="1415"/>
      <c r="AQ50" s="1415"/>
      <c r="AR50" s="1415"/>
      <c r="AS50" s="1415"/>
      <c r="AT50" s="1415"/>
      <c r="AU50" s="1415"/>
      <c r="AV50" s="1415"/>
      <c r="AW50" s="1415"/>
      <c r="AX50" s="1415"/>
      <c r="AY50" s="1415"/>
      <c r="AZ50" s="1415"/>
      <c r="BA50" s="1415"/>
      <c r="BB50" s="1415"/>
      <c r="BC50" s="1415"/>
      <c r="BD50" s="1415"/>
      <c r="BE50" s="1415"/>
      <c r="BF50" s="1415"/>
      <c r="BG50" s="1415"/>
      <c r="BH50" s="1415"/>
      <c r="BI50" s="1415"/>
      <c r="BJ50" s="1415"/>
      <c r="BK50" s="1415"/>
      <c r="BL50" s="1415"/>
      <c r="BM50" s="1415"/>
      <c r="BN50" s="1415"/>
      <c r="BO50" s="1415"/>
      <c r="BP50" s="1415"/>
      <c r="BQ50" s="1415"/>
      <c r="BR50" s="1415"/>
      <c r="BS50" s="1415"/>
      <c r="BT50" s="1415"/>
      <c r="BU50" s="1415"/>
      <c r="BV50" s="1415"/>
      <c r="BW50" s="1415"/>
      <c r="BX50" s="1415"/>
      <c r="BY50" s="1415"/>
      <c r="BZ50" s="1415"/>
      <c r="CA50" s="1415"/>
      <c r="CB50" s="1415"/>
      <c r="CC50" s="1415"/>
      <c r="CD50" s="1415"/>
      <c r="CE50" s="1415"/>
      <c r="CF50" s="1415"/>
      <c r="CG50" s="1415"/>
      <c r="CH50" s="1415"/>
      <c r="CI50" s="1415"/>
      <c r="CJ50" s="1415"/>
      <c r="CK50" s="1415"/>
      <c r="CL50" s="1415"/>
      <c r="CM50" s="1415"/>
      <c r="CN50" s="1692"/>
      <c r="CO50" s="1735"/>
      <c r="CP50" s="1368"/>
    </row>
    <row r="51" spans="1:94" x14ac:dyDescent="0.25">
      <c r="A51" s="1680"/>
      <c r="B51" s="1406"/>
      <c r="C51" s="1730"/>
      <c r="D51" s="1406"/>
      <c r="E51" s="1681"/>
      <c r="F51" s="1730"/>
      <c r="G51" s="1730"/>
      <c r="H51" s="1730"/>
      <c r="I51" s="1406"/>
      <c r="J51" s="1406"/>
      <c r="L51" s="1653"/>
      <c r="M51" s="1653"/>
      <c r="N51" s="1653"/>
      <c r="Q51" s="1686"/>
      <c r="R51" s="1687"/>
      <c r="S51" s="1688"/>
      <c r="T51" s="1711"/>
      <c r="U51" s="1711"/>
      <c r="V51" s="1711"/>
      <c r="W51" s="1711"/>
      <c r="X51" s="1711"/>
      <c r="Y51" s="1711"/>
      <c r="Z51" s="1711"/>
      <c r="AA51" s="1711"/>
      <c r="AB51" s="1712"/>
      <c r="AC51" s="1736"/>
      <c r="AD51" s="1737"/>
      <c r="AE51" s="1737"/>
      <c r="AF51" s="1737"/>
      <c r="AG51" s="1737"/>
      <c r="AH51" s="1737"/>
      <c r="AI51" s="1737"/>
      <c r="AJ51" s="1738"/>
      <c r="AK51" s="1733"/>
      <c r="AL51" s="1635"/>
      <c r="AM51" s="1734"/>
      <c r="AO51" s="1416"/>
      <c r="AP51" s="1416"/>
      <c r="AQ51" s="1416"/>
      <c r="AR51" s="1416"/>
      <c r="AS51" s="1416"/>
      <c r="AT51" s="1416"/>
      <c r="AU51" s="1416"/>
      <c r="AV51" s="1416"/>
      <c r="AW51" s="1416"/>
      <c r="AX51" s="1416"/>
      <c r="AY51" s="1416"/>
      <c r="AZ51" s="1416"/>
      <c r="BA51" s="1416"/>
      <c r="BB51" s="1416"/>
      <c r="BC51" s="1416"/>
      <c r="BD51" s="1416"/>
      <c r="BE51" s="1416"/>
      <c r="BF51" s="1416"/>
      <c r="BG51" s="1416"/>
      <c r="BH51" s="1416"/>
      <c r="BI51" s="1416"/>
      <c r="BJ51" s="1416"/>
      <c r="BK51" s="1416"/>
      <c r="BL51" s="1416"/>
      <c r="BM51" s="1416"/>
      <c r="BN51" s="1416"/>
      <c r="BO51" s="1416"/>
      <c r="BP51" s="1416"/>
      <c r="BQ51" s="1416"/>
      <c r="BR51" s="1416"/>
      <c r="BS51" s="1416"/>
      <c r="BT51" s="1416"/>
      <c r="BU51" s="1416"/>
      <c r="BV51" s="1416"/>
      <c r="BW51" s="1416"/>
      <c r="BX51" s="1416"/>
      <c r="BY51" s="1416"/>
      <c r="BZ51" s="1416"/>
      <c r="CA51" s="1416"/>
      <c r="CB51" s="1416"/>
      <c r="CC51" s="1416"/>
      <c r="CD51" s="1416"/>
      <c r="CE51" s="1416"/>
      <c r="CF51" s="1416"/>
      <c r="CG51" s="1416"/>
      <c r="CH51" s="1416"/>
      <c r="CI51" s="1416"/>
      <c r="CJ51" s="1416"/>
      <c r="CK51" s="1416"/>
      <c r="CL51" s="1416"/>
      <c r="CM51" s="1416"/>
      <c r="CN51" s="1739"/>
      <c r="CO51" s="1735"/>
      <c r="CP51" s="1368"/>
    </row>
    <row r="52" spans="1:94" ht="18.75" x14ac:dyDescent="0.25">
      <c r="A52" s="1680"/>
      <c r="B52" s="1730"/>
      <c r="C52" s="1730"/>
      <c r="D52" s="1406"/>
      <c r="E52" s="1410"/>
      <c r="F52" s="1566"/>
      <c r="G52" s="1566"/>
      <c r="H52" s="1566"/>
      <c r="I52" s="1500"/>
      <c r="J52" s="1406"/>
      <c r="L52" s="1653"/>
      <c r="M52" s="1653"/>
      <c r="N52" s="1653"/>
      <c r="Q52" s="1686"/>
      <c r="R52" s="1687"/>
      <c r="S52" s="1688"/>
      <c r="T52" s="1711"/>
      <c r="U52" s="1711"/>
      <c r="V52" s="1711"/>
      <c r="W52" s="1711"/>
      <c r="X52" s="1711"/>
      <c r="Y52" s="1711"/>
      <c r="Z52" s="1711"/>
      <c r="AA52" s="1711"/>
      <c r="AB52" s="1712"/>
      <c r="AC52" s="1740"/>
      <c r="AD52" s="1711"/>
      <c r="AE52" s="1711"/>
      <c r="AF52" s="1711"/>
      <c r="AG52" s="1711"/>
      <c r="AH52" s="1711"/>
      <c r="AI52" s="1711"/>
      <c r="AJ52" s="1741"/>
      <c r="AK52" s="1742"/>
      <c r="AL52" s="1728"/>
      <c r="AM52" s="1743"/>
      <c r="AO52" s="1416"/>
      <c r="AP52" s="1416"/>
      <c r="AQ52" s="1416"/>
      <c r="AR52" s="1416"/>
      <c r="AS52" s="1416"/>
      <c r="AT52" s="1416"/>
      <c r="AU52" s="1416"/>
      <c r="AV52" s="1416"/>
      <c r="AW52" s="1416"/>
      <c r="AX52" s="1416"/>
      <c r="AY52" s="1416"/>
      <c r="AZ52" s="1416"/>
      <c r="BA52" s="1416"/>
      <c r="BB52" s="1416"/>
      <c r="BC52" s="1416"/>
      <c r="BD52" s="1416"/>
      <c r="BE52" s="1416"/>
      <c r="BF52" s="1416"/>
      <c r="BG52" s="1416"/>
      <c r="BH52" s="1416"/>
      <c r="BI52" s="1416"/>
      <c r="BJ52" s="1416"/>
      <c r="BK52" s="1416"/>
      <c r="BL52" s="1416"/>
      <c r="BM52" s="1416"/>
      <c r="BN52" s="1416"/>
      <c r="BO52" s="1416"/>
      <c r="BP52" s="1416"/>
      <c r="BQ52" s="1416"/>
      <c r="BR52" s="1416"/>
      <c r="BS52" s="1416"/>
      <c r="BT52" s="1416"/>
      <c r="BU52" s="1416"/>
      <c r="BV52" s="1416"/>
      <c r="BW52" s="1416"/>
      <c r="BX52" s="1416"/>
      <c r="BY52" s="1416"/>
      <c r="BZ52" s="1416"/>
      <c r="CA52" s="1416"/>
      <c r="CB52" s="1416"/>
      <c r="CC52" s="1416"/>
      <c r="CD52" s="1416"/>
      <c r="CE52" s="1416"/>
      <c r="CF52" s="1416"/>
      <c r="CG52" s="1416"/>
      <c r="CH52" s="1416"/>
      <c r="CI52" s="1416"/>
      <c r="CJ52" s="1416"/>
      <c r="CK52" s="1416"/>
      <c r="CL52" s="1416"/>
      <c r="CM52" s="1416"/>
      <c r="CN52" s="1739"/>
      <c r="CO52" s="1735"/>
      <c r="CP52" s="1368"/>
    </row>
    <row r="53" spans="1:94" ht="15.75" x14ac:dyDescent="0.25">
      <c r="A53" s="1680"/>
      <c r="B53" s="1730"/>
      <c r="C53" s="1730"/>
      <c r="D53" s="1406"/>
      <c r="E53" s="1681"/>
      <c r="F53" s="1744"/>
      <c r="G53" s="1744"/>
      <c r="H53" s="1744"/>
      <c r="I53" s="1406"/>
      <c r="J53" s="1406"/>
      <c r="L53" s="1653"/>
      <c r="M53" s="1653"/>
      <c r="N53" s="1653"/>
      <c r="Q53" s="1686"/>
      <c r="R53" s="1687"/>
      <c r="S53" s="1688"/>
      <c r="T53" s="1711"/>
      <c r="U53" s="1711"/>
      <c r="V53" s="1711"/>
      <c r="W53" s="1711"/>
      <c r="X53" s="1711"/>
      <c r="Y53" s="1711"/>
      <c r="Z53" s="1711"/>
      <c r="AA53" s="1711"/>
      <c r="AB53" s="1712"/>
      <c r="AC53" s="1740"/>
      <c r="AD53" s="1711"/>
      <c r="AE53" s="1711"/>
      <c r="AF53" s="1711"/>
      <c r="AG53" s="1711"/>
      <c r="AH53" s="1711"/>
      <c r="AI53" s="1711"/>
      <c r="AJ53" s="1741"/>
      <c r="AK53" s="1745"/>
      <c r="AL53" s="1746"/>
      <c r="AM53" s="1747"/>
      <c r="AO53" s="1416"/>
      <c r="AP53" s="1416"/>
      <c r="AQ53" s="1416"/>
      <c r="AR53" s="1416"/>
      <c r="AS53" s="1416"/>
      <c r="AT53" s="1416"/>
      <c r="AU53" s="1416"/>
      <c r="AV53" s="1416"/>
      <c r="AW53" s="1416"/>
      <c r="AX53" s="1416"/>
      <c r="AY53" s="1416"/>
      <c r="AZ53" s="1416"/>
      <c r="BA53" s="1416"/>
      <c r="BB53" s="1416"/>
      <c r="BC53" s="1416"/>
      <c r="BD53" s="1416"/>
      <c r="BE53" s="1416"/>
      <c r="BF53" s="1416"/>
      <c r="BG53" s="1416"/>
      <c r="BH53" s="1416"/>
      <c r="BI53" s="1416"/>
      <c r="BJ53" s="1416"/>
      <c r="BK53" s="1416"/>
      <c r="BL53" s="1416"/>
      <c r="BM53" s="1416"/>
      <c r="BN53" s="1416"/>
      <c r="BO53" s="1416"/>
      <c r="BP53" s="1416"/>
      <c r="BQ53" s="1416"/>
      <c r="BR53" s="1416"/>
      <c r="BS53" s="1416"/>
      <c r="BT53" s="1416"/>
      <c r="BU53" s="1416"/>
      <c r="BV53" s="1416"/>
      <c r="BW53" s="1416"/>
      <c r="BX53" s="1416"/>
      <c r="BY53" s="1416"/>
      <c r="BZ53" s="1416"/>
      <c r="CA53" s="1416"/>
      <c r="CB53" s="1416"/>
      <c r="CC53" s="1416"/>
      <c r="CD53" s="1416"/>
      <c r="CE53" s="1416"/>
      <c r="CF53" s="1416"/>
      <c r="CG53" s="1416"/>
      <c r="CH53" s="1416"/>
      <c r="CI53" s="1416"/>
      <c r="CJ53" s="1416"/>
      <c r="CK53" s="1416"/>
      <c r="CL53" s="1416"/>
      <c r="CM53" s="1416"/>
      <c r="CN53" s="1739"/>
      <c r="CO53" s="1735"/>
      <c r="CP53" s="1368"/>
    </row>
    <row r="54" spans="1:94" ht="16.5" thickBot="1" x14ac:dyDescent="0.3">
      <c r="A54" s="1680"/>
      <c r="B54" s="1730"/>
      <c r="C54" s="1730"/>
      <c r="D54" s="1406"/>
      <c r="E54" s="1666"/>
      <c r="F54" s="1744"/>
      <c r="G54" s="1744"/>
      <c r="H54" s="1744"/>
      <c r="I54" s="1406"/>
      <c r="J54" s="1406"/>
      <c r="L54" s="1653"/>
      <c r="M54" s="1653"/>
      <c r="N54" s="1653"/>
      <c r="Q54" s="1686"/>
      <c r="R54" s="1687"/>
      <c r="S54" s="1688"/>
      <c r="T54" s="1748"/>
      <c r="U54" s="1748"/>
      <c r="V54" s="1748"/>
      <c r="W54" s="1748"/>
      <c r="X54" s="1748"/>
      <c r="Y54" s="1748"/>
      <c r="Z54" s="1748"/>
      <c r="AA54" s="1748"/>
      <c r="AB54" s="1749"/>
      <c r="AC54" s="1740"/>
      <c r="AD54" s="1711"/>
      <c r="AE54" s="1711"/>
      <c r="AF54" s="1711"/>
      <c r="AG54" s="1711"/>
      <c r="AH54" s="1711"/>
      <c r="AI54" s="1711"/>
      <c r="AJ54" s="1741"/>
      <c r="AK54" s="1750"/>
      <c r="AL54" s="1751"/>
      <c r="AM54" s="1752"/>
      <c r="CO54" s="1735"/>
      <c r="CP54" s="1368"/>
    </row>
    <row r="55" spans="1:94" ht="15.75" x14ac:dyDescent="0.25">
      <c r="A55" s="1680"/>
      <c r="B55" s="1753"/>
      <c r="C55" s="1730"/>
      <c r="D55" s="1406"/>
      <c r="E55" s="1409"/>
      <c r="F55" s="1566"/>
      <c r="G55" s="1566"/>
      <c r="H55" s="1566"/>
      <c r="I55" s="1406"/>
      <c r="J55" s="1406"/>
      <c r="Q55" s="1686"/>
      <c r="R55" s="1687"/>
      <c r="S55" s="1688"/>
      <c r="T55" s="1367"/>
      <c r="U55" s="1367"/>
      <c r="V55" s="1367"/>
      <c r="W55" s="1367"/>
      <c r="X55" s="1367"/>
      <c r="Y55" s="1367"/>
      <c r="Z55" s="1367"/>
      <c r="AA55" s="1367"/>
      <c r="AB55" s="1754"/>
      <c r="AC55" s="1754"/>
      <c r="AD55" s="1754"/>
      <c r="AE55" s="1754"/>
      <c r="AF55" s="1754"/>
      <c r="AG55" s="1754"/>
      <c r="AH55" s="1754"/>
      <c r="AI55" s="1754"/>
      <c r="AJ55" s="1754"/>
      <c r="AK55" s="1754"/>
      <c r="AL55" s="1754"/>
      <c r="AM55" s="1754"/>
      <c r="AN55" s="1754"/>
      <c r="AO55" s="1754"/>
      <c r="AP55" s="1754"/>
      <c r="AQ55" s="1754"/>
      <c r="AR55" s="1754"/>
      <c r="AS55" s="1754"/>
      <c r="AT55" s="1754"/>
      <c r="AU55" s="1754"/>
      <c r="AV55" s="1754"/>
      <c r="AW55" s="1754"/>
      <c r="AX55" s="1754"/>
      <c r="AY55" s="1754"/>
      <c r="AZ55" s="1754"/>
      <c r="BA55" s="1754"/>
      <c r="BB55" s="1754"/>
      <c r="BC55" s="1754"/>
      <c r="BD55" s="1754"/>
      <c r="BE55" s="1754"/>
      <c r="BF55" s="1754"/>
      <c r="BG55" s="1754"/>
      <c r="BH55" s="1754"/>
      <c r="BI55" s="1754"/>
      <c r="BJ55" s="1754"/>
      <c r="BK55" s="1754"/>
      <c r="BL55" s="1754"/>
      <c r="BM55" s="1754"/>
      <c r="BN55" s="1754"/>
      <c r="BO55" s="1754"/>
      <c r="BP55" s="1754"/>
      <c r="BQ55" s="1754"/>
      <c r="BR55" s="1754"/>
      <c r="BS55" s="1754"/>
      <c r="BT55" s="1754"/>
      <c r="BU55" s="1754"/>
      <c r="BV55" s="1754"/>
      <c r="BW55" s="1754"/>
      <c r="BX55" s="1754"/>
      <c r="BY55" s="1754"/>
      <c r="BZ55" s="1754"/>
      <c r="CA55" s="1754"/>
      <c r="CB55" s="1754"/>
      <c r="CC55" s="1754"/>
      <c r="CD55" s="1754"/>
      <c r="CE55" s="1754"/>
      <c r="CF55" s="1754"/>
      <c r="CG55" s="1754"/>
      <c r="CH55" s="1754"/>
      <c r="CI55" s="1754"/>
      <c r="CJ55" s="1754"/>
      <c r="CK55" s="1754"/>
      <c r="CL55" s="1754"/>
      <c r="CM55" s="1754"/>
      <c r="CN55" s="1754"/>
      <c r="CO55" s="1367"/>
      <c r="CP55" s="1367"/>
    </row>
    <row r="56" spans="1:94" ht="15.75" x14ac:dyDescent="0.25">
      <c r="A56" s="1680"/>
      <c r="B56" s="1753"/>
      <c r="C56" s="1730"/>
      <c r="D56" s="1406"/>
      <c r="E56" s="1409"/>
      <c r="F56" s="1730"/>
      <c r="G56" s="1730"/>
      <c r="H56" s="1730"/>
      <c r="I56" s="1730"/>
      <c r="J56" s="1406"/>
      <c r="Q56" s="1686"/>
      <c r="R56" s="1687"/>
      <c r="S56" s="1688"/>
      <c r="T56" s="1367"/>
      <c r="U56" s="1367"/>
      <c r="V56" s="1367"/>
      <c r="W56" s="1367"/>
      <c r="X56" s="1367"/>
      <c r="Y56" s="1367"/>
      <c r="Z56" s="1367"/>
      <c r="AA56" s="1367"/>
      <c r="AB56" s="1367"/>
      <c r="AC56" s="1367"/>
      <c r="AD56" s="1367"/>
      <c r="AE56" s="1367"/>
      <c r="AF56" s="1367"/>
      <c r="AG56" s="1367"/>
      <c r="AH56" s="1367"/>
      <c r="AI56" s="1367"/>
      <c r="AJ56" s="1367"/>
      <c r="AK56" s="1367"/>
      <c r="AL56" s="1367"/>
      <c r="AM56" s="1367"/>
      <c r="AN56" s="1367"/>
      <c r="AO56" s="1367"/>
      <c r="AP56" s="1367"/>
      <c r="AQ56" s="1367"/>
      <c r="AR56" s="1367"/>
      <c r="AS56" s="1367"/>
      <c r="AT56" s="1367"/>
      <c r="AU56" s="1367"/>
      <c r="AV56" s="1367"/>
      <c r="AW56" s="1367"/>
      <c r="AX56" s="1367"/>
      <c r="AY56" s="1367"/>
      <c r="AZ56" s="1367"/>
      <c r="BA56" s="1367"/>
      <c r="BB56" s="1367"/>
      <c r="BC56" s="1367"/>
      <c r="BD56" s="1367"/>
      <c r="BE56" s="1367"/>
      <c r="BF56" s="1367"/>
      <c r="BG56" s="1367"/>
      <c r="BH56" s="1367"/>
      <c r="BI56" s="1367"/>
      <c r="BJ56" s="1367"/>
      <c r="BK56" s="1367"/>
      <c r="BL56" s="1367"/>
      <c r="BM56" s="1367"/>
      <c r="BN56" s="1367"/>
      <c r="BO56" s="1367"/>
      <c r="BP56" s="1367"/>
      <c r="BQ56" s="1367"/>
      <c r="BR56" s="1367"/>
      <c r="BS56" s="1367"/>
      <c r="BT56" s="1367"/>
      <c r="BU56" s="1367"/>
      <c r="BV56" s="1367"/>
      <c r="BW56" s="1367"/>
      <c r="BX56" s="1367"/>
      <c r="BY56" s="1367"/>
      <c r="BZ56" s="1367"/>
      <c r="CA56" s="1367"/>
      <c r="CB56" s="1367"/>
      <c r="CC56" s="1367"/>
      <c r="CD56" s="1367"/>
      <c r="CE56" s="1367"/>
      <c r="CF56" s="1367"/>
      <c r="CG56" s="1367"/>
      <c r="CH56" s="1367"/>
      <c r="CI56" s="1367"/>
      <c r="CJ56" s="1367"/>
      <c r="CK56" s="1367"/>
      <c r="CL56" s="1367"/>
      <c r="CM56" s="1367"/>
      <c r="CN56" s="1367"/>
      <c r="CO56" s="1367"/>
      <c r="CP56" s="1367"/>
    </row>
    <row r="57" spans="1:94" ht="15.75" x14ac:dyDescent="0.25">
      <c r="A57" s="1680"/>
      <c r="B57" s="1753"/>
      <c r="C57" s="1730"/>
      <c r="D57" s="1755"/>
      <c r="E57" s="1409"/>
      <c r="F57" s="1406"/>
      <c r="G57" s="1406"/>
      <c r="H57" s="1406"/>
      <c r="I57" s="1406"/>
      <c r="J57" s="1730"/>
      <c r="Q57" s="1686"/>
      <c r="R57" s="1687"/>
      <c r="S57" s="1688"/>
      <c r="T57" s="1367"/>
      <c r="U57" s="1367"/>
      <c r="V57" s="1367"/>
      <c r="W57" s="1367"/>
      <c r="X57" s="1367"/>
      <c r="Y57" s="1367"/>
      <c r="Z57" s="1367"/>
      <c r="AA57" s="1367"/>
      <c r="AB57" s="1367"/>
      <c r="AC57" s="1367"/>
      <c r="AD57" s="1367"/>
      <c r="AE57" s="1367"/>
      <c r="AF57" s="1367"/>
      <c r="AG57" s="1367"/>
      <c r="AH57" s="1367"/>
      <c r="AI57" s="1367"/>
      <c r="AJ57" s="1367"/>
      <c r="AK57" s="1367"/>
      <c r="AL57" s="1367"/>
      <c r="AM57" s="1367"/>
      <c r="AN57" s="1367"/>
      <c r="AO57" s="1367"/>
      <c r="AP57" s="1367"/>
      <c r="AQ57" s="1367"/>
      <c r="AR57" s="1367"/>
      <c r="AS57" s="1367"/>
      <c r="AT57" s="1367"/>
      <c r="AU57" s="1367"/>
      <c r="AV57" s="1367"/>
      <c r="AW57" s="1367"/>
      <c r="AX57" s="1367"/>
      <c r="AY57" s="1367"/>
      <c r="AZ57" s="1367"/>
      <c r="BA57" s="1367"/>
      <c r="BB57" s="1367"/>
      <c r="BC57" s="1367"/>
      <c r="BD57" s="1367"/>
      <c r="BE57" s="1367"/>
      <c r="BF57" s="1367"/>
      <c r="BG57" s="1367"/>
      <c r="BH57" s="1367"/>
      <c r="BI57" s="1367"/>
      <c r="BJ57" s="1367"/>
      <c r="BK57" s="1367"/>
      <c r="BL57" s="1367"/>
      <c r="BP57" s="1367"/>
      <c r="BQ57" s="1367"/>
      <c r="BR57" s="1367"/>
      <c r="BS57" s="1367"/>
      <c r="BT57" s="1367"/>
      <c r="BU57" s="1367"/>
      <c r="BV57" s="1367"/>
      <c r="BW57" s="1367"/>
      <c r="BX57" s="1367"/>
      <c r="BY57" s="1367"/>
      <c r="BZ57" s="1367"/>
      <c r="CA57" s="1367"/>
      <c r="CB57" s="1367"/>
      <c r="CC57" s="1367"/>
      <c r="CD57" s="1367"/>
      <c r="CE57" s="1367"/>
      <c r="CF57" s="1367"/>
      <c r="CG57" s="1367"/>
      <c r="CH57" s="1367"/>
      <c r="CI57" s="1367"/>
      <c r="CJ57" s="1367"/>
      <c r="CK57" s="1367"/>
      <c r="CL57" s="1367"/>
      <c r="CM57" s="1367"/>
      <c r="CN57" s="1367"/>
      <c r="CO57" s="1367"/>
      <c r="CP57" s="1367"/>
    </row>
    <row r="58" spans="1:94" x14ac:dyDescent="0.25">
      <c r="A58" s="1680"/>
      <c r="B58" s="1730"/>
      <c r="C58" s="1730"/>
      <c r="D58" s="1406"/>
      <c r="E58" s="1409"/>
      <c r="F58" s="1406"/>
      <c r="G58" s="1406"/>
      <c r="H58" s="1406"/>
      <c r="I58" s="1406"/>
      <c r="J58" s="1406"/>
      <c r="Q58" s="1686"/>
      <c r="R58" s="1687"/>
      <c r="S58" s="1688"/>
      <c r="T58" s="1367"/>
      <c r="U58" s="1367"/>
      <c r="V58" s="1367"/>
      <c r="W58" s="1367"/>
      <c r="X58" s="1367"/>
      <c r="Y58" s="1367"/>
      <c r="Z58" s="1367"/>
      <c r="AA58" s="1367"/>
      <c r="AB58" s="1367"/>
      <c r="AC58" s="1367"/>
      <c r="AD58" s="1367"/>
      <c r="AE58" s="1367"/>
      <c r="AF58" s="1367"/>
      <c r="AG58" s="1367"/>
      <c r="AH58" s="1367"/>
      <c r="AI58" s="1367"/>
      <c r="AJ58" s="1367"/>
      <c r="AK58" s="1367"/>
      <c r="AL58" s="1367"/>
      <c r="AM58" s="1367"/>
      <c r="AN58" s="1367"/>
      <c r="AO58" s="1367"/>
      <c r="AP58" s="1367"/>
      <c r="AQ58" s="1367"/>
      <c r="AR58" s="1367"/>
      <c r="AS58" s="1367"/>
      <c r="AT58" s="1367"/>
      <c r="AU58" s="1367"/>
      <c r="AV58" s="1367"/>
      <c r="AW58" s="1367"/>
      <c r="AX58" s="1367"/>
      <c r="AY58" s="1367"/>
      <c r="AZ58" s="1367"/>
      <c r="BA58" s="1367"/>
      <c r="BB58" s="1367"/>
      <c r="BC58" s="1367"/>
      <c r="BD58" s="1367"/>
      <c r="BE58" s="1367"/>
      <c r="BF58" s="1367"/>
      <c r="BG58" s="1367"/>
      <c r="BH58" s="1367"/>
      <c r="BI58" s="1367"/>
      <c r="BJ58" s="1367"/>
      <c r="BK58" s="1367"/>
      <c r="BL58" s="1367"/>
      <c r="BP58" s="1756"/>
      <c r="BQ58" s="1756"/>
      <c r="BR58" s="1756"/>
      <c r="BS58" s="1756"/>
      <c r="BT58" s="1756"/>
      <c r="BU58" s="1756"/>
      <c r="BV58" s="1756"/>
      <c r="BW58" s="1756"/>
      <c r="BX58" s="1756"/>
      <c r="BY58" s="1756"/>
      <c r="BZ58" s="1756"/>
      <c r="CA58" s="1756"/>
      <c r="CB58" s="1756"/>
      <c r="CC58" s="1756"/>
      <c r="CD58" s="1756"/>
      <c r="CE58" s="1756"/>
      <c r="CF58" s="1756"/>
      <c r="CG58" s="1756"/>
      <c r="CH58" s="1756"/>
      <c r="CI58" s="1756"/>
      <c r="CJ58" s="1756"/>
      <c r="CK58" s="1756"/>
      <c r="CL58" s="1394"/>
      <c r="CM58" s="1394"/>
      <c r="CN58" s="1394"/>
      <c r="CO58" s="1367"/>
      <c r="CP58" s="1367"/>
    </row>
    <row r="59" spans="1:94" x14ac:dyDescent="0.25">
      <c r="A59" s="1680"/>
      <c r="B59" s="1464"/>
      <c r="C59" s="1406"/>
      <c r="D59" s="1406"/>
      <c r="E59" s="1730"/>
      <c r="F59" s="1757"/>
      <c r="G59" s="1406"/>
      <c r="H59" s="1406"/>
      <c r="I59" s="1406"/>
      <c r="J59" s="1406"/>
      <c r="Q59" s="1686"/>
      <c r="R59" s="1687"/>
      <c r="S59" s="1688"/>
      <c r="T59" s="1367"/>
      <c r="U59" s="1367"/>
      <c r="V59" s="1367"/>
      <c r="W59" s="1367"/>
      <c r="X59" s="1367"/>
      <c r="Y59" s="1367"/>
      <c r="Z59" s="1367"/>
      <c r="AA59" s="1367"/>
      <c r="AB59" s="1367"/>
      <c r="AC59" s="1367"/>
      <c r="AD59" s="1367"/>
      <c r="AE59" s="1367"/>
      <c r="AF59" s="1367"/>
      <c r="AG59" s="1367"/>
      <c r="AH59" s="1367"/>
      <c r="AI59" s="1367"/>
      <c r="AJ59" s="1367"/>
      <c r="AK59" s="1367"/>
      <c r="AL59" s="1367"/>
      <c r="AM59" s="1367"/>
      <c r="AN59" s="1367"/>
      <c r="AO59" s="1756"/>
      <c r="AP59" s="1756"/>
      <c r="AQ59" s="1756"/>
      <c r="AR59" s="1756"/>
      <c r="AS59" s="1756"/>
      <c r="AT59" s="1756"/>
      <c r="AU59" s="1756"/>
      <c r="AV59" s="1756"/>
      <c r="AW59" s="1756"/>
      <c r="AX59" s="1756"/>
      <c r="AY59" s="1756"/>
      <c r="AZ59" s="1756"/>
      <c r="BA59" s="1756"/>
      <c r="BB59" s="1756"/>
      <c r="BC59" s="1756"/>
      <c r="BD59" s="1756"/>
      <c r="BE59" s="1756"/>
      <c r="BF59" s="1756"/>
      <c r="BG59" s="1756"/>
      <c r="BH59" s="1756"/>
      <c r="BI59" s="1756"/>
      <c r="BJ59" s="1756"/>
      <c r="BK59" s="1756"/>
      <c r="BL59" s="1756"/>
      <c r="BM59" s="1756"/>
      <c r="BN59" s="1756"/>
      <c r="BO59" s="1756"/>
      <c r="BP59" s="1756"/>
      <c r="BQ59" s="1756"/>
      <c r="BR59" s="1756"/>
      <c r="BS59" s="1756"/>
      <c r="BT59" s="1756"/>
      <c r="BU59" s="1756"/>
      <c r="BV59" s="1756"/>
      <c r="BW59" s="1756"/>
      <c r="BX59" s="1756"/>
      <c r="BY59" s="1756"/>
      <c r="BZ59" s="1756"/>
      <c r="CA59" s="1756"/>
      <c r="CB59" s="1756"/>
      <c r="CC59" s="1756"/>
      <c r="CD59" s="1756"/>
      <c r="CE59" s="1756"/>
      <c r="CF59" s="1756"/>
      <c r="CG59" s="1756"/>
      <c r="CH59" s="1756"/>
      <c r="CI59" s="1756"/>
      <c r="CJ59" s="1756"/>
      <c r="CK59" s="1756"/>
      <c r="CL59" s="1394"/>
      <c r="CM59" s="1394"/>
      <c r="CN59" s="1394"/>
      <c r="CO59" s="1367"/>
      <c r="CP59" s="1367"/>
    </row>
    <row r="60" spans="1:94" ht="15.75" x14ac:dyDescent="0.25">
      <c r="A60" s="1680"/>
      <c r="B60" s="1594"/>
      <c r="C60" s="1406"/>
      <c r="D60" s="1406"/>
      <c r="E60" s="1653"/>
      <c r="F60" s="1722"/>
      <c r="J60" s="1470"/>
      <c r="K60" s="1470"/>
      <c r="L60" s="1470"/>
      <c r="M60" s="1470"/>
      <c r="Q60" s="1686"/>
      <c r="R60" s="1687"/>
      <c r="S60" s="1688"/>
      <c r="T60" s="1756"/>
      <c r="U60" s="1756"/>
      <c r="V60" s="1756"/>
      <c r="W60" s="1756"/>
      <c r="X60" s="1756"/>
      <c r="Y60" s="1756"/>
      <c r="Z60" s="1756"/>
      <c r="AA60" s="1756"/>
      <c r="AB60" s="1756"/>
      <c r="AC60" s="1758"/>
      <c r="AD60" s="1758"/>
      <c r="AE60" s="1758"/>
      <c r="AF60" s="1758"/>
      <c r="AG60" s="1758"/>
      <c r="AH60" s="1756"/>
      <c r="AI60" s="1756"/>
      <c r="AJ60" s="1756"/>
      <c r="AK60" s="1756"/>
      <c r="AL60" s="1756"/>
      <c r="AM60" s="1756"/>
      <c r="AN60" s="1756"/>
      <c r="AO60" s="1756"/>
      <c r="AP60" s="1756"/>
      <c r="AQ60" s="1756"/>
      <c r="AR60" s="1756"/>
      <c r="AS60" s="1756"/>
      <c r="AT60" s="1756"/>
      <c r="AU60" s="1756"/>
      <c r="AV60" s="1756"/>
      <c r="AW60" s="1756"/>
      <c r="AX60" s="1756"/>
      <c r="AY60" s="1756"/>
      <c r="AZ60" s="1756"/>
      <c r="BA60" s="1756"/>
      <c r="BB60" s="1756"/>
      <c r="BC60" s="1756"/>
      <c r="BD60" s="1756"/>
      <c r="BE60" s="1756"/>
      <c r="BF60" s="1756"/>
      <c r="BG60" s="1756"/>
      <c r="BH60" s="1756"/>
      <c r="BI60" s="1756"/>
      <c r="BJ60" s="1756"/>
      <c r="BK60" s="1756"/>
      <c r="BL60" s="1756"/>
      <c r="BM60" s="1756"/>
      <c r="BN60" s="1756"/>
      <c r="BO60" s="1756"/>
      <c r="BP60" s="1756"/>
      <c r="BQ60" s="1756"/>
      <c r="BR60" s="1756"/>
      <c r="BS60" s="1756"/>
      <c r="BT60" s="1756"/>
      <c r="BU60" s="1756"/>
      <c r="BV60" s="1756"/>
      <c r="BW60" s="1756"/>
      <c r="BX60" s="1756"/>
      <c r="BY60" s="1756"/>
      <c r="BZ60" s="1756"/>
      <c r="CA60" s="1756"/>
      <c r="CB60" s="1756"/>
      <c r="CC60" s="1756"/>
      <c r="CD60" s="1756"/>
      <c r="CE60" s="1756"/>
      <c r="CF60" s="1756"/>
      <c r="CG60" s="1756"/>
      <c r="CH60" s="1756"/>
      <c r="CI60" s="1756"/>
      <c r="CJ60" s="1756"/>
      <c r="CK60" s="1756"/>
      <c r="CL60" s="1394"/>
      <c r="CM60" s="1394"/>
      <c r="CN60" s="1394"/>
      <c r="CO60" s="1367"/>
      <c r="CP60" s="1367"/>
    </row>
    <row r="61" spans="1:94" ht="21" x14ac:dyDescent="0.25">
      <c r="A61" s="1680"/>
      <c r="B61" s="1594"/>
      <c r="C61" s="1406"/>
      <c r="D61" s="1406"/>
      <c r="F61" s="1759"/>
      <c r="J61" s="1470"/>
      <c r="K61" s="1470"/>
      <c r="L61" s="1470"/>
      <c r="M61" s="1470"/>
      <c r="Q61" s="1686"/>
      <c r="R61" s="1687"/>
      <c r="S61" s="1688"/>
      <c r="T61" s="1756"/>
      <c r="U61" s="1756"/>
      <c r="V61" s="1756"/>
      <c r="W61" s="1756"/>
      <c r="X61" s="1756"/>
      <c r="Y61" s="1367"/>
      <c r="Z61" s="1367"/>
      <c r="AA61" s="1367"/>
      <c r="AB61" s="1367"/>
      <c r="AC61" s="1758"/>
      <c r="AD61" s="1758"/>
      <c r="AE61" s="1758"/>
      <c r="AF61" s="1758"/>
      <c r="AG61" s="1758"/>
      <c r="AH61" s="1756"/>
      <c r="AI61" s="1756"/>
      <c r="AJ61" s="1756"/>
      <c r="AK61" s="1756"/>
      <c r="AL61" s="1756"/>
      <c r="AM61" s="1756"/>
      <c r="AN61" s="1756"/>
      <c r="AO61" s="1756"/>
      <c r="AP61" s="1756"/>
      <c r="AQ61" s="1756"/>
      <c r="AR61" s="1756"/>
      <c r="AS61" s="1756"/>
      <c r="AT61" s="1756"/>
      <c r="AU61" s="1756"/>
      <c r="AV61" s="1756"/>
      <c r="AW61" s="1756"/>
      <c r="AX61" s="1756"/>
      <c r="AY61" s="1756"/>
      <c r="AZ61" s="1756"/>
      <c r="BA61" s="1756"/>
      <c r="BB61" s="1756"/>
      <c r="BC61" s="1756"/>
      <c r="BD61" s="1756"/>
      <c r="BE61" s="1756"/>
      <c r="BF61" s="1756"/>
      <c r="BG61" s="1756"/>
      <c r="BH61" s="1756"/>
      <c r="BI61" s="1756"/>
      <c r="BJ61" s="1756"/>
      <c r="BK61" s="1756"/>
      <c r="BL61" s="1756"/>
      <c r="BM61" s="1756"/>
      <c r="BN61" s="1756"/>
      <c r="BO61" s="1756"/>
      <c r="BP61" s="1756"/>
      <c r="BQ61" s="1756"/>
      <c r="BR61" s="1756"/>
      <c r="BS61" s="1756"/>
      <c r="BT61" s="1756"/>
      <c r="BU61" s="1756"/>
      <c r="BV61" s="1756"/>
      <c r="BW61" s="1756"/>
      <c r="BX61" s="1756"/>
      <c r="BY61" s="1756"/>
      <c r="BZ61" s="1756"/>
      <c r="CA61" s="1756"/>
      <c r="CB61" s="1756"/>
      <c r="CC61" s="1756"/>
      <c r="CD61" s="1756"/>
      <c r="CE61" s="1756"/>
      <c r="CF61" s="1756"/>
      <c r="CG61" s="1756"/>
      <c r="CH61" s="1756"/>
      <c r="CI61" s="1756"/>
      <c r="CJ61" s="1756"/>
      <c r="CK61" s="1756"/>
      <c r="CL61" s="1394"/>
      <c r="CM61" s="1394"/>
      <c r="CN61" s="1394"/>
      <c r="CO61" s="1367"/>
      <c r="CP61" s="1367"/>
    </row>
    <row r="62" spans="1:94" ht="21" x14ac:dyDescent="0.25">
      <c r="A62" s="1680"/>
      <c r="B62" s="1760"/>
      <c r="C62" s="1406"/>
      <c r="D62" s="1406"/>
      <c r="E62" s="1406"/>
      <c r="F62" s="1761"/>
      <c r="G62" s="1761"/>
      <c r="H62" s="1761"/>
      <c r="I62" s="1759"/>
      <c r="J62" s="1476"/>
      <c r="K62" s="1470"/>
      <c r="L62" s="1470"/>
      <c r="M62" s="1470"/>
      <c r="P62" s="1762"/>
      <c r="Q62" s="1686"/>
      <c r="R62" s="1687"/>
      <c r="S62" s="1688"/>
      <c r="T62" s="1756"/>
      <c r="U62" s="1756"/>
      <c r="V62" s="1756"/>
      <c r="W62" s="1756"/>
      <c r="X62" s="1756"/>
      <c r="Y62" s="1756"/>
      <c r="Z62" s="1756"/>
      <c r="AA62" s="1756"/>
      <c r="AB62" s="1756"/>
      <c r="AJ62" s="1756"/>
      <c r="AK62" s="1756"/>
      <c r="AL62" s="1756"/>
      <c r="AM62" s="1756"/>
      <c r="AN62" s="1756"/>
      <c r="AO62" s="1756"/>
      <c r="AP62" s="1756"/>
      <c r="AQ62" s="1756"/>
      <c r="AR62" s="1756"/>
      <c r="AS62" s="1756"/>
      <c r="AT62" s="1756"/>
      <c r="AU62" s="1756"/>
      <c r="AV62" s="1756"/>
      <c r="AW62" s="1756"/>
      <c r="AX62" s="1756"/>
      <c r="AY62" s="1756"/>
      <c r="AZ62" s="1756"/>
      <c r="BA62" s="1756"/>
      <c r="BB62" s="1756"/>
      <c r="BC62" s="1756"/>
      <c r="BD62" s="1756"/>
      <c r="BE62" s="1756"/>
      <c r="BF62" s="1756"/>
      <c r="BG62" s="1756"/>
      <c r="BH62" s="1756"/>
      <c r="BI62" s="1756"/>
      <c r="BJ62" s="1756"/>
      <c r="BK62" s="1756"/>
      <c r="BL62" s="1756"/>
      <c r="BM62" s="1756"/>
      <c r="BN62" s="1756"/>
      <c r="BO62" s="1756"/>
      <c r="BP62" s="1756"/>
      <c r="BQ62" s="1756"/>
      <c r="BR62" s="1756"/>
      <c r="BS62" s="1756"/>
      <c r="BT62" s="1756"/>
      <c r="BU62" s="1756"/>
      <c r="BV62" s="1756"/>
      <c r="BW62" s="1756"/>
      <c r="BX62" s="1756"/>
      <c r="BY62" s="1756"/>
      <c r="BZ62" s="1756"/>
      <c r="CA62" s="1756"/>
      <c r="CB62" s="1756"/>
      <c r="CC62" s="1756"/>
      <c r="CD62" s="1756"/>
      <c r="CE62" s="1756"/>
      <c r="CF62" s="1756"/>
      <c r="CG62" s="1756"/>
      <c r="CH62" s="1756"/>
      <c r="CI62" s="1756"/>
      <c r="CJ62" s="1756"/>
      <c r="CK62" s="1756"/>
      <c r="CL62" s="1394"/>
      <c r="CM62" s="1394"/>
      <c r="CN62" s="1394"/>
      <c r="CO62" s="1367"/>
      <c r="CP62" s="1367"/>
    </row>
    <row r="63" spans="1:94" ht="18.75" x14ac:dyDescent="0.3">
      <c r="A63" s="1680"/>
      <c r="B63" s="1760"/>
      <c r="C63" s="1406"/>
      <c r="D63" s="1406"/>
      <c r="E63" s="1406"/>
      <c r="F63" s="1454"/>
      <c r="G63" s="1763"/>
      <c r="H63" s="1763"/>
      <c r="I63" s="1454"/>
      <c r="J63" s="1406"/>
      <c r="K63" s="1459"/>
      <c r="L63" s="1468"/>
      <c r="M63" s="1693"/>
      <c r="N63" s="1468"/>
      <c r="O63" s="1693"/>
      <c r="Q63" s="1686"/>
      <c r="R63" s="1687"/>
      <c r="S63" s="1688"/>
      <c r="T63" s="1756"/>
      <c r="V63" s="1367"/>
      <c r="W63" s="1367"/>
      <c r="X63" s="1367"/>
      <c r="Y63" s="1367"/>
      <c r="Z63" s="1367"/>
      <c r="AA63" s="1367"/>
      <c r="AB63" s="1367"/>
      <c r="AJ63" s="1756"/>
      <c r="AK63" s="1756"/>
      <c r="AL63" s="1756"/>
      <c r="AM63" s="1756"/>
      <c r="AN63" s="1756"/>
      <c r="AO63" s="1756"/>
      <c r="AP63" s="1756"/>
      <c r="AQ63" s="1756"/>
      <c r="AR63" s="1756"/>
      <c r="AS63" s="1756"/>
      <c r="AT63" s="1756"/>
      <c r="AU63" s="1756"/>
      <c r="AV63" s="1756"/>
      <c r="AW63" s="1756"/>
      <c r="AX63" s="1756"/>
      <c r="AY63" s="1756"/>
      <c r="AZ63" s="1756"/>
      <c r="BA63" s="1756"/>
      <c r="BB63" s="1756"/>
      <c r="BC63" s="1756"/>
      <c r="BD63" s="1756"/>
      <c r="BE63" s="1756"/>
      <c r="BF63" s="1756"/>
      <c r="BG63" s="1756"/>
      <c r="BH63" s="1756"/>
      <c r="BI63" s="1756"/>
      <c r="BJ63" s="1756"/>
      <c r="BK63" s="1756"/>
      <c r="BL63" s="1756"/>
      <c r="BM63" s="1756"/>
      <c r="BN63" s="1756"/>
      <c r="BO63" s="1756"/>
      <c r="BP63" s="1756"/>
      <c r="BQ63" s="1756"/>
      <c r="BR63" s="1756"/>
      <c r="BS63" s="1756"/>
      <c r="BT63" s="1756"/>
      <c r="BU63" s="1756"/>
      <c r="BV63" s="1756"/>
      <c r="BW63" s="1756"/>
      <c r="BX63" s="1756"/>
      <c r="BY63" s="1756"/>
      <c r="BZ63" s="1756"/>
      <c r="CA63" s="1756"/>
      <c r="CB63" s="1756"/>
      <c r="CC63" s="1756"/>
      <c r="CD63" s="1756"/>
      <c r="CE63" s="1756"/>
      <c r="CF63" s="1756"/>
      <c r="CG63" s="1756"/>
      <c r="CH63" s="1756"/>
      <c r="CI63" s="1756"/>
      <c r="CJ63" s="1756"/>
      <c r="CK63" s="1756"/>
      <c r="CL63" s="1394"/>
      <c r="CM63" s="1394"/>
      <c r="CN63" s="1394"/>
      <c r="CO63" s="1367"/>
      <c r="CP63" s="1367"/>
    </row>
    <row r="64" spans="1:94" ht="21" x14ac:dyDescent="0.25">
      <c r="A64" s="1680"/>
      <c r="B64" s="1764"/>
      <c r="C64" s="1765"/>
      <c r="D64" s="1765"/>
      <c r="E64" s="1406"/>
      <c r="F64" s="1575"/>
      <c r="G64" s="1575"/>
      <c r="H64" s="1575"/>
      <c r="I64" s="1406"/>
      <c r="J64" s="1406"/>
      <c r="K64" s="1698"/>
      <c r="L64" s="1766"/>
      <c r="M64" s="1700"/>
      <c r="N64" s="1766"/>
      <c r="O64" s="1700"/>
      <c r="Q64" s="1686"/>
      <c r="R64" s="1687"/>
      <c r="S64" s="1688"/>
      <c r="T64" s="1756"/>
      <c r="V64" s="1756"/>
      <c r="W64" s="1756"/>
      <c r="X64" s="1756"/>
      <c r="Y64" s="1758"/>
      <c r="Z64" s="1758"/>
      <c r="AA64" s="1758"/>
      <c r="AB64" s="1758"/>
      <c r="AC64" s="1758"/>
      <c r="AD64" s="1758"/>
      <c r="AE64" s="1758"/>
      <c r="AF64" s="1758"/>
      <c r="AG64" s="1758"/>
      <c r="AJ64" s="1756"/>
      <c r="AK64" s="1758"/>
      <c r="AL64" s="1758"/>
      <c r="AM64" s="1758"/>
      <c r="AN64" s="1758"/>
      <c r="AO64" s="1758"/>
      <c r="AP64" s="1758"/>
      <c r="AQ64" s="1758"/>
      <c r="AR64" s="1758"/>
      <c r="AS64" s="1758"/>
      <c r="AT64" s="1756"/>
      <c r="AU64" s="1756"/>
      <c r="AV64" s="1756"/>
      <c r="AW64" s="1756"/>
      <c r="AX64" s="1756"/>
      <c r="AY64" s="1756"/>
      <c r="AZ64" s="1756"/>
      <c r="BA64" s="1756"/>
      <c r="BB64" s="1756"/>
      <c r="BC64" s="1756"/>
      <c r="BD64" s="1756"/>
      <c r="BE64" s="1756"/>
      <c r="BF64" s="1756"/>
      <c r="BG64" s="1756"/>
      <c r="BH64" s="1756"/>
      <c r="BI64" s="1756"/>
      <c r="BJ64" s="1756"/>
      <c r="BK64" s="1756"/>
      <c r="BL64" s="1756"/>
      <c r="BM64" s="1756"/>
      <c r="BN64" s="1756"/>
      <c r="BO64" s="1756"/>
      <c r="BP64" s="1756"/>
      <c r="BQ64" s="1756"/>
      <c r="BR64" s="1756"/>
      <c r="BS64" s="1756"/>
      <c r="BT64" s="1756"/>
      <c r="BU64" s="1756"/>
      <c r="BV64" s="1756"/>
      <c r="BW64" s="1756"/>
      <c r="BX64" s="1756"/>
      <c r="BY64" s="1756"/>
      <c r="BZ64" s="1756"/>
      <c r="CA64" s="1756"/>
      <c r="CB64" s="1756"/>
      <c r="CC64" s="1756"/>
      <c r="CD64" s="1756"/>
      <c r="CE64" s="1756"/>
      <c r="CF64" s="1756"/>
      <c r="CG64" s="1756"/>
      <c r="CH64" s="1756"/>
      <c r="CI64" s="1756"/>
      <c r="CJ64" s="1756"/>
      <c r="CK64" s="1756"/>
      <c r="CL64" s="1394"/>
      <c r="CM64" s="1394"/>
      <c r="CN64" s="1394"/>
      <c r="CO64" s="1367"/>
      <c r="CP64" s="1367"/>
    </row>
    <row r="65" spans="1:94" ht="21" x14ac:dyDescent="0.25">
      <c r="A65" s="1680"/>
      <c r="B65" s="1452"/>
      <c r="C65" s="1410"/>
      <c r="D65" s="1406"/>
      <c r="E65" s="1575"/>
      <c r="F65" s="1744"/>
      <c r="G65" s="1744"/>
      <c r="H65" s="1744"/>
      <c r="I65" s="1575"/>
      <c r="J65" s="1406"/>
      <c r="K65" s="1767"/>
      <c r="L65" s="1768">
        <v>3333992</v>
      </c>
      <c r="M65" s="1495"/>
      <c r="N65" s="1769">
        <v>3333960</v>
      </c>
      <c r="O65" s="1767"/>
      <c r="Q65" s="1686"/>
      <c r="R65" s="1687"/>
      <c r="S65" s="1688"/>
      <c r="T65" s="1756"/>
      <c r="U65" s="1770"/>
      <c r="V65" s="1367"/>
      <c r="W65" s="1367"/>
      <c r="X65" s="1367"/>
      <c r="Y65" s="1758"/>
      <c r="Z65" s="1758"/>
      <c r="AA65" s="1758"/>
      <c r="AB65" s="1758"/>
      <c r="AC65" s="1758"/>
      <c r="AD65" s="1758"/>
      <c r="AE65" s="1758"/>
      <c r="AF65" s="1758"/>
      <c r="AG65" s="1758"/>
      <c r="AH65" s="1756"/>
      <c r="AI65" s="1756"/>
      <c r="AJ65" s="1756"/>
      <c r="AK65" s="1758"/>
      <c r="AL65" s="1758"/>
      <c r="AM65" s="1758"/>
      <c r="AN65" s="1758"/>
      <c r="AO65" s="1758"/>
      <c r="AP65" s="1758"/>
      <c r="AQ65" s="1758"/>
      <c r="AR65" s="1758"/>
      <c r="AS65" s="1758"/>
      <c r="AT65" s="1756"/>
      <c r="AU65" s="1756"/>
      <c r="AV65" s="1756"/>
      <c r="AW65" s="1756"/>
      <c r="AX65" s="1756"/>
      <c r="AY65" s="1756"/>
      <c r="AZ65" s="1756"/>
      <c r="BA65" s="1756"/>
      <c r="BB65" s="1756"/>
      <c r="BC65" s="1756"/>
      <c r="BD65" s="1756"/>
      <c r="BE65" s="1756"/>
      <c r="BF65" s="1756"/>
      <c r="BG65" s="1756"/>
      <c r="BH65" s="1756"/>
      <c r="BI65" s="1756"/>
      <c r="BJ65" s="1756"/>
      <c r="BK65" s="1756"/>
      <c r="BL65" s="1756"/>
      <c r="BM65" s="1756"/>
      <c r="BN65" s="1756"/>
      <c r="BO65" s="1756"/>
      <c r="BP65" s="1756"/>
      <c r="BQ65" s="1756"/>
      <c r="BR65" s="1756"/>
      <c r="BS65" s="1756"/>
      <c r="BT65" s="1756"/>
      <c r="BU65" s="1756"/>
      <c r="BV65" s="1756"/>
      <c r="BW65" s="1756"/>
      <c r="BX65" s="1756"/>
      <c r="BY65" s="1756"/>
      <c r="BZ65" s="1756"/>
      <c r="CA65" s="1756"/>
      <c r="CB65" s="1756"/>
      <c r="CC65" s="1756"/>
      <c r="CD65" s="1756"/>
      <c r="CE65" s="1756"/>
      <c r="CF65" s="1756"/>
      <c r="CG65" s="1756"/>
      <c r="CH65" s="1756"/>
      <c r="CI65" s="1756"/>
      <c r="CJ65" s="1756"/>
      <c r="CK65" s="1756"/>
      <c r="CL65" s="1394"/>
      <c r="CM65" s="1394"/>
      <c r="CN65" s="1394"/>
      <c r="CO65" s="1367"/>
      <c r="CP65" s="1367"/>
    </row>
    <row r="66" spans="1:94" ht="21" x14ac:dyDescent="0.25">
      <c r="A66" s="1680"/>
      <c r="B66" s="1744"/>
      <c r="C66" s="1452"/>
      <c r="D66" s="1681"/>
      <c r="E66" s="1575"/>
      <c r="F66" s="1744"/>
      <c r="G66" s="1744"/>
      <c r="H66" s="1744"/>
      <c r="I66" s="1575"/>
      <c r="J66" s="1406"/>
      <c r="K66" s="1767"/>
      <c r="L66" s="1771">
        <v>3333989</v>
      </c>
      <c r="M66" s="1495"/>
      <c r="N66" s="1771">
        <v>3321211</v>
      </c>
      <c r="O66" s="1767"/>
      <c r="Q66" s="1686"/>
      <c r="R66" s="1687"/>
      <c r="S66" s="1688"/>
      <c r="T66" s="1756"/>
      <c r="U66" s="1653"/>
      <c r="V66" s="1756"/>
      <c r="W66" s="1756"/>
      <c r="X66" s="1756"/>
      <c r="Y66" s="1758"/>
      <c r="Z66" s="1758"/>
      <c r="AA66" s="1758"/>
      <c r="AB66" s="1758"/>
      <c r="AC66" s="1758"/>
      <c r="AD66" s="1758"/>
      <c r="AE66" s="1758"/>
      <c r="AF66" s="1758"/>
      <c r="AG66" s="1758"/>
      <c r="AH66" s="1756"/>
      <c r="AI66" s="1756"/>
      <c r="AJ66" s="1756"/>
      <c r="AK66" s="1758"/>
      <c r="AL66" s="1758"/>
      <c r="AM66" s="1758"/>
      <c r="AN66" s="1758"/>
      <c r="AO66" s="1758"/>
      <c r="AP66" s="1758"/>
      <c r="AQ66" s="1758"/>
      <c r="AR66" s="1758"/>
      <c r="AS66" s="1758"/>
      <c r="AT66" s="1756"/>
      <c r="AU66" s="1756"/>
      <c r="AV66" s="1756"/>
      <c r="AW66" s="1756"/>
      <c r="AX66" s="1756"/>
      <c r="AY66" s="1756"/>
      <c r="AZ66" s="1756"/>
      <c r="BA66" s="1756"/>
      <c r="BB66" s="1756"/>
      <c r="BC66" s="1756"/>
      <c r="BD66" s="1756"/>
      <c r="BE66" s="1756"/>
      <c r="BF66" s="1756"/>
      <c r="BG66" s="1756"/>
      <c r="BH66" s="1756"/>
      <c r="BI66" s="1756"/>
      <c r="BJ66" s="1756"/>
      <c r="BK66" s="1756"/>
      <c r="BL66" s="1756"/>
      <c r="BM66" s="1756"/>
      <c r="BN66" s="1756"/>
      <c r="BO66" s="1756"/>
      <c r="BP66" s="1756"/>
      <c r="BQ66" s="1756"/>
      <c r="BR66" s="1756"/>
      <c r="BS66" s="1756"/>
      <c r="BT66" s="1756"/>
      <c r="BU66" s="1756"/>
      <c r="BV66" s="1756"/>
      <c r="BW66" s="1756"/>
      <c r="BX66" s="1756"/>
      <c r="BY66" s="1756"/>
      <c r="BZ66" s="1756"/>
      <c r="CA66" s="1756"/>
      <c r="CB66" s="1756"/>
      <c r="CC66" s="1756"/>
      <c r="CD66" s="1756"/>
      <c r="CE66" s="1756"/>
      <c r="CF66" s="1756"/>
      <c r="CG66" s="1756"/>
      <c r="CH66" s="1756"/>
      <c r="CI66" s="1756"/>
      <c r="CJ66" s="1756"/>
      <c r="CK66" s="1756"/>
      <c r="CL66" s="1394"/>
      <c r="CM66" s="1394"/>
      <c r="CN66" s="1394"/>
      <c r="CO66" s="1367"/>
      <c r="CP66" s="1367"/>
    </row>
    <row r="67" spans="1:94" ht="21" x14ac:dyDescent="0.25">
      <c r="A67" s="1680"/>
      <c r="B67" s="1772"/>
      <c r="C67" s="1406"/>
      <c r="D67" s="1681"/>
      <c r="E67" s="1406"/>
      <c r="F67" s="1575"/>
      <c r="G67" s="1575"/>
      <c r="H67" s="1575"/>
      <c r="I67" s="1406"/>
      <c r="J67" s="1406"/>
      <c r="K67" s="1700"/>
      <c r="L67" s="1766"/>
      <c r="M67" s="1700"/>
      <c r="N67" s="1766"/>
      <c r="O67" s="1700"/>
      <c r="Q67" s="1686"/>
      <c r="R67" s="1687"/>
      <c r="S67" s="1688"/>
      <c r="T67" s="1756"/>
      <c r="U67" s="1653"/>
      <c r="V67" s="1367"/>
      <c r="W67" s="1367"/>
      <c r="X67" s="1367"/>
      <c r="Y67" s="1758"/>
      <c r="Z67" s="1758"/>
      <c r="AA67" s="1758"/>
      <c r="AB67" s="1758"/>
      <c r="AC67" s="1758"/>
      <c r="AD67" s="1758"/>
      <c r="AE67" s="1758"/>
      <c r="AF67" s="1758"/>
      <c r="AG67" s="1758"/>
      <c r="AH67" s="1756"/>
      <c r="AI67" s="1756"/>
      <c r="AJ67" s="1756"/>
      <c r="AK67" s="1758"/>
      <c r="AL67" s="1758"/>
      <c r="AM67" s="1758"/>
      <c r="AN67" s="1758"/>
      <c r="AO67" s="1758"/>
      <c r="AP67" s="1758"/>
      <c r="AQ67" s="1758"/>
      <c r="AR67" s="1758"/>
      <c r="AS67" s="1758"/>
      <c r="AT67" s="1756"/>
      <c r="AU67" s="1756"/>
      <c r="AV67" s="1756"/>
      <c r="AW67" s="1756"/>
      <c r="AX67" s="1756"/>
      <c r="AY67" s="1756"/>
      <c r="AZ67" s="1756"/>
      <c r="BA67" s="1756"/>
      <c r="BB67" s="1756"/>
      <c r="BC67" s="1756"/>
      <c r="BD67" s="1756"/>
      <c r="BE67" s="1756"/>
      <c r="BF67" s="1756"/>
      <c r="BG67" s="1756"/>
      <c r="BH67" s="1756"/>
      <c r="BI67" s="1756"/>
      <c r="BJ67" s="1756"/>
      <c r="BK67" s="1756"/>
      <c r="BL67" s="1756"/>
      <c r="BM67" s="1756"/>
      <c r="BN67" s="1756"/>
      <c r="BO67" s="1756"/>
      <c r="BP67" s="1756"/>
      <c r="BQ67" s="1756"/>
      <c r="BR67" s="1756"/>
      <c r="BS67" s="1756"/>
      <c r="BT67" s="1756"/>
      <c r="BU67" s="1756"/>
      <c r="BV67" s="1756"/>
      <c r="BW67" s="1756"/>
      <c r="BX67" s="1756"/>
      <c r="BY67" s="1756"/>
      <c r="BZ67" s="1756"/>
      <c r="CA67" s="1756"/>
      <c r="CB67" s="1756"/>
      <c r="CC67" s="1756"/>
      <c r="CD67" s="1756"/>
      <c r="CE67" s="1756"/>
      <c r="CF67" s="1756"/>
      <c r="CG67" s="1756"/>
      <c r="CH67" s="1756"/>
      <c r="CI67" s="1756"/>
      <c r="CJ67" s="1756"/>
      <c r="CK67" s="1756"/>
      <c r="CL67" s="1394"/>
      <c r="CM67" s="1394"/>
      <c r="CN67" s="1394"/>
      <c r="CO67" s="1367"/>
      <c r="CP67" s="1367"/>
    </row>
    <row r="68" spans="1:94" ht="15.75" x14ac:dyDescent="0.25">
      <c r="A68" s="1680"/>
      <c r="B68" s="1744"/>
      <c r="C68" s="1452"/>
      <c r="D68" s="1681"/>
      <c r="E68" s="1406"/>
      <c r="F68" s="1763"/>
      <c r="G68" s="1763"/>
      <c r="H68" s="1763"/>
      <c r="I68" s="1763"/>
      <c r="J68" s="1763"/>
      <c r="K68" s="1653"/>
      <c r="L68" s="1468"/>
      <c r="M68" s="1693"/>
      <c r="N68" s="1468"/>
      <c r="O68" s="1693"/>
      <c r="P68" s="1770"/>
      <c r="Q68" s="1686"/>
      <c r="R68" s="1687"/>
      <c r="S68" s="1688"/>
      <c r="T68" s="1756"/>
      <c r="U68" s="1653"/>
      <c r="V68" s="1758"/>
      <c r="W68" s="1758"/>
      <c r="X68" s="1756"/>
      <c r="Y68" s="1758"/>
      <c r="Z68" s="1758"/>
      <c r="AA68" s="1758"/>
      <c r="AB68" s="1758"/>
      <c r="AC68" s="1758"/>
      <c r="AD68" s="1758"/>
      <c r="AE68" s="1758"/>
      <c r="AF68" s="1758"/>
      <c r="AG68" s="1758"/>
      <c r="AH68" s="1756"/>
      <c r="AI68" s="1756"/>
      <c r="AJ68" s="1756"/>
      <c r="AK68" s="1758"/>
      <c r="AL68" s="1758"/>
      <c r="AM68" s="1758"/>
      <c r="AN68" s="1758"/>
      <c r="AO68" s="1758"/>
      <c r="AP68" s="1758"/>
      <c r="AQ68" s="1758"/>
      <c r="AR68" s="1758"/>
      <c r="AS68" s="1758"/>
      <c r="AT68" s="1756"/>
      <c r="AU68" s="1756"/>
      <c r="AV68" s="1756"/>
      <c r="AW68" s="1756"/>
      <c r="AX68" s="1756"/>
      <c r="AY68" s="1756"/>
      <c r="AZ68" s="1756"/>
      <c r="BA68" s="1756"/>
      <c r="BB68" s="1756"/>
      <c r="BC68" s="1756"/>
      <c r="BD68" s="1756"/>
      <c r="BE68" s="1756"/>
      <c r="BF68" s="1756"/>
      <c r="BG68" s="1756"/>
      <c r="BH68" s="1756"/>
      <c r="BI68" s="1756"/>
      <c r="BJ68" s="1756"/>
      <c r="BK68" s="1756"/>
      <c r="BL68" s="1756"/>
      <c r="BM68" s="1756"/>
      <c r="BN68" s="1756"/>
      <c r="BO68" s="1756"/>
      <c r="BP68" s="1756"/>
      <c r="BQ68" s="1756"/>
      <c r="BR68" s="1756"/>
      <c r="BS68" s="1756"/>
      <c r="BT68" s="1756"/>
      <c r="BU68" s="1756"/>
      <c r="BV68" s="1756"/>
      <c r="BW68" s="1756"/>
      <c r="BX68" s="1756"/>
      <c r="BY68" s="1756"/>
      <c r="BZ68" s="1756"/>
      <c r="CA68" s="1756"/>
      <c r="CB68" s="1756"/>
      <c r="CC68" s="1756"/>
      <c r="CD68" s="1756"/>
      <c r="CE68" s="1756"/>
      <c r="CF68" s="1756"/>
      <c r="CG68" s="1756"/>
      <c r="CH68" s="1756"/>
      <c r="CI68" s="1756"/>
      <c r="CJ68" s="1756"/>
      <c r="CK68" s="1756"/>
      <c r="CL68" s="1394"/>
      <c r="CM68" s="1394"/>
      <c r="CN68" s="1394"/>
      <c r="CO68" s="1367"/>
      <c r="CP68" s="1367"/>
    </row>
    <row r="69" spans="1:94" ht="21" x14ac:dyDescent="0.25">
      <c r="A69" s="1680"/>
      <c r="B69" s="1772"/>
      <c r="C69" s="1757"/>
      <c r="D69" s="1681"/>
      <c r="E69" s="1757"/>
      <c r="F69" s="1406"/>
      <c r="G69" s="1406"/>
      <c r="H69" s="1406"/>
      <c r="I69" s="1406"/>
      <c r="J69" s="1406"/>
      <c r="K69" s="1653"/>
      <c r="L69" s="1683"/>
      <c r="M69" s="1683"/>
      <c r="N69" s="1683"/>
      <c r="O69" s="1693"/>
      <c r="P69" s="1773"/>
      <c r="Q69" s="1686"/>
      <c r="R69" s="1687"/>
      <c r="S69" s="1688"/>
      <c r="T69" s="1756"/>
      <c r="U69" s="1756"/>
      <c r="V69" s="1367"/>
      <c r="W69" s="1367"/>
      <c r="X69" s="1367"/>
      <c r="Y69" s="1758"/>
      <c r="Z69" s="1758"/>
      <c r="AA69" s="1758"/>
      <c r="AB69" s="1758"/>
      <c r="AC69" s="1758"/>
      <c r="AD69" s="1758"/>
      <c r="AE69" s="1758"/>
      <c r="AF69" s="1758"/>
      <c r="AG69" s="1758"/>
      <c r="AH69" s="1756"/>
      <c r="AI69" s="1756"/>
      <c r="AJ69" s="1756"/>
      <c r="AK69" s="1758"/>
      <c r="AL69" s="1758"/>
      <c r="AM69" s="1758"/>
      <c r="AN69" s="1758"/>
      <c r="AO69" s="1758"/>
      <c r="AP69" s="1758"/>
      <c r="AQ69" s="1758"/>
      <c r="AR69" s="1758"/>
      <c r="AS69" s="1758"/>
      <c r="AT69" s="1756"/>
      <c r="AU69" s="1756"/>
      <c r="AV69" s="1756"/>
      <c r="AW69" s="1756"/>
      <c r="AX69" s="1756"/>
      <c r="AY69" s="1756"/>
      <c r="AZ69" s="1756"/>
      <c r="BA69" s="1756"/>
      <c r="BB69" s="1756"/>
      <c r="BC69" s="1756"/>
      <c r="BD69" s="1756"/>
      <c r="BE69" s="1756"/>
      <c r="BF69" s="1756"/>
      <c r="BG69" s="1756"/>
      <c r="BH69" s="1756"/>
      <c r="BI69" s="1756"/>
      <c r="BJ69" s="1756"/>
      <c r="BK69" s="1756"/>
      <c r="BL69" s="1756"/>
      <c r="BM69" s="1756"/>
      <c r="BN69" s="1756"/>
      <c r="BO69" s="1756"/>
      <c r="BP69" s="1756"/>
      <c r="BQ69" s="1756"/>
      <c r="BR69" s="1756"/>
      <c r="BS69" s="1756"/>
      <c r="BT69" s="1756"/>
      <c r="BU69" s="1756"/>
      <c r="BV69" s="1756"/>
      <c r="BW69" s="1756"/>
      <c r="BX69" s="1756"/>
      <c r="BY69" s="1756"/>
      <c r="BZ69" s="1756"/>
      <c r="CA69" s="1756"/>
      <c r="CB69" s="1756"/>
      <c r="CC69" s="1756"/>
      <c r="CD69" s="1756"/>
      <c r="CE69" s="1756"/>
      <c r="CF69" s="1756"/>
      <c r="CG69" s="1756"/>
      <c r="CH69" s="1756"/>
      <c r="CI69" s="1756"/>
      <c r="CJ69" s="1756"/>
      <c r="CK69" s="1756"/>
      <c r="CL69" s="1394"/>
      <c r="CM69" s="1394"/>
      <c r="CN69" s="1394"/>
      <c r="CO69" s="1367"/>
      <c r="CP69" s="1367"/>
    </row>
    <row r="70" spans="1:94" ht="15.75" x14ac:dyDescent="0.25">
      <c r="A70" s="1680"/>
      <c r="B70" s="1744"/>
      <c r="C70" s="1452"/>
      <c r="D70" s="1681"/>
      <c r="E70" s="1773"/>
      <c r="K70" s="1773"/>
      <c r="L70" s="1773"/>
      <c r="M70" s="1470"/>
      <c r="N70" s="1470"/>
      <c r="O70" s="1773"/>
      <c r="P70" s="1773"/>
      <c r="Q70" s="1686"/>
      <c r="R70" s="1687"/>
      <c r="S70" s="1688"/>
      <c r="T70" s="1756"/>
      <c r="U70" s="1756"/>
      <c r="V70" s="1756"/>
      <c r="W70" s="1756"/>
      <c r="X70" s="1756"/>
      <c r="Y70" s="1758"/>
      <c r="Z70" s="1758"/>
      <c r="AA70" s="1758"/>
      <c r="AB70" s="1758"/>
      <c r="AC70" s="1758"/>
      <c r="AD70" s="1758"/>
      <c r="AE70" s="1758"/>
      <c r="AF70" s="1758"/>
      <c r="AG70" s="1758"/>
      <c r="AH70" s="1756"/>
      <c r="AI70" s="1756"/>
      <c r="AJ70" s="1756"/>
      <c r="AK70" s="1758"/>
      <c r="AL70" s="1758"/>
      <c r="AM70" s="1758"/>
      <c r="AN70" s="1758"/>
      <c r="AO70" s="1758"/>
      <c r="AP70" s="1758"/>
      <c r="AQ70" s="1758"/>
      <c r="AR70" s="1758"/>
      <c r="AS70" s="1758"/>
      <c r="AT70" s="1756"/>
      <c r="AU70" s="1756"/>
      <c r="AV70" s="1756"/>
      <c r="AW70" s="1756"/>
      <c r="AX70" s="1756"/>
      <c r="AY70" s="1756"/>
      <c r="AZ70" s="1756"/>
      <c r="BA70" s="1756"/>
      <c r="BB70" s="1756"/>
      <c r="BC70" s="1756"/>
      <c r="BD70" s="1756"/>
      <c r="BE70" s="1756"/>
      <c r="BF70" s="1756"/>
      <c r="BG70" s="1756"/>
      <c r="BH70" s="1756"/>
      <c r="BI70" s="1756"/>
      <c r="BJ70" s="1756"/>
      <c r="BK70" s="1756"/>
      <c r="BL70" s="1756"/>
      <c r="BM70" s="1756"/>
      <c r="BN70" s="1756"/>
      <c r="BO70" s="1756"/>
      <c r="BP70" s="1756"/>
      <c r="BQ70" s="1756"/>
      <c r="BR70" s="1756"/>
      <c r="BS70" s="1756"/>
      <c r="BT70" s="1756"/>
      <c r="BU70" s="1756"/>
      <c r="BV70" s="1756"/>
      <c r="BW70" s="1756"/>
      <c r="BX70" s="1756"/>
      <c r="BY70" s="1756"/>
      <c r="BZ70" s="1756"/>
      <c r="CA70" s="1756"/>
      <c r="CB70" s="1756"/>
      <c r="CC70" s="1756"/>
      <c r="CD70" s="1756"/>
      <c r="CE70" s="1756"/>
      <c r="CF70" s="1756"/>
      <c r="CG70" s="1756"/>
      <c r="CH70" s="1756"/>
      <c r="CI70" s="1756"/>
      <c r="CJ70" s="1756"/>
      <c r="CK70" s="1756"/>
      <c r="CL70" s="1394"/>
      <c r="CM70" s="1394"/>
      <c r="CN70" s="1394"/>
      <c r="CO70" s="1367"/>
      <c r="CP70" s="1367"/>
    </row>
    <row r="71" spans="1:94" x14ac:dyDescent="0.25">
      <c r="A71" s="1680"/>
      <c r="B71" s="1772"/>
      <c r="C71" s="1757"/>
      <c r="D71" s="1774"/>
      <c r="E71" s="1722"/>
      <c r="F71" s="1653"/>
      <c r="G71" s="1653"/>
      <c r="H71" s="1653"/>
      <c r="I71" s="1773"/>
      <c r="J71" s="1773"/>
      <c r="K71" s="1773"/>
      <c r="L71" s="1773"/>
      <c r="M71" s="1470"/>
      <c r="N71" s="1470"/>
      <c r="O71" s="1773"/>
      <c r="P71" s="1773"/>
      <c r="Q71" s="1686"/>
      <c r="R71" s="1687"/>
      <c r="S71" s="1688"/>
      <c r="T71" s="1756"/>
      <c r="U71" s="1756"/>
      <c r="V71" s="1367"/>
      <c r="W71" s="1367"/>
      <c r="X71" s="1367"/>
      <c r="Y71" s="1758"/>
      <c r="Z71" s="1758"/>
      <c r="AA71" s="1758"/>
      <c r="AB71" s="1758"/>
      <c r="AC71" s="1758"/>
      <c r="AD71" s="1758"/>
      <c r="AE71" s="1758"/>
      <c r="AF71" s="1758"/>
      <c r="AG71" s="1758"/>
      <c r="AH71" s="1756"/>
      <c r="AI71" s="1756"/>
      <c r="AJ71" s="1756"/>
      <c r="AK71" s="1758"/>
      <c r="AL71" s="1758"/>
      <c r="AM71" s="1758"/>
      <c r="AN71" s="1758"/>
      <c r="AO71" s="1758"/>
      <c r="AP71" s="1758"/>
      <c r="AQ71" s="1758"/>
      <c r="AR71" s="1758"/>
      <c r="AS71" s="1758"/>
      <c r="AT71" s="1756"/>
      <c r="AU71" s="1756"/>
      <c r="AV71" s="1756"/>
      <c r="AW71" s="1756"/>
      <c r="AX71" s="1756"/>
      <c r="AY71" s="1756"/>
      <c r="AZ71" s="1756"/>
      <c r="BA71" s="1756"/>
      <c r="BB71" s="1756"/>
      <c r="BC71" s="1756"/>
      <c r="BD71" s="1756"/>
      <c r="BE71" s="1756"/>
      <c r="BF71" s="1756"/>
      <c r="BG71" s="1756"/>
      <c r="BH71" s="1756"/>
      <c r="BI71" s="1756"/>
      <c r="BJ71" s="1756"/>
      <c r="BK71" s="1756"/>
      <c r="BL71" s="1756"/>
      <c r="BM71" s="1756"/>
      <c r="BN71" s="1756"/>
      <c r="BO71" s="1756"/>
      <c r="BP71" s="1756"/>
      <c r="BQ71" s="1756"/>
      <c r="BR71" s="1756"/>
      <c r="BS71" s="1756"/>
      <c r="BT71" s="1756"/>
      <c r="BU71" s="1756"/>
      <c r="BV71" s="1756"/>
      <c r="BW71" s="1756"/>
      <c r="BX71" s="1756"/>
      <c r="BY71" s="1756"/>
      <c r="BZ71" s="1756"/>
      <c r="CA71" s="1756"/>
      <c r="CB71" s="1756"/>
      <c r="CC71" s="1756"/>
      <c r="CD71" s="1756"/>
      <c r="CE71" s="1756"/>
      <c r="CF71" s="1756"/>
      <c r="CG71" s="1756"/>
      <c r="CH71" s="1756"/>
      <c r="CI71" s="1756"/>
      <c r="CJ71" s="1756"/>
      <c r="CK71" s="1756"/>
      <c r="CL71" s="1394"/>
      <c r="CM71" s="1394"/>
      <c r="CN71" s="1394"/>
      <c r="CO71" s="1367"/>
      <c r="CP71" s="1367"/>
    </row>
    <row r="72" spans="1:94" ht="26.25" x14ac:dyDescent="0.4">
      <c r="A72" s="1680"/>
      <c r="B72" s="1744"/>
      <c r="C72" s="1452"/>
      <c r="D72" s="1681"/>
      <c r="E72" s="1653"/>
      <c r="F72" s="1775"/>
      <c r="G72" s="1775"/>
      <c r="H72" s="1775"/>
      <c r="I72" s="1775"/>
      <c r="J72" s="1775"/>
      <c r="K72" s="1775"/>
      <c r="L72" s="1775"/>
      <c r="M72" s="1757"/>
      <c r="N72" s="1776"/>
      <c r="O72" s="1757"/>
      <c r="P72" s="1757"/>
      <c r="Q72" s="1686"/>
      <c r="R72" s="1687"/>
      <c r="S72" s="1688"/>
      <c r="T72" s="1756"/>
      <c r="U72" s="1756"/>
      <c r="V72" s="1756"/>
      <c r="W72" s="1756"/>
      <c r="X72" s="1756"/>
      <c r="Y72" s="1758"/>
      <c r="Z72" s="1758"/>
      <c r="AA72" s="1758"/>
      <c r="AB72" s="1758"/>
      <c r="AC72" s="1758"/>
      <c r="AD72" s="1758"/>
      <c r="AE72" s="1758"/>
      <c r="AF72" s="1758"/>
      <c r="AG72" s="1758"/>
      <c r="AH72" s="1756"/>
      <c r="AI72" s="1756"/>
      <c r="AJ72" s="1756"/>
      <c r="AK72" s="1758"/>
      <c r="AL72" s="1758"/>
      <c r="AM72" s="1758"/>
      <c r="AN72" s="1758"/>
      <c r="AO72" s="1758"/>
      <c r="AP72" s="1758"/>
      <c r="AQ72" s="1758"/>
      <c r="AR72" s="1758"/>
      <c r="AS72" s="1758"/>
      <c r="AT72" s="1756"/>
      <c r="AU72" s="1756"/>
      <c r="AV72" s="1756"/>
      <c r="AW72" s="1756"/>
      <c r="AX72" s="1756"/>
      <c r="AY72" s="1756"/>
      <c r="AZ72" s="1756"/>
      <c r="BA72" s="1756"/>
      <c r="BB72" s="1756"/>
      <c r="BC72" s="1756"/>
      <c r="BD72" s="1756"/>
      <c r="BE72" s="1756"/>
      <c r="BF72" s="1756"/>
      <c r="BG72" s="1756"/>
      <c r="BH72" s="1756"/>
      <c r="BI72" s="1756"/>
      <c r="BJ72" s="1756"/>
      <c r="BK72" s="1756"/>
      <c r="BL72" s="1756"/>
      <c r="BM72" s="1756"/>
      <c r="BN72" s="1756"/>
      <c r="BO72" s="1756"/>
      <c r="BP72" s="1756"/>
      <c r="BQ72" s="1756"/>
      <c r="BR72" s="1756"/>
      <c r="BS72" s="1756"/>
      <c r="BT72" s="1756"/>
      <c r="BU72" s="1756"/>
      <c r="BV72" s="1756"/>
      <c r="BW72" s="1756"/>
      <c r="BX72" s="1756"/>
      <c r="BY72" s="1756"/>
      <c r="BZ72" s="1756"/>
      <c r="CA72" s="1756"/>
      <c r="CB72" s="1756"/>
      <c r="CC72" s="1756"/>
      <c r="CD72" s="1756"/>
      <c r="CE72" s="1756"/>
      <c r="CF72" s="1756"/>
      <c r="CG72" s="1756"/>
      <c r="CH72" s="1756"/>
      <c r="CI72" s="1756"/>
      <c r="CJ72" s="1756"/>
      <c r="CK72" s="1756"/>
      <c r="CL72" s="1394"/>
      <c r="CM72" s="1394"/>
      <c r="CN72" s="1394"/>
      <c r="CO72" s="1367"/>
      <c r="CP72" s="1367"/>
    </row>
    <row r="73" spans="1:94" ht="27" thickBot="1" x14ac:dyDescent="0.45">
      <c r="A73" s="1680"/>
      <c r="B73" s="1777"/>
      <c r="C73" s="1778"/>
      <c r="D73" s="1778"/>
      <c r="E73" s="1779"/>
      <c r="F73" s="1780"/>
      <c r="G73" s="1434"/>
      <c r="H73" s="1781"/>
      <c r="I73" s="1434"/>
      <c r="J73" s="1782"/>
      <c r="K73" s="1434"/>
      <c r="L73" s="1782"/>
      <c r="M73" s="1434"/>
      <c r="N73" s="1783"/>
      <c r="O73" s="1434"/>
      <c r="P73" s="1778"/>
      <c r="Q73" s="1784"/>
      <c r="R73" s="1785"/>
      <c r="S73" s="1786"/>
      <c r="T73" s="1756"/>
      <c r="U73" s="1756"/>
      <c r="V73" s="1756"/>
      <c r="W73" s="1756"/>
      <c r="X73" s="1756"/>
      <c r="Y73" s="1758"/>
      <c r="Z73" s="1758"/>
      <c r="AA73" s="1758"/>
      <c r="AB73" s="1758"/>
      <c r="AC73" s="1758"/>
      <c r="AD73" s="1758"/>
      <c r="AE73" s="1758"/>
      <c r="AF73" s="1758"/>
      <c r="AG73" s="1758"/>
      <c r="AH73" s="1756"/>
      <c r="AI73" s="1756"/>
      <c r="AJ73" s="1756"/>
      <c r="AK73" s="1758"/>
      <c r="AL73" s="1758"/>
      <c r="AM73" s="1758"/>
      <c r="AN73" s="1758"/>
      <c r="AO73" s="1758"/>
      <c r="AP73" s="1758"/>
      <c r="AQ73" s="1758"/>
      <c r="AR73" s="1758"/>
      <c r="AS73" s="1758"/>
      <c r="AT73" s="1756"/>
      <c r="AU73" s="1756"/>
      <c r="AV73" s="1756"/>
      <c r="AW73" s="1756"/>
      <c r="AX73" s="1756"/>
      <c r="AY73" s="1756"/>
      <c r="AZ73" s="1756"/>
      <c r="BA73" s="1756"/>
      <c r="BB73" s="1756"/>
      <c r="BC73" s="1756"/>
      <c r="BD73" s="1756"/>
      <c r="BE73" s="1756"/>
      <c r="BF73" s="1756"/>
      <c r="BG73" s="1756"/>
      <c r="BH73" s="1756"/>
      <c r="BI73" s="1756"/>
      <c r="BJ73" s="1756"/>
      <c r="BK73" s="1756"/>
      <c r="BL73" s="1756"/>
      <c r="BM73" s="1756"/>
      <c r="BN73" s="1756"/>
      <c r="BO73" s="1756"/>
      <c r="BP73" s="1756"/>
      <c r="BQ73" s="1756"/>
      <c r="BR73" s="1756"/>
      <c r="BS73" s="1756"/>
      <c r="BT73" s="1756"/>
      <c r="BU73" s="1756"/>
      <c r="BV73" s="1756"/>
      <c r="BW73" s="1756"/>
      <c r="BX73" s="1756"/>
      <c r="BY73" s="1756"/>
      <c r="BZ73" s="1756"/>
      <c r="CA73" s="1756"/>
      <c r="CB73" s="1756"/>
      <c r="CC73" s="1756"/>
      <c r="CD73" s="1756"/>
      <c r="CE73" s="1756"/>
      <c r="CF73" s="1756"/>
      <c r="CG73" s="1756"/>
      <c r="CH73" s="1756"/>
      <c r="CI73" s="1756"/>
      <c r="CJ73" s="1756"/>
      <c r="CK73" s="1756"/>
      <c r="CL73" s="1394"/>
      <c r="CM73" s="1394"/>
      <c r="CN73" s="1394"/>
    </row>
    <row r="74" spans="1:94" x14ac:dyDescent="0.25">
      <c r="A74" s="1787"/>
      <c r="B74" s="1788"/>
      <c r="C74" s="1789"/>
      <c r="D74" s="1790"/>
      <c r="E74" s="1480"/>
      <c r="F74" s="1406"/>
      <c r="G74" s="1406"/>
      <c r="H74" s="1791"/>
      <c r="I74" s="1791"/>
      <c r="J74" s="1791"/>
      <c r="K74" s="1791"/>
      <c r="L74" s="1791"/>
      <c r="M74" s="1791"/>
      <c r="N74" s="1792"/>
      <c r="O74" s="1791"/>
      <c r="P74" s="1791"/>
      <c r="Q74" s="1756"/>
      <c r="R74" s="1756"/>
      <c r="S74" s="1756"/>
      <c r="T74" s="1756"/>
      <c r="U74" s="1756"/>
      <c r="V74" s="1756"/>
      <c r="W74" s="1756"/>
      <c r="X74" s="1756"/>
      <c r="Y74" s="1758"/>
      <c r="Z74" s="1758"/>
      <c r="AA74" s="1758"/>
      <c r="AB74" s="1758"/>
      <c r="AC74" s="1758"/>
      <c r="AD74" s="1758"/>
      <c r="AE74" s="1758"/>
      <c r="AF74" s="1758"/>
      <c r="AG74" s="1758"/>
      <c r="AH74" s="1756"/>
      <c r="AI74" s="1756"/>
      <c r="AJ74" s="1756"/>
      <c r="AK74" s="1758"/>
      <c r="AL74" s="1758"/>
      <c r="AM74" s="1758"/>
      <c r="AN74" s="1758"/>
      <c r="AO74" s="1758"/>
      <c r="AP74" s="1758"/>
      <c r="AQ74" s="1758"/>
      <c r="AR74" s="1758"/>
      <c r="AS74" s="1758"/>
      <c r="AT74" s="1756"/>
      <c r="AU74" s="1756"/>
      <c r="AV74" s="1756"/>
      <c r="AW74" s="1756"/>
      <c r="AX74" s="1756"/>
      <c r="AY74" s="1756"/>
      <c r="AZ74" s="1756"/>
      <c r="BA74" s="1756"/>
      <c r="BB74" s="1756"/>
      <c r="BC74" s="1756"/>
      <c r="BD74" s="1756"/>
      <c r="BE74" s="1756"/>
      <c r="BF74" s="1756"/>
      <c r="BG74" s="1756"/>
      <c r="BH74" s="1756"/>
      <c r="BI74" s="1756"/>
      <c r="BJ74" s="1756"/>
      <c r="BK74" s="1756"/>
      <c r="BL74" s="1756"/>
      <c r="BM74" s="1756"/>
      <c r="BN74" s="1756"/>
      <c r="BO74" s="1756"/>
      <c r="BP74" s="1756"/>
      <c r="BQ74" s="1756"/>
      <c r="BR74" s="1756"/>
      <c r="BS74" s="1756"/>
      <c r="BT74" s="1756"/>
      <c r="BU74" s="1756"/>
      <c r="BV74" s="1756"/>
      <c r="BW74" s="1756"/>
      <c r="BX74" s="1756"/>
      <c r="BY74" s="1756"/>
      <c r="BZ74" s="1756"/>
      <c r="CA74" s="1756"/>
      <c r="CB74" s="1756"/>
      <c r="CC74" s="1756"/>
      <c r="CD74" s="1756"/>
      <c r="CE74" s="1756"/>
      <c r="CF74" s="1756"/>
      <c r="CG74" s="1756"/>
      <c r="CH74" s="1756"/>
      <c r="CI74" s="1756"/>
      <c r="CJ74" s="1756"/>
      <c r="CK74" s="1756"/>
      <c r="CL74" s="1394"/>
      <c r="CM74" s="1394"/>
      <c r="CN74" s="1394"/>
    </row>
    <row r="75" spans="1:94" x14ac:dyDescent="0.25">
      <c r="A75" s="1787"/>
      <c r="B75" s="1793"/>
      <c r="C75" s="1390"/>
      <c r="D75" s="1791"/>
      <c r="E75" s="1756"/>
      <c r="F75" s="1791"/>
      <c r="G75" s="1791"/>
      <c r="H75" s="1791"/>
      <c r="I75" s="1791"/>
      <c r="J75" s="1791"/>
      <c r="K75" s="1791"/>
      <c r="L75" s="1791"/>
      <c r="M75" s="1791"/>
      <c r="N75" s="1792"/>
      <c r="O75" s="1791"/>
      <c r="P75" s="1791"/>
      <c r="Q75" s="1756"/>
      <c r="R75" s="1756"/>
      <c r="S75" s="1756"/>
      <c r="T75" s="1756"/>
      <c r="U75" s="1756"/>
      <c r="V75" s="1756"/>
      <c r="W75" s="1756"/>
      <c r="X75" s="1756"/>
      <c r="Y75" s="1758"/>
      <c r="Z75" s="1758"/>
      <c r="AA75" s="1758"/>
      <c r="AB75" s="1758"/>
      <c r="AC75" s="1758"/>
      <c r="AD75" s="1758"/>
      <c r="AE75" s="1758"/>
      <c r="AF75" s="1758"/>
      <c r="AG75" s="1758"/>
      <c r="AH75" s="1756"/>
      <c r="AI75" s="1756"/>
      <c r="AJ75" s="1756"/>
      <c r="AK75" s="1758"/>
      <c r="AL75" s="1758"/>
      <c r="AM75" s="1758"/>
      <c r="AN75" s="1758"/>
      <c r="AO75" s="1758"/>
      <c r="AP75" s="1758"/>
      <c r="AQ75" s="1758"/>
      <c r="AR75" s="1758"/>
      <c r="AS75" s="1758"/>
      <c r="AT75" s="1756"/>
      <c r="AU75" s="1756"/>
      <c r="AV75" s="1756"/>
      <c r="AW75" s="1756"/>
      <c r="AX75" s="1756"/>
      <c r="AY75" s="1756"/>
      <c r="AZ75" s="1756"/>
      <c r="BA75" s="1756"/>
      <c r="BB75" s="1756"/>
      <c r="BC75" s="1756"/>
      <c r="BD75" s="1756"/>
      <c r="BE75" s="1756"/>
      <c r="BF75" s="1756"/>
      <c r="BG75" s="1756"/>
      <c r="BH75" s="1756"/>
      <c r="BI75" s="1756"/>
      <c r="BJ75" s="1756"/>
      <c r="BK75" s="1756"/>
      <c r="BL75" s="1756"/>
      <c r="BM75" s="1756"/>
      <c r="BN75" s="1756"/>
      <c r="BO75" s="1756"/>
      <c r="BP75" s="1756"/>
      <c r="BQ75" s="1756"/>
      <c r="BR75" s="1756"/>
      <c r="BS75" s="1756"/>
      <c r="BT75" s="1756"/>
      <c r="BU75" s="1756"/>
      <c r="BV75" s="1756"/>
      <c r="BW75" s="1756"/>
      <c r="BX75" s="1756"/>
      <c r="BY75" s="1756"/>
      <c r="BZ75" s="1756"/>
      <c r="CA75" s="1756"/>
      <c r="CB75" s="1756"/>
      <c r="CC75" s="1756"/>
      <c r="CD75" s="1756"/>
      <c r="CE75" s="1756"/>
      <c r="CF75" s="1756"/>
      <c r="CG75" s="1756"/>
      <c r="CH75" s="1756"/>
      <c r="CI75" s="1756"/>
      <c r="CJ75" s="1756"/>
      <c r="CK75" s="1756"/>
      <c r="CL75" s="1394"/>
      <c r="CM75" s="1394"/>
      <c r="CN75" s="1394"/>
    </row>
    <row r="76" spans="1:94" x14ac:dyDescent="0.25">
      <c r="Y76" s="1758"/>
      <c r="Z76" s="1758"/>
      <c r="AA76" s="1758"/>
      <c r="AB76" s="1758"/>
      <c r="AC76" s="1758"/>
      <c r="AD76" s="1758"/>
      <c r="AE76" s="1758"/>
      <c r="AF76" s="1758"/>
      <c r="AG76" s="1758"/>
      <c r="AK76" s="1758"/>
      <c r="AL76" s="1758"/>
      <c r="AM76" s="1758"/>
      <c r="AN76" s="1758"/>
      <c r="AO76" s="1758"/>
      <c r="AP76" s="1758"/>
      <c r="AQ76" s="1758"/>
      <c r="AR76" s="1758"/>
      <c r="AS76" s="1758"/>
    </row>
    <row r="77" spans="1:94" x14ac:dyDescent="0.25">
      <c r="Y77" s="1758"/>
      <c r="Z77" s="1758"/>
      <c r="AA77" s="1758"/>
      <c r="AB77" s="1758"/>
      <c r="AC77" s="1758"/>
      <c r="AD77" s="1758"/>
      <c r="AE77" s="1758"/>
      <c r="AF77" s="1758"/>
      <c r="AG77" s="1758"/>
    </row>
    <row r="84" spans="13:13" x14ac:dyDescent="0.25">
      <c r="M84" s="1794"/>
    </row>
    <row r="85" spans="13:13" x14ac:dyDescent="0.25">
      <c r="M85" s="1794"/>
    </row>
    <row r="86" spans="13:13" x14ac:dyDescent="0.25">
      <c r="M86" s="1794"/>
    </row>
    <row r="91" spans="13:13" x14ac:dyDescent="0.25">
      <c r="M91" s="1794"/>
    </row>
    <row r="92" spans="13:13" x14ac:dyDescent="0.25">
      <c r="M92" s="1794"/>
    </row>
    <row r="93" spans="13:13" x14ac:dyDescent="0.25">
      <c r="M93" s="1794"/>
    </row>
    <row r="98" spans="13:13" x14ac:dyDescent="0.25">
      <c r="M98" s="1794"/>
    </row>
    <row r="99" spans="13:13" x14ac:dyDescent="0.25">
      <c r="M99" s="1794"/>
    </row>
    <row r="100" spans="13:13" x14ac:dyDescent="0.25">
      <c r="M100" s="1794"/>
    </row>
    <row r="105" spans="13:13" x14ac:dyDescent="0.25">
      <c r="M105" s="1794"/>
    </row>
    <row r="106" spans="13:13" x14ac:dyDescent="0.25">
      <c r="M106" s="1794"/>
    </row>
    <row r="107" spans="13:13" x14ac:dyDescent="0.25">
      <c r="M107" s="1794"/>
    </row>
    <row r="112" spans="13:13" x14ac:dyDescent="0.25">
      <c r="M112" s="1794"/>
    </row>
    <row r="113" spans="13:13" x14ac:dyDescent="0.25">
      <c r="M113" s="1794"/>
    </row>
  </sheetData>
  <mergeCells count="31">
    <mergeCell ref="T28:U28"/>
    <mergeCell ref="BL28:BT28"/>
    <mergeCell ref="A1:CN1"/>
    <mergeCell ref="BL3:BO7"/>
    <mergeCell ref="CK3:CL3"/>
    <mergeCell ref="AR18:AT18"/>
    <mergeCell ref="AA19:AD19"/>
    <mergeCell ref="AS21:AV21"/>
    <mergeCell ref="BL23:BL24"/>
    <mergeCell ref="AS24:AV24"/>
    <mergeCell ref="AX24:AZ24"/>
    <mergeCell ref="AL26:AP26"/>
    <mergeCell ref="CD27:CE27"/>
    <mergeCell ref="A29:B29"/>
    <mergeCell ref="AC31:AF31"/>
    <mergeCell ref="AV32:BB39"/>
    <mergeCell ref="J33:K33"/>
    <mergeCell ref="B37:H37"/>
    <mergeCell ref="M39:N39"/>
    <mergeCell ref="B64:D64"/>
    <mergeCell ref="L69:N69"/>
    <mergeCell ref="Q40:S73"/>
    <mergeCell ref="BS40:BT40"/>
    <mergeCell ref="F41:H41"/>
    <mergeCell ref="T44:AB54"/>
    <mergeCell ref="AE46:AM48"/>
    <mergeCell ref="B48:C48"/>
    <mergeCell ref="AK49:AM52"/>
    <mergeCell ref="AC51:AJ54"/>
    <mergeCell ref="AK53:AM54"/>
    <mergeCell ref="F62:H62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P520"/>
  <sheetViews>
    <sheetView topLeftCell="AF1" zoomScale="55" zoomScaleNormal="55" workbookViewId="0">
      <selection activeCell="AW17" sqref="AW17:BB20"/>
    </sheetView>
  </sheetViews>
  <sheetFormatPr baseColWidth="10" defaultColWidth="16.7109375" defaultRowHeight="15" x14ac:dyDescent="0.25"/>
  <sheetData>
    <row r="1" spans="1:94" ht="34.5" thickBot="1" x14ac:dyDescent="0.3">
      <c r="A1" s="1057" t="s">
        <v>149</v>
      </c>
      <c r="B1" s="1058"/>
      <c r="C1" s="1058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1058"/>
      <c r="P1" s="1058"/>
      <c r="Q1" s="1058"/>
      <c r="R1" s="1058"/>
      <c r="S1" s="1058"/>
      <c r="T1" s="1058"/>
      <c r="U1" s="1058"/>
      <c r="V1" s="1058"/>
      <c r="W1" s="1058"/>
      <c r="X1" s="1058"/>
      <c r="Y1" s="1058"/>
      <c r="Z1" s="1058"/>
      <c r="AA1" s="1058"/>
      <c r="AB1" s="1058"/>
      <c r="AC1" s="1058"/>
      <c r="AD1" s="1058"/>
      <c r="AE1" s="1058"/>
      <c r="AF1" s="1058"/>
      <c r="AG1" s="1058"/>
      <c r="AH1" s="1058"/>
      <c r="AI1" s="1058"/>
      <c r="AJ1" s="1058"/>
      <c r="AK1" s="1058"/>
      <c r="AL1" s="1058"/>
      <c r="AM1" s="1058"/>
      <c r="AN1" s="1058"/>
      <c r="AO1" s="1058"/>
      <c r="AP1" s="1058"/>
      <c r="AQ1" s="1058"/>
      <c r="AR1" s="1058"/>
      <c r="AS1" s="1058"/>
      <c r="AT1" s="1058"/>
      <c r="AU1" s="1058"/>
      <c r="AV1" s="1058"/>
      <c r="AW1" s="1058"/>
      <c r="AX1" s="1058"/>
      <c r="AY1" s="1058"/>
      <c r="AZ1" s="1058"/>
      <c r="BA1" s="1058"/>
      <c r="BB1" s="1058"/>
      <c r="BC1" s="1058"/>
      <c r="BD1" s="1058"/>
      <c r="BE1" s="1058"/>
      <c r="BF1" s="1058"/>
      <c r="BG1" s="1058"/>
      <c r="BH1" s="1058"/>
      <c r="BI1" s="1058"/>
      <c r="BJ1" s="1058"/>
      <c r="BK1" s="1058"/>
      <c r="BL1" s="1058"/>
      <c r="BM1" s="1058"/>
      <c r="BN1" s="1058"/>
      <c r="BO1" s="1058"/>
      <c r="BP1" s="1058"/>
      <c r="BQ1" s="1058"/>
      <c r="BR1" s="1058"/>
      <c r="BS1" s="1058"/>
      <c r="BT1" s="1058"/>
      <c r="BU1" s="1058"/>
      <c r="BV1" s="1058"/>
      <c r="BW1" s="1058"/>
      <c r="BX1" s="1058"/>
      <c r="BY1" s="1058"/>
      <c r="BZ1" s="1058"/>
      <c r="CA1" s="1058"/>
      <c r="CB1" s="1058"/>
      <c r="CC1" s="1058"/>
      <c r="CD1" s="1058"/>
      <c r="CE1" s="1058"/>
      <c r="CF1" s="1058"/>
      <c r="CG1" s="1058"/>
      <c r="CH1" s="1058"/>
      <c r="CI1" s="1058"/>
      <c r="CJ1" s="1058"/>
      <c r="CK1" s="1058"/>
      <c r="CL1" s="1058"/>
      <c r="CM1" s="1058"/>
      <c r="CN1" s="1058"/>
      <c r="CO1" s="29"/>
      <c r="CP1" s="30"/>
    </row>
    <row r="2" spans="1:94" ht="15.75" thickBo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3"/>
      <c r="CO2" s="34"/>
      <c r="CP2" s="30"/>
    </row>
    <row r="3" spans="1:94" ht="15" customHeight="1" thickBo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5"/>
      <c r="BL3" s="1340" t="s">
        <v>150</v>
      </c>
      <c r="BM3" s="1341"/>
      <c r="BN3" s="1341"/>
      <c r="BO3" s="1342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1349" t="s">
        <v>151</v>
      </c>
      <c r="CL3" s="1350"/>
      <c r="CM3" s="36"/>
      <c r="CN3" s="37"/>
      <c r="CO3" s="34"/>
      <c r="CP3" s="30"/>
    </row>
    <row r="4" spans="1:94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5"/>
      <c r="BL4" s="1343"/>
      <c r="BM4" s="1344"/>
      <c r="BN4" s="1344"/>
      <c r="BO4" s="1345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9"/>
      <c r="CO4" s="34"/>
      <c r="CP4" s="30"/>
    </row>
    <row r="5" spans="1:94" ht="15.75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5"/>
      <c r="BL5" s="1343"/>
      <c r="BM5" s="1344"/>
      <c r="BN5" s="1344"/>
      <c r="BO5" s="1345"/>
      <c r="BP5" s="38"/>
      <c r="BQ5" s="38"/>
      <c r="BR5" s="38"/>
      <c r="BS5" s="38"/>
      <c r="BT5" s="38"/>
      <c r="BZ5" s="40"/>
      <c r="CA5" s="40"/>
      <c r="CB5" s="40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41" t="s">
        <v>152</v>
      </c>
      <c r="CO5" s="34"/>
      <c r="CP5" s="30"/>
    </row>
    <row r="6" spans="1:94" ht="18.75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5"/>
      <c r="BL6" s="1343"/>
      <c r="BM6" s="1344"/>
      <c r="BN6" s="1344"/>
      <c r="BO6" s="1345"/>
      <c r="BP6" s="38"/>
      <c r="BQ6" s="38"/>
      <c r="BR6" s="38"/>
      <c r="BS6" s="38"/>
      <c r="BT6" s="38"/>
      <c r="BW6" s="42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31"/>
      <c r="CL6" s="31"/>
      <c r="CM6" s="31"/>
      <c r="CN6" s="41" t="s">
        <v>152</v>
      </c>
      <c r="CO6" s="34"/>
      <c r="CP6" s="30"/>
    </row>
    <row r="7" spans="1:94" ht="19.5" thickBo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5"/>
      <c r="BL7" s="1346"/>
      <c r="BM7" s="1347"/>
      <c r="BN7" s="1347"/>
      <c r="BO7" s="1348"/>
      <c r="BP7" s="38"/>
      <c r="BQ7" s="38"/>
      <c r="BR7" s="38"/>
      <c r="BS7" s="38"/>
      <c r="BT7" s="43"/>
      <c r="BW7" s="42"/>
      <c r="BY7" s="29"/>
      <c r="BZ7" s="31"/>
      <c r="CA7" s="31"/>
      <c r="CB7" s="44" t="s">
        <v>153</v>
      </c>
      <c r="CC7" s="44" t="s">
        <v>153</v>
      </c>
      <c r="CD7" s="44" t="s">
        <v>153</v>
      </c>
      <c r="CE7" s="40"/>
      <c r="CF7" s="40"/>
      <c r="CG7" s="40"/>
      <c r="CH7" s="40"/>
      <c r="CI7" s="40"/>
      <c r="CJ7" s="40"/>
      <c r="CK7" s="45"/>
      <c r="CL7" s="45"/>
      <c r="CM7" s="45"/>
      <c r="CN7" s="41" t="s">
        <v>152</v>
      </c>
      <c r="CO7" s="34"/>
      <c r="CP7" s="30"/>
    </row>
    <row r="8" spans="1:94" ht="18.75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5"/>
      <c r="BL8" s="43"/>
      <c r="BM8" s="38"/>
      <c r="BN8" s="38"/>
      <c r="BO8" s="38"/>
      <c r="BP8" s="38"/>
      <c r="BQ8" s="38"/>
      <c r="BR8" s="38"/>
      <c r="BS8" s="38"/>
      <c r="BT8" s="29"/>
      <c r="BU8" s="46"/>
      <c r="BV8" s="46"/>
      <c r="BW8" s="42"/>
      <c r="BX8" s="43"/>
      <c r="BY8" s="29"/>
      <c r="BZ8" s="31"/>
      <c r="CA8" s="31"/>
      <c r="CB8" s="44" t="s">
        <v>153</v>
      </c>
      <c r="CC8" s="40"/>
      <c r="CD8" s="44" t="s">
        <v>153</v>
      </c>
      <c r="CE8" s="40"/>
      <c r="CF8" s="40"/>
      <c r="CG8" s="40"/>
      <c r="CH8" s="40"/>
      <c r="CI8" s="40"/>
      <c r="CJ8" s="40"/>
      <c r="CK8" s="45"/>
      <c r="CL8" s="45"/>
      <c r="CM8" s="45"/>
      <c r="CN8" s="41" t="s">
        <v>152</v>
      </c>
      <c r="CO8" s="34"/>
      <c r="CP8" s="30"/>
    </row>
    <row r="9" spans="1:94" ht="18.75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4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5"/>
      <c r="BL9" s="43"/>
      <c r="BM9" s="47"/>
      <c r="BN9" s="47"/>
      <c r="BO9" s="47"/>
      <c r="BP9" s="38"/>
      <c r="BQ9" s="38"/>
      <c r="BT9" s="38"/>
      <c r="BU9" s="42">
        <v>1</v>
      </c>
      <c r="BV9" s="42">
        <v>2</v>
      </c>
      <c r="BW9" s="42"/>
      <c r="BZ9" s="31"/>
      <c r="CB9" s="44" t="s">
        <v>153</v>
      </c>
      <c r="CC9" s="40"/>
      <c r="CD9" s="44" t="s">
        <v>153</v>
      </c>
      <c r="CE9" s="40"/>
      <c r="CF9" s="40"/>
      <c r="CG9" s="40"/>
      <c r="CH9" s="40"/>
      <c r="CI9" s="40"/>
      <c r="CJ9" s="40"/>
      <c r="CK9" s="45"/>
      <c r="CL9" s="45"/>
      <c r="CM9" s="45"/>
      <c r="CN9" s="48" t="s">
        <v>154</v>
      </c>
      <c r="CO9" s="34"/>
      <c r="CP9" s="30"/>
    </row>
    <row r="10" spans="1:94" ht="18.75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4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5"/>
      <c r="BL10" s="43"/>
      <c r="BM10" s="47"/>
      <c r="BN10" s="47"/>
      <c r="BO10" s="47"/>
      <c r="BP10" s="38"/>
      <c r="BQ10" s="38"/>
      <c r="BT10" s="49" t="s">
        <v>155</v>
      </c>
      <c r="BU10" s="50"/>
      <c r="BV10" s="50"/>
      <c r="BZ10" s="40"/>
      <c r="CC10" s="44" t="s">
        <v>153</v>
      </c>
      <c r="CD10" s="44" t="s">
        <v>153</v>
      </c>
      <c r="CE10" s="40"/>
      <c r="CF10" s="40"/>
      <c r="CG10" s="40"/>
      <c r="CH10" s="40"/>
      <c r="CI10" s="40"/>
      <c r="CJ10" s="40"/>
      <c r="CK10" s="45"/>
      <c r="CL10" s="45"/>
      <c r="CM10" s="45"/>
      <c r="CN10" s="48" t="s">
        <v>154</v>
      </c>
      <c r="CO10" s="34"/>
      <c r="CP10" s="30"/>
    </row>
    <row r="11" spans="1:94" ht="18.75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4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5"/>
      <c r="BL11" s="43"/>
      <c r="BM11" s="47"/>
      <c r="BN11" s="47"/>
      <c r="BO11" s="47"/>
      <c r="BP11" s="51" t="s">
        <v>156</v>
      </c>
      <c r="BQ11" s="51" t="s">
        <v>156</v>
      </c>
      <c r="BT11" s="50" t="s">
        <v>157</v>
      </c>
      <c r="BU11" s="52" t="s">
        <v>48</v>
      </c>
      <c r="BV11" s="52" t="s">
        <v>48</v>
      </c>
      <c r="BW11" s="50" t="s">
        <v>157</v>
      </c>
      <c r="BY11" s="42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1" t="s">
        <v>152</v>
      </c>
      <c r="CK11" s="45"/>
      <c r="CL11" s="45"/>
      <c r="CM11" s="45"/>
      <c r="CN11" s="48" t="s">
        <v>154</v>
      </c>
      <c r="CO11" s="34"/>
      <c r="CP11" s="30"/>
    </row>
    <row r="12" spans="1:94" ht="18.75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31"/>
      <c r="W12" s="40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5"/>
      <c r="BL12" s="43"/>
      <c r="BM12" s="47"/>
      <c r="BN12" s="47"/>
      <c r="BO12" s="47"/>
      <c r="BP12" s="51" t="s">
        <v>156</v>
      </c>
      <c r="BQ12" s="51" t="s">
        <v>156</v>
      </c>
      <c r="BT12" s="50" t="s">
        <v>157</v>
      </c>
      <c r="BU12" s="52" t="s">
        <v>48</v>
      </c>
      <c r="BV12" s="52" t="s">
        <v>48</v>
      </c>
      <c r="BW12" s="50" t="s">
        <v>157</v>
      </c>
      <c r="BX12" s="29"/>
      <c r="BY12" s="42"/>
      <c r="BZ12" s="40"/>
      <c r="CA12" s="40"/>
      <c r="CB12" s="40"/>
      <c r="CC12" s="40"/>
      <c r="CD12" s="40"/>
      <c r="CE12" s="40"/>
      <c r="CF12" s="40"/>
      <c r="CG12" s="40"/>
      <c r="CH12" s="40"/>
      <c r="CI12" s="41" t="s">
        <v>152</v>
      </c>
      <c r="CJ12" s="40"/>
      <c r="CK12" s="41" t="s">
        <v>152</v>
      </c>
      <c r="CL12" s="45"/>
      <c r="CM12" s="45"/>
      <c r="CN12" s="41" t="s">
        <v>152</v>
      </c>
      <c r="CO12" s="34"/>
      <c r="CP12" s="30"/>
    </row>
    <row r="13" spans="1:94" ht="18.75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5"/>
      <c r="BL13" s="43"/>
      <c r="BM13" s="47"/>
      <c r="BN13" s="47"/>
      <c r="BO13" s="47"/>
      <c r="BP13" s="38"/>
      <c r="BQ13" s="38"/>
      <c r="BT13" s="38"/>
      <c r="BU13" s="50"/>
      <c r="BV13" s="50"/>
      <c r="BW13" s="38"/>
      <c r="BX13" s="38"/>
      <c r="BY13" s="42"/>
      <c r="BZ13" s="40"/>
      <c r="CA13" s="40"/>
      <c r="CB13" s="40"/>
      <c r="CC13" s="40"/>
      <c r="CD13" s="40"/>
      <c r="CE13" s="40"/>
      <c r="CF13" s="40"/>
      <c r="CG13" s="40"/>
      <c r="CH13" s="41" t="s">
        <v>152</v>
      </c>
      <c r="CI13" s="40"/>
      <c r="CL13" s="41" t="s">
        <v>152</v>
      </c>
      <c r="CM13" s="45"/>
      <c r="CN13" s="41" t="s">
        <v>152</v>
      </c>
      <c r="CO13" s="34"/>
      <c r="CP13" s="30"/>
    </row>
    <row r="14" spans="1:94" ht="18.75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40"/>
      <c r="V14" s="40"/>
      <c r="W14" s="4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5"/>
      <c r="BL14" s="43"/>
      <c r="BM14" s="47"/>
      <c r="BN14" s="47"/>
      <c r="BO14" s="47"/>
      <c r="BP14" s="38"/>
      <c r="BQ14" s="38"/>
      <c r="BT14" s="38"/>
      <c r="BU14" s="42">
        <v>4</v>
      </c>
      <c r="BV14" s="42">
        <v>3</v>
      </c>
      <c r="BY14" s="42"/>
      <c r="CA14" s="40"/>
      <c r="CB14" s="40"/>
      <c r="CC14" s="40"/>
      <c r="CD14" s="40"/>
      <c r="CE14" s="40"/>
      <c r="CF14" s="40"/>
      <c r="CG14" s="40"/>
      <c r="CH14" s="40"/>
      <c r="CI14" s="41" t="s">
        <v>152</v>
      </c>
      <c r="CK14" s="41" t="s">
        <v>152</v>
      </c>
      <c r="CL14" s="45"/>
      <c r="CM14" s="45"/>
      <c r="CN14" s="41" t="s">
        <v>152</v>
      </c>
      <c r="CO14" s="34"/>
      <c r="CP14" s="30"/>
    </row>
    <row r="15" spans="1:94" ht="18.75" x14ac:dyDescent="0.2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31"/>
      <c r="BC15" s="31"/>
      <c r="BD15" s="31"/>
      <c r="BE15" s="31"/>
      <c r="BF15" s="31"/>
      <c r="BG15" s="31"/>
      <c r="BH15" s="31"/>
      <c r="BI15" s="31"/>
      <c r="BJ15" s="31"/>
      <c r="BK15" s="35"/>
      <c r="BL15" s="56"/>
      <c r="BM15" s="47"/>
      <c r="BN15" s="47"/>
      <c r="BO15" s="47"/>
      <c r="BP15" s="57"/>
      <c r="BQ15" s="57"/>
      <c r="BT15" s="57"/>
      <c r="BU15" s="58"/>
      <c r="BV15" s="58"/>
      <c r="BW15" s="59"/>
      <c r="BX15" s="60"/>
      <c r="BY15" s="42"/>
      <c r="CE15" s="40"/>
      <c r="CF15" s="40"/>
      <c r="CG15" s="40"/>
      <c r="CH15" s="40"/>
      <c r="CI15" s="40"/>
      <c r="CJ15" s="41" t="s">
        <v>152</v>
      </c>
      <c r="CL15" s="45"/>
      <c r="CM15" s="45"/>
      <c r="CN15" s="61" t="s">
        <v>158</v>
      </c>
      <c r="CO15" s="34"/>
      <c r="CP15" s="30"/>
    </row>
    <row r="16" spans="1:94" ht="19.5" thickBot="1" x14ac:dyDescent="0.3">
      <c r="A16" s="53"/>
      <c r="B16" s="62"/>
      <c r="C16" s="62"/>
      <c r="D16" s="62"/>
      <c r="E16" s="62"/>
      <c r="F16" s="62"/>
      <c r="G16" s="62"/>
      <c r="H16" s="62"/>
      <c r="I16" s="63"/>
      <c r="J16" s="62"/>
      <c r="K16" s="64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6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7"/>
      <c r="BL16" s="68"/>
      <c r="BM16" s="47"/>
      <c r="BN16" s="47"/>
      <c r="BO16" s="47"/>
      <c r="BP16" s="57"/>
      <c r="BQ16" s="57"/>
      <c r="BS16" s="42">
        <v>1</v>
      </c>
      <c r="BT16" s="58" t="s">
        <v>159</v>
      </c>
      <c r="BU16" s="52" t="s">
        <v>48</v>
      </c>
      <c r="BV16" s="52" t="s">
        <v>48</v>
      </c>
      <c r="BW16" s="58" t="s">
        <v>159</v>
      </c>
      <c r="BX16" s="42">
        <v>6</v>
      </c>
      <c r="BY16" s="42"/>
      <c r="CA16" s="41" t="s">
        <v>152</v>
      </c>
      <c r="CB16" s="41" t="s">
        <v>152</v>
      </c>
      <c r="CC16" s="41" t="s">
        <v>152</v>
      </c>
      <c r="CD16" s="41" t="s">
        <v>152</v>
      </c>
      <c r="CE16" s="41" t="s">
        <v>152</v>
      </c>
      <c r="CF16" s="40"/>
      <c r="CG16" s="40"/>
      <c r="CH16" s="40"/>
      <c r="CI16" s="40"/>
      <c r="CJ16" s="40"/>
      <c r="CK16" s="45"/>
      <c r="CL16" s="45"/>
      <c r="CM16" s="69"/>
      <c r="CN16" s="61" t="s">
        <v>158</v>
      </c>
      <c r="CO16" s="34"/>
      <c r="CP16" s="30"/>
    </row>
    <row r="17" spans="1:94" ht="23.25" x14ac:dyDescent="0.25">
      <c r="A17" s="70"/>
      <c r="D17" s="71" t="s">
        <v>160</v>
      </c>
      <c r="F17" s="9" t="s">
        <v>71</v>
      </c>
      <c r="G17" s="9" t="s">
        <v>71</v>
      </c>
      <c r="H17" s="72" t="s">
        <v>4</v>
      </c>
      <c r="I17" s="72" t="s">
        <v>4</v>
      </c>
      <c r="J17" s="73" t="s">
        <v>161</v>
      </c>
      <c r="K17" s="73" t="s">
        <v>161</v>
      </c>
      <c r="L17" s="73" t="s">
        <v>161</v>
      </c>
      <c r="M17" s="73" t="s">
        <v>161</v>
      </c>
      <c r="N17" s="74" t="s">
        <v>162</v>
      </c>
      <c r="O17" s="74" t="s">
        <v>162</v>
      </c>
      <c r="P17" s="74" t="s">
        <v>162</v>
      </c>
      <c r="Q17" s="74" t="s">
        <v>162</v>
      </c>
      <c r="R17" s="74" t="s">
        <v>162</v>
      </c>
      <c r="S17" s="74" t="s">
        <v>162</v>
      </c>
      <c r="T17" s="74" t="s">
        <v>162</v>
      </c>
      <c r="U17" s="75" t="s">
        <v>163</v>
      </c>
      <c r="V17" s="75" t="s">
        <v>163</v>
      </c>
      <c r="W17" s="75" t="s">
        <v>163</v>
      </c>
      <c r="X17" s="75" t="s">
        <v>163</v>
      </c>
      <c r="Y17" s="76" t="s">
        <v>164</v>
      </c>
      <c r="Z17" s="76" t="s">
        <v>164</v>
      </c>
      <c r="AA17" s="77" t="s">
        <v>165</v>
      </c>
      <c r="AB17" s="77" t="s">
        <v>165</v>
      </c>
      <c r="AC17" s="78" t="s">
        <v>166</v>
      </c>
      <c r="AD17" s="79"/>
      <c r="AE17" s="80"/>
      <c r="AF17" s="80"/>
      <c r="AG17" s="81"/>
      <c r="AH17" s="82"/>
      <c r="AI17" s="83" t="s">
        <v>167</v>
      </c>
      <c r="AJ17" s="83" t="s">
        <v>167</v>
      </c>
      <c r="AK17" s="17" t="s">
        <v>24</v>
      </c>
      <c r="AL17" s="16" t="s">
        <v>6</v>
      </c>
      <c r="AM17" s="12" t="s">
        <v>68</v>
      </c>
      <c r="AN17" s="72" t="s">
        <v>4</v>
      </c>
      <c r="AO17" s="72" t="s">
        <v>4</v>
      </c>
      <c r="AP17" s="72" t="s">
        <v>4</v>
      </c>
      <c r="AQ17" s="84"/>
      <c r="AR17" s="85" t="s">
        <v>168</v>
      </c>
      <c r="AS17" s="85" t="s">
        <v>168</v>
      </c>
      <c r="AT17" s="85" t="s">
        <v>168</v>
      </c>
      <c r="AU17" s="85" t="s">
        <v>168</v>
      </c>
      <c r="AV17" s="85" t="s">
        <v>168</v>
      </c>
      <c r="AW17" s="12" t="s">
        <v>68</v>
      </c>
      <c r="AX17" s="12" t="s">
        <v>68</v>
      </c>
      <c r="AY17" s="19" t="s">
        <v>0</v>
      </c>
      <c r="AZ17" s="19" t="s">
        <v>0</v>
      </c>
      <c r="BA17" s="20" t="s">
        <v>47</v>
      </c>
      <c r="BB17" s="82"/>
      <c r="BC17" s="86"/>
      <c r="BD17" s="87"/>
      <c r="BE17" s="88"/>
      <c r="BF17" s="89" t="s">
        <v>169</v>
      </c>
      <c r="BG17" s="89" t="s">
        <v>169</v>
      </c>
      <c r="BH17" s="89" t="s">
        <v>169</v>
      </c>
      <c r="BI17" s="89" t="s">
        <v>169</v>
      </c>
      <c r="BJ17" s="88"/>
      <c r="BK17" s="88"/>
      <c r="BL17" s="90"/>
      <c r="BM17" s="47"/>
      <c r="BN17" s="47"/>
      <c r="BO17" s="47"/>
      <c r="BP17" s="91" t="s">
        <v>170</v>
      </c>
      <c r="BQ17" s="91" t="s">
        <v>170</v>
      </c>
      <c r="BS17" s="42">
        <v>2</v>
      </c>
      <c r="BT17" s="58" t="s">
        <v>159</v>
      </c>
      <c r="BU17" s="52" t="s">
        <v>48</v>
      </c>
      <c r="BV17" s="52" t="s">
        <v>48</v>
      </c>
      <c r="BW17" s="58" t="s">
        <v>159</v>
      </c>
      <c r="BX17" s="42">
        <v>5</v>
      </c>
      <c r="BY17" s="42"/>
      <c r="CA17" s="41" t="s">
        <v>152</v>
      </c>
      <c r="CB17" s="41" t="s">
        <v>152</v>
      </c>
      <c r="CC17" s="41" t="s">
        <v>152</v>
      </c>
      <c r="CD17" s="41" t="s">
        <v>152</v>
      </c>
      <c r="CE17" s="41" t="s">
        <v>152</v>
      </c>
      <c r="CF17" s="40"/>
      <c r="CG17" s="40"/>
      <c r="CH17" s="40"/>
      <c r="CI17" s="40"/>
      <c r="CJ17" s="40"/>
      <c r="CK17" s="45"/>
      <c r="CL17" s="45"/>
      <c r="CM17" s="69"/>
      <c r="CN17" s="61" t="s">
        <v>158</v>
      </c>
      <c r="CO17" s="34"/>
      <c r="CP17" s="30"/>
    </row>
    <row r="18" spans="1:94" ht="24" thickBot="1" x14ac:dyDescent="0.35">
      <c r="A18" s="70"/>
      <c r="B18" s="45"/>
      <c r="C18" s="45"/>
      <c r="D18" s="40"/>
      <c r="E18" s="40"/>
      <c r="F18" s="82" t="s">
        <v>171</v>
      </c>
      <c r="G18" s="82" t="s">
        <v>171</v>
      </c>
      <c r="H18" s="82" t="s">
        <v>171</v>
      </c>
      <c r="I18" s="82" t="s">
        <v>171</v>
      </c>
      <c r="AE18" s="92" t="s">
        <v>172</v>
      </c>
      <c r="AH18" s="84"/>
      <c r="AI18" s="82" t="s">
        <v>171</v>
      </c>
      <c r="AJ18" s="82" t="s">
        <v>171</v>
      </c>
      <c r="AK18" s="82" t="s">
        <v>171</v>
      </c>
      <c r="AL18" s="82" t="s">
        <v>171</v>
      </c>
      <c r="AM18" s="82" t="s">
        <v>171</v>
      </c>
      <c r="AN18" s="82" t="s">
        <v>171</v>
      </c>
      <c r="AO18" s="82" t="s">
        <v>171</v>
      </c>
      <c r="AP18" s="82" t="s">
        <v>171</v>
      </c>
      <c r="AQ18" s="93" t="s">
        <v>173</v>
      </c>
      <c r="AR18" s="1070" t="s">
        <v>174</v>
      </c>
      <c r="AS18" s="1070"/>
      <c r="AT18" s="1070"/>
      <c r="AU18" s="94" t="s">
        <v>175</v>
      </c>
      <c r="AV18" s="93" t="s">
        <v>173</v>
      </c>
      <c r="AW18" s="82" t="s">
        <v>171</v>
      </c>
      <c r="AX18" s="82" t="s">
        <v>171</v>
      </c>
      <c r="AY18" s="82" t="s">
        <v>171</v>
      </c>
      <c r="AZ18" s="82" t="s">
        <v>171</v>
      </c>
      <c r="BA18" s="82" t="s">
        <v>171</v>
      </c>
      <c r="BB18" s="84"/>
      <c r="BD18" s="95"/>
      <c r="BE18" s="87"/>
      <c r="BG18" s="87"/>
      <c r="BI18" s="87"/>
      <c r="BK18" s="87"/>
      <c r="BL18" s="90"/>
      <c r="BM18" s="47"/>
      <c r="BN18" s="47"/>
      <c r="BO18" s="47"/>
      <c r="BP18" s="91" t="s">
        <v>170</v>
      </c>
      <c r="BQ18" s="91" t="s">
        <v>170</v>
      </c>
      <c r="BS18" s="42">
        <v>3</v>
      </c>
      <c r="BT18" s="58" t="s">
        <v>159</v>
      </c>
      <c r="BU18" s="52" t="s">
        <v>48</v>
      </c>
      <c r="BV18" s="52" t="s">
        <v>48</v>
      </c>
      <c r="BW18" s="58" t="s">
        <v>159</v>
      </c>
      <c r="BX18" s="42">
        <v>4</v>
      </c>
      <c r="BY18" s="42"/>
      <c r="CA18" s="96"/>
      <c r="CB18" s="96"/>
      <c r="CC18" s="96"/>
      <c r="CD18" s="96"/>
      <c r="CF18" s="45"/>
      <c r="CG18" s="45"/>
      <c r="CH18" s="97"/>
      <c r="CI18" s="45"/>
      <c r="CJ18" s="45"/>
      <c r="CK18" s="45"/>
      <c r="CL18" s="45"/>
      <c r="CM18" s="38"/>
      <c r="CN18" s="39"/>
      <c r="CO18" s="29"/>
      <c r="CP18" s="30"/>
    </row>
    <row r="19" spans="1:94" ht="18.75" x14ac:dyDescent="0.3">
      <c r="A19" s="70"/>
      <c r="B19" s="45"/>
      <c r="C19" s="45"/>
      <c r="D19" s="31"/>
      <c r="E19" s="31"/>
      <c r="F19" s="98">
        <v>1</v>
      </c>
      <c r="G19" s="99">
        <v>2</v>
      </c>
      <c r="H19" s="99">
        <v>3</v>
      </c>
      <c r="I19" s="98">
        <v>4</v>
      </c>
      <c r="L19" s="100"/>
      <c r="Z19" s="101"/>
      <c r="AA19" s="1071" t="s">
        <v>176</v>
      </c>
      <c r="AB19" s="1071"/>
      <c r="AC19" s="1071"/>
      <c r="AD19" s="1071"/>
      <c r="AE19" s="102"/>
      <c r="AH19" s="92"/>
      <c r="AI19" s="103">
        <v>1</v>
      </c>
      <c r="AJ19" s="103">
        <v>2</v>
      </c>
      <c r="AK19" s="103">
        <v>3</v>
      </c>
      <c r="AL19" s="104">
        <v>4</v>
      </c>
      <c r="AM19" s="103">
        <v>5</v>
      </c>
      <c r="AN19" s="103">
        <v>6</v>
      </c>
      <c r="AO19" s="104">
        <v>7</v>
      </c>
      <c r="AP19" s="104">
        <v>8</v>
      </c>
      <c r="AQ19" s="103"/>
      <c r="AR19" s="100"/>
      <c r="AS19" s="100"/>
      <c r="AT19" s="100"/>
      <c r="AU19" s="100"/>
      <c r="AV19" s="100"/>
      <c r="AW19" s="104">
        <v>13</v>
      </c>
      <c r="AX19" s="104">
        <v>14</v>
      </c>
      <c r="AY19" s="103">
        <v>15</v>
      </c>
      <c r="AZ19" s="104">
        <v>16</v>
      </c>
      <c r="BA19" s="104">
        <v>17</v>
      </c>
      <c r="BB19" s="92" t="s">
        <v>177</v>
      </c>
      <c r="BC19" s="88"/>
      <c r="BD19" s="88"/>
      <c r="BE19" s="88"/>
      <c r="BF19" s="88"/>
      <c r="BG19" s="105"/>
      <c r="BH19" s="88"/>
      <c r="BI19" s="88"/>
      <c r="BJ19" s="88"/>
      <c r="BK19" s="88"/>
      <c r="BL19" s="90"/>
      <c r="BM19" s="47"/>
      <c r="BN19" s="47"/>
      <c r="BO19" s="47"/>
      <c r="BP19" s="91" t="s">
        <v>170</v>
      </c>
      <c r="BQ19" s="91" t="s">
        <v>170</v>
      </c>
      <c r="BS19" s="42"/>
      <c r="BT19" s="42"/>
      <c r="BU19" s="58"/>
      <c r="BV19" s="58"/>
      <c r="BW19" s="42"/>
      <c r="BX19" s="42"/>
      <c r="BY19" s="42"/>
      <c r="BZ19" s="106" t="s">
        <v>161</v>
      </c>
      <c r="CA19" s="106" t="s">
        <v>161</v>
      </c>
      <c r="CB19" s="106" t="s">
        <v>161</v>
      </c>
      <c r="CC19" s="106" t="s">
        <v>161</v>
      </c>
      <c r="CD19" s="107" t="s">
        <v>161</v>
      </c>
      <c r="CE19" s="101"/>
      <c r="CF19" s="108"/>
      <c r="CG19" s="108"/>
      <c r="CH19" s="108"/>
      <c r="CI19" s="109"/>
      <c r="CJ19" s="110"/>
      <c r="CK19" s="110"/>
      <c r="CL19" s="110"/>
      <c r="CM19" s="110"/>
      <c r="CN19" s="111"/>
      <c r="CO19" s="29"/>
      <c r="CP19" s="30"/>
    </row>
    <row r="20" spans="1:94" ht="21" x14ac:dyDescent="0.3">
      <c r="A20" s="70"/>
      <c r="B20" s="31"/>
      <c r="C20" s="97"/>
      <c r="D20" s="112"/>
      <c r="E20" s="97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92" t="s">
        <v>178</v>
      </c>
      <c r="V20" s="98">
        <v>1</v>
      </c>
      <c r="W20" s="99">
        <v>2</v>
      </c>
      <c r="X20" s="99">
        <v>3</v>
      </c>
      <c r="Y20" s="98">
        <v>1</v>
      </c>
      <c r="Z20" s="113" t="s">
        <v>179</v>
      </c>
      <c r="AA20" s="99">
        <v>2</v>
      </c>
      <c r="AB20" s="99">
        <v>3</v>
      </c>
      <c r="AC20" s="98">
        <v>1</v>
      </c>
      <c r="AD20" s="99">
        <v>2</v>
      </c>
      <c r="AE20" s="114" t="s">
        <v>180</v>
      </c>
      <c r="AF20" s="104">
        <v>3</v>
      </c>
      <c r="AG20" s="103">
        <v>1</v>
      </c>
      <c r="AH20" s="104">
        <v>2</v>
      </c>
      <c r="AI20" s="104">
        <v>3</v>
      </c>
      <c r="AK20" s="92" t="s">
        <v>181</v>
      </c>
      <c r="AL20" s="98">
        <v>1</v>
      </c>
      <c r="AM20" s="99">
        <v>2</v>
      </c>
      <c r="AN20" s="99">
        <v>3</v>
      </c>
      <c r="AO20" s="98">
        <v>4</v>
      </c>
      <c r="AP20" s="99">
        <v>5</v>
      </c>
      <c r="AQ20" s="115"/>
      <c r="AR20" s="100"/>
      <c r="AS20" s="100"/>
      <c r="AT20" s="100"/>
      <c r="AU20" s="100"/>
      <c r="AV20" s="100"/>
      <c r="AW20" s="100"/>
      <c r="BA20" s="47"/>
      <c r="BC20" s="100"/>
      <c r="BJ20" s="100"/>
      <c r="BL20" s="90"/>
      <c r="BM20" s="57"/>
      <c r="BN20" s="57"/>
      <c r="BO20" s="57"/>
      <c r="BP20" s="57"/>
      <c r="BQ20" s="57"/>
      <c r="BR20" s="57"/>
      <c r="BS20" s="31"/>
      <c r="BT20" s="42"/>
      <c r="BU20" s="42"/>
      <c r="BV20" s="42"/>
      <c r="BW20" s="42"/>
      <c r="BX20" s="42"/>
      <c r="BY20" s="42"/>
      <c r="BZ20" s="116" t="s">
        <v>164</v>
      </c>
      <c r="CA20" s="116" t="s">
        <v>164</v>
      </c>
      <c r="CB20" s="117" t="s">
        <v>166</v>
      </c>
      <c r="CC20" s="117" t="s">
        <v>166</v>
      </c>
      <c r="CD20" s="107" t="s">
        <v>161</v>
      </c>
      <c r="CE20" s="118"/>
      <c r="CF20" s="119"/>
      <c r="CG20" s="119"/>
      <c r="CH20" s="119"/>
      <c r="CI20" s="120"/>
      <c r="CJ20" s="42"/>
      <c r="CK20" s="42"/>
      <c r="CL20" s="42"/>
      <c r="CM20" s="42"/>
      <c r="CN20" s="121"/>
      <c r="CO20" s="29"/>
      <c r="CP20" s="30"/>
    </row>
    <row r="21" spans="1:94" ht="21" x14ac:dyDescent="0.3">
      <c r="A21" s="70"/>
      <c r="B21" s="31"/>
      <c r="C21" s="97"/>
      <c r="D21" s="112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99"/>
      <c r="V21" s="122" t="s">
        <v>182</v>
      </c>
      <c r="W21" s="122" t="s">
        <v>182</v>
      </c>
      <c r="X21" s="122" t="s">
        <v>182</v>
      </c>
      <c r="Y21" s="122" t="s">
        <v>182</v>
      </c>
      <c r="Z21" s="123" t="s">
        <v>180</v>
      </c>
      <c r="AA21" s="122" t="s">
        <v>182</v>
      </c>
      <c r="AB21" s="122" t="s">
        <v>182</v>
      </c>
      <c r="AC21" s="122" t="s">
        <v>182</v>
      </c>
      <c r="AD21" s="122" t="s">
        <v>182</v>
      </c>
      <c r="AE21" s="124"/>
      <c r="AF21" s="122" t="s">
        <v>182</v>
      </c>
      <c r="AG21" s="125" t="s">
        <v>182</v>
      </c>
      <c r="AH21" s="125" t="s">
        <v>182</v>
      </c>
      <c r="AI21" s="125" t="s">
        <v>182</v>
      </c>
      <c r="AJ21" s="99"/>
      <c r="AK21" s="99"/>
      <c r="AL21" s="82" t="s">
        <v>182</v>
      </c>
      <c r="AM21" s="82" t="s">
        <v>182</v>
      </c>
      <c r="AN21" s="82" t="s">
        <v>182</v>
      </c>
      <c r="AO21" s="82" t="s">
        <v>182</v>
      </c>
      <c r="AP21" s="82" t="s">
        <v>182</v>
      </c>
      <c r="AQ21" s="92" t="s">
        <v>183</v>
      </c>
      <c r="AS21" s="1072" t="s">
        <v>174</v>
      </c>
      <c r="AT21" s="1072"/>
      <c r="AU21" s="1072"/>
      <c r="AV21" s="1072"/>
      <c r="AW21" s="100"/>
      <c r="AX21" s="126"/>
      <c r="AY21" s="126" t="s">
        <v>184</v>
      </c>
      <c r="BA21" s="47"/>
      <c r="BC21" s="100"/>
      <c r="BD21" s="127" t="s">
        <v>185</v>
      </c>
      <c r="BE21" s="128" t="s">
        <v>186</v>
      </c>
      <c r="BF21" s="128" t="s">
        <v>186</v>
      </c>
      <c r="BG21" s="128" t="s">
        <v>186</v>
      </c>
      <c r="BH21" s="129"/>
      <c r="BI21" s="130" t="s">
        <v>157</v>
      </c>
      <c r="BJ21" s="100"/>
      <c r="BL21" s="90"/>
      <c r="BM21" s="57"/>
      <c r="BN21" s="57"/>
      <c r="BO21" s="57"/>
      <c r="BP21" s="57"/>
      <c r="BQ21" s="57"/>
      <c r="BR21" s="57"/>
      <c r="BS21" s="31"/>
      <c r="BT21" s="42"/>
      <c r="BU21" s="42"/>
      <c r="BV21" s="42"/>
      <c r="BW21" s="42"/>
      <c r="BX21" s="42"/>
      <c r="BY21" s="42"/>
      <c r="BZ21" s="100"/>
      <c r="CA21" s="100"/>
      <c r="CB21" s="100"/>
      <c r="CC21" s="100"/>
      <c r="CD21" s="100"/>
      <c r="CE21" s="131"/>
      <c r="CF21" s="120"/>
      <c r="CG21" s="42"/>
      <c r="CH21" s="42"/>
      <c r="CI21" s="42"/>
      <c r="CJ21" s="42"/>
      <c r="CK21" s="42"/>
      <c r="CL21" s="42"/>
      <c r="CM21" s="42"/>
      <c r="CN21" s="121"/>
      <c r="CO21" s="29"/>
      <c r="CP21" s="30"/>
    </row>
    <row r="22" spans="1:94" ht="24" thickBot="1" x14ac:dyDescent="0.3">
      <c r="A22" s="70"/>
      <c r="B22" s="31"/>
      <c r="C22" s="97"/>
      <c r="D22" s="112"/>
      <c r="F22" s="132" t="s">
        <v>187</v>
      </c>
      <c r="G22" s="132" t="s">
        <v>187</v>
      </c>
      <c r="H22" s="132" t="s">
        <v>187</v>
      </c>
      <c r="I22" s="132" t="s">
        <v>187</v>
      </c>
      <c r="J22" s="133" t="s">
        <v>188</v>
      </c>
      <c r="K22" s="134" t="s">
        <v>189</v>
      </c>
      <c r="L22" s="100"/>
      <c r="M22" s="135" t="s">
        <v>190</v>
      </c>
      <c r="N22" s="136" t="s">
        <v>190</v>
      </c>
      <c r="O22" s="137" t="s">
        <v>191</v>
      </c>
      <c r="P22" s="138" t="s">
        <v>192</v>
      </c>
      <c r="Q22" s="139" t="s">
        <v>193</v>
      </c>
      <c r="R22" s="140" t="s">
        <v>193</v>
      </c>
      <c r="S22" s="100"/>
      <c r="T22" s="100"/>
      <c r="U22" s="141"/>
      <c r="V22" s="142" t="s">
        <v>9</v>
      </c>
      <c r="W22" s="143" t="s">
        <v>9</v>
      </c>
      <c r="X22" s="10" t="s">
        <v>46</v>
      </c>
      <c r="Y22" s="144" t="s">
        <v>46</v>
      </c>
      <c r="Z22" s="145"/>
      <c r="AA22" s="146" t="s">
        <v>76</v>
      </c>
      <c r="AB22" s="146" t="s">
        <v>76</v>
      </c>
      <c r="AC22" s="146" t="s">
        <v>76</v>
      </c>
      <c r="AD22" s="18" t="s">
        <v>92</v>
      </c>
      <c r="AE22" s="147"/>
      <c r="AF22" s="148" t="s">
        <v>71</v>
      </c>
      <c r="AG22" s="9" t="s">
        <v>71</v>
      </c>
      <c r="AH22" s="15" t="s">
        <v>84</v>
      </c>
      <c r="AI22" s="15" t="s">
        <v>84</v>
      </c>
      <c r="AJ22" s="141"/>
      <c r="AK22" s="141"/>
      <c r="AL22" s="143" t="s">
        <v>9</v>
      </c>
      <c r="AM22" s="143" t="s">
        <v>9</v>
      </c>
      <c r="AN22" s="11" t="s">
        <v>115</v>
      </c>
      <c r="AO22" s="10" t="s">
        <v>46</v>
      </c>
      <c r="AP22" s="10" t="s">
        <v>46</v>
      </c>
      <c r="AQ22" s="149"/>
      <c r="AS22" s="85" t="s">
        <v>168</v>
      </c>
      <c r="AT22" s="85" t="s">
        <v>168</v>
      </c>
      <c r="AU22" s="85" t="s">
        <v>168</v>
      </c>
      <c r="AV22" s="85" t="s">
        <v>168</v>
      </c>
      <c r="AW22" s="100"/>
      <c r="AX22" s="150" t="s">
        <v>194</v>
      </c>
      <c r="AY22" s="150" t="s">
        <v>194</v>
      </c>
      <c r="AZ22" s="150" t="s">
        <v>194</v>
      </c>
      <c r="BA22" s="47"/>
      <c r="BC22" s="100"/>
      <c r="BD22" s="100"/>
      <c r="BE22" s="151" t="s">
        <v>48</v>
      </c>
      <c r="BF22" s="151" t="s">
        <v>48</v>
      </c>
      <c r="BG22" s="151" t="s">
        <v>48</v>
      </c>
      <c r="BH22" s="152"/>
      <c r="BI22" s="52" t="s">
        <v>48</v>
      </c>
      <c r="BJ22" s="100"/>
      <c r="BL22" s="90"/>
      <c r="BM22" s="57"/>
      <c r="BN22" s="57"/>
      <c r="BO22" s="57"/>
      <c r="BP22" s="57"/>
      <c r="BQ22" s="57"/>
      <c r="BR22" s="57"/>
      <c r="BS22" s="31"/>
      <c r="BT22" s="42"/>
      <c r="BU22" s="42"/>
      <c r="BV22" s="42"/>
      <c r="BW22" s="42"/>
      <c r="BX22" s="42"/>
      <c r="BY22" s="42"/>
      <c r="BZ22" s="100"/>
      <c r="CA22" s="100"/>
      <c r="CB22" s="100"/>
      <c r="CC22" s="100"/>
      <c r="CD22" s="100"/>
      <c r="CE22" s="131"/>
      <c r="CF22" s="120"/>
      <c r="CG22" s="42"/>
      <c r="CH22" s="42"/>
      <c r="CI22" s="42"/>
      <c r="CJ22" s="42"/>
      <c r="CK22" s="42"/>
      <c r="CL22" s="42"/>
      <c r="CM22" s="42"/>
      <c r="CN22" s="121"/>
      <c r="CO22" s="29"/>
      <c r="CP22" s="30"/>
    </row>
    <row r="23" spans="1:94" ht="23.25" x14ac:dyDescent="0.25">
      <c r="A23" s="70"/>
      <c r="B23" s="31"/>
      <c r="C23" s="97"/>
      <c r="D23" s="112"/>
      <c r="E23" s="40"/>
      <c r="F23" s="136" t="s">
        <v>190</v>
      </c>
      <c r="G23" s="153" t="s">
        <v>195</v>
      </c>
      <c r="H23" s="153" t="s">
        <v>195</v>
      </c>
      <c r="I23" s="154" t="s">
        <v>196</v>
      </c>
      <c r="J23" s="136" t="s">
        <v>190</v>
      </c>
      <c r="K23" s="155" t="s">
        <v>197</v>
      </c>
      <c r="L23" s="100"/>
      <c r="M23" s="156" t="s">
        <v>189</v>
      </c>
      <c r="N23" s="138" t="s">
        <v>189</v>
      </c>
      <c r="O23" s="157" t="s">
        <v>198</v>
      </c>
      <c r="P23" s="157" t="s">
        <v>198</v>
      </c>
      <c r="Q23" s="158" t="s">
        <v>199</v>
      </c>
      <c r="R23" s="159" t="s">
        <v>199</v>
      </c>
      <c r="S23" s="100"/>
      <c r="T23" s="100"/>
      <c r="U23" s="141"/>
      <c r="V23" s="72" t="s">
        <v>4</v>
      </c>
      <c r="W23" s="72" t="s">
        <v>4</v>
      </c>
      <c r="X23" s="9" t="s">
        <v>71</v>
      </c>
      <c r="Y23" s="9" t="s">
        <v>71</v>
      </c>
      <c r="Z23" s="145"/>
      <c r="AA23" s="146" t="s">
        <v>76</v>
      </c>
      <c r="AB23" s="13" t="s">
        <v>78</v>
      </c>
      <c r="AC23" s="18" t="s">
        <v>92</v>
      </c>
      <c r="AD23" s="21" t="s">
        <v>109</v>
      </c>
      <c r="AE23" s="147"/>
      <c r="AF23" s="160" t="s">
        <v>167</v>
      </c>
      <c r="AG23" s="83" t="s">
        <v>167</v>
      </c>
      <c r="AH23" s="83" t="s">
        <v>167</v>
      </c>
      <c r="AI23" s="83" t="s">
        <v>167</v>
      </c>
      <c r="AJ23" s="141"/>
      <c r="AK23" s="141"/>
      <c r="AL23" s="15" t="s">
        <v>84</v>
      </c>
      <c r="AM23" s="15" t="s">
        <v>84</v>
      </c>
      <c r="AN23" s="14" t="s">
        <v>11</v>
      </c>
      <c r="AO23" s="9" t="s">
        <v>71</v>
      </c>
      <c r="AP23" s="9" t="s">
        <v>71</v>
      </c>
      <c r="AQ23" s="149"/>
      <c r="AS23" s="85" t="s">
        <v>168</v>
      </c>
      <c r="AT23" s="85" t="s">
        <v>168</v>
      </c>
      <c r="AU23" s="85" t="s">
        <v>168</v>
      </c>
      <c r="AV23" s="85" t="s">
        <v>168</v>
      </c>
      <c r="AW23" s="100"/>
      <c r="AX23" s="150" t="s">
        <v>194</v>
      </c>
      <c r="AY23" s="150" t="s">
        <v>194</v>
      </c>
      <c r="AZ23" s="150" t="s">
        <v>194</v>
      </c>
      <c r="BA23" s="47"/>
      <c r="BC23" s="100"/>
      <c r="BD23" s="100"/>
      <c r="BE23" s="151" t="s">
        <v>48</v>
      </c>
      <c r="BF23" s="151" t="s">
        <v>48</v>
      </c>
      <c r="BG23" s="151" t="s">
        <v>48</v>
      </c>
      <c r="BH23" s="161"/>
      <c r="BI23" s="52" t="s">
        <v>48</v>
      </c>
      <c r="BJ23" s="100"/>
      <c r="BL23" s="1335" t="s">
        <v>200</v>
      </c>
      <c r="BM23" s="31"/>
      <c r="BN23" s="31"/>
      <c r="BO23" s="31"/>
      <c r="BP23" s="57"/>
      <c r="BQ23" s="57"/>
      <c r="BR23" s="57"/>
      <c r="BS23" s="31"/>
      <c r="BT23" s="42"/>
      <c r="BU23" s="42"/>
      <c r="BV23" s="42"/>
      <c r="BW23" s="42"/>
      <c r="BX23" s="116" t="s">
        <v>164</v>
      </c>
      <c r="BY23" s="116" t="s">
        <v>164</v>
      </c>
      <c r="BZ23" s="100"/>
      <c r="CA23" s="136" t="s">
        <v>190</v>
      </c>
      <c r="CB23" s="139" t="s">
        <v>193</v>
      </c>
      <c r="CC23" s="136" t="s">
        <v>190</v>
      </c>
      <c r="CD23" s="100"/>
      <c r="CE23" s="131"/>
      <c r="CF23" s="120"/>
      <c r="CG23" s="42"/>
      <c r="CH23" s="42"/>
      <c r="CI23" s="42"/>
      <c r="CJ23" s="42"/>
      <c r="CK23" s="42"/>
      <c r="CL23" s="42"/>
      <c r="CM23" s="42"/>
      <c r="CN23" s="121"/>
      <c r="CO23" s="29"/>
      <c r="CP23" s="30"/>
    </row>
    <row r="24" spans="1:94" ht="24" thickBot="1" x14ac:dyDescent="0.3">
      <c r="A24" s="70"/>
      <c r="B24" s="31"/>
      <c r="C24" s="40"/>
      <c r="D24" s="40"/>
      <c r="E24" s="40"/>
      <c r="J24" s="47"/>
      <c r="K24" s="47"/>
      <c r="L24" s="100"/>
      <c r="M24" s="47"/>
      <c r="N24" s="47"/>
      <c r="O24" s="162"/>
      <c r="P24" s="162"/>
      <c r="R24" s="47"/>
      <c r="S24" s="100"/>
      <c r="T24" s="100"/>
      <c r="U24" s="163"/>
      <c r="V24" s="122" t="s">
        <v>182</v>
      </c>
      <c r="W24" s="122" t="s">
        <v>182</v>
      </c>
      <c r="X24" s="122" t="s">
        <v>182</v>
      </c>
      <c r="Y24" s="122" t="s">
        <v>182</v>
      </c>
      <c r="Z24" s="164"/>
      <c r="AA24" s="122" t="s">
        <v>182</v>
      </c>
      <c r="AB24" s="122" t="s">
        <v>182</v>
      </c>
      <c r="AC24" s="122" t="s">
        <v>182</v>
      </c>
      <c r="AD24" s="122" t="s">
        <v>182</v>
      </c>
      <c r="AE24" s="165"/>
      <c r="AF24" s="122" t="s">
        <v>182</v>
      </c>
      <c r="AG24" s="125" t="s">
        <v>182</v>
      </c>
      <c r="AH24" s="125" t="s">
        <v>182</v>
      </c>
      <c r="AI24" s="125" t="s">
        <v>182</v>
      </c>
      <c r="AJ24" s="163"/>
      <c r="AK24" s="163"/>
      <c r="AL24" s="82" t="s">
        <v>182</v>
      </c>
      <c r="AM24" s="82" t="s">
        <v>182</v>
      </c>
      <c r="AN24" s="82" t="s">
        <v>182</v>
      </c>
      <c r="AO24" s="82" t="s">
        <v>182</v>
      </c>
      <c r="AP24" s="82" t="s">
        <v>182</v>
      </c>
      <c r="AQ24" s="166"/>
      <c r="AS24" s="1075" t="s">
        <v>201</v>
      </c>
      <c r="AT24" s="1075"/>
      <c r="AU24" s="1075"/>
      <c r="AV24" s="1075"/>
      <c r="AW24" s="100"/>
      <c r="AX24" s="1337" t="s">
        <v>202</v>
      </c>
      <c r="AY24" s="1323"/>
      <c r="AZ24" s="1323"/>
      <c r="BA24" s="47"/>
      <c r="BC24" s="100"/>
      <c r="BD24" s="100"/>
      <c r="BE24" s="128" t="s">
        <v>186</v>
      </c>
      <c r="BF24" s="128" t="s">
        <v>186</v>
      </c>
      <c r="BG24" s="128" t="s">
        <v>186</v>
      </c>
      <c r="BH24" s="129"/>
      <c r="BI24" s="130" t="s">
        <v>157</v>
      </c>
      <c r="BJ24" s="100"/>
      <c r="BL24" s="1336"/>
      <c r="BM24" s="31"/>
      <c r="BN24" s="31"/>
      <c r="BO24" s="31"/>
      <c r="BP24" s="57"/>
      <c r="BQ24" s="57"/>
      <c r="BR24" s="57"/>
      <c r="BS24" s="31"/>
      <c r="BT24" s="42"/>
      <c r="BU24" s="42"/>
      <c r="BV24" s="42"/>
      <c r="BW24" s="42"/>
      <c r="BX24" s="106" t="s">
        <v>161</v>
      </c>
      <c r="BY24" s="167" t="s">
        <v>163</v>
      </c>
      <c r="BZ24" s="100"/>
      <c r="CA24" s="153" t="s">
        <v>195</v>
      </c>
      <c r="CB24" s="153" t="s">
        <v>195</v>
      </c>
      <c r="CC24" s="135" t="s">
        <v>190</v>
      </c>
      <c r="CD24" s="100"/>
      <c r="CE24" s="131"/>
      <c r="CG24" s="42"/>
      <c r="CH24" s="42"/>
      <c r="CI24" s="42"/>
      <c r="CJ24" s="42"/>
      <c r="CK24" s="42"/>
      <c r="CL24" s="42"/>
      <c r="CM24" s="42"/>
      <c r="CN24" s="121"/>
      <c r="CO24" s="29"/>
      <c r="CP24" s="30"/>
    </row>
    <row r="25" spans="1:94" ht="19.5" thickBot="1" x14ac:dyDescent="0.3">
      <c r="A25" s="70"/>
      <c r="B25" s="31"/>
      <c r="C25" s="97"/>
      <c r="D25" s="97"/>
      <c r="E25" s="97"/>
      <c r="F25" s="168"/>
      <c r="H25" s="168"/>
      <c r="I25" s="1"/>
      <c r="J25" s="47"/>
      <c r="K25" s="47"/>
      <c r="L25" s="100"/>
      <c r="M25" s="47"/>
      <c r="N25" s="47"/>
      <c r="P25" s="51" t="s">
        <v>156</v>
      </c>
      <c r="Q25" s="169" t="s">
        <v>203</v>
      </c>
      <c r="R25" s="51" t="s">
        <v>156</v>
      </c>
      <c r="S25" s="100"/>
      <c r="T25" s="170" t="s">
        <v>204</v>
      </c>
      <c r="U25" s="170" t="s">
        <v>204</v>
      </c>
      <c r="V25" s="98">
        <v>6</v>
      </c>
      <c r="W25" s="99">
        <v>5</v>
      </c>
      <c r="X25" s="171">
        <v>4</v>
      </c>
      <c r="Y25" s="98">
        <v>6</v>
      </c>
      <c r="Z25" s="172"/>
      <c r="AA25" s="173">
        <v>5</v>
      </c>
      <c r="AB25" s="174">
        <v>4</v>
      </c>
      <c r="AC25" s="175">
        <v>6</v>
      </c>
      <c r="AD25" s="173">
        <v>5</v>
      </c>
      <c r="AE25" s="176"/>
      <c r="AF25" s="177">
        <v>4</v>
      </c>
      <c r="AG25" s="103">
        <v>6</v>
      </c>
      <c r="AH25" s="104">
        <v>5</v>
      </c>
      <c r="AI25" s="177">
        <v>4</v>
      </c>
      <c r="AJ25" s="93" t="s">
        <v>173</v>
      </c>
      <c r="AL25" s="98">
        <v>10</v>
      </c>
      <c r="AM25" s="99">
        <v>9</v>
      </c>
      <c r="AN25" s="99">
        <v>8</v>
      </c>
      <c r="AO25" s="98">
        <v>7</v>
      </c>
      <c r="AP25" s="99">
        <v>6</v>
      </c>
      <c r="AQ25" s="178"/>
      <c r="AW25" s="100"/>
      <c r="BA25" s="47"/>
      <c r="BC25" s="100"/>
      <c r="BD25" s="100"/>
      <c r="BE25" s="100"/>
      <c r="BF25" s="100"/>
      <c r="BG25" s="100"/>
      <c r="BH25" s="100"/>
      <c r="BI25" s="100"/>
      <c r="BJ25" s="100"/>
      <c r="BL25" s="179"/>
      <c r="BM25" s="57"/>
      <c r="BN25" s="57"/>
      <c r="BO25" s="57"/>
      <c r="BP25" s="57"/>
      <c r="BQ25" s="57"/>
      <c r="BR25" s="57"/>
      <c r="BS25" s="31"/>
      <c r="BT25" s="42"/>
      <c r="BU25" s="42"/>
      <c r="BV25" s="42"/>
      <c r="BW25" s="42"/>
      <c r="BX25" s="106" t="s">
        <v>161</v>
      </c>
      <c r="BY25" s="117" t="s">
        <v>166</v>
      </c>
      <c r="BZ25" s="100"/>
      <c r="CA25" s="100"/>
      <c r="CB25" s="100"/>
      <c r="CC25" s="100"/>
      <c r="CD25" s="100"/>
      <c r="CE25" s="131"/>
      <c r="CF25" s="120"/>
      <c r="CG25" s="42"/>
      <c r="CH25" s="42"/>
      <c r="CI25" s="42"/>
      <c r="CJ25" s="42"/>
      <c r="CK25" s="42"/>
      <c r="CL25" s="42"/>
      <c r="CM25" s="42"/>
      <c r="CN25" s="121"/>
      <c r="CO25" s="29"/>
      <c r="CP25" s="30"/>
    </row>
    <row r="26" spans="1:94" ht="19.5" thickBot="1" x14ac:dyDescent="0.3">
      <c r="A26" s="70"/>
      <c r="B26" s="31"/>
      <c r="C26" s="97"/>
      <c r="D26" s="97"/>
      <c r="E26" s="180"/>
      <c r="F26" s="45"/>
      <c r="G26" s="181"/>
      <c r="H26" s="45"/>
      <c r="I26" s="45"/>
      <c r="J26" s="47"/>
      <c r="K26" s="47"/>
      <c r="L26" s="47"/>
      <c r="M26" s="47"/>
      <c r="N26" s="47"/>
      <c r="P26" s="169"/>
      <c r="Q26" s="51" t="s">
        <v>156</v>
      </c>
      <c r="R26" s="47"/>
      <c r="S26" s="100"/>
      <c r="T26" s="170" t="s">
        <v>204</v>
      </c>
      <c r="U26" s="170" t="s">
        <v>204</v>
      </c>
      <c r="V26" s="47"/>
      <c r="W26" s="47"/>
      <c r="X26" s="47"/>
      <c r="Y26" s="47"/>
      <c r="Z26" s="47"/>
      <c r="AA26" s="47"/>
      <c r="AB26" s="47"/>
      <c r="AC26" s="182"/>
      <c r="AD26" s="183"/>
      <c r="AE26" s="183"/>
      <c r="AF26" s="184"/>
      <c r="AG26" s="185" t="s">
        <v>205</v>
      </c>
      <c r="AH26" s="185"/>
      <c r="AI26" s="185"/>
      <c r="AL26" s="1077" t="s">
        <v>205</v>
      </c>
      <c r="AM26" s="1077"/>
      <c r="AN26" s="1077"/>
      <c r="AO26" s="1077"/>
      <c r="AP26" s="1077"/>
      <c r="AQ26" s="47"/>
      <c r="AW26" s="100"/>
      <c r="BA26" s="47"/>
      <c r="BC26" s="100"/>
      <c r="BD26" s="100"/>
      <c r="BE26" s="100"/>
      <c r="BF26" s="100"/>
      <c r="BG26" s="100"/>
      <c r="BH26" s="100"/>
      <c r="BI26" s="100"/>
      <c r="BJ26" s="100"/>
      <c r="BK26" s="186"/>
      <c r="BL26" s="187"/>
      <c r="BM26" s="57"/>
      <c r="BN26" s="57"/>
      <c r="BO26" s="57"/>
      <c r="BP26" s="31"/>
      <c r="BQ26" s="57"/>
      <c r="BR26" s="57"/>
      <c r="BS26" s="31"/>
      <c r="BT26" s="31"/>
      <c r="BU26" s="42"/>
      <c r="BV26" s="42"/>
      <c r="BW26" s="42"/>
      <c r="BX26" s="31"/>
      <c r="BY26" s="31"/>
      <c r="BZ26" s="100"/>
      <c r="CA26" s="100"/>
      <c r="CB26" s="100"/>
      <c r="CC26" s="100"/>
      <c r="CD26" s="100"/>
      <c r="CE26" s="188"/>
      <c r="CG26" s="42"/>
      <c r="CH26" s="42"/>
      <c r="CI26" s="42"/>
      <c r="CJ26" s="42"/>
      <c r="CK26" s="42"/>
      <c r="CL26" s="42"/>
      <c r="CM26" s="42"/>
      <c r="CN26" s="121"/>
      <c r="CO26" s="29"/>
      <c r="CP26" s="30"/>
    </row>
    <row r="27" spans="1:94" ht="21.75" thickBot="1" x14ac:dyDescent="0.35">
      <c r="A27" s="70"/>
      <c r="B27" s="31"/>
      <c r="C27" s="189"/>
      <c r="D27" s="97"/>
      <c r="E27" s="180"/>
      <c r="F27" s="45"/>
      <c r="G27" s="190"/>
      <c r="H27" s="40"/>
      <c r="I27" s="40"/>
      <c r="J27" s="47"/>
      <c r="K27" s="47"/>
      <c r="L27" s="47"/>
      <c r="M27" s="47"/>
      <c r="N27" s="47"/>
      <c r="P27" s="169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183" t="s">
        <v>159</v>
      </c>
      <c r="AD27" s="151" t="s">
        <v>48</v>
      </c>
      <c r="AE27" s="151" t="s">
        <v>48</v>
      </c>
      <c r="AF27" s="183" t="s">
        <v>159</v>
      </c>
      <c r="AH27" s="191" t="s">
        <v>157</v>
      </c>
      <c r="AI27" s="151" t="s">
        <v>48</v>
      </c>
      <c r="AJ27" s="151" t="s">
        <v>48</v>
      </c>
      <c r="AK27" s="191" t="s">
        <v>157</v>
      </c>
      <c r="AN27" s="192" t="s">
        <v>159</v>
      </c>
      <c r="AO27" s="151" t="s">
        <v>48</v>
      </c>
      <c r="AP27" s="151" t="s">
        <v>48</v>
      </c>
      <c r="AQ27" s="192" t="s">
        <v>159</v>
      </c>
      <c r="BC27" s="100"/>
      <c r="BD27" s="100"/>
      <c r="BE27" s="100"/>
      <c r="BF27" s="100"/>
      <c r="BG27" s="100"/>
      <c r="BH27" s="100"/>
      <c r="BJ27" s="100"/>
      <c r="BK27" s="186"/>
      <c r="BL27" s="57"/>
      <c r="BM27" s="57"/>
      <c r="BN27" s="57"/>
      <c r="BO27" s="57"/>
      <c r="BP27" s="31"/>
      <c r="BQ27" s="31"/>
      <c r="BU27" s="42"/>
      <c r="BV27" s="42"/>
      <c r="BW27" s="42"/>
      <c r="BZ27" s="38"/>
      <c r="CA27" s="100"/>
      <c r="CB27" s="92" t="s">
        <v>206</v>
      </c>
      <c r="CC27" s="193"/>
      <c r="CD27" s="1078" t="s">
        <v>207</v>
      </c>
      <c r="CE27" s="1079"/>
      <c r="CF27" s="194"/>
      <c r="CG27" s="42"/>
      <c r="CH27" s="42"/>
      <c r="CI27" s="42"/>
      <c r="CJ27" s="42"/>
      <c r="CK27" s="42"/>
      <c r="CL27" s="42"/>
      <c r="CM27" s="42"/>
      <c r="CN27" s="121"/>
      <c r="CO27" s="29"/>
      <c r="CP27" s="30"/>
    </row>
    <row r="28" spans="1:94" ht="21" x14ac:dyDescent="0.3">
      <c r="A28" s="70"/>
      <c r="B28" s="195"/>
      <c r="C28" s="45"/>
      <c r="D28" s="196"/>
      <c r="E28" s="180"/>
      <c r="F28" s="45"/>
      <c r="G28" s="45"/>
      <c r="H28" s="40"/>
      <c r="I28" s="40"/>
      <c r="J28" s="47"/>
      <c r="K28" s="47"/>
      <c r="L28" s="47"/>
      <c r="M28" s="47"/>
      <c r="N28" s="47"/>
      <c r="P28" s="40"/>
      <c r="Q28" s="40"/>
      <c r="R28" s="47"/>
      <c r="S28" s="47"/>
      <c r="T28" s="1054" t="s">
        <v>208</v>
      </c>
      <c r="U28" s="1054"/>
      <c r="V28" s="47"/>
      <c r="W28" s="47"/>
      <c r="X28" s="47"/>
      <c r="Y28" s="47"/>
      <c r="Z28" s="47"/>
      <c r="AA28" s="47"/>
      <c r="AB28" s="47"/>
      <c r="AC28" s="183" t="s">
        <v>159</v>
      </c>
      <c r="AD28" s="197" t="s">
        <v>48</v>
      </c>
      <c r="AE28" s="197" t="s">
        <v>48</v>
      </c>
      <c r="AF28" s="183" t="s">
        <v>159</v>
      </c>
      <c r="AH28" s="191" t="s">
        <v>157</v>
      </c>
      <c r="AI28" s="197" t="s">
        <v>48</v>
      </c>
      <c r="AJ28" s="197" t="s">
        <v>48</v>
      </c>
      <c r="AK28" s="191" t="s">
        <v>157</v>
      </c>
      <c r="AL28" s="47"/>
      <c r="AM28" s="47"/>
      <c r="AN28" s="192" t="s">
        <v>159</v>
      </c>
      <c r="AO28" s="197" t="s">
        <v>48</v>
      </c>
      <c r="AP28" s="197" t="s">
        <v>48</v>
      </c>
      <c r="AQ28" s="192" t="s">
        <v>159</v>
      </c>
      <c r="AS28" s="198" t="s">
        <v>169</v>
      </c>
      <c r="AT28" s="199" t="s">
        <v>169</v>
      </c>
      <c r="BD28" s="100"/>
      <c r="BE28" s="100"/>
      <c r="BF28" s="100"/>
      <c r="BG28" s="100"/>
      <c r="BH28" s="100"/>
      <c r="BK28" s="186"/>
      <c r="BL28" s="1338" t="s">
        <v>209</v>
      </c>
      <c r="BM28" s="1339"/>
      <c r="BN28" s="1339"/>
      <c r="BO28" s="1339"/>
      <c r="BP28" s="1339"/>
      <c r="BQ28" s="1339"/>
      <c r="BR28" s="1339"/>
      <c r="BS28" s="1339"/>
      <c r="BT28" s="1339"/>
      <c r="BU28" s="42"/>
      <c r="BV28" s="42"/>
      <c r="BW28" s="42"/>
      <c r="BX28" s="200"/>
      <c r="BZ28" s="38"/>
      <c r="CA28" s="100"/>
      <c r="CB28" s="201">
        <v>1</v>
      </c>
      <c r="CC28" s="149" t="s">
        <v>171</v>
      </c>
      <c r="CD28" s="202" t="s">
        <v>68</v>
      </c>
      <c r="CE28" s="203"/>
      <c r="CF28" s="42"/>
      <c r="CG28" s="42"/>
      <c r="CH28" s="42"/>
      <c r="CI28" s="42"/>
      <c r="CJ28" s="42"/>
      <c r="CK28" s="42"/>
      <c r="CL28" s="42"/>
      <c r="CM28" s="42"/>
      <c r="CN28" s="121"/>
      <c r="CO28" s="29"/>
      <c r="CP28" s="30"/>
    </row>
    <row r="29" spans="1:94" ht="21" x14ac:dyDescent="0.3">
      <c r="A29" s="1041" t="s">
        <v>210</v>
      </c>
      <c r="B29" s="1041"/>
      <c r="C29" s="45"/>
      <c r="D29" s="45"/>
      <c r="E29" s="196"/>
      <c r="F29" s="45"/>
      <c r="G29" s="45"/>
      <c r="H29" s="40"/>
      <c r="I29" s="40"/>
      <c r="J29" s="47"/>
      <c r="K29" s="47"/>
      <c r="L29" s="47"/>
      <c r="M29" s="47"/>
      <c r="N29" s="47"/>
      <c r="O29" t="s">
        <v>211</v>
      </c>
      <c r="P29" s="204" t="s">
        <v>204</v>
      </c>
      <c r="Q29" s="204" t="s">
        <v>204</v>
      </c>
      <c r="R29" s="47"/>
      <c r="S29" s="47"/>
      <c r="T29" s="205" t="s">
        <v>212</v>
      </c>
      <c r="U29" s="205" t="s">
        <v>212</v>
      </c>
      <c r="V29" s="47"/>
      <c r="W29" s="47"/>
      <c r="X29" s="206" t="s">
        <v>152</v>
      </c>
      <c r="Y29" s="206" t="s">
        <v>152</v>
      </c>
      <c r="Z29" s="47"/>
      <c r="AA29" s="47"/>
      <c r="AB29" s="47"/>
      <c r="AC29" s="183" t="s">
        <v>159</v>
      </c>
      <c r="AD29" s="207" t="s">
        <v>48</v>
      </c>
      <c r="AE29" s="207" t="s">
        <v>48</v>
      </c>
      <c r="AF29" s="183" t="s">
        <v>159</v>
      </c>
      <c r="AH29" s="191" t="s">
        <v>157</v>
      </c>
      <c r="AI29" s="197" t="s">
        <v>48</v>
      </c>
      <c r="AJ29" s="197" t="s">
        <v>48</v>
      </c>
      <c r="AK29" s="191" t="s">
        <v>157</v>
      </c>
      <c r="AO29" s="192"/>
      <c r="AP29" s="192"/>
      <c r="AS29" s="198" t="s">
        <v>169</v>
      </c>
      <c r="AT29" s="199" t="s">
        <v>169</v>
      </c>
      <c r="BB29" s="40"/>
      <c r="BC29" s="40"/>
      <c r="BD29" s="100"/>
      <c r="BE29" s="100"/>
      <c r="BF29" s="100"/>
      <c r="BG29" s="100"/>
      <c r="BH29" s="100"/>
      <c r="BI29" s="40"/>
      <c r="BJ29" s="40"/>
      <c r="BK29" s="208"/>
      <c r="BM29" s="57"/>
      <c r="BN29" s="199" t="s">
        <v>169</v>
      </c>
      <c r="BO29" s="199" t="s">
        <v>169</v>
      </c>
      <c r="BP29" s="31"/>
      <c r="BQ29" s="31"/>
      <c r="BR29" s="199" t="s">
        <v>169</v>
      </c>
      <c r="BS29" s="199" t="s">
        <v>169</v>
      </c>
      <c r="BT29" s="31"/>
      <c r="BU29" s="92" t="s">
        <v>213</v>
      </c>
      <c r="BV29" s="209">
        <v>1</v>
      </c>
      <c r="BW29" s="99">
        <v>2</v>
      </c>
      <c r="BX29" s="99">
        <v>3</v>
      </c>
      <c r="BY29" s="209">
        <v>4</v>
      </c>
      <c r="BZ29" s="210" t="s">
        <v>180</v>
      </c>
      <c r="CA29" s="100"/>
      <c r="CB29" s="201">
        <v>2</v>
      </c>
      <c r="CC29" s="149" t="s">
        <v>171</v>
      </c>
      <c r="CD29" s="202" t="s">
        <v>68</v>
      </c>
      <c r="CE29" s="211"/>
      <c r="CF29" s="42"/>
      <c r="CG29" s="42"/>
      <c r="CH29" s="42"/>
      <c r="CI29" s="42"/>
      <c r="CJ29" s="42"/>
      <c r="CK29" s="42"/>
      <c r="CL29" s="42"/>
      <c r="CM29" s="42"/>
      <c r="CN29" s="121"/>
      <c r="CO29" s="29"/>
      <c r="CP29" s="30"/>
    </row>
    <row r="30" spans="1:94" ht="21" x14ac:dyDescent="0.25">
      <c r="A30" s="212"/>
      <c r="B30" s="54"/>
      <c r="C30" s="45"/>
      <c r="D30" s="45"/>
      <c r="E30" s="45"/>
      <c r="F30" s="213"/>
      <c r="G30" s="45"/>
      <c r="H30" s="40"/>
      <c r="I30" s="40"/>
      <c r="J30" s="47"/>
      <c r="K30" s="47"/>
      <c r="L30" s="47"/>
      <c r="M30" s="47"/>
      <c r="N30" s="47"/>
      <c r="P30" s="204" t="s">
        <v>204</v>
      </c>
      <c r="Q30" s="204" t="s">
        <v>204</v>
      </c>
      <c r="R30" s="47" t="s">
        <v>211</v>
      </c>
      <c r="S30" s="47"/>
      <c r="T30" s="205" t="s">
        <v>212</v>
      </c>
      <c r="U30" s="205" t="s">
        <v>212</v>
      </c>
      <c r="V30" s="47"/>
      <c r="W30" s="47"/>
      <c r="X30" s="206" t="s">
        <v>152</v>
      </c>
      <c r="Y30" s="206" t="s">
        <v>152</v>
      </c>
      <c r="Z30" s="47"/>
      <c r="AA30" s="47"/>
      <c r="AB30" s="47"/>
      <c r="AD30" s="183"/>
      <c r="AE30" s="183"/>
      <c r="AF30" s="127" t="s">
        <v>214</v>
      </c>
      <c r="AI30" s="191"/>
      <c r="AJ30" s="191"/>
      <c r="AS30" s="198" t="s">
        <v>169</v>
      </c>
      <c r="AT30" s="199" t="s">
        <v>169</v>
      </c>
      <c r="BB30" s="40"/>
      <c r="BC30" s="40"/>
      <c r="BD30" s="100"/>
      <c r="BE30" s="100"/>
      <c r="BF30" s="100"/>
      <c r="BG30" s="100"/>
      <c r="BH30" s="100"/>
      <c r="BI30" s="40"/>
      <c r="BJ30" s="40"/>
      <c r="BK30" s="208"/>
      <c r="BL30" s="190"/>
      <c r="BM30" s="57"/>
      <c r="BN30" s="199" t="s">
        <v>169</v>
      </c>
      <c r="BO30" s="199" t="s">
        <v>169</v>
      </c>
      <c r="BQ30" s="31"/>
      <c r="BR30" s="199" t="s">
        <v>169</v>
      </c>
      <c r="BS30" s="199" t="s">
        <v>169</v>
      </c>
      <c r="BU30" s="193"/>
      <c r="BV30" s="214" t="s">
        <v>215</v>
      </c>
      <c r="BW30" s="214" t="s">
        <v>215</v>
      </c>
      <c r="BX30" s="214" t="s">
        <v>215</v>
      </c>
      <c r="BY30" s="214" t="s">
        <v>215</v>
      </c>
      <c r="BZ30" s="193"/>
      <c r="CA30" s="100"/>
      <c r="CB30" s="201">
        <v>3</v>
      </c>
      <c r="CC30" s="149" t="s">
        <v>171</v>
      </c>
      <c r="CD30" s="215" t="s">
        <v>6</v>
      </c>
      <c r="CE30" s="211"/>
      <c r="CF30" s="42"/>
      <c r="CG30" s="42"/>
      <c r="CH30" s="42"/>
      <c r="CI30" s="42"/>
      <c r="CJ30" s="42"/>
      <c r="CK30" s="42"/>
      <c r="CL30" s="42"/>
      <c r="CM30" s="42"/>
      <c r="CN30" s="121"/>
      <c r="CO30" s="29"/>
      <c r="CP30" s="30"/>
    </row>
    <row r="31" spans="1:94" ht="24" thickBot="1" x14ac:dyDescent="0.3">
      <c r="A31" s="70"/>
      <c r="B31" s="54"/>
      <c r="C31" s="45"/>
      <c r="D31" s="45"/>
      <c r="E31" s="45"/>
      <c r="F31" s="1"/>
      <c r="G31" s="45"/>
      <c r="H31" s="40"/>
      <c r="I31" s="40"/>
      <c r="J31" s="47"/>
      <c r="K31" s="47"/>
      <c r="L31" s="47"/>
      <c r="M31" s="47"/>
      <c r="N31" s="47"/>
      <c r="P31" s="47"/>
      <c r="Q31" s="47"/>
      <c r="R31" s="47"/>
      <c r="S31" s="47"/>
      <c r="T31" s="205" t="s">
        <v>212</v>
      </c>
      <c r="U31" s="205" t="s">
        <v>212</v>
      </c>
      <c r="V31" s="47"/>
      <c r="W31" s="47"/>
      <c r="X31" s="206" t="s">
        <v>152</v>
      </c>
      <c r="Y31" s="206" t="s">
        <v>152</v>
      </c>
      <c r="Z31" s="47"/>
      <c r="AA31" s="47"/>
      <c r="AB31" s="47"/>
      <c r="AC31" s="1323" t="s">
        <v>216</v>
      </c>
      <c r="AD31" s="1323"/>
      <c r="AE31" s="1323"/>
      <c r="AF31" s="1323"/>
      <c r="AI31" s="216"/>
      <c r="AJ31" s="216"/>
      <c r="AO31" s="217" t="s">
        <v>217</v>
      </c>
      <c r="BB31" s="40"/>
      <c r="BC31" s="40"/>
      <c r="BD31" s="100"/>
      <c r="BE31" s="100"/>
      <c r="BF31" s="100"/>
      <c r="BG31" s="100"/>
      <c r="BH31" s="100"/>
      <c r="BI31" s="40"/>
      <c r="BJ31" s="40"/>
      <c r="BK31" s="208"/>
      <c r="BL31" s="190"/>
      <c r="BM31" s="57"/>
      <c r="BN31" s="199" t="s">
        <v>169</v>
      </c>
      <c r="BO31" s="199" t="s">
        <v>169</v>
      </c>
      <c r="BR31" s="199" t="s">
        <v>169</v>
      </c>
      <c r="BS31" s="199" t="s">
        <v>169</v>
      </c>
      <c r="BU31" s="218"/>
      <c r="BV31" s="219" t="s">
        <v>9</v>
      </c>
      <c r="BW31" s="219" t="s">
        <v>9</v>
      </c>
      <c r="BX31" s="220" t="s">
        <v>46</v>
      </c>
      <c r="BY31" s="220" t="s">
        <v>46</v>
      </c>
      <c r="BZ31" s="218"/>
      <c r="CA31" s="100"/>
      <c r="CB31" s="201">
        <v>4</v>
      </c>
      <c r="CC31" s="149" t="s">
        <v>171</v>
      </c>
      <c r="CD31" s="221" t="s">
        <v>24</v>
      </c>
      <c r="CE31" s="211"/>
      <c r="CF31" s="42"/>
      <c r="CG31" s="42"/>
      <c r="CH31" s="42"/>
      <c r="CI31" s="42"/>
      <c r="CJ31" s="42"/>
      <c r="CK31" s="42"/>
      <c r="CL31" s="42"/>
      <c r="CM31" s="42"/>
      <c r="CN31" s="121"/>
      <c r="CO31" s="29"/>
      <c r="CP31" s="30"/>
    </row>
    <row r="32" spans="1:94" ht="21.75" thickBot="1" x14ac:dyDescent="0.3">
      <c r="A32" s="70"/>
      <c r="B32" s="54"/>
      <c r="C32" s="45"/>
      <c r="D32" s="45"/>
      <c r="E32" s="45"/>
      <c r="F32" s="1"/>
      <c r="G32" s="45"/>
      <c r="H32" s="45"/>
      <c r="I32" s="181"/>
      <c r="J32" s="47"/>
      <c r="K32" s="47"/>
      <c r="L32" s="47"/>
      <c r="M32" s="47"/>
      <c r="N32" s="47"/>
      <c r="O32" s="222"/>
      <c r="P32" s="47"/>
      <c r="Q32" s="47"/>
      <c r="R32" s="47"/>
      <c r="S32" s="47"/>
      <c r="T32" s="47"/>
      <c r="U32" s="47"/>
      <c r="V32" s="47"/>
      <c r="W32" s="47"/>
      <c r="X32" s="206" t="s">
        <v>152</v>
      </c>
      <c r="Y32" s="206" t="s">
        <v>152</v>
      </c>
      <c r="Z32" s="47"/>
      <c r="AA32" s="47"/>
      <c r="AB32" s="47"/>
      <c r="AC32" s="100"/>
      <c r="AD32" s="223" t="s">
        <v>218</v>
      </c>
      <c r="AE32" s="60"/>
      <c r="AH32" s="216" t="s">
        <v>157</v>
      </c>
      <c r="AI32" s="224" t="s">
        <v>48</v>
      </c>
      <c r="AJ32" s="224" t="s">
        <v>48</v>
      </c>
      <c r="AK32" s="216" t="s">
        <v>157</v>
      </c>
      <c r="AO32" s="225" t="s">
        <v>156</v>
      </c>
      <c r="AP32" s="226" t="s">
        <v>156</v>
      </c>
      <c r="AV32" s="1324" t="s">
        <v>219</v>
      </c>
      <c r="AW32" s="1325"/>
      <c r="AX32" s="1325"/>
      <c r="AY32" s="1325"/>
      <c r="AZ32" s="1325"/>
      <c r="BA32" s="1325"/>
      <c r="BB32" s="1326"/>
      <c r="BC32" s="40"/>
      <c r="BD32" s="40"/>
      <c r="BE32" s="100"/>
      <c r="BF32" s="100"/>
      <c r="BG32" s="100"/>
      <c r="BH32" s="100"/>
      <c r="BI32" s="40"/>
      <c r="BJ32" s="40"/>
      <c r="BK32" s="208"/>
      <c r="BL32" s="190"/>
      <c r="BM32" s="57"/>
      <c r="BR32" s="57"/>
      <c r="BS32" s="57"/>
      <c r="BU32" s="218"/>
      <c r="BV32" s="227" t="s">
        <v>71</v>
      </c>
      <c r="BW32" s="227" t="s">
        <v>71</v>
      </c>
      <c r="BX32" s="228" t="s">
        <v>84</v>
      </c>
      <c r="BY32" s="228" t="s">
        <v>84</v>
      </c>
      <c r="BZ32" s="218"/>
      <c r="CA32" s="100"/>
      <c r="CB32" s="201">
        <v>5</v>
      </c>
      <c r="CC32" s="149" t="s">
        <v>171</v>
      </c>
      <c r="CD32" s="229" t="s">
        <v>4</v>
      </c>
      <c r="CE32" s="211"/>
      <c r="CF32" s="42"/>
      <c r="CG32" s="42"/>
      <c r="CH32" s="42"/>
      <c r="CI32" s="42"/>
      <c r="CJ32" s="42"/>
      <c r="CK32" s="42"/>
      <c r="CL32" s="42"/>
      <c r="CM32" s="42"/>
      <c r="CN32" s="121"/>
      <c r="CO32" s="29"/>
      <c r="CP32" s="30"/>
    </row>
    <row r="33" spans="1:94" ht="21.75" thickBot="1" x14ac:dyDescent="0.3">
      <c r="A33" s="70"/>
      <c r="B33" s="230"/>
      <c r="C33" s="231"/>
      <c r="D33" s="231"/>
      <c r="E33" s="231"/>
      <c r="F33" s="232"/>
      <c r="G33" s="233"/>
      <c r="H33" s="233"/>
      <c r="I33" s="233"/>
      <c r="J33" s="1332" t="s">
        <v>220</v>
      </c>
      <c r="K33" s="1333"/>
      <c r="L33" s="234"/>
      <c r="M33" s="235"/>
      <c r="N33" s="235"/>
      <c r="R33" s="47"/>
      <c r="S33" s="47"/>
      <c r="T33" s="47"/>
      <c r="U33" s="47"/>
      <c r="V33" s="47"/>
      <c r="W33" s="47"/>
      <c r="X33" s="206" t="s">
        <v>152</v>
      </c>
      <c r="Y33" s="206" t="s">
        <v>152</v>
      </c>
      <c r="Z33" s="47"/>
      <c r="AA33" s="47"/>
      <c r="AB33" s="47"/>
      <c r="AC33" s="100"/>
      <c r="AD33" s="236" t="s">
        <v>221</v>
      </c>
      <c r="AE33" s="236" t="s">
        <v>221</v>
      </c>
      <c r="AH33" s="216" t="s">
        <v>157</v>
      </c>
      <c r="AI33" s="197" t="s">
        <v>48</v>
      </c>
      <c r="AJ33" s="197" t="s">
        <v>48</v>
      </c>
      <c r="AK33" s="216" t="s">
        <v>157</v>
      </c>
      <c r="AO33" s="225" t="s">
        <v>156</v>
      </c>
      <c r="AP33" s="226" t="s">
        <v>156</v>
      </c>
      <c r="AV33" s="1327"/>
      <c r="AW33" s="1298"/>
      <c r="AX33" s="1298"/>
      <c r="AY33" s="1298"/>
      <c r="AZ33" s="1298"/>
      <c r="BA33" s="1298"/>
      <c r="BB33" s="1328"/>
      <c r="BC33" s="40"/>
      <c r="BD33" s="40"/>
      <c r="BE33" s="40"/>
      <c r="BF33" s="40"/>
      <c r="BG33" s="40"/>
      <c r="BH33" s="40"/>
      <c r="BI33" s="40"/>
      <c r="BJ33" s="40"/>
      <c r="BK33" s="208"/>
      <c r="BL33" s="31"/>
      <c r="BM33" s="57"/>
      <c r="BQ33" s="31"/>
      <c r="BR33" s="57"/>
      <c r="BS33" s="57"/>
      <c r="BU33" s="193"/>
      <c r="BV33" s="149" t="s">
        <v>171</v>
      </c>
      <c r="BW33" s="149" t="s">
        <v>171</v>
      </c>
      <c r="BX33" s="149" t="s">
        <v>171</v>
      </c>
      <c r="BY33" s="149" t="s">
        <v>171</v>
      </c>
      <c r="BZ33" s="193"/>
      <c r="CA33" s="100"/>
      <c r="CB33" s="201">
        <v>6</v>
      </c>
      <c r="CC33" s="149" t="s">
        <v>171</v>
      </c>
      <c r="CD33" s="229" t="s">
        <v>4</v>
      </c>
      <c r="CE33" s="211"/>
      <c r="CF33" s="42"/>
      <c r="CG33" s="42"/>
      <c r="CH33" s="42"/>
      <c r="CI33" s="42"/>
      <c r="CJ33" s="42"/>
      <c r="CK33" s="42"/>
      <c r="CL33" s="42"/>
      <c r="CM33" s="42"/>
      <c r="CN33" s="121"/>
      <c r="CO33" s="29"/>
      <c r="CP33" s="30"/>
    </row>
    <row r="34" spans="1:94" ht="23.25" x14ac:dyDescent="0.25">
      <c r="A34" s="70"/>
      <c r="B34" s="197" t="s">
        <v>48</v>
      </c>
      <c r="C34" s="237"/>
      <c r="D34" s="197" t="s">
        <v>48</v>
      </c>
      <c r="E34" s="237"/>
      <c r="F34" s="197" t="s">
        <v>48</v>
      </c>
      <c r="G34" s="237"/>
      <c r="H34" s="197" t="s">
        <v>48</v>
      </c>
      <c r="I34" s="237"/>
      <c r="J34" s="100"/>
      <c r="K34" s="100"/>
      <c r="L34" s="100"/>
      <c r="M34" s="100"/>
      <c r="N34" s="238"/>
      <c r="O34" s="108"/>
      <c r="P34" s="239"/>
      <c r="R34" s="240"/>
      <c r="S34" s="29"/>
      <c r="T34" s="29"/>
      <c r="U34" s="29"/>
      <c r="V34" s="241"/>
      <c r="W34" s="242"/>
      <c r="X34" s="47"/>
      <c r="Y34" s="47"/>
      <c r="Z34" s="47"/>
      <c r="AA34" s="47"/>
      <c r="AB34" s="47"/>
      <c r="AC34" s="100"/>
      <c r="AD34" s="236" t="s">
        <v>221</v>
      </c>
      <c r="AE34" s="236" t="s">
        <v>221</v>
      </c>
      <c r="AH34" s="216" t="s">
        <v>157</v>
      </c>
      <c r="AI34" s="207" t="s">
        <v>48</v>
      </c>
      <c r="AJ34" s="207" t="s">
        <v>48</v>
      </c>
      <c r="AK34" s="216" t="s">
        <v>157</v>
      </c>
      <c r="AO34" s="225" t="s">
        <v>156</v>
      </c>
      <c r="AP34" s="226" t="s">
        <v>156</v>
      </c>
      <c r="AV34" s="1327"/>
      <c r="AW34" s="1298"/>
      <c r="AX34" s="1298"/>
      <c r="AY34" s="1298"/>
      <c r="AZ34" s="1298"/>
      <c r="BA34" s="1298"/>
      <c r="BB34" s="1328"/>
      <c r="BC34" s="40"/>
      <c r="BD34" s="40"/>
      <c r="BE34" s="40"/>
      <c r="BF34" s="40"/>
      <c r="BG34" s="40"/>
      <c r="BH34" s="40"/>
      <c r="BI34" s="40"/>
      <c r="BJ34" s="40"/>
      <c r="BK34" s="208"/>
      <c r="BL34" s="97"/>
      <c r="BM34" s="57"/>
      <c r="BQ34" s="31"/>
      <c r="BR34" s="57"/>
      <c r="BS34" s="57"/>
      <c r="BT34" s="31"/>
      <c r="BV34" s="209">
        <v>8</v>
      </c>
      <c r="BW34" s="99">
        <v>7</v>
      </c>
      <c r="BX34" s="99">
        <v>6</v>
      </c>
      <c r="BY34" s="209">
        <v>5</v>
      </c>
      <c r="CA34" s="100"/>
      <c r="CB34" s="201">
        <v>7</v>
      </c>
      <c r="CC34" s="149" t="s">
        <v>171</v>
      </c>
      <c r="CD34" s="243" t="s">
        <v>47</v>
      </c>
      <c r="CE34" s="211"/>
      <c r="CF34" s="42"/>
      <c r="CG34" s="42"/>
      <c r="CH34" s="42"/>
      <c r="CI34" s="42"/>
      <c r="CJ34" s="42"/>
      <c r="CK34" s="42"/>
      <c r="CL34" s="42"/>
      <c r="CM34" s="42"/>
      <c r="CN34" s="121"/>
      <c r="CO34" s="29"/>
      <c r="CP34" s="30"/>
    </row>
    <row r="35" spans="1:94" ht="23.25" x14ac:dyDescent="0.25">
      <c r="A35" s="70"/>
      <c r="B35" s="237" t="s">
        <v>157</v>
      </c>
      <c r="C35" s="244"/>
      <c r="D35" s="237" t="s">
        <v>157</v>
      </c>
      <c r="E35" s="244"/>
      <c r="F35" s="237" t="s">
        <v>157</v>
      </c>
      <c r="G35" s="244"/>
      <c r="H35" s="237" t="s">
        <v>157</v>
      </c>
      <c r="I35" s="49" t="s">
        <v>222</v>
      </c>
      <c r="J35" s="100"/>
      <c r="K35" s="47"/>
      <c r="L35" s="47"/>
      <c r="M35" s="47"/>
      <c r="N35" s="47"/>
      <c r="P35" s="186"/>
      <c r="Q35" s="49" t="s">
        <v>223</v>
      </c>
      <c r="S35" s="58" t="s">
        <v>159</v>
      </c>
      <c r="T35" s="58" t="s">
        <v>159</v>
      </c>
      <c r="U35" s="58" t="s">
        <v>159</v>
      </c>
      <c r="V35" s="127" t="s">
        <v>224</v>
      </c>
      <c r="W35" s="29"/>
      <c r="X35" s="29"/>
      <c r="Y35" s="29"/>
      <c r="Z35" s="29"/>
      <c r="AA35" s="29"/>
      <c r="AB35" s="29"/>
      <c r="AC35" s="100"/>
      <c r="AD35" s="245"/>
      <c r="AE35" s="246"/>
      <c r="AH35" s="247"/>
      <c r="AI35" s="248"/>
      <c r="AJ35" s="248"/>
      <c r="AK35" s="247"/>
      <c r="AV35" s="1327"/>
      <c r="AW35" s="1298"/>
      <c r="AX35" s="1298"/>
      <c r="AY35" s="1298"/>
      <c r="AZ35" s="1298"/>
      <c r="BA35" s="1298"/>
      <c r="BB35" s="1328"/>
      <c r="BC35" s="40"/>
      <c r="BD35" s="40"/>
      <c r="BE35" s="40"/>
      <c r="BF35" s="40"/>
      <c r="BG35" s="40"/>
      <c r="BH35" s="40"/>
      <c r="BI35" s="40"/>
      <c r="BJ35" s="40"/>
      <c r="BK35" s="208"/>
      <c r="BM35" s="57"/>
      <c r="BQ35" s="31"/>
      <c r="BR35" s="57"/>
      <c r="BS35" s="31"/>
      <c r="BT35" s="31"/>
      <c r="BU35" s="100"/>
      <c r="BV35" s="100"/>
      <c r="BW35" s="100"/>
      <c r="BX35" s="100"/>
      <c r="BY35" s="100"/>
      <c r="BZ35" s="100"/>
      <c r="CA35" s="100"/>
      <c r="CB35" s="201">
        <v>8</v>
      </c>
      <c r="CC35" s="149" t="s">
        <v>171</v>
      </c>
      <c r="CD35" s="249" t="s">
        <v>0</v>
      </c>
      <c r="CE35" s="211"/>
      <c r="CF35" s="42"/>
      <c r="CG35" s="42"/>
      <c r="CH35" s="42"/>
      <c r="CI35" s="42"/>
      <c r="CJ35" s="42"/>
      <c r="CK35" s="42"/>
      <c r="CL35" s="42"/>
      <c r="CM35" s="42"/>
      <c r="CN35" s="121"/>
      <c r="CO35" s="29"/>
      <c r="CP35" s="30"/>
    </row>
    <row r="36" spans="1:94" ht="21" x14ac:dyDescent="0.25">
      <c r="A36" s="70"/>
      <c r="B36" s="250">
        <v>1</v>
      </c>
      <c r="C36" s="250"/>
      <c r="D36" s="250">
        <v>2</v>
      </c>
      <c r="E36" s="250"/>
      <c r="F36" s="250">
        <v>3</v>
      </c>
      <c r="G36" s="250"/>
      <c r="H36" s="250">
        <v>4</v>
      </c>
      <c r="I36" s="244"/>
      <c r="J36" s="100"/>
      <c r="K36" s="47"/>
      <c r="L36" s="47"/>
      <c r="M36" s="47"/>
      <c r="N36" s="47"/>
      <c r="P36" s="186"/>
      <c r="R36" s="251"/>
      <c r="S36" s="197" t="s">
        <v>48</v>
      </c>
      <c r="T36" s="197" t="s">
        <v>48</v>
      </c>
      <c r="U36" s="197" t="s">
        <v>48</v>
      </c>
      <c r="V36" s="251"/>
      <c r="Y36" s="204" t="s">
        <v>204</v>
      </c>
      <c r="Z36" s="204" t="s">
        <v>204</v>
      </c>
      <c r="AA36" s="204" t="s">
        <v>204</v>
      </c>
      <c r="AB36" s="204" t="s">
        <v>204</v>
      </c>
      <c r="AC36" s="204" t="s">
        <v>204</v>
      </c>
      <c r="AE36" s="49" t="s">
        <v>225</v>
      </c>
      <c r="AF36" s="252" t="s">
        <v>226</v>
      </c>
      <c r="AG36" s="252" t="s">
        <v>226</v>
      </c>
      <c r="AH36" s="252" t="s">
        <v>226</v>
      </c>
      <c r="AI36" s="127" t="s">
        <v>227</v>
      </c>
      <c r="AV36" s="1327"/>
      <c r="AW36" s="1298"/>
      <c r="AX36" s="1298"/>
      <c r="AY36" s="1298"/>
      <c r="AZ36" s="1298"/>
      <c r="BA36" s="1298"/>
      <c r="BB36" s="1328"/>
      <c r="BC36" s="40"/>
      <c r="BD36" s="40"/>
      <c r="BE36" s="40"/>
      <c r="BF36" s="40"/>
      <c r="BG36" s="40"/>
      <c r="BH36" s="40"/>
      <c r="BI36" s="40"/>
      <c r="BJ36" s="40"/>
      <c r="BK36" s="208"/>
      <c r="BL36" s="222"/>
      <c r="BM36" s="57"/>
      <c r="BQ36" s="31"/>
      <c r="BS36" s="31"/>
      <c r="BT36" s="31"/>
      <c r="BU36" s="100"/>
      <c r="BV36" s="100"/>
      <c r="BW36" s="100"/>
      <c r="BX36" s="100"/>
      <c r="BY36" s="100"/>
      <c r="BZ36" s="100"/>
      <c r="CA36" s="100"/>
      <c r="CB36" s="201">
        <v>9</v>
      </c>
      <c r="CC36" s="149" t="s">
        <v>171</v>
      </c>
      <c r="CD36" s="249" t="s">
        <v>0</v>
      </c>
      <c r="CE36" s="211"/>
      <c r="CF36" s="42"/>
      <c r="CG36" s="42"/>
      <c r="CH36" s="42"/>
      <c r="CI36" s="42"/>
      <c r="CJ36" s="42"/>
      <c r="CK36" s="42"/>
      <c r="CL36" s="42"/>
      <c r="CM36" s="42"/>
      <c r="CN36" s="121"/>
      <c r="CO36" s="29"/>
      <c r="CP36" s="30"/>
    </row>
    <row r="37" spans="1:94" ht="23.25" x14ac:dyDescent="0.25">
      <c r="A37" s="70"/>
      <c r="B37" s="1323" t="s">
        <v>228</v>
      </c>
      <c r="C37" s="1323"/>
      <c r="D37" s="1323"/>
      <c r="E37" s="1323"/>
      <c r="F37" s="1323"/>
      <c r="G37" s="1323"/>
      <c r="H37" s="1323"/>
      <c r="I37" s="244"/>
      <c r="J37" s="100"/>
      <c r="K37" s="47"/>
      <c r="L37" s="47"/>
      <c r="M37" s="47"/>
      <c r="N37" s="47"/>
      <c r="P37" s="186"/>
      <c r="R37" s="251"/>
      <c r="S37" s="197" t="s">
        <v>48</v>
      </c>
      <c r="T37" s="197" t="s">
        <v>48</v>
      </c>
      <c r="U37" s="197" t="s">
        <v>48</v>
      </c>
      <c r="V37" s="251"/>
      <c r="Y37" s="204" t="s">
        <v>204</v>
      </c>
      <c r="Z37" s="204" t="s">
        <v>204</v>
      </c>
      <c r="AA37" s="204" t="s">
        <v>204</v>
      </c>
      <c r="AB37" s="204" t="s">
        <v>204</v>
      </c>
      <c r="AC37" s="204" t="s">
        <v>204</v>
      </c>
      <c r="AE37" s="252"/>
      <c r="AF37" s="197" t="s">
        <v>48</v>
      </c>
      <c r="AG37" s="197" t="s">
        <v>48</v>
      </c>
      <c r="AH37" s="197" t="s">
        <v>48</v>
      </c>
      <c r="AI37" s="252"/>
      <c r="AL37" s="205" t="s">
        <v>212</v>
      </c>
      <c r="AM37" s="205" t="s">
        <v>212</v>
      </c>
      <c r="AN37" s="205" t="s">
        <v>212</v>
      </c>
      <c r="AO37" s="205" t="s">
        <v>212</v>
      </c>
      <c r="AR37" s="253" t="s">
        <v>229</v>
      </c>
      <c r="AS37" s="253" t="s">
        <v>229</v>
      </c>
      <c r="AT37" s="253" t="s">
        <v>229</v>
      </c>
      <c r="AV37" s="1327"/>
      <c r="AW37" s="1298"/>
      <c r="AX37" s="1298"/>
      <c r="AY37" s="1298"/>
      <c r="AZ37" s="1298"/>
      <c r="BA37" s="1298"/>
      <c r="BB37" s="1328"/>
      <c r="BC37" s="40"/>
      <c r="BD37" s="40"/>
      <c r="BE37" s="40"/>
      <c r="BF37" s="40"/>
      <c r="BG37" s="40"/>
      <c r="BH37" s="40"/>
      <c r="BI37" s="40"/>
      <c r="BJ37" s="40"/>
      <c r="BK37" s="208"/>
      <c r="BL37" s="97"/>
      <c r="BM37" s="222"/>
      <c r="BQ37" s="199" t="s">
        <v>169</v>
      </c>
      <c r="BR37" s="199" t="s">
        <v>169</v>
      </c>
      <c r="BS37" s="31"/>
      <c r="BT37" s="100"/>
      <c r="BU37" s="100"/>
      <c r="BV37" s="100"/>
      <c r="BW37" s="100"/>
      <c r="BX37" s="100"/>
      <c r="BY37" s="100"/>
      <c r="BZ37" s="100"/>
      <c r="CA37" s="100"/>
      <c r="CB37" s="100"/>
      <c r="CC37" s="193"/>
      <c r="CD37" s="193"/>
      <c r="CE37" s="211"/>
      <c r="CF37" s="42"/>
      <c r="CG37" s="42"/>
      <c r="CH37" s="42"/>
      <c r="CI37" s="42"/>
      <c r="CJ37" s="42"/>
      <c r="CK37" s="42"/>
      <c r="CL37" s="42"/>
      <c r="CM37" s="42"/>
      <c r="CN37" s="121"/>
      <c r="CO37" s="29"/>
      <c r="CP37" s="30"/>
    </row>
    <row r="38" spans="1:94" ht="21" x14ac:dyDescent="0.25">
      <c r="A38" s="70"/>
      <c r="D38" s="244"/>
      <c r="E38" s="244"/>
      <c r="F38" s="238"/>
      <c r="G38" s="238"/>
      <c r="H38" s="238"/>
      <c r="I38" s="238"/>
      <c r="J38" s="100"/>
      <c r="P38" s="186"/>
      <c r="S38" s="58" t="s">
        <v>159</v>
      </c>
      <c r="T38" s="58" t="s">
        <v>159</v>
      </c>
      <c r="U38" s="58" t="s">
        <v>159</v>
      </c>
      <c r="AE38" s="252"/>
      <c r="AF38" s="197" t="s">
        <v>48</v>
      </c>
      <c r="AG38" s="197" t="s">
        <v>48</v>
      </c>
      <c r="AH38" s="197" t="s">
        <v>48</v>
      </c>
      <c r="AI38" s="252"/>
      <c r="AL38" s="205" t="s">
        <v>212</v>
      </c>
      <c r="AM38" s="205" t="s">
        <v>212</v>
      </c>
      <c r="AN38" s="205" t="s">
        <v>212</v>
      </c>
      <c r="AO38" s="205" t="s">
        <v>212</v>
      </c>
      <c r="AR38" s="253" t="s">
        <v>229</v>
      </c>
      <c r="AS38" s="253" t="s">
        <v>229</v>
      </c>
      <c r="AT38" s="253" t="s">
        <v>229</v>
      </c>
      <c r="AV38" s="1327"/>
      <c r="AW38" s="1298"/>
      <c r="AX38" s="1298"/>
      <c r="AY38" s="1298"/>
      <c r="AZ38" s="1298"/>
      <c r="BA38" s="1298"/>
      <c r="BB38" s="1328"/>
      <c r="BC38" s="40"/>
      <c r="BD38" s="40"/>
      <c r="BE38" s="40"/>
      <c r="BF38" s="40"/>
      <c r="BG38" s="40"/>
      <c r="BH38" s="40"/>
      <c r="BI38" s="40"/>
      <c r="BJ38" s="40"/>
      <c r="BK38" s="208"/>
      <c r="BL38" s="97"/>
      <c r="BM38" s="199" t="s">
        <v>169</v>
      </c>
      <c r="BN38" s="199" t="s">
        <v>169</v>
      </c>
      <c r="BT38" s="100"/>
      <c r="BU38" s="100"/>
      <c r="BV38" s="100"/>
      <c r="BW38" s="100"/>
      <c r="BX38" s="100"/>
      <c r="BY38" s="100"/>
      <c r="BZ38" s="100"/>
      <c r="CA38" s="100"/>
      <c r="CB38" s="100"/>
      <c r="CC38" s="42"/>
      <c r="CD38" s="42"/>
      <c r="CE38" s="211"/>
      <c r="CF38" s="42"/>
      <c r="CG38" s="42"/>
      <c r="CH38" s="42"/>
      <c r="CI38" s="42"/>
      <c r="CJ38" s="42"/>
      <c r="CK38" s="42"/>
      <c r="CL38" s="42"/>
      <c r="CM38" s="42"/>
      <c r="CN38" s="121"/>
      <c r="CO38" s="29"/>
      <c r="CP38" s="30"/>
    </row>
    <row r="39" spans="1:94" ht="24" thickBot="1" x14ac:dyDescent="0.3">
      <c r="A39" s="70"/>
      <c r="B39" s="254"/>
      <c r="C39" s="49" t="s">
        <v>230</v>
      </c>
      <c r="D39" s="244"/>
      <c r="E39" s="255"/>
      <c r="F39" s="256"/>
      <c r="G39" s="256"/>
      <c r="H39" s="256"/>
      <c r="I39" s="256"/>
      <c r="J39" s="100"/>
      <c r="K39" s="43"/>
      <c r="M39" s="1334" t="s">
        <v>231</v>
      </c>
      <c r="N39" s="1334"/>
      <c r="P39" s="186"/>
      <c r="AE39" s="194"/>
      <c r="AF39" s="252" t="s">
        <v>226</v>
      </c>
      <c r="AG39" s="252" t="s">
        <v>226</v>
      </c>
      <c r="AH39" s="252" t="s">
        <v>226</v>
      </c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8"/>
      <c r="AV39" s="1329"/>
      <c r="AW39" s="1330"/>
      <c r="AX39" s="1330"/>
      <c r="AY39" s="1330"/>
      <c r="AZ39" s="1330"/>
      <c r="BA39" s="1330"/>
      <c r="BB39" s="1331"/>
      <c r="BC39" s="64"/>
      <c r="BD39" s="64"/>
      <c r="BE39" s="64"/>
      <c r="BF39" s="64"/>
      <c r="BG39" s="64"/>
      <c r="BH39" s="64"/>
      <c r="BI39" s="64"/>
      <c r="BJ39" s="64"/>
      <c r="BK39" s="259"/>
      <c r="BL39" s="198" t="s">
        <v>169</v>
      </c>
      <c r="BM39" s="260"/>
      <c r="BN39" s="260"/>
      <c r="BO39" s="199" t="s">
        <v>169</v>
      </c>
      <c r="BT39" s="100"/>
      <c r="BU39" s="100"/>
      <c r="BV39" s="100"/>
      <c r="BW39" s="100"/>
      <c r="BX39" s="100"/>
      <c r="BY39" s="100"/>
      <c r="BZ39" s="100"/>
      <c r="CA39" s="100"/>
      <c r="CB39" s="100"/>
      <c r="CC39" s="42"/>
      <c r="CD39" s="42"/>
      <c r="CE39" s="211"/>
      <c r="CF39" s="42"/>
      <c r="CG39" s="42"/>
      <c r="CH39" s="42"/>
      <c r="CI39" s="42"/>
      <c r="CJ39" s="42"/>
      <c r="CK39" s="42"/>
      <c r="CL39" s="42"/>
      <c r="CM39" s="42"/>
      <c r="CN39" s="261"/>
      <c r="CO39" s="29"/>
      <c r="CP39" s="30"/>
    </row>
    <row r="40" spans="1:94" ht="24" thickBot="1" x14ac:dyDescent="0.3">
      <c r="A40" s="70"/>
      <c r="B40" s="197" t="s">
        <v>48</v>
      </c>
      <c r="C40" s="50" t="s">
        <v>186</v>
      </c>
      <c r="D40" s="262">
        <v>1</v>
      </c>
      <c r="E40" s="263"/>
      <c r="J40" s="100"/>
      <c r="L40" s="49" t="s">
        <v>177</v>
      </c>
      <c r="M40" s="128"/>
      <c r="N40" s="128"/>
      <c r="O40" s="127" t="s">
        <v>185</v>
      </c>
      <c r="P40" s="186"/>
      <c r="Q40" s="1277" t="s">
        <v>232</v>
      </c>
      <c r="R40" s="1278"/>
      <c r="S40" s="1279"/>
      <c r="T40" s="264"/>
      <c r="U40" s="264"/>
      <c r="V40" s="264"/>
      <c r="W40" s="264"/>
      <c r="X40" s="264"/>
      <c r="Y40" s="264"/>
      <c r="Z40" s="264"/>
      <c r="AA40" s="264"/>
      <c r="AB40" s="264"/>
      <c r="AC40" s="108"/>
      <c r="AD40" s="108"/>
      <c r="AE40" s="108"/>
      <c r="AF40" s="108"/>
      <c r="AG40" s="108"/>
      <c r="AH40" s="108"/>
      <c r="AI40" s="108"/>
      <c r="AJ40" s="108"/>
      <c r="AK40" s="265"/>
      <c r="AM40" s="168"/>
      <c r="AN40" s="168"/>
      <c r="AO40" s="168"/>
      <c r="AP40" s="97"/>
      <c r="AQ40" s="97"/>
      <c r="AR40" s="97"/>
      <c r="AS40" s="97"/>
      <c r="AT40" s="97"/>
      <c r="AU40" s="266"/>
      <c r="AV40" s="97"/>
      <c r="AW40" s="97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266"/>
      <c r="BM40" s="267"/>
      <c r="BN40" s="268"/>
      <c r="BO40" s="268"/>
      <c r="BP40" s="268"/>
      <c r="BQ40" s="268"/>
      <c r="BR40" s="268"/>
      <c r="BS40" s="1286" t="s">
        <v>233</v>
      </c>
      <c r="BT40" s="1287"/>
      <c r="BU40" s="268"/>
      <c r="BV40" s="268"/>
      <c r="BW40" s="268"/>
      <c r="BX40" s="268"/>
      <c r="BY40" s="268"/>
      <c r="BZ40" s="268"/>
      <c r="CA40" s="268"/>
      <c r="CB40" s="268"/>
      <c r="CC40" s="269"/>
      <c r="CD40" s="42"/>
      <c r="CE40" s="211"/>
      <c r="CF40" s="42"/>
      <c r="CG40" s="42"/>
      <c r="CH40" s="42"/>
      <c r="CI40" s="42"/>
      <c r="CJ40" s="42"/>
      <c r="CK40" s="42"/>
      <c r="CL40" s="42"/>
      <c r="CM40" s="42"/>
      <c r="CN40" s="261"/>
      <c r="CO40" s="29"/>
      <c r="CP40" s="30"/>
    </row>
    <row r="41" spans="1:94" ht="21" x14ac:dyDescent="0.25">
      <c r="A41" s="270"/>
      <c r="B41" s="254"/>
      <c r="C41" s="95"/>
      <c r="D41" s="271"/>
      <c r="E41" s="272"/>
      <c r="F41" s="1005" t="s">
        <v>234</v>
      </c>
      <c r="G41" s="1005"/>
      <c r="H41" s="1005"/>
      <c r="J41" s="100"/>
      <c r="K41" s="273">
        <v>1</v>
      </c>
      <c r="L41" s="128" t="s">
        <v>235</v>
      </c>
      <c r="M41" s="197" t="s">
        <v>48</v>
      </c>
      <c r="N41" s="197" t="s">
        <v>48</v>
      </c>
      <c r="O41" s="128" t="s">
        <v>235</v>
      </c>
      <c r="P41" s="274">
        <v>8</v>
      </c>
      <c r="Q41" s="1280"/>
      <c r="R41" s="1281"/>
      <c r="S41" s="1282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97"/>
      <c r="AE41" s="97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275"/>
      <c r="AT41" s="275"/>
      <c r="AU41" s="275"/>
      <c r="AV41" s="275"/>
      <c r="AW41" s="275"/>
      <c r="AX41" s="275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276"/>
      <c r="BN41" s="277"/>
      <c r="BO41" s="277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278"/>
      <c r="CD41" s="42"/>
      <c r="CE41" s="211"/>
      <c r="CF41" s="42"/>
      <c r="CG41" s="42"/>
      <c r="CH41" s="42"/>
      <c r="CI41" s="42"/>
      <c r="CJ41" s="42"/>
      <c r="CK41" s="42"/>
      <c r="CL41" s="42"/>
      <c r="CM41" s="42"/>
      <c r="CN41" s="261"/>
      <c r="CO41" s="29"/>
      <c r="CP41" s="30"/>
    </row>
    <row r="42" spans="1:94" ht="21" x14ac:dyDescent="0.3">
      <c r="A42" s="270"/>
      <c r="B42" s="197" t="s">
        <v>48</v>
      </c>
      <c r="C42" s="50" t="s">
        <v>186</v>
      </c>
      <c r="D42" s="262">
        <v>2</v>
      </c>
      <c r="E42" s="92" t="s">
        <v>222</v>
      </c>
      <c r="F42" s="98">
        <v>1</v>
      </c>
      <c r="G42" s="250"/>
      <c r="H42" s="98">
        <v>2</v>
      </c>
      <c r="J42" s="255"/>
      <c r="K42" s="273">
        <v>2</v>
      </c>
      <c r="L42" s="128" t="s">
        <v>235</v>
      </c>
      <c r="M42" s="197" t="s">
        <v>48</v>
      </c>
      <c r="N42" s="197" t="s">
        <v>48</v>
      </c>
      <c r="O42" s="128" t="s">
        <v>235</v>
      </c>
      <c r="P42" s="274">
        <v>7</v>
      </c>
      <c r="Q42" s="1280"/>
      <c r="R42" s="1281"/>
      <c r="S42" s="1282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31"/>
      <c r="AE42" s="31"/>
      <c r="AF42" s="280"/>
      <c r="AG42" s="40"/>
      <c r="AH42" s="31"/>
      <c r="AI42" s="31"/>
      <c r="AJ42" s="281"/>
      <c r="AK42" s="281"/>
      <c r="AL42" s="281"/>
      <c r="AM42" s="281"/>
      <c r="AN42" s="40"/>
      <c r="AO42" s="40"/>
      <c r="AP42" s="40"/>
      <c r="AQ42" s="40"/>
      <c r="AR42" s="40"/>
      <c r="AS42" s="54"/>
      <c r="AT42" s="54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54"/>
      <c r="BM42" s="97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208"/>
      <c r="CD42" s="42"/>
      <c r="CE42" s="282"/>
      <c r="CF42" s="42"/>
      <c r="CG42" s="42"/>
      <c r="CH42" s="42"/>
      <c r="CI42" s="42"/>
      <c r="CJ42" s="42"/>
      <c r="CK42" s="42"/>
      <c r="CL42" s="42"/>
      <c r="CM42" s="42"/>
      <c r="CN42" s="261"/>
      <c r="CO42" s="29"/>
      <c r="CP42" s="30"/>
    </row>
    <row r="43" spans="1:94" ht="21.75" thickBot="1" x14ac:dyDescent="0.3">
      <c r="A43" s="270"/>
      <c r="B43" s="254"/>
      <c r="C43" s="95"/>
      <c r="D43" s="271"/>
      <c r="E43" s="283"/>
      <c r="F43" s="284"/>
      <c r="G43" s="285"/>
      <c r="H43" s="284"/>
      <c r="I43" s="283"/>
      <c r="J43" s="88"/>
      <c r="K43" s="286">
        <v>3</v>
      </c>
      <c r="L43" s="128" t="s">
        <v>235</v>
      </c>
      <c r="M43" s="197" t="s">
        <v>48</v>
      </c>
      <c r="N43" s="197" t="s">
        <v>48</v>
      </c>
      <c r="O43" s="128" t="s">
        <v>235</v>
      </c>
      <c r="P43" s="274">
        <v>6</v>
      </c>
      <c r="Q43" s="1280"/>
      <c r="R43" s="1281"/>
      <c r="S43" s="1282"/>
      <c r="T43" s="29"/>
      <c r="U43" s="34"/>
      <c r="V43" s="34"/>
      <c r="AO43" s="281"/>
      <c r="AP43" s="40"/>
      <c r="AQ43" s="54"/>
      <c r="AR43" s="54"/>
      <c r="AS43" s="54"/>
      <c r="AT43" s="54"/>
      <c r="BB43" s="54"/>
      <c r="BC43" s="54"/>
      <c r="BD43" s="54"/>
      <c r="BE43" s="97"/>
      <c r="BF43" s="97"/>
      <c r="BG43" s="97"/>
      <c r="BH43" s="97"/>
      <c r="BI43" s="97"/>
      <c r="BJ43" s="97"/>
      <c r="BK43" s="97"/>
      <c r="BL43" s="54"/>
      <c r="BM43" s="54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208"/>
      <c r="CD43" s="42"/>
      <c r="CE43" s="282"/>
      <c r="CF43" s="42"/>
      <c r="CG43" s="42"/>
      <c r="CH43" s="42"/>
      <c r="CI43" s="42"/>
      <c r="CJ43" s="42"/>
      <c r="CK43" s="42"/>
      <c r="CL43" s="42"/>
      <c r="CM43" s="42"/>
      <c r="CN43" s="278"/>
      <c r="CO43" s="29"/>
      <c r="CP43" s="30"/>
    </row>
    <row r="44" spans="1:94" ht="21" x14ac:dyDescent="0.25">
      <c r="A44" s="270"/>
      <c r="B44" s="197" t="s">
        <v>48</v>
      </c>
      <c r="C44" s="50" t="s">
        <v>186</v>
      </c>
      <c r="D44" s="262">
        <v>3</v>
      </c>
      <c r="E44" s="284"/>
      <c r="F44" s="228" t="s">
        <v>84</v>
      </c>
      <c r="G44" s="284"/>
      <c r="H44" s="227" t="s">
        <v>71</v>
      </c>
      <c r="I44" s="284"/>
      <c r="J44" s="255"/>
      <c r="K44" s="286">
        <v>4</v>
      </c>
      <c r="L44" s="128" t="s">
        <v>235</v>
      </c>
      <c r="M44" s="197" t="s">
        <v>48</v>
      </c>
      <c r="N44" s="197" t="s">
        <v>48</v>
      </c>
      <c r="O44" s="128" t="s">
        <v>235</v>
      </c>
      <c r="P44" s="274">
        <v>5</v>
      </c>
      <c r="Q44" s="1280"/>
      <c r="R44" s="1281"/>
      <c r="S44" s="1282"/>
      <c r="T44" s="1288" t="s">
        <v>236</v>
      </c>
      <c r="U44" s="1288"/>
      <c r="V44" s="1288"/>
      <c r="W44" s="1288"/>
      <c r="X44" s="1288"/>
      <c r="Y44" s="1288"/>
      <c r="Z44" s="1288"/>
      <c r="AA44" s="1288"/>
      <c r="AB44" s="1289"/>
      <c r="AC44" s="287"/>
      <c r="AD44" s="287"/>
      <c r="AE44" s="287"/>
      <c r="AF44" s="288"/>
      <c r="AG44" s="29"/>
      <c r="AH44" s="287"/>
      <c r="AI44" s="287"/>
      <c r="AJ44" s="289"/>
      <c r="AK44" s="289"/>
      <c r="AL44" s="289"/>
      <c r="AM44" s="289"/>
      <c r="AO44" s="54"/>
      <c r="AP44" s="40"/>
      <c r="AQ44" s="54"/>
      <c r="AR44" s="54"/>
      <c r="AS44" s="54"/>
      <c r="AT44" s="54"/>
      <c r="BB44" s="54"/>
      <c r="BC44" s="54"/>
      <c r="BD44" s="54"/>
      <c r="BE44" s="31"/>
      <c r="BF44" s="31"/>
      <c r="BG44" s="31"/>
      <c r="BH44" s="31"/>
      <c r="BI44" s="31"/>
      <c r="BJ44" s="31"/>
      <c r="BK44" s="31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278"/>
      <c r="CD44" s="42"/>
      <c r="CE44" s="282"/>
      <c r="CF44" s="42"/>
      <c r="CG44" s="54"/>
      <c r="CH44" s="54"/>
      <c r="CI44" s="54"/>
      <c r="CJ44" s="54"/>
      <c r="CK44" s="54"/>
      <c r="CL44" s="54"/>
      <c r="CM44" s="54"/>
      <c r="CN44" s="278"/>
      <c r="CO44" s="29"/>
      <c r="CP44" s="30"/>
    </row>
    <row r="45" spans="1:94" ht="21.75" thickBot="1" x14ac:dyDescent="0.3">
      <c r="A45" s="270"/>
      <c r="B45" s="254"/>
      <c r="C45" s="95"/>
      <c r="D45" s="271"/>
      <c r="E45" s="290"/>
      <c r="F45" s="291" t="s">
        <v>135</v>
      </c>
      <c r="G45" s="284"/>
      <c r="H45" s="292" t="s">
        <v>35</v>
      </c>
      <c r="I45" s="290"/>
      <c r="J45" s="255"/>
      <c r="M45" s="128"/>
      <c r="N45" s="128"/>
      <c r="P45" s="100"/>
      <c r="Q45" s="1280"/>
      <c r="R45" s="1281"/>
      <c r="S45" s="1282"/>
      <c r="T45" s="1290"/>
      <c r="U45" s="1290"/>
      <c r="V45" s="1290"/>
      <c r="W45" s="1290"/>
      <c r="X45" s="1290"/>
      <c r="Y45" s="1290"/>
      <c r="Z45" s="1290"/>
      <c r="AA45" s="1290"/>
      <c r="AB45" s="1291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O45" s="54"/>
      <c r="AP45" s="40"/>
      <c r="AQ45" s="54"/>
      <c r="AR45" s="54"/>
      <c r="AS45" s="54"/>
      <c r="AT45" s="54"/>
      <c r="BB45" s="54"/>
      <c r="BC45" s="31"/>
      <c r="BD45" s="54"/>
      <c r="BE45" s="31"/>
      <c r="BF45" s="31"/>
      <c r="BG45" s="31"/>
      <c r="BH45" s="31"/>
      <c r="BI45" s="31"/>
      <c r="BJ45" s="31"/>
      <c r="BK45" s="31"/>
      <c r="BL45" s="54"/>
      <c r="BM45" s="54"/>
      <c r="BN45" s="54"/>
      <c r="BO45" s="54"/>
      <c r="BP45" s="54"/>
      <c r="BQ45" s="54"/>
      <c r="BR45" s="54"/>
      <c r="BS45" s="31"/>
      <c r="BT45" s="54"/>
      <c r="BU45" s="54"/>
      <c r="BV45" s="54"/>
      <c r="BW45" s="54"/>
      <c r="BX45" s="54"/>
      <c r="BY45" s="54"/>
      <c r="BZ45" s="54"/>
      <c r="CA45" s="54"/>
      <c r="CB45" s="54"/>
      <c r="CC45" s="278"/>
      <c r="CD45" s="42"/>
      <c r="CE45" s="294"/>
      <c r="CF45" s="64"/>
      <c r="CG45" s="64"/>
      <c r="CH45" s="64"/>
      <c r="CI45" s="64"/>
      <c r="CJ45" s="64"/>
      <c r="CK45" s="64"/>
      <c r="CL45" s="64"/>
      <c r="CM45" s="64"/>
      <c r="CN45" s="259"/>
      <c r="CO45" s="29"/>
      <c r="CP45" s="30"/>
    </row>
    <row r="46" spans="1:94" ht="21" x14ac:dyDescent="0.25">
      <c r="A46" s="270"/>
      <c r="B46" s="197" t="s">
        <v>48</v>
      </c>
      <c r="C46" s="50" t="s">
        <v>186</v>
      </c>
      <c r="D46" s="271">
        <v>4</v>
      </c>
      <c r="E46" s="295"/>
      <c r="F46" s="284"/>
      <c r="G46" s="285"/>
      <c r="H46" s="284"/>
      <c r="I46" s="295"/>
      <c r="J46" s="255"/>
      <c r="O46" s="100"/>
      <c r="Q46" s="1280"/>
      <c r="R46" s="1281"/>
      <c r="S46" s="1282"/>
      <c r="T46" s="1290"/>
      <c r="U46" s="1290"/>
      <c r="V46" s="1290"/>
      <c r="W46" s="1290"/>
      <c r="X46" s="1290"/>
      <c r="Y46" s="1290"/>
      <c r="Z46" s="1290"/>
      <c r="AA46" s="1290"/>
      <c r="AB46" s="1291"/>
      <c r="AC46" s="296"/>
      <c r="AD46" s="297"/>
      <c r="AE46" s="1294" t="s">
        <v>237</v>
      </c>
      <c r="AF46" s="1295"/>
      <c r="AG46" s="1295"/>
      <c r="AH46" s="1295"/>
      <c r="AI46" s="1295"/>
      <c r="AJ46" s="1295"/>
      <c r="AK46" s="1295"/>
      <c r="AL46" s="1295"/>
      <c r="AM46" s="1296"/>
      <c r="AO46" s="54"/>
      <c r="AP46" s="40"/>
      <c r="AQ46" s="54"/>
      <c r="AR46" s="54"/>
      <c r="AS46" s="54"/>
      <c r="AT46" s="54"/>
      <c r="BB46" s="54"/>
      <c r="BC46" s="54"/>
      <c r="BD46" s="298"/>
      <c r="BE46" s="275"/>
      <c r="BF46" s="275"/>
      <c r="BG46" s="275"/>
      <c r="BJ46" s="275"/>
      <c r="BK46" s="275"/>
      <c r="BL46" s="54"/>
      <c r="BM46" s="275"/>
      <c r="BN46" s="275"/>
      <c r="BO46" s="54"/>
      <c r="BP46" s="54"/>
      <c r="BQ46" s="54"/>
      <c r="BR46" s="54"/>
      <c r="BS46" s="31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9"/>
      <c r="CO46" s="29"/>
      <c r="CP46" s="30"/>
    </row>
    <row r="47" spans="1:94" x14ac:dyDescent="0.25">
      <c r="A47" s="270"/>
      <c r="B47" s="254"/>
      <c r="D47" s="271"/>
      <c r="E47" s="95"/>
      <c r="F47" s="98">
        <v>4</v>
      </c>
      <c r="G47" s="250"/>
      <c r="H47" s="98">
        <v>3</v>
      </c>
      <c r="I47" s="95"/>
      <c r="J47" s="255"/>
      <c r="O47" s="100"/>
      <c r="Q47" s="1280"/>
      <c r="R47" s="1281"/>
      <c r="S47" s="1282"/>
      <c r="T47" s="1290"/>
      <c r="U47" s="1290"/>
      <c r="V47" s="1290"/>
      <c r="W47" s="1290"/>
      <c r="X47" s="1290"/>
      <c r="Y47" s="1290"/>
      <c r="Z47" s="1290"/>
      <c r="AA47" s="1290"/>
      <c r="AB47" s="1291"/>
      <c r="AC47" s="299"/>
      <c r="AD47" s="34"/>
      <c r="AE47" s="1297"/>
      <c r="AF47" s="1298"/>
      <c r="AG47" s="1298"/>
      <c r="AH47" s="1298"/>
      <c r="AI47" s="1298"/>
      <c r="AJ47" s="1298"/>
      <c r="AK47" s="1298"/>
      <c r="AL47" s="1298"/>
      <c r="AM47" s="1299"/>
      <c r="AO47" s="54"/>
      <c r="AP47" s="54"/>
      <c r="AQ47" s="54"/>
      <c r="AR47" s="54"/>
      <c r="AS47" s="54"/>
      <c r="AT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278"/>
      <c r="CO47" s="29"/>
      <c r="CP47" s="30"/>
    </row>
    <row r="48" spans="1:94" ht="15.75" x14ac:dyDescent="0.25">
      <c r="A48" s="270"/>
      <c r="B48" s="1303" t="s">
        <v>238</v>
      </c>
      <c r="C48" s="1304"/>
      <c r="D48" s="271"/>
      <c r="J48" s="255"/>
      <c r="K48" s="238"/>
      <c r="L48" s="255"/>
      <c r="M48" s="255"/>
      <c r="N48" s="255"/>
      <c r="O48" s="100"/>
      <c r="P48" s="100"/>
      <c r="Q48" s="1280"/>
      <c r="R48" s="1281"/>
      <c r="S48" s="1282"/>
      <c r="T48" s="1290"/>
      <c r="U48" s="1290"/>
      <c r="V48" s="1290"/>
      <c r="W48" s="1290"/>
      <c r="X48" s="1290"/>
      <c r="Y48" s="1290"/>
      <c r="Z48" s="1290"/>
      <c r="AA48" s="1290"/>
      <c r="AB48" s="1291"/>
      <c r="AC48" s="299"/>
      <c r="AD48" s="34"/>
      <c r="AE48" s="1300"/>
      <c r="AF48" s="1301"/>
      <c r="AG48" s="1301"/>
      <c r="AH48" s="1301"/>
      <c r="AI48" s="1301"/>
      <c r="AJ48" s="1301"/>
      <c r="AK48" s="1301"/>
      <c r="AL48" s="1301"/>
      <c r="AM48" s="1302"/>
      <c r="AO48" s="54"/>
      <c r="AP48" s="54"/>
      <c r="AQ48" s="54"/>
      <c r="AR48" s="54"/>
      <c r="AS48" s="54"/>
      <c r="AT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278"/>
      <c r="CO48" s="29"/>
      <c r="CP48" s="30"/>
    </row>
    <row r="49" spans="1:94" x14ac:dyDescent="0.25">
      <c r="A49" s="270"/>
      <c r="B49" s="255"/>
      <c r="C49" s="255"/>
      <c r="D49" s="271"/>
      <c r="L49" s="255"/>
      <c r="M49" s="255"/>
      <c r="N49" s="255"/>
      <c r="O49" s="100"/>
      <c r="P49" s="255"/>
      <c r="Q49" s="1280"/>
      <c r="R49" s="1281"/>
      <c r="S49" s="1282"/>
      <c r="T49" s="1290"/>
      <c r="U49" s="1290"/>
      <c r="V49" s="1290"/>
      <c r="W49" s="1290"/>
      <c r="X49" s="1290"/>
      <c r="Y49" s="1290"/>
      <c r="Z49" s="1290"/>
      <c r="AA49" s="1290"/>
      <c r="AB49" s="1291"/>
      <c r="AC49" s="299"/>
      <c r="AD49" s="34"/>
      <c r="AE49" s="34"/>
      <c r="AF49" s="34"/>
      <c r="AG49" s="34"/>
      <c r="AH49" s="34"/>
      <c r="AI49" s="34"/>
      <c r="AJ49" s="34"/>
      <c r="AK49" s="1305" t="s">
        <v>239</v>
      </c>
      <c r="AL49" s="1295"/>
      <c r="AM49" s="1306"/>
      <c r="AO49" s="54"/>
      <c r="AP49" s="54"/>
      <c r="AQ49" s="54"/>
      <c r="AR49" s="54"/>
      <c r="AS49" s="54"/>
      <c r="AT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278"/>
      <c r="CO49" s="29"/>
      <c r="CP49" s="30"/>
    </row>
    <row r="50" spans="1:94" ht="20.25" x14ac:dyDescent="0.25">
      <c r="A50" s="270"/>
      <c r="B50" s="255"/>
      <c r="C50" s="255"/>
      <c r="E50" s="271"/>
      <c r="F50" s="300" t="s">
        <v>228</v>
      </c>
      <c r="G50" s="300"/>
      <c r="H50" s="300"/>
      <c r="I50" s="301"/>
      <c r="L50" s="255"/>
      <c r="M50" s="255"/>
      <c r="N50" s="255"/>
      <c r="O50" s="255"/>
      <c r="P50" s="255"/>
      <c r="Q50" s="1280"/>
      <c r="R50" s="1281"/>
      <c r="S50" s="1282"/>
      <c r="T50" s="1290"/>
      <c r="U50" s="1290"/>
      <c r="V50" s="1290"/>
      <c r="W50" s="1290"/>
      <c r="X50" s="1290"/>
      <c r="Y50" s="1290"/>
      <c r="Z50" s="1290"/>
      <c r="AA50" s="1290"/>
      <c r="AB50" s="1291"/>
      <c r="AC50" s="299"/>
      <c r="AD50" s="34"/>
      <c r="AE50" s="34"/>
      <c r="AF50" s="34"/>
      <c r="AG50" s="34"/>
      <c r="AH50" s="34"/>
      <c r="AI50" s="34"/>
      <c r="AJ50" s="34"/>
      <c r="AK50" s="1307"/>
      <c r="AL50" s="1298"/>
      <c r="AM50" s="1308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278"/>
      <c r="CO50" s="302"/>
      <c r="CP50" s="30"/>
    </row>
    <row r="51" spans="1:94" x14ac:dyDescent="0.25">
      <c r="A51" s="270"/>
      <c r="C51" s="255"/>
      <c r="E51" s="271"/>
      <c r="F51" s="255">
        <v>1</v>
      </c>
      <c r="G51" s="255">
        <v>2</v>
      </c>
      <c r="H51" s="255">
        <v>3</v>
      </c>
      <c r="L51" s="255"/>
      <c r="M51" s="255"/>
      <c r="N51" s="255"/>
      <c r="Q51" s="1280"/>
      <c r="R51" s="1281"/>
      <c r="S51" s="1282"/>
      <c r="T51" s="1290"/>
      <c r="U51" s="1290"/>
      <c r="V51" s="1290"/>
      <c r="W51" s="1290"/>
      <c r="X51" s="1290"/>
      <c r="Y51" s="1290"/>
      <c r="Z51" s="1290"/>
      <c r="AA51" s="1290"/>
      <c r="AB51" s="1291"/>
      <c r="AC51" s="1311" t="s">
        <v>240</v>
      </c>
      <c r="AD51" s="1312"/>
      <c r="AE51" s="1312"/>
      <c r="AF51" s="1312"/>
      <c r="AG51" s="1312"/>
      <c r="AH51" s="1312"/>
      <c r="AI51" s="1312"/>
      <c r="AJ51" s="1313"/>
      <c r="AK51" s="1307"/>
      <c r="AL51" s="1298"/>
      <c r="AM51" s="1308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303"/>
      <c r="CO51" s="302"/>
      <c r="CP51" s="30"/>
    </row>
    <row r="52" spans="1:94" ht="18.75" x14ac:dyDescent="0.25">
      <c r="A52" s="270"/>
      <c r="B52" s="255"/>
      <c r="C52" s="255"/>
      <c r="E52" s="49" t="s">
        <v>178</v>
      </c>
      <c r="F52" s="183" t="s">
        <v>157</v>
      </c>
      <c r="G52" s="183" t="s">
        <v>157</v>
      </c>
      <c r="H52" s="183" t="s">
        <v>157</v>
      </c>
      <c r="I52" s="127" t="s">
        <v>241</v>
      </c>
      <c r="L52" s="255"/>
      <c r="M52" s="255"/>
      <c r="N52" s="255"/>
      <c r="Q52" s="1280"/>
      <c r="R52" s="1281"/>
      <c r="S52" s="1282"/>
      <c r="T52" s="1290"/>
      <c r="U52" s="1290"/>
      <c r="V52" s="1290"/>
      <c r="W52" s="1290"/>
      <c r="X52" s="1290"/>
      <c r="Y52" s="1290"/>
      <c r="Z52" s="1290"/>
      <c r="AA52" s="1290"/>
      <c r="AB52" s="1291"/>
      <c r="AC52" s="1314"/>
      <c r="AD52" s="1290"/>
      <c r="AE52" s="1290"/>
      <c r="AF52" s="1290"/>
      <c r="AG52" s="1290"/>
      <c r="AH52" s="1290"/>
      <c r="AI52" s="1290"/>
      <c r="AJ52" s="1315"/>
      <c r="AK52" s="1309"/>
      <c r="AL52" s="1301"/>
      <c r="AM52" s="1310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303"/>
      <c r="CO52" s="302"/>
      <c r="CP52" s="30"/>
    </row>
    <row r="53" spans="1:94" ht="15.75" x14ac:dyDescent="0.25">
      <c r="A53" s="270"/>
      <c r="B53" s="255"/>
      <c r="C53" s="255"/>
      <c r="E53" s="304"/>
      <c r="F53" s="305" t="s">
        <v>48</v>
      </c>
      <c r="G53" s="305" t="s">
        <v>48</v>
      </c>
      <c r="H53" s="305" t="s">
        <v>48</v>
      </c>
      <c r="I53" s="306"/>
      <c r="L53" s="255"/>
      <c r="M53" s="255"/>
      <c r="N53" s="255"/>
      <c r="Q53" s="1280"/>
      <c r="R53" s="1281"/>
      <c r="S53" s="1282"/>
      <c r="T53" s="1290"/>
      <c r="U53" s="1290"/>
      <c r="V53" s="1290"/>
      <c r="W53" s="1290"/>
      <c r="X53" s="1290"/>
      <c r="Y53" s="1290"/>
      <c r="Z53" s="1290"/>
      <c r="AA53" s="1290"/>
      <c r="AB53" s="1291"/>
      <c r="AC53" s="1314"/>
      <c r="AD53" s="1290"/>
      <c r="AE53" s="1290"/>
      <c r="AF53" s="1290"/>
      <c r="AG53" s="1290"/>
      <c r="AH53" s="1290"/>
      <c r="AI53" s="1290"/>
      <c r="AJ53" s="1315"/>
      <c r="AK53" s="1316" t="s">
        <v>242</v>
      </c>
      <c r="AL53" s="1317"/>
      <c r="AM53" s="1318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303"/>
      <c r="CO53" s="302"/>
      <c r="CP53" s="30"/>
    </row>
    <row r="54" spans="1:94" ht="16.5" thickBot="1" x14ac:dyDescent="0.3">
      <c r="A54" s="270"/>
      <c r="B54" s="255" t="s">
        <v>243</v>
      </c>
      <c r="C54" s="255"/>
      <c r="E54" s="307"/>
      <c r="F54" s="305" t="s">
        <v>48</v>
      </c>
      <c r="G54" s="305" t="s">
        <v>48</v>
      </c>
      <c r="H54" s="305" t="s">
        <v>48</v>
      </c>
      <c r="I54" s="306"/>
      <c r="L54" s="255"/>
      <c r="M54" s="255"/>
      <c r="N54" s="255"/>
      <c r="Q54" s="1280"/>
      <c r="R54" s="1281"/>
      <c r="S54" s="1282"/>
      <c r="T54" s="1292"/>
      <c r="U54" s="1292"/>
      <c r="V54" s="1292"/>
      <c r="W54" s="1292"/>
      <c r="X54" s="1292"/>
      <c r="Y54" s="1292"/>
      <c r="Z54" s="1292"/>
      <c r="AA54" s="1292"/>
      <c r="AB54" s="1293"/>
      <c r="AC54" s="1314"/>
      <c r="AD54" s="1290"/>
      <c r="AE54" s="1290"/>
      <c r="AF54" s="1290"/>
      <c r="AG54" s="1290"/>
      <c r="AH54" s="1290"/>
      <c r="AI54" s="1290"/>
      <c r="AJ54" s="1315"/>
      <c r="AK54" s="1319"/>
      <c r="AL54" s="1320"/>
      <c r="AM54" s="1321"/>
      <c r="CO54" s="302"/>
      <c r="CP54" s="30"/>
    </row>
    <row r="55" spans="1:94" ht="15.75" x14ac:dyDescent="0.25">
      <c r="A55" s="270"/>
      <c r="B55" s="308" t="s">
        <v>156</v>
      </c>
      <c r="C55" s="255"/>
      <c r="E55" s="47"/>
      <c r="F55" s="183" t="s">
        <v>157</v>
      </c>
      <c r="G55" s="183" t="s">
        <v>157</v>
      </c>
      <c r="H55" s="183" t="s">
        <v>157</v>
      </c>
      <c r="Q55" s="1280"/>
      <c r="R55" s="1281"/>
      <c r="S55" s="1282"/>
      <c r="T55" s="29"/>
      <c r="U55" s="29"/>
      <c r="V55" s="29"/>
      <c r="W55" s="29"/>
      <c r="X55" s="29"/>
      <c r="Y55" s="29"/>
      <c r="Z55" s="29"/>
      <c r="AA55" s="2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09"/>
      <c r="BK55" s="309"/>
      <c r="BL55" s="309"/>
      <c r="BM55" s="309"/>
      <c r="BN55" s="309"/>
      <c r="BO55" s="309"/>
      <c r="BP55" s="309"/>
      <c r="BQ55" s="309"/>
      <c r="BR55" s="309"/>
      <c r="BS55" s="309"/>
      <c r="BT55" s="309"/>
      <c r="BU55" s="309"/>
      <c r="BV55" s="309"/>
      <c r="BW55" s="309"/>
      <c r="BX55" s="309"/>
      <c r="BY55" s="309"/>
      <c r="BZ55" s="309"/>
      <c r="CA55" s="309"/>
      <c r="CB55" s="309"/>
      <c r="CC55" s="309"/>
      <c r="CD55" s="309"/>
      <c r="CE55" s="309"/>
      <c r="CF55" s="309"/>
      <c r="CG55" s="309"/>
      <c r="CH55" s="309"/>
      <c r="CI55" s="309"/>
      <c r="CJ55" s="309"/>
      <c r="CK55" s="309"/>
      <c r="CL55" s="309"/>
      <c r="CM55" s="309"/>
      <c r="CN55" s="309"/>
      <c r="CO55" s="29"/>
      <c r="CP55" s="29"/>
    </row>
    <row r="56" spans="1:94" ht="15.75" x14ac:dyDescent="0.25">
      <c r="A56" s="270"/>
      <c r="B56" s="308" t="s">
        <v>156</v>
      </c>
      <c r="C56" s="255"/>
      <c r="E56" s="47"/>
      <c r="F56" s="255">
        <v>6</v>
      </c>
      <c r="G56" s="255">
        <v>5</v>
      </c>
      <c r="H56" s="255">
        <v>4</v>
      </c>
      <c r="I56" s="255"/>
      <c r="Q56" s="1280"/>
      <c r="R56" s="1281"/>
      <c r="S56" s="1282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</row>
    <row r="57" spans="1:94" ht="15.75" x14ac:dyDescent="0.25">
      <c r="A57" s="270"/>
      <c r="B57" s="308" t="s">
        <v>156</v>
      </c>
      <c r="C57" s="255"/>
      <c r="D57" s="310"/>
      <c r="E57" s="47"/>
      <c r="J57" s="255"/>
      <c r="Q57" s="1280"/>
      <c r="R57" s="1281"/>
      <c r="S57" s="1282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</row>
    <row r="58" spans="1:94" x14ac:dyDescent="0.25">
      <c r="A58" s="270"/>
      <c r="B58" s="255" t="s">
        <v>244</v>
      </c>
      <c r="C58" s="255"/>
      <c r="E58" s="47"/>
      <c r="Q58" s="1280"/>
      <c r="R58" s="1281"/>
      <c r="S58" s="1282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11"/>
      <c r="CD58" s="311"/>
      <c r="CE58" s="311"/>
      <c r="CF58" s="311"/>
      <c r="CG58" s="311"/>
      <c r="CH58" s="311"/>
      <c r="CI58" s="311"/>
      <c r="CJ58" s="311"/>
      <c r="CK58" s="311"/>
      <c r="CL58" s="40"/>
      <c r="CM58" s="40"/>
      <c r="CN58" s="40"/>
      <c r="CO58" s="29"/>
      <c r="CP58" s="29"/>
    </row>
    <row r="59" spans="1:94" x14ac:dyDescent="0.25">
      <c r="A59" s="270"/>
      <c r="B59" s="95"/>
      <c r="E59" s="255"/>
      <c r="F59" s="312"/>
      <c r="Q59" s="1280"/>
      <c r="R59" s="1281"/>
      <c r="S59" s="1282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311"/>
      <c r="AP59" s="311"/>
      <c r="AQ59" s="311"/>
      <c r="AR59" s="311"/>
      <c r="AS59" s="311"/>
      <c r="AT59" s="311"/>
      <c r="AU59" s="311"/>
      <c r="AV59" s="311"/>
      <c r="AW59" s="311"/>
      <c r="AX59" s="311"/>
      <c r="AY59" s="311"/>
      <c r="AZ59" s="311"/>
      <c r="BA59" s="311"/>
      <c r="BB59" s="311"/>
      <c r="BC59" s="311"/>
      <c r="BD59" s="311"/>
      <c r="BE59" s="311"/>
      <c r="BF59" s="311"/>
      <c r="BG59" s="311"/>
      <c r="BH59" s="311"/>
      <c r="BI59" s="311"/>
      <c r="BJ59" s="311"/>
      <c r="BK59" s="311"/>
      <c r="BL59" s="311"/>
      <c r="BM59" s="311"/>
      <c r="BN59" s="311"/>
      <c r="BO59" s="311"/>
      <c r="BP59" s="311"/>
      <c r="BQ59" s="311"/>
      <c r="BR59" s="311"/>
      <c r="BS59" s="311"/>
      <c r="BT59" s="311"/>
      <c r="BU59" s="311"/>
      <c r="BV59" s="311"/>
      <c r="BW59" s="311"/>
      <c r="BX59" s="311"/>
      <c r="BY59" s="311"/>
      <c r="BZ59" s="311"/>
      <c r="CA59" s="311"/>
      <c r="CB59" s="311"/>
      <c r="CC59" s="311"/>
      <c r="CD59" s="311"/>
      <c r="CE59" s="311"/>
      <c r="CF59" s="311"/>
      <c r="CG59" s="311"/>
      <c r="CH59" s="311"/>
      <c r="CI59" s="311"/>
      <c r="CJ59" s="311"/>
      <c r="CK59" s="311"/>
      <c r="CL59" s="40"/>
      <c r="CM59" s="40"/>
      <c r="CN59" s="40"/>
      <c r="CO59" s="29"/>
      <c r="CP59" s="29"/>
    </row>
    <row r="60" spans="1:94" ht="15.75" x14ac:dyDescent="0.25">
      <c r="A60" s="270"/>
      <c r="B60" s="205" t="s">
        <v>212</v>
      </c>
      <c r="E60" s="255"/>
      <c r="F60" s="95"/>
      <c r="J60" s="100"/>
      <c r="K60" s="100"/>
      <c r="L60" s="100"/>
      <c r="M60" s="100"/>
      <c r="Q60" s="1280"/>
      <c r="R60" s="1281"/>
      <c r="S60" s="1282"/>
      <c r="T60" s="311"/>
      <c r="U60" s="311"/>
      <c r="V60" s="311"/>
      <c r="W60" s="311"/>
      <c r="X60" s="311"/>
      <c r="Y60" s="311"/>
      <c r="Z60" s="311"/>
      <c r="AA60" s="311"/>
      <c r="AB60" s="311"/>
      <c r="AC60" s="313"/>
      <c r="AD60" s="313"/>
      <c r="AE60" s="313"/>
      <c r="AF60" s="313"/>
      <c r="AG60" s="313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311"/>
      <c r="AX60" s="311"/>
      <c r="AY60" s="311"/>
      <c r="AZ60" s="311"/>
      <c r="BA60" s="311"/>
      <c r="BB60" s="311"/>
      <c r="BC60" s="311"/>
      <c r="BD60" s="311"/>
      <c r="BE60" s="311"/>
      <c r="BF60" s="311"/>
      <c r="BG60" s="311"/>
      <c r="BH60" s="311"/>
      <c r="BI60" s="311"/>
      <c r="BJ60" s="311"/>
      <c r="BK60" s="311"/>
      <c r="BL60" s="311"/>
      <c r="BM60" s="311"/>
      <c r="BN60" s="311"/>
      <c r="BO60" s="311"/>
      <c r="BP60" s="311"/>
      <c r="BQ60" s="311"/>
      <c r="BR60" s="311"/>
      <c r="BS60" s="311"/>
      <c r="BT60" s="311"/>
      <c r="BU60" s="311"/>
      <c r="BV60" s="311"/>
      <c r="BW60" s="311"/>
      <c r="BX60" s="311"/>
      <c r="BY60" s="311"/>
      <c r="BZ60" s="311"/>
      <c r="CA60" s="311"/>
      <c r="CB60" s="311"/>
      <c r="CC60" s="311"/>
      <c r="CD60" s="311"/>
      <c r="CE60" s="311"/>
      <c r="CF60" s="311"/>
      <c r="CG60" s="311"/>
      <c r="CH60" s="311"/>
      <c r="CI60" s="311"/>
      <c r="CJ60" s="311"/>
      <c r="CK60" s="311"/>
      <c r="CL60" s="40"/>
      <c r="CM60" s="40"/>
      <c r="CN60" s="40"/>
      <c r="CO60" s="29"/>
      <c r="CP60" s="29"/>
    </row>
    <row r="61" spans="1:94" ht="21" x14ac:dyDescent="0.25">
      <c r="A61" s="270"/>
      <c r="B61" s="205" t="s">
        <v>212</v>
      </c>
      <c r="F61" s="314"/>
      <c r="J61" s="100"/>
      <c r="K61" s="100"/>
      <c r="L61" s="100"/>
      <c r="M61" s="100"/>
      <c r="Q61" s="1280"/>
      <c r="R61" s="1281"/>
      <c r="S61" s="1282"/>
      <c r="T61" s="311"/>
      <c r="U61" s="311"/>
      <c r="V61" s="311"/>
      <c r="W61" s="311"/>
      <c r="X61" s="311"/>
      <c r="Y61" s="29"/>
      <c r="Z61" s="29"/>
      <c r="AA61" s="29"/>
      <c r="AB61" s="29"/>
      <c r="AC61" s="313"/>
      <c r="AD61" s="313"/>
      <c r="AE61" s="313"/>
      <c r="AF61" s="313"/>
      <c r="AG61" s="313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/>
      <c r="AX61" s="311"/>
      <c r="AY61" s="311"/>
      <c r="AZ61" s="311"/>
      <c r="BA61" s="311"/>
      <c r="BB61" s="311"/>
      <c r="BC61" s="311"/>
      <c r="BD61" s="311"/>
      <c r="BE61" s="311"/>
      <c r="BF61" s="311"/>
      <c r="BG61" s="311"/>
      <c r="BH61" s="311"/>
      <c r="BI61" s="311"/>
      <c r="BJ61" s="311"/>
      <c r="BK61" s="311"/>
      <c r="BL61" s="311"/>
      <c r="BM61" s="311"/>
      <c r="BN61" s="311"/>
      <c r="BO61" s="311"/>
      <c r="BP61" s="311"/>
      <c r="BQ61" s="311"/>
      <c r="BR61" s="311"/>
      <c r="BS61" s="311"/>
      <c r="BT61" s="311"/>
      <c r="BU61" s="311"/>
      <c r="BV61" s="311"/>
      <c r="BW61" s="311"/>
      <c r="BX61" s="311"/>
      <c r="BY61" s="311"/>
      <c r="BZ61" s="311"/>
      <c r="CA61" s="311"/>
      <c r="CB61" s="311"/>
      <c r="CC61" s="311"/>
      <c r="CD61" s="311"/>
      <c r="CE61" s="311"/>
      <c r="CF61" s="311"/>
      <c r="CG61" s="311"/>
      <c r="CH61" s="311"/>
      <c r="CI61" s="311"/>
      <c r="CJ61" s="311"/>
      <c r="CK61" s="311"/>
      <c r="CL61" s="40"/>
      <c r="CM61" s="40"/>
      <c r="CN61" s="40"/>
      <c r="CO61" s="29"/>
      <c r="CP61" s="29"/>
    </row>
    <row r="62" spans="1:94" ht="21" x14ac:dyDescent="0.25">
      <c r="A62" s="270"/>
      <c r="B62" s="315" t="s">
        <v>169</v>
      </c>
      <c r="F62" s="1322" t="s">
        <v>238</v>
      </c>
      <c r="G62" s="1322"/>
      <c r="H62" s="1322"/>
      <c r="I62" s="316"/>
      <c r="J62" s="100"/>
      <c r="K62" s="100"/>
      <c r="L62" s="100"/>
      <c r="M62" s="100"/>
      <c r="P62" s="301"/>
      <c r="Q62" s="1280"/>
      <c r="R62" s="1281"/>
      <c r="S62" s="1282"/>
      <c r="T62" s="311"/>
      <c r="U62" s="311"/>
      <c r="V62" s="311"/>
      <c r="W62" s="311"/>
      <c r="X62" s="311"/>
      <c r="Y62" s="311"/>
      <c r="Z62" s="311"/>
      <c r="AA62" s="311"/>
      <c r="AB62" s="311"/>
      <c r="AJ62" s="311"/>
      <c r="AK62" s="311"/>
      <c r="AL62" s="311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1"/>
      <c r="AY62" s="311"/>
      <c r="AZ62" s="311"/>
      <c r="BA62" s="311"/>
      <c r="BB62" s="311"/>
      <c r="BC62" s="311"/>
      <c r="BD62" s="311"/>
      <c r="BE62" s="311"/>
      <c r="BF62" s="311"/>
      <c r="BG62" s="311"/>
      <c r="BH62" s="311"/>
      <c r="BI62" s="311"/>
      <c r="BJ62" s="311"/>
      <c r="BK62" s="311"/>
      <c r="BL62" s="311"/>
      <c r="BM62" s="311"/>
      <c r="BN62" s="311"/>
      <c r="BO62" s="311"/>
      <c r="BP62" s="311"/>
      <c r="BQ62" s="311"/>
      <c r="BR62" s="311"/>
      <c r="BS62" s="311"/>
      <c r="BT62" s="311"/>
      <c r="BU62" s="311"/>
      <c r="BV62" s="311"/>
      <c r="BW62" s="311"/>
      <c r="BX62" s="311"/>
      <c r="BY62" s="311"/>
      <c r="BZ62" s="311"/>
      <c r="CA62" s="311"/>
      <c r="CB62" s="311"/>
      <c r="CC62" s="311"/>
      <c r="CD62" s="311"/>
      <c r="CE62" s="311"/>
      <c r="CF62" s="311"/>
      <c r="CG62" s="311"/>
      <c r="CH62" s="311"/>
      <c r="CI62" s="311"/>
      <c r="CJ62" s="311"/>
      <c r="CK62" s="311"/>
      <c r="CL62" s="40"/>
      <c r="CM62" s="40"/>
      <c r="CN62" s="40"/>
      <c r="CO62" s="29"/>
      <c r="CP62" s="29"/>
    </row>
    <row r="63" spans="1:94" ht="18.75" x14ac:dyDescent="0.3">
      <c r="A63" s="270"/>
      <c r="B63" s="315" t="s">
        <v>169</v>
      </c>
      <c r="F63" s="88">
        <v>1</v>
      </c>
      <c r="G63" s="317">
        <v>2</v>
      </c>
      <c r="H63" s="317">
        <v>3</v>
      </c>
      <c r="I63" s="88"/>
      <c r="K63" s="92" t="s">
        <v>230</v>
      </c>
      <c r="L63" s="98">
        <v>1</v>
      </c>
      <c r="M63" s="250"/>
      <c r="N63" s="98">
        <v>2</v>
      </c>
      <c r="O63" s="250"/>
      <c r="Q63" s="1280"/>
      <c r="R63" s="1281"/>
      <c r="S63" s="1282"/>
      <c r="T63" s="311"/>
      <c r="V63" s="29"/>
      <c r="W63" s="29"/>
      <c r="X63" s="29"/>
      <c r="Y63" s="29"/>
      <c r="Z63" s="29"/>
      <c r="AA63" s="29"/>
      <c r="AB63" s="29"/>
      <c r="AJ63" s="311"/>
      <c r="AK63" s="311"/>
      <c r="AL63" s="311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  <c r="BG63" s="311"/>
      <c r="BH63" s="311"/>
      <c r="BI63" s="311"/>
      <c r="BJ63" s="311"/>
      <c r="BK63" s="311"/>
      <c r="BL63" s="311"/>
      <c r="BM63" s="311"/>
      <c r="BN63" s="311"/>
      <c r="BO63" s="311"/>
      <c r="BP63" s="311"/>
      <c r="BQ63" s="311"/>
      <c r="BR63" s="311"/>
      <c r="BS63" s="311"/>
      <c r="BT63" s="311"/>
      <c r="BU63" s="311"/>
      <c r="BV63" s="311"/>
      <c r="BW63" s="311"/>
      <c r="BX63" s="311"/>
      <c r="BY63" s="311"/>
      <c r="BZ63" s="311"/>
      <c r="CA63" s="311"/>
      <c r="CB63" s="311"/>
      <c r="CC63" s="311"/>
      <c r="CD63" s="311"/>
      <c r="CE63" s="311"/>
      <c r="CF63" s="311"/>
      <c r="CG63" s="311"/>
      <c r="CH63" s="311"/>
      <c r="CI63" s="311"/>
      <c r="CJ63" s="311"/>
      <c r="CK63" s="311"/>
      <c r="CL63" s="40"/>
      <c r="CM63" s="40"/>
      <c r="CN63" s="40"/>
      <c r="CO63" s="29"/>
      <c r="CP63" s="29"/>
    </row>
    <row r="64" spans="1:94" ht="21" x14ac:dyDescent="0.25">
      <c r="A64" s="270"/>
      <c r="B64" s="1268" t="s">
        <v>238</v>
      </c>
      <c r="C64" s="1269"/>
      <c r="D64" s="1269"/>
      <c r="F64" s="216" t="s">
        <v>186</v>
      </c>
      <c r="G64" s="216" t="s">
        <v>186</v>
      </c>
      <c r="H64" s="216" t="s">
        <v>186</v>
      </c>
      <c r="K64" s="283"/>
      <c r="L64" s="318"/>
      <c r="M64" s="285"/>
      <c r="N64" s="318"/>
      <c r="O64" s="285"/>
      <c r="Q64" s="1280"/>
      <c r="R64" s="1281"/>
      <c r="S64" s="1282"/>
      <c r="T64" s="311"/>
      <c r="V64" s="311"/>
      <c r="W64" s="311"/>
      <c r="X64" s="311"/>
      <c r="Y64" s="313"/>
      <c r="Z64" s="313"/>
      <c r="AA64" s="313"/>
      <c r="AB64" s="313"/>
      <c r="AC64" s="313"/>
      <c r="AD64" s="313"/>
      <c r="AE64" s="313"/>
      <c r="AF64" s="313"/>
      <c r="AG64" s="313"/>
      <c r="AJ64" s="311"/>
      <c r="AK64" s="313"/>
      <c r="AL64" s="313"/>
      <c r="AM64" s="313"/>
      <c r="AN64" s="313"/>
      <c r="AO64" s="313"/>
      <c r="AP64" s="313"/>
      <c r="AQ64" s="313"/>
      <c r="AR64" s="313"/>
      <c r="AS64" s="313"/>
      <c r="AT64" s="311"/>
      <c r="AU64" s="311"/>
      <c r="AV64" s="311"/>
      <c r="AW64" s="311"/>
      <c r="AX64" s="311"/>
      <c r="AY64" s="311"/>
      <c r="AZ64" s="311"/>
      <c r="BA64" s="311"/>
      <c r="BB64" s="311"/>
      <c r="BC64" s="311"/>
      <c r="BD64" s="311"/>
      <c r="BE64" s="311"/>
      <c r="BF64" s="311"/>
      <c r="BG64" s="311"/>
      <c r="BH64" s="311"/>
      <c r="BI64" s="311"/>
      <c r="BJ64" s="311"/>
      <c r="BK64" s="311"/>
      <c r="BL64" s="311"/>
      <c r="BM64" s="311"/>
      <c r="BN64" s="311"/>
      <c r="BO64" s="311"/>
      <c r="BP64" s="311"/>
      <c r="BQ64" s="311"/>
      <c r="BR64" s="311"/>
      <c r="BS64" s="311"/>
      <c r="BT64" s="311"/>
      <c r="BU64" s="311"/>
      <c r="BV64" s="311"/>
      <c r="BW64" s="311"/>
      <c r="BX64" s="311"/>
      <c r="BY64" s="311"/>
      <c r="BZ64" s="311"/>
      <c r="CA64" s="311"/>
      <c r="CB64" s="311"/>
      <c r="CC64" s="311"/>
      <c r="CD64" s="311"/>
      <c r="CE64" s="311"/>
      <c r="CF64" s="311"/>
      <c r="CG64" s="311"/>
      <c r="CH64" s="311"/>
      <c r="CI64" s="311"/>
      <c r="CJ64" s="311"/>
      <c r="CK64" s="311"/>
      <c r="CL64" s="40"/>
      <c r="CM64" s="40"/>
      <c r="CN64" s="40"/>
      <c r="CO64" s="29"/>
      <c r="CP64" s="29"/>
    </row>
    <row r="65" spans="1:94" ht="21" x14ac:dyDescent="0.25">
      <c r="A65" s="270"/>
      <c r="B65" s="192"/>
      <c r="C65" s="49" t="s">
        <v>179</v>
      </c>
      <c r="E65" s="216"/>
      <c r="F65" s="305" t="s">
        <v>48</v>
      </c>
      <c r="G65" s="305" t="s">
        <v>48</v>
      </c>
      <c r="H65" s="305" t="s">
        <v>48</v>
      </c>
      <c r="I65" s="216"/>
      <c r="K65" s="319"/>
      <c r="L65" s="320" t="s">
        <v>119</v>
      </c>
      <c r="M65" s="122"/>
      <c r="N65" s="321" t="s">
        <v>71</v>
      </c>
      <c r="O65" s="319"/>
      <c r="Q65" s="1280"/>
      <c r="R65" s="1281"/>
      <c r="S65" s="1282"/>
      <c r="T65" s="311"/>
      <c r="U65" s="317"/>
      <c r="V65" s="29"/>
      <c r="W65" s="29"/>
      <c r="X65" s="29"/>
      <c r="Y65" s="313"/>
      <c r="Z65" s="313"/>
      <c r="AA65" s="313"/>
      <c r="AB65" s="313"/>
      <c r="AC65" s="313"/>
      <c r="AD65" s="313"/>
      <c r="AE65" s="313"/>
      <c r="AF65" s="313"/>
      <c r="AG65" s="313"/>
      <c r="AH65" s="311"/>
      <c r="AI65" s="311"/>
      <c r="AJ65" s="311"/>
      <c r="AK65" s="313"/>
      <c r="AL65" s="313"/>
      <c r="AM65" s="313"/>
      <c r="AN65" s="313"/>
      <c r="AO65" s="313"/>
      <c r="AP65" s="313"/>
      <c r="AQ65" s="313"/>
      <c r="AR65" s="313"/>
      <c r="AS65" s="313"/>
      <c r="AT65" s="311"/>
      <c r="AU65" s="311"/>
      <c r="AV65" s="311"/>
      <c r="AW65" s="311"/>
      <c r="AX65" s="311"/>
      <c r="AY65" s="311"/>
      <c r="AZ65" s="311"/>
      <c r="BA65" s="311"/>
      <c r="BB65" s="311"/>
      <c r="BC65" s="311"/>
      <c r="BD65" s="311"/>
      <c r="BE65" s="311"/>
      <c r="BF65" s="311"/>
      <c r="BG65" s="311"/>
      <c r="BH65" s="311"/>
      <c r="BI65" s="311"/>
      <c r="BJ65" s="311"/>
      <c r="BK65" s="311"/>
      <c r="BL65" s="311"/>
      <c r="BM65" s="311"/>
      <c r="BN65" s="311"/>
      <c r="BO65" s="311"/>
      <c r="BP65" s="311"/>
      <c r="BQ65" s="311"/>
      <c r="BR65" s="311"/>
      <c r="BS65" s="311"/>
      <c r="BT65" s="311"/>
      <c r="BU65" s="311"/>
      <c r="BV65" s="311"/>
      <c r="BW65" s="311"/>
      <c r="BX65" s="311"/>
      <c r="BY65" s="311"/>
      <c r="BZ65" s="311"/>
      <c r="CA65" s="311"/>
      <c r="CB65" s="311"/>
      <c r="CC65" s="311"/>
      <c r="CD65" s="311"/>
      <c r="CE65" s="311"/>
      <c r="CF65" s="311"/>
      <c r="CG65" s="311"/>
      <c r="CH65" s="311"/>
      <c r="CI65" s="311"/>
      <c r="CJ65" s="311"/>
      <c r="CK65" s="311"/>
      <c r="CL65" s="40"/>
      <c r="CM65" s="40"/>
      <c r="CN65" s="40"/>
      <c r="CO65" s="29"/>
      <c r="CP65" s="29"/>
    </row>
    <row r="66" spans="1:94" ht="21" x14ac:dyDescent="0.25">
      <c r="A66" s="270"/>
      <c r="B66" s="305" t="s">
        <v>48</v>
      </c>
      <c r="C66" s="192" t="s">
        <v>226</v>
      </c>
      <c r="D66" s="271">
        <v>1</v>
      </c>
      <c r="E66" s="216"/>
      <c r="F66" s="305" t="s">
        <v>48</v>
      </c>
      <c r="G66" s="305" t="s">
        <v>48</v>
      </c>
      <c r="H66" s="305" t="s">
        <v>48</v>
      </c>
      <c r="I66" s="216"/>
      <c r="K66" s="319"/>
      <c r="L66" s="322" t="s">
        <v>46</v>
      </c>
      <c r="M66" s="122"/>
      <c r="N66" s="322" t="s">
        <v>46</v>
      </c>
      <c r="O66" s="319"/>
      <c r="Q66" s="1280"/>
      <c r="R66" s="1281"/>
      <c r="S66" s="1282"/>
      <c r="T66" s="311"/>
      <c r="U66" s="255"/>
      <c r="V66" s="311"/>
      <c r="W66" s="311"/>
      <c r="X66" s="311"/>
      <c r="Y66" s="313"/>
      <c r="Z66" s="313"/>
      <c r="AA66" s="313"/>
      <c r="AB66" s="313"/>
      <c r="AC66" s="313"/>
      <c r="AD66" s="313"/>
      <c r="AE66" s="313"/>
      <c r="AF66" s="313"/>
      <c r="AG66" s="313"/>
      <c r="AH66" s="311"/>
      <c r="AI66" s="311"/>
      <c r="AJ66" s="311"/>
      <c r="AK66" s="313"/>
      <c r="AL66" s="313"/>
      <c r="AM66" s="313"/>
      <c r="AN66" s="313"/>
      <c r="AO66" s="313"/>
      <c r="AP66" s="313"/>
      <c r="AQ66" s="313"/>
      <c r="AR66" s="313"/>
      <c r="AS66" s="313"/>
      <c r="AT66" s="311"/>
      <c r="AU66" s="311"/>
      <c r="AV66" s="311"/>
      <c r="AW66" s="311"/>
      <c r="AX66" s="311"/>
      <c r="AY66" s="311"/>
      <c r="AZ66" s="311"/>
      <c r="BA66" s="311"/>
      <c r="BB66" s="311"/>
      <c r="BC66" s="311"/>
      <c r="BD66" s="311"/>
      <c r="BE66" s="311"/>
      <c r="BF66" s="311"/>
      <c r="BG66" s="311"/>
      <c r="BH66" s="311"/>
      <c r="BI66" s="311"/>
      <c r="BJ66" s="311"/>
      <c r="BK66" s="311"/>
      <c r="BL66" s="311"/>
      <c r="BM66" s="311"/>
      <c r="BN66" s="311"/>
      <c r="BO66" s="311"/>
      <c r="BP66" s="311"/>
      <c r="BQ66" s="311"/>
      <c r="BR66" s="311"/>
      <c r="BS66" s="311"/>
      <c r="BT66" s="311"/>
      <c r="BU66" s="311"/>
      <c r="BV66" s="311"/>
      <c r="BW66" s="311"/>
      <c r="BX66" s="311"/>
      <c r="BY66" s="311"/>
      <c r="BZ66" s="311"/>
      <c r="CA66" s="311"/>
      <c r="CB66" s="311"/>
      <c r="CC66" s="311"/>
      <c r="CD66" s="311"/>
      <c r="CE66" s="311"/>
      <c r="CF66" s="311"/>
      <c r="CG66" s="311"/>
      <c r="CH66" s="311"/>
      <c r="CI66" s="311"/>
      <c r="CJ66" s="311"/>
      <c r="CK66" s="311"/>
      <c r="CL66" s="40"/>
      <c r="CM66" s="40"/>
      <c r="CN66" s="40"/>
      <c r="CO66" s="29"/>
      <c r="CP66" s="29"/>
    </row>
    <row r="67" spans="1:94" ht="21" x14ac:dyDescent="0.25">
      <c r="A67" s="270"/>
      <c r="B67" s="323"/>
      <c r="D67" s="271"/>
      <c r="F67" s="216" t="s">
        <v>186</v>
      </c>
      <c r="G67" s="216" t="s">
        <v>186</v>
      </c>
      <c r="H67" s="216" t="s">
        <v>186</v>
      </c>
      <c r="K67" s="285"/>
      <c r="L67" s="318"/>
      <c r="M67" s="285"/>
      <c r="N67" s="318"/>
      <c r="O67" s="285"/>
      <c r="Q67" s="1280"/>
      <c r="R67" s="1281"/>
      <c r="S67" s="1282"/>
      <c r="T67" s="311"/>
      <c r="U67" s="255"/>
      <c r="V67" s="29"/>
      <c r="W67" s="29"/>
      <c r="X67" s="29"/>
      <c r="Y67" s="313"/>
      <c r="Z67" s="313"/>
      <c r="AA67" s="313"/>
      <c r="AB67" s="313"/>
      <c r="AC67" s="313"/>
      <c r="AD67" s="313"/>
      <c r="AE67" s="313"/>
      <c r="AF67" s="313"/>
      <c r="AG67" s="313"/>
      <c r="AH67" s="311"/>
      <c r="AI67" s="311"/>
      <c r="AJ67" s="311"/>
      <c r="AK67" s="313"/>
      <c r="AL67" s="313"/>
      <c r="AM67" s="313"/>
      <c r="AN67" s="313"/>
      <c r="AO67" s="313"/>
      <c r="AP67" s="313"/>
      <c r="AQ67" s="313"/>
      <c r="AR67" s="313"/>
      <c r="AS67" s="313"/>
      <c r="AT67" s="311"/>
      <c r="AU67" s="311"/>
      <c r="AV67" s="311"/>
      <c r="AW67" s="311"/>
      <c r="AX67" s="311"/>
      <c r="AY67" s="311"/>
      <c r="AZ67" s="311"/>
      <c r="BA67" s="311"/>
      <c r="BB67" s="311"/>
      <c r="BC67" s="311"/>
      <c r="BD67" s="311"/>
      <c r="BE67" s="311"/>
      <c r="BF67" s="311"/>
      <c r="BG67" s="311"/>
      <c r="BH67" s="311"/>
      <c r="BI67" s="311"/>
      <c r="BJ67" s="311"/>
      <c r="BK67" s="311"/>
      <c r="BL67" s="311"/>
      <c r="BM67" s="311"/>
      <c r="BN67" s="311"/>
      <c r="BO67" s="311"/>
      <c r="BP67" s="311"/>
      <c r="BQ67" s="311"/>
      <c r="BR67" s="311"/>
      <c r="BS67" s="311"/>
      <c r="BT67" s="311"/>
      <c r="BU67" s="311"/>
      <c r="BV67" s="311"/>
      <c r="BW67" s="311"/>
      <c r="BX67" s="311"/>
      <c r="BY67" s="311"/>
      <c r="BZ67" s="311"/>
      <c r="CA67" s="311"/>
      <c r="CB67" s="311"/>
      <c r="CC67" s="311"/>
      <c r="CD67" s="311"/>
      <c r="CE67" s="311"/>
      <c r="CF67" s="311"/>
      <c r="CG67" s="311"/>
      <c r="CH67" s="311"/>
      <c r="CI67" s="311"/>
      <c r="CJ67" s="311"/>
      <c r="CK67" s="311"/>
      <c r="CL67" s="40"/>
      <c r="CM67" s="40"/>
      <c r="CN67" s="40"/>
      <c r="CO67" s="29"/>
      <c r="CP67" s="29"/>
    </row>
    <row r="68" spans="1:94" ht="15.75" x14ac:dyDescent="0.25">
      <c r="A68" s="270"/>
      <c r="B68" s="305" t="s">
        <v>48</v>
      </c>
      <c r="C68" s="192" t="s">
        <v>226</v>
      </c>
      <c r="D68" s="271">
        <v>2</v>
      </c>
      <c r="F68" s="317">
        <v>6</v>
      </c>
      <c r="G68" s="317">
        <v>5</v>
      </c>
      <c r="H68" s="317">
        <v>4</v>
      </c>
      <c r="I68" s="317"/>
      <c r="J68" s="317"/>
      <c r="K68" s="255"/>
      <c r="L68" s="98">
        <v>4</v>
      </c>
      <c r="M68" s="250"/>
      <c r="N68" s="98">
        <v>3</v>
      </c>
      <c r="O68" s="250"/>
      <c r="P68" s="317"/>
      <c r="Q68" s="1280"/>
      <c r="R68" s="1281"/>
      <c r="S68" s="1282"/>
      <c r="T68" s="311"/>
      <c r="U68" s="255"/>
      <c r="V68" s="313"/>
      <c r="W68" s="313"/>
      <c r="X68" s="311"/>
      <c r="Y68" s="313"/>
      <c r="Z68" s="313"/>
      <c r="AA68" s="313"/>
      <c r="AB68" s="313"/>
      <c r="AC68" s="313"/>
      <c r="AD68" s="313"/>
      <c r="AE68" s="313"/>
      <c r="AF68" s="313"/>
      <c r="AG68" s="313"/>
      <c r="AH68" s="311"/>
      <c r="AI68" s="311"/>
      <c r="AJ68" s="311"/>
      <c r="AK68" s="313"/>
      <c r="AL68" s="313"/>
      <c r="AM68" s="313"/>
      <c r="AN68" s="313"/>
      <c r="AO68" s="313"/>
      <c r="AP68" s="313"/>
      <c r="AQ68" s="313"/>
      <c r="AR68" s="313"/>
      <c r="AS68" s="313"/>
      <c r="AT68" s="311"/>
      <c r="AU68" s="311"/>
      <c r="AV68" s="311"/>
      <c r="AW68" s="311"/>
      <c r="AX68" s="311"/>
      <c r="AY68" s="311"/>
      <c r="AZ68" s="311"/>
      <c r="BA68" s="311"/>
      <c r="BB68" s="311"/>
      <c r="BC68" s="311"/>
      <c r="BD68" s="311"/>
      <c r="BE68" s="311"/>
      <c r="BF68" s="311"/>
      <c r="BG68" s="311"/>
      <c r="BH68" s="311"/>
      <c r="BI68" s="311"/>
      <c r="BJ68" s="311"/>
      <c r="BK68" s="311"/>
      <c r="BL68" s="311"/>
      <c r="BM68" s="311"/>
      <c r="BN68" s="311"/>
      <c r="BO68" s="311"/>
      <c r="BP68" s="311"/>
      <c r="BQ68" s="311"/>
      <c r="BR68" s="311"/>
      <c r="BS68" s="311"/>
      <c r="BT68" s="311"/>
      <c r="BU68" s="311"/>
      <c r="BV68" s="311"/>
      <c r="BW68" s="311"/>
      <c r="BX68" s="311"/>
      <c r="BY68" s="311"/>
      <c r="BZ68" s="311"/>
      <c r="CA68" s="311"/>
      <c r="CB68" s="311"/>
      <c r="CC68" s="311"/>
      <c r="CD68" s="311"/>
      <c r="CE68" s="311"/>
      <c r="CF68" s="311"/>
      <c r="CG68" s="311"/>
      <c r="CH68" s="311"/>
      <c r="CI68" s="311"/>
      <c r="CJ68" s="311"/>
      <c r="CK68" s="311"/>
      <c r="CL68" s="40"/>
      <c r="CM68" s="40"/>
      <c r="CN68" s="40"/>
      <c r="CO68" s="29"/>
      <c r="CP68" s="29"/>
    </row>
    <row r="69" spans="1:94" ht="21" x14ac:dyDescent="0.25">
      <c r="A69" s="270"/>
      <c r="B69" s="323"/>
      <c r="C69" s="312"/>
      <c r="D69" s="271"/>
      <c r="E69" s="312"/>
      <c r="K69" s="255"/>
      <c r="L69" s="1005" t="s">
        <v>234</v>
      </c>
      <c r="M69" s="1005"/>
      <c r="N69" s="1005"/>
      <c r="O69" s="250"/>
      <c r="P69" s="312"/>
      <c r="Q69" s="1280"/>
      <c r="R69" s="1281"/>
      <c r="S69" s="1282"/>
      <c r="T69" s="311"/>
      <c r="U69" s="311"/>
      <c r="V69" s="29"/>
      <c r="W69" s="29"/>
      <c r="X69" s="29"/>
      <c r="Y69" s="313"/>
      <c r="Z69" s="313"/>
      <c r="AA69" s="313"/>
      <c r="AB69" s="313"/>
      <c r="AC69" s="313"/>
      <c r="AD69" s="313"/>
      <c r="AE69" s="313"/>
      <c r="AF69" s="313"/>
      <c r="AG69" s="313"/>
      <c r="AH69" s="311"/>
      <c r="AI69" s="311"/>
      <c r="AJ69" s="311"/>
      <c r="AK69" s="313"/>
      <c r="AL69" s="313"/>
      <c r="AM69" s="313"/>
      <c r="AN69" s="313"/>
      <c r="AO69" s="313"/>
      <c r="AP69" s="313"/>
      <c r="AQ69" s="313"/>
      <c r="AR69" s="313"/>
      <c r="AS69" s="313"/>
      <c r="AT69" s="311"/>
      <c r="AU69" s="311"/>
      <c r="AV69" s="311"/>
      <c r="AW69" s="311"/>
      <c r="AX69" s="311"/>
      <c r="AY69" s="311"/>
      <c r="AZ69" s="311"/>
      <c r="BA69" s="311"/>
      <c r="BB69" s="311"/>
      <c r="BC69" s="311"/>
      <c r="BD69" s="311"/>
      <c r="BE69" s="311"/>
      <c r="BF69" s="311"/>
      <c r="BG69" s="311"/>
      <c r="BH69" s="311"/>
      <c r="BI69" s="311"/>
      <c r="BJ69" s="311"/>
      <c r="BK69" s="311"/>
      <c r="BL69" s="311"/>
      <c r="BM69" s="311"/>
      <c r="BN69" s="311"/>
      <c r="BO69" s="311"/>
      <c r="BP69" s="311"/>
      <c r="BQ69" s="311"/>
      <c r="BR69" s="311"/>
      <c r="BS69" s="311"/>
      <c r="BT69" s="311"/>
      <c r="BU69" s="311"/>
      <c r="BV69" s="311"/>
      <c r="BW69" s="311"/>
      <c r="BX69" s="311"/>
      <c r="BY69" s="311"/>
      <c r="BZ69" s="311"/>
      <c r="CA69" s="311"/>
      <c r="CB69" s="311"/>
      <c r="CC69" s="311"/>
      <c r="CD69" s="311"/>
      <c r="CE69" s="311"/>
      <c r="CF69" s="311"/>
      <c r="CG69" s="311"/>
      <c r="CH69" s="311"/>
      <c r="CI69" s="311"/>
      <c r="CJ69" s="311"/>
      <c r="CK69" s="311"/>
      <c r="CL69" s="40"/>
      <c r="CM69" s="40"/>
      <c r="CN69" s="40"/>
      <c r="CO69" s="29"/>
      <c r="CP69" s="29"/>
    </row>
    <row r="70" spans="1:94" ht="15.75" x14ac:dyDescent="0.25">
      <c r="A70" s="270"/>
      <c r="B70" s="305" t="s">
        <v>48</v>
      </c>
      <c r="C70" s="192" t="s">
        <v>226</v>
      </c>
      <c r="D70" s="271">
        <v>3</v>
      </c>
      <c r="E70" s="312"/>
      <c r="K70" s="312"/>
      <c r="L70" s="312"/>
      <c r="M70" s="100"/>
      <c r="N70" s="100"/>
      <c r="O70" s="312"/>
      <c r="P70" s="312"/>
      <c r="Q70" s="1280"/>
      <c r="R70" s="1281"/>
      <c r="S70" s="1282"/>
      <c r="T70" s="311"/>
      <c r="U70" s="311"/>
      <c r="V70" s="311"/>
      <c r="W70" s="311"/>
      <c r="X70" s="311"/>
      <c r="Y70" s="313"/>
      <c r="Z70" s="313"/>
      <c r="AA70" s="313"/>
      <c r="AB70" s="313"/>
      <c r="AC70" s="313"/>
      <c r="AD70" s="313"/>
      <c r="AE70" s="313"/>
      <c r="AF70" s="313"/>
      <c r="AG70" s="313"/>
      <c r="AH70" s="311"/>
      <c r="AI70" s="311"/>
      <c r="AJ70" s="311"/>
      <c r="AK70" s="313"/>
      <c r="AL70" s="313"/>
      <c r="AM70" s="313"/>
      <c r="AN70" s="313"/>
      <c r="AO70" s="313"/>
      <c r="AP70" s="313"/>
      <c r="AQ70" s="313"/>
      <c r="AR70" s="313"/>
      <c r="AS70" s="313"/>
      <c r="AT70" s="311"/>
      <c r="AU70" s="311"/>
      <c r="AV70" s="311"/>
      <c r="AW70" s="311"/>
      <c r="AX70" s="311"/>
      <c r="AY70" s="311"/>
      <c r="AZ70" s="311"/>
      <c r="BA70" s="311"/>
      <c r="BB70" s="311"/>
      <c r="BC70" s="311"/>
      <c r="BD70" s="311"/>
      <c r="BE70" s="311"/>
      <c r="BF70" s="311"/>
      <c r="BG70" s="311"/>
      <c r="BH70" s="311"/>
      <c r="BI70" s="311"/>
      <c r="BJ70" s="311"/>
      <c r="BK70" s="311"/>
      <c r="BL70" s="311"/>
      <c r="BM70" s="311"/>
      <c r="BN70" s="311"/>
      <c r="BO70" s="311"/>
      <c r="BP70" s="311"/>
      <c r="BQ70" s="311"/>
      <c r="BR70" s="311"/>
      <c r="BS70" s="311"/>
      <c r="BT70" s="311"/>
      <c r="BU70" s="311"/>
      <c r="BV70" s="311"/>
      <c r="BW70" s="311"/>
      <c r="BX70" s="311"/>
      <c r="BY70" s="311"/>
      <c r="BZ70" s="311"/>
      <c r="CA70" s="311"/>
      <c r="CB70" s="311"/>
      <c r="CC70" s="311"/>
      <c r="CD70" s="311"/>
      <c r="CE70" s="311"/>
      <c r="CF70" s="311"/>
      <c r="CG70" s="311"/>
      <c r="CH70" s="311"/>
      <c r="CI70" s="311"/>
      <c r="CJ70" s="311"/>
      <c r="CK70" s="311"/>
      <c r="CL70" s="40"/>
      <c r="CM70" s="40"/>
      <c r="CN70" s="40"/>
      <c r="CO70" s="29"/>
      <c r="CP70" s="29"/>
    </row>
    <row r="71" spans="1:94" x14ac:dyDescent="0.25">
      <c r="A71" s="270"/>
      <c r="B71" s="323"/>
      <c r="C71" s="312"/>
      <c r="D71" s="324"/>
      <c r="E71" s="95"/>
      <c r="F71" s="255"/>
      <c r="G71" s="255"/>
      <c r="H71" s="255"/>
      <c r="I71" s="312"/>
      <c r="J71" s="312"/>
      <c r="K71" s="312"/>
      <c r="L71" s="312"/>
      <c r="M71" s="100"/>
      <c r="N71" s="100"/>
      <c r="O71" s="312"/>
      <c r="P71" s="312"/>
      <c r="Q71" s="1280"/>
      <c r="R71" s="1281"/>
      <c r="S71" s="1282"/>
      <c r="T71" s="311"/>
      <c r="U71" s="311"/>
      <c r="V71" s="29"/>
      <c r="W71" s="29"/>
      <c r="X71" s="29"/>
      <c r="Y71" s="313"/>
      <c r="Z71" s="313"/>
      <c r="AA71" s="313"/>
      <c r="AB71" s="313"/>
      <c r="AC71" s="313"/>
      <c r="AD71" s="313"/>
      <c r="AE71" s="313"/>
      <c r="AF71" s="313"/>
      <c r="AG71" s="313"/>
      <c r="AH71" s="311"/>
      <c r="AI71" s="311"/>
      <c r="AJ71" s="311"/>
      <c r="AK71" s="313"/>
      <c r="AL71" s="313"/>
      <c r="AM71" s="313"/>
      <c r="AN71" s="313"/>
      <c r="AO71" s="313"/>
      <c r="AP71" s="313"/>
      <c r="AQ71" s="313"/>
      <c r="AR71" s="313"/>
      <c r="AS71" s="313"/>
      <c r="AT71" s="311"/>
      <c r="AU71" s="311"/>
      <c r="AV71" s="311"/>
      <c r="AW71" s="311"/>
      <c r="AX71" s="311"/>
      <c r="AY71" s="311"/>
      <c r="AZ71" s="311"/>
      <c r="BA71" s="311"/>
      <c r="BB71" s="311"/>
      <c r="BC71" s="311"/>
      <c r="BD71" s="311"/>
      <c r="BE71" s="311"/>
      <c r="BF71" s="311"/>
      <c r="BG71" s="311"/>
      <c r="BH71" s="311"/>
      <c r="BI71" s="311"/>
      <c r="BJ71" s="311"/>
      <c r="BK71" s="311"/>
      <c r="BL71" s="311"/>
      <c r="BM71" s="311"/>
      <c r="BN71" s="311"/>
      <c r="BO71" s="311"/>
      <c r="BP71" s="311"/>
      <c r="BQ71" s="311"/>
      <c r="BR71" s="311"/>
      <c r="BS71" s="311"/>
      <c r="BT71" s="311"/>
      <c r="BU71" s="311"/>
      <c r="BV71" s="311"/>
      <c r="BW71" s="311"/>
      <c r="BX71" s="311"/>
      <c r="BY71" s="311"/>
      <c r="BZ71" s="311"/>
      <c r="CA71" s="311"/>
      <c r="CB71" s="311"/>
      <c r="CC71" s="311"/>
      <c r="CD71" s="311"/>
      <c r="CE71" s="311"/>
      <c r="CF71" s="311"/>
      <c r="CG71" s="311"/>
      <c r="CH71" s="311"/>
      <c r="CI71" s="311"/>
      <c r="CJ71" s="311"/>
      <c r="CK71" s="311"/>
      <c r="CL71" s="40"/>
      <c r="CM71" s="40"/>
      <c r="CN71" s="40"/>
      <c r="CO71" s="29"/>
      <c r="CP71" s="29"/>
    </row>
    <row r="72" spans="1:94" ht="26.25" x14ac:dyDescent="0.4">
      <c r="A72" s="270"/>
      <c r="B72" s="305" t="s">
        <v>48</v>
      </c>
      <c r="C72" s="192" t="s">
        <v>226</v>
      </c>
      <c r="D72" s="271">
        <v>4</v>
      </c>
      <c r="E72" s="255"/>
      <c r="F72" s="325"/>
      <c r="G72" s="325"/>
      <c r="H72" s="325"/>
      <c r="I72" s="325"/>
      <c r="J72" s="325"/>
      <c r="K72" s="325"/>
      <c r="L72" s="325"/>
      <c r="M72" s="312"/>
      <c r="N72" s="326"/>
      <c r="O72" s="312"/>
      <c r="P72" s="312"/>
      <c r="Q72" s="1280"/>
      <c r="R72" s="1281"/>
      <c r="S72" s="1282"/>
      <c r="T72" s="311"/>
      <c r="U72" s="311"/>
      <c r="V72" s="311"/>
      <c r="W72" s="311"/>
      <c r="X72" s="311"/>
      <c r="Y72" s="313"/>
      <c r="Z72" s="313"/>
      <c r="AA72" s="313"/>
      <c r="AB72" s="313"/>
      <c r="AC72" s="313"/>
      <c r="AD72" s="313"/>
      <c r="AE72" s="313"/>
      <c r="AF72" s="313"/>
      <c r="AG72" s="313"/>
      <c r="AH72" s="311"/>
      <c r="AI72" s="311"/>
      <c r="AJ72" s="311"/>
      <c r="AK72" s="313"/>
      <c r="AL72" s="313"/>
      <c r="AM72" s="313"/>
      <c r="AN72" s="313"/>
      <c r="AO72" s="313"/>
      <c r="AP72" s="313"/>
      <c r="AQ72" s="313"/>
      <c r="AR72" s="313"/>
      <c r="AS72" s="313"/>
      <c r="AT72" s="311"/>
      <c r="AU72" s="311"/>
      <c r="AV72" s="311"/>
      <c r="AW72" s="311"/>
      <c r="AX72" s="311"/>
      <c r="AY72" s="311"/>
      <c r="AZ72" s="311"/>
      <c r="BA72" s="311"/>
      <c r="BB72" s="311"/>
      <c r="BC72" s="311"/>
      <c r="BD72" s="311"/>
      <c r="BE72" s="311"/>
      <c r="BF72" s="311"/>
      <c r="BG72" s="311"/>
      <c r="BH72" s="311"/>
      <c r="BI72" s="311"/>
      <c r="BJ72" s="311"/>
      <c r="BK72" s="311"/>
      <c r="BL72" s="311"/>
      <c r="BM72" s="311"/>
      <c r="BN72" s="311"/>
      <c r="BO72" s="311"/>
      <c r="BP72" s="311"/>
      <c r="BQ72" s="311"/>
      <c r="BR72" s="311"/>
      <c r="BS72" s="311"/>
      <c r="BT72" s="311"/>
      <c r="BU72" s="311"/>
      <c r="BV72" s="311"/>
      <c r="BW72" s="311"/>
      <c r="BX72" s="311"/>
      <c r="BY72" s="311"/>
      <c r="BZ72" s="311"/>
      <c r="CA72" s="311"/>
      <c r="CB72" s="311"/>
      <c r="CC72" s="311"/>
      <c r="CD72" s="311"/>
      <c r="CE72" s="311"/>
      <c r="CF72" s="311"/>
      <c r="CG72" s="311"/>
      <c r="CH72" s="311"/>
      <c r="CI72" s="311"/>
      <c r="CJ72" s="311"/>
      <c r="CK72" s="311"/>
      <c r="CL72" s="40"/>
      <c r="CM72" s="40"/>
      <c r="CN72" s="40"/>
      <c r="CO72" s="29"/>
      <c r="CP72" s="29"/>
    </row>
    <row r="73" spans="1:94" ht="27" thickBot="1" x14ac:dyDescent="0.45">
      <c r="A73" s="270"/>
      <c r="B73" s="327"/>
      <c r="C73" s="328"/>
      <c r="D73" s="328"/>
      <c r="E73" s="328"/>
      <c r="F73" s="329"/>
      <c r="G73" s="73" t="s">
        <v>161</v>
      </c>
      <c r="H73" s="330"/>
      <c r="I73" s="73" t="s">
        <v>161</v>
      </c>
      <c r="J73" s="331"/>
      <c r="K73" s="73" t="s">
        <v>161</v>
      </c>
      <c r="L73" s="331"/>
      <c r="M73" s="73" t="s">
        <v>161</v>
      </c>
      <c r="N73" s="332"/>
      <c r="O73" s="73" t="s">
        <v>161</v>
      </c>
      <c r="P73" s="328"/>
      <c r="Q73" s="1283"/>
      <c r="R73" s="1284"/>
      <c r="S73" s="1285"/>
      <c r="T73" s="311"/>
      <c r="U73" s="311"/>
      <c r="V73" s="311"/>
      <c r="W73" s="311"/>
      <c r="X73" s="311"/>
      <c r="Y73" s="313"/>
      <c r="Z73" s="313"/>
      <c r="AA73" s="313"/>
      <c r="AB73" s="313"/>
      <c r="AC73" s="313"/>
      <c r="AD73" s="313"/>
      <c r="AE73" s="313"/>
      <c r="AF73" s="313"/>
      <c r="AG73" s="313"/>
      <c r="AH73" s="311"/>
      <c r="AI73" s="311"/>
      <c r="AJ73" s="311"/>
      <c r="AK73" s="313"/>
      <c r="AL73" s="313"/>
      <c r="AM73" s="313"/>
      <c r="AN73" s="313"/>
      <c r="AO73" s="313"/>
      <c r="AP73" s="313"/>
      <c r="AQ73" s="313"/>
      <c r="AR73" s="313"/>
      <c r="AS73" s="313"/>
      <c r="AT73" s="311"/>
      <c r="AU73" s="311"/>
      <c r="AV73" s="311"/>
      <c r="AW73" s="311"/>
      <c r="AX73" s="311"/>
      <c r="AY73" s="311"/>
      <c r="AZ73" s="311"/>
      <c r="BA73" s="311"/>
      <c r="BB73" s="311"/>
      <c r="BC73" s="311"/>
      <c r="BD73" s="311"/>
      <c r="BE73" s="311"/>
      <c r="BF73" s="311"/>
      <c r="BG73" s="311"/>
      <c r="BH73" s="311"/>
      <c r="BI73" s="311"/>
      <c r="BJ73" s="311"/>
      <c r="BK73" s="311"/>
      <c r="BL73" s="311"/>
      <c r="BM73" s="311"/>
      <c r="BN73" s="311"/>
      <c r="BO73" s="311"/>
      <c r="BP73" s="311"/>
      <c r="BQ73" s="311"/>
      <c r="BR73" s="311"/>
      <c r="BS73" s="311"/>
      <c r="BT73" s="311"/>
      <c r="BU73" s="311"/>
      <c r="BV73" s="311"/>
      <c r="BW73" s="311"/>
      <c r="BX73" s="311"/>
      <c r="BY73" s="311"/>
      <c r="BZ73" s="311"/>
      <c r="CA73" s="311"/>
      <c r="CB73" s="311"/>
      <c r="CC73" s="311"/>
      <c r="CD73" s="311"/>
      <c r="CE73" s="311"/>
      <c r="CF73" s="311"/>
      <c r="CG73" s="311"/>
      <c r="CH73" s="311"/>
      <c r="CI73" s="311"/>
      <c r="CJ73" s="311"/>
      <c r="CK73" s="311"/>
      <c r="CL73" s="40"/>
      <c r="CM73" s="40"/>
      <c r="CN73" s="40"/>
    </row>
    <row r="74" spans="1:94" x14ac:dyDescent="0.25">
      <c r="A74" s="333"/>
      <c r="B74" s="334"/>
      <c r="C74" s="335"/>
      <c r="D74" s="108"/>
      <c r="E74" s="108"/>
      <c r="H74" s="311"/>
      <c r="I74" s="311"/>
      <c r="J74" s="311"/>
      <c r="K74" s="311"/>
      <c r="L74" s="311"/>
      <c r="M74" s="311"/>
      <c r="N74" s="336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3"/>
      <c r="Z74" s="313"/>
      <c r="AA74" s="313"/>
      <c r="AB74" s="313"/>
      <c r="AC74" s="313"/>
      <c r="AD74" s="313"/>
      <c r="AE74" s="313"/>
      <c r="AF74" s="313"/>
      <c r="AG74" s="313"/>
      <c r="AH74" s="311"/>
      <c r="AI74" s="311"/>
      <c r="AJ74" s="311"/>
      <c r="AK74" s="313"/>
      <c r="AL74" s="313"/>
      <c r="AM74" s="313"/>
      <c r="AN74" s="313"/>
      <c r="AO74" s="313"/>
      <c r="AP74" s="313"/>
      <c r="AQ74" s="313"/>
      <c r="AR74" s="313"/>
      <c r="AS74" s="313"/>
      <c r="AT74" s="311"/>
      <c r="AU74" s="311"/>
      <c r="AV74" s="311"/>
      <c r="AW74" s="311"/>
      <c r="AX74" s="311"/>
      <c r="AY74" s="311"/>
      <c r="AZ74" s="311"/>
      <c r="BA74" s="311"/>
      <c r="BB74" s="311"/>
      <c r="BC74" s="311"/>
      <c r="BD74" s="311"/>
      <c r="BE74" s="311"/>
      <c r="BF74" s="311"/>
      <c r="BG74" s="311"/>
      <c r="BH74" s="311"/>
      <c r="BI74" s="311"/>
      <c r="BJ74" s="311"/>
      <c r="BK74" s="311"/>
      <c r="BL74" s="311"/>
      <c r="BM74" s="311"/>
      <c r="BN74" s="311"/>
      <c r="BO74" s="311"/>
      <c r="BP74" s="311"/>
      <c r="BQ74" s="311"/>
      <c r="BR74" s="311"/>
      <c r="BS74" s="311"/>
      <c r="BT74" s="311"/>
      <c r="BU74" s="311"/>
      <c r="BV74" s="311"/>
      <c r="BW74" s="311"/>
      <c r="BX74" s="311"/>
      <c r="BY74" s="311"/>
      <c r="BZ74" s="311"/>
      <c r="CA74" s="311"/>
      <c r="CB74" s="311"/>
      <c r="CC74" s="311"/>
      <c r="CD74" s="311"/>
      <c r="CE74" s="311"/>
      <c r="CF74" s="311"/>
      <c r="CG74" s="311"/>
      <c r="CH74" s="311"/>
      <c r="CI74" s="311"/>
      <c r="CJ74" s="311"/>
      <c r="CK74" s="311"/>
      <c r="CL74" s="40"/>
      <c r="CM74" s="40"/>
      <c r="CN74" s="40"/>
    </row>
    <row r="75" spans="1:94" x14ac:dyDescent="0.25">
      <c r="A75" s="333"/>
      <c r="B75" s="337"/>
      <c r="C75" s="40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36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3"/>
      <c r="Z75" s="313"/>
      <c r="AA75" s="313"/>
      <c r="AB75" s="313"/>
      <c r="AC75" s="313"/>
      <c r="AD75" s="313"/>
      <c r="AE75" s="313"/>
      <c r="AF75" s="313"/>
      <c r="AG75" s="313"/>
      <c r="AH75" s="311"/>
      <c r="AI75" s="311"/>
      <c r="AJ75" s="311"/>
      <c r="AK75" s="313"/>
      <c r="AL75" s="313"/>
      <c r="AM75" s="313"/>
      <c r="AN75" s="313"/>
      <c r="AO75" s="313"/>
      <c r="AP75" s="313"/>
      <c r="AQ75" s="313"/>
      <c r="AR75" s="313"/>
      <c r="AS75" s="313"/>
      <c r="AT75" s="311"/>
      <c r="AU75" s="311"/>
      <c r="AV75" s="311"/>
      <c r="AW75" s="311"/>
      <c r="AX75" s="311"/>
      <c r="AY75" s="311"/>
      <c r="AZ75" s="311"/>
      <c r="BA75" s="311"/>
      <c r="BB75" s="311"/>
      <c r="BC75" s="311"/>
      <c r="BD75" s="311"/>
      <c r="BE75" s="311"/>
      <c r="BF75" s="311"/>
      <c r="BG75" s="311"/>
      <c r="BH75" s="311"/>
      <c r="BI75" s="311"/>
      <c r="BJ75" s="311"/>
      <c r="BK75" s="311"/>
      <c r="BL75" s="311"/>
      <c r="BM75" s="311"/>
      <c r="BN75" s="311"/>
      <c r="BO75" s="311"/>
      <c r="BP75" s="311"/>
      <c r="BQ75" s="311"/>
      <c r="BR75" s="311"/>
      <c r="BS75" s="311"/>
      <c r="BT75" s="311"/>
      <c r="BU75" s="311"/>
      <c r="BV75" s="311"/>
      <c r="BW75" s="311"/>
      <c r="BX75" s="311"/>
      <c r="BY75" s="311"/>
      <c r="BZ75" s="311"/>
      <c r="CA75" s="311"/>
      <c r="CB75" s="311"/>
      <c r="CC75" s="311"/>
      <c r="CD75" s="311"/>
      <c r="CE75" s="311"/>
      <c r="CF75" s="311"/>
      <c r="CG75" s="311"/>
      <c r="CH75" s="311"/>
      <c r="CI75" s="311"/>
      <c r="CJ75" s="311"/>
      <c r="CK75" s="311"/>
      <c r="CL75" s="40"/>
      <c r="CM75" s="40"/>
      <c r="CN75" s="40"/>
    </row>
    <row r="76" spans="1:94" x14ac:dyDescent="0.25">
      <c r="Y76" s="313"/>
      <c r="Z76" s="313"/>
      <c r="AA76" s="313"/>
      <c r="AB76" s="313"/>
      <c r="AC76" s="313"/>
      <c r="AD76" s="313"/>
      <c r="AE76" s="313"/>
      <c r="AF76" s="313"/>
      <c r="AG76" s="313"/>
      <c r="AK76" s="313"/>
      <c r="AL76" s="313"/>
      <c r="AM76" s="313"/>
      <c r="AN76" s="313"/>
      <c r="AO76" s="313"/>
      <c r="AP76" s="313"/>
      <c r="AQ76" s="313"/>
      <c r="AR76" s="313"/>
      <c r="AS76" s="313"/>
    </row>
    <row r="77" spans="1:94" x14ac:dyDescent="0.25">
      <c r="Y77" s="313"/>
      <c r="Z77" s="313"/>
      <c r="AA77" s="313"/>
      <c r="AB77" s="313"/>
      <c r="AC77" s="313"/>
      <c r="AD77" s="313"/>
      <c r="AE77" s="313"/>
      <c r="AF77" s="313"/>
      <c r="AG77" s="313"/>
    </row>
    <row r="84" spans="13:13" x14ac:dyDescent="0.25">
      <c r="M84" s="338"/>
    </row>
    <row r="85" spans="13:13" x14ac:dyDescent="0.25">
      <c r="M85" s="338"/>
    </row>
    <row r="86" spans="13:13" x14ac:dyDescent="0.25">
      <c r="M86" s="338"/>
    </row>
    <row r="91" spans="13:13" x14ac:dyDescent="0.25">
      <c r="M91" s="338"/>
    </row>
    <row r="92" spans="13:13" x14ac:dyDescent="0.25">
      <c r="M92" s="338"/>
    </row>
    <row r="93" spans="13:13" x14ac:dyDescent="0.25">
      <c r="M93" s="338"/>
    </row>
    <row r="98" spans="13:13" x14ac:dyDescent="0.25">
      <c r="M98" s="338"/>
    </row>
    <row r="99" spans="13:13" x14ac:dyDescent="0.25">
      <c r="M99" s="338"/>
    </row>
    <row r="100" spans="13:13" x14ac:dyDescent="0.25">
      <c r="M100" s="338"/>
    </row>
    <row r="105" spans="13:13" x14ac:dyDescent="0.25">
      <c r="M105" s="338"/>
    </row>
    <row r="106" spans="13:13" x14ac:dyDescent="0.25">
      <c r="M106" s="338"/>
    </row>
    <row r="107" spans="13:13" x14ac:dyDescent="0.25">
      <c r="M107" s="338"/>
    </row>
    <row r="112" spans="13:13" x14ac:dyDescent="0.25">
      <c r="M112" s="338"/>
    </row>
    <row r="113" spans="13:13" x14ac:dyDescent="0.25">
      <c r="M113" s="338"/>
    </row>
    <row r="114" spans="13:13" x14ac:dyDescent="0.25">
      <c r="M114" s="338"/>
    </row>
    <row r="119" spans="13:13" x14ac:dyDescent="0.25">
      <c r="M119" s="338"/>
    </row>
    <row r="120" spans="13:13" x14ac:dyDescent="0.25">
      <c r="M120" s="338"/>
    </row>
    <row r="121" spans="13:13" x14ac:dyDescent="0.25">
      <c r="M121" s="338"/>
    </row>
    <row r="126" spans="13:13" x14ac:dyDescent="0.25">
      <c r="M126" s="338"/>
    </row>
    <row r="127" spans="13:13" x14ac:dyDescent="0.25">
      <c r="M127" s="338"/>
    </row>
    <row r="128" spans="13:13" x14ac:dyDescent="0.25">
      <c r="M128" s="338"/>
    </row>
    <row r="133" spans="1:33" x14ac:dyDescent="0.25">
      <c r="M133" s="338"/>
    </row>
    <row r="134" spans="1:33" x14ac:dyDescent="0.25">
      <c r="M134" s="338"/>
    </row>
    <row r="135" spans="1:33" ht="15.75" thickBot="1" x14ac:dyDescent="0.3">
      <c r="M135" s="338"/>
    </row>
    <row r="136" spans="1:33" ht="29.25" thickBot="1" x14ac:dyDescent="0.3">
      <c r="A136" s="1270" t="s">
        <v>245</v>
      </c>
      <c r="B136" s="1271"/>
      <c r="C136" s="1271"/>
      <c r="D136" s="1271"/>
      <c r="E136" s="1271"/>
      <c r="F136" s="1271"/>
      <c r="G136" s="1271"/>
      <c r="H136" s="1271"/>
      <c r="I136" s="1272"/>
      <c r="J136" s="1273">
        <f>IFERROR(SUM(AE153:AE269)+G138,"")</f>
        <v>397</v>
      </c>
      <c r="K136" s="1274"/>
      <c r="L136" s="1274"/>
      <c r="M136" s="1275"/>
      <c r="Q136" s="1276" t="s">
        <v>246</v>
      </c>
      <c r="R136" s="1276"/>
      <c r="S136" s="1276"/>
      <c r="T136" s="1276"/>
      <c r="W136" s="1276" t="s">
        <v>247</v>
      </c>
      <c r="X136" s="1276"/>
      <c r="Y136" s="1276"/>
      <c r="Z136" s="1276"/>
      <c r="AB136" s="339"/>
      <c r="AC136" s="339"/>
      <c r="AD136" s="339"/>
      <c r="AE136" s="339"/>
      <c r="AF136" s="339"/>
      <c r="AG136" s="339"/>
    </row>
    <row r="137" spans="1:33" ht="24" thickBot="1" x14ac:dyDescent="0.35">
      <c r="A137" s="340" t="s">
        <v>248</v>
      </c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2"/>
      <c r="Q137" s="1259" t="s">
        <v>249</v>
      </c>
      <c r="R137" s="1259"/>
      <c r="S137" s="1259" t="s">
        <v>250</v>
      </c>
      <c r="T137" s="1259"/>
      <c r="W137" s="1259" t="s">
        <v>249</v>
      </c>
      <c r="X137" s="1259"/>
      <c r="Y137" s="1259" t="s">
        <v>250</v>
      </c>
      <c r="Z137" s="1259"/>
      <c r="AB137" s="343"/>
      <c r="AC137" s="343"/>
      <c r="AD137" s="343"/>
      <c r="AE137" s="343"/>
      <c r="AF137" s="343"/>
      <c r="AG137" s="343"/>
    </row>
    <row r="138" spans="1:33" ht="24" thickBot="1" x14ac:dyDescent="0.35">
      <c r="A138" s="1260" t="s">
        <v>251</v>
      </c>
      <c r="B138" s="1261"/>
      <c r="C138" s="1261"/>
      <c r="D138" s="1261"/>
      <c r="E138" s="1261"/>
      <c r="F138" s="1262"/>
      <c r="G138" s="1263">
        <f>I153+V153</f>
        <v>76</v>
      </c>
      <c r="H138" s="1264"/>
      <c r="I138" s="1265"/>
      <c r="Q138" s="1266">
        <v>45097</v>
      </c>
      <c r="R138" s="1266"/>
      <c r="S138" s="1267" t="s">
        <v>252</v>
      </c>
      <c r="T138" s="1267"/>
      <c r="W138" s="1266">
        <v>45231</v>
      </c>
      <c r="X138" s="1266"/>
      <c r="Y138" s="1267" t="s">
        <v>253</v>
      </c>
      <c r="Z138" s="1267"/>
      <c r="AB138" s="343"/>
      <c r="AC138" s="343"/>
      <c r="AD138" s="343"/>
      <c r="AE138" s="343"/>
      <c r="AF138" s="343"/>
      <c r="AG138" s="343"/>
    </row>
    <row r="139" spans="1:33" ht="24" thickBot="1" x14ac:dyDescent="0.4">
      <c r="A139" s="344"/>
      <c r="B139" s="344"/>
      <c r="C139" s="344"/>
      <c r="D139" s="344"/>
      <c r="E139" s="344"/>
      <c r="F139" s="344"/>
      <c r="G139" s="344"/>
      <c r="H139" s="344"/>
      <c r="I139" s="344"/>
      <c r="Q139" s="345" t="s">
        <v>254</v>
      </c>
      <c r="R139" s="346" t="s">
        <v>255</v>
      </c>
      <c r="S139" s="347" t="s">
        <v>256</v>
      </c>
      <c r="T139" s="347" t="s">
        <v>257</v>
      </c>
      <c r="U139" s="1252" t="s">
        <v>258</v>
      </c>
      <c r="V139" s="1253"/>
      <c r="W139" s="345" t="s">
        <v>254</v>
      </c>
      <c r="X139" s="346" t="s">
        <v>255</v>
      </c>
      <c r="Y139" s="347" t="s">
        <v>256</v>
      </c>
      <c r="Z139" s="347" t="s">
        <v>257</v>
      </c>
      <c r="AF139" s="348"/>
      <c r="AG139" s="348"/>
    </row>
    <row r="140" spans="1:33" ht="22.5" thickTop="1" thickBot="1" x14ac:dyDescent="0.3">
      <c r="A140" s="1254" t="s">
        <v>259</v>
      </c>
      <c r="B140" s="1255"/>
      <c r="C140" s="1255"/>
      <c r="D140" s="1255"/>
      <c r="E140" s="349">
        <f>I149+V149</f>
        <v>34</v>
      </c>
      <c r="F140" s="344"/>
      <c r="G140" s="344"/>
      <c r="H140" s="344"/>
      <c r="I140" s="344"/>
      <c r="Q140" s="350" t="s">
        <v>260</v>
      </c>
      <c r="R140" s="351" t="str">
        <f>IF(ISBLANK(Q139)," ",IFERROR(VLOOKUP("TOTAL",#REF!,13,0),""))</f>
        <v/>
      </c>
      <c r="S140" s="351" t="str">
        <f>IF(ISBLANK(Q139)," ",IFERROR(VLOOKUP("TOTAL F POWER",#REF!,13,0),""))</f>
        <v/>
      </c>
      <c r="T140" s="351" t="str">
        <f>IF(ISBLANK(Q139)," ",IFERROR(VLOOKUP("TOTAL SIN F POWER",#REF!,13,0),""))</f>
        <v/>
      </c>
      <c r="W140" s="350" t="s">
        <v>260</v>
      </c>
      <c r="X140" s="351" t="str">
        <f>IF(ISBLANK(W139)," ",IFERROR(VLOOKUP("TOTAL",#REF!,13,0),""))</f>
        <v/>
      </c>
      <c r="Y140" s="351" t="str">
        <f>IF(ISBLANK(W139)," ",IFERROR(VLOOKUP("TOTAL F POWER",#REF!,13,0),""))</f>
        <v/>
      </c>
      <c r="Z140" s="351" t="str">
        <f>IF(ISBLANK(W139)," ",IFERROR(VLOOKUP("TOTAL SIN F POWER",#REF!,13,0),""))</f>
        <v/>
      </c>
      <c r="AF140" s="352"/>
      <c r="AG140" s="352"/>
    </row>
    <row r="141" spans="1:33" ht="23.25" thickTop="1" thickBot="1" x14ac:dyDescent="0.3">
      <c r="A141" s="1254" t="s">
        <v>261</v>
      </c>
      <c r="B141" s="1255"/>
      <c r="C141" s="1255"/>
      <c r="D141" s="1255"/>
      <c r="E141" s="349">
        <f>I150+V150</f>
        <v>34</v>
      </c>
      <c r="F141" s="344"/>
      <c r="G141" s="344"/>
      <c r="H141" s="344"/>
      <c r="I141" s="353"/>
      <c r="Q141" s="354" t="s">
        <v>262</v>
      </c>
      <c r="R141" s="355" t="str">
        <f>IF(ISBLANK(Q139)," ",IFERROR(VLOOKUP("TOTAL",#REF!,4,0),""))</f>
        <v/>
      </c>
      <c r="S141" s="355" t="str">
        <f>IF(ISBLANK(Q139)," ",IFERROR(VLOOKUP("TOTAL F POWER",#REF!,4,0),""))</f>
        <v/>
      </c>
      <c r="T141" s="355" t="str">
        <f>IF(ISBLANK(Q139)," ",IFERROR(VLOOKUP("TOTAL SIN F POWER",#REF!,4,0),""))</f>
        <v/>
      </c>
      <c r="W141" s="354" t="s">
        <v>262</v>
      </c>
      <c r="X141" s="356" t="str">
        <f>IF(ISBLANK(W139)," ",IFERROR(VLOOKUP("TOTAL",#REF!,4,0),""))</f>
        <v/>
      </c>
      <c r="Y141" s="356" t="str">
        <f>IF(ISBLANK(W139)," ",IFERROR(VLOOKUP("TOTAL F POWER",#REF!,4,0),""))</f>
        <v/>
      </c>
      <c r="Z141" s="356" t="str">
        <f>IF(ISBLANK(W139)," ",IFERROR(VLOOKUP("TOTAL SIN F POWER",#REF!,4,0),""))</f>
        <v/>
      </c>
      <c r="AF141" s="352"/>
      <c r="AG141" s="352"/>
    </row>
    <row r="142" spans="1:33" ht="47.25" thickBot="1" x14ac:dyDescent="0.3">
      <c r="F142" s="357"/>
      <c r="G142" s="344"/>
      <c r="H142" s="344"/>
      <c r="I142" s="344"/>
      <c r="Q142" s="358" t="s">
        <v>263</v>
      </c>
      <c r="R142" s="359" t="str">
        <f>IF(ISBLANK(Q140)," ",IFERROR(VLOOKUP("TOTAL",#REF!,14,0),""))</f>
        <v/>
      </c>
      <c r="S142" s="359" t="str">
        <f>IF(ISBLANK(Q140)," ",IFERROR(VLOOKUP("TOTAL F POWER",#REF!,14,0),""))</f>
        <v/>
      </c>
      <c r="T142" s="359" t="str">
        <f>IF(ISBLANK(Q140)," ",IFERROR(VLOOKUP("TOTAL SIN F POWER",#REF!,14,0),""))</f>
        <v/>
      </c>
      <c r="W142" s="358" t="s">
        <v>263</v>
      </c>
      <c r="X142" s="359" t="str">
        <f>IF(ISBLANK(W139)," ",IFERROR(VLOOKUP("TOTAL",#REF!,14,0),""))</f>
        <v/>
      </c>
      <c r="Y142" s="359" t="str">
        <f>IF(ISBLANK(W139)," ",IFERROR(VLOOKUP("TOTAL F POWER",#REF!,14,0),""))</f>
        <v/>
      </c>
      <c r="Z142" s="359" t="str">
        <f>IF(ISBLANK(W139)," ",IFERROR(VLOOKUP("TOTAL SIN F POWER",#REF!,14,0),""))</f>
        <v/>
      </c>
      <c r="AF142" s="360"/>
      <c r="AG142" s="360"/>
    </row>
    <row r="143" spans="1:33" ht="21.75" thickBot="1" x14ac:dyDescent="0.3">
      <c r="A143" s="1256" t="s">
        <v>264</v>
      </c>
      <c r="B143" s="1257"/>
      <c r="C143" s="1257"/>
      <c r="D143" s="1258"/>
      <c r="E143" s="361">
        <f>K254+X254</f>
        <v>0</v>
      </c>
      <c r="F143" s="344"/>
      <c r="G143" s="344"/>
      <c r="H143" s="344"/>
      <c r="I143" s="344"/>
      <c r="Q143" s="362" t="s">
        <v>265</v>
      </c>
      <c r="R143" s="363" t="str">
        <f>IF(ISBLANK(Q139)," ",IFERROR(VLOOKUP("TOTAL",#REF!,11,0),""))</f>
        <v/>
      </c>
      <c r="S143" s="363" t="str">
        <f>IF(ISBLANK(Q139)," ",IFERROR(VLOOKUP("TOTAL F POWER",#REF!,11,0),""))</f>
        <v/>
      </c>
      <c r="T143" s="363" t="str">
        <f>IF(ISBLANK(Q139)," ",IFERROR(VLOOKUP("TOTAL SIN F POWER",#REF!,11,0),""))</f>
        <v/>
      </c>
      <c r="W143" s="362" t="s">
        <v>265</v>
      </c>
      <c r="X143" s="364" t="str">
        <f>IF(ISBLANK(W139)," ",IFERROR(VLOOKUP("TOTAL",#REF!,11,0),""))</f>
        <v/>
      </c>
      <c r="Y143" s="364" t="str">
        <f>IF(ISBLANK(W139)," ",IFERROR(VLOOKUP("TOTAL F POWER",#REF!,11,0),""))</f>
        <v/>
      </c>
      <c r="Z143" s="364" t="str">
        <f>IF(ISBLANK(W139)," ",IFERROR(VLOOKUP("TOTAL SIN F POWER",#REF!,11,0),""))</f>
        <v/>
      </c>
    </row>
    <row r="144" spans="1:33" ht="21.75" thickBot="1" x14ac:dyDescent="0.3">
      <c r="A144" s="1256" t="s">
        <v>266</v>
      </c>
      <c r="B144" s="1257"/>
      <c r="C144" s="1257"/>
      <c r="D144" s="1258"/>
      <c r="E144" s="365">
        <f>L254+Y254</f>
        <v>76</v>
      </c>
      <c r="F144" s="344"/>
      <c r="G144" s="344"/>
      <c r="H144" s="344"/>
      <c r="I144" s="344"/>
      <c r="Q144" s="366" t="s">
        <v>267</v>
      </c>
      <c r="R144" s="367" t="str">
        <f>IF(ISBLANK(Q139)," ",IFERROR(VLOOKUP("TOTAL",#REF!,15,0),""))</f>
        <v/>
      </c>
      <c r="S144" s="367" t="str">
        <f>IF(ISBLANK(Q139)," ",IFERROR(VLOOKUP("TOTAL F POWER",#REF!,15,0),""))</f>
        <v/>
      </c>
      <c r="T144" s="367" t="str">
        <f>IF(ISBLANK(Q139)," ",IFERROR(VLOOKUP("TOTAL SIN F POWER",#REF!,15,0),""))</f>
        <v/>
      </c>
      <c r="W144" s="366" t="s">
        <v>267</v>
      </c>
      <c r="X144" s="368" t="str">
        <f>IF(ISBLANK(W139)," ",IFERROR(VLOOKUP("TOTAL",#REF!,15,0),""))</f>
        <v/>
      </c>
      <c r="Y144" s="368" t="str">
        <f>IF(ISBLANK(W139)," ",IFERROR(VLOOKUP("TOTAL F POWER",#REF!,15,0),""))</f>
        <v/>
      </c>
      <c r="Z144" s="368" t="str">
        <f>IF(ISBLANK(W139)," ",IFERROR(VLOOKUP("TOTAL SIN F POWER",#REF!,15,0),""))</f>
        <v/>
      </c>
    </row>
    <row r="145" spans="1:58" ht="30.75" thickBot="1" x14ac:dyDescent="0.3">
      <c r="A145" s="1256" t="s">
        <v>268</v>
      </c>
      <c r="B145" s="1257"/>
      <c r="C145" s="1257"/>
      <c r="D145" s="1258"/>
      <c r="E145" s="369">
        <f>J254+W254</f>
        <v>0</v>
      </c>
      <c r="Q145" s="370" t="s">
        <v>269</v>
      </c>
      <c r="R145" s="371" t="str">
        <f>IF(ISBLANK(Q139)," ",IFERROR(VLOOKUP("TOTAL",#REF!,16,0),""))</f>
        <v/>
      </c>
      <c r="S145" s="371" t="str">
        <f>IF(ISBLANK(Q139)," ",IFERROR(VLOOKUP("TOTAL F POWER",#REF!,16,0),""))</f>
        <v/>
      </c>
      <c r="T145" s="371" t="str">
        <f>IF(ISBLANK(Q139)," ",IFERROR(VLOOKUP("TOTAL SIN F POWER",#REF!,16,0),""))</f>
        <v/>
      </c>
      <c r="W145" s="370" t="s">
        <v>269</v>
      </c>
      <c r="X145" s="372" t="str">
        <f>IF(ISBLANK(W139)," ",IFERROR(VLOOKUP("TOTAL",#REF!,16,0),""))</f>
        <v/>
      </c>
      <c r="Y145" s="372" t="str">
        <f>IF(ISBLANK(W139)," ",IFERROR(VLOOKUP("TOTAL F POWER",#REF!,16,0),""))</f>
        <v/>
      </c>
      <c r="Z145" s="372" t="str">
        <f>IF(ISBLANK(W139)," ",IFERROR(VLOOKUP("TOTAL SIN F POWER",#REF!,16,0),""))</f>
        <v/>
      </c>
    </row>
    <row r="148" spans="1:58" ht="47.25" thickBot="1" x14ac:dyDescent="0.75">
      <c r="A148" s="1242" t="s">
        <v>270</v>
      </c>
      <c r="B148" s="1243"/>
      <c r="C148" s="1243"/>
      <c r="D148" s="1243"/>
      <c r="E148" s="1243"/>
      <c r="F148" s="1243"/>
      <c r="G148" s="1243"/>
      <c r="H148" s="1243"/>
      <c r="I148" s="1243"/>
      <c r="J148" s="1243"/>
      <c r="K148" s="1243"/>
      <c r="L148" s="1243"/>
      <c r="M148" s="1243"/>
      <c r="N148" s="1243"/>
      <c r="O148" s="1243"/>
      <c r="P148" s="1243"/>
      <c r="Q148" s="1243"/>
      <c r="R148" s="1243"/>
      <c r="S148" s="1243"/>
      <c r="T148" s="1243"/>
      <c r="U148" s="1243"/>
      <c r="V148" s="1243"/>
      <c r="W148" s="1243"/>
      <c r="X148" s="1243"/>
      <c r="Y148" s="1243"/>
      <c r="Z148" s="1243"/>
      <c r="AA148" s="342"/>
    </row>
    <row r="149" spans="1:58" ht="27.75" thickTop="1" thickBot="1" x14ac:dyDescent="0.45">
      <c r="D149" s="1230" t="s">
        <v>271</v>
      </c>
      <c r="E149" s="1231"/>
      <c r="F149" s="1231"/>
      <c r="G149" s="1232"/>
      <c r="H149" s="1232"/>
      <c r="I149" s="1244">
        <f>COUNTIF($A$1:$BK$73,"25C")</f>
        <v>17</v>
      </c>
      <c r="J149" s="1245"/>
      <c r="M149" s="338"/>
      <c r="Q149" s="1230" t="s">
        <v>272</v>
      </c>
      <c r="R149" s="1231"/>
      <c r="S149" s="1231"/>
      <c r="T149" s="1232"/>
      <c r="U149" s="1232"/>
      <c r="V149" s="1244">
        <f>COUNTIF($BL$1:$CN$58,"25C")</f>
        <v>17</v>
      </c>
      <c r="W149" s="1245"/>
      <c r="AA149" s="373"/>
      <c r="AB149" s="374"/>
      <c r="AC149" s="1246" t="s">
        <v>273</v>
      </c>
      <c r="AD149" s="1247"/>
      <c r="AE149" s="1247"/>
      <c r="AF149" s="1248"/>
      <c r="AG149" s="374"/>
      <c r="AI149" s="375"/>
      <c r="AJ149" s="376"/>
      <c r="AK149" s="376"/>
      <c r="AL149" s="376"/>
      <c r="AM149" s="376"/>
      <c r="AN149" s="376"/>
      <c r="AO149" s="376"/>
      <c r="AP149" s="376"/>
      <c r="AQ149" s="376"/>
      <c r="AR149" s="376"/>
      <c r="AS149" s="376"/>
      <c r="AT149" s="376"/>
      <c r="AU149" s="376"/>
      <c r="AV149" s="376"/>
      <c r="AW149" s="376"/>
      <c r="AX149" s="376"/>
      <c r="AY149" s="376"/>
      <c r="AZ149" s="376"/>
      <c r="BA149" s="377"/>
    </row>
    <row r="150" spans="1:58" ht="22.5" thickTop="1" thickBot="1" x14ac:dyDescent="0.4">
      <c r="D150" s="1230" t="s">
        <v>274</v>
      </c>
      <c r="E150" s="1231"/>
      <c r="F150" s="1231"/>
      <c r="G150" s="1232"/>
      <c r="H150" s="1232"/>
      <c r="I150" s="1244">
        <f>COUNTIF($A$1:$BK$73,"50C")</f>
        <v>34</v>
      </c>
      <c r="J150" s="1245"/>
      <c r="M150" s="338"/>
      <c r="Q150" s="1230" t="s">
        <v>275</v>
      </c>
      <c r="R150" s="1231"/>
      <c r="S150" s="1231"/>
      <c r="T150" s="1232"/>
      <c r="U150" s="1232"/>
      <c r="V150" s="1244">
        <f>COUNTIF($BL$1:$CN$58,"50C")</f>
        <v>0</v>
      </c>
      <c r="W150" s="1245"/>
      <c r="AA150" s="373"/>
      <c r="AC150" s="1249"/>
      <c r="AD150" s="1250"/>
      <c r="AE150" s="1250"/>
      <c r="AF150" s="1251"/>
      <c r="AH150" s="378"/>
      <c r="AI150" s="1237" t="s">
        <v>276</v>
      </c>
      <c r="AJ150" s="1238"/>
      <c r="AK150" s="1238"/>
      <c r="AL150" s="1238"/>
      <c r="AM150" s="1238"/>
      <c r="AN150" s="1239"/>
      <c r="AO150" s="379" t="s">
        <v>255</v>
      </c>
      <c r="AP150" s="380"/>
      <c r="AQ150" s="378"/>
      <c r="AR150" s="1098" t="s">
        <v>277</v>
      </c>
      <c r="AS150" s="1099"/>
      <c r="AT150" s="1099"/>
      <c r="AU150" s="1099"/>
      <c r="AV150" s="1099"/>
      <c r="AW150" s="1095"/>
      <c r="AX150" s="379" t="s">
        <v>255</v>
      </c>
      <c r="AY150" s="380"/>
      <c r="AZ150" s="378"/>
      <c r="BA150" s="381"/>
    </row>
    <row r="151" spans="1:58" ht="27" thickBot="1" x14ac:dyDescent="0.45">
      <c r="A151" s="341"/>
      <c r="B151" s="341"/>
      <c r="C151" s="341"/>
      <c r="D151" s="1230" t="s">
        <v>278</v>
      </c>
      <c r="E151" s="1231"/>
      <c r="F151" s="1231"/>
      <c r="G151" s="1232"/>
      <c r="H151" s="1233"/>
      <c r="I151" s="1234">
        <f>G178</f>
        <v>39</v>
      </c>
      <c r="J151" s="1235"/>
      <c r="K151" s="341"/>
      <c r="L151" s="250"/>
      <c r="M151" s="373"/>
      <c r="N151" s="373"/>
      <c r="O151" s="382"/>
      <c r="P151" s="382"/>
      <c r="Q151" s="1230" t="s">
        <v>279</v>
      </c>
      <c r="R151" s="1231"/>
      <c r="S151" s="1231"/>
      <c r="T151" s="1231"/>
      <c r="U151" s="1236"/>
      <c r="V151" s="1234">
        <f>T178</f>
        <v>8</v>
      </c>
      <c r="W151" s="1235"/>
      <c r="X151" s="382"/>
      <c r="Y151" s="382"/>
      <c r="Z151" s="383"/>
      <c r="AA151" s="373"/>
      <c r="AC151" s="1240" t="s">
        <v>280</v>
      </c>
      <c r="AD151" s="1241"/>
      <c r="AE151" s="384" t="s">
        <v>281</v>
      </c>
      <c r="AF151" s="385" t="s">
        <v>282</v>
      </c>
      <c r="AH151" s="378"/>
      <c r="AI151" s="1087" t="s">
        <v>283</v>
      </c>
      <c r="AJ151" s="1088"/>
      <c r="AK151" s="1088"/>
      <c r="AL151" s="1088"/>
      <c r="AM151" s="1088"/>
      <c r="AN151" s="386" t="s">
        <v>284</v>
      </c>
      <c r="AO151" s="387">
        <f t="shared" ref="AO151:AO214" si="0">COUNTIF($A$1:$GO$128,AN151)</f>
        <v>0</v>
      </c>
      <c r="AP151" s="388"/>
      <c r="AQ151" s="378"/>
      <c r="AR151" s="1102" t="s">
        <v>285</v>
      </c>
      <c r="AS151" s="1103"/>
      <c r="AT151" s="1103"/>
      <c r="AU151" s="1103"/>
      <c r="AV151" s="1103"/>
      <c r="AW151" s="391" t="s">
        <v>286</v>
      </c>
      <c r="AX151" s="387">
        <f t="shared" ref="AX151:AX191" si="1">COUNTIF($A$1:$GO$128,AW151)</f>
        <v>0</v>
      </c>
      <c r="AY151" s="392"/>
      <c r="AZ151" s="378"/>
      <c r="BA151" s="381"/>
      <c r="BC151" s="393"/>
      <c r="BD151" s="393"/>
      <c r="BE151" s="393"/>
      <c r="BF151" s="393"/>
    </row>
    <row r="152" spans="1:58" ht="21.75" thickBot="1" x14ac:dyDescent="0.4">
      <c r="C152" s="394" t="b">
        <v>0</v>
      </c>
      <c r="D152" s="1230" t="s">
        <v>287</v>
      </c>
      <c r="E152" s="1231"/>
      <c r="F152" s="1231"/>
      <c r="G152" s="1232"/>
      <c r="H152" s="1233"/>
      <c r="I152" s="1234">
        <f>G202</f>
        <v>0</v>
      </c>
      <c r="J152" s="1235"/>
      <c r="M152" s="338"/>
      <c r="Q152" s="1230" t="s">
        <v>288</v>
      </c>
      <c r="R152" s="1231"/>
      <c r="S152" s="1231"/>
      <c r="T152" s="1231"/>
      <c r="U152" s="1236"/>
      <c r="V152" s="1234">
        <f>T202</f>
        <v>0</v>
      </c>
      <c r="W152" s="1235"/>
      <c r="AA152" s="394"/>
      <c r="AC152" s="1220" t="s">
        <v>289</v>
      </c>
      <c r="AD152" s="1221"/>
      <c r="AE152" s="1221"/>
      <c r="AF152" s="1221"/>
      <c r="AH152" s="378"/>
      <c r="AI152" s="1087" t="s">
        <v>290</v>
      </c>
      <c r="AJ152" s="1088"/>
      <c r="AK152" s="1088"/>
      <c r="AL152" s="1088"/>
      <c r="AM152" s="1088"/>
      <c r="AN152" s="395" t="s">
        <v>164</v>
      </c>
      <c r="AO152" s="387">
        <f t="shared" si="0"/>
        <v>6</v>
      </c>
      <c r="AP152" s="388"/>
      <c r="AQ152" s="378"/>
      <c r="AR152" s="1102" t="s">
        <v>291</v>
      </c>
      <c r="AS152" s="1103"/>
      <c r="AT152" s="1103"/>
      <c r="AU152" s="1103"/>
      <c r="AV152" s="1103"/>
      <c r="AW152" s="396" t="s">
        <v>292</v>
      </c>
      <c r="AX152" s="387">
        <f t="shared" si="1"/>
        <v>0</v>
      </c>
      <c r="AY152" s="397"/>
      <c r="AZ152" s="378"/>
      <c r="BA152" s="381"/>
      <c r="BC152" s="398"/>
      <c r="BD152" s="398"/>
      <c r="BE152" s="399"/>
      <c r="BF152" s="399"/>
    </row>
    <row r="153" spans="1:58" ht="21.75" thickBot="1" x14ac:dyDescent="0.4">
      <c r="C153" s="394" t="b">
        <v>0</v>
      </c>
      <c r="D153" s="1225" t="s">
        <v>293</v>
      </c>
      <c r="E153" s="1226"/>
      <c r="F153" s="1226"/>
      <c r="G153" s="1226"/>
      <c r="H153" s="1227"/>
      <c r="I153" s="1228">
        <f>G254</f>
        <v>59</v>
      </c>
      <c r="J153" s="1229"/>
      <c r="M153" s="338"/>
      <c r="Q153" s="1225" t="s">
        <v>294</v>
      </c>
      <c r="R153" s="1226"/>
      <c r="S153" s="1226"/>
      <c r="T153" s="1226"/>
      <c r="U153" s="1227"/>
      <c r="V153" s="1228">
        <f>T254</f>
        <v>17</v>
      </c>
      <c r="W153" s="1229"/>
      <c r="AA153" s="338"/>
      <c r="AC153" s="400" t="s">
        <v>276</v>
      </c>
      <c r="AD153" s="401" t="s">
        <v>276</v>
      </c>
      <c r="AE153" s="402">
        <f>AO227</f>
        <v>41</v>
      </c>
      <c r="AF153" s="403" t="str">
        <f>IFERROR(AE153/$J$4,"")</f>
        <v/>
      </c>
      <c r="AH153" s="378"/>
      <c r="AI153" s="1087" t="s">
        <v>295</v>
      </c>
      <c r="AJ153" s="1088"/>
      <c r="AK153" s="1088"/>
      <c r="AL153" s="1088"/>
      <c r="AM153" s="1088"/>
      <c r="AN153" s="404" t="s">
        <v>296</v>
      </c>
      <c r="AO153" s="387">
        <f t="shared" si="0"/>
        <v>0</v>
      </c>
      <c r="AP153" s="388"/>
      <c r="AQ153" s="378"/>
      <c r="AR153" s="1102" t="s">
        <v>297</v>
      </c>
      <c r="AS153" s="1103"/>
      <c r="AT153" s="1103"/>
      <c r="AU153" s="1103"/>
      <c r="AV153" s="1103"/>
      <c r="AW153" s="405" t="s">
        <v>298</v>
      </c>
      <c r="AX153" s="387">
        <f t="shared" si="1"/>
        <v>0</v>
      </c>
      <c r="AY153" s="397"/>
      <c r="AZ153" s="378"/>
      <c r="BA153" s="381"/>
      <c r="BC153" s="398"/>
      <c r="BD153" s="398"/>
      <c r="BE153" s="399"/>
      <c r="BF153" s="399"/>
    </row>
    <row r="154" spans="1:58" ht="21" x14ac:dyDescent="0.35">
      <c r="A154" s="406"/>
      <c r="B154" s="406"/>
      <c r="C154" s="407"/>
      <c r="D154" s="408"/>
      <c r="E154" s="408"/>
      <c r="F154" s="408"/>
      <c r="G154" s="408"/>
      <c r="H154" s="408"/>
      <c r="I154" s="409"/>
      <c r="J154" s="409"/>
      <c r="K154" s="406"/>
      <c r="L154" s="406"/>
      <c r="M154" s="410"/>
      <c r="N154" s="406"/>
      <c r="O154" s="406"/>
      <c r="P154" s="406"/>
      <c r="Q154" s="408"/>
      <c r="R154" s="408"/>
      <c r="S154" s="408"/>
      <c r="T154" s="408"/>
      <c r="U154" s="408"/>
      <c r="V154" s="409"/>
      <c r="W154" s="409"/>
      <c r="X154" s="406"/>
      <c r="Y154" s="406"/>
      <c r="Z154" s="406"/>
      <c r="AA154" s="394"/>
      <c r="AC154" s="400" t="s">
        <v>299</v>
      </c>
      <c r="AD154" s="411" t="s">
        <v>300</v>
      </c>
      <c r="AE154" s="402">
        <f>AX327</f>
        <v>0</v>
      </c>
      <c r="AF154" s="403" t="str">
        <f t="shared" ref="AF154:AF175" si="2">IFERROR(AE154/$J$4,"")</f>
        <v/>
      </c>
      <c r="AH154" s="378"/>
      <c r="AI154" s="1087" t="s">
        <v>301</v>
      </c>
      <c r="AJ154" s="1088"/>
      <c r="AK154" s="1088"/>
      <c r="AL154" s="1088"/>
      <c r="AM154" s="1088"/>
      <c r="AN154" s="412" t="s">
        <v>165</v>
      </c>
      <c r="AO154" s="387">
        <f t="shared" si="0"/>
        <v>2</v>
      </c>
      <c r="AP154" s="388"/>
      <c r="AQ154" s="378"/>
      <c r="AR154" s="1102" t="s">
        <v>302</v>
      </c>
      <c r="AS154" s="1103"/>
      <c r="AT154" s="1103"/>
      <c r="AU154" s="1103"/>
      <c r="AV154" s="1103"/>
      <c r="AW154" s="413" t="s">
        <v>303</v>
      </c>
      <c r="AX154" s="387">
        <f t="shared" si="1"/>
        <v>0</v>
      </c>
      <c r="AY154" s="397"/>
      <c r="AZ154" s="378"/>
      <c r="BA154" s="381"/>
      <c r="BC154" s="414"/>
      <c r="BD154" s="414"/>
      <c r="BE154" s="415"/>
      <c r="BF154" s="415"/>
    </row>
    <row r="155" spans="1:58" ht="18.75" thickBot="1" x14ac:dyDescent="0.3">
      <c r="A155" s="1222" t="s">
        <v>304</v>
      </c>
      <c r="B155" s="1223"/>
      <c r="C155" s="1223"/>
      <c r="D155" s="1223"/>
      <c r="E155" s="1223"/>
      <c r="F155" s="1223"/>
      <c r="G155" s="1223"/>
      <c r="H155" s="1223"/>
      <c r="I155" s="1224"/>
      <c r="J155" s="416" t="s">
        <v>305</v>
      </c>
      <c r="K155" s="416" t="s">
        <v>306</v>
      </c>
      <c r="L155" s="416" t="s">
        <v>307</v>
      </c>
      <c r="M155" s="394"/>
      <c r="N155" s="1222" t="s">
        <v>304</v>
      </c>
      <c r="O155" s="1223"/>
      <c r="P155" s="1223"/>
      <c r="Q155" s="1223"/>
      <c r="R155" s="1223"/>
      <c r="S155" s="1223"/>
      <c r="T155" s="1223"/>
      <c r="U155" s="1223"/>
      <c r="V155" s="1224"/>
      <c r="W155" s="417" t="s">
        <v>305</v>
      </c>
      <c r="X155" s="417" t="s">
        <v>306</v>
      </c>
      <c r="Y155" s="417" t="s">
        <v>307</v>
      </c>
      <c r="Z155" s="417" t="s">
        <v>308</v>
      </c>
      <c r="AA155" s="394"/>
      <c r="AC155" s="400" t="s">
        <v>309</v>
      </c>
      <c r="AD155" s="418" t="s">
        <v>310</v>
      </c>
      <c r="AE155" s="402">
        <f>AO260</f>
        <v>0</v>
      </c>
      <c r="AF155" s="403" t="str">
        <f t="shared" si="2"/>
        <v/>
      </c>
      <c r="AH155" s="378"/>
      <c r="AI155" s="1087" t="s">
        <v>311</v>
      </c>
      <c r="AJ155" s="1088"/>
      <c r="AK155" s="1088"/>
      <c r="AL155" s="1088"/>
      <c r="AM155" s="1088"/>
      <c r="AN155" s="419" t="s">
        <v>312</v>
      </c>
      <c r="AO155" s="387">
        <f t="shared" si="0"/>
        <v>0</v>
      </c>
      <c r="AP155" s="388"/>
      <c r="AQ155" s="378"/>
      <c r="AR155" s="1102" t="s">
        <v>313</v>
      </c>
      <c r="AS155" s="1103"/>
      <c r="AT155" s="1103"/>
      <c r="AU155" s="1103"/>
      <c r="AV155" s="1103"/>
      <c r="AW155" s="413" t="s">
        <v>314</v>
      </c>
      <c r="AX155" s="387">
        <f t="shared" si="1"/>
        <v>0</v>
      </c>
      <c r="AY155" s="397"/>
      <c r="AZ155" s="378"/>
      <c r="BA155" s="381"/>
      <c r="BC155" s="398"/>
      <c r="BD155" s="398"/>
      <c r="BE155" s="420"/>
      <c r="BF155" s="420"/>
    </row>
    <row r="156" spans="1:58" ht="18.75" thickBot="1" x14ac:dyDescent="0.3">
      <c r="A156" s="1169" t="s">
        <v>70</v>
      </c>
      <c r="B156" s="1170"/>
      <c r="C156" s="1171"/>
      <c r="D156" s="421" t="s">
        <v>25</v>
      </c>
      <c r="E156" s="422"/>
      <c r="F156" s="423" t="s">
        <v>69</v>
      </c>
      <c r="G156" s="1111">
        <f t="shared" ref="G156:G177" si="3">COUNTIF($A$1:$BK$73,F156)</f>
        <v>0</v>
      </c>
      <c r="H156" s="1112"/>
      <c r="I156" s="1113"/>
      <c r="J156" s="424">
        <v>0</v>
      </c>
      <c r="K156" s="425">
        <v>0</v>
      </c>
      <c r="L156" s="426">
        <f>G156-K156-J156</f>
        <v>0</v>
      </c>
      <c r="M156" s="394"/>
      <c r="N156" s="1169" t="s">
        <v>70</v>
      </c>
      <c r="O156" s="1170"/>
      <c r="P156" s="1171"/>
      <c r="Q156" s="421" t="s">
        <v>25</v>
      </c>
      <c r="R156" s="422"/>
      <c r="S156" s="423" t="s">
        <v>69</v>
      </c>
      <c r="T156" s="1212">
        <f t="shared" ref="T156:T177" si="4">COUNTIF($BL$1:$CN$58,S156)</f>
        <v>0</v>
      </c>
      <c r="U156" s="1212"/>
      <c r="V156" s="1212"/>
      <c r="W156" s="424">
        <v>0</v>
      </c>
      <c r="X156" s="425">
        <v>0</v>
      </c>
      <c r="Y156" s="426">
        <f t="shared" ref="Y156:Y177" si="5">T156-X156-W156</f>
        <v>0</v>
      </c>
      <c r="Z156" s="427">
        <f t="shared" ref="Z156:Z221" si="6">T156+G156</f>
        <v>0</v>
      </c>
      <c r="AA156" s="394"/>
      <c r="AC156" s="400" t="s">
        <v>315</v>
      </c>
      <c r="AD156" s="428" t="s">
        <v>316</v>
      </c>
      <c r="AE156" s="402">
        <f>AX304</f>
        <v>0</v>
      </c>
      <c r="AF156" s="403" t="str">
        <f t="shared" si="2"/>
        <v/>
      </c>
      <c r="AH156" s="378"/>
      <c r="AI156" s="1087" t="s">
        <v>317</v>
      </c>
      <c r="AJ156" s="1088"/>
      <c r="AK156" s="1088"/>
      <c r="AL156" s="1088"/>
      <c r="AM156" s="1088"/>
      <c r="AN156" s="429" t="s">
        <v>318</v>
      </c>
      <c r="AO156" s="387">
        <f t="shared" si="0"/>
        <v>0</v>
      </c>
      <c r="AP156" s="388"/>
      <c r="AQ156" s="378"/>
      <c r="AR156" s="1102" t="s">
        <v>319</v>
      </c>
      <c r="AS156" s="1103"/>
      <c r="AT156" s="1103"/>
      <c r="AU156" s="1103"/>
      <c r="AV156" s="1103"/>
      <c r="AW156" s="430" t="s">
        <v>320</v>
      </c>
      <c r="AX156" s="387">
        <f t="shared" si="1"/>
        <v>0</v>
      </c>
      <c r="AY156" s="397"/>
      <c r="AZ156" s="378"/>
      <c r="BA156" s="381"/>
      <c r="BC156" s="398"/>
      <c r="BD156" s="398"/>
      <c r="BE156" s="398"/>
      <c r="BF156" s="398"/>
    </row>
    <row r="157" spans="1:58" ht="18.75" thickBot="1" x14ac:dyDescent="0.3">
      <c r="A157" s="1169" t="s">
        <v>28</v>
      </c>
      <c r="B157" s="1170"/>
      <c r="C157" s="1171"/>
      <c r="D157" s="421"/>
      <c r="E157" s="422" t="s">
        <v>321</v>
      </c>
      <c r="F157" s="431" t="s">
        <v>25</v>
      </c>
      <c r="G157" s="1111">
        <f t="shared" si="3"/>
        <v>0</v>
      </c>
      <c r="H157" s="1112"/>
      <c r="I157" s="1113"/>
      <c r="J157" s="424">
        <v>0</v>
      </c>
      <c r="K157" s="425">
        <v>0</v>
      </c>
      <c r="L157" s="426">
        <f t="shared" ref="L157:L177" si="7">G157-K157-J157</f>
        <v>0</v>
      </c>
      <c r="M157" s="394"/>
      <c r="N157" s="1169" t="s">
        <v>28</v>
      </c>
      <c r="O157" s="1170"/>
      <c r="P157" s="1171"/>
      <c r="Q157" s="421"/>
      <c r="R157" s="422" t="s">
        <v>321</v>
      </c>
      <c r="S157" s="431" t="s">
        <v>25</v>
      </c>
      <c r="T157" s="1212">
        <f t="shared" si="4"/>
        <v>0</v>
      </c>
      <c r="U157" s="1212"/>
      <c r="V157" s="1212"/>
      <c r="W157" s="424">
        <v>0</v>
      </c>
      <c r="X157" s="425">
        <v>0</v>
      </c>
      <c r="Y157" s="426">
        <f t="shared" si="5"/>
        <v>0</v>
      </c>
      <c r="Z157" s="427">
        <f t="shared" si="6"/>
        <v>0</v>
      </c>
      <c r="AA157" s="394"/>
      <c r="AC157" s="400" t="s">
        <v>322</v>
      </c>
      <c r="AD157" s="432" t="s">
        <v>322</v>
      </c>
      <c r="AE157" s="402">
        <f>AX249</f>
        <v>30</v>
      </c>
      <c r="AF157" s="403" t="str">
        <f t="shared" si="2"/>
        <v/>
      </c>
      <c r="AH157" s="378"/>
      <c r="AI157" s="1087" t="s">
        <v>323</v>
      </c>
      <c r="AJ157" s="1088"/>
      <c r="AK157" s="1088"/>
      <c r="AL157" s="1088"/>
      <c r="AM157" s="1088"/>
      <c r="AN157" s="433" t="s">
        <v>324</v>
      </c>
      <c r="AO157" s="387">
        <f t="shared" si="0"/>
        <v>0</v>
      </c>
      <c r="AP157" s="388"/>
      <c r="AQ157" s="378"/>
      <c r="AR157" s="1102" t="s">
        <v>325</v>
      </c>
      <c r="AS157" s="1103"/>
      <c r="AT157" s="1103"/>
      <c r="AU157" s="1103"/>
      <c r="AV157" s="1103"/>
      <c r="AW157" s="434" t="s">
        <v>326</v>
      </c>
      <c r="AX157" s="387">
        <f t="shared" si="1"/>
        <v>0</v>
      </c>
      <c r="AY157" s="397"/>
      <c r="AZ157" s="378"/>
      <c r="BA157" s="381"/>
      <c r="BC157" s="398"/>
      <c r="BD157" s="398"/>
      <c r="BE157" s="399"/>
      <c r="BF157" s="399"/>
    </row>
    <row r="158" spans="1:58" ht="18.75" thickBot="1" x14ac:dyDescent="0.3">
      <c r="A158" s="1169" t="s">
        <v>22</v>
      </c>
      <c r="B158" s="1170"/>
      <c r="C158" s="1171"/>
      <c r="D158" s="421"/>
      <c r="E158" s="422" t="s">
        <v>321</v>
      </c>
      <c r="F158" s="435" t="s">
        <v>71</v>
      </c>
      <c r="G158" s="1111">
        <f t="shared" si="3"/>
        <v>10</v>
      </c>
      <c r="H158" s="1112"/>
      <c r="I158" s="1113"/>
      <c r="J158" s="424">
        <v>0</v>
      </c>
      <c r="K158" s="425">
        <v>0</v>
      </c>
      <c r="L158" s="426">
        <f t="shared" si="7"/>
        <v>10</v>
      </c>
      <c r="M158" s="394"/>
      <c r="N158" s="1169" t="s">
        <v>22</v>
      </c>
      <c r="O158" s="1170"/>
      <c r="P158" s="1171"/>
      <c r="Q158" s="421"/>
      <c r="R158" s="422" t="s">
        <v>321</v>
      </c>
      <c r="S158" s="435" t="s">
        <v>71</v>
      </c>
      <c r="T158" s="1212">
        <f t="shared" si="4"/>
        <v>2</v>
      </c>
      <c r="U158" s="1212"/>
      <c r="V158" s="1212"/>
      <c r="W158" s="424">
        <v>0</v>
      </c>
      <c r="X158" s="425">
        <v>0</v>
      </c>
      <c r="Y158" s="426">
        <f t="shared" si="5"/>
        <v>2</v>
      </c>
      <c r="Z158" s="427">
        <f t="shared" si="6"/>
        <v>12</v>
      </c>
      <c r="AA158" s="394"/>
      <c r="AC158" s="400" t="s">
        <v>327</v>
      </c>
      <c r="AD158" s="436" t="s">
        <v>327</v>
      </c>
      <c r="AE158" s="402">
        <f>AO266</f>
        <v>0</v>
      </c>
      <c r="AF158" s="403" t="str">
        <f t="shared" si="2"/>
        <v/>
      </c>
      <c r="AH158" s="378"/>
      <c r="AI158" s="1087" t="s">
        <v>328</v>
      </c>
      <c r="AJ158" s="1088"/>
      <c r="AK158" s="1088"/>
      <c r="AL158" s="1088"/>
      <c r="AM158" s="1088"/>
      <c r="AN158" s="437" t="s">
        <v>329</v>
      </c>
      <c r="AO158" s="387">
        <f t="shared" si="0"/>
        <v>0</v>
      </c>
      <c r="AP158" s="388"/>
      <c r="AQ158" s="378"/>
      <c r="AR158" s="1102" t="s">
        <v>330</v>
      </c>
      <c r="AS158" s="1103"/>
      <c r="AT158" s="1103"/>
      <c r="AU158" s="1103"/>
      <c r="AV158" s="1103"/>
      <c r="AW158" s="438" t="s">
        <v>331</v>
      </c>
      <c r="AX158" s="387">
        <f t="shared" si="1"/>
        <v>0</v>
      </c>
      <c r="AY158" s="397"/>
      <c r="AZ158" s="378"/>
      <c r="BA158" s="381"/>
      <c r="BC158" s="414"/>
      <c r="BD158" s="414"/>
      <c r="BE158" s="439"/>
      <c r="BF158" s="439"/>
    </row>
    <row r="159" spans="1:58" ht="18.75" thickBot="1" x14ac:dyDescent="0.3">
      <c r="A159" s="1169" t="s">
        <v>332</v>
      </c>
      <c r="B159" s="1170"/>
      <c r="C159" s="1171"/>
      <c r="D159" s="421"/>
      <c r="E159" s="422" t="s">
        <v>321</v>
      </c>
      <c r="F159" s="440" t="s">
        <v>167</v>
      </c>
      <c r="G159" s="1111">
        <f t="shared" si="3"/>
        <v>6</v>
      </c>
      <c r="H159" s="1112"/>
      <c r="I159" s="1113"/>
      <c r="J159" s="424">
        <v>0</v>
      </c>
      <c r="K159" s="425">
        <v>0</v>
      </c>
      <c r="L159" s="426">
        <f t="shared" si="7"/>
        <v>6</v>
      </c>
      <c r="M159" s="394"/>
      <c r="N159" s="1169" t="s">
        <v>332</v>
      </c>
      <c r="O159" s="1170"/>
      <c r="P159" s="1171"/>
      <c r="Q159" s="421"/>
      <c r="R159" s="422" t="s">
        <v>321</v>
      </c>
      <c r="S159" s="440" t="s">
        <v>167</v>
      </c>
      <c r="T159" s="1212">
        <f t="shared" si="4"/>
        <v>0</v>
      </c>
      <c r="U159" s="1212"/>
      <c r="V159" s="1212"/>
      <c r="W159" s="424">
        <v>0</v>
      </c>
      <c r="X159" s="425">
        <v>0</v>
      </c>
      <c r="Y159" s="426">
        <f t="shared" si="5"/>
        <v>0</v>
      </c>
      <c r="Z159" s="427">
        <f t="shared" si="6"/>
        <v>6</v>
      </c>
      <c r="AA159" s="394"/>
      <c r="AC159" s="400" t="s">
        <v>333</v>
      </c>
      <c r="AD159" s="441" t="s">
        <v>334</v>
      </c>
      <c r="AE159" s="402">
        <f>AO277</f>
        <v>0</v>
      </c>
      <c r="AF159" s="403" t="str">
        <f t="shared" si="2"/>
        <v/>
      </c>
      <c r="AH159" s="378"/>
      <c r="AI159" s="1087" t="s">
        <v>335</v>
      </c>
      <c r="AJ159" s="1088"/>
      <c r="AK159" s="1088"/>
      <c r="AL159" s="1088"/>
      <c r="AM159" s="1088"/>
      <c r="AN159" s="442" t="s">
        <v>336</v>
      </c>
      <c r="AO159" s="387">
        <f t="shared" si="0"/>
        <v>0</v>
      </c>
      <c r="AP159" s="388"/>
      <c r="AQ159" s="378"/>
      <c r="AR159" s="1102" t="s">
        <v>337</v>
      </c>
      <c r="AS159" s="1103"/>
      <c r="AT159" s="1103"/>
      <c r="AU159" s="1103"/>
      <c r="AV159" s="1103"/>
      <c r="AW159" s="443" t="s">
        <v>338</v>
      </c>
      <c r="AX159" s="387">
        <f t="shared" si="1"/>
        <v>0</v>
      </c>
      <c r="AY159" s="397"/>
      <c r="AZ159" s="378"/>
      <c r="BA159" s="381"/>
    </row>
    <row r="160" spans="1:58" ht="18.75" thickBot="1" x14ac:dyDescent="0.3">
      <c r="A160" s="1169" t="s">
        <v>73</v>
      </c>
      <c r="B160" s="1170"/>
      <c r="C160" s="1171"/>
      <c r="D160" s="421" t="s">
        <v>339</v>
      </c>
      <c r="E160" s="422" t="s">
        <v>321</v>
      </c>
      <c r="F160" s="444" t="s">
        <v>72</v>
      </c>
      <c r="G160" s="1111">
        <f t="shared" si="3"/>
        <v>0</v>
      </c>
      <c r="H160" s="1112"/>
      <c r="I160" s="1113"/>
      <c r="J160" s="424">
        <v>0</v>
      </c>
      <c r="K160" s="425">
        <v>0</v>
      </c>
      <c r="L160" s="426">
        <f t="shared" si="7"/>
        <v>0</v>
      </c>
      <c r="M160" s="394"/>
      <c r="N160" s="1169" t="s">
        <v>73</v>
      </c>
      <c r="O160" s="1170"/>
      <c r="P160" s="1171"/>
      <c r="Q160" s="421" t="s">
        <v>339</v>
      </c>
      <c r="R160" s="422" t="s">
        <v>321</v>
      </c>
      <c r="S160" s="444" t="s">
        <v>72</v>
      </c>
      <c r="T160" s="1212">
        <f t="shared" si="4"/>
        <v>0</v>
      </c>
      <c r="U160" s="1212"/>
      <c r="V160" s="1212"/>
      <c r="W160" s="424">
        <v>0</v>
      </c>
      <c r="X160" s="425">
        <v>0</v>
      </c>
      <c r="Y160" s="426">
        <f t="shared" si="5"/>
        <v>0</v>
      </c>
      <c r="Z160" s="427">
        <f t="shared" si="6"/>
        <v>0</v>
      </c>
      <c r="AA160" s="394" t="b">
        <f>IFERROR(T163&gt;0.5,FALSE)</f>
        <v>1</v>
      </c>
      <c r="AC160" s="400" t="s">
        <v>340</v>
      </c>
      <c r="AD160" s="445" t="s">
        <v>341</v>
      </c>
      <c r="AE160" s="402">
        <f>AO333</f>
        <v>0</v>
      </c>
      <c r="AF160" s="403" t="str">
        <f t="shared" si="2"/>
        <v/>
      </c>
      <c r="AH160" s="378"/>
      <c r="AI160" s="1087" t="s">
        <v>342</v>
      </c>
      <c r="AJ160" s="1088"/>
      <c r="AK160" s="1088"/>
      <c r="AL160" s="1088"/>
      <c r="AM160" s="1088"/>
      <c r="AN160" s="446" t="s">
        <v>343</v>
      </c>
      <c r="AO160" s="387">
        <f t="shared" si="0"/>
        <v>0</v>
      </c>
      <c r="AP160" s="388"/>
      <c r="AQ160" s="378"/>
      <c r="AR160" s="1102" t="s">
        <v>344</v>
      </c>
      <c r="AS160" s="1103"/>
      <c r="AT160" s="1103"/>
      <c r="AU160" s="1103"/>
      <c r="AV160" s="1103"/>
      <c r="AW160" s="447" t="s">
        <v>345</v>
      </c>
      <c r="AX160" s="387">
        <f t="shared" si="1"/>
        <v>0</v>
      </c>
      <c r="AY160" s="397"/>
      <c r="AZ160" s="378"/>
      <c r="BA160" s="381"/>
    </row>
    <row r="161" spans="1:58" ht="18.75" thickBot="1" x14ac:dyDescent="0.3">
      <c r="A161" s="1169" t="s">
        <v>45</v>
      </c>
      <c r="B161" s="1170"/>
      <c r="C161" s="1171"/>
      <c r="D161" s="421"/>
      <c r="E161" s="422" t="s">
        <v>321</v>
      </c>
      <c r="F161" s="448" t="s">
        <v>46</v>
      </c>
      <c r="G161" s="1111">
        <f t="shared" si="3"/>
        <v>6</v>
      </c>
      <c r="H161" s="1112"/>
      <c r="I161" s="1113"/>
      <c r="J161" s="424">
        <v>0</v>
      </c>
      <c r="K161" s="425">
        <v>0</v>
      </c>
      <c r="L161" s="426">
        <f t="shared" si="7"/>
        <v>6</v>
      </c>
      <c r="M161" s="394"/>
      <c r="N161" s="1169" t="s">
        <v>45</v>
      </c>
      <c r="O161" s="1170"/>
      <c r="P161" s="1171"/>
      <c r="Q161" s="421"/>
      <c r="R161" s="422" t="s">
        <v>321</v>
      </c>
      <c r="S161" s="448" t="s">
        <v>46</v>
      </c>
      <c r="T161" s="1212">
        <f t="shared" si="4"/>
        <v>2</v>
      </c>
      <c r="U161" s="1212"/>
      <c r="V161" s="1212"/>
      <c r="W161" s="424">
        <v>0</v>
      </c>
      <c r="X161" s="425">
        <v>0</v>
      </c>
      <c r="Y161" s="426">
        <f t="shared" si="5"/>
        <v>2</v>
      </c>
      <c r="Z161" s="427">
        <f t="shared" si="6"/>
        <v>8</v>
      </c>
      <c r="AA161" s="394" t="b">
        <f>IFERROR(T164&gt;0.5,FALSE)</f>
        <v>0</v>
      </c>
      <c r="AC161" s="400" t="s">
        <v>346</v>
      </c>
      <c r="AD161" s="236" t="s">
        <v>347</v>
      </c>
      <c r="AE161" s="402">
        <f>AO297</f>
        <v>0</v>
      </c>
      <c r="AF161" s="403" t="str">
        <f t="shared" si="2"/>
        <v/>
      </c>
      <c r="AH161" s="378"/>
      <c r="AI161" s="1087" t="s">
        <v>348</v>
      </c>
      <c r="AJ161" s="1088"/>
      <c r="AK161" s="1088"/>
      <c r="AL161" s="1088"/>
      <c r="AM161" s="1088"/>
      <c r="AN161" s="449" t="s">
        <v>349</v>
      </c>
      <c r="AO161" s="387">
        <f t="shared" si="0"/>
        <v>0</v>
      </c>
      <c r="AP161" s="388"/>
      <c r="AQ161" s="378"/>
      <c r="AR161" s="1102" t="s">
        <v>350</v>
      </c>
      <c r="AS161" s="1103"/>
      <c r="AT161" s="1103"/>
      <c r="AU161" s="1103"/>
      <c r="AV161" s="1103"/>
      <c r="AW161" s="450" t="s">
        <v>351</v>
      </c>
      <c r="AX161" s="387">
        <f t="shared" si="1"/>
        <v>0</v>
      </c>
      <c r="AY161" s="397"/>
      <c r="AZ161" s="378"/>
      <c r="BA161" s="381"/>
    </row>
    <row r="162" spans="1:58" ht="18.75" thickBot="1" x14ac:dyDescent="0.3">
      <c r="A162" s="1169" t="s">
        <v>75</v>
      </c>
      <c r="B162" s="1170"/>
      <c r="C162" s="1171"/>
      <c r="D162" s="421" t="s">
        <v>137</v>
      </c>
      <c r="E162" s="422" t="s">
        <v>321</v>
      </c>
      <c r="F162" s="451" t="s">
        <v>74</v>
      </c>
      <c r="G162" s="1111">
        <f t="shared" si="3"/>
        <v>0</v>
      </c>
      <c r="H162" s="1112"/>
      <c r="I162" s="1113"/>
      <c r="J162" s="424">
        <v>0</v>
      </c>
      <c r="K162" s="425">
        <v>0</v>
      </c>
      <c r="L162" s="426">
        <f t="shared" si="7"/>
        <v>0</v>
      </c>
      <c r="M162" s="394"/>
      <c r="N162" s="1169" t="s">
        <v>75</v>
      </c>
      <c r="O162" s="1170"/>
      <c r="P162" s="1171"/>
      <c r="Q162" s="421" t="s">
        <v>137</v>
      </c>
      <c r="R162" s="422" t="s">
        <v>321</v>
      </c>
      <c r="S162" s="451" t="s">
        <v>74</v>
      </c>
      <c r="T162" s="1212">
        <f t="shared" si="4"/>
        <v>0</v>
      </c>
      <c r="U162" s="1212"/>
      <c r="V162" s="1212"/>
      <c r="W162" s="424">
        <v>0</v>
      </c>
      <c r="X162" s="425">
        <v>0</v>
      </c>
      <c r="Y162" s="426">
        <f t="shared" si="5"/>
        <v>0</v>
      </c>
      <c r="Z162" s="427">
        <f t="shared" si="6"/>
        <v>0</v>
      </c>
      <c r="AA162" s="394"/>
      <c r="AC162" s="400" t="s">
        <v>352</v>
      </c>
      <c r="AD162" s="452" t="s">
        <v>57</v>
      </c>
      <c r="AE162" s="402">
        <f>AX290</f>
        <v>0</v>
      </c>
      <c r="AF162" s="403" t="str">
        <f t="shared" si="2"/>
        <v/>
      </c>
      <c r="AH162" s="378"/>
      <c r="AI162" s="1087" t="s">
        <v>353</v>
      </c>
      <c r="AJ162" s="1088"/>
      <c r="AK162" s="1088"/>
      <c r="AL162" s="1088"/>
      <c r="AM162" s="1088"/>
      <c r="AN162" s="453" t="s">
        <v>354</v>
      </c>
      <c r="AO162" s="387">
        <f t="shared" si="0"/>
        <v>0</v>
      </c>
      <c r="AP162" s="388"/>
      <c r="AQ162" s="378"/>
      <c r="AR162" s="1102" t="s">
        <v>355</v>
      </c>
      <c r="AS162" s="1103"/>
      <c r="AT162" s="1103"/>
      <c r="AU162" s="1103"/>
      <c r="AV162" s="1103"/>
      <c r="AW162" s="454" t="s">
        <v>356</v>
      </c>
      <c r="AX162" s="387">
        <f t="shared" si="1"/>
        <v>0</v>
      </c>
      <c r="AY162" s="397"/>
      <c r="AZ162" s="378"/>
      <c r="BA162" s="381"/>
    </row>
    <row r="163" spans="1:58" ht="18.75" thickBot="1" x14ac:dyDescent="0.3">
      <c r="A163" s="1169" t="s">
        <v>8</v>
      </c>
      <c r="B163" s="1170"/>
      <c r="C163" s="1171"/>
      <c r="D163" s="421"/>
      <c r="E163" s="422" t="s">
        <v>321</v>
      </c>
      <c r="F163" s="455" t="s">
        <v>9</v>
      </c>
      <c r="G163" s="1111">
        <f t="shared" si="3"/>
        <v>4</v>
      </c>
      <c r="H163" s="1112"/>
      <c r="I163" s="1113"/>
      <c r="J163" s="424">
        <v>0</v>
      </c>
      <c r="K163" s="425">
        <v>0</v>
      </c>
      <c r="L163" s="426">
        <f t="shared" si="7"/>
        <v>4</v>
      </c>
      <c r="M163" s="394"/>
      <c r="N163" s="1169" t="s">
        <v>8</v>
      </c>
      <c r="O163" s="1170"/>
      <c r="P163" s="1171"/>
      <c r="Q163" s="421"/>
      <c r="R163" s="422" t="s">
        <v>321</v>
      </c>
      <c r="S163" s="455" t="s">
        <v>9</v>
      </c>
      <c r="T163" s="1212">
        <f t="shared" si="4"/>
        <v>2</v>
      </c>
      <c r="U163" s="1212"/>
      <c r="V163" s="1212"/>
      <c r="W163" s="424">
        <v>0</v>
      </c>
      <c r="X163" s="425">
        <v>0</v>
      </c>
      <c r="Y163" s="426">
        <f t="shared" si="5"/>
        <v>2</v>
      </c>
      <c r="Z163" s="427">
        <f t="shared" si="6"/>
        <v>6</v>
      </c>
      <c r="AA163" s="394"/>
      <c r="AC163" s="400" t="s">
        <v>357</v>
      </c>
      <c r="AD163" s="456" t="s">
        <v>357</v>
      </c>
      <c r="AE163" s="402">
        <f>AX295</f>
        <v>0</v>
      </c>
      <c r="AF163" s="403" t="str">
        <f t="shared" si="2"/>
        <v/>
      </c>
      <c r="AH163" s="378"/>
      <c r="AI163" s="1087" t="s">
        <v>358</v>
      </c>
      <c r="AJ163" s="1088"/>
      <c r="AK163" s="1088"/>
      <c r="AL163" s="1088"/>
      <c r="AM163" s="1088"/>
      <c r="AN163" s="453" t="s">
        <v>359</v>
      </c>
      <c r="AO163" s="387">
        <f t="shared" si="0"/>
        <v>0</v>
      </c>
      <c r="AP163" s="388"/>
      <c r="AQ163" s="378"/>
      <c r="AR163" s="1102" t="s">
        <v>360</v>
      </c>
      <c r="AS163" s="1103"/>
      <c r="AT163" s="1103"/>
      <c r="AU163" s="1103"/>
      <c r="AV163" s="1103"/>
      <c r="AW163" s="457" t="s">
        <v>361</v>
      </c>
      <c r="AX163" s="387">
        <f t="shared" si="1"/>
        <v>0</v>
      </c>
      <c r="AY163" s="397"/>
      <c r="AZ163" s="378"/>
      <c r="BA163" s="381"/>
    </row>
    <row r="164" spans="1:58" ht="18.75" thickBot="1" x14ac:dyDescent="0.3">
      <c r="A164" s="1169" t="s">
        <v>15</v>
      </c>
      <c r="B164" s="1170"/>
      <c r="C164" s="1171"/>
      <c r="D164" s="421"/>
      <c r="E164" s="422"/>
      <c r="F164" s="458" t="s">
        <v>14</v>
      </c>
      <c r="G164" s="1111">
        <f t="shared" si="3"/>
        <v>0</v>
      </c>
      <c r="H164" s="1112"/>
      <c r="I164" s="1113"/>
      <c r="J164" s="424">
        <v>0</v>
      </c>
      <c r="K164" s="425">
        <v>0</v>
      </c>
      <c r="L164" s="426">
        <f t="shared" si="7"/>
        <v>0</v>
      </c>
      <c r="M164" s="394"/>
      <c r="N164" s="1169" t="s">
        <v>15</v>
      </c>
      <c r="O164" s="1170"/>
      <c r="P164" s="1171"/>
      <c r="Q164" s="421"/>
      <c r="R164" s="422"/>
      <c r="S164" s="458" t="s">
        <v>14</v>
      </c>
      <c r="T164" s="1212">
        <f t="shared" si="4"/>
        <v>0</v>
      </c>
      <c r="U164" s="1212"/>
      <c r="V164" s="1212"/>
      <c r="W164" s="424">
        <v>0</v>
      </c>
      <c r="X164" s="425">
        <v>0</v>
      </c>
      <c r="Y164" s="426">
        <f t="shared" si="5"/>
        <v>0</v>
      </c>
      <c r="Z164" s="427">
        <f t="shared" si="6"/>
        <v>0</v>
      </c>
      <c r="AA164" s="394"/>
      <c r="AC164" s="459" t="s">
        <v>362</v>
      </c>
      <c r="AD164" s="460" t="s">
        <v>363</v>
      </c>
      <c r="AE164" s="402">
        <f>AX308</f>
        <v>0</v>
      </c>
      <c r="AF164" s="403" t="str">
        <f t="shared" si="2"/>
        <v/>
      </c>
      <c r="AH164" s="378"/>
      <c r="AI164" s="1087" t="s">
        <v>364</v>
      </c>
      <c r="AJ164" s="1088"/>
      <c r="AK164" s="1088"/>
      <c r="AL164" s="1088"/>
      <c r="AM164" s="1088"/>
      <c r="AN164" s="461" t="s">
        <v>365</v>
      </c>
      <c r="AO164" s="387">
        <f t="shared" si="0"/>
        <v>0</v>
      </c>
      <c r="AP164" s="388"/>
      <c r="AQ164" s="378"/>
      <c r="AR164" s="1102" t="s">
        <v>366</v>
      </c>
      <c r="AS164" s="1103"/>
      <c r="AT164" s="1103"/>
      <c r="AU164" s="1103"/>
      <c r="AV164" s="1103"/>
      <c r="AW164" s="462" t="s">
        <v>367</v>
      </c>
      <c r="AX164" s="387">
        <f t="shared" si="1"/>
        <v>0</v>
      </c>
      <c r="AY164" s="397"/>
      <c r="AZ164" s="378"/>
      <c r="BA164" s="381"/>
    </row>
    <row r="165" spans="1:58" ht="18.75" thickBot="1" x14ac:dyDescent="0.3">
      <c r="A165" s="1169" t="s">
        <v>29</v>
      </c>
      <c r="B165" s="1170"/>
      <c r="C165" s="1171"/>
      <c r="D165" s="421"/>
      <c r="E165" s="422"/>
      <c r="F165" s="463" t="s">
        <v>26</v>
      </c>
      <c r="G165" s="1111">
        <f t="shared" si="3"/>
        <v>0</v>
      </c>
      <c r="H165" s="1112"/>
      <c r="I165" s="1113"/>
      <c r="J165" s="424">
        <v>0</v>
      </c>
      <c r="K165" s="425">
        <v>0</v>
      </c>
      <c r="L165" s="426">
        <f t="shared" si="7"/>
        <v>0</v>
      </c>
      <c r="M165" s="394"/>
      <c r="N165" s="1169" t="s">
        <v>29</v>
      </c>
      <c r="O165" s="1170"/>
      <c r="P165" s="1171"/>
      <c r="Q165" s="421"/>
      <c r="R165" s="422"/>
      <c r="S165" s="463" t="s">
        <v>26</v>
      </c>
      <c r="T165" s="1212">
        <f t="shared" si="4"/>
        <v>0</v>
      </c>
      <c r="U165" s="1212"/>
      <c r="V165" s="1212"/>
      <c r="W165" s="424">
        <v>0</v>
      </c>
      <c r="X165" s="425">
        <v>0</v>
      </c>
      <c r="Y165" s="426">
        <f t="shared" si="5"/>
        <v>0</v>
      </c>
      <c r="Z165" s="427">
        <f t="shared" si="6"/>
        <v>0</v>
      </c>
      <c r="AA165" s="394"/>
      <c r="AC165" s="459" t="s">
        <v>368</v>
      </c>
      <c r="AD165" s="464" t="s">
        <v>369</v>
      </c>
      <c r="AE165" s="402" t="s">
        <v>370</v>
      </c>
      <c r="AF165" s="403" t="str">
        <f t="shared" si="2"/>
        <v/>
      </c>
      <c r="AH165" s="378"/>
      <c r="AI165" s="1087" t="s">
        <v>371</v>
      </c>
      <c r="AJ165" s="1088"/>
      <c r="AK165" s="1088"/>
      <c r="AL165" s="1088"/>
      <c r="AM165" s="1088"/>
      <c r="AN165" s="465" t="s">
        <v>372</v>
      </c>
      <c r="AO165" s="387">
        <f t="shared" si="0"/>
        <v>0</v>
      </c>
      <c r="AP165" s="388"/>
      <c r="AQ165" s="378"/>
      <c r="AR165" s="1102" t="s">
        <v>373</v>
      </c>
      <c r="AS165" s="1103"/>
      <c r="AT165" s="1103"/>
      <c r="AU165" s="1103"/>
      <c r="AV165" s="1103"/>
      <c r="AW165" s="466" t="s">
        <v>374</v>
      </c>
      <c r="AX165" s="387">
        <f t="shared" si="1"/>
        <v>0</v>
      </c>
      <c r="AY165" s="397"/>
      <c r="AZ165" s="378"/>
      <c r="BA165" s="381"/>
    </row>
    <row r="166" spans="1:58" ht="18" x14ac:dyDescent="0.25">
      <c r="A166" s="1169" t="s">
        <v>77</v>
      </c>
      <c r="B166" s="1170"/>
      <c r="C166" s="1171"/>
      <c r="D166" s="421"/>
      <c r="E166" s="422" t="s">
        <v>321</v>
      </c>
      <c r="F166" s="467" t="s">
        <v>76</v>
      </c>
      <c r="G166" s="1111">
        <f t="shared" si="3"/>
        <v>4</v>
      </c>
      <c r="H166" s="1112"/>
      <c r="I166" s="1113"/>
      <c r="J166" s="424">
        <v>0</v>
      </c>
      <c r="K166" s="425">
        <v>0</v>
      </c>
      <c r="L166" s="426">
        <f t="shared" si="7"/>
        <v>4</v>
      </c>
      <c r="M166" s="394"/>
      <c r="N166" s="1169" t="s">
        <v>77</v>
      </c>
      <c r="O166" s="1170"/>
      <c r="P166" s="1171"/>
      <c r="Q166" s="421"/>
      <c r="R166" s="422" t="s">
        <v>321</v>
      </c>
      <c r="S166" s="467" t="s">
        <v>76</v>
      </c>
      <c r="T166" s="1212">
        <f t="shared" si="4"/>
        <v>0</v>
      </c>
      <c r="U166" s="1212"/>
      <c r="V166" s="1212"/>
      <c r="W166" s="424">
        <v>0</v>
      </c>
      <c r="X166" s="425">
        <v>0</v>
      </c>
      <c r="Y166" s="426">
        <f t="shared" si="5"/>
        <v>0</v>
      </c>
      <c r="Z166" s="427">
        <f t="shared" si="6"/>
        <v>4</v>
      </c>
      <c r="AA166" s="394"/>
      <c r="AC166" s="459" t="s">
        <v>375</v>
      </c>
      <c r="AD166" s="468" t="s">
        <v>376</v>
      </c>
      <c r="AE166" s="402">
        <f>AX312</f>
        <v>0</v>
      </c>
      <c r="AF166" s="403" t="str">
        <f t="shared" si="2"/>
        <v/>
      </c>
      <c r="AH166" s="378"/>
      <c r="AI166" s="1087" t="s">
        <v>377</v>
      </c>
      <c r="AJ166" s="1088"/>
      <c r="AK166" s="1088"/>
      <c r="AL166" s="1088"/>
      <c r="AM166" s="1088"/>
      <c r="AN166" s="469" t="s">
        <v>378</v>
      </c>
      <c r="AO166" s="387">
        <f t="shared" si="0"/>
        <v>0</v>
      </c>
      <c r="AP166" s="388"/>
      <c r="AQ166" s="378"/>
      <c r="AR166" s="1102" t="s">
        <v>379</v>
      </c>
      <c r="AS166" s="1103"/>
      <c r="AT166" s="1103"/>
      <c r="AU166" s="1103"/>
      <c r="AV166" s="1103"/>
      <c r="AW166" s="470" t="s">
        <v>380</v>
      </c>
      <c r="AX166" s="387">
        <f t="shared" si="1"/>
        <v>0</v>
      </c>
      <c r="AY166" s="397"/>
      <c r="AZ166" s="378"/>
      <c r="BA166" s="381"/>
    </row>
    <row r="167" spans="1:58" ht="18.75" thickBot="1" x14ac:dyDescent="0.3">
      <c r="A167" s="1169" t="s">
        <v>79</v>
      </c>
      <c r="B167" s="1170"/>
      <c r="C167" s="1171"/>
      <c r="D167" s="421"/>
      <c r="E167" s="422" t="s">
        <v>321</v>
      </c>
      <c r="F167" s="471" t="s">
        <v>78</v>
      </c>
      <c r="G167" s="1111">
        <f t="shared" si="3"/>
        <v>1</v>
      </c>
      <c r="H167" s="1112"/>
      <c r="I167" s="1113"/>
      <c r="J167" s="424">
        <v>0</v>
      </c>
      <c r="K167" s="425">
        <v>0</v>
      </c>
      <c r="L167" s="426">
        <f t="shared" si="7"/>
        <v>1</v>
      </c>
      <c r="M167" s="394"/>
      <c r="N167" s="1169" t="s">
        <v>79</v>
      </c>
      <c r="O167" s="1170"/>
      <c r="P167" s="1171"/>
      <c r="Q167" s="421"/>
      <c r="R167" s="422" t="s">
        <v>321</v>
      </c>
      <c r="S167" s="471" t="s">
        <v>78</v>
      </c>
      <c r="T167" s="1212">
        <f t="shared" si="4"/>
        <v>0</v>
      </c>
      <c r="U167" s="1212"/>
      <c r="V167" s="1212"/>
      <c r="W167" s="424">
        <v>0</v>
      </c>
      <c r="X167" s="425">
        <v>0</v>
      </c>
      <c r="Y167" s="426">
        <f t="shared" si="5"/>
        <v>0</v>
      </c>
      <c r="Z167" s="427">
        <f t="shared" si="6"/>
        <v>1</v>
      </c>
      <c r="AA167" s="394"/>
      <c r="AC167" s="459" t="s">
        <v>381</v>
      </c>
      <c r="AD167" s="472" t="s">
        <v>382</v>
      </c>
      <c r="AE167" s="402">
        <f>AO315</f>
        <v>0</v>
      </c>
      <c r="AF167" s="403" t="str">
        <f t="shared" si="2"/>
        <v/>
      </c>
      <c r="AH167" s="378"/>
      <c r="AI167" s="1087" t="s">
        <v>383</v>
      </c>
      <c r="AJ167" s="1088"/>
      <c r="AK167" s="1088"/>
      <c r="AL167" s="1088"/>
      <c r="AM167" s="1088"/>
      <c r="AN167" s="473" t="s">
        <v>384</v>
      </c>
      <c r="AO167" s="387">
        <f t="shared" si="0"/>
        <v>0</v>
      </c>
      <c r="AP167" s="388"/>
      <c r="AQ167" s="378"/>
      <c r="AR167" s="1102" t="s">
        <v>385</v>
      </c>
      <c r="AS167" s="1103"/>
      <c r="AT167" s="1103"/>
      <c r="AU167" s="1103"/>
      <c r="AV167" s="1103"/>
      <c r="AW167" s="474" t="s">
        <v>386</v>
      </c>
      <c r="AX167" s="387">
        <f t="shared" si="1"/>
        <v>0</v>
      </c>
      <c r="AY167" s="397"/>
      <c r="AZ167" s="378"/>
      <c r="BA167" s="381"/>
    </row>
    <row r="168" spans="1:58" ht="18.75" thickBot="1" x14ac:dyDescent="0.3">
      <c r="A168" s="1169" t="s">
        <v>80</v>
      </c>
      <c r="B168" s="1170"/>
      <c r="C168" s="1171"/>
      <c r="D168" s="421"/>
      <c r="E168" s="422"/>
      <c r="F168" s="475" t="s">
        <v>115</v>
      </c>
      <c r="G168" s="1111">
        <f t="shared" si="3"/>
        <v>1</v>
      </c>
      <c r="H168" s="1112"/>
      <c r="I168" s="1113"/>
      <c r="J168" s="424">
        <v>0</v>
      </c>
      <c r="K168" s="425">
        <v>0</v>
      </c>
      <c r="L168" s="426">
        <f t="shared" si="7"/>
        <v>1</v>
      </c>
      <c r="M168" s="394"/>
      <c r="N168" s="1169" t="s">
        <v>80</v>
      </c>
      <c r="O168" s="1170"/>
      <c r="P168" s="1171"/>
      <c r="Q168" s="421"/>
      <c r="R168" s="422"/>
      <c r="S168" s="475" t="s">
        <v>115</v>
      </c>
      <c r="T168" s="1212">
        <f t="shared" si="4"/>
        <v>0</v>
      </c>
      <c r="U168" s="1212"/>
      <c r="V168" s="1212"/>
      <c r="W168" s="424">
        <v>0</v>
      </c>
      <c r="X168" s="425">
        <v>0</v>
      </c>
      <c r="Y168" s="426">
        <f t="shared" si="5"/>
        <v>0</v>
      </c>
      <c r="Z168" s="427">
        <f t="shared" si="6"/>
        <v>1</v>
      </c>
      <c r="AA168" s="394"/>
      <c r="AC168" s="459" t="s">
        <v>277</v>
      </c>
      <c r="AD168" s="476" t="s">
        <v>387</v>
      </c>
      <c r="AE168" s="402">
        <f>AX192</f>
        <v>0</v>
      </c>
      <c r="AF168" s="403" t="str">
        <f t="shared" si="2"/>
        <v/>
      </c>
      <c r="AH168" s="378"/>
      <c r="AI168" s="1087" t="s">
        <v>388</v>
      </c>
      <c r="AJ168" s="1088"/>
      <c r="AK168" s="1088"/>
      <c r="AL168" s="1088"/>
      <c r="AM168" s="1088"/>
      <c r="AN168" s="477" t="s">
        <v>389</v>
      </c>
      <c r="AO168" s="387">
        <f t="shared" si="0"/>
        <v>0</v>
      </c>
      <c r="AP168" s="388"/>
      <c r="AQ168" s="378"/>
      <c r="AR168" s="1102" t="s">
        <v>390</v>
      </c>
      <c r="AS168" s="1103"/>
      <c r="AT168" s="1103"/>
      <c r="AU168" s="1103"/>
      <c r="AV168" s="1103"/>
      <c r="AW168" s="474" t="s">
        <v>391</v>
      </c>
      <c r="AX168" s="387">
        <f t="shared" si="1"/>
        <v>0</v>
      </c>
      <c r="AY168" s="397"/>
      <c r="AZ168" s="378"/>
      <c r="BA168" s="381"/>
    </row>
    <row r="169" spans="1:58" ht="18.75" thickBot="1" x14ac:dyDescent="0.3">
      <c r="A169" s="1169" t="s">
        <v>36</v>
      </c>
      <c r="B169" s="1170"/>
      <c r="C169" s="1171"/>
      <c r="D169" s="421"/>
      <c r="E169" s="422" t="s">
        <v>321</v>
      </c>
      <c r="F169" s="478" t="s">
        <v>37</v>
      </c>
      <c r="G169" s="1111">
        <f t="shared" si="3"/>
        <v>0</v>
      </c>
      <c r="H169" s="1112"/>
      <c r="I169" s="1113"/>
      <c r="J169" s="424">
        <v>0</v>
      </c>
      <c r="K169" s="425">
        <v>0</v>
      </c>
      <c r="L169" s="426">
        <f t="shared" si="7"/>
        <v>0</v>
      </c>
      <c r="M169" s="394"/>
      <c r="N169" s="1169" t="s">
        <v>36</v>
      </c>
      <c r="O169" s="1170"/>
      <c r="P169" s="1171"/>
      <c r="Q169" s="421"/>
      <c r="R169" s="422" t="s">
        <v>321</v>
      </c>
      <c r="S169" s="478" t="s">
        <v>37</v>
      </c>
      <c r="T169" s="1212">
        <f t="shared" si="4"/>
        <v>0</v>
      </c>
      <c r="U169" s="1212"/>
      <c r="V169" s="1212"/>
      <c r="W169" s="424">
        <v>0</v>
      </c>
      <c r="X169" s="425">
        <v>0</v>
      </c>
      <c r="Y169" s="426">
        <f t="shared" si="5"/>
        <v>0</v>
      </c>
      <c r="Z169" s="427">
        <f t="shared" si="6"/>
        <v>0</v>
      </c>
      <c r="AA169" s="394"/>
      <c r="AC169" s="479" t="s">
        <v>204</v>
      </c>
      <c r="AD169" s="204" t="s">
        <v>392</v>
      </c>
      <c r="AE169" s="402">
        <f t="shared" ref="AE169" si="8">COUNTIF($P$1:$Q$1,AD169)</f>
        <v>0</v>
      </c>
      <c r="AF169" s="403" t="str">
        <f t="shared" si="2"/>
        <v/>
      </c>
      <c r="AH169" s="378"/>
      <c r="AI169" s="1087" t="s">
        <v>393</v>
      </c>
      <c r="AJ169" s="1088"/>
      <c r="AK169" s="1088"/>
      <c r="AL169" s="1088"/>
      <c r="AM169" s="1088"/>
      <c r="AN169" s="480" t="s">
        <v>394</v>
      </c>
      <c r="AO169" s="387">
        <f t="shared" si="0"/>
        <v>0</v>
      </c>
      <c r="AP169" s="388"/>
      <c r="AQ169" s="378"/>
      <c r="AR169" s="1102" t="s">
        <v>395</v>
      </c>
      <c r="AS169" s="1103"/>
      <c r="AT169" s="1103"/>
      <c r="AU169" s="1103"/>
      <c r="AV169" s="1103"/>
      <c r="AW169" s="481" t="s">
        <v>396</v>
      </c>
      <c r="AX169" s="387">
        <f t="shared" si="1"/>
        <v>0</v>
      </c>
      <c r="AY169" s="397"/>
      <c r="AZ169" s="378"/>
      <c r="BA169" s="381"/>
      <c r="BB169" s="378"/>
      <c r="BC169" s="378"/>
      <c r="BD169" s="378"/>
      <c r="BE169" s="378"/>
      <c r="BF169" s="378"/>
    </row>
    <row r="170" spans="1:58" ht="18" x14ac:dyDescent="0.25">
      <c r="A170" s="1169" t="s">
        <v>43</v>
      </c>
      <c r="B170" s="1170"/>
      <c r="C170" s="1171"/>
      <c r="D170" s="421"/>
      <c r="E170" s="422"/>
      <c r="F170" s="482" t="s">
        <v>44</v>
      </c>
      <c r="G170" s="1111">
        <f t="shared" si="3"/>
        <v>0</v>
      </c>
      <c r="H170" s="1112"/>
      <c r="I170" s="1113"/>
      <c r="J170" s="424">
        <v>0</v>
      </c>
      <c r="K170" s="425">
        <v>0</v>
      </c>
      <c r="L170" s="426">
        <f t="shared" si="7"/>
        <v>0</v>
      </c>
      <c r="M170" s="394"/>
      <c r="N170" s="1169" t="s">
        <v>43</v>
      </c>
      <c r="O170" s="1170"/>
      <c r="P170" s="1171"/>
      <c r="Q170" s="421"/>
      <c r="R170" s="422"/>
      <c r="S170" s="482" t="s">
        <v>44</v>
      </c>
      <c r="T170" s="1212">
        <f t="shared" si="4"/>
        <v>0</v>
      </c>
      <c r="U170" s="1212"/>
      <c r="V170" s="1212"/>
      <c r="W170" s="424">
        <v>0</v>
      </c>
      <c r="X170" s="425">
        <v>0</v>
      </c>
      <c r="Y170" s="426">
        <f t="shared" si="5"/>
        <v>0</v>
      </c>
      <c r="Z170" s="427">
        <f t="shared" si="6"/>
        <v>0</v>
      </c>
      <c r="AA170" s="394"/>
      <c r="AC170" s="459" t="s">
        <v>397</v>
      </c>
      <c r="AD170" s="483" t="s">
        <v>398</v>
      </c>
      <c r="AE170" s="402">
        <f>COUNTIF($P$1:$Q$1,AD170)</f>
        <v>0</v>
      </c>
      <c r="AF170" s="403" t="str">
        <f t="shared" si="2"/>
        <v/>
      </c>
      <c r="AH170" s="378"/>
      <c r="AI170" s="1087" t="s">
        <v>399</v>
      </c>
      <c r="AJ170" s="1088"/>
      <c r="AK170" s="1088"/>
      <c r="AL170" s="1088"/>
      <c r="AM170" s="1088"/>
      <c r="AN170" s="484" t="s">
        <v>400</v>
      </c>
      <c r="AO170" s="387">
        <f t="shared" si="0"/>
        <v>0</v>
      </c>
      <c r="AP170" s="388"/>
      <c r="AQ170" s="378"/>
      <c r="AR170" s="1102" t="s">
        <v>401</v>
      </c>
      <c r="AS170" s="1103"/>
      <c r="AT170" s="1103"/>
      <c r="AU170" s="1103"/>
      <c r="AV170" s="1103"/>
      <c r="AW170" s="485" t="s">
        <v>402</v>
      </c>
      <c r="AX170" s="387">
        <f t="shared" si="1"/>
        <v>0</v>
      </c>
      <c r="AY170" s="397"/>
      <c r="AZ170" s="378"/>
      <c r="BA170" s="381"/>
      <c r="BB170" s="378"/>
      <c r="BC170" s="378"/>
      <c r="BD170" s="378"/>
      <c r="BE170" s="378"/>
      <c r="BF170" s="378"/>
    </row>
    <row r="171" spans="1:58" ht="18.75" thickBot="1" x14ac:dyDescent="0.3">
      <c r="A171" s="1169" t="s">
        <v>16</v>
      </c>
      <c r="B171" s="1170"/>
      <c r="C171" s="1171"/>
      <c r="D171" s="421"/>
      <c r="E171" s="422"/>
      <c r="F171" s="486" t="s">
        <v>7</v>
      </c>
      <c r="G171" s="1111">
        <f t="shared" si="3"/>
        <v>0</v>
      </c>
      <c r="H171" s="1112"/>
      <c r="I171" s="1113"/>
      <c r="J171" s="424">
        <v>0</v>
      </c>
      <c r="K171" s="425">
        <v>0</v>
      </c>
      <c r="L171" s="426">
        <f t="shared" si="7"/>
        <v>0</v>
      </c>
      <c r="M171" s="394"/>
      <c r="N171" s="1169" t="s">
        <v>16</v>
      </c>
      <c r="O171" s="1170"/>
      <c r="P171" s="1171"/>
      <c r="Q171" s="421"/>
      <c r="R171" s="422"/>
      <c r="S171" s="486" t="s">
        <v>7</v>
      </c>
      <c r="T171" s="1212">
        <f t="shared" si="4"/>
        <v>0</v>
      </c>
      <c r="U171" s="1212"/>
      <c r="V171" s="1212"/>
      <c r="W171" s="424">
        <v>0</v>
      </c>
      <c r="X171" s="425">
        <v>0</v>
      </c>
      <c r="Y171" s="426">
        <f t="shared" si="5"/>
        <v>0</v>
      </c>
      <c r="Z171" s="427">
        <f t="shared" si="6"/>
        <v>0</v>
      </c>
      <c r="AA171" s="394"/>
      <c r="AC171" s="459" t="s">
        <v>403</v>
      </c>
      <c r="AD171" s="487" t="s">
        <v>404</v>
      </c>
      <c r="AE171" s="402">
        <f>AO328</f>
        <v>0</v>
      </c>
      <c r="AF171" s="403" t="str">
        <f t="shared" si="2"/>
        <v/>
      </c>
      <c r="AH171" s="378"/>
      <c r="AI171" s="1087" t="s">
        <v>405</v>
      </c>
      <c r="AJ171" s="1088"/>
      <c r="AK171" s="1088"/>
      <c r="AL171" s="1088"/>
      <c r="AM171" s="1088"/>
      <c r="AN171" s="488" t="s">
        <v>406</v>
      </c>
      <c r="AO171" s="387">
        <f t="shared" si="0"/>
        <v>0</v>
      </c>
      <c r="AP171" s="388"/>
      <c r="AQ171" s="378"/>
      <c r="AR171" s="1102" t="s">
        <v>407</v>
      </c>
      <c r="AS171" s="1103"/>
      <c r="AT171" s="1103"/>
      <c r="AU171" s="1103"/>
      <c r="AV171" s="1103"/>
      <c r="AW171" s="489" t="s">
        <v>408</v>
      </c>
      <c r="AX171" s="387">
        <f t="shared" si="1"/>
        <v>0</v>
      </c>
      <c r="AY171" s="397"/>
      <c r="AZ171" s="378"/>
      <c r="BA171" s="381"/>
    </row>
    <row r="172" spans="1:58" ht="18.75" thickBot="1" x14ac:dyDescent="0.3">
      <c r="A172" s="1169" t="s">
        <v>21</v>
      </c>
      <c r="B172" s="1170"/>
      <c r="C172" s="1171"/>
      <c r="D172" s="421"/>
      <c r="E172" s="422"/>
      <c r="F172" s="490" t="s">
        <v>11</v>
      </c>
      <c r="G172" s="1111">
        <f t="shared" si="3"/>
        <v>1</v>
      </c>
      <c r="H172" s="1112"/>
      <c r="I172" s="1113"/>
      <c r="J172" s="424">
        <v>0</v>
      </c>
      <c r="K172" s="425">
        <v>0</v>
      </c>
      <c r="L172" s="426">
        <f t="shared" si="7"/>
        <v>1</v>
      </c>
      <c r="M172" s="394"/>
      <c r="N172" s="1169" t="s">
        <v>21</v>
      </c>
      <c r="O172" s="1170"/>
      <c r="P172" s="1171"/>
      <c r="Q172" s="421"/>
      <c r="R172" s="422"/>
      <c r="S172" s="490" t="s">
        <v>11</v>
      </c>
      <c r="T172" s="1212">
        <f t="shared" si="4"/>
        <v>0</v>
      </c>
      <c r="U172" s="1212"/>
      <c r="V172" s="1212"/>
      <c r="W172" s="424">
        <v>0</v>
      </c>
      <c r="X172" s="425">
        <v>0</v>
      </c>
      <c r="Y172" s="426">
        <f t="shared" si="5"/>
        <v>0</v>
      </c>
      <c r="Z172" s="427">
        <f t="shared" si="6"/>
        <v>1</v>
      </c>
      <c r="AA172" s="394"/>
      <c r="AC172" s="459" t="s">
        <v>409</v>
      </c>
      <c r="AD172" s="491" t="s">
        <v>410</v>
      </c>
      <c r="AE172" s="402">
        <f>AX320</f>
        <v>0</v>
      </c>
      <c r="AF172" s="403" t="str">
        <f t="shared" si="2"/>
        <v/>
      </c>
      <c r="AH172" s="378"/>
      <c r="AI172" s="1087" t="s">
        <v>411</v>
      </c>
      <c r="AJ172" s="1088"/>
      <c r="AK172" s="1088"/>
      <c r="AL172" s="1088"/>
      <c r="AM172" s="1088"/>
      <c r="AN172" s="492" t="s">
        <v>412</v>
      </c>
      <c r="AO172" s="387">
        <f t="shared" si="0"/>
        <v>0</v>
      </c>
      <c r="AP172" s="388"/>
      <c r="AQ172" s="378"/>
      <c r="AR172" s="1102" t="s">
        <v>413</v>
      </c>
      <c r="AS172" s="1103"/>
      <c r="AT172" s="1103"/>
      <c r="AU172" s="1103"/>
      <c r="AV172" s="1103"/>
      <c r="AW172" s="450" t="s">
        <v>414</v>
      </c>
      <c r="AX172" s="387">
        <f t="shared" si="1"/>
        <v>0</v>
      </c>
      <c r="AY172" s="397"/>
      <c r="AZ172" s="378"/>
      <c r="BA172" s="381"/>
    </row>
    <row r="173" spans="1:58" ht="18.75" thickBot="1" x14ac:dyDescent="0.3">
      <c r="A173" s="1169" t="s">
        <v>81</v>
      </c>
      <c r="B173" s="1170"/>
      <c r="C173" s="1171"/>
      <c r="D173" s="421"/>
      <c r="E173" s="422" t="s">
        <v>321</v>
      </c>
      <c r="F173" s="493" t="s">
        <v>35</v>
      </c>
      <c r="G173" s="1111">
        <f t="shared" si="3"/>
        <v>1</v>
      </c>
      <c r="H173" s="1112"/>
      <c r="I173" s="1113"/>
      <c r="J173" s="424">
        <v>0</v>
      </c>
      <c r="K173" s="425">
        <v>0</v>
      </c>
      <c r="L173" s="426">
        <f t="shared" si="7"/>
        <v>1</v>
      </c>
      <c r="M173" s="394"/>
      <c r="N173" s="1169" t="s">
        <v>81</v>
      </c>
      <c r="O173" s="1170"/>
      <c r="P173" s="1171"/>
      <c r="Q173" s="421"/>
      <c r="R173" s="422" t="s">
        <v>321</v>
      </c>
      <c r="S173" s="493" t="s">
        <v>35</v>
      </c>
      <c r="T173" s="1212">
        <f t="shared" si="4"/>
        <v>0</v>
      </c>
      <c r="U173" s="1212"/>
      <c r="V173" s="1212"/>
      <c r="W173" s="424">
        <v>0</v>
      </c>
      <c r="X173" s="425">
        <v>0</v>
      </c>
      <c r="Y173" s="426">
        <f t="shared" si="5"/>
        <v>0</v>
      </c>
      <c r="Z173" s="427">
        <f t="shared" si="6"/>
        <v>1</v>
      </c>
      <c r="AA173" s="394"/>
      <c r="AC173" s="459" t="s">
        <v>415</v>
      </c>
      <c r="AD173" s="494" t="s">
        <v>416</v>
      </c>
      <c r="AE173" s="402">
        <f>AO310</f>
        <v>0</v>
      </c>
      <c r="AF173" s="403" t="str">
        <f t="shared" si="2"/>
        <v/>
      </c>
      <c r="AH173" s="378"/>
      <c r="AI173" s="1087" t="s">
        <v>417</v>
      </c>
      <c r="AJ173" s="1088"/>
      <c r="AK173" s="1088"/>
      <c r="AL173" s="1088"/>
      <c r="AM173" s="1088"/>
      <c r="AN173" s="484" t="s">
        <v>418</v>
      </c>
      <c r="AO173" s="387">
        <f t="shared" si="0"/>
        <v>0</v>
      </c>
      <c r="AP173" s="388"/>
      <c r="AQ173" s="378"/>
      <c r="AR173" s="1102" t="s">
        <v>419</v>
      </c>
      <c r="AS173" s="1103"/>
      <c r="AT173" s="1103"/>
      <c r="AU173" s="1103"/>
      <c r="AV173" s="1103"/>
      <c r="AW173" s="495" t="s">
        <v>420</v>
      </c>
      <c r="AX173" s="387">
        <f t="shared" si="1"/>
        <v>0</v>
      </c>
      <c r="AY173" s="397"/>
      <c r="AZ173" s="378"/>
      <c r="BA173" s="381"/>
    </row>
    <row r="174" spans="1:58" ht="18.75" thickBot="1" x14ac:dyDescent="0.3">
      <c r="A174" s="1169" t="s">
        <v>12</v>
      </c>
      <c r="B174" s="1170"/>
      <c r="C174" s="1171"/>
      <c r="D174" s="421"/>
      <c r="E174" s="422"/>
      <c r="F174" s="496" t="s">
        <v>13</v>
      </c>
      <c r="G174" s="1111">
        <f t="shared" si="3"/>
        <v>0</v>
      </c>
      <c r="H174" s="1112"/>
      <c r="I174" s="1113"/>
      <c r="J174" s="424">
        <v>0</v>
      </c>
      <c r="K174" s="425">
        <v>0</v>
      </c>
      <c r="L174" s="426">
        <f t="shared" si="7"/>
        <v>0</v>
      </c>
      <c r="M174" s="394"/>
      <c r="N174" s="1169" t="s">
        <v>12</v>
      </c>
      <c r="O174" s="1170"/>
      <c r="P174" s="1171"/>
      <c r="Q174" s="421"/>
      <c r="R174" s="422"/>
      <c r="S174" s="496" t="s">
        <v>13</v>
      </c>
      <c r="T174" s="1212">
        <f t="shared" si="4"/>
        <v>0</v>
      </c>
      <c r="U174" s="1212"/>
      <c r="V174" s="1212"/>
      <c r="W174" s="424">
        <v>0</v>
      </c>
      <c r="X174" s="425">
        <v>0</v>
      </c>
      <c r="Y174" s="426">
        <f t="shared" si="5"/>
        <v>0</v>
      </c>
      <c r="Z174" s="427">
        <f t="shared" si="6"/>
        <v>0</v>
      </c>
      <c r="AA174" s="394"/>
      <c r="AC174" s="479" t="s">
        <v>421</v>
      </c>
      <c r="AD174" s="497" t="s">
        <v>422</v>
      </c>
      <c r="AE174" s="402">
        <f>AX316</f>
        <v>0</v>
      </c>
      <c r="AF174" s="403" t="str">
        <f t="shared" si="2"/>
        <v/>
      </c>
      <c r="AH174" s="378"/>
      <c r="AI174" s="1087" t="s">
        <v>423</v>
      </c>
      <c r="AJ174" s="1088"/>
      <c r="AK174" s="1088"/>
      <c r="AL174" s="1088"/>
      <c r="AM174" s="1088"/>
      <c r="AN174" s="498" t="s">
        <v>424</v>
      </c>
      <c r="AO174" s="387">
        <f t="shared" si="0"/>
        <v>0</v>
      </c>
      <c r="AP174" s="388"/>
      <c r="AQ174" s="378"/>
      <c r="AR174" s="1102" t="s">
        <v>425</v>
      </c>
      <c r="AS174" s="1103"/>
      <c r="AT174" s="1103"/>
      <c r="AU174" s="1103"/>
      <c r="AV174" s="1103"/>
      <c r="AW174" s="499" t="s">
        <v>426</v>
      </c>
      <c r="AX174" s="387">
        <f t="shared" si="1"/>
        <v>0</v>
      </c>
      <c r="AY174" s="397"/>
      <c r="AZ174" s="378"/>
      <c r="BA174" s="381"/>
    </row>
    <row r="175" spans="1:58" ht="18.75" thickBot="1" x14ac:dyDescent="0.3">
      <c r="A175" s="1169" t="s">
        <v>83</v>
      </c>
      <c r="B175" s="1170"/>
      <c r="C175" s="1171"/>
      <c r="D175" s="421" t="s">
        <v>46</v>
      </c>
      <c r="E175" s="422"/>
      <c r="F175" s="500" t="s">
        <v>82</v>
      </c>
      <c r="G175" s="1111">
        <f t="shared" si="3"/>
        <v>0</v>
      </c>
      <c r="H175" s="1112"/>
      <c r="I175" s="1113"/>
      <c r="J175" s="424">
        <v>0</v>
      </c>
      <c r="K175" s="425">
        <v>0</v>
      </c>
      <c r="L175" s="426">
        <f t="shared" si="7"/>
        <v>0</v>
      </c>
      <c r="M175" s="394"/>
      <c r="N175" s="1169" t="s">
        <v>83</v>
      </c>
      <c r="O175" s="1170"/>
      <c r="P175" s="1171"/>
      <c r="Q175" s="421" t="s">
        <v>46</v>
      </c>
      <c r="R175" s="422"/>
      <c r="S175" s="500" t="s">
        <v>82</v>
      </c>
      <c r="T175" s="1212">
        <f t="shared" si="4"/>
        <v>0</v>
      </c>
      <c r="U175" s="1212"/>
      <c r="V175" s="1212"/>
      <c r="W175" s="424">
        <v>0</v>
      </c>
      <c r="X175" s="425">
        <v>0</v>
      </c>
      <c r="Y175" s="426">
        <f t="shared" si="5"/>
        <v>0</v>
      </c>
      <c r="Z175" s="427">
        <f t="shared" si="6"/>
        <v>0</v>
      </c>
      <c r="AA175" s="394"/>
      <c r="AC175" s="459" t="s">
        <v>427</v>
      </c>
      <c r="AD175" s="494" t="s">
        <v>428</v>
      </c>
      <c r="AE175" s="402">
        <f>COUNTIF($A$1:$GO$128,AD175)</f>
        <v>0</v>
      </c>
      <c r="AF175" s="403" t="str">
        <f t="shared" si="2"/>
        <v/>
      </c>
      <c r="AH175" s="378"/>
      <c r="AI175" s="1087" t="s">
        <v>429</v>
      </c>
      <c r="AJ175" s="1088"/>
      <c r="AK175" s="1088"/>
      <c r="AL175" s="1088"/>
      <c r="AM175" s="1088"/>
      <c r="AN175" s="501" t="s">
        <v>430</v>
      </c>
      <c r="AO175" s="387">
        <f t="shared" si="0"/>
        <v>0</v>
      </c>
      <c r="AP175" s="388"/>
      <c r="AQ175" s="378"/>
      <c r="AR175" s="1102" t="s">
        <v>431</v>
      </c>
      <c r="AS175" s="1103"/>
      <c r="AT175" s="1103"/>
      <c r="AU175" s="1103"/>
      <c r="AV175" s="1103"/>
      <c r="AW175" s="502" t="s">
        <v>432</v>
      </c>
      <c r="AX175" s="387">
        <f t="shared" si="1"/>
        <v>0</v>
      </c>
      <c r="AY175" s="397"/>
      <c r="AZ175" s="378"/>
      <c r="BA175" s="381"/>
    </row>
    <row r="176" spans="1:58" ht="18.75" thickBot="1" x14ac:dyDescent="0.3">
      <c r="A176" s="1169" t="s">
        <v>85</v>
      </c>
      <c r="B176" s="1170"/>
      <c r="C176" s="1171"/>
      <c r="D176" s="421"/>
      <c r="E176" s="422" t="s">
        <v>321</v>
      </c>
      <c r="F176" s="503" t="s">
        <v>84</v>
      </c>
      <c r="G176" s="1111">
        <f t="shared" si="3"/>
        <v>5</v>
      </c>
      <c r="H176" s="1112"/>
      <c r="I176" s="1113"/>
      <c r="J176" s="424">
        <v>0</v>
      </c>
      <c r="K176" s="425">
        <v>0</v>
      </c>
      <c r="L176" s="426">
        <f t="shared" si="7"/>
        <v>5</v>
      </c>
      <c r="M176" s="394"/>
      <c r="N176" s="1169" t="s">
        <v>85</v>
      </c>
      <c r="O176" s="1170"/>
      <c r="P176" s="1171"/>
      <c r="Q176" s="421"/>
      <c r="R176" s="422" t="s">
        <v>321</v>
      </c>
      <c r="S176" s="503" t="s">
        <v>84</v>
      </c>
      <c r="T176" s="1212">
        <f t="shared" si="4"/>
        <v>2</v>
      </c>
      <c r="U176" s="1212"/>
      <c r="V176" s="1212"/>
      <c r="W176" s="424">
        <v>0</v>
      </c>
      <c r="X176" s="425">
        <v>0</v>
      </c>
      <c r="Y176" s="426">
        <f t="shared" si="5"/>
        <v>2</v>
      </c>
      <c r="Z176" s="427">
        <f t="shared" si="6"/>
        <v>7</v>
      </c>
      <c r="AA176" s="394"/>
      <c r="AC176" s="1220" t="s">
        <v>433</v>
      </c>
      <c r="AD176" s="1221"/>
      <c r="AE176" s="1221"/>
      <c r="AF176" s="1221"/>
      <c r="AH176" s="378"/>
      <c r="AI176" s="1087" t="s">
        <v>434</v>
      </c>
      <c r="AJ176" s="1088"/>
      <c r="AK176" s="1088"/>
      <c r="AL176" s="1088"/>
      <c r="AM176" s="1088"/>
      <c r="AN176" s="504" t="s">
        <v>435</v>
      </c>
      <c r="AO176" s="387">
        <f t="shared" si="0"/>
        <v>0</v>
      </c>
      <c r="AP176" s="388"/>
      <c r="AQ176" s="378"/>
      <c r="AR176" s="1102" t="s">
        <v>436</v>
      </c>
      <c r="AS176" s="1103"/>
      <c r="AT176" s="1103"/>
      <c r="AU176" s="1103"/>
      <c r="AV176" s="1103"/>
      <c r="AW176" s="505" t="s">
        <v>437</v>
      </c>
      <c r="AX176" s="387">
        <f t="shared" si="1"/>
        <v>0</v>
      </c>
      <c r="AY176" s="397"/>
      <c r="AZ176" s="378"/>
      <c r="BA176" s="506"/>
    </row>
    <row r="177" spans="1:58" ht="18.75" thickBot="1" x14ac:dyDescent="0.3">
      <c r="A177" s="1169" t="s">
        <v>87</v>
      </c>
      <c r="B177" s="1170"/>
      <c r="C177" s="1171"/>
      <c r="D177" s="421" t="s">
        <v>9</v>
      </c>
      <c r="E177" s="422" t="s">
        <v>321</v>
      </c>
      <c r="F177" s="507" t="s">
        <v>86</v>
      </c>
      <c r="G177" s="1111">
        <f t="shared" si="3"/>
        <v>0</v>
      </c>
      <c r="H177" s="1112"/>
      <c r="I177" s="1113"/>
      <c r="J177" s="424">
        <v>0</v>
      </c>
      <c r="K177" s="425">
        <v>0</v>
      </c>
      <c r="L177" s="426">
        <f t="shared" si="7"/>
        <v>0</v>
      </c>
      <c r="M177" s="394"/>
      <c r="N177" s="1169" t="s">
        <v>87</v>
      </c>
      <c r="O177" s="1170"/>
      <c r="P177" s="1171"/>
      <c r="Q177" s="421" t="s">
        <v>9</v>
      </c>
      <c r="R177" s="422" t="s">
        <v>321</v>
      </c>
      <c r="S177" s="507" t="s">
        <v>86</v>
      </c>
      <c r="T177" s="1111">
        <f t="shared" si="4"/>
        <v>0</v>
      </c>
      <c r="U177" s="1112"/>
      <c r="V177" s="1113"/>
      <c r="W177" s="424">
        <v>0</v>
      </c>
      <c r="X177" s="425">
        <v>0</v>
      </c>
      <c r="Y177" s="426">
        <f t="shared" si="5"/>
        <v>0</v>
      </c>
      <c r="Z177" s="427">
        <f t="shared" si="6"/>
        <v>0</v>
      </c>
      <c r="AA177" s="394"/>
      <c r="AC177" s="508" t="s">
        <v>438</v>
      </c>
      <c r="AD177" s="509" t="s">
        <v>212</v>
      </c>
      <c r="AE177" s="402">
        <f t="shared" ref="AE177:AE240" si="9">COUNTIF($A$1:$GO$128,AD177)</f>
        <v>16</v>
      </c>
      <c r="AF177" s="403" t="str">
        <f>IFERROR(AE177/$J$4,"")</f>
        <v/>
      </c>
      <c r="AH177" s="378"/>
      <c r="AI177" s="1087" t="s">
        <v>439</v>
      </c>
      <c r="AJ177" s="1088"/>
      <c r="AK177" s="1088"/>
      <c r="AL177" s="1088"/>
      <c r="AM177" s="1088"/>
      <c r="AN177" s="510" t="s">
        <v>161</v>
      </c>
      <c r="AO177" s="387">
        <f t="shared" si="0"/>
        <v>17</v>
      </c>
      <c r="AP177" s="388"/>
      <c r="AQ177" s="378"/>
      <c r="AR177" s="1102" t="s">
        <v>440</v>
      </c>
      <c r="AS177" s="1103"/>
      <c r="AT177" s="1103"/>
      <c r="AU177" s="1103"/>
      <c r="AV177" s="1103"/>
      <c r="AW177" s="511" t="s">
        <v>441</v>
      </c>
      <c r="AX177" s="387">
        <f t="shared" si="1"/>
        <v>0</v>
      </c>
      <c r="AY177" s="397"/>
      <c r="AZ177" s="378"/>
      <c r="BA177" s="506"/>
    </row>
    <row r="178" spans="1:58" ht="18" x14ac:dyDescent="0.25">
      <c r="A178" s="1216" t="s">
        <v>255</v>
      </c>
      <c r="B178" s="1217"/>
      <c r="C178" s="1217"/>
      <c r="D178" s="1217"/>
      <c r="E178" s="1217"/>
      <c r="F178" s="512"/>
      <c r="G178" s="1218">
        <f>SUM(G156:I177)</f>
        <v>39</v>
      </c>
      <c r="H178" s="1218"/>
      <c r="I178" s="1218"/>
      <c r="J178" s="513">
        <f>SUM(J156:J177)</f>
        <v>0</v>
      </c>
      <c r="K178" s="514">
        <f>SUM(K156:K177)</f>
        <v>0</v>
      </c>
      <c r="L178" s="426">
        <f>SUM(L156:L177)</f>
        <v>39</v>
      </c>
      <c r="M178" s="394"/>
      <c r="N178" s="1192" t="s">
        <v>255</v>
      </c>
      <c r="O178" s="1193"/>
      <c r="P178" s="1193"/>
      <c r="Q178" s="1193"/>
      <c r="R178" s="1193"/>
      <c r="S178" s="515"/>
      <c r="T178" s="1219">
        <f>SUM(T156:V177)</f>
        <v>8</v>
      </c>
      <c r="U178" s="1219"/>
      <c r="V178" s="1219"/>
      <c r="W178" s="513">
        <f>SUM(W156:W177)</f>
        <v>0</v>
      </c>
      <c r="X178" s="514">
        <f>SUM(X156:X177)</f>
        <v>0</v>
      </c>
      <c r="Y178" s="426">
        <f>SUM(Y156:Y177)</f>
        <v>8</v>
      </c>
      <c r="Z178" s="427">
        <f t="shared" si="6"/>
        <v>47</v>
      </c>
      <c r="AA178" s="394"/>
      <c r="AC178" s="508" t="s">
        <v>442</v>
      </c>
      <c r="AD178" s="516" t="s">
        <v>154</v>
      </c>
      <c r="AE178" s="402">
        <f t="shared" si="9"/>
        <v>3</v>
      </c>
      <c r="AF178" s="403" t="str">
        <f t="shared" ref="AF178:AF241" si="10">IFERROR(AE178/$J$4,"")</f>
        <v/>
      </c>
      <c r="AH178" s="378"/>
      <c r="AI178" s="1087" t="s">
        <v>443</v>
      </c>
      <c r="AJ178" s="1088"/>
      <c r="AK178" s="1088"/>
      <c r="AL178" s="1088"/>
      <c r="AM178" s="1088"/>
      <c r="AN178" s="517" t="s">
        <v>162</v>
      </c>
      <c r="AO178" s="387">
        <f t="shared" si="0"/>
        <v>7</v>
      </c>
      <c r="AP178" s="388"/>
      <c r="AQ178" s="378"/>
      <c r="AR178" s="1102" t="s">
        <v>444</v>
      </c>
      <c r="AS178" s="1103"/>
      <c r="AT178" s="1103"/>
      <c r="AU178" s="1103"/>
      <c r="AV178" s="1103"/>
      <c r="AW178" s="518" t="s">
        <v>445</v>
      </c>
      <c r="AX178" s="387">
        <f t="shared" si="1"/>
        <v>0</v>
      </c>
      <c r="AY178" s="397"/>
      <c r="AZ178" s="378"/>
      <c r="BA178" s="381"/>
    </row>
    <row r="179" spans="1:58" ht="18" x14ac:dyDescent="0.25">
      <c r="A179" s="1213" t="s">
        <v>446</v>
      </c>
      <c r="B179" s="1214"/>
      <c r="C179" s="1214"/>
      <c r="D179" s="1214"/>
      <c r="E179" s="1214"/>
      <c r="F179" s="1214"/>
      <c r="G179" s="1214"/>
      <c r="H179" s="1214"/>
      <c r="I179" s="1215"/>
      <c r="J179" s="416" t="s">
        <v>305</v>
      </c>
      <c r="K179" s="416" t="s">
        <v>306</v>
      </c>
      <c r="L179" s="416" t="s">
        <v>307</v>
      </c>
      <c r="M179" s="394"/>
      <c r="N179" s="1213" t="s">
        <v>446</v>
      </c>
      <c r="O179" s="1214"/>
      <c r="P179" s="1214"/>
      <c r="Q179" s="1214"/>
      <c r="R179" s="1214"/>
      <c r="S179" s="1214"/>
      <c r="T179" s="1214"/>
      <c r="U179" s="1214"/>
      <c r="V179" s="1215"/>
      <c r="W179" s="417" t="s">
        <v>305</v>
      </c>
      <c r="X179" s="417" t="s">
        <v>306</v>
      </c>
      <c r="Y179" s="417" t="s">
        <v>307</v>
      </c>
      <c r="Z179" s="519"/>
      <c r="AA179" s="394"/>
      <c r="AC179" s="508" t="s">
        <v>447</v>
      </c>
      <c r="AD179" s="520" t="s">
        <v>448</v>
      </c>
      <c r="AE179" s="402">
        <f t="shared" si="9"/>
        <v>0</v>
      </c>
      <c r="AF179" s="403" t="str">
        <f t="shared" si="10"/>
        <v/>
      </c>
      <c r="AH179" s="378"/>
      <c r="AI179" s="1087" t="s">
        <v>449</v>
      </c>
      <c r="AJ179" s="1088"/>
      <c r="AK179" s="1088"/>
      <c r="AL179" s="1088"/>
      <c r="AM179" s="1088"/>
      <c r="AN179" s="521" t="s">
        <v>450</v>
      </c>
      <c r="AO179" s="387">
        <f t="shared" si="0"/>
        <v>0</v>
      </c>
      <c r="AP179" s="388"/>
      <c r="AQ179" s="378"/>
      <c r="AR179" s="1102" t="s">
        <v>451</v>
      </c>
      <c r="AS179" s="1103"/>
      <c r="AT179" s="1103"/>
      <c r="AU179" s="1103"/>
      <c r="AV179" s="1103"/>
      <c r="AW179" s="522" t="s">
        <v>452</v>
      </c>
      <c r="AX179" s="387">
        <f t="shared" si="1"/>
        <v>0</v>
      </c>
      <c r="AY179" s="397"/>
      <c r="AZ179" s="378"/>
      <c r="BA179" s="381"/>
    </row>
    <row r="180" spans="1:58" ht="18" x14ac:dyDescent="0.25">
      <c r="A180" s="1207" t="s">
        <v>17</v>
      </c>
      <c r="B180" s="1208"/>
      <c r="C180" s="1209"/>
      <c r="D180" s="523"/>
      <c r="E180" s="524" t="s">
        <v>321</v>
      </c>
      <c r="F180" s="525" t="s">
        <v>6</v>
      </c>
      <c r="G180" s="1210">
        <f t="shared" ref="G180:G197" si="11">COUNTIF($A$1:$BK$73,F180)</f>
        <v>1</v>
      </c>
      <c r="H180" s="1177"/>
      <c r="I180" s="1178"/>
      <c r="J180" s="424">
        <v>0</v>
      </c>
      <c r="K180" s="425">
        <v>0</v>
      </c>
      <c r="L180" s="426">
        <f t="shared" ref="L180:L197" si="12">G180-K180-J180</f>
        <v>1</v>
      </c>
      <c r="M180" s="394"/>
      <c r="N180" s="1207" t="s">
        <v>17</v>
      </c>
      <c r="O180" s="1208"/>
      <c r="P180" s="1209"/>
      <c r="Q180" s="523"/>
      <c r="R180" s="524" t="s">
        <v>321</v>
      </c>
      <c r="S180" s="525" t="s">
        <v>6</v>
      </c>
      <c r="T180" s="1212">
        <f t="shared" ref="T180:T197" si="13">COUNTIF($BL$1:$CN$58,S180)</f>
        <v>1</v>
      </c>
      <c r="U180" s="1212"/>
      <c r="V180" s="1212"/>
      <c r="W180" s="424">
        <v>0</v>
      </c>
      <c r="X180" s="425">
        <v>0</v>
      </c>
      <c r="Y180" s="426">
        <f t="shared" ref="Y180:Y197" si="14">T180-X180-W180</f>
        <v>1</v>
      </c>
      <c r="Z180" s="427">
        <f t="shared" ref="Z180:Z198" si="15">T180+G180</f>
        <v>2</v>
      </c>
      <c r="AA180" s="394"/>
      <c r="AC180" s="508" t="s">
        <v>453</v>
      </c>
      <c r="AD180" s="526" t="s">
        <v>454</v>
      </c>
      <c r="AE180" s="402">
        <f t="shared" si="9"/>
        <v>0</v>
      </c>
      <c r="AF180" s="403" t="str">
        <f t="shared" si="10"/>
        <v/>
      </c>
      <c r="AH180" s="378"/>
      <c r="AI180" s="1087" t="s">
        <v>455</v>
      </c>
      <c r="AJ180" s="1088"/>
      <c r="AK180" s="1088"/>
      <c r="AL180" s="1088"/>
      <c r="AM180" s="1088"/>
      <c r="AN180" s="527" t="s">
        <v>456</v>
      </c>
      <c r="AO180" s="387">
        <f t="shared" si="0"/>
        <v>0</v>
      </c>
      <c r="AP180" s="388"/>
      <c r="AQ180" s="378"/>
      <c r="AR180" s="1102" t="s">
        <v>457</v>
      </c>
      <c r="AS180" s="1103"/>
      <c r="AT180" s="1103"/>
      <c r="AU180" s="1103"/>
      <c r="AV180" s="1103"/>
      <c r="AW180" s="522" t="s">
        <v>458</v>
      </c>
      <c r="AX180" s="387">
        <f t="shared" si="1"/>
        <v>0</v>
      </c>
      <c r="AY180" s="397"/>
      <c r="AZ180" s="378"/>
      <c r="BA180" s="381"/>
    </row>
    <row r="181" spans="1:58" ht="18.75" thickBot="1" x14ac:dyDescent="0.3">
      <c r="A181" s="1201" t="s">
        <v>89</v>
      </c>
      <c r="B181" s="1202"/>
      <c r="C181" s="1203"/>
      <c r="D181" s="421" t="s">
        <v>31</v>
      </c>
      <c r="E181" s="528"/>
      <c r="F181" s="529" t="s">
        <v>88</v>
      </c>
      <c r="G181" s="1111">
        <f t="shared" si="11"/>
        <v>0</v>
      </c>
      <c r="H181" s="1112"/>
      <c r="I181" s="1113"/>
      <c r="J181" s="424">
        <v>0</v>
      </c>
      <c r="K181" s="425">
        <v>0</v>
      </c>
      <c r="L181" s="426">
        <f t="shared" si="12"/>
        <v>0</v>
      </c>
      <c r="M181" s="394"/>
      <c r="N181" s="1201" t="s">
        <v>89</v>
      </c>
      <c r="O181" s="1202"/>
      <c r="P181" s="1203"/>
      <c r="Q181" s="421" t="s">
        <v>31</v>
      </c>
      <c r="R181" s="422"/>
      <c r="S181" s="530" t="s">
        <v>88</v>
      </c>
      <c r="T181" s="1212">
        <f t="shared" si="13"/>
        <v>0</v>
      </c>
      <c r="U181" s="1212"/>
      <c r="V181" s="1212"/>
      <c r="W181" s="424">
        <v>0</v>
      </c>
      <c r="X181" s="425">
        <v>0</v>
      </c>
      <c r="Y181" s="426">
        <f t="shared" si="14"/>
        <v>0</v>
      </c>
      <c r="Z181" s="427">
        <f t="shared" si="15"/>
        <v>0</v>
      </c>
      <c r="AA181" s="394"/>
      <c r="AC181" s="508" t="s">
        <v>204</v>
      </c>
      <c r="AD181" s="204" t="s">
        <v>204</v>
      </c>
      <c r="AE181" s="402">
        <f t="shared" si="9"/>
        <v>18</v>
      </c>
      <c r="AF181" s="403" t="str">
        <f t="shared" si="10"/>
        <v/>
      </c>
      <c r="AH181" s="378"/>
      <c r="AI181" s="1087" t="s">
        <v>459</v>
      </c>
      <c r="AJ181" s="1088"/>
      <c r="AK181" s="1088"/>
      <c r="AL181" s="1088"/>
      <c r="AM181" s="1088"/>
      <c r="AN181" s="488" t="s">
        <v>460</v>
      </c>
      <c r="AO181" s="387">
        <f t="shared" si="0"/>
        <v>0</v>
      </c>
      <c r="AP181" s="388"/>
      <c r="AQ181" s="378"/>
      <c r="AR181" s="1102" t="s">
        <v>461</v>
      </c>
      <c r="AS181" s="1103"/>
      <c r="AT181" s="1103"/>
      <c r="AU181" s="1103"/>
      <c r="AV181" s="1103"/>
      <c r="AW181" s="531" t="s">
        <v>462</v>
      </c>
      <c r="AX181" s="387">
        <f t="shared" si="1"/>
        <v>0</v>
      </c>
      <c r="AY181" s="397"/>
      <c r="AZ181" s="378"/>
      <c r="BA181" s="381"/>
    </row>
    <row r="182" spans="1:58" ht="18" x14ac:dyDescent="0.25">
      <c r="A182" s="1201" t="s">
        <v>138</v>
      </c>
      <c r="B182" s="1202"/>
      <c r="C182" s="1203"/>
      <c r="D182" s="421"/>
      <c r="E182" s="422"/>
      <c r="F182" s="532" t="s">
        <v>133</v>
      </c>
      <c r="G182" s="1111">
        <f t="shared" si="11"/>
        <v>0</v>
      </c>
      <c r="H182" s="1112"/>
      <c r="I182" s="1113"/>
      <c r="J182" s="424">
        <v>0</v>
      </c>
      <c r="K182" s="425">
        <v>0</v>
      </c>
      <c r="L182" s="426">
        <f t="shared" si="12"/>
        <v>0</v>
      </c>
      <c r="M182" s="394"/>
      <c r="N182" s="1201" t="s">
        <v>138</v>
      </c>
      <c r="O182" s="1202"/>
      <c r="P182" s="1203"/>
      <c r="Q182" s="421"/>
      <c r="R182" s="422"/>
      <c r="S182" s="532" t="s">
        <v>133</v>
      </c>
      <c r="T182" s="1212">
        <f t="shared" si="13"/>
        <v>0</v>
      </c>
      <c r="U182" s="1212"/>
      <c r="V182" s="1212"/>
      <c r="W182" s="424">
        <v>0</v>
      </c>
      <c r="X182" s="425">
        <v>0</v>
      </c>
      <c r="Y182" s="426">
        <f t="shared" si="14"/>
        <v>0</v>
      </c>
      <c r="Z182" s="427">
        <f t="shared" si="15"/>
        <v>0</v>
      </c>
      <c r="AA182" s="394"/>
      <c r="AC182" s="508" t="s">
        <v>463</v>
      </c>
      <c r="AD182" s="533" t="s">
        <v>464</v>
      </c>
      <c r="AE182" s="402">
        <f t="shared" si="9"/>
        <v>0</v>
      </c>
      <c r="AF182" s="403" t="str">
        <f t="shared" si="10"/>
        <v/>
      </c>
      <c r="AH182" s="378"/>
      <c r="AI182" s="1087" t="s">
        <v>465</v>
      </c>
      <c r="AJ182" s="1088"/>
      <c r="AK182" s="1088"/>
      <c r="AL182" s="1088"/>
      <c r="AM182" s="1088"/>
      <c r="AN182" s="534" t="s">
        <v>466</v>
      </c>
      <c r="AO182" s="387">
        <f t="shared" si="0"/>
        <v>0</v>
      </c>
      <c r="AP182" s="388"/>
      <c r="AQ182" s="378"/>
      <c r="AR182" s="1102" t="s">
        <v>467</v>
      </c>
      <c r="AS182" s="1103"/>
      <c r="AT182" s="1103"/>
      <c r="AU182" s="1103"/>
      <c r="AV182" s="1103"/>
      <c r="AW182" s="535" t="s">
        <v>468</v>
      </c>
      <c r="AX182" s="387">
        <f t="shared" si="1"/>
        <v>0</v>
      </c>
      <c r="AY182" s="397"/>
      <c r="AZ182" s="378"/>
      <c r="BA182" s="381"/>
    </row>
    <row r="183" spans="1:58" ht="18.75" thickBot="1" x14ac:dyDescent="0.3">
      <c r="A183" s="1201" t="s">
        <v>139</v>
      </c>
      <c r="B183" s="1202"/>
      <c r="C183" s="1203"/>
      <c r="D183" s="421"/>
      <c r="E183" s="422"/>
      <c r="F183" s="536" t="s">
        <v>135</v>
      </c>
      <c r="G183" s="1111">
        <f t="shared" si="11"/>
        <v>1</v>
      </c>
      <c r="H183" s="1112"/>
      <c r="I183" s="1113"/>
      <c r="J183" s="424">
        <v>0</v>
      </c>
      <c r="K183" s="425">
        <v>0</v>
      </c>
      <c r="L183" s="426">
        <f t="shared" si="12"/>
        <v>1</v>
      </c>
      <c r="M183" s="394"/>
      <c r="N183" s="1201" t="s">
        <v>139</v>
      </c>
      <c r="O183" s="1202"/>
      <c r="P183" s="1203"/>
      <c r="Q183" s="421"/>
      <c r="R183" s="422"/>
      <c r="S183" s="536" t="s">
        <v>135</v>
      </c>
      <c r="T183" s="1212">
        <f t="shared" si="13"/>
        <v>0</v>
      </c>
      <c r="U183" s="1212"/>
      <c r="V183" s="1212"/>
      <c r="W183" s="424">
        <v>0</v>
      </c>
      <c r="X183" s="425">
        <v>0</v>
      </c>
      <c r="Y183" s="426">
        <f t="shared" si="14"/>
        <v>0</v>
      </c>
      <c r="Z183" s="427">
        <f t="shared" si="15"/>
        <v>1</v>
      </c>
      <c r="AA183" s="394"/>
      <c r="AC183" s="508" t="s">
        <v>469</v>
      </c>
      <c r="AD183" s="537" t="s">
        <v>470</v>
      </c>
      <c r="AE183" s="402">
        <f t="shared" si="9"/>
        <v>0</v>
      </c>
      <c r="AF183" s="403" t="str">
        <f t="shared" si="10"/>
        <v/>
      </c>
      <c r="AH183" s="378"/>
      <c r="AI183" s="1087" t="s">
        <v>471</v>
      </c>
      <c r="AJ183" s="1088"/>
      <c r="AK183" s="1088"/>
      <c r="AL183" s="1088"/>
      <c r="AM183" s="1088"/>
      <c r="AN183" s="538" t="s">
        <v>472</v>
      </c>
      <c r="AO183" s="387">
        <f t="shared" si="0"/>
        <v>0</v>
      </c>
      <c r="AP183" s="388"/>
      <c r="AQ183" s="378"/>
      <c r="AR183" s="1102" t="s">
        <v>473</v>
      </c>
      <c r="AS183" s="1103"/>
      <c r="AT183" s="1103"/>
      <c r="AU183" s="1103"/>
      <c r="AV183" s="1103"/>
      <c r="AW183" s="539" t="s">
        <v>474</v>
      </c>
      <c r="AX183" s="387">
        <f t="shared" si="1"/>
        <v>0</v>
      </c>
      <c r="AY183" s="397"/>
      <c r="AZ183" s="378"/>
      <c r="BA183" s="381"/>
    </row>
    <row r="184" spans="1:58" ht="18.75" thickBot="1" x14ac:dyDescent="0.3">
      <c r="A184" s="1201" t="s">
        <v>30</v>
      </c>
      <c r="B184" s="1202"/>
      <c r="C184" s="1203"/>
      <c r="D184" s="421"/>
      <c r="E184" s="422" t="s">
        <v>321</v>
      </c>
      <c r="F184" s="540" t="s">
        <v>31</v>
      </c>
      <c r="G184" s="1111">
        <f t="shared" si="11"/>
        <v>0</v>
      </c>
      <c r="H184" s="1112"/>
      <c r="I184" s="1113"/>
      <c r="J184" s="424">
        <v>0</v>
      </c>
      <c r="K184" s="425">
        <v>0</v>
      </c>
      <c r="L184" s="426">
        <f t="shared" si="12"/>
        <v>0</v>
      </c>
      <c r="M184" s="394"/>
      <c r="N184" s="1201" t="s">
        <v>30</v>
      </c>
      <c r="O184" s="1202"/>
      <c r="P184" s="1203"/>
      <c r="Q184" s="421"/>
      <c r="R184" s="422" t="s">
        <v>321</v>
      </c>
      <c r="S184" s="540" t="s">
        <v>31</v>
      </c>
      <c r="T184" s="1212">
        <f t="shared" si="13"/>
        <v>0</v>
      </c>
      <c r="U184" s="1212"/>
      <c r="V184" s="1212"/>
      <c r="W184" s="424">
        <v>0</v>
      </c>
      <c r="X184" s="425">
        <v>0</v>
      </c>
      <c r="Y184" s="426">
        <f t="shared" si="14"/>
        <v>0</v>
      </c>
      <c r="Z184" s="427">
        <f t="shared" si="15"/>
        <v>0</v>
      </c>
      <c r="AA184" s="394"/>
      <c r="AC184" s="508" t="s">
        <v>475</v>
      </c>
      <c r="AD184" s="541" t="s">
        <v>475</v>
      </c>
      <c r="AE184" s="402">
        <f t="shared" si="9"/>
        <v>0</v>
      </c>
      <c r="AF184" s="403" t="str">
        <f t="shared" si="10"/>
        <v/>
      </c>
      <c r="AH184" s="378"/>
      <c r="AI184" s="1087" t="s">
        <v>476</v>
      </c>
      <c r="AJ184" s="1088"/>
      <c r="AK184" s="1088"/>
      <c r="AL184" s="1088"/>
      <c r="AM184" s="1088"/>
      <c r="AN184" s="542" t="s">
        <v>477</v>
      </c>
      <c r="AO184" s="387">
        <f t="shared" si="0"/>
        <v>0</v>
      </c>
      <c r="AP184" s="388"/>
      <c r="AQ184" s="378"/>
      <c r="AR184" s="1102" t="s">
        <v>478</v>
      </c>
      <c r="AS184" s="1103"/>
      <c r="AT184" s="1103"/>
      <c r="AU184" s="1103"/>
      <c r="AV184" s="1103"/>
      <c r="AW184" s="543" t="s">
        <v>479</v>
      </c>
      <c r="AX184" s="387">
        <f t="shared" si="1"/>
        <v>0</v>
      </c>
      <c r="AY184" s="544"/>
      <c r="AZ184" s="378"/>
      <c r="BA184" s="381"/>
    </row>
    <row r="185" spans="1:58" ht="18.75" thickBot="1" x14ac:dyDescent="0.3">
      <c r="A185" s="1201" t="s">
        <v>27</v>
      </c>
      <c r="B185" s="1202"/>
      <c r="C185" s="1203"/>
      <c r="D185" s="421"/>
      <c r="E185" s="422"/>
      <c r="F185" s="545" t="s">
        <v>24</v>
      </c>
      <c r="G185" s="1111">
        <f t="shared" si="11"/>
        <v>1</v>
      </c>
      <c r="H185" s="1112"/>
      <c r="I185" s="1113"/>
      <c r="J185" s="424">
        <v>0</v>
      </c>
      <c r="K185" s="425">
        <v>0</v>
      </c>
      <c r="L185" s="426">
        <f t="shared" si="12"/>
        <v>1</v>
      </c>
      <c r="M185" s="394"/>
      <c r="N185" s="1201" t="s">
        <v>27</v>
      </c>
      <c r="O185" s="1202"/>
      <c r="P185" s="1203"/>
      <c r="Q185" s="421"/>
      <c r="R185" s="422"/>
      <c r="S185" s="545" t="s">
        <v>24</v>
      </c>
      <c r="T185" s="1212">
        <f t="shared" si="13"/>
        <v>1</v>
      </c>
      <c r="U185" s="1212"/>
      <c r="V185" s="1212"/>
      <c r="W185" s="424">
        <v>0</v>
      </c>
      <c r="X185" s="425">
        <v>0</v>
      </c>
      <c r="Y185" s="426">
        <f t="shared" si="14"/>
        <v>1</v>
      </c>
      <c r="Z185" s="427">
        <f t="shared" si="15"/>
        <v>2</v>
      </c>
      <c r="AA185" s="394"/>
      <c r="AC185" s="508" t="s">
        <v>480</v>
      </c>
      <c r="AD185" s="546" t="s">
        <v>168</v>
      </c>
      <c r="AE185" s="402">
        <f t="shared" si="9"/>
        <v>13</v>
      </c>
      <c r="AF185" s="403" t="str">
        <f t="shared" si="10"/>
        <v/>
      </c>
      <c r="AH185" s="378"/>
      <c r="AI185" s="1087" t="s">
        <v>481</v>
      </c>
      <c r="AJ185" s="1088"/>
      <c r="AK185" s="1088"/>
      <c r="AL185" s="1088"/>
      <c r="AM185" s="1088"/>
      <c r="AN185" s="547" t="s">
        <v>482</v>
      </c>
      <c r="AO185" s="387">
        <f t="shared" si="0"/>
        <v>0</v>
      </c>
      <c r="AP185" s="388"/>
      <c r="AQ185" s="378"/>
      <c r="AR185" s="1102" t="s">
        <v>483</v>
      </c>
      <c r="AS185" s="1103"/>
      <c r="AT185" s="1103"/>
      <c r="AU185" s="1103"/>
      <c r="AV185" s="1103"/>
      <c r="AW185" s="548" t="s">
        <v>484</v>
      </c>
      <c r="AX185" s="387">
        <f t="shared" si="1"/>
        <v>0</v>
      </c>
      <c r="AY185" s="544"/>
      <c r="AZ185" s="378"/>
      <c r="BA185" s="381"/>
    </row>
    <row r="186" spans="1:58" ht="18" x14ac:dyDescent="0.25">
      <c r="A186" s="1201" t="s">
        <v>114</v>
      </c>
      <c r="B186" s="1202"/>
      <c r="C186" s="1203"/>
      <c r="D186" s="421"/>
      <c r="E186" s="422"/>
      <c r="F186" s="549" t="s">
        <v>113</v>
      </c>
      <c r="G186" s="1111">
        <f t="shared" si="11"/>
        <v>0</v>
      </c>
      <c r="H186" s="1112"/>
      <c r="I186" s="1113"/>
      <c r="J186" s="424">
        <v>0</v>
      </c>
      <c r="K186" s="425">
        <v>0</v>
      </c>
      <c r="L186" s="426">
        <f t="shared" si="12"/>
        <v>0</v>
      </c>
      <c r="M186" s="394"/>
      <c r="N186" s="1201" t="s">
        <v>114</v>
      </c>
      <c r="O186" s="1202"/>
      <c r="P186" s="1203"/>
      <c r="Q186" s="421"/>
      <c r="R186" s="422"/>
      <c r="S186" s="549" t="s">
        <v>113</v>
      </c>
      <c r="T186" s="1212">
        <f t="shared" si="13"/>
        <v>0</v>
      </c>
      <c r="U186" s="1212"/>
      <c r="V186" s="1212"/>
      <c r="W186" s="424">
        <v>0</v>
      </c>
      <c r="X186" s="425">
        <v>0</v>
      </c>
      <c r="Y186" s="426">
        <f t="shared" si="14"/>
        <v>0</v>
      </c>
      <c r="Z186" s="427">
        <f t="shared" si="15"/>
        <v>0</v>
      </c>
      <c r="AA186" s="394"/>
      <c r="AC186" s="508" t="s">
        <v>485</v>
      </c>
      <c r="AD186" s="550" t="s">
        <v>229</v>
      </c>
      <c r="AE186" s="402">
        <f t="shared" si="9"/>
        <v>6</v>
      </c>
      <c r="AF186" s="403" t="str">
        <f t="shared" si="10"/>
        <v/>
      </c>
      <c r="AH186" s="378"/>
      <c r="AI186" s="1087" t="s">
        <v>486</v>
      </c>
      <c r="AJ186" s="1088"/>
      <c r="AK186" s="1088"/>
      <c r="AL186" s="1088"/>
      <c r="AM186" s="1088"/>
      <c r="AN186" s="430" t="s">
        <v>487</v>
      </c>
      <c r="AO186" s="387">
        <f t="shared" si="0"/>
        <v>0</v>
      </c>
      <c r="AP186" s="388"/>
      <c r="AQ186" s="378"/>
      <c r="AR186" s="1102" t="s">
        <v>488</v>
      </c>
      <c r="AS186" s="1103"/>
      <c r="AT186" s="1103"/>
      <c r="AU186" s="1103"/>
      <c r="AV186" s="1103"/>
      <c r="AW186" s="551" t="s">
        <v>489</v>
      </c>
      <c r="AX186" s="387">
        <f t="shared" si="1"/>
        <v>0</v>
      </c>
      <c r="AY186" s="397"/>
      <c r="AZ186" s="378"/>
      <c r="BA186" s="381"/>
    </row>
    <row r="187" spans="1:58" ht="18.75" thickBot="1" x14ac:dyDescent="0.3">
      <c r="A187" s="1201" t="s">
        <v>112</v>
      </c>
      <c r="B187" s="1202"/>
      <c r="C187" s="1203"/>
      <c r="D187" s="421"/>
      <c r="E187" s="422"/>
      <c r="F187" s="552" t="s">
        <v>111</v>
      </c>
      <c r="G187" s="1111">
        <f t="shared" si="11"/>
        <v>0</v>
      </c>
      <c r="H187" s="1112"/>
      <c r="I187" s="1113"/>
      <c r="J187" s="424">
        <v>0</v>
      </c>
      <c r="K187" s="425">
        <v>0</v>
      </c>
      <c r="L187" s="426">
        <f t="shared" si="12"/>
        <v>0</v>
      </c>
      <c r="M187" s="394"/>
      <c r="N187" s="1201" t="s">
        <v>112</v>
      </c>
      <c r="O187" s="1202"/>
      <c r="P187" s="1203"/>
      <c r="Q187" s="421"/>
      <c r="R187" s="422"/>
      <c r="S187" s="553" t="s">
        <v>111</v>
      </c>
      <c r="T187" s="1212">
        <f t="shared" si="13"/>
        <v>0</v>
      </c>
      <c r="U187" s="1212"/>
      <c r="V187" s="1212"/>
      <c r="W187" s="424">
        <v>0</v>
      </c>
      <c r="X187" s="425">
        <v>0</v>
      </c>
      <c r="Y187" s="426">
        <f t="shared" si="14"/>
        <v>0</v>
      </c>
      <c r="Z187" s="427">
        <f t="shared" si="15"/>
        <v>0</v>
      </c>
      <c r="AA187" s="394"/>
      <c r="AC187" s="508" t="s">
        <v>490</v>
      </c>
      <c r="AD187" s="554" t="s">
        <v>490</v>
      </c>
      <c r="AE187" s="402">
        <f t="shared" si="9"/>
        <v>0</v>
      </c>
      <c r="AF187" s="403" t="str">
        <f t="shared" si="10"/>
        <v/>
      </c>
      <c r="AH187" s="378"/>
      <c r="AI187" s="1087" t="s">
        <v>491</v>
      </c>
      <c r="AJ187" s="1088"/>
      <c r="AK187" s="1088"/>
      <c r="AL187" s="1088"/>
      <c r="AM187" s="1088"/>
      <c r="AN187" s="538" t="s">
        <v>492</v>
      </c>
      <c r="AO187" s="387">
        <f t="shared" si="0"/>
        <v>0</v>
      </c>
      <c r="AP187" s="388"/>
      <c r="AQ187" s="378"/>
      <c r="AR187" s="1102" t="s">
        <v>493</v>
      </c>
      <c r="AS187" s="1103"/>
      <c r="AT187" s="1103"/>
      <c r="AU187" s="1103"/>
      <c r="AV187" s="1103"/>
      <c r="AW187" s="555" t="s">
        <v>494</v>
      </c>
      <c r="AX187" s="387">
        <f t="shared" si="1"/>
        <v>0</v>
      </c>
      <c r="AY187" s="397"/>
      <c r="AZ187" s="378"/>
      <c r="BA187" s="381"/>
      <c r="BC187" s="378"/>
      <c r="BD187" s="378"/>
      <c r="BE187" s="378"/>
      <c r="BF187" s="378"/>
    </row>
    <row r="188" spans="1:58" ht="18" x14ac:dyDescent="0.25">
      <c r="A188" s="1201" t="s">
        <v>140</v>
      </c>
      <c r="B188" s="1202"/>
      <c r="C188" s="1203"/>
      <c r="D188" s="421"/>
      <c r="E188" s="422"/>
      <c r="F188" s="556" t="s">
        <v>134</v>
      </c>
      <c r="G188" s="1111">
        <f t="shared" si="11"/>
        <v>0</v>
      </c>
      <c r="H188" s="1112"/>
      <c r="I188" s="1113"/>
      <c r="J188" s="557"/>
      <c r="K188" s="558"/>
      <c r="L188" s="426"/>
      <c r="M188" s="394"/>
      <c r="N188" s="1201" t="s">
        <v>140</v>
      </c>
      <c r="O188" s="1202"/>
      <c r="P188" s="1203"/>
      <c r="Q188" s="421"/>
      <c r="R188" s="422"/>
      <c r="S188" s="556" t="s">
        <v>134</v>
      </c>
      <c r="T188" s="1114">
        <f t="shared" si="13"/>
        <v>0</v>
      </c>
      <c r="U188" s="1114"/>
      <c r="V188" s="1114"/>
      <c r="W188" s="424">
        <v>0</v>
      </c>
      <c r="X188" s="425">
        <v>0</v>
      </c>
      <c r="Y188" s="426">
        <f t="shared" si="14"/>
        <v>0</v>
      </c>
      <c r="Z188" s="427">
        <f t="shared" si="15"/>
        <v>0</v>
      </c>
      <c r="AA188" s="394"/>
      <c r="AC188" s="508" t="s">
        <v>495</v>
      </c>
      <c r="AD188" s="71" t="s">
        <v>160</v>
      </c>
      <c r="AE188" s="559">
        <f t="shared" si="9"/>
        <v>1</v>
      </c>
      <c r="AF188" s="560" t="str">
        <f t="shared" si="10"/>
        <v/>
      </c>
      <c r="AH188" s="378"/>
      <c r="AI188" s="1087" t="s">
        <v>496</v>
      </c>
      <c r="AJ188" s="1088"/>
      <c r="AK188" s="1088"/>
      <c r="AL188" s="1088"/>
      <c r="AM188" s="1088"/>
      <c r="AN188" s="561" t="s">
        <v>497</v>
      </c>
      <c r="AO188" s="562">
        <f t="shared" si="0"/>
        <v>0</v>
      </c>
      <c r="AP188" s="388"/>
      <c r="AQ188" s="378"/>
      <c r="AR188" s="389" t="s">
        <v>498</v>
      </c>
      <c r="AS188" s="390"/>
      <c r="AT188" s="390"/>
      <c r="AU188" s="390"/>
      <c r="AV188" s="390"/>
      <c r="AW188" s="563" t="s">
        <v>499</v>
      </c>
      <c r="AX188" s="562">
        <f t="shared" si="1"/>
        <v>0</v>
      </c>
      <c r="AY188" s="544"/>
      <c r="AZ188" s="378"/>
      <c r="BA188" s="381"/>
      <c r="BB188" s="378"/>
      <c r="BC188" s="378"/>
      <c r="BD188" s="378"/>
      <c r="BE188" s="378"/>
      <c r="BF188" s="378"/>
    </row>
    <row r="189" spans="1:58" ht="18.75" thickBot="1" x14ac:dyDescent="0.3">
      <c r="A189" s="1201" t="s">
        <v>42</v>
      </c>
      <c r="B189" s="1202"/>
      <c r="C189" s="1203"/>
      <c r="D189" s="421"/>
      <c r="E189" s="422"/>
      <c r="F189" s="564" t="s">
        <v>42</v>
      </c>
      <c r="G189" s="1111">
        <f t="shared" si="11"/>
        <v>0</v>
      </c>
      <c r="H189" s="1112"/>
      <c r="I189" s="1113"/>
      <c r="J189" s="424">
        <v>0</v>
      </c>
      <c r="K189" s="425">
        <v>0</v>
      </c>
      <c r="L189" s="426">
        <f t="shared" si="12"/>
        <v>0</v>
      </c>
      <c r="M189" s="394"/>
      <c r="N189" s="1201" t="s">
        <v>42</v>
      </c>
      <c r="O189" s="1202"/>
      <c r="P189" s="1203"/>
      <c r="Q189" s="421"/>
      <c r="R189" s="422"/>
      <c r="S189" s="565" t="s">
        <v>42</v>
      </c>
      <c r="T189" s="1114">
        <f t="shared" si="13"/>
        <v>0</v>
      </c>
      <c r="U189" s="1114"/>
      <c r="V189" s="1114"/>
      <c r="W189" s="424">
        <v>0</v>
      </c>
      <c r="X189" s="425">
        <v>0</v>
      </c>
      <c r="Y189" s="426">
        <f t="shared" si="14"/>
        <v>0</v>
      </c>
      <c r="Z189" s="427">
        <f t="shared" si="15"/>
        <v>0</v>
      </c>
      <c r="AA189" s="394"/>
      <c r="AC189" s="508" t="s">
        <v>500</v>
      </c>
      <c r="AD189" s="150" t="s">
        <v>194</v>
      </c>
      <c r="AE189" s="559">
        <f t="shared" si="9"/>
        <v>6</v>
      </c>
      <c r="AF189" s="560" t="str">
        <f t="shared" si="10"/>
        <v/>
      </c>
      <c r="AH189" s="378"/>
      <c r="AI189" s="1087" t="s">
        <v>501</v>
      </c>
      <c r="AJ189" s="1088"/>
      <c r="AK189" s="1088"/>
      <c r="AL189" s="1088"/>
      <c r="AM189" s="1088"/>
      <c r="AN189" s="566" t="s">
        <v>502</v>
      </c>
      <c r="AO189" s="562">
        <f t="shared" si="0"/>
        <v>0</v>
      </c>
      <c r="AP189" s="388"/>
      <c r="AQ189" s="378"/>
      <c r="AR189" s="389" t="s">
        <v>503</v>
      </c>
      <c r="AS189" s="390"/>
      <c r="AT189" s="390"/>
      <c r="AU189" s="390"/>
      <c r="AV189" s="390"/>
      <c r="AW189" s="567" t="s">
        <v>504</v>
      </c>
      <c r="AX189" s="562">
        <f t="shared" si="1"/>
        <v>0</v>
      </c>
      <c r="AY189" s="544"/>
      <c r="AZ189" s="378"/>
      <c r="BA189" s="381"/>
      <c r="BB189" s="378"/>
      <c r="BC189" s="378"/>
      <c r="BD189" s="378"/>
      <c r="BE189" s="378"/>
      <c r="BF189" s="378"/>
    </row>
    <row r="190" spans="1:58" ht="18" x14ac:dyDescent="0.25">
      <c r="A190" s="1201" t="s">
        <v>141</v>
      </c>
      <c r="B190" s="1202"/>
      <c r="C190" s="1203"/>
      <c r="D190" s="421"/>
      <c r="E190" s="422"/>
      <c r="F190" s="28" t="s">
        <v>119</v>
      </c>
      <c r="G190" s="1111">
        <f t="shared" si="11"/>
        <v>1</v>
      </c>
      <c r="H190" s="1112"/>
      <c r="I190" s="1113"/>
      <c r="J190" s="424">
        <v>0</v>
      </c>
      <c r="K190" s="425">
        <v>0</v>
      </c>
      <c r="L190" s="426">
        <f t="shared" si="12"/>
        <v>1</v>
      </c>
      <c r="M190" s="394"/>
      <c r="N190" s="1201" t="s">
        <v>141</v>
      </c>
      <c r="O190" s="1202"/>
      <c r="P190" s="1203"/>
      <c r="Q190" s="421"/>
      <c r="R190" s="422"/>
      <c r="S190" s="28" t="s">
        <v>119</v>
      </c>
      <c r="T190" s="1114">
        <f t="shared" si="13"/>
        <v>0</v>
      </c>
      <c r="U190" s="1114"/>
      <c r="V190" s="1114"/>
      <c r="W190" s="424">
        <v>0</v>
      </c>
      <c r="X190" s="425">
        <v>0</v>
      </c>
      <c r="Y190" s="426">
        <f t="shared" si="14"/>
        <v>0</v>
      </c>
      <c r="Z190" s="427">
        <f t="shared" si="15"/>
        <v>1</v>
      </c>
      <c r="AA190" s="394"/>
      <c r="AC190" s="508" t="s">
        <v>505</v>
      </c>
      <c r="AD190" s="568" t="s">
        <v>506</v>
      </c>
      <c r="AE190" s="559">
        <f t="shared" si="9"/>
        <v>0</v>
      </c>
      <c r="AF190" s="560" t="str">
        <f t="shared" si="10"/>
        <v/>
      </c>
      <c r="AH190" s="378"/>
      <c r="AI190" s="1087" t="s">
        <v>507</v>
      </c>
      <c r="AJ190" s="1088"/>
      <c r="AK190" s="1088"/>
      <c r="AL190" s="1088"/>
      <c r="AM190" s="1088"/>
      <c r="AN190" s="569" t="s">
        <v>508</v>
      </c>
      <c r="AO190" s="562">
        <f t="shared" si="0"/>
        <v>0</v>
      </c>
      <c r="AP190" s="388"/>
      <c r="AQ190" s="378"/>
      <c r="AR190" s="1139" t="s">
        <v>509</v>
      </c>
      <c r="AS190" s="1140"/>
      <c r="AT190" s="1140"/>
      <c r="AU190" s="1140"/>
      <c r="AV190" s="1211"/>
      <c r="AW190" s="570" t="s">
        <v>510</v>
      </c>
      <c r="AX190" s="562">
        <f t="shared" si="1"/>
        <v>0</v>
      </c>
      <c r="AY190" s="397"/>
      <c r="AZ190" s="378"/>
      <c r="BA190" s="381"/>
      <c r="BB190" s="378"/>
      <c r="BC190" s="378"/>
      <c r="BD190" s="378"/>
      <c r="BE190" s="378"/>
      <c r="BF190" s="378"/>
    </row>
    <row r="191" spans="1:58" ht="18.75" thickBot="1" x14ac:dyDescent="0.3">
      <c r="A191" s="1169" t="s">
        <v>91</v>
      </c>
      <c r="B191" s="1170"/>
      <c r="C191" s="1171"/>
      <c r="D191" s="421"/>
      <c r="E191" s="422" t="s">
        <v>321</v>
      </c>
      <c r="F191" s="571" t="s">
        <v>90</v>
      </c>
      <c r="G191" s="1111">
        <f t="shared" si="11"/>
        <v>0</v>
      </c>
      <c r="H191" s="1112"/>
      <c r="I191" s="1113"/>
      <c r="J191" s="424">
        <v>0</v>
      </c>
      <c r="K191" s="425">
        <v>0</v>
      </c>
      <c r="L191" s="426">
        <f t="shared" si="12"/>
        <v>0</v>
      </c>
      <c r="M191" s="394"/>
      <c r="N191" s="1169" t="s">
        <v>91</v>
      </c>
      <c r="O191" s="1170"/>
      <c r="P191" s="1171"/>
      <c r="Q191" s="421"/>
      <c r="R191" s="422" t="s">
        <v>321</v>
      </c>
      <c r="S191" s="571" t="s">
        <v>90</v>
      </c>
      <c r="T191" s="1114">
        <f t="shared" si="13"/>
        <v>0</v>
      </c>
      <c r="U191" s="1114"/>
      <c r="V191" s="1114"/>
      <c r="W191" s="424">
        <v>0</v>
      </c>
      <c r="X191" s="425">
        <v>0</v>
      </c>
      <c r="Y191" s="426">
        <f t="shared" si="14"/>
        <v>0</v>
      </c>
      <c r="Z191" s="427">
        <f t="shared" si="15"/>
        <v>0</v>
      </c>
      <c r="AA191" s="394"/>
      <c r="AC191" s="508" t="s">
        <v>511</v>
      </c>
      <c r="AD191" s="572" t="s">
        <v>512</v>
      </c>
      <c r="AE191" s="559">
        <f t="shared" si="9"/>
        <v>0</v>
      </c>
      <c r="AF191" s="560" t="str">
        <f t="shared" si="10"/>
        <v/>
      </c>
      <c r="AH191" s="378"/>
      <c r="AI191" s="1087" t="s">
        <v>513</v>
      </c>
      <c r="AJ191" s="1088"/>
      <c r="AK191" s="1088"/>
      <c r="AL191" s="1088"/>
      <c r="AM191" s="1088"/>
      <c r="AN191" s="566" t="s">
        <v>514</v>
      </c>
      <c r="AO191" s="562">
        <f t="shared" si="0"/>
        <v>0</v>
      </c>
      <c r="AP191" s="388"/>
      <c r="AQ191" s="378"/>
      <c r="AR191" s="1105" t="s">
        <v>515</v>
      </c>
      <c r="AS191" s="1106"/>
      <c r="AT191" s="1106"/>
      <c r="AU191" s="1106"/>
      <c r="AV191" s="1106"/>
      <c r="AW191" s="573" t="s">
        <v>516</v>
      </c>
      <c r="AX191" s="562">
        <f t="shared" si="1"/>
        <v>0</v>
      </c>
      <c r="AY191" s="574"/>
      <c r="AZ191" s="378"/>
      <c r="BA191" s="381"/>
      <c r="BB191" s="378"/>
      <c r="BC191" s="378"/>
      <c r="BD191" s="378"/>
      <c r="BE191" s="378"/>
      <c r="BF191" s="378"/>
    </row>
    <row r="192" spans="1:58" ht="18.75" thickBot="1" x14ac:dyDescent="0.3">
      <c r="A192" s="1201" t="s">
        <v>93</v>
      </c>
      <c r="B192" s="1202"/>
      <c r="C192" s="1203"/>
      <c r="D192" s="421"/>
      <c r="E192" s="422" t="s">
        <v>321</v>
      </c>
      <c r="F192" s="575" t="s">
        <v>92</v>
      </c>
      <c r="G192" s="1111">
        <f t="shared" si="11"/>
        <v>2</v>
      </c>
      <c r="H192" s="1112"/>
      <c r="I192" s="1113"/>
      <c r="J192" s="424">
        <v>0</v>
      </c>
      <c r="K192" s="425">
        <v>0</v>
      </c>
      <c r="L192" s="426">
        <f t="shared" si="12"/>
        <v>2</v>
      </c>
      <c r="M192" s="394"/>
      <c r="N192" s="1201" t="s">
        <v>93</v>
      </c>
      <c r="O192" s="1202"/>
      <c r="P192" s="1203"/>
      <c r="Q192" s="421"/>
      <c r="R192" s="422" t="s">
        <v>321</v>
      </c>
      <c r="S192" s="575" t="s">
        <v>92</v>
      </c>
      <c r="T192" s="1114">
        <f t="shared" si="13"/>
        <v>0</v>
      </c>
      <c r="U192" s="1114"/>
      <c r="V192" s="1114"/>
      <c r="W192" s="424">
        <v>0</v>
      </c>
      <c r="X192" s="425">
        <v>0</v>
      </c>
      <c r="Y192" s="426">
        <f t="shared" si="14"/>
        <v>0</v>
      </c>
      <c r="Z192" s="427">
        <f t="shared" si="15"/>
        <v>2</v>
      </c>
      <c r="AA192" s="394"/>
      <c r="AC192" s="508" t="s">
        <v>517</v>
      </c>
      <c r="AD192" s="576" t="s">
        <v>518</v>
      </c>
      <c r="AE192" s="559">
        <f t="shared" si="9"/>
        <v>0</v>
      </c>
      <c r="AF192" s="560" t="str">
        <f t="shared" si="10"/>
        <v/>
      </c>
      <c r="AH192" s="378"/>
      <c r="AI192" s="1087" t="s">
        <v>519</v>
      </c>
      <c r="AJ192" s="1088"/>
      <c r="AK192" s="1088"/>
      <c r="AL192" s="1088"/>
      <c r="AM192" s="1088"/>
      <c r="AN192" s="577" t="s">
        <v>520</v>
      </c>
      <c r="AO192" s="562">
        <f t="shared" si="0"/>
        <v>0</v>
      </c>
      <c r="AP192" s="388"/>
      <c r="AQ192" s="378"/>
      <c r="AR192" s="1142" t="s">
        <v>521</v>
      </c>
      <c r="AS192" s="1143"/>
      <c r="AT192" s="1143"/>
      <c r="AU192" s="1143"/>
      <c r="AV192" s="1144"/>
      <c r="AW192" s="578"/>
      <c r="AX192" s="579">
        <f>SUM(AX151:AX191)</f>
        <v>0</v>
      </c>
      <c r="AY192" s="378"/>
      <c r="AZ192" s="378"/>
      <c r="BA192" s="381"/>
      <c r="BB192" s="378"/>
      <c r="BC192" s="378"/>
      <c r="BD192" s="378"/>
      <c r="BE192" s="378"/>
      <c r="BF192" s="378"/>
    </row>
    <row r="193" spans="1:58" ht="18.75" thickBot="1" x14ac:dyDescent="0.3">
      <c r="A193" s="1201" t="s">
        <v>116</v>
      </c>
      <c r="B193" s="1202"/>
      <c r="C193" s="1203"/>
      <c r="D193" s="421" t="s">
        <v>6</v>
      </c>
      <c r="E193" s="422" t="s">
        <v>321</v>
      </c>
      <c r="F193" s="580" t="s">
        <v>117</v>
      </c>
      <c r="G193" s="1111">
        <f t="shared" si="11"/>
        <v>0</v>
      </c>
      <c r="H193" s="1112"/>
      <c r="I193" s="1113"/>
      <c r="J193" s="424">
        <v>0</v>
      </c>
      <c r="K193" s="425">
        <v>0</v>
      </c>
      <c r="L193" s="426">
        <f t="shared" si="12"/>
        <v>0</v>
      </c>
      <c r="M193" s="394"/>
      <c r="N193" s="1201" t="s">
        <v>116</v>
      </c>
      <c r="O193" s="1202"/>
      <c r="P193" s="1203"/>
      <c r="Q193" s="421" t="s">
        <v>6</v>
      </c>
      <c r="R193" s="422" t="s">
        <v>321</v>
      </c>
      <c r="S193" s="580" t="s">
        <v>117</v>
      </c>
      <c r="T193" s="1114">
        <f t="shared" si="13"/>
        <v>0</v>
      </c>
      <c r="U193" s="1114"/>
      <c r="V193" s="1114"/>
      <c r="W193" s="424">
        <v>0</v>
      </c>
      <c r="X193" s="425">
        <v>0</v>
      </c>
      <c r="Y193" s="426">
        <f t="shared" si="14"/>
        <v>0</v>
      </c>
      <c r="Z193" s="427">
        <f t="shared" si="15"/>
        <v>0</v>
      </c>
      <c r="AA193" s="394"/>
      <c r="AC193" s="508" t="s">
        <v>362</v>
      </c>
      <c r="AD193" s="581" t="s">
        <v>522</v>
      </c>
      <c r="AE193" s="559">
        <f t="shared" si="9"/>
        <v>0</v>
      </c>
      <c r="AF193" s="560" t="str">
        <f t="shared" si="10"/>
        <v/>
      </c>
      <c r="AH193" s="378"/>
      <c r="AI193" s="1087" t="s">
        <v>523</v>
      </c>
      <c r="AJ193" s="1088"/>
      <c r="AK193" s="1088"/>
      <c r="AL193" s="1088"/>
      <c r="AM193" s="1088"/>
      <c r="AN193" s="582" t="s">
        <v>524</v>
      </c>
      <c r="AO193" s="562">
        <f t="shared" si="0"/>
        <v>0</v>
      </c>
      <c r="AP193" s="388"/>
      <c r="AQ193" s="378"/>
      <c r="AR193" s="378"/>
      <c r="AS193" s="378"/>
      <c r="AT193" s="378"/>
      <c r="AU193" s="378"/>
      <c r="AV193" s="378"/>
      <c r="AW193" s="378"/>
      <c r="AX193" s="378"/>
      <c r="AY193" s="378"/>
      <c r="AZ193" s="378"/>
      <c r="BA193" s="381"/>
      <c r="BB193" s="378"/>
      <c r="BC193" s="378"/>
      <c r="BD193" s="378"/>
      <c r="BE193" s="378"/>
      <c r="BF193" s="378"/>
    </row>
    <row r="194" spans="1:58" ht="18.75" thickBot="1" x14ac:dyDescent="0.3">
      <c r="A194" s="1201" t="s">
        <v>33</v>
      </c>
      <c r="B194" s="1202"/>
      <c r="C194" s="1203"/>
      <c r="D194" s="421"/>
      <c r="E194" s="422" t="s">
        <v>321</v>
      </c>
      <c r="F194" s="583" t="s">
        <v>34</v>
      </c>
      <c r="G194" s="1111">
        <f t="shared" si="11"/>
        <v>0</v>
      </c>
      <c r="H194" s="1112"/>
      <c r="I194" s="1113"/>
      <c r="J194" s="424">
        <v>0</v>
      </c>
      <c r="K194" s="425">
        <v>0</v>
      </c>
      <c r="L194" s="426">
        <f t="shared" si="12"/>
        <v>0</v>
      </c>
      <c r="M194" s="394"/>
      <c r="N194" s="1201" t="s">
        <v>33</v>
      </c>
      <c r="O194" s="1202"/>
      <c r="P194" s="1203"/>
      <c r="Q194" s="421"/>
      <c r="R194" s="422" t="s">
        <v>321</v>
      </c>
      <c r="S194" s="583" t="s">
        <v>34</v>
      </c>
      <c r="T194" s="1114">
        <f t="shared" si="13"/>
        <v>0</v>
      </c>
      <c r="U194" s="1114"/>
      <c r="V194" s="1114"/>
      <c r="W194" s="424">
        <v>0</v>
      </c>
      <c r="X194" s="425">
        <v>0</v>
      </c>
      <c r="Y194" s="426">
        <f t="shared" si="14"/>
        <v>0</v>
      </c>
      <c r="Z194" s="427">
        <f t="shared" si="15"/>
        <v>0</v>
      </c>
      <c r="AA194" s="394"/>
      <c r="AC194" s="508" t="s">
        <v>525</v>
      </c>
      <c r="AD194" s="584" t="s">
        <v>526</v>
      </c>
      <c r="AE194" s="559">
        <f t="shared" si="9"/>
        <v>0</v>
      </c>
      <c r="AF194" s="560" t="str">
        <f t="shared" si="10"/>
        <v/>
      </c>
      <c r="AH194" s="378"/>
      <c r="AI194" s="1087" t="s">
        <v>527</v>
      </c>
      <c r="AJ194" s="1088"/>
      <c r="AK194" s="1088"/>
      <c r="AL194" s="1088"/>
      <c r="AM194" s="1088"/>
      <c r="AN194" s="582" t="s">
        <v>528</v>
      </c>
      <c r="AO194" s="562">
        <f t="shared" si="0"/>
        <v>0</v>
      </c>
      <c r="AP194" s="388"/>
      <c r="AQ194" s="378"/>
      <c r="AR194" s="1098" t="s">
        <v>322</v>
      </c>
      <c r="AS194" s="1099"/>
      <c r="AT194" s="1099"/>
      <c r="AU194" s="1099"/>
      <c r="AV194" s="1099"/>
      <c r="AW194" s="1095"/>
      <c r="AX194" s="585" t="s">
        <v>255</v>
      </c>
      <c r="AY194" s="380"/>
      <c r="AZ194" s="378"/>
      <c r="BA194" s="381"/>
      <c r="BB194" s="378"/>
      <c r="BC194" s="378"/>
      <c r="BD194" s="378"/>
      <c r="BE194" s="378"/>
      <c r="BF194" s="378"/>
    </row>
    <row r="195" spans="1:58" ht="19.5" thickBot="1" x14ac:dyDescent="0.3">
      <c r="A195" s="1201" t="s">
        <v>95</v>
      </c>
      <c r="B195" s="1202"/>
      <c r="C195" s="1203"/>
      <c r="D195" s="421"/>
      <c r="E195" s="422" t="s">
        <v>321</v>
      </c>
      <c r="F195" s="586" t="s">
        <v>94</v>
      </c>
      <c r="G195" s="1111">
        <f t="shared" si="11"/>
        <v>0</v>
      </c>
      <c r="H195" s="1112"/>
      <c r="I195" s="1113"/>
      <c r="J195" s="424">
        <v>0</v>
      </c>
      <c r="K195" s="425">
        <v>0</v>
      </c>
      <c r="L195" s="426">
        <f t="shared" si="12"/>
        <v>0</v>
      </c>
      <c r="M195" s="394"/>
      <c r="N195" s="1201" t="s">
        <v>95</v>
      </c>
      <c r="O195" s="1202"/>
      <c r="P195" s="1203"/>
      <c r="Q195" s="421"/>
      <c r="R195" s="422" t="s">
        <v>321</v>
      </c>
      <c r="S195" s="586" t="s">
        <v>94</v>
      </c>
      <c r="T195" s="1114">
        <f t="shared" si="13"/>
        <v>0</v>
      </c>
      <c r="U195" s="1114"/>
      <c r="V195" s="1114"/>
      <c r="W195" s="424">
        <v>0</v>
      </c>
      <c r="X195" s="425">
        <v>0</v>
      </c>
      <c r="Y195" s="426">
        <f t="shared" si="14"/>
        <v>0</v>
      </c>
      <c r="Z195" s="427">
        <f t="shared" si="15"/>
        <v>0</v>
      </c>
      <c r="AA195" s="394"/>
      <c r="AC195" s="587" t="s">
        <v>48</v>
      </c>
      <c r="AD195" s="151" t="s">
        <v>48</v>
      </c>
      <c r="AE195" s="559">
        <f t="shared" si="9"/>
        <v>84</v>
      </c>
      <c r="AF195" s="560" t="str">
        <f t="shared" si="10"/>
        <v/>
      </c>
      <c r="AH195" s="378"/>
      <c r="AI195" s="1087" t="s">
        <v>529</v>
      </c>
      <c r="AJ195" s="1088"/>
      <c r="AK195" s="1088"/>
      <c r="AL195" s="1088"/>
      <c r="AM195" s="1088"/>
      <c r="AN195" s="588" t="s">
        <v>530</v>
      </c>
      <c r="AO195" s="562">
        <f t="shared" si="0"/>
        <v>0</v>
      </c>
      <c r="AP195" s="388"/>
      <c r="AQ195" s="378"/>
      <c r="AR195" s="1145" t="s">
        <v>531</v>
      </c>
      <c r="AS195" s="1146"/>
      <c r="AT195" s="1146"/>
      <c r="AU195" s="1146"/>
      <c r="AV195" s="1146"/>
      <c r="AW195" s="589" t="s">
        <v>199</v>
      </c>
      <c r="AX195" s="562">
        <f t="shared" ref="AX195:AX248" si="16">COUNTIF($A$1:$GO$128,AW195)</f>
        <v>2</v>
      </c>
      <c r="AY195" s="590"/>
      <c r="AZ195" s="378"/>
      <c r="BA195" s="381"/>
      <c r="BB195" s="378"/>
    </row>
    <row r="196" spans="1:58" ht="19.5" thickBot="1" x14ac:dyDescent="0.3">
      <c r="A196" s="1201" t="s">
        <v>97</v>
      </c>
      <c r="B196" s="1202"/>
      <c r="C196" s="1203"/>
      <c r="D196" s="421"/>
      <c r="E196" s="422" t="s">
        <v>321</v>
      </c>
      <c r="F196" s="591" t="s">
        <v>96</v>
      </c>
      <c r="G196" s="1111">
        <f t="shared" si="11"/>
        <v>0</v>
      </c>
      <c r="H196" s="1112"/>
      <c r="I196" s="1113"/>
      <c r="J196" s="424">
        <v>0</v>
      </c>
      <c r="K196" s="425">
        <v>0</v>
      </c>
      <c r="L196" s="426">
        <f t="shared" si="12"/>
        <v>0</v>
      </c>
      <c r="M196" s="394"/>
      <c r="N196" s="1201" t="s">
        <v>97</v>
      </c>
      <c r="O196" s="1202"/>
      <c r="P196" s="1203"/>
      <c r="Q196" s="421"/>
      <c r="R196" s="422" t="s">
        <v>321</v>
      </c>
      <c r="S196" s="591" t="s">
        <v>96</v>
      </c>
      <c r="T196" s="1114">
        <f t="shared" si="13"/>
        <v>0</v>
      </c>
      <c r="U196" s="1114"/>
      <c r="V196" s="1114"/>
      <c r="W196" s="424">
        <v>0</v>
      </c>
      <c r="X196" s="425">
        <v>0</v>
      </c>
      <c r="Y196" s="426">
        <f t="shared" si="14"/>
        <v>0</v>
      </c>
      <c r="Z196" s="427">
        <f t="shared" si="15"/>
        <v>0</v>
      </c>
      <c r="AA196" s="394"/>
      <c r="AC196" s="508" t="s">
        <v>532</v>
      </c>
      <c r="AD196" s="132" t="s">
        <v>533</v>
      </c>
      <c r="AE196" s="559">
        <f t="shared" si="9"/>
        <v>0</v>
      </c>
      <c r="AF196" s="560" t="str">
        <f t="shared" si="10"/>
        <v/>
      </c>
      <c r="AH196" s="378"/>
      <c r="AI196" s="1087" t="s">
        <v>534</v>
      </c>
      <c r="AJ196" s="1088"/>
      <c r="AK196" s="1088"/>
      <c r="AL196" s="1088"/>
      <c r="AM196" s="1088"/>
      <c r="AN196" s="592" t="s">
        <v>535</v>
      </c>
      <c r="AO196" s="562">
        <f t="shared" si="0"/>
        <v>0</v>
      </c>
      <c r="AP196" s="388"/>
      <c r="AQ196" s="378"/>
      <c r="AR196" s="1145" t="s">
        <v>536</v>
      </c>
      <c r="AS196" s="1146"/>
      <c r="AT196" s="1146"/>
      <c r="AU196" s="1146"/>
      <c r="AV196" s="1146"/>
      <c r="AW196" s="593" t="s">
        <v>537</v>
      </c>
      <c r="AX196" s="562">
        <f t="shared" si="16"/>
        <v>0</v>
      </c>
      <c r="AY196" s="590"/>
      <c r="AZ196" s="378"/>
      <c r="BA196" s="381"/>
      <c r="BB196" s="378"/>
    </row>
    <row r="197" spans="1:58" ht="18" x14ac:dyDescent="0.25">
      <c r="A197" s="1201" t="s">
        <v>142</v>
      </c>
      <c r="B197" s="1202"/>
      <c r="C197" s="1203"/>
      <c r="D197" s="594"/>
      <c r="E197" s="528"/>
      <c r="F197" s="595" t="s">
        <v>136</v>
      </c>
      <c r="G197" s="1111">
        <f t="shared" si="11"/>
        <v>0</v>
      </c>
      <c r="H197" s="1112"/>
      <c r="I197" s="1113"/>
      <c r="J197" s="424">
        <v>0</v>
      </c>
      <c r="K197" s="425">
        <v>0</v>
      </c>
      <c r="L197" s="426">
        <f t="shared" si="12"/>
        <v>0</v>
      </c>
      <c r="M197" s="394"/>
      <c r="N197" s="1201" t="s">
        <v>142</v>
      </c>
      <c r="O197" s="1202"/>
      <c r="P197" s="1203"/>
      <c r="Q197" s="596"/>
      <c r="R197" s="597"/>
      <c r="S197" s="595" t="s">
        <v>136</v>
      </c>
      <c r="T197" s="1114">
        <f t="shared" si="13"/>
        <v>0</v>
      </c>
      <c r="U197" s="1114"/>
      <c r="V197" s="1114"/>
      <c r="W197" s="424">
        <v>0</v>
      </c>
      <c r="X197" s="425">
        <v>0</v>
      </c>
      <c r="Y197" s="426">
        <f t="shared" si="14"/>
        <v>0</v>
      </c>
      <c r="Z197" s="427">
        <f t="shared" si="15"/>
        <v>0</v>
      </c>
      <c r="AA197" s="394"/>
      <c r="AC197" s="508" t="s">
        <v>538</v>
      </c>
      <c r="AD197" s="598" t="s">
        <v>539</v>
      </c>
      <c r="AE197" s="559">
        <f t="shared" si="9"/>
        <v>0</v>
      </c>
      <c r="AF197" s="560" t="str">
        <f t="shared" si="10"/>
        <v/>
      </c>
      <c r="AH197" s="378"/>
      <c r="AI197" s="1087" t="s">
        <v>540</v>
      </c>
      <c r="AJ197" s="1088"/>
      <c r="AK197" s="1088"/>
      <c r="AL197" s="1088"/>
      <c r="AM197" s="1088"/>
      <c r="AN197" s="599" t="s">
        <v>541</v>
      </c>
      <c r="AO197" s="562">
        <f t="shared" si="0"/>
        <v>0</v>
      </c>
      <c r="AP197" s="388"/>
      <c r="AQ197" s="378"/>
      <c r="AR197" s="1145" t="s">
        <v>542</v>
      </c>
      <c r="AS197" s="1146"/>
      <c r="AT197" s="1146"/>
      <c r="AU197" s="1146"/>
      <c r="AV197" s="1146"/>
      <c r="AW197" s="593" t="s">
        <v>193</v>
      </c>
      <c r="AX197" s="562">
        <f t="shared" si="16"/>
        <v>3</v>
      </c>
      <c r="AY197" s="590"/>
      <c r="AZ197" s="378"/>
      <c r="BA197" s="381"/>
      <c r="BB197" s="378"/>
    </row>
    <row r="198" spans="1:58" ht="18.75" x14ac:dyDescent="0.25">
      <c r="A198" s="1163" t="s">
        <v>255</v>
      </c>
      <c r="B198" s="1164"/>
      <c r="C198" s="1164"/>
      <c r="D198" s="1164"/>
      <c r="E198" s="1164"/>
      <c r="F198" s="600"/>
      <c r="G198" s="1191">
        <f>SUM(G180:I197)</f>
        <v>6</v>
      </c>
      <c r="H198" s="1191"/>
      <c r="I198" s="1191"/>
      <c r="J198" s="513">
        <f>SUM(J180:J197)</f>
        <v>0</v>
      </c>
      <c r="K198" s="514">
        <f>SUM(K180:K197)</f>
        <v>0</v>
      </c>
      <c r="L198" s="426">
        <f>SUM(L180:L197)</f>
        <v>6</v>
      </c>
      <c r="M198" s="394"/>
      <c r="N198" s="1192" t="s">
        <v>255</v>
      </c>
      <c r="O198" s="1193"/>
      <c r="P198" s="1193"/>
      <c r="Q198" s="1193"/>
      <c r="R198" s="1193"/>
      <c r="S198" s="601"/>
      <c r="T198" s="1194">
        <f>SUM(T180:V197)</f>
        <v>2</v>
      </c>
      <c r="U198" s="1194"/>
      <c r="V198" s="1194"/>
      <c r="W198" s="513">
        <f>SUM(W180:W197)</f>
        <v>0</v>
      </c>
      <c r="X198" s="514">
        <f>SUM(X180:X197)</f>
        <v>0</v>
      </c>
      <c r="Y198" s="426">
        <f>SUM(Y180:Y197)</f>
        <v>2</v>
      </c>
      <c r="Z198" s="427">
        <f t="shared" si="15"/>
        <v>8</v>
      </c>
      <c r="AA198" s="394"/>
      <c r="AC198" s="508" t="s">
        <v>543</v>
      </c>
      <c r="AD198" s="602" t="s">
        <v>544</v>
      </c>
      <c r="AE198" s="559">
        <f t="shared" si="9"/>
        <v>0</v>
      </c>
      <c r="AF198" s="560" t="str">
        <f t="shared" si="10"/>
        <v/>
      </c>
      <c r="AH198" s="378"/>
      <c r="AI198" s="1087" t="s">
        <v>545</v>
      </c>
      <c r="AJ198" s="1088"/>
      <c r="AK198" s="1088"/>
      <c r="AL198" s="1088"/>
      <c r="AM198" s="1088"/>
      <c r="AN198" s="566" t="s">
        <v>546</v>
      </c>
      <c r="AO198" s="562">
        <f t="shared" si="0"/>
        <v>0</v>
      </c>
      <c r="AP198" s="388"/>
      <c r="AQ198" s="378"/>
      <c r="AR198" s="1145" t="s">
        <v>547</v>
      </c>
      <c r="AS198" s="1146"/>
      <c r="AT198" s="1146"/>
      <c r="AU198" s="1146"/>
      <c r="AV198" s="1146"/>
      <c r="AW198" s="603" t="s">
        <v>548</v>
      </c>
      <c r="AX198" s="562">
        <f t="shared" si="16"/>
        <v>0</v>
      </c>
      <c r="AY198" s="590"/>
      <c r="AZ198" s="378"/>
      <c r="BA198" s="381"/>
    </row>
    <row r="199" spans="1:58" ht="18" x14ac:dyDescent="0.25">
      <c r="A199" s="1204" t="s">
        <v>549</v>
      </c>
      <c r="B199" s="1205"/>
      <c r="C199" s="1205"/>
      <c r="D199" s="1205"/>
      <c r="E199" s="1205"/>
      <c r="F199" s="1205"/>
      <c r="G199" s="1205"/>
      <c r="H199" s="1205"/>
      <c r="I199" s="1206"/>
      <c r="J199" s="604" t="s">
        <v>305</v>
      </c>
      <c r="K199" s="604" t="s">
        <v>306</v>
      </c>
      <c r="L199" s="604" t="s">
        <v>307</v>
      </c>
      <c r="M199" s="394"/>
      <c r="N199" s="1204" t="s">
        <v>549</v>
      </c>
      <c r="O199" s="1205"/>
      <c r="P199" s="1205"/>
      <c r="Q199" s="1205"/>
      <c r="R199" s="1205"/>
      <c r="S199" s="1205"/>
      <c r="T199" s="1205"/>
      <c r="U199" s="1205"/>
      <c r="V199" s="1206"/>
      <c r="W199" s="417" t="s">
        <v>305</v>
      </c>
      <c r="X199" s="417" t="s">
        <v>306</v>
      </c>
      <c r="Y199" s="417" t="s">
        <v>307</v>
      </c>
      <c r="Z199" s="519"/>
      <c r="AA199" s="394"/>
      <c r="AC199" s="508" t="s">
        <v>550</v>
      </c>
      <c r="AD199" s="605" t="s">
        <v>551</v>
      </c>
      <c r="AE199" s="559">
        <f t="shared" si="9"/>
        <v>0</v>
      </c>
      <c r="AF199" s="560" t="str">
        <f t="shared" si="10"/>
        <v/>
      </c>
      <c r="AH199" s="378"/>
      <c r="AI199" s="1087" t="s">
        <v>552</v>
      </c>
      <c r="AJ199" s="1088"/>
      <c r="AK199" s="1088"/>
      <c r="AL199" s="1088"/>
      <c r="AM199" s="1088"/>
      <c r="AN199" s="606" t="s">
        <v>553</v>
      </c>
      <c r="AO199" s="562">
        <f t="shared" si="0"/>
        <v>0</v>
      </c>
      <c r="AP199" s="388"/>
      <c r="AQ199" s="378"/>
      <c r="AR199" s="1145" t="s">
        <v>554</v>
      </c>
      <c r="AS199" s="1146"/>
      <c r="AT199" s="1146"/>
      <c r="AU199" s="1146"/>
      <c r="AV199" s="1146"/>
      <c r="AW199" s="154" t="s">
        <v>196</v>
      </c>
      <c r="AX199" s="562">
        <f t="shared" si="16"/>
        <v>1</v>
      </c>
      <c r="AY199" s="590"/>
      <c r="AZ199" s="378"/>
      <c r="BA199" s="381"/>
    </row>
    <row r="200" spans="1:58" ht="19.5" thickBot="1" x14ac:dyDescent="0.3">
      <c r="A200" s="1207" t="s">
        <v>143</v>
      </c>
      <c r="B200" s="1208"/>
      <c r="C200" s="1209"/>
      <c r="D200" s="523"/>
      <c r="E200" s="524"/>
      <c r="F200" s="435" t="s">
        <v>122</v>
      </c>
      <c r="G200" s="1210">
        <f>COUNTIF($A$1:$BK$73,F200)</f>
        <v>0</v>
      </c>
      <c r="H200" s="1177"/>
      <c r="I200" s="1178"/>
      <c r="J200" s="424">
        <v>0</v>
      </c>
      <c r="K200" s="425">
        <v>0</v>
      </c>
      <c r="L200" s="426">
        <f t="shared" ref="L200:L201" si="17">G200-K200-J200</f>
        <v>0</v>
      </c>
      <c r="M200" s="394"/>
      <c r="N200" s="1207" t="s">
        <v>143</v>
      </c>
      <c r="O200" s="1208"/>
      <c r="P200" s="1209"/>
      <c r="Q200" s="523"/>
      <c r="R200" s="524"/>
      <c r="S200" s="435" t="s">
        <v>122</v>
      </c>
      <c r="T200" s="1114">
        <f>COUNTIF($BL$1:$CN$58,S200)</f>
        <v>0</v>
      </c>
      <c r="U200" s="1114"/>
      <c r="V200" s="1114"/>
      <c r="W200" s="424">
        <v>0</v>
      </c>
      <c r="X200" s="425">
        <v>0</v>
      </c>
      <c r="Y200" s="426">
        <f t="shared" ref="Y200:Y201" si="18">T200-X200-W200</f>
        <v>0</v>
      </c>
      <c r="Z200" s="427">
        <f t="shared" ref="Z200:Z202" si="19">T200+G200</f>
        <v>0</v>
      </c>
      <c r="AA200" s="394"/>
      <c r="AC200" s="508" t="s">
        <v>555</v>
      </c>
      <c r="AD200" s="607" t="s">
        <v>555</v>
      </c>
      <c r="AE200" s="559">
        <f t="shared" si="9"/>
        <v>0</v>
      </c>
      <c r="AF200" s="560" t="str">
        <f t="shared" si="10"/>
        <v/>
      </c>
      <c r="AH200" s="378"/>
      <c r="AI200" s="1087" t="s">
        <v>556</v>
      </c>
      <c r="AJ200" s="1088"/>
      <c r="AK200" s="1088"/>
      <c r="AL200" s="1088"/>
      <c r="AM200" s="1088"/>
      <c r="AN200" s="608" t="s">
        <v>557</v>
      </c>
      <c r="AO200" s="562">
        <f t="shared" si="0"/>
        <v>0</v>
      </c>
      <c r="AP200" s="388"/>
      <c r="AQ200" s="378"/>
      <c r="AR200" s="1145" t="s">
        <v>558</v>
      </c>
      <c r="AS200" s="1146"/>
      <c r="AT200" s="1146"/>
      <c r="AU200" s="1146"/>
      <c r="AV200" s="1146"/>
      <c r="AW200" s="154" t="s">
        <v>559</v>
      </c>
      <c r="AX200" s="562">
        <f t="shared" si="16"/>
        <v>0</v>
      </c>
      <c r="AY200" s="590"/>
      <c r="AZ200" s="378"/>
      <c r="BA200" s="381"/>
    </row>
    <row r="201" spans="1:58" ht="19.5" thickBot="1" x14ac:dyDescent="0.3">
      <c r="A201" s="1201" t="s">
        <v>144</v>
      </c>
      <c r="B201" s="1202"/>
      <c r="C201" s="1203"/>
      <c r="D201" s="421"/>
      <c r="E201" s="422"/>
      <c r="F201" s="540" t="s">
        <v>123</v>
      </c>
      <c r="G201" s="1111">
        <f>COUNTIF($A$1:$BK$73,F201)</f>
        <v>0</v>
      </c>
      <c r="H201" s="1112"/>
      <c r="I201" s="1113"/>
      <c r="J201" s="424">
        <v>0</v>
      </c>
      <c r="K201" s="425">
        <v>0</v>
      </c>
      <c r="L201" s="426">
        <f t="shared" si="17"/>
        <v>0</v>
      </c>
      <c r="M201" s="394"/>
      <c r="N201" s="1201" t="s">
        <v>144</v>
      </c>
      <c r="O201" s="1202"/>
      <c r="P201" s="1203"/>
      <c r="Q201" s="421"/>
      <c r="R201" s="422"/>
      <c r="S201" s="540" t="s">
        <v>123</v>
      </c>
      <c r="T201" s="1114">
        <f>COUNTIF($BL$1:$CN$58,S201)</f>
        <v>0</v>
      </c>
      <c r="U201" s="1114"/>
      <c r="V201" s="1114"/>
      <c r="W201" s="424">
        <v>0</v>
      </c>
      <c r="X201" s="425">
        <v>0</v>
      </c>
      <c r="Y201" s="426">
        <f t="shared" si="18"/>
        <v>0</v>
      </c>
      <c r="Z201" s="427">
        <f t="shared" si="19"/>
        <v>0</v>
      </c>
      <c r="AA201" s="394"/>
      <c r="AC201" s="508" t="s">
        <v>560</v>
      </c>
      <c r="AD201" s="609" t="s">
        <v>561</v>
      </c>
      <c r="AE201" s="559">
        <f t="shared" si="9"/>
        <v>0</v>
      </c>
      <c r="AF201" s="560" t="str">
        <f t="shared" si="10"/>
        <v/>
      </c>
      <c r="AH201" s="378"/>
      <c r="AI201" s="1087" t="s">
        <v>562</v>
      </c>
      <c r="AJ201" s="1088"/>
      <c r="AK201" s="1088"/>
      <c r="AL201" s="1088"/>
      <c r="AM201" s="1088"/>
      <c r="AN201" s="610" t="s">
        <v>563</v>
      </c>
      <c r="AO201" s="562">
        <f t="shared" si="0"/>
        <v>0</v>
      </c>
      <c r="AP201" s="388"/>
      <c r="AQ201" s="378"/>
      <c r="AR201" s="1145" t="s">
        <v>564</v>
      </c>
      <c r="AS201" s="1146"/>
      <c r="AT201" s="1146"/>
      <c r="AU201" s="1146"/>
      <c r="AV201" s="1146"/>
      <c r="AW201" s="154" t="s">
        <v>565</v>
      </c>
      <c r="AX201" s="562">
        <f t="shared" si="16"/>
        <v>0</v>
      </c>
      <c r="AY201" s="611"/>
      <c r="AZ201" s="378"/>
      <c r="BA201" s="381"/>
    </row>
    <row r="202" spans="1:58" ht="18.75" x14ac:dyDescent="0.25">
      <c r="A202" s="1163" t="s">
        <v>255</v>
      </c>
      <c r="B202" s="1164"/>
      <c r="C202" s="1164"/>
      <c r="D202" s="1164"/>
      <c r="E202" s="1164"/>
      <c r="F202" s="600"/>
      <c r="G202" s="1191">
        <f>SUM(G200:I201)</f>
        <v>0</v>
      </c>
      <c r="H202" s="1191"/>
      <c r="I202" s="1191"/>
      <c r="J202" s="513">
        <f>SUM(J200:J201)</f>
        <v>0</v>
      </c>
      <c r="K202" s="514">
        <f>SUM(K200:K201)</f>
        <v>0</v>
      </c>
      <c r="L202" s="426">
        <f>SUM(L200:L201)</f>
        <v>0</v>
      </c>
      <c r="M202" s="394"/>
      <c r="N202" s="1192" t="s">
        <v>255</v>
      </c>
      <c r="O202" s="1193"/>
      <c r="P202" s="1193"/>
      <c r="Q202" s="1193"/>
      <c r="R202" s="1193"/>
      <c r="S202" s="601"/>
      <c r="T202" s="1194">
        <f>SUM(T200:V201)</f>
        <v>0</v>
      </c>
      <c r="U202" s="1194"/>
      <c r="V202" s="1194"/>
      <c r="W202" s="513">
        <f>SUM(W200:W201)</f>
        <v>0</v>
      </c>
      <c r="X202" s="514">
        <f>SUM(X200:X201)</f>
        <v>0</v>
      </c>
      <c r="Y202" s="426">
        <f>SUM(Y200:Y201)</f>
        <v>0</v>
      </c>
      <c r="Z202" s="427">
        <f t="shared" si="19"/>
        <v>0</v>
      </c>
      <c r="AA202" s="394"/>
      <c r="AC202" s="508" t="s">
        <v>566</v>
      </c>
      <c r="AD202" s="612" t="s">
        <v>567</v>
      </c>
      <c r="AE202" s="559">
        <f t="shared" si="9"/>
        <v>0</v>
      </c>
      <c r="AF202" s="560" t="str">
        <f t="shared" si="10"/>
        <v/>
      </c>
      <c r="AH202" s="378"/>
      <c r="AI202" s="1087" t="s">
        <v>568</v>
      </c>
      <c r="AJ202" s="1088"/>
      <c r="AK202" s="1088"/>
      <c r="AL202" s="1088"/>
      <c r="AM202" s="1088"/>
      <c r="AN202" s="613" t="s">
        <v>568</v>
      </c>
      <c r="AO202" s="562">
        <f t="shared" si="0"/>
        <v>0</v>
      </c>
      <c r="AP202" s="388"/>
      <c r="AQ202" s="378"/>
      <c r="AR202" s="1145" t="s">
        <v>569</v>
      </c>
      <c r="AS202" s="1146"/>
      <c r="AT202" s="1146"/>
      <c r="AU202" s="1146"/>
      <c r="AV202" s="1146"/>
      <c r="AW202" s="138" t="s">
        <v>189</v>
      </c>
      <c r="AX202" s="562">
        <f t="shared" si="16"/>
        <v>3</v>
      </c>
      <c r="AY202" s="611"/>
      <c r="AZ202" s="378"/>
      <c r="BA202" s="381"/>
    </row>
    <row r="203" spans="1:58" ht="18.75" x14ac:dyDescent="0.25">
      <c r="A203" s="1195" t="s">
        <v>570</v>
      </c>
      <c r="B203" s="1196"/>
      <c r="C203" s="1196"/>
      <c r="D203" s="1196"/>
      <c r="E203" s="1196"/>
      <c r="F203" s="1196"/>
      <c r="G203" s="1196"/>
      <c r="H203" s="1196"/>
      <c r="I203" s="1197"/>
      <c r="J203" s="604" t="s">
        <v>305</v>
      </c>
      <c r="K203" s="604" t="s">
        <v>306</v>
      </c>
      <c r="L203" s="604" t="s">
        <v>307</v>
      </c>
      <c r="M203" s="394"/>
      <c r="N203" s="1195" t="s">
        <v>570</v>
      </c>
      <c r="O203" s="1196"/>
      <c r="P203" s="1196"/>
      <c r="Q203" s="1196"/>
      <c r="R203" s="1196"/>
      <c r="S203" s="1196"/>
      <c r="T203" s="1196"/>
      <c r="U203" s="1196"/>
      <c r="V203" s="1197"/>
      <c r="W203" s="417" t="s">
        <v>305</v>
      </c>
      <c r="X203" s="417" t="s">
        <v>306</v>
      </c>
      <c r="Y203" s="417" t="s">
        <v>307</v>
      </c>
      <c r="Z203" s="519"/>
      <c r="AA203" s="394" t="b">
        <f>IFERROR(#REF!&gt;0.5,FALSE)</f>
        <v>0</v>
      </c>
      <c r="AC203" s="508" t="s">
        <v>571</v>
      </c>
      <c r="AD203" s="91" t="s">
        <v>170</v>
      </c>
      <c r="AE203" s="559">
        <f t="shared" si="9"/>
        <v>6</v>
      </c>
      <c r="AF203" s="560" t="str">
        <f t="shared" si="10"/>
        <v/>
      </c>
      <c r="AH203" s="378"/>
      <c r="AI203" s="1087" t="s">
        <v>572</v>
      </c>
      <c r="AJ203" s="1088"/>
      <c r="AK203" s="1088"/>
      <c r="AL203" s="1088"/>
      <c r="AM203" s="1088"/>
      <c r="AN203" s="614" t="s">
        <v>573</v>
      </c>
      <c r="AO203" s="562">
        <f t="shared" si="0"/>
        <v>0</v>
      </c>
      <c r="AP203" s="388"/>
      <c r="AQ203" s="378"/>
      <c r="AR203" s="1145" t="s">
        <v>574</v>
      </c>
      <c r="AS203" s="1146"/>
      <c r="AT203" s="1146"/>
      <c r="AU203" s="1146"/>
      <c r="AV203" s="1146"/>
      <c r="AW203" s="138" t="s">
        <v>575</v>
      </c>
      <c r="AX203" s="562">
        <f t="shared" si="16"/>
        <v>0</v>
      </c>
      <c r="AY203" s="611"/>
      <c r="AZ203" s="378"/>
      <c r="BA203" s="381"/>
    </row>
    <row r="204" spans="1:58" ht="18.75" thickBot="1" x14ac:dyDescent="0.3">
      <c r="A204" s="1169" t="s">
        <v>99</v>
      </c>
      <c r="B204" s="1170"/>
      <c r="C204" s="1171"/>
      <c r="D204" s="421" t="s">
        <v>576</v>
      </c>
      <c r="E204" s="422" t="s">
        <v>321</v>
      </c>
      <c r="F204" s="615" t="s">
        <v>98</v>
      </c>
      <c r="G204" s="1198">
        <f t="shared" ref="G204:G220" si="20">COUNTIF($A$1:$BK$73,F204)</f>
        <v>0</v>
      </c>
      <c r="H204" s="1199"/>
      <c r="I204" s="1200"/>
      <c r="J204" s="424">
        <v>0</v>
      </c>
      <c r="K204" s="425">
        <v>0</v>
      </c>
      <c r="L204" s="426">
        <f t="shared" ref="L204:L220" si="21">G204-K204-J204</f>
        <v>0</v>
      </c>
      <c r="M204" s="394"/>
      <c r="N204" s="1169" t="s">
        <v>99</v>
      </c>
      <c r="O204" s="1170"/>
      <c r="P204" s="1171"/>
      <c r="Q204" s="421" t="s">
        <v>576</v>
      </c>
      <c r="R204" s="422" t="s">
        <v>321</v>
      </c>
      <c r="S204" s="615" t="s">
        <v>98</v>
      </c>
      <c r="T204" s="1114">
        <f t="shared" ref="T204:T220" si="22">COUNTIF($BL$1:$CN$58,S204)</f>
        <v>0</v>
      </c>
      <c r="U204" s="1114"/>
      <c r="V204" s="1114"/>
      <c r="W204" s="424">
        <v>0</v>
      </c>
      <c r="X204" s="425">
        <v>0</v>
      </c>
      <c r="Y204" s="426">
        <f t="shared" ref="Y204:Y220" si="23">T204-X204-W204</f>
        <v>0</v>
      </c>
      <c r="Z204" s="427">
        <f t="shared" si="6"/>
        <v>0</v>
      </c>
      <c r="AA204" s="394"/>
      <c r="AC204" s="616" t="s">
        <v>577</v>
      </c>
      <c r="AD204" s="617" t="s">
        <v>578</v>
      </c>
      <c r="AE204" s="559">
        <f t="shared" si="9"/>
        <v>0</v>
      </c>
      <c r="AF204" s="560" t="str">
        <f t="shared" si="10"/>
        <v/>
      </c>
      <c r="AH204" s="378"/>
      <c r="AI204" s="1087" t="s">
        <v>579</v>
      </c>
      <c r="AJ204" s="1088"/>
      <c r="AK204" s="1088"/>
      <c r="AL204" s="1088"/>
      <c r="AM204" s="1088"/>
      <c r="AN204" s="618" t="s">
        <v>580</v>
      </c>
      <c r="AO204" s="562">
        <f t="shared" si="0"/>
        <v>0</v>
      </c>
      <c r="AP204" s="388"/>
      <c r="AQ204" s="378"/>
      <c r="AR204" s="1145" t="s">
        <v>581</v>
      </c>
      <c r="AS204" s="1146"/>
      <c r="AT204" s="1146"/>
      <c r="AU204" s="1146"/>
      <c r="AV204" s="1146"/>
      <c r="AW204" s="619" t="s">
        <v>582</v>
      </c>
      <c r="AX204" s="562">
        <f t="shared" si="16"/>
        <v>0</v>
      </c>
      <c r="AY204" s="611"/>
      <c r="AZ204" s="378"/>
      <c r="BA204" s="381"/>
    </row>
    <row r="205" spans="1:58" ht="18.75" x14ac:dyDescent="0.25">
      <c r="A205" s="1169" t="s">
        <v>145</v>
      </c>
      <c r="B205" s="1170"/>
      <c r="C205" s="1171"/>
      <c r="D205" s="421"/>
      <c r="E205" s="422"/>
      <c r="F205" s="620" t="s">
        <v>146</v>
      </c>
      <c r="G205" s="1112">
        <f t="shared" si="20"/>
        <v>0</v>
      </c>
      <c r="H205" s="1112"/>
      <c r="I205" s="1113"/>
      <c r="J205" s="424">
        <v>0</v>
      </c>
      <c r="K205" s="425">
        <v>0</v>
      </c>
      <c r="L205" s="426">
        <f t="shared" si="21"/>
        <v>0</v>
      </c>
      <c r="M205" s="394"/>
      <c r="N205" s="1169" t="s">
        <v>145</v>
      </c>
      <c r="O205" s="1170"/>
      <c r="P205" s="1171"/>
      <c r="Q205" s="421"/>
      <c r="R205" s="422"/>
      <c r="S205" s="620" t="s">
        <v>146</v>
      </c>
      <c r="T205" s="1113">
        <f t="shared" si="22"/>
        <v>0</v>
      </c>
      <c r="U205" s="1114"/>
      <c r="V205" s="1114"/>
      <c r="W205" s="424">
        <v>0</v>
      </c>
      <c r="X205" s="425">
        <v>0</v>
      </c>
      <c r="Y205" s="426">
        <f t="shared" si="23"/>
        <v>0</v>
      </c>
      <c r="Z205" s="427">
        <f t="shared" si="6"/>
        <v>0</v>
      </c>
      <c r="AA205" s="394"/>
      <c r="AC205" s="508" t="s">
        <v>583</v>
      </c>
      <c r="AD205" s="621" t="s">
        <v>584</v>
      </c>
      <c r="AE205" s="559">
        <f t="shared" si="9"/>
        <v>0</v>
      </c>
      <c r="AF205" s="560" t="str">
        <f t="shared" si="10"/>
        <v/>
      </c>
      <c r="AH205" s="378"/>
      <c r="AI205" s="1087" t="s">
        <v>585</v>
      </c>
      <c r="AJ205" s="1088"/>
      <c r="AK205" s="1088"/>
      <c r="AL205" s="1088"/>
      <c r="AM205" s="1088"/>
      <c r="AN205" s="622" t="s">
        <v>586</v>
      </c>
      <c r="AO205" s="562">
        <f t="shared" si="0"/>
        <v>0</v>
      </c>
      <c r="AP205" s="623"/>
      <c r="AQ205" s="378"/>
      <c r="AR205" s="1145" t="s">
        <v>587</v>
      </c>
      <c r="AS205" s="1146"/>
      <c r="AT205" s="1146"/>
      <c r="AU205" s="1146"/>
      <c r="AV205" s="1146"/>
      <c r="AW205" s="138" t="s">
        <v>192</v>
      </c>
      <c r="AX205" s="562">
        <f t="shared" si="16"/>
        <v>1</v>
      </c>
      <c r="AY205" s="590"/>
      <c r="AZ205" s="378"/>
      <c r="BA205" s="381"/>
    </row>
    <row r="206" spans="1:58" ht="18.75" thickBot="1" x14ac:dyDescent="0.3">
      <c r="A206" s="1169" t="s">
        <v>100</v>
      </c>
      <c r="B206" s="1170"/>
      <c r="C206" s="1171"/>
      <c r="D206" s="421"/>
      <c r="E206" s="422"/>
      <c r="F206" s="624" t="s">
        <v>0</v>
      </c>
      <c r="G206" s="1112">
        <f t="shared" si="20"/>
        <v>2</v>
      </c>
      <c r="H206" s="1112"/>
      <c r="I206" s="1113"/>
      <c r="J206" s="424">
        <v>0</v>
      </c>
      <c r="K206" s="425">
        <v>0</v>
      </c>
      <c r="L206" s="426">
        <f t="shared" si="21"/>
        <v>2</v>
      </c>
      <c r="M206" s="394"/>
      <c r="N206" s="1169" t="s">
        <v>100</v>
      </c>
      <c r="O206" s="1170"/>
      <c r="P206" s="1171"/>
      <c r="Q206" s="421"/>
      <c r="R206" s="422"/>
      <c r="S206" s="624" t="s">
        <v>0</v>
      </c>
      <c r="T206" s="1113">
        <f t="shared" si="22"/>
        <v>2</v>
      </c>
      <c r="U206" s="1114"/>
      <c r="V206" s="1114"/>
      <c r="W206" s="424">
        <v>0</v>
      </c>
      <c r="X206" s="425">
        <v>0</v>
      </c>
      <c r="Y206" s="426">
        <f t="shared" si="23"/>
        <v>2</v>
      </c>
      <c r="Z206" s="427">
        <f t="shared" si="6"/>
        <v>4</v>
      </c>
      <c r="AA206" s="394"/>
      <c r="AC206" s="508" t="s">
        <v>588</v>
      </c>
      <c r="AD206" s="625" t="s">
        <v>589</v>
      </c>
      <c r="AE206" s="559">
        <f t="shared" si="9"/>
        <v>0</v>
      </c>
      <c r="AF206" s="560" t="str">
        <f t="shared" si="10"/>
        <v/>
      </c>
      <c r="AH206" s="378"/>
      <c r="AI206" s="1087" t="s">
        <v>590</v>
      </c>
      <c r="AJ206" s="1088"/>
      <c r="AK206" s="1088"/>
      <c r="AL206" s="1088"/>
      <c r="AM206" s="1088"/>
      <c r="AN206" s="568" t="s">
        <v>591</v>
      </c>
      <c r="AO206" s="562">
        <f t="shared" si="0"/>
        <v>0</v>
      </c>
      <c r="AP206" s="388"/>
      <c r="AQ206" s="378"/>
      <c r="AR206" s="1145" t="s">
        <v>592</v>
      </c>
      <c r="AS206" s="1146"/>
      <c r="AT206" s="1146"/>
      <c r="AU206" s="1146"/>
      <c r="AV206" s="1146"/>
      <c r="AW206" s="626" t="s">
        <v>593</v>
      </c>
      <c r="AX206" s="562">
        <f t="shared" si="16"/>
        <v>0</v>
      </c>
      <c r="AY206" s="590"/>
      <c r="AZ206" s="378"/>
      <c r="BA206" s="506"/>
    </row>
    <row r="207" spans="1:58" ht="19.5" thickBot="1" x14ac:dyDescent="0.3">
      <c r="A207" s="1169" t="s">
        <v>102</v>
      </c>
      <c r="B207" s="1170"/>
      <c r="C207" s="1171"/>
      <c r="D207" s="421" t="s">
        <v>0</v>
      </c>
      <c r="E207" s="422"/>
      <c r="F207" s="627" t="s">
        <v>101</v>
      </c>
      <c r="G207" s="1112">
        <f t="shared" si="20"/>
        <v>0</v>
      </c>
      <c r="H207" s="1112"/>
      <c r="I207" s="1113"/>
      <c r="J207" s="424">
        <v>0</v>
      </c>
      <c r="K207" s="425">
        <v>0</v>
      </c>
      <c r="L207" s="426">
        <f t="shared" si="21"/>
        <v>0</v>
      </c>
      <c r="M207" s="394"/>
      <c r="N207" s="1169" t="s">
        <v>102</v>
      </c>
      <c r="O207" s="1170"/>
      <c r="P207" s="1171"/>
      <c r="Q207" s="421" t="s">
        <v>0</v>
      </c>
      <c r="R207" s="422"/>
      <c r="S207" s="627" t="s">
        <v>101</v>
      </c>
      <c r="T207" s="1113">
        <f t="shared" si="22"/>
        <v>0</v>
      </c>
      <c r="U207" s="1114"/>
      <c r="V207" s="1114"/>
      <c r="W207" s="424">
        <v>0</v>
      </c>
      <c r="X207" s="425">
        <v>0</v>
      </c>
      <c r="Y207" s="426">
        <f t="shared" si="23"/>
        <v>0</v>
      </c>
      <c r="Z207" s="427">
        <f t="shared" si="6"/>
        <v>0</v>
      </c>
      <c r="AC207" s="508" t="s">
        <v>169</v>
      </c>
      <c r="AD207" s="89" t="s">
        <v>169</v>
      </c>
      <c r="AE207" s="559">
        <f t="shared" si="9"/>
        <v>30</v>
      </c>
      <c r="AF207" s="560" t="str">
        <f t="shared" si="10"/>
        <v/>
      </c>
      <c r="AH207" s="378"/>
      <c r="AI207" s="1087" t="s">
        <v>594</v>
      </c>
      <c r="AJ207" s="1088"/>
      <c r="AK207" s="1088"/>
      <c r="AL207" s="1088"/>
      <c r="AM207" s="1088"/>
      <c r="AN207" s="614" t="s">
        <v>595</v>
      </c>
      <c r="AO207" s="562">
        <f t="shared" si="0"/>
        <v>0</v>
      </c>
      <c r="AP207" s="388"/>
      <c r="AQ207" s="378"/>
      <c r="AR207" s="1145" t="s">
        <v>596</v>
      </c>
      <c r="AS207" s="1146"/>
      <c r="AT207" s="1146"/>
      <c r="AU207" s="1146"/>
      <c r="AV207" s="1146"/>
      <c r="AW207" s="628" t="s">
        <v>597</v>
      </c>
      <c r="AX207" s="562">
        <f t="shared" si="16"/>
        <v>0</v>
      </c>
      <c r="AY207" s="590"/>
      <c r="AZ207" s="378"/>
      <c r="BA207" s="506"/>
    </row>
    <row r="208" spans="1:58" ht="19.5" thickBot="1" x14ac:dyDescent="0.3">
      <c r="A208" s="1169" t="s">
        <v>18</v>
      </c>
      <c r="B208" s="1170"/>
      <c r="C208" s="1171"/>
      <c r="D208" s="421"/>
      <c r="E208" s="422"/>
      <c r="F208" s="629" t="s">
        <v>1</v>
      </c>
      <c r="G208" s="1112">
        <f t="shared" si="20"/>
        <v>0</v>
      </c>
      <c r="H208" s="1112"/>
      <c r="I208" s="1113"/>
      <c r="J208" s="424">
        <v>0</v>
      </c>
      <c r="K208" s="425">
        <v>0</v>
      </c>
      <c r="L208" s="426">
        <f t="shared" si="21"/>
        <v>0</v>
      </c>
      <c r="M208" s="394"/>
      <c r="N208" s="1169" t="s">
        <v>18</v>
      </c>
      <c r="O208" s="1170"/>
      <c r="P208" s="1171"/>
      <c r="Q208" s="421"/>
      <c r="R208" s="422"/>
      <c r="S208" s="629" t="s">
        <v>1</v>
      </c>
      <c r="T208" s="1113">
        <f t="shared" si="22"/>
        <v>0</v>
      </c>
      <c r="U208" s="1114"/>
      <c r="V208" s="1114"/>
      <c r="W208" s="424">
        <v>0</v>
      </c>
      <c r="X208" s="425">
        <v>0</v>
      </c>
      <c r="Y208" s="426">
        <f t="shared" si="23"/>
        <v>0</v>
      </c>
      <c r="Z208" s="427">
        <f t="shared" si="6"/>
        <v>0</v>
      </c>
      <c r="AC208" s="508" t="s">
        <v>598</v>
      </c>
      <c r="AD208" s="630" t="s">
        <v>599</v>
      </c>
      <c r="AE208" s="559">
        <f t="shared" si="9"/>
        <v>0</v>
      </c>
      <c r="AF208" s="560" t="str">
        <f t="shared" si="10"/>
        <v/>
      </c>
      <c r="AH208" s="378"/>
      <c r="AI208" s="1087" t="s">
        <v>600</v>
      </c>
      <c r="AJ208" s="1088"/>
      <c r="AK208" s="1088"/>
      <c r="AL208" s="1088"/>
      <c r="AM208" s="1088"/>
      <c r="AN208" s="631" t="s">
        <v>601</v>
      </c>
      <c r="AO208" s="562">
        <f t="shared" si="0"/>
        <v>0</v>
      </c>
      <c r="AP208" s="388"/>
      <c r="AQ208" s="378"/>
      <c r="AR208" s="1145" t="s">
        <v>602</v>
      </c>
      <c r="AS208" s="1146"/>
      <c r="AT208" s="1146"/>
      <c r="AU208" s="1146"/>
      <c r="AV208" s="1146"/>
      <c r="AW208" s="632" t="s">
        <v>603</v>
      </c>
      <c r="AX208" s="562">
        <f t="shared" si="16"/>
        <v>0</v>
      </c>
      <c r="AY208" s="590"/>
      <c r="AZ208" s="378"/>
      <c r="BA208" s="506"/>
    </row>
    <row r="209" spans="1:53" ht="18.75" x14ac:dyDescent="0.25">
      <c r="A209" s="1169" t="s">
        <v>147</v>
      </c>
      <c r="B209" s="1170"/>
      <c r="C209" s="1171"/>
      <c r="D209" s="421"/>
      <c r="E209" s="422"/>
      <c r="F209" s="633" t="s">
        <v>148</v>
      </c>
      <c r="G209" s="1111">
        <f t="shared" si="20"/>
        <v>0</v>
      </c>
      <c r="H209" s="1112"/>
      <c r="I209" s="1113"/>
      <c r="J209" s="424">
        <v>0</v>
      </c>
      <c r="K209" s="425">
        <v>0</v>
      </c>
      <c r="L209" s="426">
        <f t="shared" si="21"/>
        <v>0</v>
      </c>
      <c r="M209" s="394"/>
      <c r="N209" s="1169" t="s">
        <v>147</v>
      </c>
      <c r="O209" s="1170"/>
      <c r="P209" s="1171"/>
      <c r="Q209" s="421"/>
      <c r="R209" s="422"/>
      <c r="S209" s="633" t="s">
        <v>148</v>
      </c>
      <c r="T209" s="1114">
        <f t="shared" si="22"/>
        <v>0</v>
      </c>
      <c r="U209" s="1114"/>
      <c r="V209" s="1114"/>
      <c r="W209" s="424">
        <v>0</v>
      </c>
      <c r="X209" s="425">
        <v>0</v>
      </c>
      <c r="Y209" s="426">
        <f t="shared" si="23"/>
        <v>0</v>
      </c>
      <c r="Z209" s="427">
        <f t="shared" si="6"/>
        <v>0</v>
      </c>
      <c r="AC209" s="508" t="s">
        <v>604</v>
      </c>
      <c r="AD209" s="634" t="s">
        <v>605</v>
      </c>
      <c r="AE209" s="559">
        <f t="shared" si="9"/>
        <v>0</v>
      </c>
      <c r="AF209" s="560" t="str">
        <f t="shared" si="10"/>
        <v/>
      </c>
      <c r="AH209" s="378"/>
      <c r="AI209" s="1087" t="s">
        <v>606</v>
      </c>
      <c r="AJ209" s="1088"/>
      <c r="AK209" s="1088"/>
      <c r="AL209" s="1088"/>
      <c r="AM209" s="1088"/>
      <c r="AN209" s="566" t="s">
        <v>607</v>
      </c>
      <c r="AO209" s="562">
        <f t="shared" si="0"/>
        <v>0</v>
      </c>
      <c r="AP209" s="388"/>
      <c r="AQ209" s="378"/>
      <c r="AR209" s="1145" t="s">
        <v>608</v>
      </c>
      <c r="AS209" s="1146"/>
      <c r="AT209" s="1146"/>
      <c r="AU209" s="1146"/>
      <c r="AV209" s="1146"/>
      <c r="AW209" s="635" t="s">
        <v>609</v>
      </c>
      <c r="AX209" s="562">
        <f t="shared" si="16"/>
        <v>0</v>
      </c>
      <c r="AY209" s="590"/>
      <c r="AZ209" s="378"/>
      <c r="BA209" s="506"/>
    </row>
    <row r="210" spans="1:53" ht="18.75" x14ac:dyDescent="0.25">
      <c r="A210" s="1169" t="s">
        <v>32</v>
      </c>
      <c r="B210" s="1170"/>
      <c r="C210" s="1171"/>
      <c r="D210" s="421"/>
      <c r="E210" s="422" t="s">
        <v>321</v>
      </c>
      <c r="F210" s="455" t="s">
        <v>68</v>
      </c>
      <c r="G210" s="1111">
        <f t="shared" si="20"/>
        <v>3</v>
      </c>
      <c r="H210" s="1112"/>
      <c r="I210" s="1113"/>
      <c r="J210" s="424">
        <v>0</v>
      </c>
      <c r="K210" s="425">
        <v>0</v>
      </c>
      <c r="L210" s="426">
        <f t="shared" si="21"/>
        <v>3</v>
      </c>
      <c r="M210" s="394"/>
      <c r="N210" s="1169" t="s">
        <v>32</v>
      </c>
      <c r="O210" s="1170"/>
      <c r="P210" s="1171"/>
      <c r="Q210" s="421"/>
      <c r="R210" s="422" t="s">
        <v>321</v>
      </c>
      <c r="S210" s="455" t="s">
        <v>68</v>
      </c>
      <c r="T210" s="1114">
        <f t="shared" si="22"/>
        <v>2</v>
      </c>
      <c r="U210" s="1114"/>
      <c r="V210" s="1114"/>
      <c r="W210" s="424">
        <v>0</v>
      </c>
      <c r="X210" s="425">
        <v>0</v>
      </c>
      <c r="Y210" s="426">
        <f t="shared" si="23"/>
        <v>2</v>
      </c>
      <c r="Z210" s="427">
        <f t="shared" si="6"/>
        <v>5</v>
      </c>
      <c r="AC210" s="508" t="s">
        <v>610</v>
      </c>
      <c r="AD210" s="636" t="s">
        <v>611</v>
      </c>
      <c r="AE210" s="559">
        <f t="shared" si="9"/>
        <v>0</v>
      </c>
      <c r="AF210" s="560" t="str">
        <f t="shared" si="10"/>
        <v/>
      </c>
      <c r="AH210" s="378"/>
      <c r="AI210" s="1087" t="s">
        <v>612</v>
      </c>
      <c r="AJ210" s="1088"/>
      <c r="AK210" s="1088"/>
      <c r="AL210" s="1088"/>
      <c r="AM210" s="1088"/>
      <c r="AN210" s="637" t="s">
        <v>613</v>
      </c>
      <c r="AO210" s="562">
        <f t="shared" si="0"/>
        <v>0</v>
      </c>
      <c r="AP210" s="388"/>
      <c r="AQ210" s="378"/>
      <c r="AR210" s="1145" t="s">
        <v>614</v>
      </c>
      <c r="AS210" s="1146"/>
      <c r="AT210" s="1146"/>
      <c r="AU210" s="1146"/>
      <c r="AV210" s="1146"/>
      <c r="AW210" s="638" t="s">
        <v>615</v>
      </c>
      <c r="AX210" s="562">
        <f t="shared" si="16"/>
        <v>0</v>
      </c>
      <c r="AY210" s="611"/>
      <c r="AZ210" s="378"/>
      <c r="BA210" s="381"/>
    </row>
    <row r="211" spans="1:53" ht="18" x14ac:dyDescent="0.25">
      <c r="A211" s="1169" t="s">
        <v>110</v>
      </c>
      <c r="B211" s="1170"/>
      <c r="C211" s="1171"/>
      <c r="D211" s="421"/>
      <c r="E211" s="422"/>
      <c r="F211" s="639" t="s">
        <v>109</v>
      </c>
      <c r="G211" s="1111">
        <f t="shared" si="20"/>
        <v>1</v>
      </c>
      <c r="H211" s="1112"/>
      <c r="I211" s="1113"/>
      <c r="J211" s="424">
        <v>0</v>
      </c>
      <c r="K211" s="425">
        <v>0</v>
      </c>
      <c r="L211" s="426">
        <f t="shared" si="21"/>
        <v>1</v>
      </c>
      <c r="M211" s="394"/>
      <c r="N211" s="1169" t="s">
        <v>110</v>
      </c>
      <c r="O211" s="1170"/>
      <c r="P211" s="1171"/>
      <c r="Q211" s="421"/>
      <c r="R211" s="422"/>
      <c r="S211" s="639" t="s">
        <v>109</v>
      </c>
      <c r="T211" s="1114">
        <f t="shared" si="22"/>
        <v>0</v>
      </c>
      <c r="U211" s="1114"/>
      <c r="V211" s="1114"/>
      <c r="W211" s="424">
        <v>0</v>
      </c>
      <c r="X211" s="425">
        <v>0</v>
      </c>
      <c r="Y211" s="426">
        <f t="shared" si="23"/>
        <v>0</v>
      </c>
      <c r="Z211" s="427">
        <f t="shared" si="6"/>
        <v>1</v>
      </c>
      <c r="AC211" s="508" t="s">
        <v>616</v>
      </c>
      <c r="AD211" s="636" t="s">
        <v>617</v>
      </c>
      <c r="AE211" s="559">
        <f t="shared" si="9"/>
        <v>0</v>
      </c>
      <c r="AF211" s="560" t="str">
        <f t="shared" si="10"/>
        <v/>
      </c>
      <c r="AH211" s="378"/>
      <c r="AI211" s="1087" t="s">
        <v>618</v>
      </c>
      <c r="AJ211" s="1088"/>
      <c r="AK211" s="1088"/>
      <c r="AL211" s="1088"/>
      <c r="AM211" s="1088"/>
      <c r="AN211" s="117" t="s">
        <v>166</v>
      </c>
      <c r="AO211" s="562">
        <f t="shared" si="0"/>
        <v>4</v>
      </c>
      <c r="AP211" s="388"/>
      <c r="AQ211" s="378"/>
      <c r="AR211" s="1145" t="s">
        <v>619</v>
      </c>
      <c r="AS211" s="1146"/>
      <c r="AT211" s="1146"/>
      <c r="AU211" s="1146"/>
      <c r="AV211" s="1146"/>
      <c r="AW211" s="640" t="s">
        <v>620</v>
      </c>
      <c r="AX211" s="562">
        <f t="shared" si="16"/>
        <v>0</v>
      </c>
      <c r="AY211" s="590"/>
      <c r="AZ211" s="378"/>
      <c r="BA211" s="381"/>
    </row>
    <row r="212" spans="1:53" ht="18.75" x14ac:dyDescent="0.25">
      <c r="A212" s="1169" t="s">
        <v>106</v>
      </c>
      <c r="B212" s="1170"/>
      <c r="C212" s="1171"/>
      <c r="D212" s="421"/>
      <c r="E212" s="422"/>
      <c r="F212" s="641" t="s">
        <v>105</v>
      </c>
      <c r="G212" s="1111">
        <f t="shared" si="20"/>
        <v>0</v>
      </c>
      <c r="H212" s="1112"/>
      <c r="I212" s="1113"/>
      <c r="J212" s="424">
        <v>0</v>
      </c>
      <c r="K212" s="425">
        <v>0</v>
      </c>
      <c r="L212" s="426">
        <f t="shared" si="21"/>
        <v>0</v>
      </c>
      <c r="M212" s="394"/>
      <c r="N212" s="1169" t="s">
        <v>106</v>
      </c>
      <c r="O212" s="1170"/>
      <c r="P212" s="1171"/>
      <c r="Q212" s="421"/>
      <c r="R212" s="422"/>
      <c r="S212" s="641" t="s">
        <v>105</v>
      </c>
      <c r="T212" s="1114">
        <f t="shared" si="22"/>
        <v>0</v>
      </c>
      <c r="U212" s="1114"/>
      <c r="V212" s="1114"/>
      <c r="W212" s="424">
        <v>0</v>
      </c>
      <c r="X212" s="425">
        <v>0</v>
      </c>
      <c r="Y212" s="426">
        <f t="shared" si="23"/>
        <v>0</v>
      </c>
      <c r="Z212" s="427">
        <f t="shared" si="6"/>
        <v>0</v>
      </c>
      <c r="AC212" s="508" t="s">
        <v>621</v>
      </c>
      <c r="AD212" s="642" t="s">
        <v>622</v>
      </c>
      <c r="AE212" s="559">
        <f t="shared" si="9"/>
        <v>0</v>
      </c>
      <c r="AF212" s="560" t="str">
        <f t="shared" si="10"/>
        <v/>
      </c>
      <c r="AH212" s="378"/>
      <c r="AI212" s="1087" t="s">
        <v>623</v>
      </c>
      <c r="AJ212" s="1088"/>
      <c r="AK212" s="1088"/>
      <c r="AL212" s="1088"/>
      <c r="AM212" s="1088"/>
      <c r="AN212" s="643" t="s">
        <v>624</v>
      </c>
      <c r="AO212" s="562">
        <f t="shared" si="0"/>
        <v>0</v>
      </c>
      <c r="AP212" s="388"/>
      <c r="AQ212" s="378"/>
      <c r="AR212" s="1145" t="s">
        <v>625</v>
      </c>
      <c r="AS212" s="1146"/>
      <c r="AT212" s="1146"/>
      <c r="AU212" s="1146"/>
      <c r="AV212" s="1146"/>
      <c r="AW212" s="644" t="s">
        <v>626</v>
      </c>
      <c r="AX212" s="562">
        <f t="shared" si="16"/>
        <v>0</v>
      </c>
      <c r="AY212" s="590"/>
      <c r="AZ212" s="378"/>
      <c r="BA212" s="506"/>
    </row>
    <row r="213" spans="1:53" ht="18.75" thickBot="1" x14ac:dyDescent="0.3">
      <c r="A213" s="1169" t="s">
        <v>10</v>
      </c>
      <c r="B213" s="1170"/>
      <c r="C213" s="1171"/>
      <c r="D213" s="421"/>
      <c r="E213" s="422"/>
      <c r="F213" s="627" t="s">
        <v>47</v>
      </c>
      <c r="G213" s="1111">
        <f t="shared" si="20"/>
        <v>1</v>
      </c>
      <c r="H213" s="1112"/>
      <c r="I213" s="1113"/>
      <c r="J213" s="424">
        <v>0</v>
      </c>
      <c r="K213" s="425">
        <v>0</v>
      </c>
      <c r="L213" s="426">
        <f t="shared" si="21"/>
        <v>1</v>
      </c>
      <c r="M213" s="394"/>
      <c r="N213" s="1169" t="s">
        <v>10</v>
      </c>
      <c r="O213" s="1170"/>
      <c r="P213" s="1171"/>
      <c r="Q213" s="421"/>
      <c r="R213" s="422"/>
      <c r="S213" s="627" t="s">
        <v>47</v>
      </c>
      <c r="T213" s="1114">
        <f t="shared" si="22"/>
        <v>1</v>
      </c>
      <c r="U213" s="1114"/>
      <c r="V213" s="1114"/>
      <c r="W213" s="424">
        <v>0</v>
      </c>
      <c r="X213" s="425">
        <v>0</v>
      </c>
      <c r="Y213" s="426">
        <f t="shared" si="23"/>
        <v>1</v>
      </c>
      <c r="Z213" s="427">
        <f t="shared" si="6"/>
        <v>2</v>
      </c>
      <c r="AC213" s="508" t="s">
        <v>627</v>
      </c>
      <c r="AD213" s="645" t="s">
        <v>628</v>
      </c>
      <c r="AE213" s="559">
        <f t="shared" si="9"/>
        <v>0</v>
      </c>
      <c r="AF213" s="560" t="str">
        <f t="shared" si="10"/>
        <v/>
      </c>
      <c r="AH213" s="378"/>
      <c r="AI213" s="1087" t="s">
        <v>629</v>
      </c>
      <c r="AJ213" s="1088"/>
      <c r="AK213" s="1088"/>
      <c r="AL213" s="1088"/>
      <c r="AM213" s="1088"/>
      <c r="AN213" s="646" t="s">
        <v>630</v>
      </c>
      <c r="AO213" s="562">
        <f t="shared" si="0"/>
        <v>0</v>
      </c>
      <c r="AP213" s="388"/>
      <c r="AQ213" s="378"/>
      <c r="AR213" s="1145" t="s">
        <v>631</v>
      </c>
      <c r="AS213" s="1146"/>
      <c r="AT213" s="1146"/>
      <c r="AU213" s="1146"/>
      <c r="AV213" s="1146"/>
      <c r="AW213" s="644" t="s">
        <v>632</v>
      </c>
      <c r="AX213" s="562">
        <f t="shared" si="16"/>
        <v>0</v>
      </c>
      <c r="AY213" s="590"/>
      <c r="AZ213" s="378"/>
      <c r="BA213" s="506"/>
    </row>
    <row r="214" spans="1:53" ht="19.5" thickBot="1" x14ac:dyDescent="0.3">
      <c r="A214" s="1169" t="s">
        <v>38</v>
      </c>
      <c r="B214" s="1170"/>
      <c r="C214" s="1171"/>
      <c r="D214" s="421"/>
      <c r="E214" s="422"/>
      <c r="F214" s="647" t="s">
        <v>39</v>
      </c>
      <c r="G214" s="1111">
        <f t="shared" si="20"/>
        <v>0</v>
      </c>
      <c r="H214" s="1112"/>
      <c r="I214" s="1113"/>
      <c r="J214" s="424">
        <v>0</v>
      </c>
      <c r="K214" s="425">
        <v>0</v>
      </c>
      <c r="L214" s="426">
        <f t="shared" si="21"/>
        <v>0</v>
      </c>
      <c r="M214" s="394"/>
      <c r="N214" s="1169" t="s">
        <v>38</v>
      </c>
      <c r="O214" s="1170"/>
      <c r="P214" s="1171"/>
      <c r="Q214" s="421"/>
      <c r="R214" s="422"/>
      <c r="S214" s="647" t="s">
        <v>39</v>
      </c>
      <c r="T214" s="1114">
        <f t="shared" si="22"/>
        <v>0</v>
      </c>
      <c r="U214" s="1114"/>
      <c r="V214" s="1114"/>
      <c r="W214" s="424">
        <v>0</v>
      </c>
      <c r="X214" s="425">
        <v>0</v>
      </c>
      <c r="Y214" s="426">
        <f t="shared" si="23"/>
        <v>0</v>
      </c>
      <c r="Z214" s="427">
        <f t="shared" si="6"/>
        <v>0</v>
      </c>
      <c r="AC214" s="508" t="s">
        <v>633</v>
      </c>
      <c r="AD214" s="645" t="s">
        <v>634</v>
      </c>
      <c r="AE214" s="559">
        <f t="shared" si="9"/>
        <v>0</v>
      </c>
      <c r="AF214" s="560" t="str">
        <f t="shared" si="10"/>
        <v/>
      </c>
      <c r="AH214" s="378"/>
      <c r="AI214" s="1087" t="s">
        <v>635</v>
      </c>
      <c r="AJ214" s="1088"/>
      <c r="AK214" s="1088"/>
      <c r="AL214" s="1088"/>
      <c r="AM214" s="1088"/>
      <c r="AN214" s="648" t="s">
        <v>636</v>
      </c>
      <c r="AO214" s="562">
        <f t="shared" si="0"/>
        <v>0</v>
      </c>
      <c r="AP214" s="388"/>
      <c r="AQ214" s="378"/>
      <c r="AR214" s="1145" t="s">
        <v>637</v>
      </c>
      <c r="AS214" s="1146"/>
      <c r="AT214" s="1146"/>
      <c r="AU214" s="1146"/>
      <c r="AV214" s="1146"/>
      <c r="AW214" s="649" t="s">
        <v>638</v>
      </c>
      <c r="AX214" s="562">
        <f t="shared" si="16"/>
        <v>0</v>
      </c>
      <c r="AY214" s="590"/>
      <c r="AZ214" s="378"/>
      <c r="BA214" s="506"/>
    </row>
    <row r="215" spans="1:53" ht="19.5" thickBot="1" x14ac:dyDescent="0.3">
      <c r="A215" s="1169" t="s">
        <v>104</v>
      </c>
      <c r="B215" s="1170"/>
      <c r="C215" s="1171"/>
      <c r="D215" s="421" t="s">
        <v>2</v>
      </c>
      <c r="E215" s="422"/>
      <c r="F215" s="627" t="s">
        <v>103</v>
      </c>
      <c r="G215" s="1111">
        <f t="shared" si="20"/>
        <v>0</v>
      </c>
      <c r="H215" s="1112"/>
      <c r="I215" s="1113"/>
      <c r="J215" s="424">
        <v>0</v>
      </c>
      <c r="K215" s="425">
        <v>0</v>
      </c>
      <c r="L215" s="426">
        <f t="shared" si="21"/>
        <v>0</v>
      </c>
      <c r="M215" s="394"/>
      <c r="N215" s="1169" t="s">
        <v>104</v>
      </c>
      <c r="O215" s="1170"/>
      <c r="P215" s="1171"/>
      <c r="Q215" s="421" t="s">
        <v>2</v>
      </c>
      <c r="R215" s="422"/>
      <c r="S215" s="627" t="s">
        <v>103</v>
      </c>
      <c r="T215" s="1114">
        <f t="shared" si="22"/>
        <v>0</v>
      </c>
      <c r="U215" s="1114"/>
      <c r="V215" s="1114"/>
      <c r="W215" s="424">
        <v>0</v>
      </c>
      <c r="X215" s="425">
        <v>0</v>
      </c>
      <c r="Y215" s="426">
        <f t="shared" si="23"/>
        <v>0</v>
      </c>
      <c r="Z215" s="427">
        <f t="shared" si="6"/>
        <v>0</v>
      </c>
      <c r="AC215" s="508" t="s">
        <v>639</v>
      </c>
      <c r="AD215" s="650" t="s">
        <v>640</v>
      </c>
      <c r="AE215" s="559">
        <f t="shared" si="9"/>
        <v>0</v>
      </c>
      <c r="AF215" s="560" t="str">
        <f t="shared" si="10"/>
        <v/>
      </c>
      <c r="AH215" s="378"/>
      <c r="AI215" s="1087" t="s">
        <v>641</v>
      </c>
      <c r="AJ215" s="1088"/>
      <c r="AK215" s="1088"/>
      <c r="AL215" s="1088"/>
      <c r="AM215" s="1089"/>
      <c r="AN215" s="582" t="s">
        <v>642</v>
      </c>
      <c r="AO215" s="562">
        <f t="shared" ref="AO215:AO226" si="24">COUNTIF($A$1:$GO$128,AN215)</f>
        <v>0</v>
      </c>
      <c r="AP215" s="388"/>
      <c r="AQ215" s="378"/>
      <c r="AR215" s="1145" t="s">
        <v>643</v>
      </c>
      <c r="AS215" s="1146"/>
      <c r="AT215" s="1146"/>
      <c r="AU215" s="1146"/>
      <c r="AV215" s="1146"/>
      <c r="AW215" s="651" t="s">
        <v>644</v>
      </c>
      <c r="AX215" s="562">
        <f t="shared" si="16"/>
        <v>0</v>
      </c>
      <c r="AY215" s="590"/>
      <c r="AZ215" s="378"/>
      <c r="BA215" s="506"/>
    </row>
    <row r="216" spans="1:53" ht="19.5" thickBot="1" x14ac:dyDescent="0.3">
      <c r="A216" s="1169" t="s">
        <v>23</v>
      </c>
      <c r="B216" s="1170"/>
      <c r="C216" s="1171"/>
      <c r="D216" s="421"/>
      <c r="E216" s="422" t="s">
        <v>321</v>
      </c>
      <c r="F216" s="652" t="s">
        <v>4</v>
      </c>
      <c r="G216" s="1111">
        <f t="shared" si="20"/>
        <v>7</v>
      </c>
      <c r="H216" s="1112"/>
      <c r="I216" s="1113"/>
      <c r="J216" s="424">
        <v>0</v>
      </c>
      <c r="K216" s="425">
        <v>0</v>
      </c>
      <c r="L216" s="426">
        <f t="shared" si="21"/>
        <v>7</v>
      </c>
      <c r="M216" s="394"/>
      <c r="N216" s="1169" t="s">
        <v>23</v>
      </c>
      <c r="O216" s="1170"/>
      <c r="P216" s="1171"/>
      <c r="Q216" s="421"/>
      <c r="R216" s="422" t="s">
        <v>321</v>
      </c>
      <c r="S216" s="652" t="s">
        <v>4</v>
      </c>
      <c r="T216" s="1114">
        <f t="shared" si="22"/>
        <v>2</v>
      </c>
      <c r="U216" s="1114"/>
      <c r="V216" s="1114"/>
      <c r="W216" s="424">
        <v>0</v>
      </c>
      <c r="X216" s="425">
        <v>0</v>
      </c>
      <c r="Y216" s="426">
        <f t="shared" si="23"/>
        <v>2</v>
      </c>
      <c r="Z216" s="427">
        <f t="shared" si="6"/>
        <v>9</v>
      </c>
      <c r="AC216" s="508" t="s">
        <v>645</v>
      </c>
      <c r="AD216" s="653" t="s">
        <v>646</v>
      </c>
      <c r="AE216" s="559">
        <f t="shared" si="9"/>
        <v>0</v>
      </c>
      <c r="AF216" s="560" t="str">
        <f t="shared" si="10"/>
        <v/>
      </c>
      <c r="AH216" s="378"/>
      <c r="AI216" s="1087" t="s">
        <v>647</v>
      </c>
      <c r="AJ216" s="1088"/>
      <c r="AK216" s="1088"/>
      <c r="AL216" s="1088"/>
      <c r="AM216" s="1088"/>
      <c r="AN216" s="75" t="s">
        <v>124</v>
      </c>
      <c r="AO216" s="562">
        <f t="shared" si="24"/>
        <v>0</v>
      </c>
      <c r="AP216" s="388"/>
      <c r="AQ216" s="378"/>
      <c r="AR216" s="1145" t="s">
        <v>648</v>
      </c>
      <c r="AS216" s="1146"/>
      <c r="AT216" s="1146"/>
      <c r="AU216" s="1146"/>
      <c r="AV216" s="1146"/>
      <c r="AW216" s="651" t="s">
        <v>649</v>
      </c>
      <c r="AX216" s="562">
        <f t="shared" si="16"/>
        <v>0</v>
      </c>
      <c r="AY216" s="590"/>
      <c r="AZ216" s="378"/>
      <c r="BA216" s="506"/>
    </row>
    <row r="217" spans="1:53" ht="18" x14ac:dyDescent="0.25">
      <c r="A217" s="1169" t="s">
        <v>19</v>
      </c>
      <c r="B217" s="1170"/>
      <c r="C217" s="1171"/>
      <c r="D217" s="421"/>
      <c r="E217" s="422"/>
      <c r="F217" s="654" t="s">
        <v>2</v>
      </c>
      <c r="G217" s="1111">
        <f t="shared" si="20"/>
        <v>0</v>
      </c>
      <c r="H217" s="1112"/>
      <c r="I217" s="1113"/>
      <c r="J217" s="424">
        <v>0</v>
      </c>
      <c r="K217" s="425">
        <v>0</v>
      </c>
      <c r="L217" s="426">
        <f t="shared" si="21"/>
        <v>0</v>
      </c>
      <c r="M217" s="394"/>
      <c r="N217" s="1169" t="s">
        <v>19</v>
      </c>
      <c r="O217" s="1170"/>
      <c r="P217" s="1171"/>
      <c r="Q217" s="421"/>
      <c r="R217" s="422"/>
      <c r="S217" s="654" t="s">
        <v>2</v>
      </c>
      <c r="T217" s="1114">
        <f t="shared" si="22"/>
        <v>0</v>
      </c>
      <c r="U217" s="1114"/>
      <c r="V217" s="1114"/>
      <c r="W217" s="424">
        <v>0</v>
      </c>
      <c r="X217" s="425">
        <v>0</v>
      </c>
      <c r="Y217" s="426">
        <f t="shared" si="23"/>
        <v>0</v>
      </c>
      <c r="Z217" s="427">
        <f t="shared" si="6"/>
        <v>0</v>
      </c>
      <c r="AC217" s="508" t="s">
        <v>650</v>
      </c>
      <c r="AD217" s="655" t="s">
        <v>651</v>
      </c>
      <c r="AE217" s="559">
        <f t="shared" si="9"/>
        <v>0</v>
      </c>
      <c r="AF217" s="560" t="str">
        <f t="shared" si="10"/>
        <v/>
      </c>
      <c r="AH217" s="378"/>
      <c r="AI217" s="1087" t="s">
        <v>652</v>
      </c>
      <c r="AJ217" s="1088"/>
      <c r="AK217" s="1088"/>
      <c r="AL217" s="1088"/>
      <c r="AM217" s="1088"/>
      <c r="AN217" s="656" t="s">
        <v>653</v>
      </c>
      <c r="AO217" s="562">
        <f t="shared" si="24"/>
        <v>0</v>
      </c>
      <c r="AP217" s="388"/>
      <c r="AQ217" s="378"/>
      <c r="AR217" s="1145" t="s">
        <v>654</v>
      </c>
      <c r="AS217" s="1146"/>
      <c r="AT217" s="1146"/>
      <c r="AU217" s="1146"/>
      <c r="AV217" s="1146"/>
      <c r="AW217" s="657" t="s">
        <v>655</v>
      </c>
      <c r="AX217" s="562">
        <f t="shared" si="16"/>
        <v>0</v>
      </c>
      <c r="AY217" s="590"/>
      <c r="AZ217" s="378"/>
      <c r="BA217" s="506"/>
    </row>
    <row r="218" spans="1:53" ht="18" x14ac:dyDescent="0.25">
      <c r="A218" s="1169" t="s">
        <v>40</v>
      </c>
      <c r="B218" s="1170"/>
      <c r="C218" s="1171"/>
      <c r="D218" s="421"/>
      <c r="E218" s="422"/>
      <c r="F218" s="658" t="s">
        <v>41</v>
      </c>
      <c r="G218" s="1111">
        <f t="shared" si="20"/>
        <v>0</v>
      </c>
      <c r="H218" s="1112"/>
      <c r="I218" s="1113"/>
      <c r="J218" s="424">
        <v>0</v>
      </c>
      <c r="K218" s="425">
        <v>0</v>
      </c>
      <c r="L218" s="426">
        <f t="shared" si="21"/>
        <v>0</v>
      </c>
      <c r="M218" s="394"/>
      <c r="N218" s="1169" t="s">
        <v>40</v>
      </c>
      <c r="O218" s="1170"/>
      <c r="P218" s="1171"/>
      <c r="Q218" s="421"/>
      <c r="R218" s="422"/>
      <c r="S218" s="658" t="s">
        <v>41</v>
      </c>
      <c r="T218" s="1114">
        <f t="shared" si="22"/>
        <v>0</v>
      </c>
      <c r="U218" s="1114"/>
      <c r="V218" s="1114"/>
      <c r="W218" s="424">
        <v>0</v>
      </c>
      <c r="X218" s="425">
        <v>0</v>
      </c>
      <c r="Y218" s="426">
        <f t="shared" si="23"/>
        <v>0</v>
      </c>
      <c r="Z218" s="427">
        <f t="shared" si="6"/>
        <v>0</v>
      </c>
      <c r="AC218" s="508" t="s">
        <v>158</v>
      </c>
      <c r="AD218" s="659" t="s">
        <v>158</v>
      </c>
      <c r="AE218" s="559">
        <f t="shared" si="9"/>
        <v>3</v>
      </c>
      <c r="AF218" s="560" t="str">
        <f t="shared" si="10"/>
        <v/>
      </c>
      <c r="AH218" s="378"/>
      <c r="AI218" s="1087" t="s">
        <v>656</v>
      </c>
      <c r="AJ218" s="1088"/>
      <c r="AK218" s="1088"/>
      <c r="AL218" s="1088"/>
      <c r="AM218" s="1088"/>
      <c r="AN218" s="660" t="s">
        <v>657</v>
      </c>
      <c r="AO218" s="562">
        <f t="shared" si="24"/>
        <v>0</v>
      </c>
      <c r="AP218" s="388"/>
      <c r="AQ218" s="378"/>
      <c r="AR218" s="1145" t="s">
        <v>658</v>
      </c>
      <c r="AS218" s="1146"/>
      <c r="AT218" s="1146"/>
      <c r="AU218" s="1146"/>
      <c r="AV218" s="1146"/>
      <c r="AW218" s="593" t="s">
        <v>659</v>
      </c>
      <c r="AX218" s="562">
        <f t="shared" si="16"/>
        <v>0</v>
      </c>
      <c r="AY218" s="590"/>
      <c r="AZ218" s="378"/>
      <c r="BA218" s="506"/>
    </row>
    <row r="219" spans="1:53" ht="18.75" x14ac:dyDescent="0.25">
      <c r="A219" s="1169" t="s">
        <v>20</v>
      </c>
      <c r="B219" s="1170"/>
      <c r="C219" s="1171"/>
      <c r="D219" s="421"/>
      <c r="E219" s="422"/>
      <c r="F219" s="661" t="s">
        <v>3</v>
      </c>
      <c r="G219" s="1111">
        <f t="shared" si="20"/>
        <v>0</v>
      </c>
      <c r="H219" s="1112"/>
      <c r="I219" s="1113"/>
      <c r="J219" s="424">
        <v>0</v>
      </c>
      <c r="K219" s="425">
        <v>0</v>
      </c>
      <c r="L219" s="426">
        <f t="shared" si="21"/>
        <v>0</v>
      </c>
      <c r="M219" s="394"/>
      <c r="N219" s="1169" t="s">
        <v>20</v>
      </c>
      <c r="O219" s="1170"/>
      <c r="P219" s="1171"/>
      <c r="Q219" s="421"/>
      <c r="R219" s="422"/>
      <c r="S219" s="661" t="s">
        <v>3</v>
      </c>
      <c r="T219" s="1114">
        <f t="shared" si="22"/>
        <v>0</v>
      </c>
      <c r="U219" s="1114"/>
      <c r="V219" s="1114"/>
      <c r="W219" s="424">
        <v>0</v>
      </c>
      <c r="X219" s="425">
        <v>0</v>
      </c>
      <c r="Y219" s="426">
        <f t="shared" si="23"/>
        <v>0</v>
      </c>
      <c r="Z219" s="427">
        <f t="shared" si="6"/>
        <v>0</v>
      </c>
      <c r="AC219" s="508" t="s">
        <v>660</v>
      </c>
      <c r="AD219" s="662" t="s">
        <v>661</v>
      </c>
      <c r="AE219" s="559">
        <f t="shared" si="9"/>
        <v>0</v>
      </c>
      <c r="AF219" s="560" t="str">
        <f t="shared" si="10"/>
        <v/>
      </c>
      <c r="AH219" s="378"/>
      <c r="AI219" s="1087" t="s">
        <v>662</v>
      </c>
      <c r="AJ219" s="1088"/>
      <c r="AK219" s="1088"/>
      <c r="AL219" s="1088"/>
      <c r="AM219" s="1088"/>
      <c r="AN219" s="75" t="s">
        <v>663</v>
      </c>
      <c r="AO219" s="562">
        <f t="shared" si="24"/>
        <v>0</v>
      </c>
      <c r="AP219" s="388"/>
      <c r="AQ219" s="378"/>
      <c r="AR219" s="1145" t="s">
        <v>664</v>
      </c>
      <c r="AS219" s="1146"/>
      <c r="AT219" s="1146"/>
      <c r="AU219" s="1146"/>
      <c r="AV219" s="1146"/>
      <c r="AW219" s="133" t="s">
        <v>665</v>
      </c>
      <c r="AX219" s="562">
        <f t="shared" si="16"/>
        <v>0</v>
      </c>
      <c r="AY219" s="590"/>
      <c r="AZ219" s="378"/>
      <c r="BA219" s="506"/>
    </row>
    <row r="220" spans="1:53" ht="19.5" thickBot="1" x14ac:dyDescent="0.3">
      <c r="A220" s="1169" t="s">
        <v>108</v>
      </c>
      <c r="B220" s="1170"/>
      <c r="C220" s="1171"/>
      <c r="D220" s="421" t="s">
        <v>3</v>
      </c>
      <c r="E220" s="422" t="s">
        <v>321</v>
      </c>
      <c r="F220" s="663" t="s">
        <v>107</v>
      </c>
      <c r="G220" s="1111">
        <f t="shared" si="20"/>
        <v>0</v>
      </c>
      <c r="H220" s="1112"/>
      <c r="I220" s="1113"/>
      <c r="J220" s="424">
        <v>0</v>
      </c>
      <c r="K220" s="425">
        <v>0</v>
      </c>
      <c r="L220" s="426">
        <f t="shared" si="21"/>
        <v>0</v>
      </c>
      <c r="M220" s="394"/>
      <c r="N220" s="1169" t="s">
        <v>108</v>
      </c>
      <c r="O220" s="1170"/>
      <c r="P220" s="1171"/>
      <c r="Q220" s="421" t="s">
        <v>3</v>
      </c>
      <c r="R220" s="422" t="s">
        <v>321</v>
      </c>
      <c r="S220" s="663" t="s">
        <v>107</v>
      </c>
      <c r="T220" s="1114">
        <f t="shared" si="22"/>
        <v>0</v>
      </c>
      <c r="U220" s="1114"/>
      <c r="V220" s="1114"/>
      <c r="W220" s="424">
        <v>0</v>
      </c>
      <c r="X220" s="425">
        <v>0</v>
      </c>
      <c r="Y220" s="426">
        <f t="shared" si="23"/>
        <v>0</v>
      </c>
      <c r="Z220" s="427">
        <f t="shared" si="6"/>
        <v>0</v>
      </c>
      <c r="AC220" s="508" t="s">
        <v>666</v>
      </c>
      <c r="AD220" s="664" t="s">
        <v>667</v>
      </c>
      <c r="AE220" s="559">
        <f t="shared" si="9"/>
        <v>0</v>
      </c>
      <c r="AF220" s="560" t="str">
        <f t="shared" si="10"/>
        <v/>
      </c>
      <c r="AH220" s="378"/>
      <c r="AI220" s="1087" t="s">
        <v>668</v>
      </c>
      <c r="AJ220" s="1088"/>
      <c r="AK220" s="1088"/>
      <c r="AL220" s="1088"/>
      <c r="AM220" s="1088"/>
      <c r="AN220" s="665" t="s">
        <v>669</v>
      </c>
      <c r="AO220" s="562">
        <f t="shared" si="24"/>
        <v>0</v>
      </c>
      <c r="AP220" s="388"/>
      <c r="AQ220" s="378"/>
      <c r="AR220" s="1145" t="s">
        <v>670</v>
      </c>
      <c r="AS220" s="1146"/>
      <c r="AT220" s="1146"/>
      <c r="AU220" s="1146"/>
      <c r="AV220" s="1146"/>
      <c r="AW220" s="133" t="s">
        <v>188</v>
      </c>
      <c r="AX220" s="562">
        <f t="shared" si="16"/>
        <v>1</v>
      </c>
      <c r="AY220" s="590"/>
      <c r="AZ220" s="378"/>
      <c r="BA220" s="506"/>
    </row>
    <row r="221" spans="1:53" ht="18" x14ac:dyDescent="0.25">
      <c r="A221" s="1163" t="s">
        <v>255</v>
      </c>
      <c r="B221" s="1164"/>
      <c r="C221" s="1164"/>
      <c r="D221" s="1164"/>
      <c r="E221" s="1164"/>
      <c r="F221" s="600"/>
      <c r="G221" s="1191">
        <f>SUM(G204:I220)</f>
        <v>14</v>
      </c>
      <c r="H221" s="1191"/>
      <c r="I221" s="1191"/>
      <c r="J221" s="513">
        <f>SUM(J204:J220)</f>
        <v>0</v>
      </c>
      <c r="K221" s="514">
        <f>SUM(K204:K220)</f>
        <v>0</v>
      </c>
      <c r="L221" s="426">
        <f>SUM(L204:L220)</f>
        <v>14</v>
      </c>
      <c r="M221" s="394"/>
      <c r="N221" s="1192" t="s">
        <v>255</v>
      </c>
      <c r="O221" s="1193"/>
      <c r="P221" s="1193"/>
      <c r="Q221" s="1193"/>
      <c r="R221" s="1193"/>
      <c r="S221" s="601"/>
      <c r="T221" s="1194">
        <f>SUM(T204:V220)</f>
        <v>7</v>
      </c>
      <c r="U221" s="1194"/>
      <c r="V221" s="1194"/>
      <c r="W221" s="513">
        <f>SUM(W204:W220)</f>
        <v>0</v>
      </c>
      <c r="X221" s="514">
        <f>SUM(X204:X220)</f>
        <v>0</v>
      </c>
      <c r="Y221" s="426">
        <f>SUM(Y204:Y220)</f>
        <v>7</v>
      </c>
      <c r="Z221" s="427">
        <f t="shared" si="6"/>
        <v>21</v>
      </c>
      <c r="AC221" s="616" t="s">
        <v>671</v>
      </c>
      <c r="AD221" s="666" t="s">
        <v>672</v>
      </c>
      <c r="AE221" s="559">
        <f t="shared" si="9"/>
        <v>0</v>
      </c>
      <c r="AF221" s="560" t="str">
        <f t="shared" si="10"/>
        <v/>
      </c>
      <c r="AH221" s="378"/>
      <c r="AI221" s="1087" t="s">
        <v>673</v>
      </c>
      <c r="AJ221" s="1088"/>
      <c r="AK221" s="1088"/>
      <c r="AL221" s="1088"/>
      <c r="AM221" s="1088"/>
      <c r="AN221" s="75" t="s">
        <v>163</v>
      </c>
      <c r="AO221" s="562">
        <f t="shared" si="24"/>
        <v>5</v>
      </c>
      <c r="AP221" s="388"/>
      <c r="AQ221" s="378"/>
      <c r="AR221" s="1145" t="s">
        <v>674</v>
      </c>
      <c r="AS221" s="1146"/>
      <c r="AT221" s="1146"/>
      <c r="AU221" s="1146"/>
      <c r="AV221" s="1146"/>
      <c r="AW221" s="567" t="s">
        <v>675</v>
      </c>
      <c r="AX221" s="562">
        <f t="shared" si="16"/>
        <v>0</v>
      </c>
      <c r="AY221" s="590"/>
      <c r="AZ221" s="378"/>
      <c r="BA221" s="506"/>
    </row>
    <row r="222" spans="1:53" ht="18" x14ac:dyDescent="0.25">
      <c r="A222" s="667"/>
      <c r="B222" s="667"/>
      <c r="C222" s="667"/>
      <c r="D222" s="667"/>
      <c r="E222" s="667"/>
      <c r="F222" s="668"/>
      <c r="J222" s="669"/>
      <c r="K222" s="669"/>
      <c r="M222" s="338"/>
      <c r="N222" s="667"/>
      <c r="O222" s="667"/>
      <c r="P222" s="667"/>
      <c r="Q222" s="667"/>
      <c r="R222" s="667"/>
      <c r="S222" s="668"/>
      <c r="W222" s="669"/>
      <c r="X222" s="669"/>
      <c r="AC222" s="508" t="s">
        <v>676</v>
      </c>
      <c r="AD222" s="666" t="s">
        <v>677</v>
      </c>
      <c r="AE222" s="559">
        <f t="shared" si="9"/>
        <v>0</v>
      </c>
      <c r="AF222" s="560" t="str">
        <f t="shared" si="10"/>
        <v/>
      </c>
      <c r="AH222" s="378"/>
      <c r="AI222" s="1087" t="s">
        <v>678</v>
      </c>
      <c r="AJ222" s="1088"/>
      <c r="AK222" s="1088"/>
      <c r="AL222" s="1088"/>
      <c r="AM222" s="1088"/>
      <c r="AN222" s="656" t="s">
        <v>679</v>
      </c>
      <c r="AO222" s="562">
        <f t="shared" si="24"/>
        <v>0</v>
      </c>
      <c r="AP222" s="388"/>
      <c r="AQ222" s="378"/>
      <c r="AR222" s="1145" t="s">
        <v>680</v>
      </c>
      <c r="AS222" s="1146"/>
      <c r="AT222" s="1146"/>
      <c r="AU222" s="1146"/>
      <c r="AV222" s="1146"/>
      <c r="AW222" s="670" t="s">
        <v>681</v>
      </c>
      <c r="AX222" s="562">
        <f t="shared" si="16"/>
        <v>0</v>
      </c>
      <c r="AY222" s="590"/>
      <c r="AZ222" s="378"/>
      <c r="BA222" s="506"/>
    </row>
    <row r="223" spans="1:53" ht="18.75" x14ac:dyDescent="0.25">
      <c r="A223" s="667"/>
      <c r="B223" s="667"/>
      <c r="C223" s="667"/>
      <c r="D223" s="667"/>
      <c r="E223" s="667"/>
      <c r="F223" s="668"/>
      <c r="J223" s="669"/>
      <c r="K223" s="669"/>
      <c r="M223" s="338"/>
      <c r="N223" s="667"/>
      <c r="O223" s="667"/>
      <c r="P223" s="667"/>
      <c r="Q223" s="667"/>
      <c r="R223" s="667"/>
      <c r="S223" s="668"/>
      <c r="W223" s="669"/>
      <c r="X223" s="669"/>
      <c r="AC223" s="508" t="s">
        <v>682</v>
      </c>
      <c r="AD223" s="666" t="s">
        <v>683</v>
      </c>
      <c r="AE223" s="559">
        <f t="shared" si="9"/>
        <v>0</v>
      </c>
      <c r="AF223" s="560" t="str">
        <f t="shared" si="10"/>
        <v/>
      </c>
      <c r="AH223" s="378"/>
      <c r="AI223" s="1087" t="s">
        <v>684</v>
      </c>
      <c r="AJ223" s="1088"/>
      <c r="AK223" s="1088"/>
      <c r="AL223" s="1088"/>
      <c r="AM223" s="1088"/>
      <c r="AN223" s="660" t="s">
        <v>685</v>
      </c>
      <c r="AO223" s="562">
        <f t="shared" si="24"/>
        <v>0</v>
      </c>
      <c r="AP223" s="388"/>
      <c r="AQ223" s="378"/>
      <c r="AR223" s="1145" t="s">
        <v>686</v>
      </c>
      <c r="AS223" s="1146"/>
      <c r="AT223" s="1146"/>
      <c r="AU223" s="1146"/>
      <c r="AV223" s="1146"/>
      <c r="AW223" s="670" t="s">
        <v>687</v>
      </c>
      <c r="AX223" s="562">
        <f t="shared" si="16"/>
        <v>0</v>
      </c>
      <c r="AY223" s="611"/>
      <c r="AZ223" s="378"/>
      <c r="BA223" s="506"/>
    </row>
    <row r="224" spans="1:53" ht="18" x14ac:dyDescent="0.25">
      <c r="A224" s="1188" t="s">
        <v>688</v>
      </c>
      <c r="B224" s="1189"/>
      <c r="C224" s="1189"/>
      <c r="D224" s="1189"/>
      <c r="E224" s="1190"/>
      <c r="F224" s="671"/>
      <c r="G224" s="1177"/>
      <c r="H224" s="1177"/>
      <c r="I224" s="1178"/>
      <c r="J224" s="672" t="s">
        <v>305</v>
      </c>
      <c r="K224" s="673" t="s">
        <v>306</v>
      </c>
      <c r="L224" s="672" t="s">
        <v>307</v>
      </c>
      <c r="M224" s="338"/>
      <c r="N224" s="1188" t="s">
        <v>688</v>
      </c>
      <c r="O224" s="1189"/>
      <c r="P224" s="1189"/>
      <c r="Q224" s="1189"/>
      <c r="R224" s="1190"/>
      <c r="S224" s="671"/>
      <c r="T224" s="1177"/>
      <c r="U224" s="1177"/>
      <c r="V224" s="1178"/>
      <c r="W224" s="672" t="s">
        <v>305</v>
      </c>
      <c r="X224" s="673" t="s">
        <v>306</v>
      </c>
      <c r="Y224" s="672" t="s">
        <v>307</v>
      </c>
      <c r="AC224" s="508" t="s">
        <v>689</v>
      </c>
      <c r="AD224" s="674" t="s">
        <v>690</v>
      </c>
      <c r="AE224" s="559">
        <f t="shared" si="9"/>
        <v>0</v>
      </c>
      <c r="AF224" s="560" t="str">
        <f t="shared" si="10"/>
        <v/>
      </c>
      <c r="AH224" s="378"/>
      <c r="AI224" s="1087" t="s">
        <v>691</v>
      </c>
      <c r="AJ224" s="1088"/>
      <c r="AK224" s="1088"/>
      <c r="AL224" s="1088"/>
      <c r="AM224" s="1088"/>
      <c r="AN224" s="675" t="s">
        <v>692</v>
      </c>
      <c r="AO224" s="562">
        <f t="shared" si="24"/>
        <v>0</v>
      </c>
      <c r="AP224" s="388"/>
      <c r="AQ224" s="378"/>
      <c r="AR224" s="1145" t="s">
        <v>693</v>
      </c>
      <c r="AS224" s="1146"/>
      <c r="AT224" s="1146"/>
      <c r="AU224" s="1146"/>
      <c r="AV224" s="1146"/>
      <c r="AW224" s="670" t="s">
        <v>694</v>
      </c>
      <c r="AX224" s="562">
        <f t="shared" si="16"/>
        <v>0</v>
      </c>
      <c r="AY224" s="611"/>
      <c r="AZ224" s="378"/>
      <c r="BA224" s="381"/>
    </row>
    <row r="225" spans="1:58" ht="18.75" x14ac:dyDescent="0.25">
      <c r="A225" s="1169" t="s">
        <v>56</v>
      </c>
      <c r="B225" s="1170"/>
      <c r="C225" s="1171"/>
      <c r="D225" s="1172"/>
      <c r="E225" s="1173"/>
      <c r="F225" s="676" t="s">
        <v>55</v>
      </c>
      <c r="G225" s="1111">
        <f>COUNTIF($A$1:$BK$73,F225)</f>
        <v>0</v>
      </c>
      <c r="H225" s="1112"/>
      <c r="I225" s="1113"/>
      <c r="J225" s="424">
        <v>0</v>
      </c>
      <c r="K225" s="425">
        <v>0</v>
      </c>
      <c r="L225" s="426">
        <f t="shared" ref="L225:L228" si="25">G225-K225-J225</f>
        <v>0</v>
      </c>
      <c r="M225" s="338"/>
      <c r="N225" s="1169" t="s">
        <v>56</v>
      </c>
      <c r="O225" s="1170"/>
      <c r="P225" s="1171"/>
      <c r="Q225" s="1172"/>
      <c r="R225" s="1173"/>
      <c r="S225" s="676" t="s">
        <v>55</v>
      </c>
      <c r="T225" s="1114">
        <f>COUNTIF($BL$1:$CN$58,S225)</f>
        <v>0</v>
      </c>
      <c r="U225" s="1114"/>
      <c r="V225" s="1114"/>
      <c r="W225" s="424">
        <v>0</v>
      </c>
      <c r="X225" s="425">
        <v>0</v>
      </c>
      <c r="Y225" s="426">
        <f t="shared" ref="Y225:Y228" si="26">T225-X225-W225</f>
        <v>0</v>
      </c>
      <c r="Z225" s="427">
        <f t="shared" ref="Z225:Z229" si="27">T225+G225</f>
        <v>0</v>
      </c>
      <c r="AC225" s="508" t="s">
        <v>695</v>
      </c>
      <c r="AD225" s="677" t="s">
        <v>695</v>
      </c>
      <c r="AE225" s="559">
        <f t="shared" si="9"/>
        <v>0</v>
      </c>
      <c r="AF225" s="560" t="str">
        <f t="shared" si="10"/>
        <v/>
      </c>
      <c r="AH225" s="378"/>
      <c r="AI225" s="1087" t="s">
        <v>696</v>
      </c>
      <c r="AJ225" s="1088"/>
      <c r="AK225" s="1088"/>
      <c r="AL225" s="1088"/>
      <c r="AM225" s="1088"/>
      <c r="AN225" s="678" t="s">
        <v>697</v>
      </c>
      <c r="AO225" s="562">
        <f t="shared" si="24"/>
        <v>0</v>
      </c>
      <c r="AP225" s="388"/>
      <c r="AQ225" s="378"/>
      <c r="AR225" s="1145" t="s">
        <v>698</v>
      </c>
      <c r="AS225" s="1146"/>
      <c r="AT225" s="1146"/>
      <c r="AU225" s="1146"/>
      <c r="AV225" s="1146"/>
      <c r="AW225" s="679" t="s">
        <v>699</v>
      </c>
      <c r="AX225" s="562">
        <f t="shared" si="16"/>
        <v>0</v>
      </c>
      <c r="AY225" s="611"/>
      <c r="BA225" s="381"/>
    </row>
    <row r="226" spans="1:58" ht="18" x14ac:dyDescent="0.25">
      <c r="A226" s="1169" t="s">
        <v>53</v>
      </c>
      <c r="B226" s="1170"/>
      <c r="C226" s="1171"/>
      <c r="D226" s="1172"/>
      <c r="E226" s="1173"/>
      <c r="F226" s="2" t="s">
        <v>54</v>
      </c>
      <c r="G226" s="1111">
        <f>COUNTIF($A$1:$BK$73,F226)</f>
        <v>0</v>
      </c>
      <c r="H226" s="1112"/>
      <c r="I226" s="1113"/>
      <c r="J226" s="424">
        <v>0</v>
      </c>
      <c r="K226" s="425">
        <v>0</v>
      </c>
      <c r="L226" s="426">
        <f t="shared" si="25"/>
        <v>0</v>
      </c>
      <c r="M226" s="338"/>
      <c r="N226" s="1169" t="s">
        <v>53</v>
      </c>
      <c r="O226" s="1170"/>
      <c r="P226" s="1171"/>
      <c r="Q226" s="1172"/>
      <c r="R226" s="1173"/>
      <c r="S226" s="2" t="s">
        <v>54</v>
      </c>
      <c r="T226" s="1114">
        <f>COUNTIF($BL$1:$CN$58,S226)</f>
        <v>0</v>
      </c>
      <c r="U226" s="1114"/>
      <c r="V226" s="1114"/>
      <c r="W226" s="424">
        <v>0</v>
      </c>
      <c r="X226" s="425">
        <v>0</v>
      </c>
      <c r="Y226" s="426">
        <f t="shared" si="26"/>
        <v>0</v>
      </c>
      <c r="Z226" s="427">
        <f t="shared" si="27"/>
        <v>0</v>
      </c>
      <c r="AC226" s="508" t="s">
        <v>700</v>
      </c>
      <c r="AD226" s="680" t="s">
        <v>701</v>
      </c>
      <c r="AE226" s="559">
        <f t="shared" si="9"/>
        <v>0</v>
      </c>
      <c r="AF226" s="560" t="str">
        <f t="shared" si="10"/>
        <v/>
      </c>
      <c r="AH226" s="378"/>
      <c r="AI226" s="1087" t="s">
        <v>702</v>
      </c>
      <c r="AJ226" s="1088"/>
      <c r="AK226" s="1088"/>
      <c r="AL226" s="1088"/>
      <c r="AM226" s="1088"/>
      <c r="AN226" s="681" t="s">
        <v>703</v>
      </c>
      <c r="AO226" s="562">
        <f t="shared" si="24"/>
        <v>0</v>
      </c>
      <c r="AP226" s="388"/>
      <c r="AQ226" s="378"/>
      <c r="AR226" s="1145" t="s">
        <v>704</v>
      </c>
      <c r="AS226" s="1146"/>
      <c r="AT226" s="1146"/>
      <c r="AU226" s="1146"/>
      <c r="AV226" s="1146"/>
      <c r="AW226" s="682" t="s">
        <v>705</v>
      </c>
      <c r="AX226" s="562">
        <f t="shared" si="16"/>
        <v>0</v>
      </c>
      <c r="AY226" s="611"/>
      <c r="BA226" s="381"/>
    </row>
    <row r="227" spans="1:58" ht="19.5" thickBot="1" x14ac:dyDescent="0.3">
      <c r="A227" s="1169" t="s">
        <v>51</v>
      </c>
      <c r="B227" s="1170"/>
      <c r="C227" s="1171"/>
      <c r="D227" s="1172"/>
      <c r="E227" s="1173"/>
      <c r="F227" s="3" t="s">
        <v>52</v>
      </c>
      <c r="G227" s="1111">
        <f>COUNTIF($A$1:$BK$73,F227)</f>
        <v>0</v>
      </c>
      <c r="H227" s="1112"/>
      <c r="I227" s="1113"/>
      <c r="J227" s="424">
        <v>0</v>
      </c>
      <c r="K227" s="425">
        <v>0</v>
      </c>
      <c r="L227" s="426">
        <f t="shared" si="25"/>
        <v>0</v>
      </c>
      <c r="M227" s="338"/>
      <c r="N227" s="1169" t="s">
        <v>51</v>
      </c>
      <c r="O227" s="1170"/>
      <c r="P227" s="1171"/>
      <c r="Q227" s="1172"/>
      <c r="R227" s="1173"/>
      <c r="S227" s="3" t="s">
        <v>52</v>
      </c>
      <c r="T227" s="1114">
        <f>COUNTIF($BL$1:$CN$58,S227)</f>
        <v>0</v>
      </c>
      <c r="U227" s="1114"/>
      <c r="V227" s="1114"/>
      <c r="W227" s="424">
        <v>0</v>
      </c>
      <c r="X227" s="425">
        <v>0</v>
      </c>
      <c r="Y227" s="426">
        <f t="shared" si="26"/>
        <v>0</v>
      </c>
      <c r="Z227" s="427">
        <f t="shared" si="27"/>
        <v>0</v>
      </c>
      <c r="AC227" s="508" t="s">
        <v>706</v>
      </c>
      <c r="AD227" s="683" t="s">
        <v>707</v>
      </c>
      <c r="AE227" s="559">
        <f t="shared" si="9"/>
        <v>0</v>
      </c>
      <c r="AF227" s="560" t="str">
        <f t="shared" si="10"/>
        <v/>
      </c>
      <c r="AH227" s="378"/>
      <c r="AI227" s="1185" t="s">
        <v>708</v>
      </c>
      <c r="AJ227" s="1143"/>
      <c r="AK227" s="1143"/>
      <c r="AL227" s="1143"/>
      <c r="AM227" s="1144"/>
      <c r="AN227" s="684"/>
      <c r="AO227" s="579">
        <f>SUM(AO151:AO225)</f>
        <v>41</v>
      </c>
      <c r="AQ227" s="378"/>
      <c r="AR227" s="1145" t="s">
        <v>709</v>
      </c>
      <c r="AS227" s="1146"/>
      <c r="AT227" s="1146"/>
      <c r="AU227" s="1146"/>
      <c r="AV227" s="1146"/>
      <c r="AW227" s="614" t="s">
        <v>710</v>
      </c>
      <c r="AX227" s="562">
        <f t="shared" si="16"/>
        <v>0</v>
      </c>
      <c r="AY227" s="611"/>
      <c r="BA227" s="381"/>
    </row>
    <row r="228" spans="1:58" ht="19.5" thickBot="1" x14ac:dyDescent="0.35">
      <c r="A228" s="1169" t="s">
        <v>49</v>
      </c>
      <c r="B228" s="1170"/>
      <c r="C228" s="1171"/>
      <c r="D228" s="1172"/>
      <c r="E228" s="1173"/>
      <c r="F228" s="4" t="s">
        <v>50</v>
      </c>
      <c r="G228" s="1111">
        <f>COUNTIF($A$1:$BK$73,F228)</f>
        <v>0</v>
      </c>
      <c r="H228" s="1112"/>
      <c r="I228" s="1113"/>
      <c r="J228" s="424">
        <v>0</v>
      </c>
      <c r="K228" s="425">
        <v>0</v>
      </c>
      <c r="L228" s="426">
        <f t="shared" si="25"/>
        <v>0</v>
      </c>
      <c r="M228" s="338"/>
      <c r="N228" s="1169" t="s">
        <v>49</v>
      </c>
      <c r="O228" s="1170"/>
      <c r="P228" s="1171"/>
      <c r="Q228" s="1172"/>
      <c r="R228" s="1173"/>
      <c r="S228" s="4" t="s">
        <v>50</v>
      </c>
      <c r="T228" s="1114">
        <f>COUNTIF($BL$1:$CN$58,S228)</f>
        <v>0</v>
      </c>
      <c r="U228" s="1114"/>
      <c r="V228" s="1114"/>
      <c r="W228" s="424">
        <v>0</v>
      </c>
      <c r="X228" s="425">
        <v>0</v>
      </c>
      <c r="Y228" s="426">
        <f t="shared" si="26"/>
        <v>0</v>
      </c>
      <c r="Z228" s="427">
        <f t="shared" si="27"/>
        <v>0</v>
      </c>
      <c r="AC228" s="508" t="s">
        <v>711</v>
      </c>
      <c r="AD228" s="51" t="s">
        <v>156</v>
      </c>
      <c r="AE228" s="559">
        <f t="shared" si="9"/>
        <v>16</v>
      </c>
      <c r="AF228" s="560" t="str">
        <f t="shared" si="10"/>
        <v/>
      </c>
      <c r="AH228" s="378"/>
      <c r="AI228" s="1186" t="s">
        <v>712</v>
      </c>
      <c r="AJ228" s="1187"/>
      <c r="AK228" s="1187"/>
      <c r="AL228" s="1187"/>
      <c r="AM228" s="1187"/>
      <c r="AN228" s="685" t="s">
        <v>713</v>
      </c>
      <c r="AO228" s="562">
        <f>COUNTIF($P$1:$Q$1,"O-FUT")</f>
        <v>0</v>
      </c>
      <c r="AQ228" s="378"/>
      <c r="AR228" s="1145" t="s">
        <v>714</v>
      </c>
      <c r="AS228" s="1146"/>
      <c r="AT228" s="1146"/>
      <c r="AU228" s="1146"/>
      <c r="AV228" s="1146"/>
      <c r="AW228" s="686" t="s">
        <v>715</v>
      </c>
      <c r="AX228" s="562">
        <f t="shared" si="16"/>
        <v>0</v>
      </c>
      <c r="AY228" s="611"/>
      <c r="BA228" s="381"/>
    </row>
    <row r="229" spans="1:58" ht="18.75" x14ac:dyDescent="0.25">
      <c r="A229" s="1167" t="s">
        <v>716</v>
      </c>
      <c r="B229" s="1167"/>
      <c r="C229" s="1167"/>
      <c r="D229" s="1167"/>
      <c r="E229" s="1167"/>
      <c r="F229" s="668"/>
      <c r="G229" s="1168">
        <f>SUM(G225:I228)</f>
        <v>0</v>
      </c>
      <c r="H229" s="1168"/>
      <c r="I229" s="1168"/>
      <c r="J229" s="687">
        <f t="shared" ref="J229:L229" si="28">SUM(J225:J228)</f>
        <v>0</v>
      </c>
      <c r="K229" s="688">
        <f t="shared" si="28"/>
        <v>0</v>
      </c>
      <c r="L229" s="689">
        <f t="shared" si="28"/>
        <v>0</v>
      </c>
      <c r="M229" s="338"/>
      <c r="N229" s="1167" t="s">
        <v>716</v>
      </c>
      <c r="O229" s="1167"/>
      <c r="P229" s="1167"/>
      <c r="Q229" s="1167"/>
      <c r="R229" s="1167"/>
      <c r="S229" s="668"/>
      <c r="T229" s="1168">
        <f>SUM(T225:V228)</f>
        <v>0</v>
      </c>
      <c r="U229" s="1168"/>
      <c r="V229" s="1168"/>
      <c r="W229" s="687">
        <f t="shared" ref="W229:Y229" si="29">SUM(W225:W228)</f>
        <v>0</v>
      </c>
      <c r="X229" s="688">
        <f t="shared" si="29"/>
        <v>0</v>
      </c>
      <c r="Y229" s="689">
        <f t="shared" si="29"/>
        <v>0</v>
      </c>
      <c r="Z229" s="427">
        <f t="shared" si="27"/>
        <v>0</v>
      </c>
      <c r="AA229" s="394"/>
      <c r="AC229" s="508" t="s">
        <v>717</v>
      </c>
      <c r="AD229" s="690" t="s">
        <v>718</v>
      </c>
      <c r="AE229" s="559">
        <f t="shared" si="9"/>
        <v>0</v>
      </c>
      <c r="AF229" s="560" t="str">
        <f t="shared" si="10"/>
        <v/>
      </c>
      <c r="AH229" s="378"/>
      <c r="AI229" s="691"/>
      <c r="AJ229" s="692"/>
      <c r="AK229" s="692"/>
      <c r="AL229" s="692"/>
      <c r="AM229" s="692"/>
      <c r="AQ229" s="378"/>
      <c r="AR229" s="1145" t="s">
        <v>719</v>
      </c>
      <c r="AS229" s="1146"/>
      <c r="AT229" s="1146"/>
      <c r="AU229" s="1146"/>
      <c r="AV229" s="1146"/>
      <c r="AW229" s="153" t="s">
        <v>720</v>
      </c>
      <c r="AX229" s="562">
        <f t="shared" si="16"/>
        <v>0</v>
      </c>
      <c r="AY229" s="611"/>
      <c r="BA229" s="381"/>
    </row>
    <row r="230" spans="1:58" ht="18.75" x14ac:dyDescent="0.25">
      <c r="A230" s="667"/>
      <c r="B230" s="667"/>
      <c r="C230" s="667"/>
      <c r="D230" s="667"/>
      <c r="E230" s="667"/>
      <c r="F230" s="668"/>
      <c r="J230" s="669"/>
      <c r="K230" s="669"/>
      <c r="M230" s="338"/>
      <c r="N230" s="667"/>
      <c r="O230" s="667"/>
      <c r="P230" s="667"/>
      <c r="Q230" s="667"/>
      <c r="R230" s="667"/>
      <c r="S230" s="668"/>
      <c r="W230" s="669"/>
      <c r="X230" s="669"/>
      <c r="AA230" s="394"/>
      <c r="AC230" s="508" t="s">
        <v>721</v>
      </c>
      <c r="AD230" s="693" t="s">
        <v>153</v>
      </c>
      <c r="AE230" s="559">
        <f t="shared" si="9"/>
        <v>9</v>
      </c>
      <c r="AF230" s="560" t="str">
        <f t="shared" si="10"/>
        <v/>
      </c>
      <c r="AH230" s="378"/>
      <c r="AI230" s="1109" t="s">
        <v>309</v>
      </c>
      <c r="AJ230" s="1099"/>
      <c r="AK230" s="1099"/>
      <c r="AL230" s="1099"/>
      <c r="AM230" s="1099"/>
      <c r="AN230" s="1095"/>
      <c r="AO230" s="585" t="s">
        <v>255</v>
      </c>
      <c r="AP230" s="694"/>
      <c r="AQ230" s="378"/>
      <c r="AR230" s="1145" t="s">
        <v>722</v>
      </c>
      <c r="AS230" s="1146"/>
      <c r="AT230" s="1146"/>
      <c r="AU230" s="1146"/>
      <c r="AV230" s="1146"/>
      <c r="AW230" s="153" t="s">
        <v>195</v>
      </c>
      <c r="AX230" s="562">
        <f t="shared" si="16"/>
        <v>4</v>
      </c>
      <c r="AY230" s="611"/>
      <c r="BA230" s="381"/>
    </row>
    <row r="231" spans="1:58" ht="18" x14ac:dyDescent="0.25">
      <c r="A231" s="667"/>
      <c r="B231" s="667"/>
      <c r="C231" s="667"/>
      <c r="D231" s="667"/>
      <c r="E231" s="667"/>
      <c r="F231" s="668"/>
      <c r="J231" s="669"/>
      <c r="K231" s="669"/>
      <c r="M231" s="338"/>
      <c r="N231" s="667"/>
      <c r="O231" s="667"/>
      <c r="P231" s="667"/>
      <c r="Q231" s="667"/>
      <c r="R231" s="667"/>
      <c r="S231" s="668"/>
      <c r="W231" s="669"/>
      <c r="X231" s="669"/>
      <c r="AA231" s="394"/>
      <c r="AC231" s="508" t="s">
        <v>723</v>
      </c>
      <c r="AD231" s="683" t="s">
        <v>724</v>
      </c>
      <c r="AE231" s="559">
        <f t="shared" si="9"/>
        <v>0</v>
      </c>
      <c r="AF231" s="560" t="str">
        <f t="shared" si="10"/>
        <v/>
      </c>
      <c r="AH231" s="378"/>
      <c r="AI231" s="1105" t="s">
        <v>725</v>
      </c>
      <c r="AJ231" s="1106"/>
      <c r="AK231" s="1106"/>
      <c r="AL231" s="1106"/>
      <c r="AM231" s="1106"/>
      <c r="AN231" s="695" t="s">
        <v>726</v>
      </c>
      <c r="AO231" s="562">
        <f t="shared" ref="AO231:AO259" si="30">COUNTIF($A$1:$GO$128,AN231)</f>
        <v>0</v>
      </c>
      <c r="AP231" s="696"/>
      <c r="AQ231" s="378"/>
      <c r="AR231" s="1145" t="s">
        <v>727</v>
      </c>
      <c r="AS231" s="1146"/>
      <c r="AT231" s="1146"/>
      <c r="AU231" s="1146"/>
      <c r="AV231" s="1146"/>
      <c r="AW231" s="136" t="s">
        <v>190</v>
      </c>
      <c r="AX231" s="562">
        <f t="shared" si="16"/>
        <v>7</v>
      </c>
      <c r="AY231" s="611"/>
      <c r="BA231" s="381"/>
    </row>
    <row r="232" spans="1:58" ht="18.75" x14ac:dyDescent="0.25">
      <c r="A232" s="1182" t="s">
        <v>728</v>
      </c>
      <c r="B232" s="1183"/>
      <c r="C232" s="1183"/>
      <c r="D232" s="1183"/>
      <c r="E232" s="1184"/>
      <c r="F232" s="671"/>
      <c r="G232" s="1177"/>
      <c r="H232" s="1177"/>
      <c r="I232" s="1178"/>
      <c r="J232" s="672" t="s">
        <v>305</v>
      </c>
      <c r="K232" s="673" t="s">
        <v>306</v>
      </c>
      <c r="L232" s="672" t="s">
        <v>307</v>
      </c>
      <c r="M232" s="338"/>
      <c r="N232" s="1182" t="s">
        <v>728</v>
      </c>
      <c r="O232" s="1183"/>
      <c r="P232" s="1183"/>
      <c r="Q232" s="1183"/>
      <c r="R232" s="1184"/>
      <c r="S232" s="671"/>
      <c r="T232" s="1177"/>
      <c r="U232" s="1177"/>
      <c r="V232" s="1178"/>
      <c r="W232" s="672" t="s">
        <v>305</v>
      </c>
      <c r="X232" s="673" t="s">
        <v>306</v>
      </c>
      <c r="Y232" s="672" t="s">
        <v>307</v>
      </c>
      <c r="AA232" s="394"/>
      <c r="AC232" s="508" t="s">
        <v>729</v>
      </c>
      <c r="AD232" s="697" t="s">
        <v>730</v>
      </c>
      <c r="AE232" s="559">
        <f t="shared" si="9"/>
        <v>0</v>
      </c>
      <c r="AF232" s="560" t="str">
        <f t="shared" si="10"/>
        <v/>
      </c>
      <c r="AH232" s="378"/>
      <c r="AI232" s="1105" t="s">
        <v>731</v>
      </c>
      <c r="AJ232" s="1106"/>
      <c r="AK232" s="1106"/>
      <c r="AL232" s="1106"/>
      <c r="AM232" s="1106"/>
      <c r="AN232" s="698" t="s">
        <v>732</v>
      </c>
      <c r="AO232" s="562">
        <f t="shared" si="30"/>
        <v>0</v>
      </c>
      <c r="AP232" s="696"/>
      <c r="AQ232" s="378"/>
      <c r="AR232" s="1145" t="s">
        <v>733</v>
      </c>
      <c r="AS232" s="1146"/>
      <c r="AT232" s="1146"/>
      <c r="AU232" s="1146"/>
      <c r="AV232" s="1146"/>
      <c r="AW232" s="699" t="s">
        <v>734</v>
      </c>
      <c r="AX232" s="562">
        <f t="shared" si="16"/>
        <v>0</v>
      </c>
      <c r="AY232" s="611"/>
      <c r="BA232" s="381"/>
    </row>
    <row r="233" spans="1:58" ht="18.75" x14ac:dyDescent="0.25">
      <c r="A233" s="1169" t="s">
        <v>125</v>
      </c>
      <c r="B233" s="1170"/>
      <c r="C233" s="1171"/>
      <c r="D233" s="1172"/>
      <c r="E233" s="1173"/>
      <c r="F233" s="22" t="s">
        <v>65</v>
      </c>
      <c r="G233" s="1111">
        <f>COUNTIF($A$1:$BK$73,F233)</f>
        <v>0</v>
      </c>
      <c r="H233" s="1112"/>
      <c r="I233" s="1113"/>
      <c r="J233" s="424">
        <v>0</v>
      </c>
      <c r="K233" s="425">
        <v>0</v>
      </c>
      <c r="L233" s="426">
        <f t="shared" ref="L233:L235" si="31">G233-K233-J233</f>
        <v>0</v>
      </c>
      <c r="M233" s="338"/>
      <c r="N233" s="1169" t="s">
        <v>125</v>
      </c>
      <c r="O233" s="1170"/>
      <c r="P233" s="1171"/>
      <c r="Q233" s="1172"/>
      <c r="R233" s="1173"/>
      <c r="S233" s="22" t="s">
        <v>65</v>
      </c>
      <c r="T233" s="1114">
        <f>COUNTIF($BL$1:$CN$58,S233)</f>
        <v>0</v>
      </c>
      <c r="U233" s="1114"/>
      <c r="V233" s="1114"/>
      <c r="W233" s="424">
        <v>0</v>
      </c>
      <c r="X233" s="425">
        <v>0</v>
      </c>
      <c r="Y233" s="426">
        <f t="shared" ref="Y233:Y235" si="32">T233-X233-W233</f>
        <v>0</v>
      </c>
      <c r="Z233" s="427">
        <f t="shared" ref="Z233:Z236" si="33">T233+G233</f>
        <v>0</v>
      </c>
      <c r="AA233" s="394"/>
      <c r="AC233" s="508" t="s">
        <v>735</v>
      </c>
      <c r="AD233" s="700" t="s">
        <v>736</v>
      </c>
      <c r="AE233" s="559">
        <f t="shared" si="9"/>
        <v>0</v>
      </c>
      <c r="AF233" s="560" t="str">
        <f t="shared" si="10"/>
        <v/>
      </c>
      <c r="AH233" s="378"/>
      <c r="AI233" s="1105" t="s">
        <v>737</v>
      </c>
      <c r="AJ233" s="1106"/>
      <c r="AK233" s="1106"/>
      <c r="AL233" s="1106"/>
      <c r="AM233" s="1106"/>
      <c r="AN233" s="701" t="s">
        <v>738</v>
      </c>
      <c r="AO233" s="562">
        <f t="shared" si="30"/>
        <v>0</v>
      </c>
      <c r="AP233" s="696"/>
      <c r="AQ233" s="378"/>
      <c r="AR233" s="1145" t="s">
        <v>739</v>
      </c>
      <c r="AS233" s="1146"/>
      <c r="AT233" s="1146"/>
      <c r="AU233" s="1146"/>
      <c r="AV233" s="1146"/>
      <c r="AW233" s="699" t="s">
        <v>740</v>
      </c>
      <c r="AX233" s="562">
        <f t="shared" si="16"/>
        <v>0</v>
      </c>
      <c r="AY233" s="611"/>
      <c r="BA233" s="381"/>
    </row>
    <row r="234" spans="1:58" ht="18.75" x14ac:dyDescent="0.25">
      <c r="A234" s="1169" t="s">
        <v>126</v>
      </c>
      <c r="B234" s="1170"/>
      <c r="C234" s="1171"/>
      <c r="D234" s="1172"/>
      <c r="E234" s="1173"/>
      <c r="F234" s="23" t="s">
        <v>64</v>
      </c>
      <c r="G234" s="1111">
        <f>COUNTIF($A$1:$BK$73,F234)</f>
        <v>0</v>
      </c>
      <c r="H234" s="1112"/>
      <c r="I234" s="1113"/>
      <c r="J234" s="424">
        <v>0</v>
      </c>
      <c r="K234" s="425">
        <v>0</v>
      </c>
      <c r="L234" s="426">
        <f t="shared" si="31"/>
        <v>0</v>
      </c>
      <c r="M234" s="338"/>
      <c r="N234" s="1169" t="s">
        <v>126</v>
      </c>
      <c r="O234" s="1170"/>
      <c r="P234" s="1171"/>
      <c r="Q234" s="1172"/>
      <c r="R234" s="1173"/>
      <c r="S234" s="23" t="s">
        <v>64</v>
      </c>
      <c r="T234" s="1114">
        <f>COUNTIF($BL$1:$CN$58,S234)</f>
        <v>0</v>
      </c>
      <c r="U234" s="1114"/>
      <c r="V234" s="1114"/>
      <c r="W234" s="424">
        <v>0</v>
      </c>
      <c r="X234" s="425">
        <v>0</v>
      </c>
      <c r="Y234" s="426">
        <f t="shared" si="32"/>
        <v>0</v>
      </c>
      <c r="Z234" s="427">
        <f t="shared" si="33"/>
        <v>0</v>
      </c>
      <c r="AA234" s="394"/>
      <c r="AC234" s="508" t="s">
        <v>741</v>
      </c>
      <c r="AD234" s="702" t="s">
        <v>742</v>
      </c>
      <c r="AE234" s="559">
        <f t="shared" si="9"/>
        <v>0</v>
      </c>
      <c r="AF234" s="560" t="str">
        <f t="shared" si="10"/>
        <v/>
      </c>
      <c r="AH234" s="378"/>
      <c r="AI234" s="1105" t="s">
        <v>743</v>
      </c>
      <c r="AJ234" s="1106"/>
      <c r="AK234" s="1106"/>
      <c r="AL234" s="1106"/>
      <c r="AM234" s="1106"/>
      <c r="AN234" s="703" t="s">
        <v>744</v>
      </c>
      <c r="AO234" s="562">
        <f t="shared" si="30"/>
        <v>0</v>
      </c>
      <c r="AP234" s="696"/>
      <c r="AQ234" s="378"/>
      <c r="AR234" s="1145" t="s">
        <v>745</v>
      </c>
      <c r="AS234" s="1146"/>
      <c r="AT234" s="1146"/>
      <c r="AU234" s="1146"/>
      <c r="AV234" s="1146"/>
      <c r="AW234" s="699" t="s">
        <v>746</v>
      </c>
      <c r="AX234" s="562">
        <f t="shared" si="16"/>
        <v>0</v>
      </c>
      <c r="AY234" s="611"/>
      <c r="BA234" s="381"/>
    </row>
    <row r="235" spans="1:58" ht="18" x14ac:dyDescent="0.25">
      <c r="A235" s="1169" t="s">
        <v>66</v>
      </c>
      <c r="B235" s="1170"/>
      <c r="C235" s="1171"/>
      <c r="D235" s="1172"/>
      <c r="E235" s="1173"/>
      <c r="F235" s="24" t="s">
        <v>67</v>
      </c>
      <c r="G235" s="1111">
        <f>COUNTIF($A$1:$BK$73,F235)</f>
        <v>0</v>
      </c>
      <c r="H235" s="1112"/>
      <c r="I235" s="1113"/>
      <c r="J235" s="424">
        <v>0</v>
      </c>
      <c r="K235" s="425">
        <v>0</v>
      </c>
      <c r="L235" s="426">
        <f t="shared" si="31"/>
        <v>0</v>
      </c>
      <c r="M235" s="338"/>
      <c r="N235" s="1169" t="s">
        <v>66</v>
      </c>
      <c r="O235" s="1170"/>
      <c r="P235" s="1171"/>
      <c r="Q235" s="1172"/>
      <c r="R235" s="1173"/>
      <c r="S235" s="24" t="s">
        <v>67</v>
      </c>
      <c r="T235" s="1114">
        <f>COUNTIF($BL$1:$CN$58,S235)</f>
        <v>0</v>
      </c>
      <c r="U235" s="1114"/>
      <c r="V235" s="1114"/>
      <c r="W235" s="424">
        <v>0</v>
      </c>
      <c r="X235" s="425">
        <v>0</v>
      </c>
      <c r="Y235" s="426">
        <f t="shared" si="32"/>
        <v>0</v>
      </c>
      <c r="Z235" s="427">
        <f t="shared" si="33"/>
        <v>0</v>
      </c>
      <c r="AA235" s="394" t="b">
        <f>IFERROR(#REF!&gt;0.5,FALSE)</f>
        <v>0</v>
      </c>
      <c r="AC235" s="508" t="s">
        <v>747</v>
      </c>
      <c r="AD235" s="704" t="s">
        <v>748</v>
      </c>
      <c r="AE235" s="559">
        <f t="shared" si="9"/>
        <v>0</v>
      </c>
      <c r="AF235" s="560" t="str">
        <f t="shared" si="10"/>
        <v/>
      </c>
      <c r="AH235" s="378"/>
      <c r="AI235" s="1105" t="s">
        <v>749</v>
      </c>
      <c r="AJ235" s="1106"/>
      <c r="AK235" s="1106"/>
      <c r="AL235" s="1106"/>
      <c r="AM235" s="1106"/>
      <c r="AN235" s="705" t="s">
        <v>750</v>
      </c>
      <c r="AO235" s="562">
        <f t="shared" si="30"/>
        <v>0</v>
      </c>
      <c r="AP235" s="696"/>
      <c r="AQ235" s="378"/>
      <c r="AR235" s="1145" t="s">
        <v>751</v>
      </c>
      <c r="AS235" s="1146"/>
      <c r="AT235" s="1146"/>
      <c r="AU235" s="1146"/>
      <c r="AV235" s="1146"/>
      <c r="AW235" s="706" t="s">
        <v>197</v>
      </c>
      <c r="AX235" s="562">
        <f t="shared" si="16"/>
        <v>1</v>
      </c>
      <c r="AY235" s="611"/>
      <c r="BA235" s="381"/>
    </row>
    <row r="236" spans="1:58" ht="18.75" x14ac:dyDescent="0.25">
      <c r="A236" s="1167" t="s">
        <v>752</v>
      </c>
      <c r="B236" s="1167"/>
      <c r="C236" s="1167"/>
      <c r="D236" s="1167"/>
      <c r="E236" s="1167"/>
      <c r="F236" s="668"/>
      <c r="G236" s="1168">
        <f t="shared" ref="G236:L236" si="34">SUM(G233:I235)</f>
        <v>0</v>
      </c>
      <c r="H236" s="1168"/>
      <c r="I236" s="1168"/>
      <c r="J236" s="687">
        <f t="shared" si="34"/>
        <v>0</v>
      </c>
      <c r="K236" s="688">
        <f t="shared" si="34"/>
        <v>0</v>
      </c>
      <c r="L236" s="426">
        <f t="shared" si="34"/>
        <v>0</v>
      </c>
      <c r="M236" s="338"/>
      <c r="N236" s="1167" t="s">
        <v>752</v>
      </c>
      <c r="O236" s="1167"/>
      <c r="P236" s="1167"/>
      <c r="Q236" s="1167"/>
      <c r="R236" s="1167"/>
      <c r="S236" s="668"/>
      <c r="T236" s="1168">
        <f t="shared" ref="T236" si="35">SUM(T233:V235)</f>
        <v>0</v>
      </c>
      <c r="U236" s="1168"/>
      <c r="V236" s="1168"/>
      <c r="W236" s="687">
        <f t="shared" ref="W236:X236" si="36">SUM(W233:Y235)</f>
        <v>0</v>
      </c>
      <c r="X236" s="688">
        <f t="shared" si="36"/>
        <v>0</v>
      </c>
      <c r="Y236" s="426">
        <f>SUM(Y228:AA230)</f>
        <v>0</v>
      </c>
      <c r="Z236" s="427">
        <f t="shared" si="33"/>
        <v>0</v>
      </c>
      <c r="AA236" s="394"/>
      <c r="AC236" s="508" t="s">
        <v>753</v>
      </c>
      <c r="AD236" s="704" t="s">
        <v>753</v>
      </c>
      <c r="AE236" s="559">
        <f t="shared" si="9"/>
        <v>0</v>
      </c>
      <c r="AF236" s="560" t="str">
        <f t="shared" si="10"/>
        <v/>
      </c>
      <c r="AH236" s="378"/>
      <c r="AI236" s="1105" t="s">
        <v>754</v>
      </c>
      <c r="AJ236" s="1106"/>
      <c r="AK236" s="1106"/>
      <c r="AL236" s="1106"/>
      <c r="AM236" s="1106"/>
      <c r="AN236" s="707" t="s">
        <v>755</v>
      </c>
      <c r="AO236" s="562">
        <f t="shared" si="30"/>
        <v>0</v>
      </c>
      <c r="AP236" s="696"/>
      <c r="AQ236" s="378"/>
      <c r="AR236" s="1145" t="s">
        <v>756</v>
      </c>
      <c r="AS236" s="1146"/>
      <c r="AT236" s="1146"/>
      <c r="AU236" s="1146"/>
      <c r="AV236" s="1146"/>
      <c r="AW236" s="706" t="s">
        <v>757</v>
      </c>
      <c r="AX236" s="562">
        <f t="shared" si="16"/>
        <v>0</v>
      </c>
      <c r="AY236" s="611"/>
      <c r="BA236" s="381"/>
    </row>
    <row r="237" spans="1:58" ht="18" x14ac:dyDescent="0.25">
      <c r="A237" s="667"/>
      <c r="B237" s="667"/>
      <c r="C237" s="667"/>
      <c r="D237" s="667"/>
      <c r="E237" s="667"/>
      <c r="F237" s="668"/>
      <c r="J237" s="669"/>
      <c r="K237" s="669"/>
      <c r="M237" s="338"/>
      <c r="N237" s="667"/>
      <c r="O237" s="667"/>
      <c r="P237" s="667"/>
      <c r="Q237" s="667"/>
      <c r="R237" s="667"/>
      <c r="S237" s="668"/>
      <c r="W237" s="669"/>
      <c r="X237" s="669"/>
      <c r="AA237" s="394"/>
      <c r="AC237" s="508" t="s">
        <v>315</v>
      </c>
      <c r="AD237" s="708" t="s">
        <v>758</v>
      </c>
      <c r="AE237" s="559">
        <f t="shared" si="9"/>
        <v>0</v>
      </c>
      <c r="AF237" s="560" t="str">
        <f t="shared" si="10"/>
        <v/>
      </c>
      <c r="AH237" s="378"/>
      <c r="AI237" s="1105" t="s">
        <v>759</v>
      </c>
      <c r="AJ237" s="1106"/>
      <c r="AK237" s="1106"/>
      <c r="AL237" s="1106"/>
      <c r="AM237" s="1106"/>
      <c r="AN237" s="153" t="s">
        <v>760</v>
      </c>
      <c r="AO237" s="562">
        <f t="shared" si="30"/>
        <v>0</v>
      </c>
      <c r="AP237" s="696"/>
      <c r="AQ237" s="378"/>
      <c r="AR237" s="1145" t="s">
        <v>761</v>
      </c>
      <c r="AS237" s="1146"/>
      <c r="AT237" s="1146"/>
      <c r="AU237" s="1146"/>
      <c r="AV237" s="1146"/>
      <c r="AW237" s="132" t="s">
        <v>187</v>
      </c>
      <c r="AX237" s="562">
        <f t="shared" si="16"/>
        <v>4</v>
      </c>
      <c r="AY237" s="611"/>
      <c r="BA237" s="381"/>
      <c r="BC237" s="709"/>
      <c r="BD237" s="709"/>
      <c r="BE237" s="709"/>
      <c r="BF237" s="709"/>
    </row>
    <row r="238" spans="1:58" ht="18.75" x14ac:dyDescent="0.25">
      <c r="A238" s="667"/>
      <c r="B238" s="667"/>
      <c r="C238" s="667"/>
      <c r="D238" s="667"/>
      <c r="E238" s="667"/>
      <c r="F238" s="668"/>
      <c r="J238" s="669"/>
      <c r="K238" s="669"/>
      <c r="M238" s="338"/>
      <c r="N238" s="667"/>
      <c r="O238" s="667"/>
      <c r="P238" s="667"/>
      <c r="Q238" s="667"/>
      <c r="R238" s="667"/>
      <c r="S238" s="668"/>
      <c r="W238" s="669"/>
      <c r="X238" s="669"/>
      <c r="AA238" s="394"/>
      <c r="AC238" s="508" t="s">
        <v>762</v>
      </c>
      <c r="AD238" s="41" t="s">
        <v>152</v>
      </c>
      <c r="AE238" s="559">
        <f t="shared" si="9"/>
        <v>35</v>
      </c>
      <c r="AF238" s="560" t="str">
        <f t="shared" si="10"/>
        <v/>
      </c>
      <c r="AH238" s="378"/>
      <c r="AI238" s="1105" t="s">
        <v>763</v>
      </c>
      <c r="AJ238" s="1106"/>
      <c r="AK238" s="1106"/>
      <c r="AL238" s="1106"/>
      <c r="AM238" s="1106"/>
      <c r="AN238" s="132" t="s">
        <v>764</v>
      </c>
      <c r="AO238" s="562">
        <f t="shared" si="30"/>
        <v>0</v>
      </c>
      <c r="AP238" s="696"/>
      <c r="AQ238" s="378"/>
      <c r="AR238" s="1145" t="s">
        <v>765</v>
      </c>
      <c r="AS238" s="1146"/>
      <c r="AT238" s="1146"/>
      <c r="AU238" s="1146"/>
      <c r="AV238" s="1146"/>
      <c r="AW238" s="710" t="s">
        <v>766</v>
      </c>
      <c r="AX238" s="562">
        <f t="shared" si="16"/>
        <v>0</v>
      </c>
      <c r="AY238" s="611"/>
      <c r="BA238" s="381"/>
      <c r="BC238" s="711"/>
      <c r="BD238" s="711"/>
      <c r="BE238" s="711"/>
      <c r="BF238" s="711"/>
    </row>
    <row r="239" spans="1:58" ht="18" x14ac:dyDescent="0.25">
      <c r="A239" s="1179" t="s">
        <v>767</v>
      </c>
      <c r="B239" s="1180"/>
      <c r="C239" s="1180"/>
      <c r="D239" s="1180"/>
      <c r="E239" s="1181"/>
      <c r="F239" s="671"/>
      <c r="G239" s="1177"/>
      <c r="H239" s="1177"/>
      <c r="I239" s="1178"/>
      <c r="J239" s="672" t="s">
        <v>305</v>
      </c>
      <c r="K239" s="673" t="s">
        <v>306</v>
      </c>
      <c r="L239" s="672" t="s">
        <v>307</v>
      </c>
      <c r="M239" s="338"/>
      <c r="N239" s="1179" t="s">
        <v>767</v>
      </c>
      <c r="O239" s="1180"/>
      <c r="P239" s="1180"/>
      <c r="Q239" s="1180"/>
      <c r="R239" s="1181"/>
      <c r="S239" s="671"/>
      <c r="T239" s="1177"/>
      <c r="U239" s="1177"/>
      <c r="V239" s="1178"/>
      <c r="W239" s="672" t="s">
        <v>305</v>
      </c>
      <c r="X239" s="673" t="s">
        <v>306</v>
      </c>
      <c r="Y239" s="672" t="s">
        <v>307</v>
      </c>
      <c r="AA239" s="394"/>
      <c r="AC239" s="508" t="s">
        <v>768</v>
      </c>
      <c r="AD239" s="712" t="s">
        <v>769</v>
      </c>
      <c r="AE239" s="559">
        <f t="shared" si="9"/>
        <v>0</v>
      </c>
      <c r="AF239" s="560" t="str">
        <f t="shared" si="10"/>
        <v/>
      </c>
      <c r="AH239" s="378"/>
      <c r="AI239" s="1105" t="s">
        <v>770</v>
      </c>
      <c r="AJ239" s="1106"/>
      <c r="AK239" s="1106"/>
      <c r="AL239" s="1106"/>
      <c r="AM239" s="1106"/>
      <c r="AN239" s="706" t="s">
        <v>771</v>
      </c>
      <c r="AO239" s="562">
        <f t="shared" si="30"/>
        <v>0</v>
      </c>
      <c r="AP239" s="696"/>
      <c r="AQ239" s="378"/>
      <c r="AR239" s="1145" t="s">
        <v>772</v>
      </c>
      <c r="AS239" s="1146"/>
      <c r="AT239" s="1146"/>
      <c r="AU239" s="1146"/>
      <c r="AV239" s="1146"/>
      <c r="AW239" s="713" t="s">
        <v>773</v>
      </c>
      <c r="AX239" s="562">
        <f t="shared" si="16"/>
        <v>0</v>
      </c>
      <c r="AY239" s="611"/>
      <c r="BA239" s="381"/>
      <c r="BC239" s="709"/>
      <c r="BD239" s="709"/>
      <c r="BE239" s="709"/>
      <c r="BF239" s="709"/>
    </row>
    <row r="240" spans="1:58" ht="18" x14ac:dyDescent="0.25">
      <c r="A240" s="1169" t="s">
        <v>127</v>
      </c>
      <c r="B240" s="1170"/>
      <c r="C240" s="1171"/>
      <c r="D240" s="1172"/>
      <c r="E240" s="1173"/>
      <c r="F240" s="714" t="s">
        <v>128</v>
      </c>
      <c r="G240" s="1111">
        <f>COUNTIF($A$1:$BK$73,F240)</f>
        <v>0</v>
      </c>
      <c r="H240" s="1112"/>
      <c r="I240" s="1113"/>
      <c r="J240" s="424">
        <v>0</v>
      </c>
      <c r="K240" s="425">
        <v>0</v>
      </c>
      <c r="L240" s="426">
        <f t="shared" ref="L240:L243" si="37">G240-K240-J240</f>
        <v>0</v>
      </c>
      <c r="M240" s="338"/>
      <c r="N240" s="1169" t="s">
        <v>127</v>
      </c>
      <c r="O240" s="1170"/>
      <c r="P240" s="1171"/>
      <c r="Q240" s="1172"/>
      <c r="R240" s="1173"/>
      <c r="S240" s="714" t="s">
        <v>128</v>
      </c>
      <c r="T240" s="1114">
        <f>COUNTIF($BL$1:$CN$58,S240)</f>
        <v>0</v>
      </c>
      <c r="U240" s="1114"/>
      <c r="V240" s="1114"/>
      <c r="W240" s="424">
        <v>0</v>
      </c>
      <c r="X240" s="425">
        <v>0</v>
      </c>
      <c r="Y240" s="426">
        <f t="shared" ref="Y240:Y243" si="38">T240-X240-W240</f>
        <v>0</v>
      </c>
      <c r="Z240" s="427">
        <f t="shared" ref="Z240:Z244" si="39">T240+G240</f>
        <v>0</v>
      </c>
      <c r="AA240" s="394"/>
      <c r="AC240" s="508" t="s">
        <v>774</v>
      </c>
      <c r="AD240" s="715" t="s">
        <v>775</v>
      </c>
      <c r="AE240" s="559">
        <f t="shared" si="9"/>
        <v>0</v>
      </c>
      <c r="AF240" s="560" t="str">
        <f t="shared" si="10"/>
        <v/>
      </c>
      <c r="AH240" s="378"/>
      <c r="AI240" s="1105" t="s">
        <v>776</v>
      </c>
      <c r="AJ240" s="1106"/>
      <c r="AK240" s="1106"/>
      <c r="AL240" s="1106"/>
      <c r="AM240" s="1106"/>
      <c r="AN240" s="706" t="s">
        <v>5</v>
      </c>
      <c r="AO240" s="562">
        <f t="shared" si="30"/>
        <v>0</v>
      </c>
      <c r="AP240" s="696"/>
      <c r="AQ240" s="378"/>
      <c r="AR240" s="1145" t="s">
        <v>777</v>
      </c>
      <c r="AS240" s="1146"/>
      <c r="AT240" s="1146"/>
      <c r="AU240" s="1146"/>
      <c r="AV240" s="1146"/>
      <c r="AW240" s="716" t="s">
        <v>778</v>
      </c>
      <c r="AX240" s="562">
        <f t="shared" si="16"/>
        <v>0</v>
      </c>
      <c r="AY240" s="611"/>
      <c r="BA240" s="381"/>
      <c r="BC240" s="717"/>
      <c r="BD240" s="717"/>
      <c r="BE240" s="717"/>
      <c r="BF240" s="717"/>
    </row>
    <row r="241" spans="1:58" ht="18" x14ac:dyDescent="0.25">
      <c r="A241" s="1169" t="s">
        <v>129</v>
      </c>
      <c r="B241" s="1170"/>
      <c r="C241" s="1171"/>
      <c r="D241" s="1172"/>
      <c r="E241" s="1173"/>
      <c r="F241" s="25" t="s">
        <v>130</v>
      </c>
      <c r="G241" s="1111">
        <f>COUNTIF($A$1:$BK$73,F241)</f>
        <v>0</v>
      </c>
      <c r="H241" s="1112"/>
      <c r="I241" s="1113"/>
      <c r="J241" s="424">
        <v>0</v>
      </c>
      <c r="K241" s="425">
        <v>0</v>
      </c>
      <c r="L241" s="426">
        <f t="shared" si="37"/>
        <v>0</v>
      </c>
      <c r="M241" s="338"/>
      <c r="N241" s="1169" t="s">
        <v>129</v>
      </c>
      <c r="O241" s="1170"/>
      <c r="P241" s="1171"/>
      <c r="Q241" s="1172"/>
      <c r="R241" s="1173"/>
      <c r="S241" s="25" t="s">
        <v>130</v>
      </c>
      <c r="T241" s="1114">
        <f>COUNTIF($BL$1:$CN$58,S241)</f>
        <v>0</v>
      </c>
      <c r="U241" s="1114"/>
      <c r="V241" s="1114"/>
      <c r="W241" s="424">
        <v>0</v>
      </c>
      <c r="X241" s="425">
        <v>0</v>
      </c>
      <c r="Y241" s="426">
        <f t="shared" si="38"/>
        <v>0</v>
      </c>
      <c r="Z241" s="427">
        <f t="shared" si="39"/>
        <v>0</v>
      </c>
      <c r="AA241" s="394"/>
      <c r="AC241" s="508" t="s">
        <v>779</v>
      </c>
      <c r="AD241" s="715" t="s">
        <v>780</v>
      </c>
      <c r="AE241" s="559">
        <f t="shared" ref="AE241:AE249" si="40">COUNTIF($A$1:$GO$128,AD241)</f>
        <v>0</v>
      </c>
      <c r="AF241" s="560" t="str">
        <f t="shared" si="10"/>
        <v/>
      </c>
      <c r="AH241" s="378"/>
      <c r="AI241" s="1105" t="s">
        <v>781</v>
      </c>
      <c r="AJ241" s="1106"/>
      <c r="AK241" s="1106"/>
      <c r="AL241" s="1106"/>
      <c r="AM241" s="1106"/>
      <c r="AN241" s="718" t="s">
        <v>782</v>
      </c>
      <c r="AO241" s="562">
        <f t="shared" si="30"/>
        <v>0</v>
      </c>
      <c r="AP241" s="696"/>
      <c r="AQ241" s="378"/>
      <c r="AR241" s="1145" t="s">
        <v>783</v>
      </c>
      <c r="AS241" s="1146"/>
      <c r="AT241" s="1146"/>
      <c r="AU241" s="1146"/>
      <c r="AV241" s="1146"/>
      <c r="AW241" s="716" t="s">
        <v>784</v>
      </c>
      <c r="AX241" s="562">
        <f t="shared" si="16"/>
        <v>0</v>
      </c>
      <c r="AY241" s="611"/>
      <c r="BA241" s="381"/>
    </row>
    <row r="242" spans="1:58" ht="18" x14ac:dyDescent="0.25">
      <c r="A242" s="1169" t="s">
        <v>131</v>
      </c>
      <c r="B242" s="1170"/>
      <c r="C242" s="1171"/>
      <c r="D242" s="1172"/>
      <c r="E242" s="1173"/>
      <c r="F242" s="26" t="s">
        <v>120</v>
      </c>
      <c r="G242" s="1111">
        <f>COUNTIF($A$1:$BK$73,F242)</f>
        <v>0</v>
      </c>
      <c r="H242" s="1112"/>
      <c r="I242" s="1113"/>
      <c r="J242" s="424">
        <v>0</v>
      </c>
      <c r="K242" s="425">
        <v>0</v>
      </c>
      <c r="L242" s="426">
        <f t="shared" si="37"/>
        <v>0</v>
      </c>
      <c r="M242" s="338"/>
      <c r="N242" s="1169" t="s">
        <v>131</v>
      </c>
      <c r="O242" s="1170"/>
      <c r="P242" s="1171"/>
      <c r="Q242" s="1172"/>
      <c r="R242" s="1173"/>
      <c r="S242" s="26" t="s">
        <v>120</v>
      </c>
      <c r="T242" s="1114">
        <f>COUNTIF($BL$1:$CN$58,S242)</f>
        <v>0</v>
      </c>
      <c r="U242" s="1114"/>
      <c r="V242" s="1114"/>
      <c r="W242" s="424">
        <v>0</v>
      </c>
      <c r="X242" s="425">
        <v>0</v>
      </c>
      <c r="Y242" s="426">
        <f t="shared" si="38"/>
        <v>0</v>
      </c>
      <c r="Z242" s="427">
        <f t="shared" si="39"/>
        <v>0</v>
      </c>
      <c r="AA242" s="394"/>
      <c r="AC242" s="508" t="s">
        <v>785</v>
      </c>
      <c r="AD242" s="719" t="s">
        <v>786</v>
      </c>
      <c r="AE242" s="559">
        <f t="shared" si="40"/>
        <v>0</v>
      </c>
      <c r="AF242" s="560" t="str">
        <f t="shared" ref="AF242:AF249" si="41">IFERROR(AE242/$J$4,"")</f>
        <v/>
      </c>
      <c r="AH242" s="378"/>
      <c r="AI242" s="1105" t="s">
        <v>787</v>
      </c>
      <c r="AJ242" s="1106"/>
      <c r="AK242" s="1106"/>
      <c r="AL242" s="1106"/>
      <c r="AM242" s="1106"/>
      <c r="AN242" s="133" t="s">
        <v>788</v>
      </c>
      <c r="AO242" s="562">
        <f t="shared" si="30"/>
        <v>0</v>
      </c>
      <c r="AP242" s="696"/>
      <c r="AQ242" s="378"/>
      <c r="AR242" s="1145" t="s">
        <v>789</v>
      </c>
      <c r="AS242" s="1146"/>
      <c r="AT242" s="1146"/>
      <c r="AU242" s="1146"/>
      <c r="AV242" s="1146"/>
      <c r="AW242" s="137" t="s">
        <v>191</v>
      </c>
      <c r="AX242" s="562">
        <f t="shared" si="16"/>
        <v>1</v>
      </c>
      <c r="AY242" s="611"/>
      <c r="BA242" s="381"/>
      <c r="BC242" s="709"/>
      <c r="BD242" s="709"/>
      <c r="BE242" s="709"/>
      <c r="BF242" s="709"/>
    </row>
    <row r="243" spans="1:58" ht="18.75" x14ac:dyDescent="0.25">
      <c r="A243" s="1169" t="s">
        <v>132</v>
      </c>
      <c r="B243" s="1170"/>
      <c r="C243" s="1171"/>
      <c r="D243" s="1172"/>
      <c r="E243" s="1173"/>
      <c r="F243" s="27" t="s">
        <v>121</v>
      </c>
      <c r="G243" s="1111">
        <f>COUNTIF($A$1:$BK$73,F243)</f>
        <v>0</v>
      </c>
      <c r="H243" s="1112"/>
      <c r="I243" s="1113"/>
      <c r="J243" s="424">
        <v>0</v>
      </c>
      <c r="K243" s="425">
        <v>0</v>
      </c>
      <c r="L243" s="426">
        <f t="shared" si="37"/>
        <v>0</v>
      </c>
      <c r="M243" s="338"/>
      <c r="N243" s="1169" t="s">
        <v>132</v>
      </c>
      <c r="O243" s="1170"/>
      <c r="P243" s="1171"/>
      <c r="Q243" s="1172"/>
      <c r="R243" s="1173"/>
      <c r="S243" s="27" t="s">
        <v>121</v>
      </c>
      <c r="T243" s="1114">
        <f>COUNTIF($BL$1:$CN$58,S243)</f>
        <v>0</v>
      </c>
      <c r="U243" s="1114"/>
      <c r="V243" s="1114"/>
      <c r="W243" s="424">
        <v>0</v>
      </c>
      <c r="X243" s="425">
        <v>0</v>
      </c>
      <c r="Y243" s="426">
        <f t="shared" si="38"/>
        <v>0</v>
      </c>
      <c r="Z243" s="427">
        <f t="shared" si="39"/>
        <v>0</v>
      </c>
      <c r="AA243" s="394"/>
      <c r="AC243" s="508" t="s">
        <v>790</v>
      </c>
      <c r="AD243" s="693" t="s">
        <v>791</v>
      </c>
      <c r="AE243" s="559">
        <f t="shared" si="40"/>
        <v>0</v>
      </c>
      <c r="AF243" s="560" t="str">
        <f t="shared" si="41"/>
        <v/>
      </c>
      <c r="AI243" s="1105" t="s">
        <v>792</v>
      </c>
      <c r="AJ243" s="1106"/>
      <c r="AK243" s="1106"/>
      <c r="AL243" s="1106"/>
      <c r="AM243" s="1106"/>
      <c r="AN243" s="154" t="s">
        <v>793</v>
      </c>
      <c r="AO243" s="562">
        <f t="shared" si="30"/>
        <v>0</v>
      </c>
      <c r="AP243" s="696"/>
      <c r="AQ243" s="378"/>
      <c r="AR243" s="1145" t="s">
        <v>794</v>
      </c>
      <c r="AS243" s="1146"/>
      <c r="AT243" s="1146"/>
      <c r="AU243" s="1146"/>
      <c r="AV243" s="1146"/>
      <c r="AW243" s="720" t="s">
        <v>795</v>
      </c>
      <c r="AX243" s="562">
        <f t="shared" si="16"/>
        <v>0</v>
      </c>
      <c r="AY243" s="611"/>
      <c r="BA243" s="381"/>
      <c r="BC243" s="711"/>
      <c r="BD243" s="711"/>
      <c r="BE243" s="711"/>
      <c r="BF243" s="711"/>
    </row>
    <row r="244" spans="1:58" ht="18" x14ac:dyDescent="0.25">
      <c r="A244" s="1167" t="s">
        <v>796</v>
      </c>
      <c r="B244" s="1167"/>
      <c r="C244" s="1167"/>
      <c r="D244" s="1167"/>
      <c r="E244" s="1167"/>
      <c r="F244" s="668"/>
      <c r="G244" s="1168">
        <f>SUM(G240:I243)</f>
        <v>0</v>
      </c>
      <c r="H244" s="1168"/>
      <c r="I244" s="1168"/>
      <c r="J244" s="687">
        <f t="shared" ref="J244:L244" si="42">SUM(J240:J243)</f>
        <v>0</v>
      </c>
      <c r="K244" s="688">
        <f t="shared" si="42"/>
        <v>0</v>
      </c>
      <c r="L244" s="689">
        <f t="shared" si="42"/>
        <v>0</v>
      </c>
      <c r="M244" s="338"/>
      <c r="N244" s="1167" t="s">
        <v>796</v>
      </c>
      <c r="O244" s="1167"/>
      <c r="P244" s="1167"/>
      <c r="Q244" s="1167"/>
      <c r="R244" s="1167"/>
      <c r="S244" s="668"/>
      <c r="T244" s="1168">
        <f>SUM(T240:V243)</f>
        <v>0</v>
      </c>
      <c r="U244" s="1168"/>
      <c r="V244" s="1168"/>
      <c r="W244" s="687">
        <f t="shared" ref="W244:Y244" si="43">SUM(W240:W243)</f>
        <v>0</v>
      </c>
      <c r="X244" s="688">
        <f t="shared" si="43"/>
        <v>0</v>
      </c>
      <c r="Y244" s="689">
        <f t="shared" si="43"/>
        <v>0</v>
      </c>
      <c r="Z244" s="427">
        <f t="shared" si="39"/>
        <v>0</v>
      </c>
      <c r="AA244" s="394"/>
      <c r="AC244" s="508" t="s">
        <v>797</v>
      </c>
      <c r="AD244" s="712" t="s">
        <v>798</v>
      </c>
      <c r="AE244" s="559">
        <f t="shared" si="40"/>
        <v>0</v>
      </c>
      <c r="AF244" s="560" t="str">
        <f t="shared" si="41"/>
        <v/>
      </c>
      <c r="AI244" s="1105" t="s">
        <v>799</v>
      </c>
      <c r="AJ244" s="1106"/>
      <c r="AK244" s="1106"/>
      <c r="AL244" s="1106"/>
      <c r="AM244" s="1106"/>
      <c r="AN244" s="686" t="s">
        <v>800</v>
      </c>
      <c r="AO244" s="562">
        <f t="shared" si="30"/>
        <v>0</v>
      </c>
      <c r="AP244" s="696"/>
      <c r="AQ244" s="378"/>
      <c r="AR244" s="1145" t="s">
        <v>801</v>
      </c>
      <c r="AS244" s="1146"/>
      <c r="AT244" s="1146"/>
      <c r="AU244" s="1146"/>
      <c r="AV244" s="1146"/>
      <c r="AW244" s="721" t="s">
        <v>802</v>
      </c>
      <c r="AX244" s="562">
        <f t="shared" si="16"/>
        <v>0</v>
      </c>
      <c r="AY244" s="611"/>
      <c r="BA244" s="381"/>
      <c r="BC244" s="709"/>
      <c r="BD244" s="709"/>
      <c r="BE244" s="709"/>
      <c r="BF244" s="709"/>
    </row>
    <row r="245" spans="1:58" ht="18.75" x14ac:dyDescent="0.25">
      <c r="A245" s="667"/>
      <c r="B245" s="667"/>
      <c r="C245" s="667"/>
      <c r="D245" s="667"/>
      <c r="E245" s="667"/>
      <c r="F245" s="668"/>
      <c r="J245" s="669"/>
      <c r="K245" s="669"/>
      <c r="M245" s="338"/>
      <c r="N245" s="667"/>
      <c r="O245" s="667"/>
      <c r="P245" s="667"/>
      <c r="Q245" s="667"/>
      <c r="R245" s="667"/>
      <c r="S245" s="668"/>
      <c r="W245" s="669"/>
      <c r="X245" s="669"/>
      <c r="AA245" s="394"/>
      <c r="AC245" s="508" t="s">
        <v>803</v>
      </c>
      <c r="AD245" s="722" t="s">
        <v>804</v>
      </c>
      <c r="AE245" s="559">
        <f t="shared" si="40"/>
        <v>0</v>
      </c>
      <c r="AF245" s="560" t="str">
        <f t="shared" si="41"/>
        <v/>
      </c>
      <c r="AI245" s="1105" t="s">
        <v>805</v>
      </c>
      <c r="AJ245" s="1106"/>
      <c r="AK245" s="1106"/>
      <c r="AL245" s="1106"/>
      <c r="AM245" s="1106"/>
      <c r="AN245" s="699" t="s">
        <v>806</v>
      </c>
      <c r="AO245" s="562">
        <f t="shared" si="30"/>
        <v>0</v>
      </c>
      <c r="AP245" s="696"/>
      <c r="AQ245" s="378"/>
      <c r="AR245" s="1145" t="s">
        <v>807</v>
      </c>
      <c r="AS245" s="1146"/>
      <c r="AT245" s="1146"/>
      <c r="AU245" s="1146"/>
      <c r="AV245" s="1146"/>
      <c r="AW245" s="723" t="s">
        <v>808</v>
      </c>
      <c r="AX245" s="562">
        <f t="shared" si="16"/>
        <v>0</v>
      </c>
      <c r="AY245" s="611"/>
      <c r="BA245" s="381"/>
      <c r="BC245" s="717"/>
      <c r="BD245" s="717"/>
      <c r="BE245" s="717"/>
      <c r="BF245" s="717"/>
    </row>
    <row r="246" spans="1:58" ht="18.75" x14ac:dyDescent="0.25">
      <c r="A246" s="667"/>
      <c r="B246" s="667"/>
      <c r="C246" s="667"/>
      <c r="D246" s="667"/>
      <c r="E246" s="667"/>
      <c r="F246" s="668"/>
      <c r="J246" s="669"/>
      <c r="K246" s="669"/>
      <c r="M246" s="338"/>
      <c r="N246" s="667"/>
      <c r="O246" s="667"/>
      <c r="P246" s="667"/>
      <c r="Q246" s="667"/>
      <c r="R246" s="667"/>
      <c r="S246" s="668"/>
      <c r="W246" s="669"/>
      <c r="X246" s="669"/>
      <c r="AA246" s="394"/>
      <c r="AC246" s="508" t="s">
        <v>809</v>
      </c>
      <c r="AD246" s="724" t="s">
        <v>809</v>
      </c>
      <c r="AE246" s="559">
        <f t="shared" si="40"/>
        <v>0</v>
      </c>
      <c r="AF246" s="560" t="str">
        <f t="shared" si="41"/>
        <v/>
      </c>
      <c r="AI246" s="1105" t="s">
        <v>810</v>
      </c>
      <c r="AJ246" s="1106"/>
      <c r="AK246" s="1106"/>
      <c r="AL246" s="1106"/>
      <c r="AM246" s="1106"/>
      <c r="AN246" s="725" t="s">
        <v>811</v>
      </c>
      <c r="AO246" s="562">
        <f t="shared" si="30"/>
        <v>0</v>
      </c>
      <c r="AP246" s="696"/>
      <c r="AQ246" s="378"/>
      <c r="AR246" s="1145" t="s">
        <v>812</v>
      </c>
      <c r="AS246" s="1146"/>
      <c r="AT246" s="1146"/>
      <c r="AU246" s="1146"/>
      <c r="AV246" s="1146"/>
      <c r="AW246" s="157" t="s">
        <v>198</v>
      </c>
      <c r="AX246" s="562">
        <f t="shared" si="16"/>
        <v>2</v>
      </c>
      <c r="AY246" s="611"/>
      <c r="BA246" s="381"/>
    </row>
    <row r="247" spans="1:58" ht="18" x14ac:dyDescent="0.25">
      <c r="A247" s="1174" t="s">
        <v>813</v>
      </c>
      <c r="B247" s="1175"/>
      <c r="C247" s="1175"/>
      <c r="D247" s="1175"/>
      <c r="E247" s="1176"/>
      <c r="F247" s="671"/>
      <c r="G247" s="1177"/>
      <c r="H247" s="1177"/>
      <c r="I247" s="1178"/>
      <c r="J247" s="672" t="s">
        <v>305</v>
      </c>
      <c r="K247" s="673" t="s">
        <v>306</v>
      </c>
      <c r="L247" s="672" t="s">
        <v>307</v>
      </c>
      <c r="M247" s="338"/>
      <c r="N247" s="1174" t="s">
        <v>813</v>
      </c>
      <c r="O247" s="1175"/>
      <c r="P247" s="1175"/>
      <c r="Q247" s="1175"/>
      <c r="R247" s="1176"/>
      <c r="S247" s="671"/>
      <c r="T247" s="1177"/>
      <c r="U247" s="1177"/>
      <c r="V247" s="1178"/>
      <c r="W247" s="672" t="s">
        <v>305</v>
      </c>
      <c r="X247" s="673" t="s">
        <v>306</v>
      </c>
      <c r="Y247" s="672" t="s">
        <v>307</v>
      </c>
      <c r="AA247" s="394"/>
      <c r="AC247" s="508" t="s">
        <v>814</v>
      </c>
      <c r="AD247" s="236" t="s">
        <v>221</v>
      </c>
      <c r="AE247" s="559">
        <f t="shared" si="40"/>
        <v>4</v>
      </c>
      <c r="AF247" s="560" t="str">
        <f t="shared" si="41"/>
        <v/>
      </c>
      <c r="AI247" s="1105" t="s">
        <v>815</v>
      </c>
      <c r="AJ247" s="1106"/>
      <c r="AK247" s="1106"/>
      <c r="AL247" s="1106"/>
      <c r="AM247" s="1106"/>
      <c r="AN247" s="710" t="s">
        <v>816</v>
      </c>
      <c r="AO247" s="562">
        <f t="shared" si="30"/>
        <v>0</v>
      </c>
      <c r="AP247" s="696"/>
      <c r="AQ247" s="378"/>
      <c r="AR247" s="1145" t="s">
        <v>817</v>
      </c>
      <c r="AS247" s="1146"/>
      <c r="AT247" s="1146"/>
      <c r="AU247" s="1146"/>
      <c r="AV247" s="1146"/>
      <c r="AW247" s="725" t="s">
        <v>818</v>
      </c>
      <c r="AX247" s="562">
        <f t="shared" si="16"/>
        <v>0</v>
      </c>
      <c r="AY247" s="611"/>
      <c r="BA247" s="381"/>
      <c r="BC247" s="709"/>
      <c r="BD247" s="709"/>
      <c r="BE247" s="709"/>
      <c r="BF247" s="709"/>
    </row>
    <row r="248" spans="1:58" ht="18" x14ac:dyDescent="0.25">
      <c r="A248" s="1169" t="s">
        <v>58</v>
      </c>
      <c r="B248" s="1170"/>
      <c r="C248" s="1171"/>
      <c r="D248" s="1172"/>
      <c r="E248" s="1173"/>
      <c r="F248" s="5" t="s">
        <v>59</v>
      </c>
      <c r="G248" s="1111">
        <f>COUNTIF($A$1:$BK$73,F248)</f>
        <v>0</v>
      </c>
      <c r="H248" s="1112"/>
      <c r="I248" s="1113"/>
      <c r="J248" s="424">
        <v>0</v>
      </c>
      <c r="K248" s="425">
        <v>0</v>
      </c>
      <c r="L248" s="426">
        <f t="shared" ref="L248:L250" si="44">G248-K248-J248</f>
        <v>0</v>
      </c>
      <c r="M248" s="338"/>
      <c r="N248" s="1169" t="s">
        <v>58</v>
      </c>
      <c r="O248" s="1170"/>
      <c r="P248" s="1171"/>
      <c r="Q248" s="1172"/>
      <c r="R248" s="1173"/>
      <c r="S248" s="5" t="s">
        <v>59</v>
      </c>
      <c r="T248" s="1114">
        <f>COUNTIF($BL$1:$CN$58,S248)</f>
        <v>0</v>
      </c>
      <c r="U248" s="1114"/>
      <c r="V248" s="1114"/>
      <c r="W248" s="424">
        <v>0</v>
      </c>
      <c r="X248" s="425">
        <v>0</v>
      </c>
      <c r="Y248" s="426">
        <f t="shared" ref="Y248:Y250" si="45">T248-X248-W248</f>
        <v>0</v>
      </c>
      <c r="Z248" s="427">
        <f t="shared" ref="Z248:Z251" si="46">T248+G248</f>
        <v>0</v>
      </c>
      <c r="AA248" s="394"/>
      <c r="AC248" s="508" t="s">
        <v>819</v>
      </c>
      <c r="AD248" s="642" t="s">
        <v>820</v>
      </c>
      <c r="AE248" s="559">
        <f t="shared" si="40"/>
        <v>0</v>
      </c>
      <c r="AF248" s="560" t="str">
        <f t="shared" si="41"/>
        <v/>
      </c>
      <c r="AI248" s="1105" t="s">
        <v>821</v>
      </c>
      <c r="AJ248" s="1106"/>
      <c r="AK248" s="1106"/>
      <c r="AL248" s="1106"/>
      <c r="AM248" s="1106"/>
      <c r="AN248" s="726" t="s">
        <v>822</v>
      </c>
      <c r="AO248" s="562">
        <f t="shared" si="30"/>
        <v>0</v>
      </c>
      <c r="AP248" s="696"/>
      <c r="AQ248" s="378"/>
      <c r="AR248" s="1145" t="s">
        <v>823</v>
      </c>
      <c r="AS248" s="1146"/>
      <c r="AT248" s="1146"/>
      <c r="AU248" s="1146"/>
      <c r="AV248" s="1146"/>
      <c r="AW248" s="727" t="s">
        <v>824</v>
      </c>
      <c r="AX248" s="562">
        <f t="shared" si="16"/>
        <v>0</v>
      </c>
      <c r="AY248" s="611"/>
      <c r="BA248" s="381"/>
      <c r="BC248" s="711"/>
      <c r="BD248" s="711"/>
      <c r="BE248" s="711"/>
      <c r="BF248" s="711"/>
    </row>
    <row r="249" spans="1:58" ht="18" x14ac:dyDescent="0.25">
      <c r="A249" s="1169" t="s">
        <v>60</v>
      </c>
      <c r="B249" s="1170"/>
      <c r="C249" s="1171"/>
      <c r="D249" s="1172"/>
      <c r="E249" s="1173"/>
      <c r="F249" s="6" t="s">
        <v>61</v>
      </c>
      <c r="G249" s="1111">
        <f>COUNTIF($A$1:$BK$73,F249)</f>
        <v>0</v>
      </c>
      <c r="H249" s="1112"/>
      <c r="I249" s="1113"/>
      <c r="J249" s="424">
        <v>0</v>
      </c>
      <c r="K249" s="425">
        <v>0</v>
      </c>
      <c r="L249" s="426">
        <f t="shared" si="44"/>
        <v>0</v>
      </c>
      <c r="M249" s="338"/>
      <c r="N249" s="1169" t="s">
        <v>60</v>
      </c>
      <c r="O249" s="1170"/>
      <c r="P249" s="1171"/>
      <c r="Q249" s="1172"/>
      <c r="R249" s="1173"/>
      <c r="S249" s="6" t="s">
        <v>61</v>
      </c>
      <c r="T249" s="1114">
        <f>COUNTIF($BL$1:$CN$58,S249)</f>
        <v>0</v>
      </c>
      <c r="U249" s="1114"/>
      <c r="V249" s="1114"/>
      <c r="W249" s="424">
        <v>0</v>
      </c>
      <c r="X249" s="425">
        <v>0</v>
      </c>
      <c r="Y249" s="426">
        <f t="shared" si="45"/>
        <v>0</v>
      </c>
      <c r="Z249" s="427">
        <f t="shared" si="46"/>
        <v>0</v>
      </c>
      <c r="AA249" s="394"/>
      <c r="AC249" s="508" t="s">
        <v>825</v>
      </c>
      <c r="AD249" s="728" t="s">
        <v>826</v>
      </c>
      <c r="AE249" s="559">
        <f t="shared" si="40"/>
        <v>0</v>
      </c>
      <c r="AF249" s="560" t="str">
        <f t="shared" si="41"/>
        <v/>
      </c>
      <c r="AI249" s="1105" t="s">
        <v>827</v>
      </c>
      <c r="AJ249" s="1106"/>
      <c r="AK249" s="1106"/>
      <c r="AL249" s="1106"/>
      <c r="AM249" s="1106"/>
      <c r="AN249" s="729" t="s">
        <v>828</v>
      </c>
      <c r="AO249" s="562">
        <f t="shared" si="30"/>
        <v>0</v>
      </c>
      <c r="AP249" s="696"/>
      <c r="AQ249" s="378"/>
      <c r="AR249" s="1142" t="s">
        <v>829</v>
      </c>
      <c r="AS249" s="1143"/>
      <c r="AT249" s="1143"/>
      <c r="AU249" s="1143"/>
      <c r="AV249" s="1144"/>
      <c r="AW249" s="578"/>
      <c r="AX249" s="579">
        <f>SUM(AX195:AX248)</f>
        <v>30</v>
      </c>
      <c r="AY249" s="378"/>
      <c r="BA249" s="381"/>
      <c r="BC249" s="709"/>
      <c r="BD249" s="709"/>
      <c r="BE249" s="709"/>
      <c r="BF249" s="709"/>
    </row>
    <row r="250" spans="1:58" ht="18" x14ac:dyDescent="0.25">
      <c r="A250" s="1169" t="s">
        <v>62</v>
      </c>
      <c r="B250" s="1170"/>
      <c r="C250" s="1171"/>
      <c r="D250" s="1172"/>
      <c r="E250" s="1173"/>
      <c r="F250" s="7" t="s">
        <v>63</v>
      </c>
      <c r="G250" s="1111">
        <f>COUNTIF($A$1:$BK$73,F250)</f>
        <v>0</v>
      </c>
      <c r="H250" s="1112"/>
      <c r="I250" s="1113"/>
      <c r="J250" s="424">
        <v>0</v>
      </c>
      <c r="K250" s="425">
        <v>0</v>
      </c>
      <c r="L250" s="426">
        <f t="shared" si="44"/>
        <v>0</v>
      </c>
      <c r="M250" s="338"/>
      <c r="N250" s="1169" t="s">
        <v>62</v>
      </c>
      <c r="O250" s="1170"/>
      <c r="P250" s="1171"/>
      <c r="Q250" s="1172"/>
      <c r="R250" s="1173"/>
      <c r="S250" s="7" t="s">
        <v>63</v>
      </c>
      <c r="T250" s="1114">
        <f>COUNTIF($BL$1:$CN$58,S250)</f>
        <v>0</v>
      </c>
      <c r="U250" s="1114"/>
      <c r="V250" s="1114"/>
      <c r="W250" s="424">
        <v>0</v>
      </c>
      <c r="X250" s="425">
        <v>0</v>
      </c>
      <c r="Y250" s="426">
        <f t="shared" si="45"/>
        <v>0</v>
      </c>
      <c r="Z250" s="427">
        <f t="shared" si="46"/>
        <v>0</v>
      </c>
      <c r="AA250" s="394"/>
      <c r="AI250" s="1105" t="s">
        <v>830</v>
      </c>
      <c r="AJ250" s="1106"/>
      <c r="AK250" s="1106"/>
      <c r="AL250" s="1106"/>
      <c r="AM250" s="1106"/>
      <c r="AN250" s="644" t="s">
        <v>831</v>
      </c>
      <c r="AO250" s="562">
        <f t="shared" si="30"/>
        <v>0</v>
      </c>
      <c r="AP250" s="696"/>
      <c r="AQ250" s="378"/>
      <c r="AR250" s="378"/>
      <c r="AS250" s="378"/>
      <c r="AT250" s="378"/>
      <c r="AU250" s="378"/>
      <c r="AV250" s="378"/>
      <c r="AW250" s="378"/>
      <c r="AX250" s="378"/>
      <c r="AY250" s="378"/>
      <c r="BA250" s="381"/>
      <c r="BC250" s="717"/>
      <c r="BD250" s="717"/>
      <c r="BE250" s="717"/>
      <c r="BF250" s="717"/>
    </row>
    <row r="251" spans="1:58" ht="18" x14ac:dyDescent="0.25">
      <c r="A251" s="1166" t="s">
        <v>832</v>
      </c>
      <c r="B251" s="1167"/>
      <c r="C251" s="1167"/>
      <c r="D251" s="1167"/>
      <c r="E251" s="1167"/>
      <c r="F251" s="668"/>
      <c r="G251" s="1168">
        <f t="shared" ref="G251" si="47">SUM(G248:I250)</f>
        <v>0</v>
      </c>
      <c r="H251" s="1168"/>
      <c r="I251" s="1168"/>
      <c r="J251" s="687">
        <f t="shared" ref="J251:L251" si="48">SUM(J248:L250)</f>
        <v>0</v>
      </c>
      <c r="K251" s="688">
        <f t="shared" si="48"/>
        <v>0</v>
      </c>
      <c r="L251" s="426">
        <f t="shared" si="48"/>
        <v>0</v>
      </c>
      <c r="M251" s="338"/>
      <c r="N251" s="1166" t="s">
        <v>832</v>
      </c>
      <c r="O251" s="1167"/>
      <c r="P251" s="1167"/>
      <c r="Q251" s="1167"/>
      <c r="R251" s="1167"/>
      <c r="S251" s="668"/>
      <c r="T251" s="1168">
        <f t="shared" ref="T251" si="49">SUM(T248:V250)</f>
        <v>0</v>
      </c>
      <c r="U251" s="1168"/>
      <c r="V251" s="1168"/>
      <c r="W251" s="687">
        <f t="shared" ref="W251:X251" si="50">SUM(W248:Y250)</f>
        <v>0</v>
      </c>
      <c r="X251" s="688">
        <f t="shared" si="50"/>
        <v>0</v>
      </c>
      <c r="Y251" s="426">
        <f>SUM(Y243:AA245)</f>
        <v>0</v>
      </c>
      <c r="Z251" s="427">
        <f t="shared" si="46"/>
        <v>0</v>
      </c>
      <c r="AA251" s="394"/>
      <c r="AI251" s="1105" t="s">
        <v>833</v>
      </c>
      <c r="AJ251" s="1106"/>
      <c r="AK251" s="1106"/>
      <c r="AL251" s="1106"/>
      <c r="AM251" s="1106"/>
      <c r="AN251" s="730" t="s">
        <v>834</v>
      </c>
      <c r="AO251" s="562">
        <f t="shared" si="30"/>
        <v>0</v>
      </c>
      <c r="AP251" s="696"/>
      <c r="AQ251" s="378"/>
      <c r="AR251" s="1098" t="s">
        <v>352</v>
      </c>
      <c r="AS251" s="1099"/>
      <c r="AT251" s="1099"/>
      <c r="AU251" s="1099"/>
      <c r="AV251" s="1099"/>
      <c r="AW251" s="1095"/>
      <c r="AX251" s="585" t="s">
        <v>255</v>
      </c>
      <c r="AY251" s="380"/>
      <c r="BA251" s="381"/>
    </row>
    <row r="252" spans="1:58" ht="18" x14ac:dyDescent="0.25">
      <c r="M252" s="338"/>
      <c r="AA252" s="394"/>
      <c r="AI252" s="1105" t="s">
        <v>835</v>
      </c>
      <c r="AJ252" s="1106"/>
      <c r="AK252" s="1106"/>
      <c r="AL252" s="1106"/>
      <c r="AM252" s="1106"/>
      <c r="AN252" s="730" t="s">
        <v>836</v>
      </c>
      <c r="AO252" s="562">
        <f t="shared" si="30"/>
        <v>0</v>
      </c>
      <c r="AP252" s="696"/>
      <c r="AQ252" s="378"/>
      <c r="AR252" s="1145" t="s">
        <v>837</v>
      </c>
      <c r="AS252" s="1146"/>
      <c r="AT252" s="1146"/>
      <c r="AU252" s="1146"/>
      <c r="AV252" s="1146"/>
      <c r="AW252" s="731" t="s">
        <v>838</v>
      </c>
      <c r="AX252" s="562">
        <f t="shared" ref="AX252:AX289" si="51">COUNTIF($A$1:$GO$128,AW252)</f>
        <v>0</v>
      </c>
      <c r="AY252" s="732"/>
      <c r="BA252" s="381"/>
      <c r="BC252" s="709"/>
      <c r="BD252" s="709"/>
      <c r="BE252" s="709"/>
      <c r="BF252" s="709"/>
    </row>
    <row r="253" spans="1:58" ht="18" x14ac:dyDescent="0.25">
      <c r="M253" s="338"/>
      <c r="AA253" s="394"/>
      <c r="AI253" s="1105" t="s">
        <v>839</v>
      </c>
      <c r="AJ253" s="1106"/>
      <c r="AK253" s="1106"/>
      <c r="AL253" s="1106"/>
      <c r="AM253" s="1106"/>
      <c r="AN253" s="733" t="s">
        <v>840</v>
      </c>
      <c r="AO253" s="562">
        <f t="shared" si="30"/>
        <v>0</v>
      </c>
      <c r="AP253" s="696"/>
      <c r="AQ253" s="378"/>
      <c r="AR253" s="1145" t="s">
        <v>841</v>
      </c>
      <c r="AS253" s="1146"/>
      <c r="AT253" s="1146"/>
      <c r="AU253" s="1146"/>
      <c r="AV253" s="1146"/>
      <c r="AW253" s="154" t="s">
        <v>842</v>
      </c>
      <c r="AX253" s="562">
        <f t="shared" si="51"/>
        <v>0</v>
      </c>
      <c r="AY253" s="732"/>
      <c r="BA253" s="381"/>
      <c r="BC253" s="709"/>
      <c r="BD253" s="709"/>
      <c r="BE253" s="709"/>
      <c r="BF253" s="709"/>
    </row>
    <row r="254" spans="1:58" ht="18.75" x14ac:dyDescent="0.25">
      <c r="A254" s="1163" t="s">
        <v>843</v>
      </c>
      <c r="B254" s="1164"/>
      <c r="C254" s="1164"/>
      <c r="D254" s="1164"/>
      <c r="E254" s="1164"/>
      <c r="F254" s="515"/>
      <c r="G254" s="1165">
        <f>G221+G178+G202+G251+G244+G236+G229+G198</f>
        <v>59</v>
      </c>
      <c r="H254" s="1165"/>
      <c r="I254" s="1165"/>
      <c r="J254" s="734">
        <f>J221+J178+J202+J251+J244+J236+J229+J198</f>
        <v>0</v>
      </c>
      <c r="K254" s="514">
        <f>K221+K178+K202+K251+K244+K236+K229+K198</f>
        <v>0</v>
      </c>
      <c r="L254" s="426">
        <f>L221+L178+L202+L251+L244+L236+L229+L198</f>
        <v>59</v>
      </c>
      <c r="M254" s="394"/>
      <c r="N254" s="1163" t="s">
        <v>843</v>
      </c>
      <c r="O254" s="1164"/>
      <c r="P254" s="1164"/>
      <c r="Q254" s="1164"/>
      <c r="R254" s="1164"/>
      <c r="S254" s="515"/>
      <c r="T254" s="1165">
        <f>T221+T178+T202+T251+T244+T236+T229+T198</f>
        <v>17</v>
      </c>
      <c r="U254" s="1165"/>
      <c r="V254" s="1165"/>
      <c r="W254" s="734">
        <f>W221+W178+W202+W251+W244+W236+W229+W198</f>
        <v>0</v>
      </c>
      <c r="X254" s="514">
        <f>X221+X178+X202+X251+X244+X236+X229+X198</f>
        <v>0</v>
      </c>
      <c r="Y254" s="426">
        <f>Y221+Y178+Y202+Y251+Y244+Y236+Y229+Y198</f>
        <v>17</v>
      </c>
      <c r="Z254" s="427">
        <f>T254+G254</f>
        <v>76</v>
      </c>
      <c r="AA254" s="394"/>
      <c r="AI254" s="1105" t="s">
        <v>844</v>
      </c>
      <c r="AJ254" s="1106"/>
      <c r="AK254" s="1106"/>
      <c r="AL254" s="1106"/>
      <c r="AM254" s="1106"/>
      <c r="AN254" s="735" t="s">
        <v>845</v>
      </c>
      <c r="AO254" s="562">
        <f t="shared" si="30"/>
        <v>0</v>
      </c>
      <c r="AP254" s="696"/>
      <c r="AQ254" s="378"/>
      <c r="AR254" s="1145" t="s">
        <v>846</v>
      </c>
      <c r="AS254" s="1146"/>
      <c r="AT254" s="1146"/>
      <c r="AU254" s="1146"/>
      <c r="AV254" s="1146"/>
      <c r="AW254" s="736" t="s">
        <v>847</v>
      </c>
      <c r="AX254" s="562">
        <f t="shared" si="51"/>
        <v>0</v>
      </c>
      <c r="AY254" s="732"/>
      <c r="BA254" s="381"/>
      <c r="BB254" s="737"/>
      <c r="BC254" s="717"/>
      <c r="BD254" s="717"/>
      <c r="BE254" s="717"/>
      <c r="BF254" s="717"/>
    </row>
    <row r="255" spans="1:58" ht="16.5" x14ac:dyDescent="0.25">
      <c r="M255" s="338"/>
      <c r="AA255" s="394"/>
      <c r="AI255" s="1105" t="s">
        <v>848</v>
      </c>
      <c r="AJ255" s="1106"/>
      <c r="AK255" s="1106"/>
      <c r="AL255" s="1106"/>
      <c r="AM255" s="1106"/>
      <c r="AN255" s="136" t="s">
        <v>848</v>
      </c>
      <c r="AO255" s="562">
        <f t="shared" si="30"/>
        <v>0</v>
      </c>
      <c r="AP255" s="696"/>
      <c r="AQ255" s="378"/>
      <c r="AR255" s="1145" t="s">
        <v>849</v>
      </c>
      <c r="AS255" s="1146"/>
      <c r="AT255" s="1146"/>
      <c r="AU255" s="1146"/>
      <c r="AV255" s="1146"/>
      <c r="AW255" s="738" t="s">
        <v>850</v>
      </c>
      <c r="AX255" s="562">
        <f t="shared" si="51"/>
        <v>0</v>
      </c>
      <c r="AY255" s="732"/>
      <c r="BA255" s="381"/>
      <c r="BB255" s="8"/>
    </row>
    <row r="256" spans="1:58" ht="18" x14ac:dyDescent="0.25">
      <c r="M256" s="338"/>
      <c r="AA256" s="394"/>
      <c r="AI256" s="1105" t="s">
        <v>851</v>
      </c>
      <c r="AJ256" s="1106"/>
      <c r="AK256" s="1106"/>
      <c r="AL256" s="1106"/>
      <c r="AM256" s="1106"/>
      <c r="AN256" s="739" t="s">
        <v>852</v>
      </c>
      <c r="AO256" s="562">
        <f t="shared" si="30"/>
        <v>0</v>
      </c>
      <c r="AP256" s="696"/>
      <c r="AQ256" s="378"/>
      <c r="AR256" s="1145" t="s">
        <v>853</v>
      </c>
      <c r="AS256" s="1146"/>
      <c r="AT256" s="1146"/>
      <c r="AU256" s="1146"/>
      <c r="AV256" s="1146"/>
      <c r="AW256" s="740" t="s">
        <v>854</v>
      </c>
      <c r="AX256" s="562">
        <f t="shared" si="51"/>
        <v>0</v>
      </c>
      <c r="AY256" s="732"/>
      <c r="BA256" s="381"/>
      <c r="BB256" s="737"/>
      <c r="BC256" s="709"/>
      <c r="BD256" s="709"/>
      <c r="BE256" s="709"/>
      <c r="BF256" s="709"/>
    </row>
    <row r="257" spans="1:58" ht="18" x14ac:dyDescent="0.25">
      <c r="M257" s="338"/>
      <c r="AA257" s="394"/>
      <c r="AI257" s="1105" t="s">
        <v>855</v>
      </c>
      <c r="AJ257" s="1106"/>
      <c r="AK257" s="1106"/>
      <c r="AL257" s="1106"/>
      <c r="AM257" s="1106"/>
      <c r="AN257" s="741" t="s">
        <v>856</v>
      </c>
      <c r="AO257" s="562">
        <f t="shared" si="30"/>
        <v>0</v>
      </c>
      <c r="AP257" s="696"/>
      <c r="AQ257" s="378"/>
      <c r="AR257" s="1145" t="s">
        <v>857</v>
      </c>
      <c r="AS257" s="1146"/>
      <c r="AT257" s="1146"/>
      <c r="AU257" s="1146"/>
      <c r="AV257" s="1146"/>
      <c r="AW257" s="742" t="s">
        <v>858</v>
      </c>
      <c r="AX257" s="562">
        <f t="shared" si="51"/>
        <v>0</v>
      </c>
      <c r="AY257" s="732"/>
      <c r="BA257" s="381"/>
      <c r="BB257" s="737"/>
      <c r="BC257" s="711"/>
      <c r="BD257" s="711"/>
      <c r="BE257" s="711"/>
      <c r="BF257" s="711"/>
    </row>
    <row r="258" spans="1:58" ht="18" x14ac:dyDescent="0.25">
      <c r="A258" s="1162" t="s">
        <v>859</v>
      </c>
      <c r="B258" s="1162"/>
      <c r="C258" s="1162"/>
      <c r="D258" s="1162"/>
      <c r="E258" s="1162"/>
      <c r="F258" s="1162"/>
      <c r="G258" s="1162"/>
      <c r="H258" s="1162"/>
      <c r="I258" s="1162"/>
      <c r="J258" s="1162"/>
      <c r="K258" s="1162"/>
      <c r="L258" s="1162"/>
      <c r="M258" s="1162"/>
      <c r="N258" s="1162"/>
      <c r="O258" s="1162"/>
      <c r="P258" s="1162"/>
      <c r="Q258" s="1162"/>
      <c r="R258" s="1162"/>
      <c r="S258" s="1162"/>
      <c r="T258" s="1162"/>
      <c r="U258" s="1162"/>
      <c r="V258" s="1162"/>
      <c r="W258" s="1162"/>
      <c r="X258" s="1162"/>
      <c r="Y258" s="1162"/>
      <c r="Z258" s="1162"/>
      <c r="AA258" s="394" t="b">
        <f>IFERROR(#REF!&gt;0.5,FALSE)</f>
        <v>0</v>
      </c>
      <c r="AI258" s="1105" t="s">
        <v>860</v>
      </c>
      <c r="AJ258" s="1106"/>
      <c r="AK258" s="1106"/>
      <c r="AL258" s="1106"/>
      <c r="AM258" s="1106"/>
      <c r="AN258" s="743" t="s">
        <v>861</v>
      </c>
      <c r="AO258" s="562">
        <f t="shared" si="30"/>
        <v>0</v>
      </c>
      <c r="AP258" s="696"/>
      <c r="AQ258" s="378"/>
      <c r="AR258" s="1145" t="s">
        <v>862</v>
      </c>
      <c r="AS258" s="1146"/>
      <c r="AT258" s="1146"/>
      <c r="AU258" s="1146"/>
      <c r="AV258" s="1146"/>
      <c r="AW258" s="742" t="s">
        <v>863</v>
      </c>
      <c r="AX258" s="562">
        <f t="shared" si="51"/>
        <v>0</v>
      </c>
      <c r="AY258" s="732"/>
      <c r="BA258" s="381"/>
      <c r="BC258" s="709"/>
      <c r="BD258" s="709"/>
      <c r="BE258" s="709"/>
      <c r="BF258" s="709"/>
    </row>
    <row r="259" spans="1:58" ht="18" x14ac:dyDescent="0.25">
      <c r="A259" s="1162"/>
      <c r="B259" s="1162"/>
      <c r="C259" s="1162"/>
      <c r="D259" s="1162"/>
      <c r="E259" s="1162"/>
      <c r="F259" s="1162"/>
      <c r="G259" s="1162"/>
      <c r="H259" s="1162"/>
      <c r="I259" s="1162"/>
      <c r="J259" s="1162"/>
      <c r="K259" s="1162"/>
      <c r="L259" s="1162"/>
      <c r="M259" s="1162"/>
      <c r="N259" s="1162"/>
      <c r="O259" s="1162"/>
      <c r="P259" s="1162"/>
      <c r="Q259" s="1162"/>
      <c r="R259" s="1162"/>
      <c r="S259" s="1162"/>
      <c r="T259" s="1162"/>
      <c r="U259" s="1162"/>
      <c r="V259" s="1162"/>
      <c r="W259" s="1162"/>
      <c r="X259" s="1162"/>
      <c r="Y259" s="1162"/>
      <c r="Z259" s="1162"/>
      <c r="AA259" s="394" t="b">
        <f>IFERROR(#REF!&gt;0.5,FALSE)</f>
        <v>0</v>
      </c>
      <c r="AI259" s="1105" t="s">
        <v>864</v>
      </c>
      <c r="AJ259" s="1106"/>
      <c r="AK259" s="1106"/>
      <c r="AL259" s="1106"/>
      <c r="AM259" s="1106"/>
      <c r="AN259" s="744" t="s">
        <v>865</v>
      </c>
      <c r="AO259" s="562">
        <f t="shared" si="30"/>
        <v>0</v>
      </c>
      <c r="AP259" s="696"/>
      <c r="AQ259" s="378"/>
      <c r="AR259" s="1145" t="s">
        <v>866</v>
      </c>
      <c r="AS259" s="1146"/>
      <c r="AT259" s="1146"/>
      <c r="AU259" s="1146"/>
      <c r="AV259" s="1146"/>
      <c r="AW259" s="742" t="s">
        <v>867</v>
      </c>
      <c r="AX259" s="562">
        <f t="shared" si="51"/>
        <v>0</v>
      </c>
      <c r="AY259" s="732"/>
      <c r="BA259" s="381"/>
      <c r="BB259" s="737"/>
      <c r="BC259" s="717"/>
      <c r="BD259" s="717"/>
      <c r="BE259" s="717"/>
      <c r="BF259" s="717"/>
    </row>
    <row r="260" spans="1:58" ht="17.25" thickBot="1" x14ac:dyDescent="0.3">
      <c r="AA260" s="394"/>
      <c r="AI260" s="1084" t="s">
        <v>868</v>
      </c>
      <c r="AJ260" s="1085"/>
      <c r="AK260" s="1085"/>
      <c r="AL260" s="1085"/>
      <c r="AM260" s="1086"/>
      <c r="AN260" s="578"/>
      <c r="AO260" s="579">
        <f>SUM(AO231:AO259)</f>
        <v>0</v>
      </c>
      <c r="AP260" s="378"/>
      <c r="AQ260" s="378"/>
      <c r="AR260" s="1145" t="s">
        <v>869</v>
      </c>
      <c r="AS260" s="1146"/>
      <c r="AT260" s="1146"/>
      <c r="AU260" s="1146"/>
      <c r="AV260" s="1146"/>
      <c r="AW260" s="745" t="s">
        <v>870</v>
      </c>
      <c r="AX260" s="562">
        <f t="shared" si="51"/>
        <v>0</v>
      </c>
      <c r="AY260" s="732"/>
      <c r="BA260" s="381"/>
      <c r="BB260" s="8"/>
    </row>
    <row r="261" spans="1:58" ht="27.75" thickBot="1" x14ac:dyDescent="0.3">
      <c r="A261" s="1154" t="s">
        <v>871</v>
      </c>
      <c r="B261" s="1155"/>
      <c r="C261" s="1155"/>
      <c r="D261" s="1155"/>
      <c r="E261" s="1155"/>
      <c r="F261" s="1155"/>
      <c r="G261" s="1156"/>
      <c r="H261" s="746">
        <f>F263+S263</f>
        <v>3</v>
      </c>
      <c r="AA261" s="394"/>
      <c r="AI261" s="747"/>
      <c r="AJ261" s="378"/>
      <c r="AK261" s="378"/>
      <c r="AL261" s="378"/>
      <c r="AM261" s="378"/>
      <c r="AN261" s="378"/>
      <c r="AO261" s="378"/>
      <c r="AP261" s="378"/>
      <c r="AQ261" s="378"/>
      <c r="AR261" s="1145" t="s">
        <v>872</v>
      </c>
      <c r="AS261" s="1146"/>
      <c r="AT261" s="1146"/>
      <c r="AU261" s="1146"/>
      <c r="AV261" s="1146"/>
      <c r="AW261" s="153" t="s">
        <v>873</v>
      </c>
      <c r="AX261" s="562">
        <f t="shared" si="51"/>
        <v>0</v>
      </c>
      <c r="AY261" s="732"/>
      <c r="BA261" s="381"/>
      <c r="BB261" s="737"/>
      <c r="BC261" s="709"/>
      <c r="BD261" s="709"/>
      <c r="BE261" s="709"/>
      <c r="BF261" s="709"/>
    </row>
    <row r="262" spans="1:58" ht="18.75" thickBot="1" x14ac:dyDescent="0.3">
      <c r="AA262" s="394"/>
      <c r="AI262" s="747"/>
      <c r="AJ262" s="378"/>
      <c r="AK262" s="378"/>
      <c r="AL262" s="378"/>
      <c r="AM262" s="378"/>
      <c r="AN262" s="378"/>
      <c r="AO262" s="378"/>
      <c r="AQ262" s="378"/>
      <c r="AR262" s="1145" t="s">
        <v>874</v>
      </c>
      <c r="AS262" s="1146"/>
      <c r="AT262" s="1146"/>
      <c r="AU262" s="1146"/>
      <c r="AV262" s="1146"/>
      <c r="AW262" s="748" t="s">
        <v>875</v>
      </c>
      <c r="AX262" s="562">
        <f t="shared" si="51"/>
        <v>0</v>
      </c>
      <c r="AY262" s="749"/>
      <c r="BA262" s="381"/>
      <c r="BB262" s="737"/>
      <c r="BC262" s="711"/>
      <c r="BD262" s="711"/>
      <c r="BE262" s="711"/>
      <c r="BF262" s="711"/>
    </row>
    <row r="263" spans="1:58" ht="24" thickBot="1" x14ac:dyDescent="0.4">
      <c r="A263" s="1157" t="s">
        <v>876</v>
      </c>
      <c r="B263" s="1158"/>
      <c r="C263" s="1158"/>
      <c r="D263" s="1158"/>
      <c r="E263" s="1159"/>
      <c r="F263" s="1160">
        <f>SUM(G272,G287,G295,G299,G303)</f>
        <v>2</v>
      </c>
      <c r="G263" s="1161"/>
      <c r="N263" s="1157" t="s">
        <v>843</v>
      </c>
      <c r="O263" s="1158"/>
      <c r="P263" s="1158"/>
      <c r="Q263" s="1158"/>
      <c r="R263" s="1159"/>
      <c r="S263" s="1160">
        <f>SUM(T272,T287,T295,T299,T303)</f>
        <v>1</v>
      </c>
      <c r="T263" s="1161"/>
      <c r="AA263" s="394"/>
      <c r="AI263" s="1109" t="s">
        <v>327</v>
      </c>
      <c r="AJ263" s="1099"/>
      <c r="AK263" s="1099"/>
      <c r="AL263" s="1099"/>
      <c r="AM263" s="1099"/>
      <c r="AN263" s="1100"/>
      <c r="AO263" s="585" t="s">
        <v>255</v>
      </c>
      <c r="AP263" s="380"/>
      <c r="AQ263" s="378"/>
      <c r="AR263" s="1145" t="s">
        <v>877</v>
      </c>
      <c r="AS263" s="1146"/>
      <c r="AT263" s="1146"/>
      <c r="AU263" s="1146"/>
      <c r="AV263" s="1146"/>
      <c r="AW263" s="750" t="s">
        <v>878</v>
      </c>
      <c r="AX263" s="562">
        <f t="shared" si="51"/>
        <v>0</v>
      </c>
      <c r="AY263" s="749"/>
      <c r="BA263" s="381"/>
      <c r="BC263" s="709"/>
      <c r="BD263" s="709"/>
      <c r="BE263" s="709"/>
      <c r="BF263" s="709"/>
    </row>
    <row r="264" spans="1:58" ht="21.75" thickBot="1" x14ac:dyDescent="0.4">
      <c r="A264" s="751"/>
      <c r="B264" s="752"/>
      <c r="C264" s="752"/>
      <c r="D264" s="752"/>
      <c r="E264" s="753"/>
      <c r="F264" s="753"/>
      <c r="G264" s="753"/>
      <c r="Q264" s="753"/>
      <c r="AA264" s="394"/>
      <c r="AI264" s="1105" t="s">
        <v>879</v>
      </c>
      <c r="AJ264" s="1106"/>
      <c r="AK264" s="1106"/>
      <c r="AL264" s="1106"/>
      <c r="AM264" s="1107"/>
      <c r="AN264" s="754" t="s">
        <v>880</v>
      </c>
      <c r="AO264" s="562">
        <f>COUNTIF($A$1:$GO$128,AN264)</f>
        <v>0</v>
      </c>
      <c r="AP264" s="755"/>
      <c r="AQ264" s="378"/>
      <c r="AR264" s="1151" t="s">
        <v>881</v>
      </c>
      <c r="AS264" s="1152"/>
      <c r="AT264" s="1152"/>
      <c r="AU264" s="1152"/>
      <c r="AV264" s="1152"/>
      <c r="AW264" s="756" t="s">
        <v>882</v>
      </c>
      <c r="AX264" s="562">
        <f t="shared" si="51"/>
        <v>0</v>
      </c>
      <c r="AY264" s="749"/>
      <c r="BA264" s="381"/>
      <c r="BC264" s="717"/>
      <c r="BD264" s="717"/>
      <c r="BE264" s="717"/>
      <c r="BF264" s="717"/>
    </row>
    <row r="265" spans="1:58" ht="18.75" thickBot="1" x14ac:dyDescent="0.3">
      <c r="A265" s="1121" t="s">
        <v>883</v>
      </c>
      <c r="B265" s="1122"/>
      <c r="C265" s="1122"/>
      <c r="D265" s="1122"/>
      <c r="E265" s="1123"/>
      <c r="G265" s="1153"/>
      <c r="H265" s="1153"/>
      <c r="I265" s="1153"/>
      <c r="N265" s="1121" t="s">
        <v>883</v>
      </c>
      <c r="O265" s="1122"/>
      <c r="P265" s="1122"/>
      <c r="Q265" s="1122"/>
      <c r="R265" s="1123"/>
      <c r="T265" s="1153"/>
      <c r="U265" s="1153"/>
      <c r="V265" s="1153"/>
      <c r="AA265" s="394"/>
      <c r="AI265" s="1105" t="s">
        <v>884</v>
      </c>
      <c r="AJ265" s="1106"/>
      <c r="AK265" s="1106"/>
      <c r="AL265" s="1106"/>
      <c r="AM265" s="1107"/>
      <c r="AN265" s="757" t="s">
        <v>885</v>
      </c>
      <c r="AO265" s="562">
        <f>COUNTIF($A$1:$GO$128,AN265)</f>
        <v>0</v>
      </c>
      <c r="AP265" s="755"/>
      <c r="AQ265" s="378"/>
      <c r="AR265" s="1145" t="s">
        <v>886</v>
      </c>
      <c r="AS265" s="1146"/>
      <c r="AT265" s="1146"/>
      <c r="AU265" s="1146"/>
      <c r="AV265" s="1146"/>
      <c r="AW265" s="682" t="s">
        <v>887</v>
      </c>
      <c r="AX265" s="562">
        <f t="shared" si="51"/>
        <v>0</v>
      </c>
      <c r="AY265" s="749"/>
      <c r="BA265" s="381"/>
      <c r="BB265" s="737"/>
    </row>
    <row r="266" spans="1:58" ht="18.75" x14ac:dyDescent="0.25">
      <c r="A266" s="1148" t="s">
        <v>888</v>
      </c>
      <c r="B266" s="1148"/>
      <c r="C266" s="1148"/>
      <c r="D266" s="1148"/>
      <c r="E266" s="1148"/>
      <c r="F266" s="127" t="s">
        <v>889</v>
      </c>
      <c r="G266" s="1111">
        <f t="shared" ref="G266:G271" si="52">COUNTIF($A$1:$BK$73,F266)</f>
        <v>0</v>
      </c>
      <c r="H266" s="1112"/>
      <c r="I266" s="1113"/>
      <c r="N266" s="1148" t="s">
        <v>888</v>
      </c>
      <c r="O266" s="1148"/>
      <c r="P266" s="1148"/>
      <c r="Q266" s="1148"/>
      <c r="R266" s="1148"/>
      <c r="S266" s="127" t="s">
        <v>889</v>
      </c>
      <c r="T266" s="1114">
        <f t="shared" ref="T266:T271" si="53">COUNTIF($BL$1:$CN$58,S266)</f>
        <v>0</v>
      </c>
      <c r="U266" s="1114"/>
      <c r="V266" s="1114"/>
      <c r="AA266" s="394" t="b">
        <f>IFERROR(#REF!&gt;0.5,FALSE)</f>
        <v>0</v>
      </c>
      <c r="AI266" s="1084" t="s">
        <v>890</v>
      </c>
      <c r="AJ266" s="1085"/>
      <c r="AK266" s="1085"/>
      <c r="AL266" s="1085"/>
      <c r="AM266" s="1086"/>
      <c r="AN266" s="578"/>
      <c r="AO266" s="579">
        <f>SUM(AO264:AO265)</f>
        <v>0</v>
      </c>
      <c r="AP266" s="378"/>
      <c r="AQ266" s="378"/>
      <c r="AR266" s="1145" t="s">
        <v>891</v>
      </c>
      <c r="AS266" s="1146"/>
      <c r="AT266" s="1146"/>
      <c r="AU266" s="1146"/>
      <c r="AV266" s="1146"/>
      <c r="AW266" s="758" t="s">
        <v>892</v>
      </c>
      <c r="AX266" s="562">
        <f t="shared" si="51"/>
        <v>0</v>
      </c>
      <c r="AY266" s="749"/>
      <c r="BA266" s="381"/>
      <c r="BB266" s="8"/>
      <c r="BC266" s="709"/>
      <c r="BD266" s="709"/>
      <c r="BE266" s="709"/>
      <c r="BF266" s="709"/>
    </row>
    <row r="267" spans="1:58" ht="18.75" x14ac:dyDescent="0.25">
      <c r="A267" s="1110" t="s">
        <v>893</v>
      </c>
      <c r="B267" s="1110"/>
      <c r="C267" s="1110"/>
      <c r="D267" s="1110"/>
      <c r="E267" s="1110"/>
      <c r="F267" s="127" t="s">
        <v>894</v>
      </c>
      <c r="G267" s="1111">
        <f t="shared" si="52"/>
        <v>0</v>
      </c>
      <c r="H267" s="1112"/>
      <c r="I267" s="1113"/>
      <c r="N267" s="1110" t="s">
        <v>893</v>
      </c>
      <c r="O267" s="1110"/>
      <c r="P267" s="1110"/>
      <c r="Q267" s="1110"/>
      <c r="R267" s="1110"/>
      <c r="S267" s="127" t="s">
        <v>894</v>
      </c>
      <c r="T267" s="1114">
        <f t="shared" si="53"/>
        <v>0</v>
      </c>
      <c r="U267" s="1114"/>
      <c r="V267" s="1114"/>
      <c r="AA267" s="394" t="b">
        <f>IFERROR(#REF!&gt;0.5,FALSE)</f>
        <v>0</v>
      </c>
      <c r="AI267" s="747"/>
      <c r="AJ267" s="378"/>
      <c r="AK267" s="378"/>
      <c r="AL267" s="378"/>
      <c r="AM267" s="378"/>
      <c r="AN267" s="378"/>
      <c r="AO267" s="378"/>
      <c r="AP267" s="378"/>
      <c r="AQ267" s="378"/>
      <c r="AR267" s="1145" t="s">
        <v>895</v>
      </c>
      <c r="AS267" s="1146"/>
      <c r="AT267" s="1146"/>
      <c r="AU267" s="1146"/>
      <c r="AV267" s="1146"/>
      <c r="AW267" s="759" t="s">
        <v>896</v>
      </c>
      <c r="AX267" s="562">
        <f t="shared" si="51"/>
        <v>0</v>
      </c>
      <c r="AY267" s="749"/>
      <c r="BA267" s="381"/>
      <c r="BB267" s="737"/>
      <c r="BC267" s="711"/>
      <c r="BD267" s="711"/>
      <c r="BE267" s="711"/>
      <c r="BF267" s="711"/>
    </row>
    <row r="268" spans="1:58" ht="18.75" x14ac:dyDescent="0.25">
      <c r="A268" s="1110" t="s">
        <v>897</v>
      </c>
      <c r="B268" s="1110"/>
      <c r="C268" s="1110"/>
      <c r="D268" s="1110"/>
      <c r="E268" s="1110"/>
      <c r="F268" s="127" t="s">
        <v>898</v>
      </c>
      <c r="G268" s="1111">
        <f t="shared" si="52"/>
        <v>0</v>
      </c>
      <c r="H268" s="1112"/>
      <c r="I268" s="1113"/>
      <c r="N268" s="1110" t="s">
        <v>897</v>
      </c>
      <c r="O268" s="1110"/>
      <c r="P268" s="1110"/>
      <c r="Q268" s="1110"/>
      <c r="R268" s="1110"/>
      <c r="S268" s="127" t="s">
        <v>898</v>
      </c>
      <c r="T268" s="1114">
        <f t="shared" si="53"/>
        <v>0</v>
      </c>
      <c r="U268" s="1114"/>
      <c r="V268" s="1114"/>
      <c r="AA268" s="394"/>
      <c r="AI268" s="747"/>
      <c r="AJ268" s="378"/>
      <c r="AK268" s="378"/>
      <c r="AL268" s="378"/>
      <c r="AM268" s="378"/>
      <c r="AN268" s="378"/>
      <c r="AO268" s="378"/>
      <c r="AP268" s="378"/>
      <c r="AQ268" s="378"/>
      <c r="AR268" s="1145" t="s">
        <v>899</v>
      </c>
      <c r="AS268" s="1146"/>
      <c r="AT268" s="1146"/>
      <c r="AU268" s="1146"/>
      <c r="AV268" s="1146"/>
      <c r="AW268" s="136" t="s">
        <v>900</v>
      </c>
      <c r="AX268" s="562">
        <f t="shared" si="51"/>
        <v>0</v>
      </c>
      <c r="AY268" s="749"/>
      <c r="BA268" s="381"/>
      <c r="BC268" s="709"/>
      <c r="BD268" s="709"/>
      <c r="BE268" s="709"/>
      <c r="BF268" s="709"/>
    </row>
    <row r="269" spans="1:58" ht="18.75" x14ac:dyDescent="0.25">
      <c r="A269" s="1110" t="s">
        <v>901</v>
      </c>
      <c r="B269" s="1110"/>
      <c r="C269" s="1110"/>
      <c r="D269" s="1110"/>
      <c r="E269" s="1110"/>
      <c r="F269" s="127" t="s">
        <v>902</v>
      </c>
      <c r="G269" s="1111">
        <f t="shared" si="52"/>
        <v>0</v>
      </c>
      <c r="H269" s="1112"/>
      <c r="I269" s="1113"/>
      <c r="N269" s="1110" t="s">
        <v>901</v>
      </c>
      <c r="O269" s="1110"/>
      <c r="P269" s="1110"/>
      <c r="Q269" s="1110"/>
      <c r="R269" s="1110"/>
      <c r="S269" s="127" t="s">
        <v>902</v>
      </c>
      <c r="T269" s="1114">
        <f t="shared" si="53"/>
        <v>0</v>
      </c>
      <c r="U269" s="1114"/>
      <c r="V269" s="1114"/>
      <c r="AA269" s="394"/>
      <c r="AI269" s="1093" t="s">
        <v>903</v>
      </c>
      <c r="AJ269" s="1094"/>
      <c r="AK269" s="1094"/>
      <c r="AL269" s="1094"/>
      <c r="AM269" s="1094"/>
      <c r="AN269" s="1095"/>
      <c r="AO269" s="585" t="s">
        <v>255</v>
      </c>
      <c r="AP269" s="380"/>
      <c r="AR269" s="1145" t="s">
        <v>904</v>
      </c>
      <c r="AS269" s="1146"/>
      <c r="AT269" s="1146"/>
      <c r="AU269" s="1146"/>
      <c r="AV269" s="1146"/>
      <c r="AW269" s="132" t="s">
        <v>905</v>
      </c>
      <c r="AX269" s="562">
        <f t="shared" si="51"/>
        <v>0</v>
      </c>
      <c r="AY269" s="749"/>
      <c r="BA269" s="381"/>
      <c r="BB269" s="737"/>
      <c r="BC269" s="717"/>
      <c r="BD269" s="717"/>
      <c r="BE269" s="717"/>
      <c r="BF269" s="717"/>
    </row>
    <row r="270" spans="1:58" ht="18.75" x14ac:dyDescent="0.25">
      <c r="A270" s="1110" t="s">
        <v>906</v>
      </c>
      <c r="B270" s="1110"/>
      <c r="C270" s="1110"/>
      <c r="D270" s="1110"/>
      <c r="E270" s="1110"/>
      <c r="F270" s="127" t="s">
        <v>907</v>
      </c>
      <c r="G270" s="1111">
        <f t="shared" si="52"/>
        <v>0</v>
      </c>
      <c r="H270" s="1112"/>
      <c r="I270" s="1113"/>
      <c r="N270" s="1110" t="s">
        <v>906</v>
      </c>
      <c r="O270" s="1110"/>
      <c r="P270" s="1110"/>
      <c r="Q270" s="1110"/>
      <c r="R270" s="1110"/>
      <c r="S270" s="127" t="s">
        <v>907</v>
      </c>
      <c r="T270" s="1114">
        <f t="shared" si="53"/>
        <v>0</v>
      </c>
      <c r="U270" s="1114"/>
      <c r="V270" s="1114"/>
      <c r="AA270" s="394"/>
      <c r="AH270" s="381"/>
      <c r="AI270" s="1087" t="s">
        <v>908</v>
      </c>
      <c r="AJ270" s="1088"/>
      <c r="AK270" s="1088"/>
      <c r="AL270" s="1088"/>
      <c r="AM270" s="1088"/>
      <c r="AN270" s="153" t="s">
        <v>909</v>
      </c>
      <c r="AO270" s="562">
        <f t="shared" ref="AO270:AO276" si="54">COUNTIF($A$1:$GO$128,AN270)</f>
        <v>0</v>
      </c>
      <c r="AP270" s="760"/>
      <c r="AR270" s="1145" t="s">
        <v>910</v>
      </c>
      <c r="AS270" s="1146"/>
      <c r="AT270" s="1146"/>
      <c r="AU270" s="1146"/>
      <c r="AV270" s="1146"/>
      <c r="AW270" s="761" t="s">
        <v>911</v>
      </c>
      <c r="AX270" s="562">
        <f t="shared" si="51"/>
        <v>0</v>
      </c>
      <c r="AY270" s="749"/>
      <c r="BA270" s="381"/>
      <c r="BB270" s="8"/>
    </row>
    <row r="271" spans="1:58" ht="18.75" x14ac:dyDescent="0.25">
      <c r="A271" s="1110" t="s">
        <v>912</v>
      </c>
      <c r="B271" s="1110"/>
      <c r="C271" s="1110"/>
      <c r="D271" s="1110"/>
      <c r="E271" s="1110"/>
      <c r="F271" s="127" t="s">
        <v>913</v>
      </c>
      <c r="G271" s="1111">
        <f t="shared" si="52"/>
        <v>0</v>
      </c>
      <c r="H271" s="1112"/>
      <c r="I271" s="1113"/>
      <c r="N271" s="1110" t="s">
        <v>912</v>
      </c>
      <c r="O271" s="1110"/>
      <c r="P271" s="1110"/>
      <c r="Q271" s="1110"/>
      <c r="R271" s="1110"/>
      <c r="S271" s="127" t="s">
        <v>913</v>
      </c>
      <c r="T271" s="1114">
        <f t="shared" si="53"/>
        <v>0</v>
      </c>
      <c r="U271" s="1114"/>
      <c r="V271" s="1114"/>
      <c r="AA271" s="394" t="b">
        <f>IFERROR(#REF!&gt;0.5,FALSE)</f>
        <v>0</v>
      </c>
      <c r="AH271" s="762"/>
      <c r="AI271" s="1087" t="s">
        <v>914</v>
      </c>
      <c r="AJ271" s="1088"/>
      <c r="AK271" s="1088"/>
      <c r="AL271" s="1088"/>
      <c r="AM271" s="1096"/>
      <c r="AN271" s="754" t="s">
        <v>915</v>
      </c>
      <c r="AO271" s="562">
        <f t="shared" si="54"/>
        <v>0</v>
      </c>
      <c r="AP271" s="763"/>
      <c r="AR271" s="1145" t="s">
        <v>916</v>
      </c>
      <c r="AS271" s="1146"/>
      <c r="AT271" s="1146"/>
      <c r="AU271" s="1146"/>
      <c r="AV271" s="1146"/>
      <c r="AW271" s="764" t="s">
        <v>917</v>
      </c>
      <c r="AX271" s="562">
        <f t="shared" si="51"/>
        <v>0</v>
      </c>
      <c r="AY271" s="749"/>
      <c r="BA271" s="381"/>
      <c r="BB271" s="737"/>
    </row>
    <row r="272" spans="1:58" ht="19.5" thickBot="1" x14ac:dyDescent="0.3">
      <c r="A272" s="1149" t="s">
        <v>255</v>
      </c>
      <c r="B272" s="1150"/>
      <c r="C272" s="1150"/>
      <c r="D272" s="1150"/>
      <c r="E272" s="1150"/>
      <c r="F272" s="765"/>
      <c r="G272" s="1118">
        <f>SUM(G266:I271)</f>
        <v>0</v>
      </c>
      <c r="H272" s="1119"/>
      <c r="I272" s="1120"/>
      <c r="N272" s="1149" t="s">
        <v>255</v>
      </c>
      <c r="O272" s="1150"/>
      <c r="P272" s="1150"/>
      <c r="Q272" s="1150"/>
      <c r="R272" s="1150"/>
      <c r="S272" s="765"/>
      <c r="T272" s="1118">
        <f>SUM(T266:V271)</f>
        <v>0</v>
      </c>
      <c r="U272" s="1119"/>
      <c r="V272" s="1120"/>
      <c r="AA272" s="394"/>
      <c r="AH272" s="762"/>
      <c r="AI272" s="1087" t="s">
        <v>918</v>
      </c>
      <c r="AJ272" s="1088"/>
      <c r="AK272" s="1088"/>
      <c r="AL272" s="1088"/>
      <c r="AM272" s="1096"/>
      <c r="AN272" s="766" t="s">
        <v>919</v>
      </c>
      <c r="AO272" s="562">
        <f t="shared" si="54"/>
        <v>0</v>
      </c>
      <c r="AP272" s="763"/>
      <c r="AR272" s="1145" t="s">
        <v>920</v>
      </c>
      <c r="AS272" s="1146"/>
      <c r="AT272" s="1146"/>
      <c r="AU272" s="1146"/>
      <c r="AV272" s="1146"/>
      <c r="AW272" s="767" t="s">
        <v>921</v>
      </c>
      <c r="AX272" s="562">
        <f t="shared" si="51"/>
        <v>0</v>
      </c>
      <c r="AY272" s="749"/>
      <c r="AZ272" s="378"/>
      <c r="BA272" s="381"/>
      <c r="BB272" s="737"/>
    </row>
    <row r="273" spans="1:54" ht="18.75" thickBot="1" x14ac:dyDescent="0.3">
      <c r="A273" s="1121" t="s">
        <v>922</v>
      </c>
      <c r="B273" s="1122"/>
      <c r="C273" s="1122"/>
      <c r="D273" s="1122"/>
      <c r="E273" s="1123"/>
      <c r="F273" s="768"/>
      <c r="G273" s="768"/>
      <c r="H273" s="768"/>
      <c r="I273" s="768"/>
      <c r="N273" s="1121" t="s">
        <v>922</v>
      </c>
      <c r="O273" s="1122"/>
      <c r="P273" s="1122"/>
      <c r="Q273" s="1122"/>
      <c r="R273" s="1123"/>
      <c r="S273" s="768"/>
      <c r="T273" s="768"/>
      <c r="U273" s="768"/>
      <c r="V273" s="768"/>
      <c r="AA273" s="394"/>
      <c r="AI273" s="1087" t="s">
        <v>923</v>
      </c>
      <c r="AJ273" s="1088"/>
      <c r="AK273" s="1088"/>
      <c r="AL273" s="1088"/>
      <c r="AM273" s="1096"/>
      <c r="AN273" s="769" t="s">
        <v>924</v>
      </c>
      <c r="AO273" s="562">
        <f t="shared" si="54"/>
        <v>0</v>
      </c>
      <c r="AP273" s="763"/>
      <c r="AR273" s="1145" t="s">
        <v>925</v>
      </c>
      <c r="AS273" s="1146"/>
      <c r="AT273" s="1146"/>
      <c r="AU273" s="1146"/>
      <c r="AV273" s="1146"/>
      <c r="AW273" s="770" t="s">
        <v>926</v>
      </c>
      <c r="AX273" s="562">
        <f t="shared" si="51"/>
        <v>0</v>
      </c>
      <c r="AY273" s="749"/>
      <c r="BA273" s="381"/>
    </row>
    <row r="274" spans="1:54" ht="18.75" x14ac:dyDescent="0.25">
      <c r="A274" s="1148" t="s">
        <v>888</v>
      </c>
      <c r="B274" s="1148"/>
      <c r="C274" s="1148"/>
      <c r="D274" s="1148"/>
      <c r="E274" s="1148"/>
      <c r="F274" s="127" t="s">
        <v>927</v>
      </c>
      <c r="G274" s="1111">
        <f t="shared" ref="G274:G286" si="55">COUNTIF($A$1:$BK$73,F274)</f>
        <v>0</v>
      </c>
      <c r="H274" s="1112"/>
      <c r="I274" s="1113"/>
      <c r="N274" s="1148" t="s">
        <v>888</v>
      </c>
      <c r="O274" s="1148"/>
      <c r="P274" s="1148"/>
      <c r="Q274" s="1148"/>
      <c r="R274" s="1148"/>
      <c r="S274" s="127" t="s">
        <v>927</v>
      </c>
      <c r="T274" s="1114">
        <f t="shared" ref="T274:T286" si="56">COUNTIF($BL$1:$CN$58,S274)</f>
        <v>0</v>
      </c>
      <c r="U274" s="1114"/>
      <c r="V274" s="1114"/>
      <c r="AA274" s="394"/>
      <c r="AI274" s="1087" t="s">
        <v>928</v>
      </c>
      <c r="AJ274" s="1088"/>
      <c r="AK274" s="1088"/>
      <c r="AL274" s="1088"/>
      <c r="AM274" s="1096"/>
      <c r="AN274" s="771" t="s">
        <v>929</v>
      </c>
      <c r="AO274" s="562">
        <f t="shared" si="54"/>
        <v>0</v>
      </c>
      <c r="AP274" s="763"/>
      <c r="AR274" s="1145" t="s">
        <v>930</v>
      </c>
      <c r="AS274" s="1146"/>
      <c r="AT274" s="1146"/>
      <c r="AU274" s="1146"/>
      <c r="AV274" s="1146"/>
      <c r="AW274" s="772" t="s">
        <v>931</v>
      </c>
      <c r="AX274" s="562">
        <f t="shared" si="51"/>
        <v>0</v>
      </c>
      <c r="AY274" s="749"/>
      <c r="BA274" s="381"/>
      <c r="BB274" s="737"/>
    </row>
    <row r="275" spans="1:54" ht="18" x14ac:dyDescent="0.25">
      <c r="A275" s="1110" t="s">
        <v>893</v>
      </c>
      <c r="B275" s="1110"/>
      <c r="C275" s="1110"/>
      <c r="D275" s="1110"/>
      <c r="E275" s="1110"/>
      <c r="F275" s="127" t="s">
        <v>932</v>
      </c>
      <c r="G275" s="1111">
        <f t="shared" si="55"/>
        <v>0</v>
      </c>
      <c r="H275" s="1112"/>
      <c r="I275" s="1113"/>
      <c r="N275" s="1110" t="s">
        <v>893</v>
      </c>
      <c r="O275" s="1110"/>
      <c r="P275" s="1110"/>
      <c r="Q275" s="1110"/>
      <c r="R275" s="1110"/>
      <c r="S275" s="127" t="s">
        <v>932</v>
      </c>
      <c r="T275" s="1114">
        <f t="shared" si="56"/>
        <v>0</v>
      </c>
      <c r="U275" s="1114"/>
      <c r="V275" s="1114"/>
      <c r="AA275" s="394"/>
      <c r="AI275" s="1087" t="s">
        <v>933</v>
      </c>
      <c r="AJ275" s="1088"/>
      <c r="AK275" s="1088"/>
      <c r="AL275" s="1088"/>
      <c r="AM275" s="1096"/>
      <c r="AN275" s="773" t="s">
        <v>934</v>
      </c>
      <c r="AO275" s="562">
        <f t="shared" si="54"/>
        <v>0</v>
      </c>
      <c r="AP275" s="763"/>
      <c r="AR275" s="1145" t="s">
        <v>935</v>
      </c>
      <c r="AS275" s="1146"/>
      <c r="AT275" s="1146"/>
      <c r="AU275" s="1146"/>
      <c r="AV275" s="1146"/>
      <c r="AW275" s="774" t="s">
        <v>936</v>
      </c>
      <c r="AX275" s="562">
        <f t="shared" si="51"/>
        <v>0</v>
      </c>
      <c r="AY275" s="749"/>
      <c r="BA275" s="381"/>
      <c r="BB275" s="775"/>
    </row>
    <row r="276" spans="1:54" ht="18.75" x14ac:dyDescent="0.25">
      <c r="A276" s="1110" t="s">
        <v>897</v>
      </c>
      <c r="B276" s="1110"/>
      <c r="C276" s="1110"/>
      <c r="D276" s="1110"/>
      <c r="E276" s="1110"/>
      <c r="F276" s="127" t="s">
        <v>937</v>
      </c>
      <c r="G276" s="1111">
        <f t="shared" si="55"/>
        <v>0</v>
      </c>
      <c r="H276" s="1112"/>
      <c r="I276" s="1113"/>
      <c r="N276" s="1110" t="s">
        <v>897</v>
      </c>
      <c r="O276" s="1110"/>
      <c r="P276" s="1110"/>
      <c r="Q276" s="1110"/>
      <c r="R276" s="1110"/>
      <c r="S276" s="127" t="s">
        <v>937</v>
      </c>
      <c r="T276" s="1114">
        <f t="shared" si="56"/>
        <v>0</v>
      </c>
      <c r="U276" s="1114"/>
      <c r="V276" s="1114"/>
      <c r="AA276" s="394"/>
      <c r="AI276" s="1087" t="s">
        <v>938</v>
      </c>
      <c r="AJ276" s="1088"/>
      <c r="AK276" s="1088"/>
      <c r="AL276" s="1088"/>
      <c r="AM276" s="1096"/>
      <c r="AN276" s="154" t="s">
        <v>939</v>
      </c>
      <c r="AO276" s="562">
        <f t="shared" si="54"/>
        <v>0</v>
      </c>
      <c r="AP276" s="763"/>
      <c r="AR276" s="1145" t="s">
        <v>940</v>
      </c>
      <c r="AS276" s="1146"/>
      <c r="AT276" s="1146"/>
      <c r="AU276" s="1146"/>
      <c r="AV276" s="1146"/>
      <c r="AW276" s="774" t="s">
        <v>941</v>
      </c>
      <c r="AX276" s="562">
        <f t="shared" si="51"/>
        <v>0</v>
      </c>
      <c r="AY276" s="749"/>
      <c r="BA276" s="381"/>
      <c r="BB276" s="737"/>
    </row>
    <row r="277" spans="1:54" ht="18.75" x14ac:dyDescent="0.25">
      <c r="A277" s="1110" t="s">
        <v>942</v>
      </c>
      <c r="B277" s="1110"/>
      <c r="C277" s="1110"/>
      <c r="D277" s="1110"/>
      <c r="E277" s="1110"/>
      <c r="F277" s="127" t="s">
        <v>943</v>
      </c>
      <c r="G277" s="1111">
        <f t="shared" si="55"/>
        <v>0</v>
      </c>
      <c r="H277" s="1112"/>
      <c r="I277" s="1113"/>
      <c r="N277" s="1110" t="s">
        <v>942</v>
      </c>
      <c r="O277" s="1110"/>
      <c r="P277" s="1110"/>
      <c r="Q277" s="1110"/>
      <c r="R277" s="1110"/>
      <c r="S277" s="127" t="s">
        <v>943</v>
      </c>
      <c r="T277" s="1114">
        <f t="shared" si="56"/>
        <v>0</v>
      </c>
      <c r="U277" s="1114"/>
      <c r="V277" s="1114"/>
      <c r="AA277" s="394"/>
      <c r="AI277" s="1084" t="s">
        <v>944</v>
      </c>
      <c r="AJ277" s="1085"/>
      <c r="AK277" s="1085"/>
      <c r="AL277" s="1085"/>
      <c r="AM277" s="1086"/>
      <c r="AN277" s="578"/>
      <c r="AO277" s="579">
        <f>SUM(AO270:AO276)</f>
        <v>0</v>
      </c>
      <c r="AP277" s="378"/>
      <c r="AR277" s="1145" t="s">
        <v>945</v>
      </c>
      <c r="AS277" s="1146"/>
      <c r="AT277" s="1146"/>
      <c r="AU277" s="1146"/>
      <c r="AV277" s="1146"/>
      <c r="AW277" s="774" t="s">
        <v>946</v>
      </c>
      <c r="AX277" s="562">
        <f t="shared" si="51"/>
        <v>0</v>
      </c>
      <c r="AY277" s="749"/>
      <c r="BA277" s="381"/>
      <c r="BB277" s="737"/>
    </row>
    <row r="278" spans="1:54" ht="18" x14ac:dyDescent="0.25">
      <c r="A278" s="1110" t="s">
        <v>901</v>
      </c>
      <c r="B278" s="1110"/>
      <c r="C278" s="1110"/>
      <c r="D278" s="1110"/>
      <c r="E278" s="1110"/>
      <c r="F278" s="127" t="s">
        <v>180</v>
      </c>
      <c r="G278" s="1111">
        <f t="shared" si="55"/>
        <v>2</v>
      </c>
      <c r="H278" s="1112"/>
      <c r="I278" s="1113"/>
      <c r="N278" s="1110" t="s">
        <v>901</v>
      </c>
      <c r="O278" s="1110"/>
      <c r="P278" s="1110"/>
      <c r="Q278" s="1110"/>
      <c r="R278" s="1110"/>
      <c r="S278" s="127" t="s">
        <v>180</v>
      </c>
      <c r="T278" s="1114">
        <f t="shared" si="56"/>
        <v>1</v>
      </c>
      <c r="U278" s="1114"/>
      <c r="V278" s="1114"/>
      <c r="AA278" s="394"/>
      <c r="AI278" s="747"/>
      <c r="AJ278" s="378"/>
      <c r="AK278" s="378"/>
      <c r="AL278" s="378"/>
      <c r="AM278" s="378"/>
      <c r="AN278" s="378"/>
      <c r="AO278" s="378"/>
      <c r="AP278" s="378"/>
      <c r="AR278" s="1145" t="s">
        <v>947</v>
      </c>
      <c r="AS278" s="1146"/>
      <c r="AT278" s="1146"/>
      <c r="AU278" s="1146"/>
      <c r="AV278" s="1146"/>
      <c r="AW278" s="776" t="s">
        <v>948</v>
      </c>
      <c r="AX278" s="562">
        <f t="shared" si="51"/>
        <v>0</v>
      </c>
      <c r="AY278" s="749"/>
      <c r="BA278" s="381"/>
    </row>
    <row r="279" spans="1:54" ht="18" x14ac:dyDescent="0.25">
      <c r="A279" s="1110" t="s">
        <v>949</v>
      </c>
      <c r="B279" s="1110"/>
      <c r="C279" s="1110"/>
      <c r="D279" s="1110"/>
      <c r="E279" s="1110"/>
      <c r="F279" s="127" t="s">
        <v>950</v>
      </c>
      <c r="G279" s="1111">
        <f t="shared" si="55"/>
        <v>0</v>
      </c>
      <c r="H279" s="1112"/>
      <c r="I279" s="1113"/>
      <c r="N279" s="1110" t="s">
        <v>949</v>
      </c>
      <c r="O279" s="1110"/>
      <c r="P279" s="1110"/>
      <c r="Q279" s="1110"/>
      <c r="R279" s="1110"/>
      <c r="S279" s="127" t="s">
        <v>950</v>
      </c>
      <c r="T279" s="1114">
        <f t="shared" si="56"/>
        <v>0</v>
      </c>
      <c r="U279" s="1114"/>
      <c r="V279" s="1114"/>
      <c r="AA279" s="394"/>
      <c r="AI279" s="777"/>
      <c r="AQ279" s="378"/>
      <c r="AR279" s="1145" t="s">
        <v>951</v>
      </c>
      <c r="AS279" s="1146"/>
      <c r="AT279" s="1146"/>
      <c r="AU279" s="1146"/>
      <c r="AV279" s="1146"/>
      <c r="AW279" s="778" t="s">
        <v>952</v>
      </c>
      <c r="AX279" s="562">
        <f t="shared" si="51"/>
        <v>0</v>
      </c>
      <c r="AY279" s="749"/>
      <c r="BA279" s="381"/>
      <c r="BB279" s="737"/>
    </row>
    <row r="280" spans="1:54" ht="18" x14ac:dyDescent="0.25">
      <c r="A280" s="1110" t="s">
        <v>906</v>
      </c>
      <c r="B280" s="1110"/>
      <c r="C280" s="1110"/>
      <c r="D280" s="1110"/>
      <c r="E280" s="1110"/>
      <c r="F280" s="127" t="s">
        <v>953</v>
      </c>
      <c r="G280" s="1111">
        <f t="shared" si="55"/>
        <v>0</v>
      </c>
      <c r="H280" s="1112"/>
      <c r="I280" s="1113"/>
      <c r="N280" s="1110" t="s">
        <v>906</v>
      </c>
      <c r="O280" s="1110"/>
      <c r="P280" s="1110"/>
      <c r="Q280" s="1110"/>
      <c r="R280" s="1110"/>
      <c r="S280" s="127" t="s">
        <v>953</v>
      </c>
      <c r="T280" s="1114">
        <f t="shared" si="56"/>
        <v>0</v>
      </c>
      <c r="U280" s="1114"/>
      <c r="V280" s="1114"/>
      <c r="AA280" s="394"/>
      <c r="AI280" s="1109" t="s">
        <v>346</v>
      </c>
      <c r="AJ280" s="1099"/>
      <c r="AK280" s="1099"/>
      <c r="AL280" s="1099"/>
      <c r="AM280" s="1099"/>
      <c r="AN280" s="1100"/>
      <c r="AO280" s="585" t="s">
        <v>255</v>
      </c>
      <c r="AP280" s="380"/>
      <c r="AQ280" s="779"/>
      <c r="AR280" s="1105" t="s">
        <v>954</v>
      </c>
      <c r="AS280" s="1106"/>
      <c r="AT280" s="1106"/>
      <c r="AU280" s="1106"/>
      <c r="AV280" s="1106"/>
      <c r="AW280" s="780" t="s">
        <v>954</v>
      </c>
      <c r="AX280" s="562">
        <f t="shared" si="51"/>
        <v>0</v>
      </c>
      <c r="AY280" s="749"/>
      <c r="BA280" s="381"/>
      <c r="BB280" s="781"/>
    </row>
    <row r="281" spans="1:54" ht="18" x14ac:dyDescent="0.25">
      <c r="A281" s="1110" t="s">
        <v>912</v>
      </c>
      <c r="B281" s="1110"/>
      <c r="C281" s="1110"/>
      <c r="D281" s="1110"/>
      <c r="E281" s="1110"/>
      <c r="F281" s="127" t="s">
        <v>955</v>
      </c>
      <c r="G281" s="1111">
        <f t="shared" si="55"/>
        <v>0</v>
      </c>
      <c r="H281" s="1112"/>
      <c r="I281" s="1113"/>
      <c r="N281" s="1110" t="s">
        <v>912</v>
      </c>
      <c r="O281" s="1110"/>
      <c r="P281" s="1110"/>
      <c r="Q281" s="1110"/>
      <c r="R281" s="1110"/>
      <c r="S281" s="127" t="s">
        <v>955</v>
      </c>
      <c r="T281" s="1114">
        <f t="shared" si="56"/>
        <v>0</v>
      </c>
      <c r="U281" s="1114"/>
      <c r="V281" s="1114"/>
      <c r="AA281" s="394"/>
      <c r="AI281" s="1127" t="s">
        <v>956</v>
      </c>
      <c r="AJ281" s="1128"/>
      <c r="AK281" s="1128"/>
      <c r="AL281" s="1128"/>
      <c r="AM281" s="1129"/>
      <c r="AN281" s="782" t="s">
        <v>957</v>
      </c>
      <c r="AO281" s="562">
        <f t="shared" ref="AO281:AO296" si="57">COUNTIF($A$1:$GO$128,AN281)</f>
        <v>0</v>
      </c>
      <c r="AP281" s="783"/>
      <c r="AR281" s="1145" t="s">
        <v>958</v>
      </c>
      <c r="AS281" s="1146"/>
      <c r="AT281" s="1146"/>
      <c r="AU281" s="1146"/>
      <c r="AV281" s="1146"/>
      <c r="AW281" s="706" t="s">
        <v>959</v>
      </c>
      <c r="AX281" s="562">
        <f t="shared" si="51"/>
        <v>0</v>
      </c>
      <c r="AY281" s="749"/>
      <c r="BA281" s="381"/>
      <c r="BB281" s="737"/>
    </row>
    <row r="282" spans="1:54" ht="18" x14ac:dyDescent="0.25">
      <c r="A282" s="1110" t="s">
        <v>960</v>
      </c>
      <c r="B282" s="1110"/>
      <c r="C282" s="1110"/>
      <c r="D282" s="1110"/>
      <c r="E282" s="1110"/>
      <c r="F282" s="127" t="s">
        <v>961</v>
      </c>
      <c r="G282" s="1111">
        <f t="shared" si="55"/>
        <v>0</v>
      </c>
      <c r="H282" s="1112"/>
      <c r="I282" s="1113"/>
      <c r="N282" s="1110" t="s">
        <v>960</v>
      </c>
      <c r="O282" s="1110"/>
      <c r="P282" s="1110"/>
      <c r="Q282" s="1110"/>
      <c r="R282" s="1110"/>
      <c r="S282" s="127" t="s">
        <v>961</v>
      </c>
      <c r="T282" s="1114">
        <f t="shared" si="56"/>
        <v>0</v>
      </c>
      <c r="U282" s="1114"/>
      <c r="V282" s="1114"/>
      <c r="AA282" s="394"/>
      <c r="AI282" s="1127" t="s">
        <v>962</v>
      </c>
      <c r="AJ282" s="1128"/>
      <c r="AK282" s="1128"/>
      <c r="AL282" s="1128"/>
      <c r="AM282" s="1129"/>
      <c r="AN282" s="782" t="s">
        <v>962</v>
      </c>
      <c r="AO282" s="562">
        <f t="shared" si="57"/>
        <v>0</v>
      </c>
      <c r="AP282" s="784"/>
      <c r="AR282" s="1145" t="s">
        <v>963</v>
      </c>
      <c r="AS282" s="1146"/>
      <c r="AT282" s="1146"/>
      <c r="AU282" s="1146"/>
      <c r="AV282" s="1146"/>
      <c r="AW282" s="619" t="s">
        <v>964</v>
      </c>
      <c r="AX282" s="562">
        <f t="shared" si="51"/>
        <v>0</v>
      </c>
      <c r="AY282" s="749"/>
      <c r="BA282" s="381"/>
      <c r="BB282" s="737"/>
    </row>
    <row r="283" spans="1:54" ht="18" x14ac:dyDescent="0.25">
      <c r="A283" s="1110" t="s">
        <v>965</v>
      </c>
      <c r="B283" s="1110"/>
      <c r="C283" s="1110"/>
      <c r="D283" s="1110"/>
      <c r="E283" s="1110"/>
      <c r="F283" s="127" t="s">
        <v>966</v>
      </c>
      <c r="G283" s="1111">
        <f t="shared" si="55"/>
        <v>0</v>
      </c>
      <c r="H283" s="1112"/>
      <c r="I283" s="1113"/>
      <c r="N283" s="1110" t="s">
        <v>965</v>
      </c>
      <c r="O283" s="1110"/>
      <c r="P283" s="1110"/>
      <c r="Q283" s="1110"/>
      <c r="R283" s="1110"/>
      <c r="S283" s="127" t="s">
        <v>966</v>
      </c>
      <c r="T283" s="1114">
        <f t="shared" si="56"/>
        <v>0</v>
      </c>
      <c r="U283" s="1114"/>
      <c r="V283" s="1114"/>
      <c r="AA283" s="394"/>
      <c r="AI283" s="1127" t="s">
        <v>967</v>
      </c>
      <c r="AJ283" s="1128"/>
      <c r="AK283" s="1128"/>
      <c r="AL283" s="1128"/>
      <c r="AM283" s="1129"/>
      <c r="AN283" s="782" t="s">
        <v>968</v>
      </c>
      <c r="AO283" s="562">
        <f t="shared" si="57"/>
        <v>0</v>
      </c>
      <c r="AP283" s="784"/>
      <c r="AQ283" s="378"/>
      <c r="AR283" s="1145" t="s">
        <v>969</v>
      </c>
      <c r="AS283" s="1146"/>
      <c r="AT283" s="1146"/>
      <c r="AU283" s="1146"/>
      <c r="AV283" s="1146"/>
      <c r="AW283" s="761" t="s">
        <v>970</v>
      </c>
      <c r="AX283" s="562">
        <f t="shared" si="51"/>
        <v>0</v>
      </c>
      <c r="AY283" s="749"/>
      <c r="BA283" s="381"/>
    </row>
    <row r="284" spans="1:54" ht="18" x14ac:dyDescent="0.25">
      <c r="A284" s="1110" t="s">
        <v>971</v>
      </c>
      <c r="B284" s="1110"/>
      <c r="C284" s="1110"/>
      <c r="D284" s="1110"/>
      <c r="E284" s="1110"/>
      <c r="F284" s="127" t="s">
        <v>972</v>
      </c>
      <c r="G284" s="1111">
        <f t="shared" si="55"/>
        <v>0</v>
      </c>
      <c r="H284" s="1112"/>
      <c r="I284" s="1113"/>
      <c r="N284" s="1110" t="s">
        <v>971</v>
      </c>
      <c r="O284" s="1110"/>
      <c r="P284" s="1110"/>
      <c r="Q284" s="1110"/>
      <c r="R284" s="1110"/>
      <c r="S284" s="127" t="s">
        <v>972</v>
      </c>
      <c r="T284" s="1114">
        <f t="shared" si="56"/>
        <v>0</v>
      </c>
      <c r="U284" s="1114"/>
      <c r="V284" s="1114"/>
      <c r="AA284" s="394"/>
      <c r="AI284" s="1127" t="s">
        <v>973</v>
      </c>
      <c r="AJ284" s="1128"/>
      <c r="AK284" s="1128"/>
      <c r="AL284" s="1128"/>
      <c r="AM284" s="1129"/>
      <c r="AN284" s="782" t="s">
        <v>974</v>
      </c>
      <c r="AO284" s="562">
        <f t="shared" si="57"/>
        <v>0</v>
      </c>
      <c r="AP284" s="784"/>
      <c r="AQ284" s="378"/>
      <c r="AR284" s="1145" t="s">
        <v>975</v>
      </c>
      <c r="AS284" s="1146"/>
      <c r="AT284" s="1146"/>
      <c r="AU284" s="1146"/>
      <c r="AV284" s="1146"/>
      <c r="AW284" s="785" t="s">
        <v>976</v>
      </c>
      <c r="AX284" s="562">
        <f t="shared" si="51"/>
        <v>0</v>
      </c>
      <c r="AY284" s="749"/>
      <c r="BA284" s="381"/>
      <c r="BB284" s="737"/>
    </row>
    <row r="285" spans="1:54" ht="18.75" x14ac:dyDescent="0.25">
      <c r="A285" s="1110" t="s">
        <v>977</v>
      </c>
      <c r="B285" s="1110"/>
      <c r="C285" s="1110"/>
      <c r="D285" s="1110"/>
      <c r="E285" s="1110"/>
      <c r="F285" s="127" t="s">
        <v>978</v>
      </c>
      <c r="G285" s="1111">
        <f t="shared" si="55"/>
        <v>0</v>
      </c>
      <c r="H285" s="1112"/>
      <c r="I285" s="1113"/>
      <c r="N285" s="1110" t="s">
        <v>977</v>
      </c>
      <c r="O285" s="1110"/>
      <c r="P285" s="1110"/>
      <c r="Q285" s="1110"/>
      <c r="R285" s="1110"/>
      <c r="S285" s="127" t="s">
        <v>978</v>
      </c>
      <c r="T285" s="1114">
        <f t="shared" si="56"/>
        <v>0</v>
      </c>
      <c r="U285" s="1114"/>
      <c r="V285" s="1114"/>
      <c r="AA285" s="394"/>
      <c r="AI285" s="1127" t="s">
        <v>979</v>
      </c>
      <c r="AJ285" s="1128"/>
      <c r="AK285" s="1128"/>
      <c r="AL285" s="1128"/>
      <c r="AM285" s="1129"/>
      <c r="AN285" s="782" t="s">
        <v>980</v>
      </c>
      <c r="AO285" s="562">
        <f t="shared" si="57"/>
        <v>0</v>
      </c>
      <c r="AP285" s="784"/>
      <c r="AQ285" s="378"/>
      <c r="AR285" s="1145" t="s">
        <v>981</v>
      </c>
      <c r="AS285" s="1146"/>
      <c r="AT285" s="1146"/>
      <c r="AU285" s="1146"/>
      <c r="AV285" s="1146"/>
      <c r="AW285" s="786" t="s">
        <v>982</v>
      </c>
      <c r="AX285" s="562">
        <f t="shared" si="51"/>
        <v>0</v>
      </c>
      <c r="AY285" s="749"/>
      <c r="BA285" s="381"/>
      <c r="BB285" s="787"/>
    </row>
    <row r="286" spans="1:54" ht="18" x14ac:dyDescent="0.25">
      <c r="A286" s="1110" t="s">
        <v>983</v>
      </c>
      <c r="B286" s="1110"/>
      <c r="C286" s="1110"/>
      <c r="D286" s="1110"/>
      <c r="E286" s="1110"/>
      <c r="F286" s="127" t="s">
        <v>984</v>
      </c>
      <c r="G286" s="1111">
        <f t="shared" si="55"/>
        <v>0</v>
      </c>
      <c r="H286" s="1112"/>
      <c r="I286" s="1113"/>
      <c r="N286" s="1110" t="s">
        <v>983</v>
      </c>
      <c r="O286" s="1110"/>
      <c r="P286" s="1110"/>
      <c r="Q286" s="1110"/>
      <c r="R286" s="1110"/>
      <c r="S286" s="127" t="s">
        <v>984</v>
      </c>
      <c r="T286" s="1114">
        <f t="shared" si="56"/>
        <v>0</v>
      </c>
      <c r="U286" s="1114"/>
      <c r="V286" s="1114"/>
      <c r="AA286" s="394"/>
      <c r="AI286" s="1127" t="s">
        <v>985</v>
      </c>
      <c r="AJ286" s="1128"/>
      <c r="AK286" s="1128"/>
      <c r="AL286" s="1128"/>
      <c r="AM286" s="1129"/>
      <c r="AN286" s="782" t="s">
        <v>986</v>
      </c>
      <c r="AO286" s="562">
        <f t="shared" si="57"/>
        <v>0</v>
      </c>
      <c r="AP286" s="784"/>
      <c r="AQ286" s="378"/>
      <c r="AR286" s="1145" t="s">
        <v>987</v>
      </c>
      <c r="AS286" s="1146"/>
      <c r="AT286" s="1146"/>
      <c r="AU286" s="1146"/>
      <c r="AV286" s="1146"/>
      <c r="AW286" s="788" t="s">
        <v>988</v>
      </c>
      <c r="AX286" s="562">
        <f t="shared" si="51"/>
        <v>0</v>
      </c>
      <c r="AY286" s="749"/>
      <c r="BA286" s="381"/>
      <c r="BB286" s="737"/>
    </row>
    <row r="287" spans="1:54" ht="19.5" thickBot="1" x14ac:dyDescent="0.3">
      <c r="A287" s="1147" t="s">
        <v>255</v>
      </c>
      <c r="B287" s="1147"/>
      <c r="C287" s="1147"/>
      <c r="D287" s="1147"/>
      <c r="E287" s="1147"/>
      <c r="F287" s="765"/>
      <c r="G287" s="1118">
        <f>SUM(G274:I286)</f>
        <v>2</v>
      </c>
      <c r="H287" s="1119"/>
      <c r="I287" s="1120"/>
      <c r="N287" s="1147" t="s">
        <v>255</v>
      </c>
      <c r="O287" s="1147"/>
      <c r="P287" s="1147"/>
      <c r="Q287" s="1147"/>
      <c r="R287" s="1147"/>
      <c r="S287" s="765"/>
      <c r="T287" s="1118">
        <f>SUM(T274:V286)</f>
        <v>1</v>
      </c>
      <c r="U287" s="1119"/>
      <c r="V287" s="1120"/>
      <c r="AA287" s="338"/>
      <c r="AI287" s="1127" t="s">
        <v>989</v>
      </c>
      <c r="AJ287" s="1128"/>
      <c r="AK287" s="1128"/>
      <c r="AL287" s="1128"/>
      <c r="AM287" s="1129"/>
      <c r="AN287" s="782" t="s">
        <v>990</v>
      </c>
      <c r="AO287" s="562">
        <f t="shared" si="57"/>
        <v>0</v>
      </c>
      <c r="AP287" s="784"/>
      <c r="AQ287" s="378"/>
      <c r="AR287" s="1145" t="s">
        <v>991</v>
      </c>
      <c r="AS287" s="1146"/>
      <c r="AT287" s="1146"/>
      <c r="AU287" s="1146"/>
      <c r="AV287" s="1146"/>
      <c r="AW287" s="789" t="s">
        <v>992</v>
      </c>
      <c r="AX287" s="562">
        <f t="shared" si="51"/>
        <v>0</v>
      </c>
      <c r="AY287" s="749"/>
      <c r="BA287" s="381"/>
      <c r="BB287" s="737"/>
    </row>
    <row r="288" spans="1:54" ht="19.5" thickBot="1" x14ac:dyDescent="0.3">
      <c r="A288" s="1121" t="s">
        <v>118</v>
      </c>
      <c r="B288" s="1122"/>
      <c r="C288" s="1122"/>
      <c r="D288" s="1122"/>
      <c r="E288" s="1123"/>
      <c r="F288" s="768"/>
      <c r="G288" s="768"/>
      <c r="H288" s="768"/>
      <c r="I288" s="768"/>
      <c r="N288" s="1121" t="s">
        <v>118</v>
      </c>
      <c r="O288" s="1122"/>
      <c r="P288" s="1122"/>
      <c r="Q288" s="1122"/>
      <c r="R288" s="1123"/>
      <c r="S288" s="768"/>
      <c r="T288" s="768"/>
      <c r="U288" s="768"/>
      <c r="V288" s="768"/>
      <c r="AI288" s="1127" t="s">
        <v>993</v>
      </c>
      <c r="AJ288" s="1128"/>
      <c r="AK288" s="1128"/>
      <c r="AL288" s="1128"/>
      <c r="AM288" s="1129"/>
      <c r="AN288" s="782" t="s">
        <v>994</v>
      </c>
      <c r="AO288" s="562">
        <f t="shared" si="57"/>
        <v>0</v>
      </c>
      <c r="AP288" s="784"/>
      <c r="AQ288" s="378"/>
      <c r="AR288" s="1145" t="s">
        <v>995</v>
      </c>
      <c r="AS288" s="1146"/>
      <c r="AT288" s="1146"/>
      <c r="AU288" s="1146"/>
      <c r="AV288" s="1146"/>
      <c r="AW288" s="786" t="s">
        <v>996</v>
      </c>
      <c r="AX288" s="562">
        <f t="shared" si="51"/>
        <v>0</v>
      </c>
      <c r="AY288" s="749"/>
      <c r="BA288" s="381"/>
    </row>
    <row r="289" spans="1:53" ht="18.75" x14ac:dyDescent="0.25">
      <c r="A289" s="1110" t="s">
        <v>888</v>
      </c>
      <c r="B289" s="1110"/>
      <c r="C289" s="1110"/>
      <c r="D289" s="1110"/>
      <c r="E289" s="1110"/>
      <c r="F289" s="127" t="s">
        <v>997</v>
      </c>
      <c r="G289" s="1111">
        <f t="shared" ref="G289:G294" si="58">COUNTIF($A$1:$BK$73,F289)</f>
        <v>0</v>
      </c>
      <c r="H289" s="1112"/>
      <c r="I289" s="1113"/>
      <c r="N289" s="1110" t="s">
        <v>888</v>
      </c>
      <c r="O289" s="1110"/>
      <c r="P289" s="1110"/>
      <c r="Q289" s="1110"/>
      <c r="R289" s="1110"/>
      <c r="S289" s="127" t="s">
        <v>997</v>
      </c>
      <c r="T289" s="1114">
        <f t="shared" ref="T289:T294" si="59">COUNTIF($BL$1:$CN$58,S289)</f>
        <v>0</v>
      </c>
      <c r="U289" s="1114"/>
      <c r="V289" s="1114"/>
      <c r="AI289" s="1127" t="s">
        <v>998</v>
      </c>
      <c r="AJ289" s="1128"/>
      <c r="AK289" s="1128"/>
      <c r="AL289" s="1128"/>
      <c r="AM289" s="1129"/>
      <c r="AN289" s="782" t="s">
        <v>999</v>
      </c>
      <c r="AO289" s="562">
        <f t="shared" si="57"/>
        <v>0</v>
      </c>
      <c r="AP289" s="784"/>
      <c r="AQ289" s="378"/>
      <c r="AR289" s="1145" t="s">
        <v>1000</v>
      </c>
      <c r="AS289" s="1146"/>
      <c r="AT289" s="1146"/>
      <c r="AU289" s="1146"/>
      <c r="AV289" s="1146"/>
      <c r="AW289" s="790" t="s">
        <v>1001</v>
      </c>
      <c r="AX289" s="562">
        <f t="shared" si="51"/>
        <v>0</v>
      </c>
      <c r="AY289" s="749"/>
      <c r="BA289" s="381"/>
    </row>
    <row r="290" spans="1:53" ht="18" x14ac:dyDescent="0.25">
      <c r="A290" s="1110" t="s">
        <v>893</v>
      </c>
      <c r="B290" s="1110"/>
      <c r="C290" s="1110"/>
      <c r="D290" s="1110"/>
      <c r="E290" s="1110"/>
      <c r="F290" s="127" t="s">
        <v>1002</v>
      </c>
      <c r="G290" s="1111">
        <f t="shared" si="58"/>
        <v>0</v>
      </c>
      <c r="H290" s="1112"/>
      <c r="I290" s="1113"/>
      <c r="N290" s="1110" t="s">
        <v>893</v>
      </c>
      <c r="O290" s="1110"/>
      <c r="P290" s="1110"/>
      <c r="Q290" s="1110"/>
      <c r="R290" s="1110"/>
      <c r="S290" s="127" t="s">
        <v>1002</v>
      </c>
      <c r="T290" s="1114">
        <f t="shared" si="59"/>
        <v>0</v>
      </c>
      <c r="U290" s="1114"/>
      <c r="V290" s="1114"/>
      <c r="AI290" s="1127" t="s">
        <v>1003</v>
      </c>
      <c r="AJ290" s="1128"/>
      <c r="AK290" s="1128"/>
      <c r="AL290" s="1128"/>
      <c r="AM290" s="1129"/>
      <c r="AN290" s="782" t="s">
        <v>1004</v>
      </c>
      <c r="AO290" s="562">
        <f t="shared" si="57"/>
        <v>0</v>
      </c>
      <c r="AP290" s="784"/>
      <c r="AQ290" s="378"/>
      <c r="AR290" s="1142" t="s">
        <v>1005</v>
      </c>
      <c r="AS290" s="1143"/>
      <c r="AT290" s="1143"/>
      <c r="AU290" s="1143"/>
      <c r="AV290" s="1144"/>
      <c r="AW290" s="578"/>
      <c r="AX290" s="579">
        <f>SUM(AX252:AX289)</f>
        <v>0</v>
      </c>
      <c r="BA290" s="381"/>
    </row>
    <row r="291" spans="1:53" ht="18" x14ac:dyDescent="0.25">
      <c r="A291" s="1110" t="s">
        <v>897</v>
      </c>
      <c r="B291" s="1110"/>
      <c r="C291" s="1110"/>
      <c r="D291" s="1110"/>
      <c r="E291" s="1110"/>
      <c r="F291" s="127" t="s">
        <v>1006</v>
      </c>
      <c r="G291" s="1111">
        <f t="shared" si="58"/>
        <v>0</v>
      </c>
      <c r="H291" s="1112"/>
      <c r="I291" s="1113"/>
      <c r="N291" s="1110" t="s">
        <v>897</v>
      </c>
      <c r="O291" s="1110"/>
      <c r="P291" s="1110"/>
      <c r="Q291" s="1110"/>
      <c r="R291" s="1110"/>
      <c r="S291" s="127" t="s">
        <v>1006</v>
      </c>
      <c r="T291" s="1114">
        <f t="shared" si="59"/>
        <v>0</v>
      </c>
      <c r="U291" s="1114"/>
      <c r="V291" s="1114"/>
      <c r="AI291" s="1127" t="s">
        <v>1007</v>
      </c>
      <c r="AJ291" s="1128"/>
      <c r="AK291" s="1128"/>
      <c r="AL291" s="1128"/>
      <c r="AM291" s="1129"/>
      <c r="AN291" s="782" t="s">
        <v>1008</v>
      </c>
      <c r="AO291" s="562">
        <f t="shared" si="57"/>
        <v>0</v>
      </c>
      <c r="AP291" s="784"/>
      <c r="AQ291" s="378"/>
      <c r="BA291" s="381"/>
    </row>
    <row r="292" spans="1:53" ht="18" x14ac:dyDescent="0.25">
      <c r="A292" s="1110" t="s">
        <v>901</v>
      </c>
      <c r="B292" s="1110"/>
      <c r="C292" s="1110"/>
      <c r="D292" s="1110"/>
      <c r="E292" s="1110"/>
      <c r="F292" s="127" t="s">
        <v>1009</v>
      </c>
      <c r="G292" s="1111">
        <f t="shared" si="58"/>
        <v>0</v>
      </c>
      <c r="H292" s="1112"/>
      <c r="I292" s="1113"/>
      <c r="N292" s="1110" t="s">
        <v>901</v>
      </c>
      <c r="O292" s="1110"/>
      <c r="P292" s="1110"/>
      <c r="Q292" s="1110"/>
      <c r="R292" s="1110"/>
      <c r="S292" s="127" t="s">
        <v>1009</v>
      </c>
      <c r="T292" s="1114">
        <f t="shared" si="59"/>
        <v>0</v>
      </c>
      <c r="U292" s="1114"/>
      <c r="V292" s="1114"/>
      <c r="AI292" s="1127" t="s">
        <v>1010</v>
      </c>
      <c r="AJ292" s="1128"/>
      <c r="AK292" s="1128"/>
      <c r="AL292" s="1128"/>
      <c r="AM292" s="1129"/>
      <c r="AN292" s="782" t="s">
        <v>1010</v>
      </c>
      <c r="AO292" s="562">
        <f t="shared" si="57"/>
        <v>0</v>
      </c>
      <c r="AP292" s="784"/>
      <c r="AR292" s="1098" t="s">
        <v>357</v>
      </c>
      <c r="AS292" s="1099"/>
      <c r="AT292" s="1099"/>
      <c r="AU292" s="1099"/>
      <c r="AV292" s="1099"/>
      <c r="AW292" s="1100"/>
      <c r="AX292" s="585" t="s">
        <v>255</v>
      </c>
      <c r="AY292" s="380"/>
      <c r="BA292" s="381"/>
    </row>
    <row r="293" spans="1:53" ht="18" x14ac:dyDescent="0.25">
      <c r="A293" s="1110" t="s">
        <v>906</v>
      </c>
      <c r="B293" s="1110"/>
      <c r="C293" s="1110"/>
      <c r="D293" s="1110"/>
      <c r="E293" s="1110"/>
      <c r="F293" s="127" t="s">
        <v>1011</v>
      </c>
      <c r="G293" s="1111">
        <f t="shared" si="58"/>
        <v>0</v>
      </c>
      <c r="H293" s="1112"/>
      <c r="I293" s="1113"/>
      <c r="N293" s="1110" t="s">
        <v>906</v>
      </c>
      <c r="O293" s="1110"/>
      <c r="P293" s="1110"/>
      <c r="Q293" s="1110"/>
      <c r="R293" s="1110"/>
      <c r="S293" s="127" t="s">
        <v>1011</v>
      </c>
      <c r="T293" s="1114">
        <f t="shared" si="59"/>
        <v>0</v>
      </c>
      <c r="U293" s="1114"/>
      <c r="V293" s="1114"/>
      <c r="AI293" s="1127" t="s">
        <v>1012</v>
      </c>
      <c r="AJ293" s="1128"/>
      <c r="AK293" s="1128"/>
      <c r="AL293" s="1128"/>
      <c r="AM293" s="1129"/>
      <c r="AN293" s="782" t="s">
        <v>1013</v>
      </c>
      <c r="AO293" s="562">
        <f t="shared" si="57"/>
        <v>0</v>
      </c>
      <c r="AP293" s="784"/>
      <c r="AR293" s="1139" t="s">
        <v>1014</v>
      </c>
      <c r="AS293" s="1140"/>
      <c r="AT293" s="1140"/>
      <c r="AU293" s="1140"/>
      <c r="AV293" s="1141"/>
      <c r="AW293" s="791" t="s">
        <v>1015</v>
      </c>
      <c r="AX293" s="562">
        <f>COUNTIF($A$1:$GO$128,AW293)</f>
        <v>0</v>
      </c>
      <c r="AY293" s="792"/>
      <c r="BA293" s="381"/>
    </row>
    <row r="294" spans="1:53" ht="18.75" thickBot="1" x14ac:dyDescent="0.3">
      <c r="A294" s="1135" t="s">
        <v>912</v>
      </c>
      <c r="B294" s="1135"/>
      <c r="C294" s="1135"/>
      <c r="D294" s="1135"/>
      <c r="E294" s="1135"/>
      <c r="F294" s="127" t="s">
        <v>1016</v>
      </c>
      <c r="G294" s="1111">
        <f t="shared" si="58"/>
        <v>0</v>
      </c>
      <c r="H294" s="1112"/>
      <c r="I294" s="1113"/>
      <c r="N294" s="1135" t="s">
        <v>912</v>
      </c>
      <c r="O294" s="1135"/>
      <c r="P294" s="1135"/>
      <c r="Q294" s="1135"/>
      <c r="R294" s="1135"/>
      <c r="S294" s="127" t="s">
        <v>1016</v>
      </c>
      <c r="T294" s="1114">
        <f t="shared" si="59"/>
        <v>0</v>
      </c>
      <c r="U294" s="1114"/>
      <c r="V294" s="1114"/>
      <c r="AI294" s="1127" t="s">
        <v>1017</v>
      </c>
      <c r="AJ294" s="1128"/>
      <c r="AK294" s="1128"/>
      <c r="AL294" s="1128"/>
      <c r="AM294" s="1129"/>
      <c r="AN294" s="782" t="s">
        <v>1017</v>
      </c>
      <c r="AO294" s="562">
        <f t="shared" si="57"/>
        <v>0</v>
      </c>
      <c r="AP294" s="784"/>
      <c r="AR294" s="1136" t="s">
        <v>1018</v>
      </c>
      <c r="AS294" s="1137"/>
      <c r="AT294" s="1137"/>
      <c r="AU294" s="1137"/>
      <c r="AV294" s="1138"/>
      <c r="AW294" s="793" t="s">
        <v>1019</v>
      </c>
      <c r="AX294" s="562">
        <f>COUNTIF($A$1:$GO$128,AW294)</f>
        <v>0</v>
      </c>
      <c r="AY294" s="792"/>
      <c r="BA294" s="381"/>
    </row>
    <row r="295" spans="1:53" ht="18.75" thickBot="1" x14ac:dyDescent="0.3">
      <c r="A295" s="1130" t="s">
        <v>255</v>
      </c>
      <c r="B295" s="1131"/>
      <c r="C295" s="1131"/>
      <c r="D295" s="1131"/>
      <c r="E295" s="1131"/>
      <c r="F295" s="765"/>
      <c r="G295" s="1118">
        <f>SUM(G289:I294)</f>
        <v>0</v>
      </c>
      <c r="H295" s="1119"/>
      <c r="I295" s="1120"/>
      <c r="N295" s="1130" t="s">
        <v>255</v>
      </c>
      <c r="O295" s="1131"/>
      <c r="P295" s="1131"/>
      <c r="Q295" s="1131"/>
      <c r="R295" s="1131"/>
      <c r="S295" s="765"/>
      <c r="T295" s="1118">
        <f>SUM(T289:V294)</f>
        <v>0</v>
      </c>
      <c r="U295" s="1119"/>
      <c r="V295" s="1120"/>
      <c r="AI295" s="1127" t="s">
        <v>1020</v>
      </c>
      <c r="AJ295" s="1128"/>
      <c r="AK295" s="1128"/>
      <c r="AL295" s="1128"/>
      <c r="AM295" s="1129"/>
      <c r="AN295" s="782" t="s">
        <v>1021</v>
      </c>
      <c r="AO295" s="562">
        <f t="shared" si="57"/>
        <v>0</v>
      </c>
      <c r="AP295" s="784"/>
      <c r="AR295" s="1132" t="s">
        <v>1022</v>
      </c>
      <c r="AS295" s="1133"/>
      <c r="AT295" s="1133"/>
      <c r="AU295" s="1133"/>
      <c r="AV295" s="1134"/>
      <c r="AW295" s="578"/>
      <c r="AX295" s="579">
        <f>SUM(AX293:AX294)</f>
        <v>0</v>
      </c>
      <c r="BA295" s="381"/>
    </row>
    <row r="296" spans="1:53" ht="18.75" thickBot="1" x14ac:dyDescent="0.3">
      <c r="A296" s="1124" t="s">
        <v>1023</v>
      </c>
      <c r="B296" s="1125"/>
      <c r="C296" s="1125"/>
      <c r="D296" s="1125"/>
      <c r="E296" s="1126"/>
      <c r="F296" s="768"/>
      <c r="G296" s="768"/>
      <c r="H296" s="768"/>
      <c r="I296" s="768"/>
      <c r="N296" s="1124" t="s">
        <v>1023</v>
      </c>
      <c r="O296" s="1125"/>
      <c r="P296" s="1125"/>
      <c r="Q296" s="1125"/>
      <c r="R296" s="1126"/>
      <c r="S296" s="768"/>
      <c r="T296" s="768"/>
      <c r="U296" s="768"/>
      <c r="V296" s="768"/>
      <c r="AI296" s="1127" t="s">
        <v>1024</v>
      </c>
      <c r="AJ296" s="1128"/>
      <c r="AK296" s="1128"/>
      <c r="AL296" s="1128"/>
      <c r="AM296" s="1129"/>
      <c r="AN296" s="782" t="s">
        <v>1025</v>
      </c>
      <c r="AO296" s="562">
        <f t="shared" si="57"/>
        <v>0</v>
      </c>
      <c r="AP296" s="784"/>
      <c r="AY296" s="378"/>
      <c r="BA296" s="381"/>
    </row>
    <row r="297" spans="1:53" ht="18" x14ac:dyDescent="0.25">
      <c r="A297" s="1110" t="s">
        <v>888</v>
      </c>
      <c r="B297" s="1110"/>
      <c r="C297" s="1110"/>
      <c r="D297" s="1110"/>
      <c r="E297" s="1110"/>
      <c r="F297" s="127" t="s">
        <v>1026</v>
      </c>
      <c r="G297" s="1111">
        <f>COUNTIF($A$1:$BK$73,F297)</f>
        <v>0</v>
      </c>
      <c r="H297" s="1112"/>
      <c r="I297" s="1113"/>
      <c r="N297" s="1110" t="s">
        <v>888</v>
      </c>
      <c r="O297" s="1110"/>
      <c r="P297" s="1110"/>
      <c r="Q297" s="1110"/>
      <c r="R297" s="1110"/>
      <c r="S297" s="127" t="s">
        <v>1026</v>
      </c>
      <c r="T297" s="1114">
        <f>COUNTIF($BL$1:$CN$58,S297)</f>
        <v>0</v>
      </c>
      <c r="U297" s="1114"/>
      <c r="V297" s="1114"/>
      <c r="AI297" s="1084" t="s">
        <v>1027</v>
      </c>
      <c r="AJ297" s="1085"/>
      <c r="AK297" s="1085"/>
      <c r="AL297" s="1085"/>
      <c r="AM297" s="1086"/>
      <c r="AN297" s="578"/>
      <c r="AO297" s="579">
        <f>SUM(AO281:AO296)</f>
        <v>0</v>
      </c>
      <c r="AR297" s="1098" t="s">
        <v>315</v>
      </c>
      <c r="AS297" s="1099"/>
      <c r="AT297" s="1099"/>
      <c r="AU297" s="1099"/>
      <c r="AV297" s="1099"/>
      <c r="AW297" s="1100"/>
      <c r="AX297" s="585" t="s">
        <v>255</v>
      </c>
      <c r="AY297" s="380"/>
      <c r="BA297" s="381"/>
    </row>
    <row r="298" spans="1:53" ht="18" x14ac:dyDescent="0.25">
      <c r="A298" s="1110" t="s">
        <v>901</v>
      </c>
      <c r="B298" s="1110"/>
      <c r="C298" s="1110"/>
      <c r="D298" s="1110"/>
      <c r="E298" s="1110"/>
      <c r="F298" s="127" t="s">
        <v>1028</v>
      </c>
      <c r="G298" s="1111">
        <f>COUNTIF($A$1:$BK$73,F298)</f>
        <v>0</v>
      </c>
      <c r="H298" s="1112"/>
      <c r="I298" s="1113"/>
      <c r="N298" s="1110" t="s">
        <v>901</v>
      </c>
      <c r="O298" s="1110"/>
      <c r="P298" s="1110"/>
      <c r="Q298" s="1110"/>
      <c r="R298" s="1110"/>
      <c r="S298" s="127" t="s">
        <v>1028</v>
      </c>
      <c r="T298" s="1114">
        <f>COUNTIF($BL$1:$CN$58,S298)</f>
        <v>0</v>
      </c>
      <c r="U298" s="1114"/>
      <c r="V298" s="1114"/>
      <c r="AI298" s="777"/>
      <c r="AR298" s="1102" t="s">
        <v>1029</v>
      </c>
      <c r="AS298" s="1103"/>
      <c r="AT298" s="1103"/>
      <c r="AU298" s="1103"/>
      <c r="AV298" s="1104"/>
      <c r="AW298" s="794" t="s">
        <v>1030</v>
      </c>
      <c r="AX298" s="562">
        <f t="shared" ref="AX298:AX303" si="60">COUNTIF($A$1:$GO$128,AW298)</f>
        <v>0</v>
      </c>
      <c r="AY298" s="795"/>
      <c r="BA298" s="381"/>
    </row>
    <row r="299" spans="1:53" ht="18.75" thickBot="1" x14ac:dyDescent="0.3">
      <c r="A299" s="1115" t="s">
        <v>255</v>
      </c>
      <c r="B299" s="1116"/>
      <c r="C299" s="1116"/>
      <c r="D299" s="1116"/>
      <c r="E299" s="1117"/>
      <c r="F299" s="765"/>
      <c r="G299" s="1118">
        <f>SUM(G297:I298)</f>
        <v>0</v>
      </c>
      <c r="H299" s="1119"/>
      <c r="I299" s="1120"/>
      <c r="N299" s="1115" t="s">
        <v>255</v>
      </c>
      <c r="O299" s="1116"/>
      <c r="P299" s="1116"/>
      <c r="Q299" s="1116"/>
      <c r="R299" s="1117"/>
      <c r="S299" s="765"/>
      <c r="T299" s="1118">
        <f>SUM(T297:V298)</f>
        <v>0</v>
      </c>
      <c r="U299" s="1119"/>
      <c r="V299" s="1120"/>
      <c r="AI299" s="1109"/>
      <c r="AJ299" s="1099"/>
      <c r="AK299" s="1099"/>
      <c r="AL299" s="1099"/>
      <c r="AM299" s="1099"/>
      <c r="AN299" s="1095"/>
      <c r="AO299" s="585"/>
      <c r="AP299" s="380"/>
      <c r="AR299" s="1102" t="s">
        <v>1031</v>
      </c>
      <c r="AS299" s="1103"/>
      <c r="AT299" s="1103"/>
      <c r="AU299" s="1103"/>
      <c r="AV299" s="1104"/>
      <c r="AW299" s="796" t="s">
        <v>1032</v>
      </c>
      <c r="AX299" s="562">
        <f t="shared" si="60"/>
        <v>0</v>
      </c>
      <c r="AY299" s="795"/>
      <c r="BA299" s="381"/>
    </row>
    <row r="300" spans="1:53" ht="18.75" thickBot="1" x14ac:dyDescent="0.3">
      <c r="A300" s="1121" t="s">
        <v>1033</v>
      </c>
      <c r="B300" s="1122"/>
      <c r="C300" s="1122"/>
      <c r="D300" s="1122"/>
      <c r="E300" s="1123"/>
      <c r="F300" s="768"/>
      <c r="G300" s="768"/>
      <c r="H300" s="768"/>
      <c r="I300" s="768"/>
      <c r="N300" s="1121" t="s">
        <v>1033</v>
      </c>
      <c r="O300" s="1122"/>
      <c r="P300" s="1122"/>
      <c r="Q300" s="1122"/>
      <c r="R300" s="1123"/>
      <c r="S300" s="768"/>
      <c r="T300" s="768"/>
      <c r="U300" s="768"/>
      <c r="V300" s="768"/>
      <c r="AI300" s="1105"/>
      <c r="AJ300" s="1106"/>
      <c r="AK300" s="1106"/>
      <c r="AL300" s="1106"/>
      <c r="AM300" s="1106"/>
      <c r="AN300" s="573"/>
      <c r="AO300" s="562"/>
      <c r="AP300" s="797"/>
      <c r="AR300" s="1102" t="s">
        <v>1034</v>
      </c>
      <c r="AS300" s="1103"/>
      <c r="AT300" s="1103"/>
      <c r="AU300" s="1103"/>
      <c r="AV300" s="1104"/>
      <c r="AW300" s="798" t="s">
        <v>1035</v>
      </c>
      <c r="AX300" s="562">
        <f t="shared" si="60"/>
        <v>0</v>
      </c>
      <c r="AY300" s="795"/>
      <c r="BA300" s="381"/>
    </row>
    <row r="301" spans="1:53" ht="18" x14ac:dyDescent="0.25">
      <c r="A301" s="1110" t="s">
        <v>888</v>
      </c>
      <c r="B301" s="1110"/>
      <c r="C301" s="1110"/>
      <c r="D301" s="1110"/>
      <c r="E301" s="1110"/>
      <c r="F301" s="127" t="s">
        <v>1036</v>
      </c>
      <c r="G301" s="1111">
        <f>COUNTIF($A$1:$BK$73,F301)</f>
        <v>0</v>
      </c>
      <c r="H301" s="1112"/>
      <c r="I301" s="1113"/>
      <c r="N301" s="1110" t="s">
        <v>888</v>
      </c>
      <c r="O301" s="1110"/>
      <c r="P301" s="1110"/>
      <c r="Q301" s="1110"/>
      <c r="R301" s="1110"/>
      <c r="S301" s="127" t="s">
        <v>1036</v>
      </c>
      <c r="T301" s="1114">
        <f>COUNTIF($BL$1:$CN$58,S301)</f>
        <v>0</v>
      </c>
      <c r="U301" s="1114"/>
      <c r="V301" s="1114"/>
      <c r="AI301" s="1084"/>
      <c r="AJ301" s="1085"/>
      <c r="AK301" s="1085"/>
      <c r="AL301" s="1085"/>
      <c r="AM301" s="1086"/>
      <c r="AN301" s="578"/>
      <c r="AO301" s="579"/>
      <c r="AR301" s="1102" t="s">
        <v>1037</v>
      </c>
      <c r="AS301" s="1103"/>
      <c r="AT301" s="1103"/>
      <c r="AU301" s="1103"/>
      <c r="AV301" s="1104"/>
      <c r="AW301" s="799" t="s">
        <v>1038</v>
      </c>
      <c r="AX301" s="562">
        <f t="shared" si="60"/>
        <v>0</v>
      </c>
      <c r="AY301" s="795"/>
      <c r="BA301" s="381"/>
    </row>
    <row r="302" spans="1:53" ht="18" x14ac:dyDescent="0.25">
      <c r="A302" s="1110" t="s">
        <v>901</v>
      </c>
      <c r="B302" s="1110"/>
      <c r="C302" s="1110"/>
      <c r="D302" s="1110"/>
      <c r="E302" s="1110"/>
      <c r="F302" s="127" t="s">
        <v>1039</v>
      </c>
      <c r="G302" s="1111">
        <f>COUNTIF($A$1:$BK$73,F302)</f>
        <v>0</v>
      </c>
      <c r="H302" s="1112"/>
      <c r="I302" s="1113"/>
      <c r="N302" s="1110" t="s">
        <v>901</v>
      </c>
      <c r="O302" s="1110"/>
      <c r="P302" s="1110"/>
      <c r="Q302" s="1110"/>
      <c r="R302" s="1110"/>
      <c r="S302" s="127" t="s">
        <v>1039</v>
      </c>
      <c r="T302" s="1114">
        <f>COUNTIF($BL$1:$CN$58,S302)</f>
        <v>0</v>
      </c>
      <c r="U302" s="1114"/>
      <c r="V302" s="1114"/>
      <c r="AI302" s="777"/>
      <c r="AR302" s="1102" t="s">
        <v>1040</v>
      </c>
      <c r="AS302" s="1103"/>
      <c r="AT302" s="1103"/>
      <c r="AU302" s="1103"/>
      <c r="AV302" s="1104"/>
      <c r="AW302" s="800" t="s">
        <v>1041</v>
      </c>
      <c r="AX302" s="562">
        <f t="shared" si="60"/>
        <v>0</v>
      </c>
      <c r="AY302" s="795"/>
      <c r="BA302" s="381"/>
    </row>
    <row r="303" spans="1:53" ht="18.75" thickBot="1" x14ac:dyDescent="0.3">
      <c r="A303" s="1115" t="s">
        <v>255</v>
      </c>
      <c r="B303" s="1116"/>
      <c r="C303" s="1116"/>
      <c r="D303" s="1116"/>
      <c r="E303" s="1117"/>
      <c r="F303" s="765"/>
      <c r="G303" s="1118">
        <f>SUM(G301:I302)</f>
        <v>0</v>
      </c>
      <c r="H303" s="1119"/>
      <c r="I303" s="1120"/>
      <c r="N303" s="1115" t="s">
        <v>255</v>
      </c>
      <c r="O303" s="1116"/>
      <c r="P303" s="1116"/>
      <c r="Q303" s="1116"/>
      <c r="R303" s="1117"/>
      <c r="S303" s="765"/>
      <c r="T303" s="1118">
        <f>SUM(T301:V302)</f>
        <v>0</v>
      </c>
      <c r="U303" s="1119"/>
      <c r="V303" s="1120"/>
      <c r="AI303" s="777"/>
      <c r="AR303" s="1102" t="s">
        <v>1042</v>
      </c>
      <c r="AS303" s="1103"/>
      <c r="AT303" s="1103"/>
      <c r="AU303" s="1103"/>
      <c r="AV303" s="1104"/>
      <c r="AW303" s="801" t="s">
        <v>1043</v>
      </c>
      <c r="AX303" s="562">
        <f t="shared" si="60"/>
        <v>0</v>
      </c>
      <c r="AY303" s="795"/>
      <c r="BA303" s="381"/>
    </row>
    <row r="304" spans="1:53" ht="15.75" x14ac:dyDescent="0.25">
      <c r="M304" s="338"/>
      <c r="AI304" s="1109" t="s">
        <v>753</v>
      </c>
      <c r="AJ304" s="1099"/>
      <c r="AK304" s="1099"/>
      <c r="AL304" s="1099"/>
      <c r="AM304" s="1099"/>
      <c r="AN304" s="1100"/>
      <c r="AO304" s="585" t="s">
        <v>255</v>
      </c>
      <c r="AP304" s="380"/>
      <c r="AR304" s="1098" t="s">
        <v>1044</v>
      </c>
      <c r="AS304" s="1099"/>
      <c r="AT304" s="1099"/>
      <c r="AU304" s="1099"/>
      <c r="AV304" s="1100"/>
      <c r="AW304" s="578"/>
      <c r="AX304" s="579">
        <f>SUM(AX298:AX303)</f>
        <v>0</v>
      </c>
      <c r="BA304" s="381"/>
    </row>
    <row r="305" spans="13:53" ht="15.75" x14ac:dyDescent="0.25">
      <c r="M305" s="338"/>
      <c r="AI305" s="1105" t="s">
        <v>1045</v>
      </c>
      <c r="AJ305" s="1106"/>
      <c r="AK305" s="1106"/>
      <c r="AL305" s="1106"/>
      <c r="AM305" s="1107"/>
      <c r="AN305" s="802" t="s">
        <v>1046</v>
      </c>
      <c r="AO305" s="562">
        <f>COUNTIF($A$1:$GO$128,AN305)</f>
        <v>0</v>
      </c>
      <c r="AP305" s="803"/>
      <c r="BA305" s="381"/>
    </row>
    <row r="306" spans="13:53" ht="15.75" x14ac:dyDescent="0.25">
      <c r="M306" s="338"/>
      <c r="AI306" s="1105" t="s">
        <v>1047</v>
      </c>
      <c r="AJ306" s="1106"/>
      <c r="AK306" s="1106"/>
      <c r="AL306" s="1106"/>
      <c r="AM306" s="1107"/>
      <c r="AN306" s="804" t="s">
        <v>1048</v>
      </c>
      <c r="AO306" s="562">
        <f>COUNTIF($A$1:$GO$128,AN306)</f>
        <v>0</v>
      </c>
      <c r="AP306" s="805"/>
      <c r="AQ306" s="378"/>
      <c r="AR306" s="1098" t="s">
        <v>362</v>
      </c>
      <c r="AS306" s="1099"/>
      <c r="AT306" s="1099"/>
      <c r="AU306" s="1099"/>
      <c r="AV306" s="1099"/>
      <c r="AW306" s="1100"/>
      <c r="AX306" s="585" t="s">
        <v>255</v>
      </c>
      <c r="AY306" s="380"/>
      <c r="BA306" s="381"/>
    </row>
    <row r="307" spans="13:53" ht="15.75" x14ac:dyDescent="0.25">
      <c r="M307" s="338"/>
      <c r="AI307" s="1105" t="s">
        <v>1049</v>
      </c>
      <c r="AJ307" s="1106"/>
      <c r="AK307" s="1106"/>
      <c r="AL307" s="1106"/>
      <c r="AM307" s="1107"/>
      <c r="AN307" s="806" t="s">
        <v>1050</v>
      </c>
      <c r="AO307" s="562">
        <f>COUNTIF($A$1:$GO$128,AN307)</f>
        <v>0</v>
      </c>
      <c r="AP307" s="805"/>
      <c r="AR307" s="1102" t="s">
        <v>1051</v>
      </c>
      <c r="AS307" s="1103"/>
      <c r="AT307" s="1103"/>
      <c r="AU307" s="1103"/>
      <c r="AV307" s="1104"/>
      <c r="AW307" s="807" t="s">
        <v>363</v>
      </c>
      <c r="AX307" s="562">
        <f>COUNTIF($A$1:$GO$128,AW307)</f>
        <v>0</v>
      </c>
      <c r="AY307" s="795"/>
      <c r="BA307" s="381"/>
    </row>
    <row r="308" spans="13:53" ht="15.75" x14ac:dyDescent="0.25">
      <c r="M308" s="338"/>
      <c r="AI308" s="1105" t="s">
        <v>1052</v>
      </c>
      <c r="AJ308" s="1106"/>
      <c r="AK308" s="1106"/>
      <c r="AL308" s="1106"/>
      <c r="AM308" s="1107"/>
      <c r="AN308" s="808" t="s">
        <v>1053</v>
      </c>
      <c r="AO308" s="562">
        <f>COUNTIF($A$1:$GO$128,AN308)</f>
        <v>0</v>
      </c>
      <c r="AP308" s="805"/>
      <c r="AR308" s="1098" t="s">
        <v>1054</v>
      </c>
      <c r="AS308" s="1099"/>
      <c r="AT308" s="1099"/>
      <c r="AU308" s="1099"/>
      <c r="AV308" s="1100"/>
      <c r="AW308" s="578"/>
      <c r="AX308" s="579">
        <f>SUM(AX307:AX307)</f>
        <v>0</v>
      </c>
      <c r="BA308" s="381"/>
    </row>
    <row r="309" spans="13:53" ht="15.75" x14ac:dyDescent="0.25">
      <c r="M309" s="338"/>
      <c r="AI309" s="1105" t="s">
        <v>1055</v>
      </c>
      <c r="AJ309" s="1106"/>
      <c r="AK309" s="1106"/>
      <c r="AL309" s="1106"/>
      <c r="AM309" s="1107"/>
      <c r="AN309" s="809" t="s">
        <v>1056</v>
      </c>
      <c r="AO309" s="562">
        <f>COUNTIF($A$1:$GO$128,AN309)</f>
        <v>0</v>
      </c>
      <c r="AP309" s="805"/>
      <c r="AR309" s="378"/>
      <c r="AS309" s="378"/>
      <c r="AT309" s="378"/>
      <c r="AU309" s="378"/>
      <c r="AV309" s="378"/>
      <c r="AW309" s="378"/>
      <c r="AX309" s="378"/>
      <c r="AY309" s="378"/>
      <c r="BA309" s="381"/>
    </row>
    <row r="310" spans="13:53" ht="15.75" x14ac:dyDescent="0.25">
      <c r="M310" s="338"/>
      <c r="AI310" s="1084" t="s">
        <v>1057</v>
      </c>
      <c r="AJ310" s="1085"/>
      <c r="AK310" s="1085"/>
      <c r="AL310" s="1085"/>
      <c r="AM310" s="1086"/>
      <c r="AN310" s="578"/>
      <c r="AO310" s="579">
        <f>SUM(AO305:AO309)</f>
        <v>0</v>
      </c>
      <c r="AP310" s="378"/>
      <c r="AR310" s="1098" t="s">
        <v>375</v>
      </c>
      <c r="AS310" s="1099"/>
      <c r="AT310" s="1099"/>
      <c r="AU310" s="1099"/>
      <c r="AV310" s="1099"/>
      <c r="AW310" s="1100"/>
      <c r="AX310" s="585" t="s">
        <v>255</v>
      </c>
      <c r="AY310" s="380"/>
      <c r="BA310" s="381"/>
    </row>
    <row r="311" spans="13:53" ht="18" x14ac:dyDescent="0.25">
      <c r="M311" s="338"/>
      <c r="AI311" s="777"/>
      <c r="AR311" s="1108" t="s">
        <v>375</v>
      </c>
      <c r="AS311" s="1103"/>
      <c r="AT311" s="1103"/>
      <c r="AU311" s="1103"/>
      <c r="AV311" s="1104"/>
      <c r="AW311" s="810" t="s">
        <v>376</v>
      </c>
      <c r="AX311" s="562">
        <f>COUNTIF($A$1:$GO$128,AW311)</f>
        <v>0</v>
      </c>
      <c r="AY311" s="811"/>
      <c r="BA311" s="762"/>
    </row>
    <row r="312" spans="13:53" ht="18" x14ac:dyDescent="0.25">
      <c r="M312" s="338"/>
      <c r="AI312" s="1093" t="s">
        <v>381</v>
      </c>
      <c r="AJ312" s="1094"/>
      <c r="AK312" s="1094"/>
      <c r="AL312" s="1094"/>
      <c r="AM312" s="1094"/>
      <c r="AN312" s="1095"/>
      <c r="AO312" s="585" t="s">
        <v>255</v>
      </c>
      <c r="AP312" s="380"/>
      <c r="AR312" s="1098" t="s">
        <v>1058</v>
      </c>
      <c r="AS312" s="1099"/>
      <c r="AT312" s="1099"/>
      <c r="AU312" s="1099"/>
      <c r="AV312" s="1100"/>
      <c r="AW312" s="578"/>
      <c r="AX312" s="579">
        <f>SUM(AX311:AX311)</f>
        <v>0</v>
      </c>
      <c r="BA312" s="762"/>
    </row>
    <row r="313" spans="13:53" ht="18" x14ac:dyDescent="0.25">
      <c r="M313" s="338"/>
      <c r="AI313" s="1087" t="s">
        <v>1059</v>
      </c>
      <c r="AJ313" s="1088"/>
      <c r="AK313" s="1088"/>
      <c r="AL313" s="1088"/>
      <c r="AM313" s="1088"/>
      <c r="AN313" s="812" t="s">
        <v>1060</v>
      </c>
      <c r="AO313" s="562">
        <f>COUNTIF($A$1:$GO$128,AN313)</f>
        <v>0</v>
      </c>
      <c r="AP313" s="813"/>
      <c r="BA313" s="762"/>
    </row>
    <row r="314" spans="13:53" ht="18" x14ac:dyDescent="0.25">
      <c r="M314" s="338"/>
      <c r="AA314" s="338"/>
      <c r="AI314" s="1087" t="s">
        <v>1061</v>
      </c>
      <c r="AJ314" s="1088"/>
      <c r="AK314" s="1088"/>
      <c r="AL314" s="1088"/>
      <c r="AM314" s="1096"/>
      <c r="AN314" s="814" t="s">
        <v>1062</v>
      </c>
      <c r="AO314" s="562">
        <f>COUNTIF($A$1:$GO$128,AN314)</f>
        <v>0</v>
      </c>
      <c r="AP314" s="813"/>
      <c r="AR314" s="1098" t="s">
        <v>676</v>
      </c>
      <c r="AS314" s="1099"/>
      <c r="AT314" s="1099"/>
      <c r="AU314" s="1099"/>
      <c r="AV314" s="1099"/>
      <c r="AW314" s="1100"/>
      <c r="AX314" s="585" t="s">
        <v>255</v>
      </c>
      <c r="AY314" s="380"/>
      <c r="BA314" s="762"/>
    </row>
    <row r="315" spans="13:53" ht="18" x14ac:dyDescent="0.25">
      <c r="M315" s="338"/>
      <c r="AA315" s="338"/>
      <c r="AI315" s="1084" t="s">
        <v>1063</v>
      </c>
      <c r="AJ315" s="1085"/>
      <c r="AK315" s="1085"/>
      <c r="AL315" s="1085"/>
      <c r="AM315" s="1086"/>
      <c r="AN315" s="578"/>
      <c r="AO315" s="579">
        <f>SUM(AO313:AO314)</f>
        <v>0</v>
      </c>
      <c r="AP315" s="378"/>
      <c r="AR315" s="1102" t="s">
        <v>676</v>
      </c>
      <c r="AS315" s="1103"/>
      <c r="AT315" s="1103"/>
      <c r="AU315" s="1103"/>
      <c r="AV315" s="1104"/>
      <c r="AW315" s="815" t="s">
        <v>1064</v>
      </c>
      <c r="AX315" s="562">
        <f>COUNTIF($A$1:$GO$128,AW315)</f>
        <v>0</v>
      </c>
      <c r="AY315" s="816"/>
      <c r="BA315" s="762"/>
    </row>
    <row r="316" spans="13:53" ht="18" x14ac:dyDescent="0.25">
      <c r="M316" s="338"/>
      <c r="AA316" s="338"/>
      <c r="AI316" s="777"/>
      <c r="AR316" s="1098" t="s">
        <v>1065</v>
      </c>
      <c r="AS316" s="1099"/>
      <c r="AT316" s="1099"/>
      <c r="AU316" s="1099"/>
      <c r="AV316" s="1100"/>
      <c r="AW316" s="817"/>
      <c r="AX316" s="579">
        <f>SUM(AX315:AX315)</f>
        <v>0</v>
      </c>
      <c r="BA316" s="762"/>
    </row>
    <row r="317" spans="13:53" ht="18" x14ac:dyDescent="0.25">
      <c r="M317" s="338"/>
      <c r="AA317" s="338"/>
      <c r="AI317" s="1093" t="s">
        <v>555</v>
      </c>
      <c r="AJ317" s="1094"/>
      <c r="AK317" s="1094"/>
      <c r="AL317" s="1094"/>
      <c r="AM317" s="1094"/>
      <c r="AN317" s="1095"/>
      <c r="AO317" s="585" t="s">
        <v>255</v>
      </c>
      <c r="AP317" s="380"/>
      <c r="BA317" s="762"/>
    </row>
    <row r="318" spans="13:53" ht="18" x14ac:dyDescent="0.25">
      <c r="M318" s="338"/>
      <c r="AA318" s="338"/>
      <c r="AI318" s="1087" t="s">
        <v>1066</v>
      </c>
      <c r="AJ318" s="1088"/>
      <c r="AK318" s="1088"/>
      <c r="AL318" s="1088"/>
      <c r="AM318" s="1089"/>
      <c r="AN318" s="802" t="s">
        <v>1067</v>
      </c>
      <c r="AO318" s="562">
        <f t="shared" ref="AO318:AO327" si="61">COUNTIF($A$1:$GO$128,AN318)</f>
        <v>0</v>
      </c>
      <c r="AP318" s="818"/>
      <c r="AR318" s="1098" t="s">
        <v>409</v>
      </c>
      <c r="AS318" s="1099"/>
      <c r="AT318" s="1099"/>
      <c r="AU318" s="1099"/>
      <c r="AV318" s="1099"/>
      <c r="AW318" s="1100"/>
      <c r="AX318" s="585" t="s">
        <v>255</v>
      </c>
      <c r="AY318" s="380"/>
      <c r="BA318" s="762"/>
    </row>
    <row r="319" spans="13:53" ht="18" x14ac:dyDescent="0.25">
      <c r="M319" s="338"/>
      <c r="AA319" s="338"/>
      <c r="AI319" s="1087" t="s">
        <v>1068</v>
      </c>
      <c r="AJ319" s="1088"/>
      <c r="AK319" s="1088"/>
      <c r="AL319" s="1088"/>
      <c r="AM319" s="1089"/>
      <c r="AN319" s="819" t="s">
        <v>1069</v>
      </c>
      <c r="AO319" s="562">
        <f t="shared" si="61"/>
        <v>0</v>
      </c>
      <c r="AP319" s="818"/>
      <c r="AR319" s="1102" t="s">
        <v>1070</v>
      </c>
      <c r="AS319" s="1103"/>
      <c r="AT319" s="1103"/>
      <c r="AU319" s="1103"/>
      <c r="AV319" s="1104"/>
      <c r="AW319" s="820" t="s">
        <v>1071</v>
      </c>
      <c r="AX319" s="562">
        <f>COUNTIF($A$1:$GO$128,AW319)</f>
        <v>0</v>
      </c>
      <c r="AY319" s="821"/>
      <c r="BA319" s="762"/>
    </row>
    <row r="320" spans="13:53" ht="18" x14ac:dyDescent="0.25">
      <c r="M320" s="338"/>
      <c r="AA320" s="338"/>
      <c r="AI320" s="1087" t="s">
        <v>1072</v>
      </c>
      <c r="AJ320" s="1088"/>
      <c r="AK320" s="1088"/>
      <c r="AL320" s="1088"/>
      <c r="AM320" s="1089"/>
      <c r="AN320" s="822" t="s">
        <v>1073</v>
      </c>
      <c r="AO320" s="562">
        <f t="shared" si="61"/>
        <v>0</v>
      </c>
      <c r="AP320" s="818"/>
      <c r="AR320" s="1098" t="s">
        <v>1074</v>
      </c>
      <c r="AS320" s="1099"/>
      <c r="AT320" s="1099"/>
      <c r="AU320" s="1099"/>
      <c r="AV320" s="1100"/>
      <c r="AW320" s="578"/>
      <c r="AX320" s="579">
        <f>SUM(AX319:AX319)</f>
        <v>0</v>
      </c>
      <c r="BA320" s="762"/>
    </row>
    <row r="321" spans="13:53" ht="18" x14ac:dyDescent="0.25">
      <c r="M321" s="338"/>
      <c r="AA321" s="338"/>
      <c r="AI321" s="1087" t="s">
        <v>1075</v>
      </c>
      <c r="AJ321" s="1088"/>
      <c r="AK321" s="1088"/>
      <c r="AL321" s="1088"/>
      <c r="AM321" s="1089"/>
      <c r="AN321" s="823" t="s">
        <v>1076</v>
      </c>
      <c r="AO321" s="562">
        <f t="shared" si="61"/>
        <v>0</v>
      </c>
      <c r="AP321" s="818"/>
      <c r="BA321" s="762"/>
    </row>
    <row r="322" spans="13:53" ht="18" x14ac:dyDescent="0.25">
      <c r="M322" s="338"/>
      <c r="AA322" s="338"/>
      <c r="AI322" s="1087" t="s">
        <v>1077</v>
      </c>
      <c r="AJ322" s="1088"/>
      <c r="AK322" s="1088"/>
      <c r="AL322" s="1088"/>
      <c r="AM322" s="1089"/>
      <c r="AN322" s="824" t="s">
        <v>1078</v>
      </c>
      <c r="AO322" s="562">
        <f t="shared" si="61"/>
        <v>0</v>
      </c>
      <c r="AP322" s="818"/>
      <c r="AR322" s="1101" t="s">
        <v>299</v>
      </c>
      <c r="AS322" s="1094"/>
      <c r="AT322" s="1094"/>
      <c r="AU322" s="1094"/>
      <c r="AV322" s="1094"/>
      <c r="AW322" s="1095"/>
      <c r="AX322" s="585" t="s">
        <v>255</v>
      </c>
      <c r="AY322" s="380"/>
      <c r="BA322" s="762"/>
    </row>
    <row r="323" spans="13:53" ht="18" x14ac:dyDescent="0.25">
      <c r="M323" s="338"/>
      <c r="AA323" s="338"/>
      <c r="AI323" s="1087" t="s">
        <v>1079</v>
      </c>
      <c r="AJ323" s="1088"/>
      <c r="AK323" s="1088"/>
      <c r="AL323" s="1088"/>
      <c r="AM323" s="1089"/>
      <c r="AN323" s="825" t="s">
        <v>1080</v>
      </c>
      <c r="AO323" s="562">
        <f t="shared" si="61"/>
        <v>0</v>
      </c>
      <c r="AP323" s="818"/>
      <c r="AR323" s="1097" t="s">
        <v>1081</v>
      </c>
      <c r="AS323" s="1097"/>
      <c r="AT323" s="1097"/>
      <c r="AU323" s="1097"/>
      <c r="AV323" s="1097"/>
      <c r="AW323" s="826" t="s">
        <v>1082</v>
      </c>
      <c r="AX323" s="562">
        <f>COUNTIF($A$1:$GO$128,AW323)</f>
        <v>0</v>
      </c>
      <c r="AY323" s="827"/>
      <c r="BA323" s="762"/>
    </row>
    <row r="324" spans="13:53" ht="18" x14ac:dyDescent="0.25">
      <c r="M324" s="338"/>
      <c r="AA324" s="338"/>
      <c r="AI324" s="1087" t="s">
        <v>1083</v>
      </c>
      <c r="AJ324" s="1088"/>
      <c r="AK324" s="1088"/>
      <c r="AL324" s="1088"/>
      <c r="AM324" s="1089"/>
      <c r="AN324" s="828" t="s">
        <v>1084</v>
      </c>
      <c r="AO324" s="562">
        <f t="shared" si="61"/>
        <v>0</v>
      </c>
      <c r="AP324" s="818"/>
      <c r="AR324" s="1097" t="s">
        <v>1085</v>
      </c>
      <c r="AS324" s="1097"/>
      <c r="AT324" s="1097"/>
      <c r="AU324" s="1097"/>
      <c r="AV324" s="1097"/>
      <c r="AW324" s="829" t="s">
        <v>1086</v>
      </c>
      <c r="AX324" s="562">
        <f>COUNTIF($A$1:$GO$128,AW324)</f>
        <v>0</v>
      </c>
      <c r="AY324" s="827"/>
      <c r="BA324" s="762"/>
    </row>
    <row r="325" spans="13:53" ht="18" x14ac:dyDescent="0.25">
      <c r="M325" s="338"/>
      <c r="AA325" s="338"/>
      <c r="AI325" s="1087" t="s">
        <v>1087</v>
      </c>
      <c r="AJ325" s="1088"/>
      <c r="AK325" s="1088"/>
      <c r="AL325" s="1088"/>
      <c r="AM325" s="1089"/>
      <c r="AN325" s="830" t="s">
        <v>1088</v>
      </c>
      <c r="AO325" s="562">
        <f t="shared" si="61"/>
        <v>0</v>
      </c>
      <c r="AP325" s="818"/>
      <c r="AR325" s="1097" t="s">
        <v>1089</v>
      </c>
      <c r="AS325" s="1097"/>
      <c r="AT325" s="1097"/>
      <c r="AU325" s="1097"/>
      <c r="AV325" s="1097"/>
      <c r="AW325" s="831" t="s">
        <v>1090</v>
      </c>
      <c r="AX325" s="562">
        <f>COUNTIF($A$1:$GO$128,AW325)</f>
        <v>0</v>
      </c>
      <c r="AY325" s="827"/>
      <c r="BA325" s="762"/>
    </row>
    <row r="326" spans="13:53" ht="18" x14ac:dyDescent="0.25">
      <c r="M326" s="338"/>
      <c r="AA326" s="338"/>
      <c r="AI326" s="1087" t="s">
        <v>1091</v>
      </c>
      <c r="AJ326" s="1088"/>
      <c r="AK326" s="1088"/>
      <c r="AL326" s="1088"/>
      <c r="AM326" s="1089"/>
      <c r="AN326" s="832" t="s">
        <v>1092</v>
      </c>
      <c r="AO326" s="562">
        <f t="shared" si="61"/>
        <v>0</v>
      </c>
      <c r="AP326" s="818"/>
      <c r="AR326" s="1097" t="s">
        <v>1093</v>
      </c>
      <c r="AS326" s="1097"/>
      <c r="AT326" s="1097"/>
      <c r="AU326" s="1097"/>
      <c r="AV326" s="1097"/>
      <c r="AW326" s="833" t="s">
        <v>1094</v>
      </c>
      <c r="AX326" s="562">
        <f>COUNTIF($A$1:$GO$128,AW326)</f>
        <v>0</v>
      </c>
      <c r="AY326" s="827"/>
      <c r="BA326" s="762"/>
    </row>
    <row r="327" spans="13:53" ht="18" x14ac:dyDescent="0.25">
      <c r="M327" s="338"/>
      <c r="AA327" s="338"/>
      <c r="AI327" s="1087" t="s">
        <v>1095</v>
      </c>
      <c r="AJ327" s="1088"/>
      <c r="AK327" s="1088"/>
      <c r="AL327" s="1088"/>
      <c r="AM327" s="1089"/>
      <c r="AN327" s="834" t="s">
        <v>1096</v>
      </c>
      <c r="AO327" s="562">
        <f t="shared" si="61"/>
        <v>0</v>
      </c>
      <c r="AP327" s="818"/>
      <c r="AR327" s="1090" t="s">
        <v>1097</v>
      </c>
      <c r="AS327" s="1091"/>
      <c r="AT327" s="1091"/>
      <c r="AU327" s="1091"/>
      <c r="AV327" s="1092"/>
      <c r="AW327" s="835"/>
      <c r="AX327" s="579">
        <f>SUM(AX323:AX326)</f>
        <v>0</v>
      </c>
      <c r="BA327" s="762"/>
    </row>
    <row r="328" spans="13:53" ht="18" x14ac:dyDescent="0.25">
      <c r="M328" s="338"/>
      <c r="AA328" s="338"/>
      <c r="AI328" s="1084" t="s">
        <v>1098</v>
      </c>
      <c r="AJ328" s="1085"/>
      <c r="AK328" s="1085"/>
      <c r="AL328" s="1085"/>
      <c r="AM328" s="1086"/>
      <c r="AN328" s="578"/>
      <c r="AO328" s="579">
        <f>SUM(AO318:AO327)</f>
        <v>0</v>
      </c>
      <c r="AP328" s="378"/>
      <c r="BA328" s="762"/>
    </row>
    <row r="329" spans="13:53" ht="18" x14ac:dyDescent="0.25">
      <c r="M329" s="338"/>
      <c r="AA329" s="338"/>
      <c r="AI329" s="777"/>
      <c r="BA329" s="762"/>
    </row>
    <row r="330" spans="13:53" ht="18" x14ac:dyDescent="0.25">
      <c r="M330" s="338"/>
      <c r="AA330" s="338"/>
      <c r="AI330" s="1093" t="s">
        <v>340</v>
      </c>
      <c r="AJ330" s="1094"/>
      <c r="AK330" s="1094"/>
      <c r="AL330" s="1094"/>
      <c r="AM330" s="1094"/>
      <c r="AN330" s="1095"/>
      <c r="AO330" s="585" t="s">
        <v>255</v>
      </c>
      <c r="AP330" s="380"/>
      <c r="BA330" s="762"/>
    </row>
    <row r="331" spans="13:53" ht="18" x14ac:dyDescent="0.25">
      <c r="M331" s="338"/>
      <c r="AA331" s="338"/>
      <c r="AI331" s="1087" t="s">
        <v>1099</v>
      </c>
      <c r="AJ331" s="1088"/>
      <c r="AK331" s="1088"/>
      <c r="AL331" s="1088"/>
      <c r="AM331" s="1088"/>
      <c r="AN331" s="836" t="s">
        <v>1100</v>
      </c>
      <c r="AO331" s="562">
        <f>COUNTIF($A$1:$GO$128,AN331)</f>
        <v>0</v>
      </c>
      <c r="AP331" s="813"/>
      <c r="BA331" s="762"/>
    </row>
    <row r="332" spans="13:53" ht="18" x14ac:dyDescent="0.25">
      <c r="M332" s="338"/>
      <c r="AA332" s="338"/>
      <c r="AI332" s="1087"/>
      <c r="AJ332" s="1088"/>
      <c r="AK332" s="1088"/>
      <c r="AL332" s="1088"/>
      <c r="AM332" s="1096"/>
      <c r="AN332" s="837"/>
      <c r="AO332" s="562"/>
      <c r="AP332" s="813"/>
      <c r="BA332" s="762"/>
    </row>
    <row r="333" spans="13:53" ht="18" x14ac:dyDescent="0.25">
      <c r="M333" s="338"/>
      <c r="AA333" s="338"/>
      <c r="AI333" s="1084" t="s">
        <v>1101</v>
      </c>
      <c r="AJ333" s="1085"/>
      <c r="AK333" s="1085"/>
      <c r="AL333" s="1085"/>
      <c r="AM333" s="1086"/>
      <c r="AN333" s="578"/>
      <c r="AO333" s="579">
        <f>SUM(AO331:AO332)</f>
        <v>0</v>
      </c>
      <c r="AP333" s="378"/>
      <c r="BA333" s="762"/>
    </row>
    <row r="334" spans="13:53" ht="18" x14ac:dyDescent="0.25">
      <c r="M334" s="338"/>
      <c r="AA334" s="338"/>
      <c r="AI334" s="838"/>
      <c r="AJ334" s="839"/>
      <c r="AK334" s="839"/>
      <c r="AL334" s="839"/>
      <c r="AM334" s="839"/>
      <c r="AN334" s="840"/>
      <c r="AO334" s="841"/>
      <c r="AP334" s="378"/>
      <c r="BA334" s="762"/>
    </row>
    <row r="335" spans="13:53" ht="18" x14ac:dyDescent="0.25">
      <c r="M335" s="338"/>
      <c r="AA335" s="338"/>
      <c r="AI335" s="838"/>
      <c r="AJ335" s="839"/>
      <c r="AK335" s="839"/>
      <c r="AL335" s="839"/>
      <c r="AM335" s="839"/>
      <c r="AN335" s="840"/>
      <c r="AO335" s="841"/>
      <c r="AP335" s="378"/>
      <c r="BA335" s="762"/>
    </row>
    <row r="336" spans="13:53" ht="18" x14ac:dyDescent="0.25">
      <c r="M336" s="338"/>
      <c r="AA336" s="338"/>
      <c r="AI336" s="838"/>
      <c r="AJ336" s="839"/>
      <c r="AK336" s="839"/>
      <c r="AL336" s="839"/>
      <c r="AM336" s="839"/>
      <c r="AN336" s="840"/>
      <c r="AO336" s="841"/>
      <c r="AP336" s="378"/>
      <c r="BA336" s="762"/>
    </row>
    <row r="337" spans="13:53" ht="18" x14ac:dyDescent="0.25">
      <c r="M337" s="338"/>
      <c r="AA337" s="338"/>
      <c r="AI337" s="838"/>
      <c r="AJ337" s="839"/>
      <c r="AK337" s="839"/>
      <c r="AL337" s="839"/>
      <c r="AM337" s="839"/>
      <c r="AN337" s="840"/>
      <c r="AO337" s="841"/>
      <c r="AP337" s="378"/>
      <c r="BA337" s="762"/>
    </row>
    <row r="338" spans="13:53" ht="18" x14ac:dyDescent="0.25">
      <c r="M338" s="338"/>
      <c r="AA338" s="338"/>
      <c r="AI338" s="838"/>
      <c r="AJ338" s="839"/>
      <c r="AK338" s="839"/>
      <c r="AL338" s="839"/>
      <c r="AM338" s="839"/>
      <c r="AN338" s="840"/>
      <c r="AO338" s="841"/>
      <c r="AP338" s="378"/>
      <c r="BA338" s="762"/>
    </row>
    <row r="339" spans="13:53" ht="18" x14ac:dyDescent="0.25">
      <c r="M339" s="338"/>
      <c r="AA339" s="338"/>
      <c r="AI339" s="838"/>
      <c r="AJ339" s="839"/>
      <c r="AK339" s="839"/>
      <c r="AL339" s="839"/>
      <c r="AM339" s="839"/>
      <c r="AN339" s="840"/>
      <c r="AO339" s="841"/>
      <c r="AP339" s="378"/>
      <c r="BA339" s="762"/>
    </row>
    <row r="340" spans="13:53" ht="18" x14ac:dyDescent="0.25">
      <c r="M340" s="338"/>
      <c r="AA340" s="338"/>
      <c r="AI340" s="838"/>
      <c r="AJ340" s="839"/>
      <c r="AK340" s="839"/>
      <c r="AL340" s="839"/>
      <c r="AM340" s="839"/>
      <c r="AN340" s="840"/>
      <c r="AO340" s="841"/>
      <c r="AP340" s="378"/>
      <c r="BA340" s="762"/>
    </row>
    <row r="341" spans="13:53" ht="18" x14ac:dyDescent="0.25">
      <c r="M341" s="338"/>
      <c r="AA341" s="338"/>
      <c r="AI341" s="838"/>
      <c r="AJ341" s="839"/>
      <c r="AK341" s="839"/>
      <c r="AL341" s="839"/>
      <c r="AM341" s="839"/>
      <c r="AN341" s="840"/>
      <c r="AO341" s="841"/>
      <c r="AP341" s="378"/>
      <c r="BA341" s="762"/>
    </row>
    <row r="342" spans="13:53" ht="18" x14ac:dyDescent="0.25">
      <c r="M342" s="338"/>
      <c r="AA342" s="338"/>
      <c r="AI342" s="838"/>
      <c r="AJ342" s="839"/>
      <c r="AK342" s="839"/>
      <c r="AL342" s="839"/>
      <c r="AM342" s="839"/>
      <c r="AN342" s="840"/>
      <c r="AO342" s="841"/>
      <c r="AP342" s="378"/>
      <c r="BA342" s="762"/>
    </row>
    <row r="343" spans="13:53" ht="18" x14ac:dyDescent="0.25">
      <c r="M343" s="338"/>
      <c r="AA343" s="338"/>
      <c r="AI343" s="838"/>
      <c r="AJ343" s="839"/>
      <c r="AK343" s="839"/>
      <c r="AL343" s="839"/>
      <c r="AM343" s="839"/>
      <c r="AN343" s="840"/>
      <c r="AO343" s="841"/>
      <c r="AP343" s="378"/>
      <c r="BA343" s="762"/>
    </row>
    <row r="344" spans="13:53" ht="18" x14ac:dyDescent="0.25">
      <c r="M344" s="338"/>
      <c r="AA344" s="338"/>
      <c r="AI344" s="838"/>
      <c r="AJ344" s="839"/>
      <c r="AK344" s="839"/>
      <c r="AL344" s="839"/>
      <c r="AM344" s="839"/>
      <c r="AN344" s="840"/>
      <c r="AO344" s="841"/>
      <c r="AP344" s="378"/>
      <c r="BA344" s="762"/>
    </row>
    <row r="345" spans="13:53" ht="18" x14ac:dyDescent="0.25">
      <c r="M345" s="338"/>
      <c r="AA345" s="338"/>
      <c r="AI345" s="777"/>
      <c r="BA345" s="762"/>
    </row>
    <row r="346" spans="13:53" ht="15.75" thickBot="1" x14ac:dyDescent="0.3">
      <c r="M346" s="338"/>
      <c r="AA346" s="338"/>
      <c r="AI346" s="842"/>
      <c r="AJ346" s="843"/>
      <c r="AK346" s="843"/>
      <c r="AL346" s="843"/>
      <c r="AM346" s="843"/>
      <c r="AN346" s="843"/>
      <c r="AO346" s="843"/>
      <c r="AP346" s="843"/>
      <c r="AQ346" s="843"/>
      <c r="AR346" s="843"/>
      <c r="AS346" s="843"/>
      <c r="AT346" s="843"/>
      <c r="AU346" s="843"/>
      <c r="AV346" s="843"/>
      <c r="AW346" s="843"/>
      <c r="AX346" s="843"/>
      <c r="AY346" s="843"/>
      <c r="AZ346" s="843"/>
      <c r="BA346" s="844"/>
    </row>
    <row r="347" spans="13:53" x14ac:dyDescent="0.25">
      <c r="M347" s="338"/>
      <c r="AA347" s="338"/>
    </row>
    <row r="348" spans="13:53" x14ac:dyDescent="0.25">
      <c r="M348" s="338"/>
      <c r="AA348" s="338"/>
    </row>
    <row r="349" spans="13:53" x14ac:dyDescent="0.25">
      <c r="M349" s="338"/>
      <c r="AA349" s="338"/>
    </row>
    <row r="350" spans="13:53" x14ac:dyDescent="0.25">
      <c r="M350" s="338"/>
      <c r="AA350" s="338"/>
    </row>
    <row r="351" spans="13:53" x14ac:dyDescent="0.25">
      <c r="M351" s="338"/>
      <c r="AA351" s="338"/>
    </row>
    <row r="352" spans="13:53" ht="18" x14ac:dyDescent="0.25">
      <c r="M352" s="338"/>
      <c r="AA352" s="338"/>
      <c r="AZ352" s="737"/>
    </row>
    <row r="353" spans="13:53" ht="18" x14ac:dyDescent="0.25">
      <c r="M353" s="338"/>
      <c r="AA353" s="338"/>
      <c r="AI353" s="845"/>
      <c r="AJ353" s="845"/>
      <c r="AK353" s="845"/>
      <c r="AL353" s="845"/>
      <c r="AM353" s="845"/>
      <c r="AQ353" s="846"/>
    </row>
    <row r="354" spans="13:53" ht="18" x14ac:dyDescent="0.25">
      <c r="M354" s="338"/>
      <c r="AA354" s="338"/>
      <c r="AI354" s="1080"/>
      <c r="AJ354" s="1080"/>
      <c r="AK354" s="1080"/>
      <c r="AL354" s="1080"/>
      <c r="AM354" s="1080"/>
      <c r="AN354" s="1080"/>
      <c r="AO354" s="846"/>
      <c r="AP354" s="846"/>
      <c r="AQ354" s="597"/>
      <c r="BA354" s="737"/>
    </row>
    <row r="355" spans="13:53" ht="18" x14ac:dyDescent="0.25">
      <c r="M355" s="338"/>
      <c r="AA355" s="338"/>
      <c r="AI355" s="1081"/>
      <c r="AJ355" s="1081"/>
      <c r="AK355" s="1081"/>
      <c r="AL355" s="1081"/>
      <c r="AM355" s="1081"/>
      <c r="AN355" s="8"/>
      <c r="AO355" s="597"/>
      <c r="AP355" s="597"/>
      <c r="AQ355" s="846"/>
      <c r="AZ355" s="737"/>
      <c r="BA355" s="846"/>
    </row>
    <row r="356" spans="13:53" ht="18" x14ac:dyDescent="0.25">
      <c r="M356" s="338"/>
      <c r="AA356" s="338"/>
      <c r="AI356" s="1080"/>
      <c r="AJ356" s="1080"/>
      <c r="AK356" s="1080"/>
      <c r="AL356" s="1080"/>
      <c r="AM356" s="1080"/>
      <c r="AN356" s="1080"/>
      <c r="AO356" s="846"/>
      <c r="AP356" s="846"/>
      <c r="AQ356" s="847"/>
      <c r="AZ356" s="846"/>
      <c r="BA356" s="737"/>
    </row>
    <row r="357" spans="13:53" ht="18" x14ac:dyDescent="0.25">
      <c r="M357" s="338"/>
      <c r="AA357" s="338"/>
      <c r="AI357" s="1080"/>
      <c r="AJ357" s="1080"/>
      <c r="AK357" s="1080"/>
      <c r="AL357" s="1080"/>
      <c r="AM357" s="1080"/>
      <c r="AN357" s="1080"/>
      <c r="AO357" s="847"/>
      <c r="AP357" s="847"/>
      <c r="AQ357" s="847"/>
      <c r="AZ357" s="737"/>
      <c r="BA357" s="737"/>
    </row>
    <row r="358" spans="13:53" ht="18" x14ac:dyDescent="0.25">
      <c r="M358" s="338"/>
      <c r="AA358" s="338"/>
      <c r="AI358" s="737"/>
      <c r="AJ358" s="737"/>
      <c r="AK358" s="737"/>
      <c r="AL358" s="737"/>
      <c r="AM358" s="737"/>
      <c r="AN358" s="737"/>
      <c r="AO358" s="847"/>
      <c r="AP358" s="847"/>
      <c r="AQ358" s="847"/>
      <c r="AZ358" s="737"/>
      <c r="BA358" s="737"/>
    </row>
    <row r="359" spans="13:53" ht="18" x14ac:dyDescent="0.25">
      <c r="M359" s="338"/>
      <c r="AA359" s="338"/>
      <c r="AI359" s="737"/>
      <c r="AJ359" s="737"/>
      <c r="AK359" s="737"/>
      <c r="AL359" s="737"/>
      <c r="AM359" s="737"/>
      <c r="AN359" s="737"/>
      <c r="AO359" s="847"/>
      <c r="AP359" s="847"/>
      <c r="AQ359" s="847"/>
      <c r="AZ359" s="737"/>
      <c r="BA359" s="737"/>
    </row>
    <row r="360" spans="13:53" ht="18" x14ac:dyDescent="0.25">
      <c r="M360" s="338"/>
      <c r="AA360" s="338"/>
      <c r="AI360" s="737"/>
      <c r="AJ360" s="737"/>
      <c r="AK360" s="737"/>
      <c r="AL360" s="737"/>
      <c r="AM360" s="737"/>
      <c r="AN360" s="737"/>
      <c r="AO360" s="847"/>
      <c r="AP360" s="847"/>
      <c r="AQ360" s="847"/>
      <c r="AZ360" s="737"/>
      <c r="BA360" s="737"/>
    </row>
    <row r="361" spans="13:53" ht="18" x14ac:dyDescent="0.25">
      <c r="M361" s="338"/>
      <c r="AA361" s="338"/>
      <c r="AI361" s="737"/>
      <c r="AJ361" s="737"/>
      <c r="AK361" s="737"/>
      <c r="AL361" s="737"/>
      <c r="AM361" s="737"/>
      <c r="AN361" s="737"/>
      <c r="AO361" s="847"/>
      <c r="AP361" s="847"/>
      <c r="AQ361" s="847"/>
      <c r="AZ361" s="737"/>
      <c r="BA361" s="737"/>
    </row>
    <row r="362" spans="13:53" ht="18" x14ac:dyDescent="0.25">
      <c r="M362" s="338"/>
      <c r="AA362" s="338"/>
      <c r="AI362" s="737"/>
      <c r="AJ362" s="737"/>
      <c r="AK362" s="737"/>
      <c r="AL362" s="737"/>
      <c r="AM362" s="737"/>
      <c r="AN362" s="737"/>
      <c r="AO362" s="847"/>
      <c r="AP362" s="847"/>
      <c r="AQ362" s="847"/>
      <c r="AZ362" s="737"/>
      <c r="BA362" s="737"/>
    </row>
    <row r="363" spans="13:53" ht="18" x14ac:dyDescent="0.25">
      <c r="M363" s="338"/>
      <c r="AA363" s="338"/>
      <c r="AI363" s="737"/>
      <c r="AJ363" s="737"/>
      <c r="AK363" s="737"/>
      <c r="AL363" s="737"/>
      <c r="AM363" s="737"/>
      <c r="AN363" s="737"/>
      <c r="AO363" s="847"/>
      <c r="AP363" s="847"/>
      <c r="AQ363" s="847"/>
      <c r="AZ363" s="737"/>
      <c r="BA363" s="737"/>
    </row>
    <row r="364" spans="13:53" ht="18" x14ac:dyDescent="0.25">
      <c r="M364" s="338"/>
      <c r="AA364" s="338"/>
      <c r="AI364" s="737"/>
      <c r="AJ364" s="737"/>
      <c r="AK364" s="737"/>
      <c r="AL364" s="737"/>
      <c r="AM364" s="737"/>
      <c r="AN364" s="737"/>
      <c r="AO364" s="847"/>
      <c r="AP364" s="847"/>
      <c r="AQ364" s="847"/>
      <c r="AZ364" s="737"/>
      <c r="BA364" s="737"/>
    </row>
    <row r="365" spans="13:53" ht="18" x14ac:dyDescent="0.25">
      <c r="M365" s="338"/>
      <c r="AA365" s="338"/>
      <c r="AI365" s="737"/>
      <c r="AJ365" s="737"/>
      <c r="AK365" s="737"/>
      <c r="AL365" s="737"/>
      <c r="AM365" s="737"/>
      <c r="AN365" s="737"/>
      <c r="AO365" s="847"/>
      <c r="AP365" s="847"/>
      <c r="AQ365" s="847"/>
      <c r="AZ365" s="737"/>
      <c r="BA365" s="737"/>
    </row>
    <row r="366" spans="13:53" ht="18" x14ac:dyDescent="0.25">
      <c r="M366" s="338"/>
      <c r="AA366" s="338"/>
      <c r="AI366" s="737"/>
      <c r="AJ366" s="737"/>
      <c r="AK366" s="737"/>
      <c r="AL366" s="737"/>
      <c r="AM366" s="737"/>
      <c r="AN366" s="737"/>
      <c r="AO366" s="847"/>
      <c r="AP366" s="847"/>
      <c r="AQ366" s="847"/>
      <c r="AZ366" s="737"/>
      <c r="BA366" s="737"/>
    </row>
    <row r="367" spans="13:53" ht="18" x14ac:dyDescent="0.25">
      <c r="M367" s="338"/>
      <c r="AA367" s="338"/>
      <c r="AI367" s="737"/>
      <c r="AJ367" s="737"/>
      <c r="AK367" s="737"/>
      <c r="AL367" s="737"/>
      <c r="AM367" s="737"/>
      <c r="AN367" s="737"/>
      <c r="AO367" s="847"/>
      <c r="AP367" s="847"/>
      <c r="AQ367" s="847"/>
      <c r="AZ367" s="737"/>
      <c r="BA367" s="737"/>
    </row>
    <row r="368" spans="13:53" ht="18" x14ac:dyDescent="0.25">
      <c r="M368" s="338"/>
      <c r="AA368" s="338"/>
      <c r="AI368" s="737"/>
      <c r="AJ368" s="737"/>
      <c r="AK368" s="737"/>
      <c r="AL368" s="737"/>
      <c r="AM368" s="737"/>
      <c r="AN368" s="737"/>
      <c r="AO368" s="847"/>
      <c r="AP368" s="847"/>
      <c r="AQ368" s="847"/>
      <c r="AZ368" s="737"/>
      <c r="BA368" s="737"/>
    </row>
    <row r="369" spans="13:53" ht="18" x14ac:dyDescent="0.25">
      <c r="M369" s="338"/>
      <c r="AA369" s="338"/>
      <c r="AI369" s="737"/>
      <c r="AJ369" s="737"/>
      <c r="AK369" s="737"/>
      <c r="AL369" s="737"/>
      <c r="AM369" s="737"/>
      <c r="AN369" s="737"/>
      <c r="AO369" s="847"/>
      <c r="AP369" s="847"/>
      <c r="AQ369" s="847"/>
      <c r="AZ369" s="737"/>
      <c r="BA369" s="737"/>
    </row>
    <row r="370" spans="13:53" ht="18" x14ac:dyDescent="0.25">
      <c r="M370" s="338"/>
      <c r="AA370" s="338"/>
      <c r="AI370" s="845"/>
      <c r="AJ370" s="845"/>
      <c r="AK370" s="845"/>
      <c r="AL370" s="845"/>
      <c r="AM370" s="845"/>
      <c r="AQ370" s="847"/>
      <c r="AZ370" s="737"/>
      <c r="BA370" s="737"/>
    </row>
    <row r="371" spans="13:53" ht="18" x14ac:dyDescent="0.25">
      <c r="M371" s="338"/>
      <c r="AA371" s="338"/>
      <c r="AI371" s="845"/>
      <c r="AJ371" s="845"/>
      <c r="AK371" s="845"/>
      <c r="AL371" s="845"/>
      <c r="AM371" s="845"/>
      <c r="AQ371" s="847"/>
      <c r="AZ371" s="737"/>
      <c r="BA371" s="737"/>
    </row>
    <row r="372" spans="13:53" ht="18" x14ac:dyDescent="0.25">
      <c r="M372" s="338"/>
      <c r="AA372" s="338"/>
      <c r="AI372" s="845"/>
      <c r="AJ372" s="845"/>
      <c r="AK372" s="845"/>
      <c r="AL372" s="845"/>
      <c r="AM372" s="845"/>
      <c r="AQ372" s="847"/>
      <c r="AZ372" s="737"/>
      <c r="BA372" s="737"/>
    </row>
    <row r="373" spans="13:53" ht="18" x14ac:dyDescent="0.25">
      <c r="M373" s="338"/>
      <c r="AA373" s="338"/>
      <c r="AI373" s="845"/>
      <c r="AJ373" s="845"/>
      <c r="AK373" s="845"/>
      <c r="AL373" s="845"/>
      <c r="AM373" s="845"/>
      <c r="AQ373" s="847"/>
      <c r="AZ373" s="737"/>
      <c r="BA373" s="737"/>
    </row>
    <row r="374" spans="13:53" ht="18" x14ac:dyDescent="0.25">
      <c r="M374" s="338"/>
      <c r="AA374" s="338"/>
      <c r="AI374" s="845"/>
      <c r="AJ374" s="845"/>
      <c r="AK374" s="845"/>
      <c r="AL374" s="845"/>
      <c r="AM374" s="845"/>
      <c r="AQ374" s="847"/>
      <c r="AZ374" s="737"/>
      <c r="BA374" s="737"/>
    </row>
    <row r="375" spans="13:53" ht="18" x14ac:dyDescent="0.25">
      <c r="M375" s="338"/>
      <c r="AA375" s="338"/>
      <c r="AI375" s="845"/>
      <c r="AJ375" s="845"/>
      <c r="AK375" s="845"/>
      <c r="AL375" s="845"/>
      <c r="AM375" s="845"/>
      <c r="AQ375" s="847"/>
      <c r="AZ375" s="737"/>
      <c r="BA375" s="737"/>
    </row>
    <row r="376" spans="13:53" ht="18" x14ac:dyDescent="0.25">
      <c r="M376" s="338"/>
      <c r="AA376" s="338"/>
      <c r="AI376" s="845"/>
      <c r="AJ376" s="845"/>
      <c r="AK376" s="845"/>
      <c r="AL376" s="845"/>
      <c r="AM376" s="845"/>
      <c r="AQ376" s="847"/>
      <c r="AZ376" s="737"/>
      <c r="BA376" s="737"/>
    </row>
    <row r="377" spans="13:53" ht="18" x14ac:dyDescent="0.25">
      <c r="M377" s="338"/>
      <c r="AA377" s="338"/>
      <c r="AI377" s="845"/>
      <c r="AJ377" s="845"/>
      <c r="AK377" s="845"/>
      <c r="AL377" s="845"/>
      <c r="AM377" s="845"/>
      <c r="AQ377" s="847"/>
      <c r="AZ377" s="737"/>
      <c r="BA377" s="737"/>
    </row>
    <row r="378" spans="13:53" ht="18" x14ac:dyDescent="0.25">
      <c r="M378" s="338"/>
      <c r="AA378" s="338"/>
      <c r="AI378" s="845"/>
      <c r="AJ378" s="845"/>
      <c r="AK378" s="845"/>
      <c r="AL378" s="845"/>
      <c r="AM378" s="845"/>
      <c r="AQ378" s="847"/>
      <c r="AZ378" s="737"/>
      <c r="BA378" s="737"/>
    </row>
    <row r="379" spans="13:53" ht="18" x14ac:dyDescent="0.25">
      <c r="M379" s="338"/>
      <c r="AA379" s="338"/>
      <c r="AI379" s="845"/>
      <c r="AJ379" s="845"/>
      <c r="AK379" s="845"/>
      <c r="AL379" s="845"/>
      <c r="AM379" s="845"/>
      <c r="AQ379" s="847"/>
      <c r="AZ379" s="737"/>
      <c r="BA379" s="737"/>
    </row>
    <row r="380" spans="13:53" ht="18" x14ac:dyDescent="0.25">
      <c r="M380" s="338"/>
      <c r="AA380" s="338"/>
      <c r="AI380" s="845"/>
      <c r="AJ380" s="845"/>
      <c r="AK380" s="845"/>
      <c r="AL380" s="845"/>
      <c r="AM380" s="845"/>
      <c r="AQ380" s="847"/>
      <c r="AZ380" s="737"/>
      <c r="BA380" s="737"/>
    </row>
    <row r="381" spans="13:53" ht="18" x14ac:dyDescent="0.25">
      <c r="M381" s="338"/>
      <c r="AA381" s="338"/>
      <c r="AI381" s="845"/>
      <c r="AJ381" s="845"/>
      <c r="AK381" s="845"/>
      <c r="AL381" s="845"/>
      <c r="AM381" s="845"/>
      <c r="AQ381" s="847"/>
      <c r="AZ381" s="737"/>
      <c r="BA381" s="737"/>
    </row>
    <row r="382" spans="13:53" ht="18" x14ac:dyDescent="0.25">
      <c r="M382" s="338"/>
      <c r="AA382" s="338"/>
      <c r="AI382" s="845"/>
      <c r="AJ382" s="845"/>
      <c r="AK382" s="845"/>
      <c r="AL382" s="845"/>
      <c r="AM382" s="845"/>
      <c r="AQ382" s="847"/>
      <c r="AZ382" s="737"/>
      <c r="BA382" s="737"/>
    </row>
    <row r="383" spans="13:53" ht="18" x14ac:dyDescent="0.25">
      <c r="M383" s="338"/>
      <c r="AI383" s="845"/>
      <c r="AJ383" s="845"/>
      <c r="AK383" s="845"/>
      <c r="AL383" s="845"/>
      <c r="AM383" s="845"/>
      <c r="AQ383" s="847"/>
      <c r="AZ383" s="737"/>
      <c r="BA383" s="737"/>
    </row>
    <row r="384" spans="13:53" ht="18" x14ac:dyDescent="0.25">
      <c r="M384" s="338"/>
      <c r="AI384" s="845"/>
      <c r="AJ384" s="845"/>
      <c r="AK384" s="845"/>
      <c r="AL384" s="845"/>
      <c r="AM384" s="845"/>
      <c r="AQ384" s="847"/>
      <c r="AZ384" s="737"/>
      <c r="BA384" s="737"/>
    </row>
    <row r="385" spans="13:53" ht="18" x14ac:dyDescent="0.25">
      <c r="M385" s="338"/>
      <c r="AI385" s="845"/>
      <c r="AJ385" s="845"/>
      <c r="AK385" s="845"/>
      <c r="AL385" s="845"/>
      <c r="AM385" s="845"/>
      <c r="AQ385" s="846"/>
      <c r="AZ385" s="737"/>
    </row>
    <row r="386" spans="13:53" ht="18" x14ac:dyDescent="0.25">
      <c r="M386" s="338"/>
      <c r="AI386" s="845"/>
      <c r="AJ386" s="845"/>
      <c r="AK386" s="845"/>
      <c r="AL386" s="845"/>
      <c r="AM386" s="845"/>
      <c r="AQ386" s="597"/>
      <c r="BA386" s="737"/>
    </row>
    <row r="387" spans="13:53" ht="18" x14ac:dyDescent="0.25">
      <c r="M387" s="338"/>
      <c r="AI387" s="1081"/>
      <c r="AJ387" s="1081"/>
      <c r="AK387" s="1081"/>
      <c r="AL387" s="1081"/>
      <c r="AM387" s="1081"/>
      <c r="AN387" s="8"/>
      <c r="AO387" s="597"/>
      <c r="AP387" s="597"/>
      <c r="AQ387" s="597"/>
      <c r="AZ387" s="737"/>
      <c r="BA387" s="737"/>
    </row>
    <row r="388" spans="13:53" ht="18" x14ac:dyDescent="0.25">
      <c r="M388" s="338"/>
      <c r="AI388" s="846"/>
      <c r="AJ388" s="846"/>
      <c r="AK388" s="846"/>
      <c r="AL388" s="846"/>
      <c r="AM388" s="846"/>
      <c r="AN388" s="8"/>
      <c r="AO388" s="597"/>
      <c r="AP388" s="597"/>
      <c r="AQ388" s="597"/>
      <c r="AZ388" s="737"/>
      <c r="BA388" s="737"/>
    </row>
    <row r="389" spans="13:53" ht="18" x14ac:dyDescent="0.25">
      <c r="M389" s="338"/>
      <c r="AI389" s="846"/>
      <c r="AJ389" s="846"/>
      <c r="AK389" s="846"/>
      <c r="AL389" s="846"/>
      <c r="AM389" s="846"/>
      <c r="AN389" s="8"/>
      <c r="AO389" s="597"/>
      <c r="AP389" s="597"/>
      <c r="AQ389" s="846"/>
      <c r="AZ389" s="737"/>
      <c r="BA389" s="846"/>
    </row>
    <row r="390" spans="13:53" ht="18" x14ac:dyDescent="0.25">
      <c r="M390" s="338"/>
      <c r="AI390" s="846"/>
      <c r="AJ390" s="846"/>
      <c r="AK390" s="846"/>
      <c r="AL390" s="846"/>
      <c r="AM390" s="846"/>
      <c r="AN390" s="8"/>
      <c r="AO390" s="597"/>
      <c r="AP390" s="597"/>
      <c r="AQ390" s="847"/>
      <c r="AR390" s="847"/>
      <c r="AS390" s="847"/>
      <c r="AT390" s="847"/>
      <c r="AU390" s="847"/>
      <c r="AZ390" s="846"/>
      <c r="BA390" s="737"/>
    </row>
    <row r="391" spans="13:53" ht="18" x14ac:dyDescent="0.25">
      <c r="M391" s="338"/>
      <c r="AI391" s="1080"/>
      <c r="AJ391" s="1080"/>
      <c r="AK391" s="1080"/>
      <c r="AL391" s="1080"/>
      <c r="AM391" s="1080"/>
      <c r="AN391" s="1080"/>
      <c r="AO391" s="846"/>
      <c r="AP391" s="846"/>
      <c r="AW391" s="737"/>
      <c r="AX391" s="737"/>
      <c r="AY391" s="737"/>
      <c r="AZ391" s="737"/>
      <c r="BA391" s="737"/>
    </row>
    <row r="392" spans="13:53" ht="18" x14ac:dyDescent="0.25">
      <c r="M392" s="338"/>
      <c r="AI392" s="1080"/>
      <c r="AJ392" s="1080"/>
      <c r="AK392" s="1080"/>
      <c r="AL392" s="1080"/>
      <c r="AM392" s="1080"/>
      <c r="AN392" s="1080"/>
      <c r="AO392" s="847"/>
      <c r="AP392" s="847"/>
      <c r="AQ392" s="846"/>
      <c r="AW392" s="737"/>
      <c r="AX392" s="737"/>
      <c r="AY392" s="737"/>
      <c r="AZ392" s="737"/>
      <c r="BA392" s="737"/>
    </row>
    <row r="393" spans="13:53" ht="18" x14ac:dyDescent="0.25">
      <c r="M393" s="338"/>
      <c r="AQ393" s="846"/>
      <c r="AW393" s="737"/>
      <c r="AX393" s="737"/>
      <c r="AY393" s="737"/>
      <c r="AZ393" s="737"/>
    </row>
    <row r="394" spans="13:53" ht="18" x14ac:dyDescent="0.25">
      <c r="M394" s="338"/>
      <c r="AI394" s="1080"/>
      <c r="AJ394" s="1080"/>
      <c r="AK394" s="1080"/>
      <c r="AL394" s="1080"/>
      <c r="AM394" s="1080"/>
      <c r="AN394" s="1080"/>
      <c r="AO394" s="846"/>
      <c r="AP394" s="846"/>
      <c r="AQ394" s="846"/>
      <c r="AR394" s="846"/>
      <c r="AS394" s="846"/>
      <c r="AT394" s="846"/>
      <c r="AU394" s="846"/>
      <c r="AW394" s="846"/>
      <c r="AX394" s="846"/>
      <c r="AY394" s="846"/>
    </row>
    <row r="395" spans="13:53" ht="18" x14ac:dyDescent="0.25">
      <c r="M395" s="338"/>
      <c r="AI395" s="1081"/>
      <c r="AJ395" s="1081"/>
      <c r="AK395" s="1081"/>
      <c r="AL395" s="1081"/>
      <c r="AM395" s="1081"/>
      <c r="AN395" s="8"/>
      <c r="AO395" s="597"/>
      <c r="AP395" s="597"/>
      <c r="AQ395" s="597"/>
      <c r="AR395" s="597"/>
      <c r="AS395" s="597"/>
      <c r="AT395" s="597"/>
      <c r="AU395" s="597"/>
      <c r="AW395" s="737"/>
      <c r="AX395" s="737"/>
      <c r="AY395" s="737"/>
      <c r="BA395" s="737"/>
    </row>
    <row r="396" spans="13:53" ht="18" x14ac:dyDescent="0.25">
      <c r="M396" s="338"/>
      <c r="AI396" s="846"/>
      <c r="AJ396" s="846"/>
      <c r="AK396" s="846"/>
      <c r="AL396" s="846"/>
      <c r="AM396" s="846"/>
      <c r="AN396" s="8"/>
      <c r="AO396" s="597"/>
      <c r="AP396" s="597"/>
      <c r="AQ396" s="597"/>
      <c r="AR396" s="597"/>
      <c r="AS396" s="597"/>
      <c r="AT396" s="597"/>
      <c r="AU396" s="597"/>
      <c r="AW396" s="737"/>
      <c r="AX396" s="737"/>
      <c r="AY396" s="737"/>
      <c r="AZ396" s="737"/>
      <c r="BA396" s="737"/>
    </row>
    <row r="397" spans="13:53" ht="18" x14ac:dyDescent="0.25">
      <c r="M397" s="338"/>
      <c r="AI397" s="846"/>
      <c r="AJ397" s="846"/>
      <c r="AK397" s="846"/>
      <c r="AL397" s="846"/>
      <c r="AM397" s="846"/>
      <c r="AN397" s="8"/>
      <c r="AO397" s="597"/>
      <c r="AP397" s="597"/>
      <c r="AQ397" s="597"/>
      <c r="AZ397" s="737"/>
      <c r="BA397" s="737"/>
    </row>
    <row r="398" spans="13:53" ht="18" x14ac:dyDescent="0.25">
      <c r="M398" s="338"/>
      <c r="AI398" s="846"/>
      <c r="AJ398" s="846"/>
      <c r="AK398" s="846"/>
      <c r="AL398" s="846"/>
      <c r="AM398" s="846"/>
      <c r="AN398" s="8"/>
      <c r="AO398" s="597"/>
      <c r="AP398" s="597"/>
      <c r="AQ398" s="597"/>
      <c r="AZ398" s="737"/>
      <c r="BA398" s="737"/>
    </row>
    <row r="399" spans="13:53" ht="18" x14ac:dyDescent="0.25">
      <c r="M399" s="338"/>
      <c r="AI399" s="846"/>
      <c r="AJ399" s="846"/>
      <c r="AK399" s="846"/>
      <c r="AL399" s="846"/>
      <c r="AM399" s="846"/>
      <c r="AN399" s="8"/>
      <c r="AO399" s="597"/>
      <c r="AP399" s="597"/>
      <c r="AQ399" s="597"/>
      <c r="AR399" s="847"/>
      <c r="AS399" s="847"/>
      <c r="AT399" s="847"/>
      <c r="AU399" s="847"/>
      <c r="AZ399" s="737"/>
      <c r="BA399" s="737"/>
    </row>
    <row r="400" spans="13:53" ht="18" x14ac:dyDescent="0.25">
      <c r="M400" s="338"/>
      <c r="AI400" s="846"/>
      <c r="AJ400" s="846"/>
      <c r="AK400" s="846"/>
      <c r="AL400" s="846"/>
      <c r="AM400" s="846"/>
      <c r="AN400" s="8"/>
      <c r="AO400" s="597"/>
      <c r="AP400" s="597"/>
      <c r="AR400" s="847"/>
      <c r="AS400" s="847"/>
      <c r="AT400" s="847"/>
      <c r="AU400" s="847"/>
      <c r="AZ400" s="737"/>
      <c r="BA400" s="737"/>
    </row>
    <row r="401" spans="13:53" ht="18" x14ac:dyDescent="0.25">
      <c r="M401" s="338"/>
      <c r="AI401" s="846"/>
      <c r="AJ401" s="846"/>
      <c r="AK401" s="846"/>
      <c r="AL401" s="846"/>
      <c r="AM401" s="846"/>
      <c r="AN401" s="8"/>
      <c r="AO401" s="597"/>
      <c r="AP401" s="597"/>
      <c r="AQ401" s="846"/>
      <c r="AR401" s="847"/>
      <c r="AS401" s="847"/>
      <c r="AT401" s="847"/>
      <c r="AU401" s="847"/>
      <c r="AZ401" s="737"/>
      <c r="BA401" s="737"/>
    </row>
    <row r="402" spans="13:53" ht="18" x14ac:dyDescent="0.25">
      <c r="M402" s="338"/>
      <c r="AQ402" s="846"/>
      <c r="AW402" s="737"/>
      <c r="AX402" s="737"/>
      <c r="AY402" s="737"/>
      <c r="AZ402" s="737"/>
    </row>
    <row r="403" spans="13:53" ht="18" x14ac:dyDescent="0.25">
      <c r="M403" s="338"/>
      <c r="AI403" s="1080"/>
      <c r="AJ403" s="1080"/>
      <c r="AK403" s="1080"/>
      <c r="AL403" s="1080"/>
      <c r="AM403" s="1080"/>
      <c r="AN403" s="1080"/>
      <c r="AO403" s="846"/>
      <c r="AP403" s="846"/>
      <c r="AQ403" s="597"/>
      <c r="AR403" s="846"/>
      <c r="AS403" s="846"/>
      <c r="AT403" s="846"/>
      <c r="AU403" s="846"/>
      <c r="AW403" s="846"/>
      <c r="AX403" s="846"/>
      <c r="AY403" s="846"/>
    </row>
    <row r="404" spans="13:53" ht="18" x14ac:dyDescent="0.25">
      <c r="M404" s="338"/>
      <c r="AI404" s="1081"/>
      <c r="AJ404" s="1081"/>
      <c r="AK404" s="1081"/>
      <c r="AL404" s="1081"/>
      <c r="AM404" s="1081"/>
      <c r="AN404" s="8"/>
      <c r="AO404" s="597"/>
      <c r="AP404" s="597"/>
      <c r="AQ404" s="846"/>
      <c r="AR404" s="597"/>
      <c r="AS404" s="597"/>
      <c r="AT404" s="597"/>
      <c r="AU404" s="597"/>
      <c r="AW404" s="737"/>
      <c r="AX404" s="737"/>
      <c r="AY404" s="737"/>
    </row>
    <row r="405" spans="13:53" ht="18" x14ac:dyDescent="0.25">
      <c r="M405" s="338"/>
      <c r="AI405" s="1080"/>
      <c r="AJ405" s="1080"/>
      <c r="AK405" s="1080"/>
      <c r="AL405" s="1080"/>
      <c r="AM405" s="1080"/>
      <c r="AN405" s="1080"/>
      <c r="AO405" s="846"/>
      <c r="AP405" s="846"/>
      <c r="AQ405" s="847"/>
      <c r="AR405" s="846"/>
      <c r="AS405" s="846"/>
      <c r="AT405" s="846"/>
      <c r="AU405" s="846"/>
      <c r="AW405" s="737"/>
      <c r="AX405" s="737"/>
      <c r="AY405" s="737"/>
    </row>
    <row r="406" spans="13:53" ht="18" x14ac:dyDescent="0.25">
      <c r="M406" s="338"/>
      <c r="AI406" s="1080"/>
      <c r="AJ406" s="1080"/>
      <c r="AK406" s="1080"/>
      <c r="AL406" s="1080"/>
      <c r="AM406" s="1080"/>
      <c r="AN406" s="1080"/>
      <c r="AO406" s="847"/>
      <c r="AP406" s="847"/>
      <c r="AR406" s="846"/>
      <c r="AS406" s="846"/>
      <c r="AT406" s="846"/>
      <c r="AU406" s="846"/>
      <c r="AW406" s="737"/>
      <c r="AX406" s="737"/>
      <c r="AY406" s="737"/>
    </row>
    <row r="407" spans="13:53" ht="18" x14ac:dyDescent="0.25">
      <c r="M407" s="338"/>
      <c r="AI407" s="845"/>
      <c r="AJ407" s="845"/>
      <c r="AK407" s="845"/>
      <c r="AL407" s="845"/>
      <c r="AM407" s="845"/>
      <c r="AQ407" s="846"/>
      <c r="AR407" s="847"/>
      <c r="AS407" s="847"/>
      <c r="AT407" s="847"/>
      <c r="AU407" s="847"/>
    </row>
    <row r="408" spans="13:53" ht="18" x14ac:dyDescent="0.25">
      <c r="M408" s="338"/>
      <c r="AI408" s="1080"/>
      <c r="AJ408" s="1080"/>
      <c r="AK408" s="1080"/>
      <c r="AL408" s="1080"/>
      <c r="AM408" s="1080"/>
      <c r="AN408" s="1080"/>
      <c r="AO408" s="846"/>
      <c r="AP408" s="846"/>
      <c r="AQ408" s="597"/>
      <c r="AW408" s="737"/>
      <c r="AX408" s="737"/>
      <c r="AY408" s="737"/>
    </row>
    <row r="409" spans="13:53" ht="18" x14ac:dyDescent="0.25">
      <c r="M409" s="338"/>
      <c r="AI409" s="1081"/>
      <c r="AJ409" s="1081"/>
      <c r="AK409" s="1081"/>
      <c r="AL409" s="1081"/>
      <c r="AM409" s="1081"/>
      <c r="AN409" s="8"/>
      <c r="AO409" s="597"/>
      <c r="AP409" s="597"/>
      <c r="AQ409" s="846"/>
      <c r="AR409" s="846"/>
      <c r="AS409" s="846"/>
      <c r="AT409" s="846"/>
      <c r="AU409" s="846"/>
      <c r="AW409" s="846"/>
      <c r="AX409" s="846"/>
      <c r="AY409" s="846"/>
    </row>
    <row r="410" spans="13:53" ht="18" x14ac:dyDescent="0.25">
      <c r="M410" s="338"/>
      <c r="AI410" s="1080"/>
      <c r="AJ410" s="1080"/>
      <c r="AK410" s="1080"/>
      <c r="AL410" s="1080"/>
      <c r="AM410" s="1080"/>
      <c r="AN410" s="1080"/>
      <c r="AO410" s="846"/>
      <c r="AP410" s="846"/>
      <c r="AQ410" s="847"/>
      <c r="AR410" s="597"/>
      <c r="AS410" s="597"/>
      <c r="AT410" s="597"/>
      <c r="AU410" s="597"/>
      <c r="AW410" s="737"/>
      <c r="AX410" s="737"/>
      <c r="AY410" s="737"/>
    </row>
    <row r="411" spans="13:53" ht="18" x14ac:dyDescent="0.25">
      <c r="M411" s="338"/>
      <c r="AI411" s="1080"/>
      <c r="AJ411" s="1080"/>
      <c r="AK411" s="1080"/>
      <c r="AL411" s="1080"/>
      <c r="AM411" s="1080"/>
      <c r="AN411" s="1080"/>
      <c r="AO411" s="847"/>
      <c r="AP411" s="847"/>
      <c r="AR411" s="846"/>
      <c r="AS411" s="846"/>
      <c r="AT411" s="846"/>
      <c r="AU411" s="846"/>
      <c r="AW411" s="737"/>
      <c r="AX411" s="737"/>
      <c r="AY411" s="737"/>
    </row>
    <row r="412" spans="13:53" ht="18" x14ac:dyDescent="0.25">
      <c r="M412" s="338"/>
      <c r="AK412" s="378"/>
      <c r="AQ412" s="846"/>
      <c r="AR412" s="847"/>
      <c r="AS412" s="847"/>
      <c r="AT412" s="847"/>
      <c r="AU412" s="847"/>
    </row>
    <row r="413" spans="13:53" ht="18" x14ac:dyDescent="0.25">
      <c r="M413" s="338"/>
      <c r="AI413" s="1082"/>
      <c r="AJ413" s="1082"/>
      <c r="AK413" s="1082"/>
      <c r="AL413" s="1082"/>
      <c r="AM413" s="1082"/>
      <c r="AN413" s="1082"/>
      <c r="AO413" s="846"/>
      <c r="AP413" s="846"/>
      <c r="AQ413" s="597"/>
    </row>
    <row r="414" spans="13:53" ht="18" x14ac:dyDescent="0.25">
      <c r="M414" s="338"/>
      <c r="AI414" s="1083"/>
      <c r="AJ414" s="1083"/>
      <c r="AK414" s="1083"/>
      <c r="AL414" s="1083"/>
      <c r="AM414" s="1083"/>
      <c r="AN414" s="8"/>
      <c r="AO414" s="597"/>
      <c r="AP414" s="597"/>
      <c r="AQ414" s="846"/>
      <c r="AR414" s="846"/>
      <c r="AS414" s="846"/>
      <c r="AT414" s="846"/>
      <c r="AU414" s="846"/>
    </row>
    <row r="415" spans="13:53" ht="18" x14ac:dyDescent="0.25">
      <c r="M415" s="338"/>
      <c r="AI415" s="1082"/>
      <c r="AJ415" s="1082"/>
      <c r="AK415" s="1082"/>
      <c r="AL415" s="1082"/>
      <c r="AM415" s="1082"/>
      <c r="AN415" s="1082"/>
      <c r="AO415" s="846"/>
      <c r="AP415" s="846"/>
      <c r="AQ415" s="847"/>
      <c r="AR415" s="597"/>
      <c r="AS415" s="597"/>
      <c r="AT415" s="597"/>
      <c r="AU415" s="597"/>
    </row>
    <row r="416" spans="13:53" ht="18" x14ac:dyDescent="0.25">
      <c r="M416" s="338"/>
      <c r="AI416" s="1082"/>
      <c r="AJ416" s="1082"/>
      <c r="AK416" s="1082"/>
      <c r="AL416" s="1082"/>
      <c r="AM416" s="1082"/>
      <c r="AN416" s="1082"/>
      <c r="AO416" s="847"/>
      <c r="AP416" s="847"/>
      <c r="AR416" s="846"/>
      <c r="AS416" s="846"/>
      <c r="AT416" s="846"/>
      <c r="AU416" s="846"/>
    </row>
    <row r="417" spans="13:47" ht="18" x14ac:dyDescent="0.25">
      <c r="M417" s="338"/>
      <c r="AI417" s="845"/>
      <c r="AJ417" s="845"/>
      <c r="AK417" s="845"/>
      <c r="AL417" s="845"/>
      <c r="AM417" s="845"/>
      <c r="AQ417" s="846"/>
      <c r="AR417" s="847"/>
      <c r="AS417" s="847"/>
      <c r="AT417" s="847"/>
      <c r="AU417" s="847"/>
    </row>
    <row r="418" spans="13:47" ht="18" x14ac:dyDescent="0.25">
      <c r="M418" s="338"/>
      <c r="AI418" s="1080"/>
      <c r="AJ418" s="1080"/>
      <c r="AK418" s="1080"/>
      <c r="AL418" s="1080"/>
      <c r="AM418" s="1080"/>
      <c r="AN418" s="1080"/>
      <c r="AO418" s="846"/>
      <c r="AP418" s="846"/>
      <c r="AQ418" s="597"/>
    </row>
    <row r="419" spans="13:47" ht="18" x14ac:dyDescent="0.25">
      <c r="M419" s="338"/>
      <c r="AI419" s="1081"/>
      <c r="AJ419" s="1081"/>
      <c r="AK419" s="1081"/>
      <c r="AL419" s="1081"/>
      <c r="AM419" s="1081"/>
      <c r="AN419" s="8"/>
      <c r="AO419" s="597"/>
      <c r="AP419" s="597"/>
      <c r="AQ419" s="846"/>
      <c r="AR419" s="846"/>
      <c r="AS419" s="846"/>
      <c r="AT419" s="846"/>
      <c r="AU419" s="846"/>
    </row>
    <row r="420" spans="13:47" ht="18" x14ac:dyDescent="0.25">
      <c r="M420" s="338"/>
      <c r="AI420" s="1080"/>
      <c r="AJ420" s="1080"/>
      <c r="AK420" s="1080"/>
      <c r="AL420" s="1080"/>
      <c r="AM420" s="1080"/>
      <c r="AN420" s="1080"/>
      <c r="AO420" s="846"/>
      <c r="AP420" s="846"/>
      <c r="AQ420" s="847"/>
      <c r="AR420" s="597"/>
      <c r="AS420" s="597"/>
      <c r="AT420" s="597"/>
      <c r="AU420" s="597"/>
    </row>
    <row r="421" spans="13:47" ht="18" x14ac:dyDescent="0.25">
      <c r="M421" s="338"/>
      <c r="AI421" s="1080"/>
      <c r="AJ421" s="1080"/>
      <c r="AK421" s="1080"/>
      <c r="AL421" s="1080"/>
      <c r="AM421" s="1080"/>
      <c r="AN421" s="1080"/>
      <c r="AO421" s="847"/>
      <c r="AP421" s="847"/>
      <c r="AR421" s="846"/>
      <c r="AS421" s="846"/>
      <c r="AT421" s="846"/>
      <c r="AU421" s="846"/>
    </row>
    <row r="422" spans="13:47" x14ac:dyDescent="0.25">
      <c r="M422" s="338"/>
      <c r="AR422" s="847"/>
      <c r="AS422" s="847"/>
      <c r="AT422" s="847"/>
      <c r="AU422" s="847"/>
    </row>
    <row r="423" spans="13:47" ht="18" x14ac:dyDescent="0.25">
      <c r="M423" s="338"/>
      <c r="AI423" s="845"/>
      <c r="AJ423" s="845"/>
      <c r="AK423" s="845"/>
      <c r="AL423" s="845"/>
      <c r="AM423" s="845"/>
      <c r="AQ423" s="846"/>
    </row>
    <row r="424" spans="13:47" ht="18" x14ac:dyDescent="0.25">
      <c r="M424" s="338"/>
      <c r="AI424" s="1080"/>
      <c r="AJ424" s="1080"/>
      <c r="AK424" s="1080"/>
      <c r="AL424" s="1080"/>
      <c r="AM424" s="1080"/>
      <c r="AN424" s="1080"/>
      <c r="AO424" s="846"/>
      <c r="AP424" s="846"/>
      <c r="AR424" s="846"/>
      <c r="AS424" s="846"/>
      <c r="AT424" s="846"/>
      <c r="AU424" s="846"/>
    </row>
    <row r="425" spans="13:47" ht="18" x14ac:dyDescent="0.25">
      <c r="M425" s="338"/>
      <c r="AI425" s="1081"/>
      <c r="AJ425" s="1081"/>
      <c r="AK425" s="1081"/>
      <c r="AL425" s="1081"/>
      <c r="AM425" s="1081"/>
      <c r="AN425" s="8"/>
      <c r="AO425" s="597"/>
      <c r="AP425" s="597"/>
      <c r="AR425" s="597"/>
      <c r="AS425" s="597"/>
      <c r="AT425" s="597"/>
      <c r="AU425" s="597"/>
    </row>
    <row r="426" spans="13:47" x14ac:dyDescent="0.25">
      <c r="M426" s="338"/>
    </row>
    <row r="427" spans="13:47" x14ac:dyDescent="0.25">
      <c r="M427" s="338"/>
    </row>
    <row r="428" spans="13:47" x14ac:dyDescent="0.25">
      <c r="M428" s="338"/>
    </row>
    <row r="429" spans="13:47" x14ac:dyDescent="0.25">
      <c r="M429" s="338"/>
    </row>
    <row r="430" spans="13:47" x14ac:dyDescent="0.25">
      <c r="M430" s="338"/>
    </row>
    <row r="431" spans="13:47" x14ac:dyDescent="0.25">
      <c r="M431" s="338"/>
    </row>
    <row r="432" spans="13:47" x14ac:dyDescent="0.25">
      <c r="M432" s="338"/>
    </row>
    <row r="433" spans="13:13" x14ac:dyDescent="0.25">
      <c r="M433" s="338"/>
    </row>
    <row r="434" spans="13:13" x14ac:dyDescent="0.25">
      <c r="M434" s="338"/>
    </row>
    <row r="435" spans="13:13" x14ac:dyDescent="0.25">
      <c r="M435" s="338"/>
    </row>
    <row r="436" spans="13:13" x14ac:dyDescent="0.25">
      <c r="M436" s="338"/>
    </row>
    <row r="437" spans="13:13" x14ac:dyDescent="0.25">
      <c r="M437" s="338"/>
    </row>
    <row r="438" spans="13:13" x14ac:dyDescent="0.25">
      <c r="M438" s="338"/>
    </row>
    <row r="439" spans="13:13" x14ac:dyDescent="0.25">
      <c r="M439" s="338"/>
    </row>
    <row r="440" spans="13:13" x14ac:dyDescent="0.25">
      <c r="M440" s="338"/>
    </row>
    <row r="441" spans="13:13" x14ac:dyDescent="0.25">
      <c r="M441" s="338"/>
    </row>
    <row r="442" spans="13:13" x14ac:dyDescent="0.25">
      <c r="M442" s="338"/>
    </row>
    <row r="443" spans="13:13" x14ac:dyDescent="0.25">
      <c r="M443" s="338"/>
    </row>
    <row r="444" spans="13:13" x14ac:dyDescent="0.25">
      <c r="M444" s="338"/>
    </row>
    <row r="445" spans="13:13" x14ac:dyDescent="0.25">
      <c r="M445" s="338"/>
    </row>
    <row r="446" spans="13:13" x14ac:dyDescent="0.25">
      <c r="M446" s="338"/>
    </row>
    <row r="447" spans="13:13" x14ac:dyDescent="0.25">
      <c r="M447" s="338"/>
    </row>
    <row r="448" spans="13:13" x14ac:dyDescent="0.25">
      <c r="M448" s="338"/>
    </row>
    <row r="449" spans="13:13" x14ac:dyDescent="0.25">
      <c r="M449" s="338"/>
    </row>
    <row r="450" spans="13:13" x14ac:dyDescent="0.25">
      <c r="M450" s="338"/>
    </row>
    <row r="451" spans="13:13" x14ac:dyDescent="0.25">
      <c r="M451" s="338"/>
    </row>
    <row r="452" spans="13:13" x14ac:dyDescent="0.25">
      <c r="M452" s="338"/>
    </row>
    <row r="453" spans="13:13" x14ac:dyDescent="0.25">
      <c r="M453" s="338"/>
    </row>
    <row r="454" spans="13:13" x14ac:dyDescent="0.25">
      <c r="M454" s="338"/>
    </row>
    <row r="455" spans="13:13" x14ac:dyDescent="0.25">
      <c r="M455" s="338"/>
    </row>
    <row r="456" spans="13:13" x14ac:dyDescent="0.25">
      <c r="M456" s="338"/>
    </row>
    <row r="457" spans="13:13" x14ac:dyDescent="0.25">
      <c r="M457" s="338"/>
    </row>
    <row r="458" spans="13:13" x14ac:dyDescent="0.25">
      <c r="M458" s="338"/>
    </row>
    <row r="459" spans="13:13" x14ac:dyDescent="0.25">
      <c r="M459" s="338"/>
    </row>
    <row r="460" spans="13:13" x14ac:dyDescent="0.25">
      <c r="M460" s="338"/>
    </row>
    <row r="461" spans="13:13" x14ac:dyDescent="0.25">
      <c r="M461" s="338"/>
    </row>
    <row r="462" spans="13:13" x14ac:dyDescent="0.25">
      <c r="M462" s="338"/>
    </row>
    <row r="463" spans="13:13" x14ac:dyDescent="0.25">
      <c r="M463" s="338"/>
    </row>
    <row r="464" spans="13:13" x14ac:dyDescent="0.25">
      <c r="M464" s="338"/>
    </row>
    <row r="465" spans="13:13" x14ac:dyDescent="0.25">
      <c r="M465" s="338"/>
    </row>
    <row r="466" spans="13:13" x14ac:dyDescent="0.25">
      <c r="M466" s="338"/>
    </row>
    <row r="467" spans="13:13" x14ac:dyDescent="0.25">
      <c r="M467" s="338"/>
    </row>
    <row r="468" spans="13:13" x14ac:dyDescent="0.25">
      <c r="M468" s="338"/>
    </row>
    <row r="469" spans="13:13" x14ac:dyDescent="0.25">
      <c r="M469" s="338"/>
    </row>
    <row r="470" spans="13:13" x14ac:dyDescent="0.25">
      <c r="M470" s="338"/>
    </row>
    <row r="471" spans="13:13" x14ac:dyDescent="0.25">
      <c r="M471" s="338"/>
    </row>
    <row r="472" spans="13:13" x14ac:dyDescent="0.25">
      <c r="M472" s="338"/>
    </row>
    <row r="473" spans="13:13" x14ac:dyDescent="0.25">
      <c r="M473" s="338"/>
    </row>
    <row r="474" spans="13:13" x14ac:dyDescent="0.25">
      <c r="M474" s="338"/>
    </row>
    <row r="475" spans="13:13" x14ac:dyDescent="0.25">
      <c r="M475" s="338"/>
    </row>
    <row r="476" spans="13:13" x14ac:dyDescent="0.25">
      <c r="M476" s="338"/>
    </row>
    <row r="477" spans="13:13" x14ac:dyDescent="0.25">
      <c r="M477" s="338"/>
    </row>
    <row r="478" spans="13:13" x14ac:dyDescent="0.25">
      <c r="M478" s="338"/>
    </row>
    <row r="479" spans="13:13" x14ac:dyDescent="0.25">
      <c r="M479" s="338"/>
    </row>
    <row r="480" spans="13:13" x14ac:dyDescent="0.25">
      <c r="M480" s="338"/>
    </row>
    <row r="481" spans="13:13" x14ac:dyDescent="0.25">
      <c r="M481" s="338"/>
    </row>
    <row r="482" spans="13:13" x14ac:dyDescent="0.25">
      <c r="M482" s="338"/>
    </row>
    <row r="483" spans="13:13" x14ac:dyDescent="0.25">
      <c r="M483" s="338"/>
    </row>
    <row r="484" spans="13:13" x14ac:dyDescent="0.25">
      <c r="M484" s="338"/>
    </row>
    <row r="485" spans="13:13" x14ac:dyDescent="0.25">
      <c r="M485" s="338"/>
    </row>
    <row r="486" spans="13:13" x14ac:dyDescent="0.25">
      <c r="M486" s="338"/>
    </row>
    <row r="487" spans="13:13" x14ac:dyDescent="0.25">
      <c r="M487" s="338"/>
    </row>
    <row r="488" spans="13:13" x14ac:dyDescent="0.25">
      <c r="M488" s="338"/>
    </row>
    <row r="489" spans="13:13" x14ac:dyDescent="0.25">
      <c r="M489" s="338"/>
    </row>
    <row r="490" spans="13:13" x14ac:dyDescent="0.25">
      <c r="M490" s="338"/>
    </row>
    <row r="491" spans="13:13" x14ac:dyDescent="0.25">
      <c r="M491" s="338"/>
    </row>
    <row r="492" spans="13:13" x14ac:dyDescent="0.25">
      <c r="M492" s="338"/>
    </row>
    <row r="493" spans="13:13" x14ac:dyDescent="0.25">
      <c r="M493" s="338"/>
    </row>
    <row r="494" spans="13:13" x14ac:dyDescent="0.25">
      <c r="M494" s="338"/>
    </row>
    <row r="495" spans="13:13" x14ac:dyDescent="0.25">
      <c r="M495" s="338"/>
    </row>
    <row r="496" spans="13:13" x14ac:dyDescent="0.25">
      <c r="M496" s="338"/>
    </row>
    <row r="497" spans="13:13" x14ac:dyDescent="0.25">
      <c r="M497" s="338"/>
    </row>
    <row r="498" spans="13:13" x14ac:dyDescent="0.25">
      <c r="M498" s="338"/>
    </row>
    <row r="499" spans="13:13" x14ac:dyDescent="0.25">
      <c r="M499" s="338"/>
    </row>
    <row r="500" spans="13:13" x14ac:dyDescent="0.25">
      <c r="M500" s="338"/>
    </row>
    <row r="501" spans="13:13" x14ac:dyDescent="0.25">
      <c r="M501" s="338"/>
    </row>
    <row r="502" spans="13:13" x14ac:dyDescent="0.25">
      <c r="M502" s="338"/>
    </row>
    <row r="503" spans="13:13" x14ac:dyDescent="0.25">
      <c r="M503" s="338"/>
    </row>
    <row r="504" spans="13:13" x14ac:dyDescent="0.25">
      <c r="M504" s="338"/>
    </row>
    <row r="505" spans="13:13" x14ac:dyDescent="0.25">
      <c r="M505" s="338"/>
    </row>
    <row r="506" spans="13:13" x14ac:dyDescent="0.25">
      <c r="M506" s="338"/>
    </row>
    <row r="507" spans="13:13" x14ac:dyDescent="0.25">
      <c r="M507" s="338"/>
    </row>
    <row r="508" spans="13:13" x14ac:dyDescent="0.25">
      <c r="M508" s="338"/>
    </row>
    <row r="509" spans="13:13" x14ac:dyDescent="0.25">
      <c r="M509" s="338"/>
    </row>
    <row r="510" spans="13:13" x14ac:dyDescent="0.25">
      <c r="M510" s="338"/>
    </row>
    <row r="511" spans="13:13" x14ac:dyDescent="0.25">
      <c r="M511" s="338"/>
    </row>
    <row r="512" spans="13:13" x14ac:dyDescent="0.25">
      <c r="M512" s="338"/>
    </row>
    <row r="513" spans="13:58" x14ac:dyDescent="0.25">
      <c r="M513" s="338"/>
    </row>
    <row r="514" spans="13:58" x14ac:dyDescent="0.25">
      <c r="M514" s="338"/>
    </row>
    <row r="515" spans="13:58" x14ac:dyDescent="0.25">
      <c r="M515" s="338"/>
    </row>
    <row r="516" spans="13:58" x14ac:dyDescent="0.25">
      <c r="M516" s="338"/>
    </row>
    <row r="517" spans="13:58" x14ac:dyDescent="0.25">
      <c r="M517" s="338"/>
    </row>
    <row r="518" spans="13:58" x14ac:dyDescent="0.25">
      <c r="M518" s="338"/>
    </row>
    <row r="519" spans="13:58" x14ac:dyDescent="0.25">
      <c r="M519" s="338"/>
    </row>
    <row r="520" spans="13:58" x14ac:dyDescent="0.25">
      <c r="M520" s="338"/>
      <c r="BF520" s="848" t="s">
        <v>1102</v>
      </c>
    </row>
  </sheetData>
  <mergeCells count="975">
    <mergeCell ref="CD27:CE27"/>
    <mergeCell ref="T28:U28"/>
    <mergeCell ref="BL28:BT28"/>
    <mergeCell ref="A1:CN1"/>
    <mergeCell ref="BL3:BO7"/>
    <mergeCell ref="CK3:CL3"/>
    <mergeCell ref="AR18:AT18"/>
    <mergeCell ref="AA19:AD19"/>
    <mergeCell ref="AS21:AV21"/>
    <mergeCell ref="A29:B29"/>
    <mergeCell ref="AC31:AF31"/>
    <mergeCell ref="AV32:BB39"/>
    <mergeCell ref="J33:K33"/>
    <mergeCell ref="B37:H37"/>
    <mergeCell ref="M39:N39"/>
    <mergeCell ref="BL23:BL24"/>
    <mergeCell ref="AS24:AV24"/>
    <mergeCell ref="AX24:AZ24"/>
    <mergeCell ref="AL26:AP26"/>
    <mergeCell ref="BS40:BT40"/>
    <mergeCell ref="F41:H41"/>
    <mergeCell ref="T44:AB54"/>
    <mergeCell ref="AE46:AM48"/>
    <mergeCell ref="B48:C48"/>
    <mergeCell ref="AK49:AM52"/>
    <mergeCell ref="AC51:AJ54"/>
    <mergeCell ref="AK53:AM54"/>
    <mergeCell ref="F62:H62"/>
    <mergeCell ref="Y137:Z137"/>
    <mergeCell ref="A138:F138"/>
    <mergeCell ref="G138:I138"/>
    <mergeCell ref="Q138:R138"/>
    <mergeCell ref="S138:T138"/>
    <mergeCell ref="W138:X138"/>
    <mergeCell ref="Y138:Z138"/>
    <mergeCell ref="B64:D64"/>
    <mergeCell ref="L69:N69"/>
    <mergeCell ref="A136:I136"/>
    <mergeCell ref="J136:M136"/>
    <mergeCell ref="Q136:T136"/>
    <mergeCell ref="W136:Z136"/>
    <mergeCell ref="Q40:S73"/>
    <mergeCell ref="U139:V139"/>
    <mergeCell ref="A140:D140"/>
    <mergeCell ref="A141:D141"/>
    <mergeCell ref="A143:D143"/>
    <mergeCell ref="A144:D144"/>
    <mergeCell ref="A145:D145"/>
    <mergeCell ref="Q137:R137"/>
    <mergeCell ref="S137:T137"/>
    <mergeCell ref="W137:X137"/>
    <mergeCell ref="A148:Z148"/>
    <mergeCell ref="D149:H149"/>
    <mergeCell ref="I149:J149"/>
    <mergeCell ref="Q149:U149"/>
    <mergeCell ref="V149:W149"/>
    <mergeCell ref="AC149:AF150"/>
    <mergeCell ref="D150:H150"/>
    <mergeCell ref="I150:J150"/>
    <mergeCell ref="Q150:U150"/>
    <mergeCell ref="V150:W150"/>
    <mergeCell ref="AI150:AN150"/>
    <mergeCell ref="AR150:AW150"/>
    <mergeCell ref="D151:H151"/>
    <mergeCell ref="I151:J151"/>
    <mergeCell ref="Q151:U151"/>
    <mergeCell ref="V151:W151"/>
    <mergeCell ref="AC151:AD151"/>
    <mergeCell ref="AI151:AM151"/>
    <mergeCell ref="AR151:AV151"/>
    <mergeCell ref="AI154:AM154"/>
    <mergeCell ref="AR154:AV154"/>
    <mergeCell ref="A155:I155"/>
    <mergeCell ref="N155:V155"/>
    <mergeCell ref="AI155:AM155"/>
    <mergeCell ref="AR155:AV155"/>
    <mergeCell ref="AR152:AV152"/>
    <mergeCell ref="D153:H153"/>
    <mergeCell ref="I153:J153"/>
    <mergeCell ref="Q153:U153"/>
    <mergeCell ref="V153:W153"/>
    <mergeCell ref="AI153:AM153"/>
    <mergeCell ref="AR153:AV153"/>
    <mergeCell ref="D152:H152"/>
    <mergeCell ref="I152:J152"/>
    <mergeCell ref="Q152:U152"/>
    <mergeCell ref="V152:W152"/>
    <mergeCell ref="AC152:AF152"/>
    <mergeCell ref="AI152:AM152"/>
    <mergeCell ref="A157:C157"/>
    <mergeCell ref="G157:I157"/>
    <mergeCell ref="N157:P157"/>
    <mergeCell ref="T157:V157"/>
    <mergeCell ref="AI157:AM157"/>
    <mergeCell ref="AR157:AV157"/>
    <mergeCell ref="A156:C156"/>
    <mergeCell ref="G156:I156"/>
    <mergeCell ref="N156:P156"/>
    <mergeCell ref="T156:V156"/>
    <mergeCell ref="AI156:AM156"/>
    <mergeCell ref="AR156:AV156"/>
    <mergeCell ref="A159:C159"/>
    <mergeCell ref="G159:I159"/>
    <mergeCell ref="N159:P159"/>
    <mergeCell ref="T159:V159"/>
    <mergeCell ref="AI159:AM159"/>
    <mergeCell ref="AR159:AV159"/>
    <mergeCell ref="A158:C158"/>
    <mergeCell ref="G158:I158"/>
    <mergeCell ref="N158:P158"/>
    <mergeCell ref="T158:V158"/>
    <mergeCell ref="AI158:AM158"/>
    <mergeCell ref="AR158:AV158"/>
    <mergeCell ref="A161:C161"/>
    <mergeCell ref="G161:I161"/>
    <mergeCell ref="N161:P161"/>
    <mergeCell ref="T161:V161"/>
    <mergeCell ref="AI161:AM161"/>
    <mergeCell ref="AR161:AV161"/>
    <mergeCell ref="A160:C160"/>
    <mergeCell ref="G160:I160"/>
    <mergeCell ref="N160:P160"/>
    <mergeCell ref="T160:V160"/>
    <mergeCell ref="AI160:AM160"/>
    <mergeCell ref="AR160:AV160"/>
    <mergeCell ref="A163:C163"/>
    <mergeCell ref="G163:I163"/>
    <mergeCell ref="N163:P163"/>
    <mergeCell ref="T163:V163"/>
    <mergeCell ref="AI163:AM163"/>
    <mergeCell ref="AR163:AV163"/>
    <mergeCell ref="A162:C162"/>
    <mergeCell ref="G162:I162"/>
    <mergeCell ref="N162:P162"/>
    <mergeCell ref="T162:V162"/>
    <mergeCell ref="AI162:AM162"/>
    <mergeCell ref="AR162:AV162"/>
    <mergeCell ref="A165:C165"/>
    <mergeCell ref="G165:I165"/>
    <mergeCell ref="N165:P165"/>
    <mergeCell ref="T165:V165"/>
    <mergeCell ref="AI165:AM165"/>
    <mergeCell ref="AR165:AV165"/>
    <mergeCell ref="A164:C164"/>
    <mergeCell ref="G164:I164"/>
    <mergeCell ref="N164:P164"/>
    <mergeCell ref="T164:V164"/>
    <mergeCell ref="AI164:AM164"/>
    <mergeCell ref="AR164:AV164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169:C169"/>
    <mergeCell ref="G169:I169"/>
    <mergeCell ref="N169:P169"/>
    <mergeCell ref="T169:V169"/>
    <mergeCell ref="AI169:AM169"/>
    <mergeCell ref="AR169:AV169"/>
    <mergeCell ref="A168:C168"/>
    <mergeCell ref="G168:I168"/>
    <mergeCell ref="N168:P168"/>
    <mergeCell ref="T168:V168"/>
    <mergeCell ref="AI168:AM168"/>
    <mergeCell ref="AR168:AV168"/>
    <mergeCell ref="A171:C171"/>
    <mergeCell ref="G171:I171"/>
    <mergeCell ref="N171:P171"/>
    <mergeCell ref="T171:V171"/>
    <mergeCell ref="AI171:AM171"/>
    <mergeCell ref="AR171:AV171"/>
    <mergeCell ref="A170:C170"/>
    <mergeCell ref="G170:I170"/>
    <mergeCell ref="N170:P170"/>
    <mergeCell ref="T170:V170"/>
    <mergeCell ref="AI170:AM170"/>
    <mergeCell ref="AR170:AV170"/>
    <mergeCell ref="A173:C173"/>
    <mergeCell ref="G173:I173"/>
    <mergeCell ref="N173:P173"/>
    <mergeCell ref="T173:V173"/>
    <mergeCell ref="AI173:AM173"/>
    <mergeCell ref="AR173:AV173"/>
    <mergeCell ref="A172:C172"/>
    <mergeCell ref="G172:I172"/>
    <mergeCell ref="N172:P172"/>
    <mergeCell ref="T172:V172"/>
    <mergeCell ref="AI172:AM172"/>
    <mergeCell ref="AR172:AV172"/>
    <mergeCell ref="A175:C175"/>
    <mergeCell ref="G175:I175"/>
    <mergeCell ref="N175:P175"/>
    <mergeCell ref="T175:V175"/>
    <mergeCell ref="AI175:AM175"/>
    <mergeCell ref="AR175:AV175"/>
    <mergeCell ref="A174:C174"/>
    <mergeCell ref="G174:I174"/>
    <mergeCell ref="N174:P174"/>
    <mergeCell ref="T174:V174"/>
    <mergeCell ref="AI174:AM174"/>
    <mergeCell ref="AR174:AV174"/>
    <mergeCell ref="A178:E178"/>
    <mergeCell ref="G178:I178"/>
    <mergeCell ref="N178:R178"/>
    <mergeCell ref="T178:V178"/>
    <mergeCell ref="AI178:AM178"/>
    <mergeCell ref="AR178:AV178"/>
    <mergeCell ref="AR176:AV176"/>
    <mergeCell ref="A177:C177"/>
    <mergeCell ref="G177:I177"/>
    <mergeCell ref="N177:P177"/>
    <mergeCell ref="T177:V177"/>
    <mergeCell ref="AI177:AM177"/>
    <mergeCell ref="AR177:AV177"/>
    <mergeCell ref="A176:C176"/>
    <mergeCell ref="G176:I176"/>
    <mergeCell ref="N176:P176"/>
    <mergeCell ref="T176:V176"/>
    <mergeCell ref="AC176:AF176"/>
    <mergeCell ref="AI176:AM176"/>
    <mergeCell ref="A181:C181"/>
    <mergeCell ref="G181:I181"/>
    <mergeCell ref="N181:P181"/>
    <mergeCell ref="T181:V181"/>
    <mergeCell ref="AI181:AM181"/>
    <mergeCell ref="AR181:AV181"/>
    <mergeCell ref="A179:I179"/>
    <mergeCell ref="N179:V179"/>
    <mergeCell ref="AI179:AM179"/>
    <mergeCell ref="AR179:AV179"/>
    <mergeCell ref="A180:C180"/>
    <mergeCell ref="G180:I180"/>
    <mergeCell ref="N180:P180"/>
    <mergeCell ref="T180:V180"/>
    <mergeCell ref="AI180:AM180"/>
    <mergeCell ref="AR180:AV180"/>
    <mergeCell ref="A183:C183"/>
    <mergeCell ref="G183:I183"/>
    <mergeCell ref="N183:P183"/>
    <mergeCell ref="T183:V183"/>
    <mergeCell ref="AI183:AM183"/>
    <mergeCell ref="AR183:AV183"/>
    <mergeCell ref="A182:C182"/>
    <mergeCell ref="G182:I182"/>
    <mergeCell ref="N182:P182"/>
    <mergeCell ref="T182:V182"/>
    <mergeCell ref="AI182:AM182"/>
    <mergeCell ref="AR182:AV182"/>
    <mergeCell ref="A185:C185"/>
    <mergeCell ref="G185:I185"/>
    <mergeCell ref="N185:P185"/>
    <mergeCell ref="T185:V185"/>
    <mergeCell ref="AI185:AM185"/>
    <mergeCell ref="AR185:AV185"/>
    <mergeCell ref="A184:C184"/>
    <mergeCell ref="G184:I184"/>
    <mergeCell ref="N184:P184"/>
    <mergeCell ref="T184:V184"/>
    <mergeCell ref="AI184:AM184"/>
    <mergeCell ref="AR184:AV184"/>
    <mergeCell ref="A187:C187"/>
    <mergeCell ref="G187:I187"/>
    <mergeCell ref="N187:P187"/>
    <mergeCell ref="T187:V187"/>
    <mergeCell ref="AI187:AM187"/>
    <mergeCell ref="AR187:AV187"/>
    <mergeCell ref="A186:C186"/>
    <mergeCell ref="G186:I186"/>
    <mergeCell ref="N186:P186"/>
    <mergeCell ref="T186:V186"/>
    <mergeCell ref="AI186:AM186"/>
    <mergeCell ref="AR186:AV186"/>
    <mergeCell ref="A190:C190"/>
    <mergeCell ref="G190:I190"/>
    <mergeCell ref="N190:P190"/>
    <mergeCell ref="T190:V190"/>
    <mergeCell ref="AI190:AM190"/>
    <mergeCell ref="AR190:AV190"/>
    <mergeCell ref="A188:C188"/>
    <mergeCell ref="G188:I188"/>
    <mergeCell ref="N188:P188"/>
    <mergeCell ref="T188:V188"/>
    <mergeCell ref="AI188:AM188"/>
    <mergeCell ref="A189:C189"/>
    <mergeCell ref="G189:I189"/>
    <mergeCell ref="N189:P189"/>
    <mergeCell ref="T189:V189"/>
    <mergeCell ref="AI189:AM189"/>
    <mergeCell ref="A192:C192"/>
    <mergeCell ref="G192:I192"/>
    <mergeCell ref="N192:P192"/>
    <mergeCell ref="T192:V192"/>
    <mergeCell ref="AI192:AM192"/>
    <mergeCell ref="AR192:AV192"/>
    <mergeCell ref="A191:C191"/>
    <mergeCell ref="G191:I191"/>
    <mergeCell ref="N191:P191"/>
    <mergeCell ref="T191:V191"/>
    <mergeCell ref="AI191:AM191"/>
    <mergeCell ref="AR191:AV191"/>
    <mergeCell ref="A193:C193"/>
    <mergeCell ref="G193:I193"/>
    <mergeCell ref="N193:P193"/>
    <mergeCell ref="T193:V193"/>
    <mergeCell ref="AI193:AM193"/>
    <mergeCell ref="A194:C194"/>
    <mergeCell ref="G194:I194"/>
    <mergeCell ref="N194:P194"/>
    <mergeCell ref="T194:V194"/>
    <mergeCell ref="AI194:AM194"/>
    <mergeCell ref="A196:C196"/>
    <mergeCell ref="G196:I196"/>
    <mergeCell ref="N196:P196"/>
    <mergeCell ref="T196:V196"/>
    <mergeCell ref="AI196:AM196"/>
    <mergeCell ref="AR196:AV196"/>
    <mergeCell ref="AR194:AW194"/>
    <mergeCell ref="A195:C195"/>
    <mergeCell ref="G195:I195"/>
    <mergeCell ref="N195:P195"/>
    <mergeCell ref="T195:V195"/>
    <mergeCell ref="AI195:AM195"/>
    <mergeCell ref="AR195:AV195"/>
    <mergeCell ref="A198:E198"/>
    <mergeCell ref="G198:I198"/>
    <mergeCell ref="N198:R198"/>
    <mergeCell ref="T198:V198"/>
    <mergeCell ref="AI198:AM198"/>
    <mergeCell ref="AR198:AV198"/>
    <mergeCell ref="A197:C197"/>
    <mergeCell ref="G197:I197"/>
    <mergeCell ref="N197:P197"/>
    <mergeCell ref="T197:V197"/>
    <mergeCell ref="AI197:AM197"/>
    <mergeCell ref="AR197:AV197"/>
    <mergeCell ref="A199:I199"/>
    <mergeCell ref="N199:V199"/>
    <mergeCell ref="AI199:AM199"/>
    <mergeCell ref="AR199:AV199"/>
    <mergeCell ref="A200:C200"/>
    <mergeCell ref="G200:I200"/>
    <mergeCell ref="N200:P200"/>
    <mergeCell ref="T200:V200"/>
    <mergeCell ref="AI200:AM200"/>
    <mergeCell ref="AR200:AV200"/>
    <mergeCell ref="A202:E202"/>
    <mergeCell ref="G202:I202"/>
    <mergeCell ref="N202:R202"/>
    <mergeCell ref="T202:V202"/>
    <mergeCell ref="AI202:AM202"/>
    <mergeCell ref="AR202:AV202"/>
    <mergeCell ref="A201:C201"/>
    <mergeCell ref="G201:I201"/>
    <mergeCell ref="N201:P201"/>
    <mergeCell ref="T201:V201"/>
    <mergeCell ref="AI201:AM201"/>
    <mergeCell ref="AR201:AV201"/>
    <mergeCell ref="A205:C205"/>
    <mergeCell ref="G205:I205"/>
    <mergeCell ref="N205:P205"/>
    <mergeCell ref="T205:V205"/>
    <mergeCell ref="AI205:AM205"/>
    <mergeCell ref="AR205:AV205"/>
    <mergeCell ref="A203:I203"/>
    <mergeCell ref="N203:V203"/>
    <mergeCell ref="AI203:AM203"/>
    <mergeCell ref="AR203:AV203"/>
    <mergeCell ref="A204:C204"/>
    <mergeCell ref="G204:I204"/>
    <mergeCell ref="N204:P204"/>
    <mergeCell ref="T204:V204"/>
    <mergeCell ref="AI204:AM204"/>
    <mergeCell ref="AR204:AV204"/>
    <mergeCell ref="A207:C207"/>
    <mergeCell ref="G207:I207"/>
    <mergeCell ref="N207:P207"/>
    <mergeCell ref="T207:V207"/>
    <mergeCell ref="AI207:AM207"/>
    <mergeCell ref="AR207:AV207"/>
    <mergeCell ref="A206:C206"/>
    <mergeCell ref="G206:I206"/>
    <mergeCell ref="N206:P206"/>
    <mergeCell ref="T206:V206"/>
    <mergeCell ref="AI206:AM206"/>
    <mergeCell ref="AR206:AV206"/>
    <mergeCell ref="A209:C209"/>
    <mergeCell ref="G209:I209"/>
    <mergeCell ref="N209:P209"/>
    <mergeCell ref="T209:V209"/>
    <mergeCell ref="AI209:AM209"/>
    <mergeCell ref="AR209:AV209"/>
    <mergeCell ref="A208:C208"/>
    <mergeCell ref="G208:I208"/>
    <mergeCell ref="N208:P208"/>
    <mergeCell ref="T208:V208"/>
    <mergeCell ref="AI208:AM208"/>
    <mergeCell ref="AR208:AV208"/>
    <mergeCell ref="A211:C211"/>
    <mergeCell ref="G211:I211"/>
    <mergeCell ref="N211:P211"/>
    <mergeCell ref="T211:V211"/>
    <mergeCell ref="AI211:AM211"/>
    <mergeCell ref="AR211:AV211"/>
    <mergeCell ref="A210:C210"/>
    <mergeCell ref="G210:I210"/>
    <mergeCell ref="N210:P210"/>
    <mergeCell ref="T210:V210"/>
    <mergeCell ref="AI210:AM210"/>
    <mergeCell ref="AR210:AV210"/>
    <mergeCell ref="A213:C213"/>
    <mergeCell ref="G213:I213"/>
    <mergeCell ref="N213:P213"/>
    <mergeCell ref="T213:V213"/>
    <mergeCell ref="AI213:AM213"/>
    <mergeCell ref="AR213:AV213"/>
    <mergeCell ref="A212:C212"/>
    <mergeCell ref="G212:I212"/>
    <mergeCell ref="N212:P212"/>
    <mergeCell ref="T212:V212"/>
    <mergeCell ref="AI212:AM212"/>
    <mergeCell ref="AR212:AV212"/>
    <mergeCell ref="A215:C215"/>
    <mergeCell ref="G215:I215"/>
    <mergeCell ref="N215:P215"/>
    <mergeCell ref="T215:V215"/>
    <mergeCell ref="AI215:AM215"/>
    <mergeCell ref="AR215:AV215"/>
    <mergeCell ref="A214:C214"/>
    <mergeCell ref="G214:I214"/>
    <mergeCell ref="N214:P214"/>
    <mergeCell ref="T214:V214"/>
    <mergeCell ref="AI214:AM214"/>
    <mergeCell ref="AR214:AV214"/>
    <mergeCell ref="A217:C217"/>
    <mergeCell ref="G217:I217"/>
    <mergeCell ref="N217:P217"/>
    <mergeCell ref="T217:V217"/>
    <mergeCell ref="AI217:AM217"/>
    <mergeCell ref="AR217:AV217"/>
    <mergeCell ref="A216:C216"/>
    <mergeCell ref="G216:I216"/>
    <mergeCell ref="N216:P216"/>
    <mergeCell ref="T216:V216"/>
    <mergeCell ref="AI216:AM216"/>
    <mergeCell ref="AR216:AV216"/>
    <mergeCell ref="A219:C219"/>
    <mergeCell ref="G219:I219"/>
    <mergeCell ref="N219:P219"/>
    <mergeCell ref="T219:V219"/>
    <mergeCell ref="AI219:AM219"/>
    <mergeCell ref="AR219:AV219"/>
    <mergeCell ref="A218:C218"/>
    <mergeCell ref="G218:I218"/>
    <mergeCell ref="N218:P218"/>
    <mergeCell ref="T218:V218"/>
    <mergeCell ref="AI218:AM218"/>
    <mergeCell ref="AR218:AV218"/>
    <mergeCell ref="A221:E221"/>
    <mergeCell ref="G221:I221"/>
    <mergeCell ref="N221:R221"/>
    <mergeCell ref="T221:V221"/>
    <mergeCell ref="AI221:AM221"/>
    <mergeCell ref="AR221:AV221"/>
    <mergeCell ref="A220:C220"/>
    <mergeCell ref="G220:I220"/>
    <mergeCell ref="N220:P220"/>
    <mergeCell ref="T220:V220"/>
    <mergeCell ref="AI220:AM220"/>
    <mergeCell ref="AR220:AV220"/>
    <mergeCell ref="AI222:AM222"/>
    <mergeCell ref="AR222:AV222"/>
    <mergeCell ref="AI223:AM223"/>
    <mergeCell ref="AR223:AV223"/>
    <mergeCell ref="A224:E224"/>
    <mergeCell ref="G224:I224"/>
    <mergeCell ref="N224:R224"/>
    <mergeCell ref="T224:V224"/>
    <mergeCell ref="AI224:AM224"/>
    <mergeCell ref="AR224:AV224"/>
    <mergeCell ref="AI225:AM225"/>
    <mergeCell ref="AR225:AV225"/>
    <mergeCell ref="A226:C226"/>
    <mergeCell ref="D226:E226"/>
    <mergeCell ref="G226:I226"/>
    <mergeCell ref="N226:P226"/>
    <mergeCell ref="Q226:R226"/>
    <mergeCell ref="T226:V226"/>
    <mergeCell ref="AI226:AM226"/>
    <mergeCell ref="AR226:AV226"/>
    <mergeCell ref="A225:C225"/>
    <mergeCell ref="D225:E225"/>
    <mergeCell ref="G225:I225"/>
    <mergeCell ref="N225:P225"/>
    <mergeCell ref="Q225:R225"/>
    <mergeCell ref="T225:V225"/>
    <mergeCell ref="AI227:AM227"/>
    <mergeCell ref="AR227:AV227"/>
    <mergeCell ref="A228:C228"/>
    <mergeCell ref="D228:E228"/>
    <mergeCell ref="G228:I228"/>
    <mergeCell ref="N228:P228"/>
    <mergeCell ref="Q228:R228"/>
    <mergeCell ref="T228:V228"/>
    <mergeCell ref="AI228:AM228"/>
    <mergeCell ref="AR228:AV228"/>
    <mergeCell ref="A227:C227"/>
    <mergeCell ref="D227:E227"/>
    <mergeCell ref="G227:I227"/>
    <mergeCell ref="N227:P227"/>
    <mergeCell ref="Q227:R227"/>
    <mergeCell ref="T227:V227"/>
    <mergeCell ref="AI231:AM231"/>
    <mergeCell ref="AR231:AV231"/>
    <mergeCell ref="A232:E232"/>
    <mergeCell ref="G232:I232"/>
    <mergeCell ref="N232:R232"/>
    <mergeCell ref="T232:V232"/>
    <mergeCell ref="AI232:AM232"/>
    <mergeCell ref="AR232:AV232"/>
    <mergeCell ref="A229:E229"/>
    <mergeCell ref="G229:I229"/>
    <mergeCell ref="N229:R229"/>
    <mergeCell ref="T229:V229"/>
    <mergeCell ref="AR229:AV229"/>
    <mergeCell ref="AI230:AN230"/>
    <mergeCell ref="AR230:AV230"/>
    <mergeCell ref="AI233:AM233"/>
    <mergeCell ref="AR233:AV233"/>
    <mergeCell ref="A234:C234"/>
    <mergeCell ref="D234:E234"/>
    <mergeCell ref="G234:I234"/>
    <mergeCell ref="N234:P234"/>
    <mergeCell ref="Q234:R234"/>
    <mergeCell ref="T234:V234"/>
    <mergeCell ref="AI234:AM234"/>
    <mergeCell ref="AR234:AV234"/>
    <mergeCell ref="A233:C233"/>
    <mergeCell ref="D233:E233"/>
    <mergeCell ref="G233:I233"/>
    <mergeCell ref="N233:P233"/>
    <mergeCell ref="Q233:R233"/>
    <mergeCell ref="T233:V233"/>
    <mergeCell ref="AI235:AM235"/>
    <mergeCell ref="AR235:AV235"/>
    <mergeCell ref="A236:E236"/>
    <mergeCell ref="G236:I236"/>
    <mergeCell ref="N236:R236"/>
    <mergeCell ref="T236:V236"/>
    <mergeCell ref="AI236:AM236"/>
    <mergeCell ref="AR236:AV236"/>
    <mergeCell ref="A235:C235"/>
    <mergeCell ref="D235:E235"/>
    <mergeCell ref="G235:I235"/>
    <mergeCell ref="N235:P235"/>
    <mergeCell ref="Q235:R235"/>
    <mergeCell ref="T235:V235"/>
    <mergeCell ref="AI237:AM237"/>
    <mergeCell ref="AR237:AV237"/>
    <mergeCell ref="AI238:AM238"/>
    <mergeCell ref="AR238:AV238"/>
    <mergeCell ref="A239:E239"/>
    <mergeCell ref="G239:I239"/>
    <mergeCell ref="N239:R239"/>
    <mergeCell ref="T239:V239"/>
    <mergeCell ref="AI239:AM239"/>
    <mergeCell ref="AR239:AV239"/>
    <mergeCell ref="AI240:AM240"/>
    <mergeCell ref="AR240:AV240"/>
    <mergeCell ref="A241:C241"/>
    <mergeCell ref="D241:E241"/>
    <mergeCell ref="G241:I241"/>
    <mergeCell ref="N241:P241"/>
    <mergeCell ref="Q241:R241"/>
    <mergeCell ref="T241:V241"/>
    <mergeCell ref="AI241:AM241"/>
    <mergeCell ref="AR241:AV241"/>
    <mergeCell ref="A240:C240"/>
    <mergeCell ref="D240:E240"/>
    <mergeCell ref="G240:I240"/>
    <mergeCell ref="N240:P240"/>
    <mergeCell ref="Q240:R240"/>
    <mergeCell ref="T240:V240"/>
    <mergeCell ref="A244:E244"/>
    <mergeCell ref="G244:I244"/>
    <mergeCell ref="N244:R244"/>
    <mergeCell ref="T244:V244"/>
    <mergeCell ref="AI244:AM244"/>
    <mergeCell ref="AR244:AV244"/>
    <mergeCell ref="AI242:AM242"/>
    <mergeCell ref="AR242:AV242"/>
    <mergeCell ref="A243:C243"/>
    <mergeCell ref="D243:E243"/>
    <mergeCell ref="G243:I243"/>
    <mergeCell ref="N243:P243"/>
    <mergeCell ref="Q243:R243"/>
    <mergeCell ref="T243:V243"/>
    <mergeCell ref="AI243:AM243"/>
    <mergeCell ref="AR243:AV243"/>
    <mergeCell ref="A242:C242"/>
    <mergeCell ref="D242:E242"/>
    <mergeCell ref="G242:I242"/>
    <mergeCell ref="N242:P242"/>
    <mergeCell ref="Q242:R242"/>
    <mergeCell ref="T242:V242"/>
    <mergeCell ref="AI245:AM245"/>
    <mergeCell ref="AR245:AV245"/>
    <mergeCell ref="AI246:AM246"/>
    <mergeCell ref="AR246:AV246"/>
    <mergeCell ref="A247:E247"/>
    <mergeCell ref="G247:I247"/>
    <mergeCell ref="N247:R247"/>
    <mergeCell ref="T247:V247"/>
    <mergeCell ref="AI247:AM247"/>
    <mergeCell ref="AR247:AV247"/>
    <mergeCell ref="AI248:AM248"/>
    <mergeCell ref="AR248:AV248"/>
    <mergeCell ref="A249:C249"/>
    <mergeCell ref="D249:E249"/>
    <mergeCell ref="G249:I249"/>
    <mergeCell ref="N249:P249"/>
    <mergeCell ref="Q249:R249"/>
    <mergeCell ref="T249:V249"/>
    <mergeCell ref="AI249:AM249"/>
    <mergeCell ref="AR249:AV249"/>
    <mergeCell ref="A248:C248"/>
    <mergeCell ref="D248:E248"/>
    <mergeCell ref="G248:I248"/>
    <mergeCell ref="N248:P248"/>
    <mergeCell ref="Q248:R248"/>
    <mergeCell ref="T248:V248"/>
    <mergeCell ref="AI250:AM250"/>
    <mergeCell ref="A251:E251"/>
    <mergeCell ref="G251:I251"/>
    <mergeCell ref="N251:R251"/>
    <mergeCell ref="T251:V251"/>
    <mergeCell ref="AI251:AM251"/>
    <mergeCell ref="A250:C250"/>
    <mergeCell ref="D250:E250"/>
    <mergeCell ref="G250:I250"/>
    <mergeCell ref="N250:P250"/>
    <mergeCell ref="Q250:R250"/>
    <mergeCell ref="T250:V250"/>
    <mergeCell ref="AR251:AW251"/>
    <mergeCell ref="AI252:AM252"/>
    <mergeCell ref="AR252:AV252"/>
    <mergeCell ref="AI253:AM253"/>
    <mergeCell ref="AR253:AV253"/>
    <mergeCell ref="A254:E254"/>
    <mergeCell ref="G254:I254"/>
    <mergeCell ref="N254:R254"/>
    <mergeCell ref="T254:V254"/>
    <mergeCell ref="AI254:AM254"/>
    <mergeCell ref="A258:Z259"/>
    <mergeCell ref="AI258:AM258"/>
    <mergeCell ref="AR258:AV258"/>
    <mergeCell ref="AI259:AM259"/>
    <mergeCell ref="AR259:AV259"/>
    <mergeCell ref="AI260:AM260"/>
    <mergeCell ref="AR260:AV260"/>
    <mergeCell ref="AR254:AV254"/>
    <mergeCell ref="AI255:AM255"/>
    <mergeCell ref="AR255:AV255"/>
    <mergeCell ref="AI256:AM256"/>
    <mergeCell ref="AR256:AV256"/>
    <mergeCell ref="AI257:AM257"/>
    <mergeCell ref="AR257:AV257"/>
    <mergeCell ref="A261:G261"/>
    <mergeCell ref="AR261:AV261"/>
    <mergeCell ref="AR262:AV262"/>
    <mergeCell ref="A263:E263"/>
    <mergeCell ref="F263:G263"/>
    <mergeCell ref="N263:R263"/>
    <mergeCell ref="S263:T263"/>
    <mergeCell ref="AI263:AN263"/>
    <mergeCell ref="AR263:AV263"/>
    <mergeCell ref="A266:E266"/>
    <mergeCell ref="G266:I266"/>
    <mergeCell ref="N266:R266"/>
    <mergeCell ref="T266:V266"/>
    <mergeCell ref="AI266:AM266"/>
    <mergeCell ref="AR266:AV266"/>
    <mergeCell ref="AI264:AM264"/>
    <mergeCell ref="AR264:AV264"/>
    <mergeCell ref="A265:E265"/>
    <mergeCell ref="G265:I265"/>
    <mergeCell ref="N265:R265"/>
    <mergeCell ref="T265:V265"/>
    <mergeCell ref="AI265:AM265"/>
    <mergeCell ref="AR265:AV265"/>
    <mergeCell ref="A267:E267"/>
    <mergeCell ref="G267:I267"/>
    <mergeCell ref="N267:R267"/>
    <mergeCell ref="T267:V267"/>
    <mergeCell ref="AR267:AV267"/>
    <mergeCell ref="A268:E268"/>
    <mergeCell ref="G268:I268"/>
    <mergeCell ref="N268:R268"/>
    <mergeCell ref="T268:V268"/>
    <mergeCell ref="AR268:AV268"/>
    <mergeCell ref="A270:E270"/>
    <mergeCell ref="G270:I270"/>
    <mergeCell ref="N270:R270"/>
    <mergeCell ref="T270:V270"/>
    <mergeCell ref="AI270:AM270"/>
    <mergeCell ref="AR270:AV270"/>
    <mergeCell ref="A269:E269"/>
    <mergeCell ref="G269:I269"/>
    <mergeCell ref="N269:R269"/>
    <mergeCell ref="T269:V269"/>
    <mergeCell ref="AI269:AN269"/>
    <mergeCell ref="AR269:AV269"/>
    <mergeCell ref="A272:E272"/>
    <mergeCell ref="G272:I272"/>
    <mergeCell ref="N272:R272"/>
    <mergeCell ref="T272:V272"/>
    <mergeCell ref="AI272:AM272"/>
    <mergeCell ref="AR272:AV272"/>
    <mergeCell ref="A271:E271"/>
    <mergeCell ref="G271:I271"/>
    <mergeCell ref="N271:R271"/>
    <mergeCell ref="T271:V271"/>
    <mergeCell ref="AI271:AM271"/>
    <mergeCell ref="AR271:AV271"/>
    <mergeCell ref="A275:E275"/>
    <mergeCell ref="G275:I275"/>
    <mergeCell ref="N275:R275"/>
    <mergeCell ref="T275:V275"/>
    <mergeCell ref="AI275:AM275"/>
    <mergeCell ref="AR275:AV275"/>
    <mergeCell ref="A273:E273"/>
    <mergeCell ref="N273:R273"/>
    <mergeCell ref="AI273:AM273"/>
    <mergeCell ref="AR273:AV273"/>
    <mergeCell ref="A274:E274"/>
    <mergeCell ref="G274:I274"/>
    <mergeCell ref="N274:R274"/>
    <mergeCell ref="T274:V274"/>
    <mergeCell ref="AI274:AM274"/>
    <mergeCell ref="AR274:AV274"/>
    <mergeCell ref="A277:E277"/>
    <mergeCell ref="G277:I277"/>
    <mergeCell ref="N277:R277"/>
    <mergeCell ref="T277:V277"/>
    <mergeCell ref="AI277:AM277"/>
    <mergeCell ref="AR277:AV277"/>
    <mergeCell ref="A276:E276"/>
    <mergeCell ref="G276:I276"/>
    <mergeCell ref="N276:R276"/>
    <mergeCell ref="T276:V276"/>
    <mergeCell ref="AI276:AM276"/>
    <mergeCell ref="AR276:AV276"/>
    <mergeCell ref="A278:E278"/>
    <mergeCell ref="G278:I278"/>
    <mergeCell ref="N278:R278"/>
    <mergeCell ref="T278:V278"/>
    <mergeCell ref="AR278:AV278"/>
    <mergeCell ref="A279:E279"/>
    <mergeCell ref="G279:I279"/>
    <mergeCell ref="N279:R279"/>
    <mergeCell ref="T279:V279"/>
    <mergeCell ref="AR279:AV279"/>
    <mergeCell ref="A281:E281"/>
    <mergeCell ref="G281:I281"/>
    <mergeCell ref="N281:R281"/>
    <mergeCell ref="T281:V281"/>
    <mergeCell ref="AI281:AM281"/>
    <mergeCell ref="AR281:AV281"/>
    <mergeCell ref="A280:E280"/>
    <mergeCell ref="G280:I280"/>
    <mergeCell ref="N280:R280"/>
    <mergeCell ref="T280:V280"/>
    <mergeCell ref="AI280:AN280"/>
    <mergeCell ref="AR280:AV280"/>
    <mergeCell ref="A283:E283"/>
    <mergeCell ref="G283:I283"/>
    <mergeCell ref="N283:R283"/>
    <mergeCell ref="T283:V283"/>
    <mergeCell ref="AI283:AM283"/>
    <mergeCell ref="AR283:AV283"/>
    <mergeCell ref="A282:E282"/>
    <mergeCell ref="G282:I282"/>
    <mergeCell ref="N282:R282"/>
    <mergeCell ref="T282:V282"/>
    <mergeCell ref="AI282:AM282"/>
    <mergeCell ref="AR282:AV282"/>
    <mergeCell ref="A285:E285"/>
    <mergeCell ref="G285:I285"/>
    <mergeCell ref="N285:R285"/>
    <mergeCell ref="T285:V285"/>
    <mergeCell ref="AI285:AM285"/>
    <mergeCell ref="AR285:AV285"/>
    <mergeCell ref="A284:E284"/>
    <mergeCell ref="G284:I284"/>
    <mergeCell ref="N284:R284"/>
    <mergeCell ref="T284:V284"/>
    <mergeCell ref="AI284:AM284"/>
    <mergeCell ref="AR284:AV284"/>
    <mergeCell ref="A287:E287"/>
    <mergeCell ref="G287:I287"/>
    <mergeCell ref="N287:R287"/>
    <mergeCell ref="T287:V287"/>
    <mergeCell ref="AI287:AM287"/>
    <mergeCell ref="AR287:AV287"/>
    <mergeCell ref="A286:E286"/>
    <mergeCell ref="G286:I286"/>
    <mergeCell ref="N286:R286"/>
    <mergeCell ref="T286:V286"/>
    <mergeCell ref="AI286:AM286"/>
    <mergeCell ref="AR286:AV286"/>
    <mergeCell ref="A290:E290"/>
    <mergeCell ref="G290:I290"/>
    <mergeCell ref="N290:R290"/>
    <mergeCell ref="T290:V290"/>
    <mergeCell ref="AI290:AM290"/>
    <mergeCell ref="AR290:AV290"/>
    <mergeCell ref="A288:E288"/>
    <mergeCell ref="N288:R288"/>
    <mergeCell ref="AI288:AM288"/>
    <mergeCell ref="AR288:AV288"/>
    <mergeCell ref="A289:E289"/>
    <mergeCell ref="G289:I289"/>
    <mergeCell ref="N289:R289"/>
    <mergeCell ref="T289:V289"/>
    <mergeCell ref="AI289:AM289"/>
    <mergeCell ref="AR289:AV289"/>
    <mergeCell ref="A291:E291"/>
    <mergeCell ref="G291:I291"/>
    <mergeCell ref="N291:R291"/>
    <mergeCell ref="T291:V291"/>
    <mergeCell ref="AI291:AM291"/>
    <mergeCell ref="A292:E292"/>
    <mergeCell ref="G292:I292"/>
    <mergeCell ref="N292:R292"/>
    <mergeCell ref="T292:V292"/>
    <mergeCell ref="AI292:AM292"/>
    <mergeCell ref="AR295:AV295"/>
    <mergeCell ref="A294:E294"/>
    <mergeCell ref="G294:I294"/>
    <mergeCell ref="N294:R294"/>
    <mergeCell ref="T294:V294"/>
    <mergeCell ref="AI294:AM294"/>
    <mergeCell ref="AR294:AV294"/>
    <mergeCell ref="AR292:AW292"/>
    <mergeCell ref="A293:E293"/>
    <mergeCell ref="G293:I293"/>
    <mergeCell ref="N293:R293"/>
    <mergeCell ref="T293:V293"/>
    <mergeCell ref="AI293:AM293"/>
    <mergeCell ref="AR293:AV293"/>
    <mergeCell ref="A296:E296"/>
    <mergeCell ref="N296:R296"/>
    <mergeCell ref="AI296:AM296"/>
    <mergeCell ref="A297:E297"/>
    <mergeCell ref="G297:I297"/>
    <mergeCell ref="N297:R297"/>
    <mergeCell ref="T297:V297"/>
    <mergeCell ref="AI297:AM297"/>
    <mergeCell ref="A295:E295"/>
    <mergeCell ref="G295:I295"/>
    <mergeCell ref="N295:R295"/>
    <mergeCell ref="T295:V295"/>
    <mergeCell ref="AI295:AM295"/>
    <mergeCell ref="A299:E299"/>
    <mergeCell ref="G299:I299"/>
    <mergeCell ref="N299:R299"/>
    <mergeCell ref="T299:V299"/>
    <mergeCell ref="AI299:AN299"/>
    <mergeCell ref="AR299:AV299"/>
    <mergeCell ref="AR297:AW297"/>
    <mergeCell ref="A298:E298"/>
    <mergeCell ref="G298:I298"/>
    <mergeCell ref="N298:R298"/>
    <mergeCell ref="T298:V298"/>
    <mergeCell ref="AR298:AV298"/>
    <mergeCell ref="A300:E300"/>
    <mergeCell ref="N300:R300"/>
    <mergeCell ref="AI300:AM300"/>
    <mergeCell ref="AR300:AV300"/>
    <mergeCell ref="A301:E301"/>
    <mergeCell ref="G301:I301"/>
    <mergeCell ref="N301:R301"/>
    <mergeCell ref="T301:V301"/>
    <mergeCell ref="AI301:AM301"/>
    <mergeCell ref="AR301:AV301"/>
    <mergeCell ref="A302:E302"/>
    <mergeCell ref="G302:I302"/>
    <mergeCell ref="N302:R302"/>
    <mergeCell ref="T302:V302"/>
    <mergeCell ref="AR302:AV302"/>
    <mergeCell ref="A303:E303"/>
    <mergeCell ref="G303:I303"/>
    <mergeCell ref="N303:R303"/>
    <mergeCell ref="T303:V303"/>
    <mergeCell ref="AR303:AV303"/>
    <mergeCell ref="AI308:AM308"/>
    <mergeCell ref="AR308:AV308"/>
    <mergeCell ref="AI309:AM309"/>
    <mergeCell ref="AI310:AM310"/>
    <mergeCell ref="AR310:AW310"/>
    <mergeCell ref="AR311:AV311"/>
    <mergeCell ref="AI304:AN304"/>
    <mergeCell ref="AR304:AV304"/>
    <mergeCell ref="AI305:AM305"/>
    <mergeCell ref="AI306:AM306"/>
    <mergeCell ref="AR306:AW306"/>
    <mergeCell ref="AI307:AM307"/>
    <mergeCell ref="AR307:AV307"/>
    <mergeCell ref="AR316:AV316"/>
    <mergeCell ref="AI317:AN317"/>
    <mergeCell ref="AI318:AM318"/>
    <mergeCell ref="AR318:AW318"/>
    <mergeCell ref="AI319:AM319"/>
    <mergeCell ref="AR319:AV319"/>
    <mergeCell ref="AI312:AN312"/>
    <mergeCell ref="AR312:AV312"/>
    <mergeCell ref="AI313:AM313"/>
    <mergeCell ref="AI314:AM314"/>
    <mergeCell ref="AR314:AW314"/>
    <mergeCell ref="AI315:AM315"/>
    <mergeCell ref="AR315:AV315"/>
    <mergeCell ref="AI324:AM324"/>
    <mergeCell ref="AR324:AV324"/>
    <mergeCell ref="AI325:AM325"/>
    <mergeCell ref="AR325:AV325"/>
    <mergeCell ref="AI326:AM326"/>
    <mergeCell ref="AR326:AV326"/>
    <mergeCell ref="AI320:AM320"/>
    <mergeCell ref="AR320:AV320"/>
    <mergeCell ref="AI321:AM321"/>
    <mergeCell ref="AI322:AM322"/>
    <mergeCell ref="AR322:AW322"/>
    <mergeCell ref="AI323:AM323"/>
    <mergeCell ref="AR323:AV323"/>
    <mergeCell ref="AI333:AM333"/>
    <mergeCell ref="AI354:AN354"/>
    <mergeCell ref="AI355:AM355"/>
    <mergeCell ref="AI356:AN356"/>
    <mergeCell ref="AI357:AN357"/>
    <mergeCell ref="AI387:AM387"/>
    <mergeCell ref="AI327:AM327"/>
    <mergeCell ref="AR327:AV327"/>
    <mergeCell ref="AI328:AM328"/>
    <mergeCell ref="AI330:AN330"/>
    <mergeCell ref="AI331:AM331"/>
    <mergeCell ref="AI332:AM332"/>
    <mergeCell ref="AI405:AN405"/>
    <mergeCell ref="AI406:AN406"/>
    <mergeCell ref="AI408:AN408"/>
    <mergeCell ref="AI409:AM409"/>
    <mergeCell ref="AI410:AN410"/>
    <mergeCell ref="AI411:AN411"/>
    <mergeCell ref="AI391:AN391"/>
    <mergeCell ref="AI392:AN392"/>
    <mergeCell ref="AI394:AN394"/>
    <mergeCell ref="AI395:AM395"/>
    <mergeCell ref="AI403:AN403"/>
    <mergeCell ref="AI404:AM404"/>
    <mergeCell ref="AI420:AN420"/>
    <mergeCell ref="AI421:AN421"/>
    <mergeCell ref="AI424:AN424"/>
    <mergeCell ref="AI425:AM425"/>
    <mergeCell ref="AI413:AN413"/>
    <mergeCell ref="AI414:AM414"/>
    <mergeCell ref="AI415:AN415"/>
    <mergeCell ref="AI416:AN416"/>
    <mergeCell ref="AI418:AN418"/>
    <mergeCell ref="AI419:AM419"/>
  </mergeCells>
  <phoneticPr fontId="0" type="noConversion"/>
  <conditionalFormatting sqref="A156:A177 N156:N177 A180:A190 N180:N190">
    <cfRule type="expression" dxfId="64" priority="60">
      <formula>IF(D156="DESC",1,0)</formula>
    </cfRule>
  </conditionalFormatting>
  <conditionalFormatting sqref="A200:A201">
    <cfRule type="expression" dxfId="63" priority="54">
      <formula>IF(D200="DESC",1,0)</formula>
    </cfRule>
  </conditionalFormatting>
  <conditionalFormatting sqref="A204:A220">
    <cfRule type="expression" dxfId="62" priority="57">
      <formula>IF(D204="DESC",1,0)</formula>
    </cfRule>
  </conditionalFormatting>
  <conditionalFormatting sqref="A266:A271">
    <cfRule type="expression" dxfId="61" priority="16">
      <formula>IF(#REF!="DESC",1,0)</formula>
    </cfRule>
  </conditionalFormatting>
  <conditionalFormatting sqref="A274:A286">
    <cfRule type="expression" dxfId="60" priority="4">
      <formula>IF(#REF!="DESC",1,0)</formula>
    </cfRule>
  </conditionalFormatting>
  <conditionalFormatting sqref="A289:A294">
    <cfRule type="expression" dxfId="59" priority="15">
      <formula>IF(#REF!="DESC",1,0)</formula>
    </cfRule>
  </conditionalFormatting>
  <conditionalFormatting sqref="A297:A298">
    <cfRule type="expression" dxfId="58" priority="14">
      <formula>IF(#REF!="DESC",1,0)</formula>
    </cfRule>
  </conditionalFormatting>
  <conditionalFormatting sqref="A301:A302">
    <cfRule type="expression" dxfId="57" priority="13">
      <formula>IF(#REF!="DESC",1,0)</formula>
    </cfRule>
  </conditionalFormatting>
  <conditionalFormatting sqref="A225:C228">
    <cfRule type="expression" dxfId="56" priority="27">
      <formula>IF(D225="DESC",1,0)</formula>
    </cfRule>
  </conditionalFormatting>
  <conditionalFormatting sqref="A233:C235">
    <cfRule type="expression" dxfId="55" priority="31">
      <formula>IF(D233="DESC",1,0)</formula>
    </cfRule>
  </conditionalFormatting>
  <conditionalFormatting sqref="A240:C243">
    <cfRule type="expression" dxfId="54" priority="29">
      <formula>IF(D240="DESC",1,0)</formula>
    </cfRule>
  </conditionalFormatting>
  <conditionalFormatting sqref="A248:C250">
    <cfRule type="expression" dxfId="53" priority="26">
      <formula>IF(D248="DESC",1,0)</formula>
    </cfRule>
  </conditionalFormatting>
  <conditionalFormatting sqref="A191:N196">
    <cfRule type="expression" dxfId="52" priority="55">
      <formula>IF(D191="DESC",1,0)</formula>
    </cfRule>
  </conditionalFormatting>
  <conditionalFormatting sqref="A197:P197">
    <cfRule type="expression" dxfId="51" priority="5">
      <formula>IF(D197="DESC",1,0)</formula>
    </cfRule>
  </conditionalFormatting>
  <conditionalFormatting sqref="F166">
    <cfRule type="expression" dxfId="50" priority="61">
      <formula>IF(D166="DESC",1,0)</formula>
    </cfRule>
  </conditionalFormatting>
  <conditionalFormatting sqref="F170">
    <cfRule type="expression" dxfId="49" priority="62">
      <formula>IF(D170="DESC",1,0)</formula>
    </cfRule>
  </conditionalFormatting>
  <conditionalFormatting sqref="F190">
    <cfRule type="expression" dxfId="48" priority="36">
      <formula>IF(D190="DESC",1,0)</formula>
    </cfRule>
  </conditionalFormatting>
  <conditionalFormatting sqref="F225:F228">
    <cfRule type="expression" dxfId="47" priority="28">
      <formula>IF(D225="DESC",1,0)</formula>
    </cfRule>
  </conditionalFormatting>
  <conditionalFormatting sqref="F233:F235">
    <cfRule type="expression" dxfId="46" priority="18">
      <formula>IF(D233="DESC",1,0)</formula>
    </cfRule>
  </conditionalFormatting>
  <conditionalFormatting sqref="F240:F243">
    <cfRule type="expression" dxfId="45" priority="30">
      <formula>IF(D240="DESC",1,0)</formula>
    </cfRule>
  </conditionalFormatting>
  <conditionalFormatting sqref="F248:F250">
    <cfRule type="expression" dxfId="44" priority="32">
      <formula>IF(D248="DESC",1,0)</formula>
    </cfRule>
  </conditionalFormatting>
  <conditionalFormatting sqref="F274:F286">
    <cfRule type="duplicateValues" dxfId="43" priority="3"/>
  </conditionalFormatting>
  <conditionalFormatting sqref="G274:N286">
    <cfRule type="expression" dxfId="42" priority="2">
      <formula>IF(#REF!="DESC",1,0)</formula>
    </cfRule>
  </conditionalFormatting>
  <conditionalFormatting sqref="M182:M183">
    <cfRule type="expression" dxfId="41" priority="6">
      <formula>IF(P182="DESC",1,0)</formula>
    </cfRule>
  </conditionalFormatting>
  <conditionalFormatting sqref="M188">
    <cfRule type="expression" dxfId="40" priority="7">
      <formula>IF(P188="DESC",1,0)</formula>
    </cfRule>
  </conditionalFormatting>
  <conditionalFormatting sqref="N200:N201">
    <cfRule type="expression" dxfId="39" priority="53">
      <formula>IF(Q200="DESC",1,0)</formula>
    </cfRule>
  </conditionalFormatting>
  <conditionalFormatting sqref="N204:N220">
    <cfRule type="expression" dxfId="38" priority="56">
      <formula>IF(Q204="DESC",1,0)</formula>
    </cfRule>
  </conditionalFormatting>
  <conditionalFormatting sqref="N266:N271">
    <cfRule type="expression" dxfId="37" priority="12">
      <formula>IF(#REF!="DESC",1,0)</formula>
    </cfRule>
  </conditionalFormatting>
  <conditionalFormatting sqref="N289:N294">
    <cfRule type="expression" dxfId="36" priority="11">
      <formula>IF(#REF!="DESC",1,0)</formula>
    </cfRule>
  </conditionalFormatting>
  <conditionalFormatting sqref="N297:N298">
    <cfRule type="expression" dxfId="35" priority="10">
      <formula>IF(#REF!="DESC",1,0)</formula>
    </cfRule>
  </conditionalFormatting>
  <conditionalFormatting sqref="N301:N302">
    <cfRule type="expression" dxfId="34" priority="9">
      <formula>IF(#REF!="DESC",1,0)</formula>
    </cfRule>
  </conditionalFormatting>
  <conditionalFormatting sqref="N225:P228">
    <cfRule type="expression" dxfId="33" priority="21">
      <formula>IF(Q225="DESC",1,0)</formula>
    </cfRule>
  </conditionalFormatting>
  <conditionalFormatting sqref="N233:P235">
    <cfRule type="expression" dxfId="32" priority="24">
      <formula>IF(Q233="DESC",1,0)</formula>
    </cfRule>
  </conditionalFormatting>
  <conditionalFormatting sqref="N240:P243">
    <cfRule type="expression" dxfId="31" priority="23">
      <formula>IF(Q240="DESC",1,0)</formula>
    </cfRule>
  </conditionalFormatting>
  <conditionalFormatting sqref="N248:P250">
    <cfRule type="expression" dxfId="30" priority="20">
      <formula>IF(Q248="DESC",1,0)</formula>
    </cfRule>
  </conditionalFormatting>
  <conditionalFormatting sqref="S166">
    <cfRule type="expression" dxfId="29" priority="58">
      <formula>IF(Q166="DESC",1,0)</formula>
    </cfRule>
  </conditionalFormatting>
  <conditionalFormatting sqref="S170">
    <cfRule type="expression" dxfId="28" priority="59">
      <formula>IF(Q170="DESC",1,0)</formula>
    </cfRule>
  </conditionalFormatting>
  <conditionalFormatting sqref="S190">
    <cfRule type="expression" dxfId="27" priority="35">
      <formula>IF(Q190="DESC",1,0)</formula>
    </cfRule>
  </conditionalFormatting>
  <conditionalFormatting sqref="S197">
    <cfRule type="expression" dxfId="26" priority="8">
      <formula>IF(V197="DESC",1,0)</formula>
    </cfRule>
  </conditionalFormatting>
  <conditionalFormatting sqref="S225:S228">
    <cfRule type="expression" dxfId="25" priority="22">
      <formula>IF(Q225="DESC",1,0)</formula>
    </cfRule>
  </conditionalFormatting>
  <conditionalFormatting sqref="S233:S235">
    <cfRule type="expression" dxfId="24" priority="17">
      <formula>IF(Q233="DESC",1,0)</formula>
    </cfRule>
  </conditionalFormatting>
  <conditionalFormatting sqref="S240:S243">
    <cfRule type="expression" dxfId="23" priority="19">
      <formula>IF(Q240="DESC",1,0)</formula>
    </cfRule>
  </conditionalFormatting>
  <conditionalFormatting sqref="S248:S250">
    <cfRule type="expression" dxfId="22" priority="25">
      <formula>IF(Q248="DESC",1,0)</formula>
    </cfRule>
  </conditionalFormatting>
  <conditionalFormatting sqref="S274:S286">
    <cfRule type="duplicateValues" dxfId="21" priority="1"/>
  </conditionalFormatting>
  <conditionalFormatting sqref="AD169">
    <cfRule type="duplicateValues" dxfId="20" priority="63"/>
  </conditionalFormatting>
  <conditionalFormatting sqref="AD174">
    <cfRule type="duplicateValues" dxfId="19" priority="38"/>
  </conditionalFormatting>
  <conditionalFormatting sqref="AD177:AD178 AD180 AD182:AD188 AD190:AD193">
    <cfRule type="duplicateValues" dxfId="18" priority="64"/>
  </conditionalFormatting>
  <conditionalFormatting sqref="AD179">
    <cfRule type="duplicateValues" dxfId="17" priority="50"/>
  </conditionalFormatting>
  <conditionalFormatting sqref="AD181">
    <cfRule type="duplicateValues" dxfId="16" priority="52"/>
  </conditionalFormatting>
  <conditionalFormatting sqref="AD189">
    <cfRule type="duplicateValues" dxfId="15" priority="51"/>
  </conditionalFormatting>
  <conditionalFormatting sqref="AD194">
    <cfRule type="duplicateValues" dxfId="14" priority="44"/>
  </conditionalFormatting>
  <conditionalFormatting sqref="AD195">
    <cfRule type="duplicateValues" dxfId="13" priority="37"/>
  </conditionalFormatting>
  <conditionalFormatting sqref="AD196 AD198:AD201 AD203 AD206:AD209 AD211:AD217 AD219:AD220 AD222:AD230 AD232:AD234 AD236:AD238 AD240:AD246">
    <cfRule type="duplicateValues" dxfId="12" priority="65"/>
  </conditionalFormatting>
  <conditionalFormatting sqref="AD197">
    <cfRule type="duplicateValues" dxfId="11" priority="43"/>
  </conditionalFormatting>
  <conditionalFormatting sqref="AD202">
    <cfRule type="duplicateValues" dxfId="10" priority="48"/>
  </conditionalFormatting>
  <conditionalFormatting sqref="AD204">
    <cfRule type="duplicateValues" dxfId="9" priority="34"/>
  </conditionalFormatting>
  <conditionalFormatting sqref="AD205">
    <cfRule type="duplicateValues" dxfId="8" priority="49"/>
  </conditionalFormatting>
  <conditionalFormatting sqref="AD210">
    <cfRule type="duplicateValues" dxfId="7" priority="41"/>
  </conditionalFormatting>
  <conditionalFormatting sqref="AD218">
    <cfRule type="duplicateValues" dxfId="6" priority="47"/>
  </conditionalFormatting>
  <conditionalFormatting sqref="AD221">
    <cfRule type="duplicateValues" dxfId="5" priority="33"/>
  </conditionalFormatting>
  <conditionalFormatting sqref="AD231">
    <cfRule type="duplicateValues" dxfId="4" priority="42"/>
  </conditionalFormatting>
  <conditionalFormatting sqref="AD235">
    <cfRule type="duplicateValues" dxfId="3" priority="46"/>
  </conditionalFormatting>
  <conditionalFormatting sqref="AD239">
    <cfRule type="duplicateValues" dxfId="2" priority="45"/>
  </conditionalFormatting>
  <conditionalFormatting sqref="AD248">
    <cfRule type="duplicateValues" dxfId="1" priority="40"/>
  </conditionalFormatting>
  <conditionalFormatting sqref="AD249">
    <cfRule type="duplicateValues" dxfId="0" priority="3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P121"/>
  <sheetViews>
    <sheetView topLeftCell="A10" zoomScale="60" zoomScaleNormal="60" workbookViewId="0">
      <selection activeCell="J49" sqref="J49"/>
    </sheetView>
  </sheetViews>
  <sheetFormatPr baseColWidth="10" defaultColWidth="16.7109375" defaultRowHeight="15" x14ac:dyDescent="0.25"/>
  <cols>
    <col min="1" max="4" width="2.42578125" customWidth="1"/>
    <col min="16" max="20" width="1.28515625" customWidth="1"/>
    <col min="44" max="57" width="10" customWidth="1"/>
    <col min="58" max="71" width="1.28515625" customWidth="1"/>
    <col min="84" max="94" width="3" customWidth="1"/>
  </cols>
  <sheetData>
    <row r="1" spans="1:94" ht="34.5" thickBot="1" x14ac:dyDescent="0.3">
      <c r="A1" s="1057" t="s">
        <v>149</v>
      </c>
      <c r="B1" s="1058"/>
      <c r="C1" s="1058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1058"/>
      <c r="P1" s="1058"/>
      <c r="Q1" s="1058"/>
      <c r="R1" s="1058"/>
      <c r="S1" s="1058"/>
      <c r="T1" s="1058"/>
      <c r="U1" s="1058"/>
      <c r="V1" s="1058"/>
      <c r="W1" s="1058"/>
      <c r="X1" s="1058"/>
      <c r="Y1" s="1058"/>
      <c r="Z1" s="1058"/>
      <c r="AA1" s="1058"/>
      <c r="AB1" s="1058"/>
      <c r="AC1" s="1058"/>
      <c r="AD1" s="1058"/>
      <c r="AE1" s="1058"/>
      <c r="AF1" s="1058"/>
      <c r="AG1" s="1058"/>
      <c r="AH1" s="1058"/>
      <c r="AI1" s="1058"/>
      <c r="AJ1" s="1058"/>
      <c r="AK1" s="1058"/>
      <c r="AL1" s="1058"/>
      <c r="AM1" s="1058"/>
      <c r="AN1" s="1058"/>
      <c r="AO1" s="1058"/>
      <c r="AP1" s="1058"/>
      <c r="AQ1" s="1058"/>
      <c r="AR1" s="1058"/>
      <c r="AS1" s="1058"/>
      <c r="AT1" s="1058"/>
      <c r="AU1" s="1058"/>
      <c r="AV1" s="1058"/>
      <c r="AW1" s="1058"/>
      <c r="AX1" s="1058"/>
      <c r="AY1" s="1058"/>
      <c r="AZ1" s="1058"/>
      <c r="BA1" s="1058"/>
      <c r="BB1" s="1058"/>
      <c r="BC1" s="1058"/>
      <c r="BD1" s="1058"/>
      <c r="BE1" s="1058"/>
      <c r="BF1" s="1058"/>
      <c r="BG1" s="1058"/>
      <c r="BH1" s="1058"/>
      <c r="BI1" s="1058"/>
      <c r="BJ1" s="1058"/>
      <c r="BK1" s="1058"/>
      <c r="BL1" s="1058"/>
      <c r="BM1" s="1058"/>
      <c r="BN1" s="1058"/>
      <c r="BO1" s="1058"/>
      <c r="BP1" s="1058"/>
      <c r="BQ1" s="1058"/>
      <c r="BR1" s="1058"/>
      <c r="BS1" s="1058"/>
      <c r="BT1" s="1058"/>
      <c r="BU1" s="1058"/>
      <c r="BV1" s="1058"/>
      <c r="BW1" s="1058"/>
      <c r="BX1" s="1058"/>
      <c r="BY1" s="1058"/>
      <c r="BZ1" s="1058"/>
      <c r="CA1" s="1058"/>
      <c r="CB1" s="1058"/>
      <c r="CC1" s="1058"/>
      <c r="CD1" s="1058"/>
      <c r="CE1" s="1058"/>
      <c r="CF1" s="1058"/>
      <c r="CG1" s="1058"/>
      <c r="CH1" s="1058"/>
      <c r="CI1" s="1058"/>
      <c r="CJ1" s="1058"/>
      <c r="CK1" s="1058"/>
      <c r="CL1" s="1058"/>
      <c r="CM1" s="1058"/>
      <c r="CN1" s="1058"/>
      <c r="CO1" s="29"/>
      <c r="CP1" s="30"/>
    </row>
    <row r="2" spans="1:94" ht="15.75" thickBo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3"/>
      <c r="CO2" s="34"/>
      <c r="CP2" s="30"/>
    </row>
    <row r="3" spans="1:94" ht="15" customHeight="1" thickBo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5"/>
      <c r="BL3" s="1059"/>
      <c r="BM3" s="1060"/>
      <c r="BN3" s="1060"/>
      <c r="BO3" s="1061"/>
      <c r="BP3" s="983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1068"/>
      <c r="CL3" s="1069"/>
      <c r="CM3" s="36"/>
      <c r="CN3" s="37"/>
      <c r="CO3" s="34"/>
      <c r="CP3" s="30"/>
    </row>
    <row r="4" spans="1:94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5"/>
      <c r="BL4" s="1062"/>
      <c r="BM4" s="1063"/>
      <c r="BN4" s="1063"/>
      <c r="BO4" s="1064"/>
      <c r="BP4" s="982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9"/>
      <c r="CO4" s="34"/>
      <c r="CP4" s="30"/>
    </row>
    <row r="5" spans="1:94" ht="15.75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5"/>
      <c r="BL5" s="1062"/>
      <c r="BM5" s="1063"/>
      <c r="BN5" s="1063"/>
      <c r="BO5" s="1064"/>
      <c r="BP5" s="982"/>
      <c r="BQ5" s="38"/>
      <c r="BR5" s="38"/>
      <c r="BS5" s="38"/>
      <c r="BT5" s="38"/>
      <c r="BZ5" s="40"/>
      <c r="CA5" s="40"/>
      <c r="CB5" s="40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870"/>
      <c r="CO5" s="34"/>
      <c r="CP5" s="30"/>
    </row>
    <row r="6" spans="1:94" ht="18.75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5"/>
      <c r="BL6" s="1062"/>
      <c r="BM6" s="1063"/>
      <c r="BN6" s="1063"/>
      <c r="BO6" s="1064"/>
      <c r="BP6" s="982"/>
      <c r="BQ6" s="38"/>
      <c r="BR6" s="38"/>
      <c r="BS6" s="38"/>
      <c r="BT6" s="38"/>
      <c r="BW6" s="42"/>
      <c r="BZ6" s="40"/>
      <c r="CA6" s="876"/>
      <c r="CB6" s="876"/>
      <c r="CC6" s="876"/>
      <c r="CD6" s="876"/>
      <c r="CE6" s="876"/>
      <c r="CF6" s="40"/>
      <c r="CG6" s="40"/>
      <c r="CH6" s="40"/>
      <c r="CI6" s="40"/>
      <c r="CJ6" s="40"/>
      <c r="CK6" s="31"/>
      <c r="CL6" s="31"/>
      <c r="CM6" s="31"/>
      <c r="CN6" s="870"/>
      <c r="CO6" s="34"/>
      <c r="CP6" s="30"/>
    </row>
    <row r="7" spans="1:94" ht="19.5" thickBo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5"/>
      <c r="BL7" s="1065"/>
      <c r="BM7" s="1066"/>
      <c r="BN7" s="1066"/>
      <c r="BO7" s="1067"/>
      <c r="BP7" s="982"/>
      <c r="BQ7" s="38"/>
      <c r="BR7" s="38"/>
      <c r="BS7" s="982"/>
      <c r="BT7" s="919"/>
      <c r="BU7" s="406"/>
      <c r="BV7" s="406"/>
      <c r="BW7" s="984"/>
      <c r="BX7" s="406"/>
      <c r="BY7" s="59"/>
      <c r="BZ7" s="31"/>
      <c r="CA7" s="976"/>
      <c r="CB7" s="993"/>
      <c r="CC7" s="993"/>
      <c r="CD7" s="993"/>
      <c r="CE7" s="876"/>
      <c r="CF7" s="40"/>
      <c r="CG7" s="40"/>
      <c r="CH7" s="40"/>
      <c r="CI7" s="40"/>
      <c r="CJ7" s="40"/>
      <c r="CK7" s="45"/>
      <c r="CL7" s="45"/>
      <c r="CM7" s="45"/>
      <c r="CN7" s="870"/>
      <c r="CO7" s="34"/>
      <c r="CP7" s="30"/>
    </row>
    <row r="8" spans="1:94" ht="18.75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5"/>
      <c r="BL8" s="43"/>
      <c r="BM8" s="38"/>
      <c r="BN8" s="38"/>
      <c r="BO8" s="38"/>
      <c r="BP8" s="38"/>
      <c r="BQ8" s="38"/>
      <c r="BR8" s="38"/>
      <c r="BS8" s="982"/>
      <c r="BT8" s="59"/>
      <c r="BU8" s="46"/>
      <c r="BV8" s="46"/>
      <c r="BW8" s="984"/>
      <c r="BX8" s="919"/>
      <c r="BY8" s="59"/>
      <c r="BZ8" s="31"/>
      <c r="CA8" s="976"/>
      <c r="CB8" s="993"/>
      <c r="CC8" s="876"/>
      <c r="CD8" s="993"/>
      <c r="CE8" s="876"/>
      <c r="CF8" s="40"/>
      <c r="CG8" s="40"/>
      <c r="CH8" s="876"/>
      <c r="CI8" s="876"/>
      <c r="CJ8" s="876"/>
      <c r="CK8" s="903"/>
      <c r="CL8" s="903"/>
      <c r="CM8" s="903"/>
      <c r="CN8" s="870"/>
      <c r="CO8" s="34"/>
      <c r="CP8" s="30"/>
    </row>
    <row r="9" spans="1:94" ht="18.75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4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5"/>
      <c r="BL9" s="43"/>
      <c r="BM9" s="47"/>
      <c r="BN9" s="47"/>
      <c r="BO9" s="882"/>
      <c r="BP9" s="982"/>
      <c r="BQ9" s="982"/>
      <c r="BR9" s="406"/>
      <c r="BS9" s="406"/>
      <c r="BT9" s="982"/>
      <c r="BU9" s="984"/>
      <c r="BV9" s="984"/>
      <c r="BW9" s="984"/>
      <c r="BX9" s="406"/>
      <c r="BY9" s="406"/>
      <c r="BZ9" s="31"/>
      <c r="CA9" s="406"/>
      <c r="CB9" s="993"/>
      <c r="CC9" s="876"/>
      <c r="CD9" s="993"/>
      <c r="CE9" s="876"/>
      <c r="CF9" s="40"/>
      <c r="CG9" s="40"/>
      <c r="CH9" s="876"/>
      <c r="CI9" s="876"/>
      <c r="CJ9" s="876"/>
      <c r="CK9" s="903"/>
      <c r="CL9" s="903"/>
      <c r="CM9" s="903"/>
      <c r="CN9" s="994"/>
      <c r="CO9" s="34"/>
      <c r="CP9" s="30"/>
    </row>
    <row r="10" spans="1:94" ht="18.75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4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5"/>
      <c r="BL10" s="43"/>
      <c r="BM10" s="47"/>
      <c r="BN10" s="47"/>
      <c r="BO10" s="882"/>
      <c r="BP10" s="982"/>
      <c r="BQ10" s="982"/>
      <c r="BR10" s="406"/>
      <c r="BS10" s="406"/>
      <c r="BT10" s="896"/>
      <c r="BU10" s="924"/>
      <c r="BV10" s="924"/>
      <c r="BW10" s="406"/>
      <c r="BX10" s="406"/>
      <c r="BY10" s="406"/>
      <c r="BZ10" s="40"/>
      <c r="CA10" s="406"/>
      <c r="CB10" s="406"/>
      <c r="CC10" s="993"/>
      <c r="CD10" s="993"/>
      <c r="CE10" s="876"/>
      <c r="CF10" s="40"/>
      <c r="CG10" s="40"/>
      <c r="CH10" s="876"/>
      <c r="CI10" s="876"/>
      <c r="CJ10" s="876"/>
      <c r="CK10" s="903"/>
      <c r="CL10" s="903"/>
      <c r="CM10" s="903"/>
      <c r="CN10" s="994"/>
      <c r="CO10" s="34"/>
      <c r="CP10" s="30"/>
    </row>
    <row r="11" spans="1:94" ht="18.75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4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5"/>
      <c r="BL11" s="43"/>
      <c r="BM11" s="47"/>
      <c r="BN11" s="47"/>
      <c r="BO11" s="882"/>
      <c r="BP11" s="890"/>
      <c r="BQ11" s="890"/>
      <c r="BR11" s="406"/>
      <c r="BS11" s="406"/>
      <c r="BT11" s="924"/>
      <c r="BU11" s="971"/>
      <c r="BV11" s="971"/>
      <c r="BW11" s="924"/>
      <c r="BX11" s="406"/>
      <c r="BY11" s="984"/>
      <c r="BZ11" s="40"/>
      <c r="CA11" s="876"/>
      <c r="CB11" s="876"/>
      <c r="CC11" s="876"/>
      <c r="CD11" s="876"/>
      <c r="CE11" s="876"/>
      <c r="CF11" s="40"/>
      <c r="CG11" s="40"/>
      <c r="CH11" s="876"/>
      <c r="CI11" s="876"/>
      <c r="CJ11" s="870"/>
      <c r="CK11" s="903"/>
      <c r="CL11" s="903"/>
      <c r="CM11" s="903"/>
      <c r="CN11" s="994"/>
      <c r="CO11" s="34"/>
      <c r="CP11" s="30"/>
    </row>
    <row r="12" spans="1:94" ht="18.75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31"/>
      <c r="W12" s="40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5"/>
      <c r="BL12" s="43"/>
      <c r="BM12" s="47"/>
      <c r="BN12" s="47"/>
      <c r="BO12" s="882"/>
      <c r="BP12" s="890"/>
      <c r="BQ12" s="890"/>
      <c r="BR12" s="406"/>
      <c r="BS12" s="406"/>
      <c r="BT12" s="924"/>
      <c r="BU12" s="971"/>
      <c r="BV12" s="971"/>
      <c r="BW12" s="924"/>
      <c r="BX12" s="59"/>
      <c r="BY12" s="984"/>
      <c r="BZ12" s="40"/>
      <c r="CA12" s="876"/>
      <c r="CB12" s="876"/>
      <c r="CC12" s="876"/>
      <c r="CD12" s="876"/>
      <c r="CE12" s="876"/>
      <c r="CF12" s="40"/>
      <c r="CG12" s="40"/>
      <c r="CH12" s="876"/>
      <c r="CI12" s="870"/>
      <c r="CJ12" s="876"/>
      <c r="CK12" s="870"/>
      <c r="CL12" s="903"/>
      <c r="CM12" s="903"/>
      <c r="CN12" s="870"/>
      <c r="CO12" s="34"/>
      <c r="CP12" s="30"/>
    </row>
    <row r="13" spans="1:94" ht="18.75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5"/>
      <c r="BL13" s="43"/>
      <c r="BM13" s="47"/>
      <c r="BN13" s="47"/>
      <c r="BO13" s="882"/>
      <c r="BP13" s="982"/>
      <c r="BQ13" s="982"/>
      <c r="BR13" s="406"/>
      <c r="BS13" s="406"/>
      <c r="BT13" s="982"/>
      <c r="BU13" s="924"/>
      <c r="BV13" s="924"/>
      <c r="BW13" s="982"/>
      <c r="BX13" s="982"/>
      <c r="BY13" s="984"/>
      <c r="BZ13" s="40"/>
      <c r="CA13" s="40"/>
      <c r="CB13" s="40"/>
      <c r="CC13" s="40"/>
      <c r="CD13" s="40"/>
      <c r="CE13" s="40"/>
      <c r="CF13" s="40"/>
      <c r="CG13" s="40"/>
      <c r="CH13" s="870"/>
      <c r="CI13" s="876"/>
      <c r="CJ13" s="406"/>
      <c r="CK13" s="406"/>
      <c r="CL13" s="870"/>
      <c r="CM13" s="903"/>
      <c r="CN13" s="870"/>
      <c r="CO13" s="34"/>
      <c r="CP13" s="30"/>
    </row>
    <row r="14" spans="1:94" ht="18.75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40"/>
      <c r="V14" s="40"/>
      <c r="W14" s="4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5"/>
      <c r="BL14" s="43"/>
      <c r="BM14" s="47"/>
      <c r="BN14" s="47"/>
      <c r="BO14" s="882"/>
      <c r="BP14" s="982"/>
      <c r="BQ14" s="982"/>
      <c r="BR14" s="406"/>
      <c r="BS14" s="406"/>
      <c r="BT14" s="982"/>
      <c r="BU14" s="984"/>
      <c r="BV14" s="984"/>
      <c r="BW14" s="406"/>
      <c r="BX14" s="406"/>
      <c r="BY14" s="984"/>
      <c r="CA14" s="876"/>
      <c r="CB14" s="876"/>
      <c r="CC14" s="876"/>
      <c r="CD14" s="876"/>
      <c r="CE14" s="876"/>
      <c r="CF14" s="876"/>
      <c r="CG14" s="40"/>
      <c r="CH14" s="876"/>
      <c r="CI14" s="870"/>
      <c r="CJ14" s="406"/>
      <c r="CK14" s="870"/>
      <c r="CL14" s="903"/>
      <c r="CM14" s="903"/>
      <c r="CN14" s="870"/>
      <c r="CO14" s="34"/>
      <c r="CP14" s="30"/>
    </row>
    <row r="15" spans="1:94" ht="18.75" x14ac:dyDescent="0.2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31"/>
      <c r="BC15" s="31"/>
      <c r="BD15" s="31"/>
      <c r="BE15" s="31"/>
      <c r="BF15" s="31"/>
      <c r="BG15" s="31"/>
      <c r="BH15" s="31"/>
      <c r="BI15" s="31"/>
      <c r="BJ15" s="31"/>
      <c r="BK15" s="35"/>
      <c r="BL15" s="56"/>
      <c r="BM15" s="47"/>
      <c r="BN15" s="47"/>
      <c r="BO15" s="882"/>
      <c r="BP15" s="975"/>
      <c r="BQ15" s="975"/>
      <c r="BR15" s="406"/>
      <c r="BS15" s="406"/>
      <c r="BT15" s="975"/>
      <c r="BU15" s="897"/>
      <c r="BV15" s="897"/>
      <c r="BW15" s="59"/>
      <c r="BX15" s="60"/>
      <c r="BY15" s="984"/>
      <c r="CA15" s="406"/>
      <c r="CB15" s="406"/>
      <c r="CC15" s="406"/>
      <c r="CD15" s="406"/>
      <c r="CE15" s="876"/>
      <c r="CF15" s="876"/>
      <c r="CG15" s="40"/>
      <c r="CH15" s="876"/>
      <c r="CI15" s="876"/>
      <c r="CJ15" s="870"/>
      <c r="CK15" s="406"/>
      <c r="CL15" s="903"/>
      <c r="CM15" s="903"/>
      <c r="CN15" s="995"/>
      <c r="CO15" s="34"/>
      <c r="CP15" s="30"/>
    </row>
    <row r="16" spans="1:94" ht="19.5" thickBot="1" x14ac:dyDescent="0.3">
      <c r="A16" s="53"/>
      <c r="B16" s="62"/>
      <c r="C16" s="62"/>
      <c r="D16" s="62"/>
      <c r="E16" s="62"/>
      <c r="F16" s="62"/>
      <c r="G16" s="62"/>
      <c r="H16" s="62"/>
      <c r="I16" s="63"/>
      <c r="J16" s="62"/>
      <c r="K16" s="64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6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7"/>
      <c r="BL16" s="68"/>
      <c r="BM16" s="47"/>
      <c r="BN16" s="47"/>
      <c r="BO16" s="882"/>
      <c r="BP16" s="975"/>
      <c r="BQ16" s="975"/>
      <c r="BR16" s="406"/>
      <c r="BS16" s="984"/>
      <c r="BT16" s="897"/>
      <c r="BU16" s="971"/>
      <c r="BV16" s="971"/>
      <c r="BW16" s="897"/>
      <c r="BX16" s="984"/>
      <c r="BY16" s="984"/>
      <c r="CA16" s="870"/>
      <c r="CB16" s="870"/>
      <c r="CC16" s="870"/>
      <c r="CD16" s="870"/>
      <c r="CE16" s="870"/>
      <c r="CF16" s="876"/>
      <c r="CG16" s="40"/>
      <c r="CH16" s="876"/>
      <c r="CI16" s="876"/>
      <c r="CJ16" s="876"/>
      <c r="CK16" s="903"/>
      <c r="CL16" s="903"/>
      <c r="CM16" s="914"/>
      <c r="CN16" s="995"/>
      <c r="CO16" s="34"/>
      <c r="CP16" s="30"/>
    </row>
    <row r="17" spans="1:94" ht="23.25" x14ac:dyDescent="0.25">
      <c r="A17" s="70"/>
      <c r="C17" s="406"/>
      <c r="D17" s="870"/>
      <c r="F17" s="9">
        <v>25</v>
      </c>
      <c r="G17" s="9">
        <v>25</v>
      </c>
      <c r="H17" s="72">
        <v>25</v>
      </c>
      <c r="I17" s="72">
        <v>25</v>
      </c>
      <c r="J17" s="916"/>
      <c r="K17" s="916"/>
      <c r="L17" s="916"/>
      <c r="M17" s="916"/>
      <c r="N17" s="917"/>
      <c r="O17" s="917"/>
      <c r="P17" s="917"/>
      <c r="Q17" s="917"/>
      <c r="R17" s="917"/>
      <c r="S17" s="917"/>
      <c r="T17" s="917"/>
      <c r="U17" s="878"/>
      <c r="V17" s="878"/>
      <c r="W17" s="878"/>
      <c r="X17" s="878"/>
      <c r="Y17" s="877"/>
      <c r="Z17" s="877"/>
      <c r="AA17" s="999"/>
      <c r="AB17" s="999"/>
      <c r="AC17" s="1000"/>
      <c r="AD17" s="849"/>
      <c r="AE17" s="850"/>
      <c r="AF17" s="850"/>
      <c r="AG17" s="851"/>
      <c r="AH17" s="82"/>
      <c r="AI17" s="83">
        <v>25</v>
      </c>
      <c r="AJ17" s="83">
        <v>25</v>
      </c>
      <c r="AK17" s="17">
        <v>25</v>
      </c>
      <c r="AL17" s="16">
        <v>25</v>
      </c>
      <c r="AM17" s="12">
        <v>25</v>
      </c>
      <c r="AN17" s="72">
        <v>25</v>
      </c>
      <c r="AO17" s="72">
        <v>25</v>
      </c>
      <c r="AP17" s="72">
        <v>25</v>
      </c>
      <c r="AQ17" s="84"/>
      <c r="AR17" s="965"/>
      <c r="AS17" s="965"/>
      <c r="AT17" s="965"/>
      <c r="AU17" s="965"/>
      <c r="AV17" s="965"/>
      <c r="AW17" s="12">
        <v>25</v>
      </c>
      <c r="AX17" s="12">
        <v>25</v>
      </c>
      <c r="AY17" s="19">
        <v>25</v>
      </c>
      <c r="AZ17" s="19">
        <v>25</v>
      </c>
      <c r="BA17" s="20">
        <v>25</v>
      </c>
      <c r="BB17" s="82"/>
      <c r="BC17" s="86"/>
      <c r="BD17" s="910"/>
      <c r="BE17" s="126"/>
      <c r="BF17" s="968"/>
      <c r="BG17" s="968"/>
      <c r="BH17" s="968"/>
      <c r="BI17" s="968"/>
      <c r="BJ17" s="88"/>
      <c r="BK17" s="88"/>
      <c r="BL17" s="90"/>
      <c r="BM17" s="47"/>
      <c r="BN17" s="47"/>
      <c r="BO17" s="882"/>
      <c r="BP17" s="872"/>
      <c r="BQ17" s="872"/>
      <c r="BR17" s="406"/>
      <c r="BS17" s="984"/>
      <c r="BT17" s="897"/>
      <c r="BU17" s="971"/>
      <c r="BV17" s="971"/>
      <c r="BW17" s="897"/>
      <c r="BX17" s="984"/>
      <c r="BY17" s="984"/>
      <c r="BZ17" s="406"/>
      <c r="CA17" s="870"/>
      <c r="CB17" s="870"/>
      <c r="CC17" s="870"/>
      <c r="CD17" s="870"/>
      <c r="CE17" s="870"/>
      <c r="CF17" s="876"/>
      <c r="CG17" s="40"/>
      <c r="CH17" s="876"/>
      <c r="CI17" s="876"/>
      <c r="CJ17" s="876"/>
      <c r="CK17" s="903"/>
      <c r="CL17" s="903"/>
      <c r="CM17" s="914"/>
      <c r="CN17" s="995"/>
      <c r="CO17" s="34"/>
      <c r="CP17" s="30"/>
    </row>
    <row r="18" spans="1:94" ht="24" thickBot="1" x14ac:dyDescent="0.35">
      <c r="A18" s="70"/>
      <c r="B18" s="45"/>
      <c r="C18" s="45"/>
      <c r="D18" s="40"/>
      <c r="E18" s="40"/>
      <c r="F18" s="82" t="s">
        <v>171</v>
      </c>
      <c r="G18" s="82" t="s">
        <v>171</v>
      </c>
      <c r="H18" s="82" t="s">
        <v>171</v>
      </c>
      <c r="I18" s="82" t="s">
        <v>171</v>
      </c>
      <c r="AE18" s="92" t="s">
        <v>172</v>
      </c>
      <c r="AH18" s="84"/>
      <c r="AI18" s="82" t="s">
        <v>171</v>
      </c>
      <c r="AJ18" s="82" t="s">
        <v>171</v>
      </c>
      <c r="AK18" s="82" t="s">
        <v>171</v>
      </c>
      <c r="AL18" s="82" t="s">
        <v>171</v>
      </c>
      <c r="AM18" s="82" t="s">
        <v>171</v>
      </c>
      <c r="AN18" s="82" t="s">
        <v>171</v>
      </c>
      <c r="AO18" s="82" t="s">
        <v>171</v>
      </c>
      <c r="AP18" s="82" t="s">
        <v>171</v>
      </c>
      <c r="AQ18" s="93" t="s">
        <v>173</v>
      </c>
      <c r="AR18" s="1363"/>
      <c r="AS18" s="1363"/>
      <c r="AT18" s="1363"/>
      <c r="AU18" s="94"/>
      <c r="AV18" s="966"/>
      <c r="AW18" s="82" t="s">
        <v>171</v>
      </c>
      <c r="AX18" s="82" t="s">
        <v>171</v>
      </c>
      <c r="AY18" s="82" t="s">
        <v>171</v>
      </c>
      <c r="AZ18" s="82" t="s">
        <v>171</v>
      </c>
      <c r="BA18" s="82" t="s">
        <v>171</v>
      </c>
      <c r="BB18" s="84"/>
      <c r="BC18" s="406"/>
      <c r="BD18" s="923"/>
      <c r="BE18" s="910"/>
      <c r="BF18" s="406"/>
      <c r="BG18" s="910"/>
      <c r="BH18" s="406"/>
      <c r="BI18" s="910"/>
      <c r="BK18" s="87"/>
      <c r="BL18" s="90"/>
      <c r="BM18" s="47"/>
      <c r="BN18" s="47"/>
      <c r="BO18" s="882"/>
      <c r="BP18" s="872"/>
      <c r="BQ18" s="872"/>
      <c r="BR18" s="406"/>
      <c r="BS18" s="984"/>
      <c r="BT18" s="897"/>
      <c r="BU18" s="971"/>
      <c r="BV18" s="971"/>
      <c r="BW18" s="897"/>
      <c r="BX18" s="984"/>
      <c r="BY18" s="984"/>
      <c r="BZ18" s="406"/>
      <c r="CA18" s="985"/>
      <c r="CB18" s="985"/>
      <c r="CC18" s="985"/>
      <c r="CD18" s="985"/>
      <c r="CE18" s="406"/>
      <c r="CF18" s="903"/>
      <c r="CG18" s="45"/>
      <c r="CH18" s="97"/>
      <c r="CI18" s="45"/>
      <c r="CJ18" s="45"/>
      <c r="CK18" s="45"/>
      <c r="CL18" s="45"/>
      <c r="CM18" s="38"/>
      <c r="CN18" s="996"/>
      <c r="CO18" s="29"/>
      <c r="CP18" s="30"/>
    </row>
    <row r="19" spans="1:94" ht="18.75" x14ac:dyDescent="0.3">
      <c r="A19" s="70"/>
      <c r="B19" s="45"/>
      <c r="C19" s="45"/>
      <c r="D19" s="31"/>
      <c r="E19" s="31"/>
      <c r="F19" s="98">
        <v>1</v>
      </c>
      <c r="G19" s="99">
        <v>2</v>
      </c>
      <c r="H19" s="99">
        <v>3</v>
      </c>
      <c r="I19" s="98">
        <v>4</v>
      </c>
      <c r="L19" s="100"/>
      <c r="Z19" s="101"/>
      <c r="AA19" s="1071" t="s">
        <v>176</v>
      </c>
      <c r="AB19" s="1071"/>
      <c r="AC19" s="1071"/>
      <c r="AD19" s="1071"/>
      <c r="AE19" s="102"/>
      <c r="AH19" s="92"/>
      <c r="AI19" s="103">
        <v>1</v>
      </c>
      <c r="AJ19" s="103">
        <v>2</v>
      </c>
      <c r="AK19" s="103">
        <v>3</v>
      </c>
      <c r="AL19" s="104">
        <v>4</v>
      </c>
      <c r="AM19" s="103">
        <v>5</v>
      </c>
      <c r="AN19" s="103">
        <v>6</v>
      </c>
      <c r="AO19" s="104">
        <v>7</v>
      </c>
      <c r="AP19" s="104">
        <v>8</v>
      </c>
      <c r="AQ19" s="103"/>
      <c r="AR19" s="871"/>
      <c r="AS19" s="871"/>
      <c r="AT19" s="871"/>
      <c r="AU19" s="871"/>
      <c r="AV19" s="871"/>
      <c r="AW19" s="104">
        <v>13</v>
      </c>
      <c r="AX19" s="104">
        <v>14</v>
      </c>
      <c r="AY19" s="103">
        <v>15</v>
      </c>
      <c r="AZ19" s="104">
        <v>16</v>
      </c>
      <c r="BA19" s="104">
        <v>17</v>
      </c>
      <c r="BB19" s="92" t="s">
        <v>177</v>
      </c>
      <c r="BC19" s="126"/>
      <c r="BD19" s="126"/>
      <c r="BE19" s="126"/>
      <c r="BF19" s="126"/>
      <c r="BG19" s="969"/>
      <c r="BH19" s="126"/>
      <c r="BI19" s="126"/>
      <c r="BJ19" s="88"/>
      <c r="BK19" s="88"/>
      <c r="BL19" s="90"/>
      <c r="BM19" s="47"/>
      <c r="BN19" s="47"/>
      <c r="BO19" s="882"/>
      <c r="BP19" s="872"/>
      <c r="BQ19" s="872"/>
      <c r="BR19" s="406"/>
      <c r="BS19" s="984"/>
      <c r="BT19" s="984"/>
      <c r="BU19" s="897"/>
      <c r="BV19" s="897"/>
      <c r="BW19" s="984"/>
      <c r="BX19" s="984"/>
      <c r="BY19" s="984"/>
      <c r="BZ19" s="986"/>
      <c r="CA19" s="986"/>
      <c r="CB19" s="986"/>
      <c r="CC19" s="986"/>
      <c r="CD19" s="987"/>
      <c r="CE19" s="991"/>
      <c r="CF19" s="992"/>
      <c r="CG19" s="108"/>
      <c r="CH19" s="108"/>
      <c r="CI19" s="109"/>
      <c r="CJ19" s="110"/>
      <c r="CK19" s="110"/>
      <c r="CL19" s="110"/>
      <c r="CM19" s="110"/>
      <c r="CN19" s="997"/>
      <c r="CO19" s="29"/>
      <c r="CP19" s="30"/>
    </row>
    <row r="20" spans="1:94" ht="21" x14ac:dyDescent="0.3">
      <c r="A20" s="70"/>
      <c r="B20" s="31"/>
      <c r="C20" s="97"/>
      <c r="D20" s="112"/>
      <c r="E20" s="97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92" t="s">
        <v>178</v>
      </c>
      <c r="V20" s="98">
        <v>1</v>
      </c>
      <c r="W20" s="99">
        <v>2</v>
      </c>
      <c r="X20" s="99">
        <v>3</v>
      </c>
      <c r="Y20" s="98">
        <v>1</v>
      </c>
      <c r="Z20" s="113" t="s">
        <v>179</v>
      </c>
      <c r="AA20" s="99">
        <v>2</v>
      </c>
      <c r="AB20" s="99">
        <v>3</v>
      </c>
      <c r="AC20" s="98">
        <v>1</v>
      </c>
      <c r="AD20" s="99">
        <v>2</v>
      </c>
      <c r="AE20" s="114" t="s">
        <v>180</v>
      </c>
      <c r="AF20" s="104">
        <v>3</v>
      </c>
      <c r="AG20" s="103">
        <v>1</v>
      </c>
      <c r="AH20" s="104">
        <v>2</v>
      </c>
      <c r="AI20" s="104">
        <v>3</v>
      </c>
      <c r="AK20" s="92" t="s">
        <v>181</v>
      </c>
      <c r="AL20" s="98">
        <v>1</v>
      </c>
      <c r="AM20" s="99">
        <v>2</v>
      </c>
      <c r="AN20" s="99">
        <v>3</v>
      </c>
      <c r="AO20" s="98">
        <v>4</v>
      </c>
      <c r="AP20" s="99">
        <v>5</v>
      </c>
      <c r="AQ20" s="115"/>
      <c r="AR20" s="871"/>
      <c r="AS20" s="871"/>
      <c r="AT20" s="871"/>
      <c r="AU20" s="871"/>
      <c r="AV20" s="871"/>
      <c r="AW20" s="871"/>
      <c r="AX20" s="406"/>
      <c r="AY20" s="406"/>
      <c r="AZ20" s="406"/>
      <c r="BA20" s="882"/>
      <c r="BB20" s="406"/>
      <c r="BC20" s="871"/>
      <c r="BD20" s="406"/>
      <c r="BE20" s="406"/>
      <c r="BF20" s="406"/>
      <c r="BG20" s="406"/>
      <c r="BH20" s="406"/>
      <c r="BI20" s="406"/>
      <c r="BJ20" s="100"/>
      <c r="BL20" s="90"/>
      <c r="BM20" s="57"/>
      <c r="BN20" s="57"/>
      <c r="BO20" s="975"/>
      <c r="BP20" s="975"/>
      <c r="BQ20" s="975"/>
      <c r="BR20" s="975"/>
      <c r="BS20" s="976"/>
      <c r="BT20" s="984"/>
      <c r="BU20" s="984"/>
      <c r="BV20" s="984"/>
      <c r="BW20" s="984"/>
      <c r="BX20" s="984"/>
      <c r="BY20" s="984"/>
      <c r="BZ20" s="988"/>
      <c r="CA20" s="988"/>
      <c r="CB20" s="989"/>
      <c r="CC20" s="989"/>
      <c r="CD20" s="987"/>
      <c r="CE20" s="118"/>
      <c r="CF20" s="119"/>
      <c r="CG20" s="119"/>
      <c r="CH20" s="119"/>
      <c r="CI20" s="120"/>
      <c r="CJ20" s="42"/>
      <c r="CK20" s="42"/>
      <c r="CL20" s="42"/>
      <c r="CM20" s="42"/>
      <c r="CN20" s="998"/>
      <c r="CO20" s="29"/>
      <c r="CP20" s="30"/>
    </row>
    <row r="21" spans="1:94" ht="21" x14ac:dyDescent="0.3">
      <c r="A21" s="70"/>
      <c r="B21" s="31"/>
      <c r="C21" s="97"/>
      <c r="D21" s="112"/>
      <c r="E21" s="406"/>
      <c r="F21" s="871"/>
      <c r="G21" s="871"/>
      <c r="H21" s="871"/>
      <c r="I21" s="871"/>
      <c r="J21" s="871"/>
      <c r="K21" s="871"/>
      <c r="L21" s="871"/>
      <c r="M21" s="871"/>
      <c r="N21" s="871"/>
      <c r="O21" s="871"/>
      <c r="P21" s="871"/>
      <c r="Q21" s="871"/>
      <c r="R21" s="871"/>
      <c r="S21" s="871"/>
      <c r="T21" s="100"/>
      <c r="U21" s="99"/>
      <c r="V21" s="122" t="s">
        <v>182</v>
      </c>
      <c r="W21" s="122" t="s">
        <v>182</v>
      </c>
      <c r="X21" s="122" t="s">
        <v>182</v>
      </c>
      <c r="Y21" s="122" t="s">
        <v>182</v>
      </c>
      <c r="Z21" s="123" t="s">
        <v>180</v>
      </c>
      <c r="AA21" s="122" t="s">
        <v>182</v>
      </c>
      <c r="AB21" s="122" t="s">
        <v>182</v>
      </c>
      <c r="AC21" s="122" t="s">
        <v>182</v>
      </c>
      <c r="AD21" s="122" t="s">
        <v>182</v>
      </c>
      <c r="AE21" s="124"/>
      <c r="AF21" s="122" t="s">
        <v>182</v>
      </c>
      <c r="AG21" s="125" t="s">
        <v>182</v>
      </c>
      <c r="AH21" s="125" t="s">
        <v>182</v>
      </c>
      <c r="AI21" s="125" t="s">
        <v>182</v>
      </c>
      <c r="AJ21" s="99"/>
      <c r="AK21" s="99"/>
      <c r="AL21" s="82" t="s">
        <v>182</v>
      </c>
      <c r="AM21" s="82" t="s">
        <v>182</v>
      </c>
      <c r="AN21" s="82" t="s">
        <v>182</v>
      </c>
      <c r="AO21" s="82" t="s">
        <v>182</v>
      </c>
      <c r="AP21" s="82" t="s">
        <v>182</v>
      </c>
      <c r="AQ21" s="92" t="s">
        <v>183</v>
      </c>
      <c r="AR21" s="406"/>
      <c r="AS21" s="1072"/>
      <c r="AT21" s="1072"/>
      <c r="AU21" s="1072"/>
      <c r="AV21" s="1072"/>
      <c r="AW21" s="871"/>
      <c r="AX21" s="126"/>
      <c r="AY21" s="126"/>
      <c r="AZ21" s="406"/>
      <c r="BA21" s="882"/>
      <c r="BB21" s="406"/>
      <c r="BC21" s="871"/>
      <c r="BD21" s="898"/>
      <c r="BE21" s="129"/>
      <c r="BF21" s="129"/>
      <c r="BG21" s="129"/>
      <c r="BH21" s="129"/>
      <c r="BI21" s="970"/>
      <c r="BJ21" s="100"/>
      <c r="BL21" s="90"/>
      <c r="BM21" s="57"/>
      <c r="BN21" s="57"/>
      <c r="BO21" s="57"/>
      <c r="BP21" s="57"/>
      <c r="BQ21" s="57"/>
      <c r="BR21" s="57"/>
      <c r="BS21" s="31"/>
      <c r="BT21" s="42"/>
      <c r="BU21" s="42"/>
      <c r="BV21" s="42"/>
      <c r="BW21" s="42"/>
      <c r="BX21" s="984"/>
      <c r="BY21" s="984"/>
      <c r="BZ21" s="871"/>
      <c r="CA21" s="871"/>
      <c r="CB21" s="871"/>
      <c r="CC21" s="871"/>
      <c r="CD21" s="871"/>
      <c r="CE21" s="131"/>
      <c r="CF21" s="120"/>
      <c r="CG21" s="42"/>
      <c r="CH21" s="42"/>
      <c r="CI21" s="42"/>
      <c r="CJ21" s="42"/>
      <c r="CK21" s="42"/>
      <c r="CL21" s="42"/>
      <c r="CM21" s="42"/>
      <c r="CN21" s="121"/>
      <c r="CO21" s="29"/>
      <c r="CP21" s="30"/>
    </row>
    <row r="22" spans="1:94" ht="24" thickBot="1" x14ac:dyDescent="0.3">
      <c r="A22" s="70"/>
      <c r="B22" s="31"/>
      <c r="C22" s="97"/>
      <c r="D22" s="112"/>
      <c r="E22" s="406"/>
      <c r="F22" s="872"/>
      <c r="G22" s="872"/>
      <c r="H22" s="872"/>
      <c r="I22" s="872"/>
      <c r="J22" s="873"/>
      <c r="K22" s="874"/>
      <c r="L22" s="871"/>
      <c r="M22" s="875"/>
      <c r="N22" s="877"/>
      <c r="O22" s="883"/>
      <c r="P22" s="884"/>
      <c r="Q22" s="885"/>
      <c r="R22" s="886"/>
      <c r="S22" s="871"/>
      <c r="T22" s="100"/>
      <c r="U22" s="141"/>
      <c r="V22" s="852">
        <v>50</v>
      </c>
      <c r="W22" s="143">
        <v>50</v>
      </c>
      <c r="X22" s="10">
        <v>50</v>
      </c>
      <c r="Y22" s="853">
        <v>50</v>
      </c>
      <c r="Z22" s="145"/>
      <c r="AA22" s="146">
        <v>50</v>
      </c>
      <c r="AB22" s="146">
        <v>50</v>
      </c>
      <c r="AC22" s="146">
        <v>50</v>
      </c>
      <c r="AD22" s="18">
        <v>50</v>
      </c>
      <c r="AE22" s="147"/>
      <c r="AF22" s="854">
        <v>50</v>
      </c>
      <c r="AG22" s="9">
        <v>50</v>
      </c>
      <c r="AH22" s="15">
        <v>50</v>
      </c>
      <c r="AI22" s="15">
        <v>50</v>
      </c>
      <c r="AJ22" s="141"/>
      <c r="AK22" s="141"/>
      <c r="AL22" s="143">
        <v>50</v>
      </c>
      <c r="AM22" s="143">
        <v>50</v>
      </c>
      <c r="AN22" s="11">
        <v>50</v>
      </c>
      <c r="AO22" s="10">
        <v>50</v>
      </c>
      <c r="AP22" s="10">
        <v>50</v>
      </c>
      <c r="AQ22" s="149"/>
      <c r="AR22" s="406"/>
      <c r="AS22" s="965"/>
      <c r="AT22" s="965"/>
      <c r="AU22" s="965"/>
      <c r="AV22" s="965"/>
      <c r="AW22" s="871"/>
      <c r="AX22" s="967"/>
      <c r="AY22" s="967"/>
      <c r="AZ22" s="967"/>
      <c r="BA22" s="882"/>
      <c r="BB22" s="406"/>
      <c r="BC22" s="871"/>
      <c r="BD22" s="871"/>
      <c r="BE22" s="953"/>
      <c r="BF22" s="953"/>
      <c r="BG22" s="953"/>
      <c r="BH22" s="152"/>
      <c r="BI22" s="971"/>
      <c r="BJ22" s="100"/>
      <c r="BL22" s="972"/>
      <c r="BM22" s="57"/>
      <c r="BN22" s="57"/>
      <c r="BO22" s="57"/>
      <c r="BP22" s="57"/>
      <c r="BQ22" s="57"/>
      <c r="BR22" s="57"/>
      <c r="BS22" s="31"/>
      <c r="BT22" s="42"/>
      <c r="BU22" s="42"/>
      <c r="BV22" s="42"/>
      <c r="BW22" s="42"/>
      <c r="BX22" s="984"/>
      <c r="BY22" s="984"/>
      <c r="BZ22" s="871"/>
      <c r="CA22" s="871"/>
      <c r="CB22" s="871"/>
      <c r="CC22" s="871"/>
      <c r="CD22" s="871"/>
      <c r="CE22" s="131"/>
      <c r="CF22" s="120"/>
      <c r="CG22" s="42"/>
      <c r="CH22" s="42"/>
      <c r="CI22" s="42"/>
      <c r="CJ22" s="42"/>
      <c r="CK22" s="42"/>
      <c r="CL22" s="42"/>
      <c r="CM22" s="42"/>
      <c r="CN22" s="121"/>
      <c r="CO22" s="29"/>
      <c r="CP22" s="30"/>
    </row>
    <row r="23" spans="1:94" ht="23.25" x14ac:dyDescent="0.25">
      <c r="A23" s="70"/>
      <c r="B23" s="31"/>
      <c r="C23" s="97"/>
      <c r="D23" s="112"/>
      <c r="E23" s="876"/>
      <c r="F23" s="877"/>
      <c r="G23" s="878"/>
      <c r="H23" s="878"/>
      <c r="I23" s="879"/>
      <c r="J23" s="877"/>
      <c r="K23" s="880"/>
      <c r="L23" s="871"/>
      <c r="M23" s="881"/>
      <c r="N23" s="884"/>
      <c r="O23" s="887"/>
      <c r="P23" s="887"/>
      <c r="Q23" s="888"/>
      <c r="R23" s="889"/>
      <c r="S23" s="871"/>
      <c r="T23" s="100"/>
      <c r="U23" s="141"/>
      <c r="V23" s="72">
        <v>50</v>
      </c>
      <c r="W23" s="72">
        <v>50</v>
      </c>
      <c r="X23" s="9">
        <v>50</v>
      </c>
      <c r="Y23" s="9">
        <v>50</v>
      </c>
      <c r="Z23" s="145"/>
      <c r="AA23" s="146">
        <v>50</v>
      </c>
      <c r="AB23" s="13">
        <v>50</v>
      </c>
      <c r="AC23" s="18">
        <v>50</v>
      </c>
      <c r="AD23" s="21">
        <v>50</v>
      </c>
      <c r="AE23" s="147"/>
      <c r="AF23" s="855">
        <v>50</v>
      </c>
      <c r="AG23" s="83">
        <v>50</v>
      </c>
      <c r="AH23" s="83">
        <v>50</v>
      </c>
      <c r="AI23" s="83">
        <v>50</v>
      </c>
      <c r="AJ23" s="141"/>
      <c r="AK23" s="141"/>
      <c r="AL23" s="15">
        <v>50</v>
      </c>
      <c r="AM23" s="15">
        <v>50</v>
      </c>
      <c r="AN23" s="14">
        <v>50</v>
      </c>
      <c r="AO23" s="9">
        <v>50</v>
      </c>
      <c r="AP23" s="9">
        <v>50</v>
      </c>
      <c r="AQ23" s="149"/>
      <c r="AR23" s="406"/>
      <c r="AS23" s="965"/>
      <c r="AT23" s="965"/>
      <c r="AU23" s="965"/>
      <c r="AV23" s="965"/>
      <c r="AW23" s="871"/>
      <c r="AX23" s="967"/>
      <c r="AY23" s="967"/>
      <c r="AZ23" s="967"/>
      <c r="BA23" s="882"/>
      <c r="BB23" s="406"/>
      <c r="BC23" s="871"/>
      <c r="BD23" s="871"/>
      <c r="BE23" s="953"/>
      <c r="BF23" s="953"/>
      <c r="BG23" s="953"/>
      <c r="BH23" s="161"/>
      <c r="BI23" s="971"/>
      <c r="BJ23" s="100"/>
      <c r="BL23" s="1073"/>
      <c r="BM23" s="31"/>
      <c r="BN23" s="31"/>
      <c r="BO23" s="31"/>
      <c r="BP23" s="57"/>
      <c r="BQ23" s="57"/>
      <c r="BR23" s="57"/>
      <c r="BS23" s="31"/>
      <c r="BT23" s="42"/>
      <c r="BU23" s="42"/>
      <c r="BV23" s="42"/>
      <c r="BW23" s="42"/>
      <c r="BX23" s="988"/>
      <c r="BY23" s="988"/>
      <c r="BZ23" s="871"/>
      <c r="CA23" s="877"/>
      <c r="CB23" s="885"/>
      <c r="CC23" s="877"/>
      <c r="CD23" s="871"/>
      <c r="CE23" s="131"/>
      <c r="CF23" s="120"/>
      <c r="CG23" s="42"/>
      <c r="CH23" s="42"/>
      <c r="CI23" s="42"/>
      <c r="CJ23" s="42"/>
      <c r="CK23" s="42"/>
      <c r="CL23" s="42"/>
      <c r="CM23" s="42"/>
      <c r="CN23" s="121"/>
      <c r="CO23" s="29"/>
      <c r="CP23" s="30"/>
    </row>
    <row r="24" spans="1:94" ht="24" thickBot="1" x14ac:dyDescent="0.3">
      <c r="A24" s="70"/>
      <c r="B24" s="31"/>
      <c r="C24" s="40"/>
      <c r="D24" s="40"/>
      <c r="E24" s="876"/>
      <c r="F24" s="406"/>
      <c r="G24" s="406"/>
      <c r="H24" s="406"/>
      <c r="I24" s="406"/>
      <c r="J24" s="882"/>
      <c r="K24" s="882"/>
      <c r="L24" s="871"/>
      <c r="M24" s="882"/>
      <c r="N24" s="882"/>
      <c r="O24" s="162"/>
      <c r="P24" s="162"/>
      <c r="Q24" s="406"/>
      <c r="R24" s="882"/>
      <c r="S24" s="871"/>
      <c r="T24" s="100"/>
      <c r="U24" s="163"/>
      <c r="V24" s="122" t="s">
        <v>182</v>
      </c>
      <c r="W24" s="122" t="s">
        <v>182</v>
      </c>
      <c r="X24" s="122" t="s">
        <v>182</v>
      </c>
      <c r="Y24" s="122" t="s">
        <v>182</v>
      </c>
      <c r="Z24" s="164"/>
      <c r="AA24" s="122" t="s">
        <v>182</v>
      </c>
      <c r="AB24" s="122" t="s">
        <v>182</v>
      </c>
      <c r="AC24" s="122" t="s">
        <v>182</v>
      </c>
      <c r="AD24" s="122" t="s">
        <v>182</v>
      </c>
      <c r="AE24" s="165"/>
      <c r="AF24" s="122" t="s">
        <v>182</v>
      </c>
      <c r="AG24" s="125" t="s">
        <v>182</v>
      </c>
      <c r="AH24" s="125" t="s">
        <v>182</v>
      </c>
      <c r="AI24" s="125" t="s">
        <v>182</v>
      </c>
      <c r="AJ24" s="163"/>
      <c r="AK24" s="163"/>
      <c r="AL24" s="82" t="s">
        <v>182</v>
      </c>
      <c r="AM24" s="82" t="s">
        <v>182</v>
      </c>
      <c r="AN24" s="82" t="s">
        <v>182</v>
      </c>
      <c r="AO24" s="82" t="s">
        <v>182</v>
      </c>
      <c r="AP24" s="82" t="s">
        <v>182</v>
      </c>
      <c r="AQ24" s="166"/>
      <c r="AR24" s="406"/>
      <c r="AS24" s="1364"/>
      <c r="AT24" s="1364"/>
      <c r="AU24" s="1364"/>
      <c r="AV24" s="1364"/>
      <c r="AW24" s="871"/>
      <c r="AX24" s="1076"/>
      <c r="AY24" s="1042"/>
      <c r="AZ24" s="1042"/>
      <c r="BA24" s="882"/>
      <c r="BB24" s="406"/>
      <c r="BC24" s="871"/>
      <c r="BD24" s="871"/>
      <c r="BE24" s="129"/>
      <c r="BF24" s="129"/>
      <c r="BG24" s="129"/>
      <c r="BH24" s="129"/>
      <c r="BI24" s="970"/>
      <c r="BJ24" s="100"/>
      <c r="BL24" s="1074"/>
      <c r="BM24" s="31"/>
      <c r="BN24" s="31"/>
      <c r="BO24" s="31"/>
      <c r="BP24" s="57"/>
      <c r="BQ24" s="57"/>
      <c r="BR24" s="57"/>
      <c r="BS24" s="31"/>
      <c r="BT24" s="42"/>
      <c r="BU24" s="42"/>
      <c r="BV24" s="42"/>
      <c r="BW24" s="42"/>
      <c r="BX24" s="986"/>
      <c r="BY24" s="990"/>
      <c r="BZ24" s="871"/>
      <c r="CA24" s="878"/>
      <c r="CB24" s="878"/>
      <c r="CC24" s="875"/>
      <c r="CD24" s="871"/>
      <c r="CE24" s="131"/>
      <c r="CG24" s="42"/>
      <c r="CH24" s="42"/>
      <c r="CI24" s="42"/>
      <c r="CJ24" s="42"/>
      <c r="CK24" s="42"/>
      <c r="CL24" s="42"/>
      <c r="CM24" s="42"/>
      <c r="CN24" s="121"/>
      <c r="CO24" s="29"/>
      <c r="CP24" s="30"/>
    </row>
    <row r="25" spans="1:94" ht="19.5" thickBot="1" x14ac:dyDescent="0.3">
      <c r="A25" s="70"/>
      <c r="B25" s="31"/>
      <c r="C25" s="97"/>
      <c r="D25" s="97"/>
      <c r="E25" s="97"/>
      <c r="F25" s="168"/>
      <c r="H25" s="168"/>
      <c r="I25" s="1"/>
      <c r="J25" s="47"/>
      <c r="K25" s="47"/>
      <c r="L25" s="100"/>
      <c r="M25" s="47"/>
      <c r="N25" s="882"/>
      <c r="O25" s="406"/>
      <c r="P25" s="890"/>
      <c r="Q25" s="169"/>
      <c r="R25" s="890"/>
      <c r="S25" s="871"/>
      <c r="T25" s="891"/>
      <c r="U25" s="891"/>
      <c r="V25" s="98">
        <v>6</v>
      </c>
      <c r="W25" s="99">
        <v>5</v>
      </c>
      <c r="X25" s="171">
        <v>4</v>
      </c>
      <c r="Y25" s="98">
        <v>6</v>
      </c>
      <c r="Z25" s="172"/>
      <c r="AA25" s="173">
        <v>5</v>
      </c>
      <c r="AB25" s="174">
        <v>4</v>
      </c>
      <c r="AC25" s="175">
        <v>6</v>
      </c>
      <c r="AD25" s="173">
        <v>5</v>
      </c>
      <c r="AE25" s="176"/>
      <c r="AF25" s="177">
        <v>4</v>
      </c>
      <c r="AG25" s="103">
        <v>6</v>
      </c>
      <c r="AH25" s="104">
        <v>5</v>
      </c>
      <c r="AI25" s="177">
        <v>4</v>
      </c>
      <c r="AJ25" s="966"/>
      <c r="AL25" s="98">
        <v>10</v>
      </c>
      <c r="AM25" s="99">
        <v>9</v>
      </c>
      <c r="AN25" s="99">
        <v>8</v>
      </c>
      <c r="AO25" s="98">
        <v>7</v>
      </c>
      <c r="AP25" s="99">
        <v>6</v>
      </c>
      <c r="AQ25" s="178"/>
      <c r="AR25" s="406"/>
      <c r="AS25" s="406"/>
      <c r="AT25" s="406"/>
      <c r="AU25" s="406"/>
      <c r="AV25" s="406"/>
      <c r="AW25" s="871"/>
      <c r="AX25" s="406"/>
      <c r="AY25" s="406"/>
      <c r="AZ25" s="406"/>
      <c r="BA25" s="882"/>
      <c r="BB25" s="406"/>
      <c r="BC25" s="871"/>
      <c r="BD25" s="871"/>
      <c r="BE25" s="871"/>
      <c r="BF25" s="871"/>
      <c r="BG25" s="871"/>
      <c r="BH25" s="871"/>
      <c r="BI25" s="871"/>
      <c r="BJ25" s="100"/>
      <c r="BL25" s="973"/>
      <c r="BM25" s="57"/>
      <c r="BN25" s="57"/>
      <c r="BO25" s="57"/>
      <c r="BP25" s="57"/>
      <c r="BQ25" s="57"/>
      <c r="BR25" s="57"/>
      <c r="BS25" s="31"/>
      <c r="BT25" s="42"/>
      <c r="BU25" s="42"/>
      <c r="BV25" s="42"/>
      <c r="BW25" s="42"/>
      <c r="BX25" s="986"/>
      <c r="BY25" s="989"/>
      <c r="BZ25" s="871"/>
      <c r="CA25" s="871"/>
      <c r="CB25" s="871"/>
      <c r="CC25" s="871"/>
      <c r="CD25" s="871"/>
      <c r="CE25" s="131"/>
      <c r="CF25" s="120"/>
      <c r="CG25" s="42"/>
      <c r="CH25" s="42"/>
      <c r="CI25" s="42"/>
      <c r="CJ25" s="42"/>
      <c r="CK25" s="42"/>
      <c r="CL25" s="42"/>
      <c r="CM25" s="42"/>
      <c r="CN25" s="121"/>
      <c r="CO25" s="29"/>
      <c r="CP25" s="30"/>
    </row>
    <row r="26" spans="1:94" ht="19.5" thickBot="1" x14ac:dyDescent="0.3">
      <c r="A26" s="70"/>
      <c r="B26" s="31"/>
      <c r="C26" s="97"/>
      <c r="D26" s="97"/>
      <c r="E26" s="180"/>
      <c r="F26" s="45"/>
      <c r="G26" s="181"/>
      <c r="H26" s="45"/>
      <c r="I26" s="45"/>
      <c r="J26" s="47"/>
      <c r="K26" s="47"/>
      <c r="L26" s="47"/>
      <c r="M26" s="47"/>
      <c r="N26" s="882"/>
      <c r="O26" s="406"/>
      <c r="P26" s="169"/>
      <c r="Q26" s="890"/>
      <c r="R26" s="882"/>
      <c r="S26" s="871"/>
      <c r="T26" s="891"/>
      <c r="U26" s="891"/>
      <c r="V26" s="47"/>
      <c r="W26" s="47"/>
      <c r="X26" s="47"/>
      <c r="Y26" s="47"/>
      <c r="Z26" s="47"/>
      <c r="AA26" s="47"/>
      <c r="AB26" s="47"/>
      <c r="AC26" s="182"/>
      <c r="AD26" s="928"/>
      <c r="AE26" s="928"/>
      <c r="AF26" s="951"/>
      <c r="AG26" s="952"/>
      <c r="AH26" s="952"/>
      <c r="AI26" s="952"/>
      <c r="AJ26" s="406"/>
      <c r="AK26" s="406"/>
      <c r="AL26" s="1077" t="s">
        <v>205</v>
      </c>
      <c r="AM26" s="1077"/>
      <c r="AN26" s="1077"/>
      <c r="AO26" s="1077"/>
      <c r="AP26" s="1077"/>
      <c r="AQ26" s="47"/>
      <c r="AR26" s="406"/>
      <c r="AS26" s="406"/>
      <c r="AT26" s="406"/>
      <c r="AU26" s="406"/>
      <c r="AV26" s="406"/>
      <c r="AW26" s="871"/>
      <c r="AX26" s="406"/>
      <c r="AY26" s="406"/>
      <c r="AZ26" s="406"/>
      <c r="BA26" s="882"/>
      <c r="BB26" s="406"/>
      <c r="BC26" s="871"/>
      <c r="BD26" s="100"/>
      <c r="BE26" s="100"/>
      <c r="BF26" s="100"/>
      <c r="BG26" s="100"/>
      <c r="BH26" s="100"/>
      <c r="BI26" s="100"/>
      <c r="BJ26" s="100"/>
      <c r="BK26" s="186"/>
      <c r="BL26" s="974"/>
      <c r="BM26" s="57"/>
      <c r="BN26" s="57"/>
      <c r="BO26" s="57"/>
      <c r="BP26" s="31"/>
      <c r="BQ26" s="57"/>
      <c r="BR26" s="57"/>
      <c r="BS26" s="31"/>
      <c r="BT26" s="31"/>
      <c r="BU26" s="42"/>
      <c r="BV26" s="42"/>
      <c r="BW26" s="42"/>
      <c r="BX26" s="31"/>
      <c r="BY26" s="31"/>
      <c r="BZ26" s="100"/>
      <c r="CA26" s="100"/>
      <c r="CB26" s="100"/>
      <c r="CC26" s="100"/>
      <c r="CD26" s="100"/>
      <c r="CE26" s="188"/>
      <c r="CG26" s="42"/>
      <c r="CH26" s="42"/>
      <c r="CI26" s="42"/>
      <c r="CJ26" s="42"/>
      <c r="CK26" s="42"/>
      <c r="CL26" s="42"/>
      <c r="CM26" s="42"/>
      <c r="CN26" s="121"/>
      <c r="CO26" s="29"/>
      <c r="CP26" s="30"/>
    </row>
    <row r="27" spans="1:94" ht="21.75" thickBot="1" x14ac:dyDescent="0.35">
      <c r="A27" s="70"/>
      <c r="B27" s="31"/>
      <c r="C27" s="189"/>
      <c r="D27" s="97"/>
      <c r="E27" s="180"/>
      <c r="F27" s="45"/>
      <c r="G27" s="190"/>
      <c r="H27" s="40"/>
      <c r="I27" s="40"/>
      <c r="J27" s="47"/>
      <c r="K27" s="47"/>
      <c r="L27" s="47"/>
      <c r="M27" s="47"/>
      <c r="N27" s="47"/>
      <c r="P27" s="169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928"/>
      <c r="AD27" s="953"/>
      <c r="AE27" s="953"/>
      <c r="AF27" s="928"/>
      <c r="AG27" s="406"/>
      <c r="AH27" s="247"/>
      <c r="AI27" s="953"/>
      <c r="AJ27" s="953"/>
      <c r="AK27" s="247"/>
      <c r="AN27" s="86"/>
      <c r="AO27" s="953"/>
      <c r="AP27" s="953"/>
      <c r="AQ27" s="86"/>
      <c r="AR27" s="406"/>
      <c r="AS27" s="406"/>
      <c r="AT27" s="406"/>
      <c r="AU27" s="406"/>
      <c r="AV27" s="406"/>
      <c r="AW27" s="406"/>
      <c r="AX27" s="406"/>
      <c r="AY27" s="406"/>
      <c r="AZ27" s="406"/>
      <c r="BA27" s="406"/>
      <c r="BB27" s="406"/>
      <c r="BC27" s="871"/>
      <c r="BD27" s="100"/>
      <c r="BE27" s="100"/>
      <c r="BF27" s="100"/>
      <c r="BG27" s="100"/>
      <c r="BH27" s="100"/>
      <c r="BJ27" s="100"/>
      <c r="BK27" s="186"/>
      <c r="BL27" s="975"/>
      <c r="BM27" s="975"/>
      <c r="BN27" s="975"/>
      <c r="BO27" s="975"/>
      <c r="BP27" s="976"/>
      <c r="BQ27" s="976"/>
      <c r="BR27" s="406"/>
      <c r="BS27" s="406"/>
      <c r="BT27" s="406"/>
      <c r="BU27" s="42"/>
      <c r="BV27" s="42"/>
      <c r="BW27" s="42"/>
      <c r="BZ27" s="38"/>
      <c r="CA27" s="100"/>
      <c r="CB27" s="92" t="s">
        <v>206</v>
      </c>
      <c r="CC27" s="193"/>
      <c r="CD27" s="1078" t="s">
        <v>207</v>
      </c>
      <c r="CE27" s="1079"/>
      <c r="CF27" s="194"/>
      <c r="CG27" s="42"/>
      <c r="CH27" s="42"/>
      <c r="CI27" s="42"/>
      <c r="CJ27" s="42"/>
      <c r="CK27" s="42"/>
      <c r="CL27" s="42"/>
      <c r="CM27" s="42"/>
      <c r="CN27" s="121"/>
      <c r="CO27" s="29"/>
      <c r="CP27" s="30"/>
    </row>
    <row r="28" spans="1:94" ht="21" x14ac:dyDescent="0.3">
      <c r="A28" s="70"/>
      <c r="B28" s="856"/>
      <c r="C28" s="45"/>
      <c r="D28" s="196"/>
      <c r="E28" s="180"/>
      <c r="F28" s="45"/>
      <c r="G28" s="45"/>
      <c r="H28" s="40"/>
      <c r="I28" s="40"/>
      <c r="J28" s="47"/>
      <c r="K28" s="47"/>
      <c r="L28" s="47"/>
      <c r="M28" s="47"/>
      <c r="N28" s="47"/>
      <c r="O28" s="406"/>
      <c r="P28" s="876"/>
      <c r="Q28" s="876"/>
      <c r="R28" s="882"/>
      <c r="S28" s="882"/>
      <c r="T28" s="1054"/>
      <c r="U28" s="1054"/>
      <c r="V28" s="882"/>
      <c r="W28" s="47"/>
      <c r="X28" s="47"/>
      <c r="Y28" s="47"/>
      <c r="Z28" s="47"/>
      <c r="AA28" s="47"/>
      <c r="AB28" s="47"/>
      <c r="AC28" s="928"/>
      <c r="AD28" s="900"/>
      <c r="AE28" s="900"/>
      <c r="AF28" s="928"/>
      <c r="AG28" s="406"/>
      <c r="AH28" s="247"/>
      <c r="AI28" s="900"/>
      <c r="AJ28" s="900"/>
      <c r="AK28" s="247"/>
      <c r="AL28" s="47"/>
      <c r="AM28" s="47"/>
      <c r="AN28" s="86"/>
      <c r="AO28" s="900"/>
      <c r="AP28" s="900"/>
      <c r="AQ28" s="86"/>
      <c r="AR28" s="406"/>
      <c r="AS28" s="960"/>
      <c r="AT28" s="961"/>
      <c r="AU28" s="406"/>
      <c r="BD28" s="100"/>
      <c r="BE28" s="100"/>
      <c r="BF28" s="100"/>
      <c r="BG28" s="100"/>
      <c r="BH28" s="100"/>
      <c r="BK28" s="186"/>
      <c r="BL28" s="1055"/>
      <c r="BM28" s="1056"/>
      <c r="BN28" s="1056"/>
      <c r="BO28" s="1056"/>
      <c r="BP28" s="1056"/>
      <c r="BQ28" s="1056"/>
      <c r="BR28" s="1056"/>
      <c r="BS28" s="1056"/>
      <c r="BT28" s="1056"/>
      <c r="BU28" s="42"/>
      <c r="BV28" s="42"/>
      <c r="BW28" s="42"/>
      <c r="BX28" s="200"/>
      <c r="BZ28" s="38"/>
      <c r="CA28" s="100"/>
      <c r="CB28" s="201">
        <v>1</v>
      </c>
      <c r="CC28" s="149" t="s">
        <v>171</v>
      </c>
      <c r="CD28" s="857">
        <v>25</v>
      </c>
      <c r="CE28" s="203"/>
      <c r="CF28" s="42"/>
      <c r="CG28" s="42"/>
      <c r="CH28" s="42"/>
      <c r="CI28" s="42"/>
      <c r="CJ28" s="42"/>
      <c r="CK28" s="42"/>
      <c r="CL28" s="42"/>
      <c r="CM28" s="42"/>
      <c r="CN28" s="121"/>
      <c r="CO28" s="29"/>
      <c r="CP28" s="30"/>
    </row>
    <row r="29" spans="1:94" ht="21" x14ac:dyDescent="0.3">
      <c r="A29" s="1362"/>
      <c r="B29" s="1362"/>
      <c r="C29" s="45"/>
      <c r="D29" s="45"/>
      <c r="E29" s="196"/>
      <c r="F29" s="45"/>
      <c r="G29" s="45"/>
      <c r="H29" s="40"/>
      <c r="I29" s="40"/>
      <c r="J29" s="47"/>
      <c r="K29" s="47"/>
      <c r="L29" s="47"/>
      <c r="M29" s="47"/>
      <c r="N29" s="47"/>
      <c r="O29" s="406"/>
      <c r="P29" s="892"/>
      <c r="Q29" s="892"/>
      <c r="R29" s="882"/>
      <c r="S29" s="882"/>
      <c r="T29" s="893"/>
      <c r="U29" s="893"/>
      <c r="V29" s="882"/>
      <c r="W29" s="47"/>
      <c r="X29" s="950"/>
      <c r="Y29" s="950"/>
      <c r="Z29" s="882"/>
      <c r="AA29" s="47"/>
      <c r="AB29" s="47"/>
      <c r="AC29" s="928"/>
      <c r="AD29" s="954"/>
      <c r="AE29" s="954"/>
      <c r="AF29" s="928"/>
      <c r="AG29" s="406"/>
      <c r="AH29" s="247"/>
      <c r="AI29" s="900"/>
      <c r="AJ29" s="900"/>
      <c r="AK29" s="247"/>
      <c r="AN29" s="406"/>
      <c r="AO29" s="86"/>
      <c r="AP29" s="86"/>
      <c r="AQ29" s="406"/>
      <c r="AR29" s="406"/>
      <c r="AS29" s="960"/>
      <c r="AT29" s="961"/>
      <c r="AU29" s="406"/>
      <c r="BB29" s="40"/>
      <c r="BC29" s="40"/>
      <c r="BD29" s="100"/>
      <c r="BE29" s="100"/>
      <c r="BF29" s="100"/>
      <c r="BG29" s="100"/>
      <c r="BH29" s="100"/>
      <c r="BI29" s="40"/>
      <c r="BJ29" s="40"/>
      <c r="BK29" s="208"/>
      <c r="BL29" s="406"/>
      <c r="BM29" s="975"/>
      <c r="BN29" s="961"/>
      <c r="BO29" s="961"/>
      <c r="BP29" s="976"/>
      <c r="BQ29" s="976"/>
      <c r="BR29" s="961"/>
      <c r="BS29" s="961"/>
      <c r="BT29" s="976"/>
      <c r="BU29" s="92" t="s">
        <v>213</v>
      </c>
      <c r="BV29" s="209">
        <v>1</v>
      </c>
      <c r="BW29" s="99">
        <v>2</v>
      </c>
      <c r="BX29" s="99">
        <v>3</v>
      </c>
      <c r="BY29" s="209">
        <v>4</v>
      </c>
      <c r="BZ29" s="210" t="s">
        <v>180</v>
      </c>
      <c r="CA29" s="100"/>
      <c r="CB29" s="201">
        <v>2</v>
      </c>
      <c r="CC29" s="149" t="s">
        <v>171</v>
      </c>
      <c r="CD29" s="857">
        <v>25</v>
      </c>
      <c r="CE29" s="211"/>
      <c r="CF29" s="42"/>
      <c r="CG29" s="42"/>
      <c r="CH29" s="42"/>
      <c r="CI29" s="42"/>
      <c r="CJ29" s="42"/>
      <c r="CK29" s="42"/>
      <c r="CL29" s="42"/>
      <c r="CM29" s="42"/>
      <c r="CN29" s="121"/>
      <c r="CO29" s="29"/>
      <c r="CP29" s="30"/>
    </row>
    <row r="30" spans="1:94" ht="21" x14ac:dyDescent="0.25">
      <c r="A30" s="915"/>
      <c r="B30" s="902"/>
      <c r="C30" s="45"/>
      <c r="D30" s="45"/>
      <c r="E30" s="45"/>
      <c r="F30" s="213"/>
      <c r="G30" s="45"/>
      <c r="H30" s="40"/>
      <c r="I30" s="40"/>
      <c r="J30" s="47"/>
      <c r="K30" s="47"/>
      <c r="L30" s="47"/>
      <c r="M30" s="47"/>
      <c r="N30" s="47"/>
      <c r="O30" s="406"/>
      <c r="P30" s="892"/>
      <c r="Q30" s="892"/>
      <c r="R30" s="882"/>
      <c r="S30" s="882"/>
      <c r="T30" s="893"/>
      <c r="U30" s="893"/>
      <c r="V30" s="882"/>
      <c r="W30" s="47"/>
      <c r="X30" s="950"/>
      <c r="Y30" s="950"/>
      <c r="Z30" s="882"/>
      <c r="AA30" s="47"/>
      <c r="AB30" s="47"/>
      <c r="AC30" s="406"/>
      <c r="AD30" s="928"/>
      <c r="AE30" s="928"/>
      <c r="AF30" s="898"/>
      <c r="AG30" s="406"/>
      <c r="AH30" s="406"/>
      <c r="AI30" s="247"/>
      <c r="AJ30" s="247"/>
      <c r="AK30" s="406"/>
      <c r="AN30" s="406"/>
      <c r="AO30" s="406"/>
      <c r="AP30" s="406"/>
      <c r="AQ30" s="406"/>
      <c r="AR30" s="406"/>
      <c r="AS30" s="960"/>
      <c r="AT30" s="961"/>
      <c r="AU30" s="406"/>
      <c r="AV30" s="406"/>
      <c r="AW30" s="406"/>
      <c r="AX30" s="406"/>
      <c r="AY30" s="406"/>
      <c r="AZ30" s="406"/>
      <c r="BA30" s="406"/>
      <c r="BB30" s="876"/>
      <c r="BC30" s="40"/>
      <c r="BD30" s="100"/>
      <c r="BE30" s="100"/>
      <c r="BF30" s="100"/>
      <c r="BG30" s="100"/>
      <c r="BH30" s="100"/>
      <c r="BI30" s="40"/>
      <c r="BJ30" s="40"/>
      <c r="BK30" s="208"/>
      <c r="BL30" s="977"/>
      <c r="BM30" s="975"/>
      <c r="BN30" s="961"/>
      <c r="BO30" s="961"/>
      <c r="BP30" s="406"/>
      <c r="BQ30" s="976"/>
      <c r="BR30" s="961"/>
      <c r="BS30" s="961"/>
      <c r="BT30" s="406"/>
      <c r="BU30" s="193"/>
      <c r="BV30" s="214" t="s">
        <v>215</v>
      </c>
      <c r="BW30" s="214" t="s">
        <v>215</v>
      </c>
      <c r="BX30" s="214" t="s">
        <v>215</v>
      </c>
      <c r="BY30" s="214" t="s">
        <v>215</v>
      </c>
      <c r="BZ30" s="193"/>
      <c r="CA30" s="100"/>
      <c r="CB30" s="201">
        <v>3</v>
      </c>
      <c r="CC30" s="149" t="s">
        <v>171</v>
      </c>
      <c r="CD30" s="858">
        <v>25</v>
      </c>
      <c r="CE30" s="211"/>
      <c r="CF30" s="42"/>
      <c r="CG30" s="42"/>
      <c r="CH30" s="42"/>
      <c r="CI30" s="42"/>
      <c r="CJ30" s="42"/>
      <c r="CK30" s="42"/>
      <c r="CL30" s="42"/>
      <c r="CM30" s="42"/>
      <c r="CN30" s="121"/>
      <c r="CO30" s="29"/>
      <c r="CP30" s="30"/>
    </row>
    <row r="31" spans="1:94" ht="24" thickBot="1" x14ac:dyDescent="0.3">
      <c r="A31" s="70"/>
      <c r="B31" s="54"/>
      <c r="C31" s="45"/>
      <c r="D31" s="45"/>
      <c r="E31" s="45"/>
      <c r="F31" s="1"/>
      <c r="G31" s="45"/>
      <c r="H31" s="40"/>
      <c r="I31" s="40"/>
      <c r="J31" s="47"/>
      <c r="K31" s="47"/>
      <c r="L31" s="47"/>
      <c r="M31" s="47"/>
      <c r="N31" s="47"/>
      <c r="O31" s="406"/>
      <c r="P31" s="882"/>
      <c r="Q31" s="882"/>
      <c r="R31" s="882"/>
      <c r="S31" s="882"/>
      <c r="T31" s="893"/>
      <c r="U31" s="893"/>
      <c r="V31" s="882"/>
      <c r="W31" s="47"/>
      <c r="X31" s="950"/>
      <c r="Y31" s="950"/>
      <c r="Z31" s="882"/>
      <c r="AA31" s="47"/>
      <c r="AB31" s="47"/>
      <c r="AC31" s="1042"/>
      <c r="AD31" s="1042"/>
      <c r="AE31" s="1042"/>
      <c r="AF31" s="1042"/>
      <c r="AG31" s="406"/>
      <c r="AH31" s="406"/>
      <c r="AI31" s="247"/>
      <c r="AJ31" s="247"/>
      <c r="AK31" s="406"/>
      <c r="AN31" s="406"/>
      <c r="AO31" s="217"/>
      <c r="AP31" s="406"/>
      <c r="AQ31" s="406"/>
      <c r="AR31" s="406"/>
      <c r="AS31" s="406"/>
      <c r="AT31" s="406"/>
      <c r="AU31" s="406"/>
      <c r="AV31" s="406"/>
      <c r="AW31" s="406"/>
      <c r="AX31" s="406"/>
      <c r="AY31" s="406"/>
      <c r="AZ31" s="406"/>
      <c r="BA31" s="406"/>
      <c r="BB31" s="876"/>
      <c r="BC31" s="40"/>
      <c r="BD31" s="100"/>
      <c r="BE31" s="100"/>
      <c r="BF31" s="100"/>
      <c r="BG31" s="100"/>
      <c r="BH31" s="100"/>
      <c r="BI31" s="40"/>
      <c r="BJ31" s="40"/>
      <c r="BK31" s="208"/>
      <c r="BL31" s="977"/>
      <c r="BM31" s="975"/>
      <c r="BN31" s="961"/>
      <c r="BO31" s="961"/>
      <c r="BP31" s="406"/>
      <c r="BQ31" s="406"/>
      <c r="BR31" s="961"/>
      <c r="BS31" s="961"/>
      <c r="BT31" s="406"/>
      <c r="BU31" s="218"/>
      <c r="BV31" s="859">
        <v>25</v>
      </c>
      <c r="BW31" s="859">
        <v>25</v>
      </c>
      <c r="BX31" s="860">
        <v>25</v>
      </c>
      <c r="BY31" s="860">
        <v>25</v>
      </c>
      <c r="BZ31" s="218"/>
      <c r="CA31" s="100"/>
      <c r="CB31" s="201">
        <v>4</v>
      </c>
      <c r="CC31" s="149" t="s">
        <v>171</v>
      </c>
      <c r="CD31" s="861">
        <v>25</v>
      </c>
      <c r="CE31" s="211"/>
      <c r="CF31" s="42"/>
      <c r="CG31" s="42"/>
      <c r="CH31" s="42"/>
      <c r="CI31" s="42"/>
      <c r="CJ31" s="42"/>
      <c r="CK31" s="42"/>
      <c r="CL31" s="42"/>
      <c r="CM31" s="42"/>
      <c r="CN31" s="121"/>
      <c r="CO31" s="29"/>
      <c r="CP31" s="30"/>
    </row>
    <row r="32" spans="1:94" ht="21.75" thickBot="1" x14ac:dyDescent="0.3">
      <c r="A32" s="901"/>
      <c r="B32" s="902"/>
      <c r="C32" s="903"/>
      <c r="D32" s="903"/>
      <c r="E32" s="903"/>
      <c r="F32" s="246"/>
      <c r="G32" s="903"/>
      <c r="H32" s="903"/>
      <c r="I32" s="904"/>
      <c r="J32" s="882"/>
      <c r="K32" s="882"/>
      <c r="L32" s="882"/>
      <c r="M32" s="47"/>
      <c r="N32" s="47"/>
      <c r="O32" s="222"/>
      <c r="P32" s="47"/>
      <c r="Q32" s="47"/>
      <c r="R32" s="47"/>
      <c r="S32" s="47"/>
      <c r="T32" s="47"/>
      <c r="U32" s="47"/>
      <c r="V32" s="47"/>
      <c r="W32" s="47"/>
      <c r="X32" s="950"/>
      <c r="Y32" s="950"/>
      <c r="Z32" s="882"/>
      <c r="AA32" s="47"/>
      <c r="AB32" s="47"/>
      <c r="AC32" s="871"/>
      <c r="AD32" s="223"/>
      <c r="AE32" s="60"/>
      <c r="AF32" s="406"/>
      <c r="AG32" s="406"/>
      <c r="AH32" s="247"/>
      <c r="AI32" s="955"/>
      <c r="AJ32" s="955"/>
      <c r="AK32" s="247"/>
      <c r="AN32" s="406"/>
      <c r="AO32" s="962"/>
      <c r="AP32" s="963"/>
      <c r="AQ32" s="406"/>
      <c r="AR32" s="406"/>
      <c r="AS32" s="406"/>
      <c r="AT32" s="406"/>
      <c r="AU32" s="406"/>
      <c r="AV32" s="1043"/>
      <c r="AW32" s="1044"/>
      <c r="AX32" s="1044"/>
      <c r="AY32" s="1044"/>
      <c r="AZ32" s="1044"/>
      <c r="BA32" s="1044"/>
      <c r="BB32" s="1045"/>
      <c r="BC32" s="40"/>
      <c r="BD32" s="40"/>
      <c r="BE32" s="100"/>
      <c r="BF32" s="100"/>
      <c r="BG32" s="100"/>
      <c r="BH32" s="100"/>
      <c r="BI32" s="40"/>
      <c r="BJ32" s="40"/>
      <c r="BK32" s="208"/>
      <c r="BL32" s="977"/>
      <c r="BM32" s="975"/>
      <c r="BN32" s="406"/>
      <c r="BO32" s="406"/>
      <c r="BP32" s="406"/>
      <c r="BQ32" s="406"/>
      <c r="BR32" s="975"/>
      <c r="BS32" s="975"/>
      <c r="BT32" s="406"/>
      <c r="BU32" s="218"/>
      <c r="BV32" s="862">
        <v>25</v>
      </c>
      <c r="BW32" s="862">
        <v>25</v>
      </c>
      <c r="BX32" s="863">
        <v>25</v>
      </c>
      <c r="BY32" s="863">
        <v>25</v>
      </c>
      <c r="BZ32" s="218"/>
      <c r="CA32" s="100"/>
      <c r="CB32" s="201">
        <v>5</v>
      </c>
      <c r="CC32" s="149" t="s">
        <v>171</v>
      </c>
      <c r="CD32" s="864">
        <v>25</v>
      </c>
      <c r="CE32" s="211"/>
      <c r="CF32" s="42"/>
      <c r="CG32" s="42"/>
      <c r="CH32" s="42"/>
      <c r="CI32" s="42"/>
      <c r="CJ32" s="42"/>
      <c r="CK32" s="42"/>
      <c r="CL32" s="42"/>
      <c r="CM32" s="42"/>
      <c r="CN32" s="121"/>
      <c r="CO32" s="29"/>
      <c r="CP32" s="30"/>
    </row>
    <row r="33" spans="1:94" ht="21.75" thickBot="1" x14ac:dyDescent="0.3">
      <c r="A33" s="901"/>
      <c r="B33" s="905"/>
      <c r="C33" s="906"/>
      <c r="D33" s="906"/>
      <c r="E33" s="906"/>
      <c r="F33" s="907"/>
      <c r="G33" s="908"/>
      <c r="H33" s="908"/>
      <c r="I33" s="908"/>
      <c r="J33" s="1051"/>
      <c r="K33" s="1052"/>
      <c r="L33" s="909"/>
      <c r="M33" s="235"/>
      <c r="N33" s="235"/>
      <c r="R33" s="47"/>
      <c r="S33" s="47"/>
      <c r="T33" s="47"/>
      <c r="U33" s="47"/>
      <c r="V33" s="47"/>
      <c r="W33" s="47"/>
      <c r="X33" s="950"/>
      <c r="Y33" s="950"/>
      <c r="Z33" s="882"/>
      <c r="AA33" s="47"/>
      <c r="AB33" s="47"/>
      <c r="AC33" s="871"/>
      <c r="AD33" s="956"/>
      <c r="AE33" s="956"/>
      <c r="AF33" s="406"/>
      <c r="AG33" s="406"/>
      <c r="AH33" s="247"/>
      <c r="AI33" s="900"/>
      <c r="AJ33" s="900"/>
      <c r="AK33" s="247"/>
      <c r="AN33" s="406"/>
      <c r="AO33" s="962"/>
      <c r="AP33" s="963"/>
      <c r="AQ33" s="406"/>
      <c r="AR33" s="406"/>
      <c r="AS33" s="406"/>
      <c r="AT33" s="406"/>
      <c r="AU33" s="406"/>
      <c r="AV33" s="1046"/>
      <c r="AW33" s="1024"/>
      <c r="AX33" s="1024"/>
      <c r="AY33" s="1024"/>
      <c r="AZ33" s="1024"/>
      <c r="BA33" s="1024"/>
      <c r="BB33" s="1047"/>
      <c r="BC33" s="40"/>
      <c r="BD33" s="40"/>
      <c r="BE33" s="40"/>
      <c r="BF33" s="40"/>
      <c r="BG33" s="40"/>
      <c r="BH33" s="40"/>
      <c r="BI33" s="40"/>
      <c r="BJ33" s="40"/>
      <c r="BK33" s="208"/>
      <c r="BL33" s="976"/>
      <c r="BM33" s="975"/>
      <c r="BN33" s="406"/>
      <c r="BO33" s="406"/>
      <c r="BP33" s="406"/>
      <c r="BQ33" s="976"/>
      <c r="BR33" s="975"/>
      <c r="BS33" s="975"/>
      <c r="BT33" s="406"/>
      <c r="BU33" s="193"/>
      <c r="BV33" s="149" t="s">
        <v>171</v>
      </c>
      <c r="BW33" s="149" t="s">
        <v>171</v>
      </c>
      <c r="BX33" s="149" t="s">
        <v>171</v>
      </c>
      <c r="BY33" s="149" t="s">
        <v>171</v>
      </c>
      <c r="BZ33" s="193"/>
      <c r="CA33" s="100"/>
      <c r="CB33" s="201">
        <v>6</v>
      </c>
      <c r="CC33" s="149" t="s">
        <v>171</v>
      </c>
      <c r="CD33" s="864">
        <v>25</v>
      </c>
      <c r="CE33" s="211"/>
      <c r="CF33" s="42"/>
      <c r="CG33" s="42"/>
      <c r="CH33" s="42"/>
      <c r="CI33" s="42"/>
      <c r="CJ33" s="42"/>
      <c r="CK33" s="42"/>
      <c r="CL33" s="42"/>
      <c r="CM33" s="42"/>
      <c r="CN33" s="121"/>
      <c r="CO33" s="29"/>
      <c r="CP33" s="30"/>
    </row>
    <row r="34" spans="1:94" ht="23.25" x14ac:dyDescent="0.25">
      <c r="A34" s="901"/>
      <c r="B34" s="900"/>
      <c r="C34" s="910"/>
      <c r="D34" s="900"/>
      <c r="E34" s="910"/>
      <c r="F34" s="900"/>
      <c r="G34" s="910"/>
      <c r="H34" s="900"/>
      <c r="I34" s="910"/>
      <c r="J34" s="871"/>
      <c r="K34" s="871"/>
      <c r="L34" s="871"/>
      <c r="M34" s="100"/>
      <c r="N34" s="238"/>
      <c r="O34" s="108"/>
      <c r="P34" s="239"/>
      <c r="Q34" s="406"/>
      <c r="R34" s="894"/>
      <c r="S34" s="59"/>
      <c r="T34" s="59"/>
      <c r="U34" s="59"/>
      <c r="V34" s="895"/>
      <c r="W34" s="242"/>
      <c r="X34" s="882"/>
      <c r="Y34" s="882"/>
      <c r="Z34" s="882"/>
      <c r="AA34" s="47"/>
      <c r="AB34" s="47"/>
      <c r="AC34" s="871"/>
      <c r="AD34" s="956"/>
      <c r="AE34" s="956"/>
      <c r="AF34" s="406"/>
      <c r="AG34" s="406"/>
      <c r="AH34" s="247"/>
      <c r="AI34" s="954"/>
      <c r="AJ34" s="954"/>
      <c r="AK34" s="247"/>
      <c r="AN34" s="406"/>
      <c r="AO34" s="962"/>
      <c r="AP34" s="963"/>
      <c r="AQ34" s="406"/>
      <c r="AR34" s="406"/>
      <c r="AS34" s="406"/>
      <c r="AT34" s="406"/>
      <c r="AU34" s="406"/>
      <c r="AV34" s="1046"/>
      <c r="AW34" s="1024"/>
      <c r="AX34" s="1024"/>
      <c r="AY34" s="1024"/>
      <c r="AZ34" s="1024"/>
      <c r="BA34" s="1024"/>
      <c r="BB34" s="1047"/>
      <c r="BC34" s="40"/>
      <c r="BD34" s="40"/>
      <c r="BE34" s="40"/>
      <c r="BF34" s="40"/>
      <c r="BG34" s="40"/>
      <c r="BH34" s="40"/>
      <c r="BI34" s="40"/>
      <c r="BJ34" s="40"/>
      <c r="BK34" s="208"/>
      <c r="BL34" s="902"/>
      <c r="BM34" s="975"/>
      <c r="BN34" s="406"/>
      <c r="BO34" s="406"/>
      <c r="BP34" s="406"/>
      <c r="BQ34" s="976"/>
      <c r="BR34" s="975"/>
      <c r="BS34" s="975"/>
      <c r="BT34" s="976"/>
      <c r="BV34" s="209">
        <v>8</v>
      </c>
      <c r="BW34" s="99">
        <v>7</v>
      </c>
      <c r="BX34" s="99">
        <v>6</v>
      </c>
      <c r="BY34" s="209">
        <v>5</v>
      </c>
      <c r="CA34" s="100"/>
      <c r="CB34" s="201">
        <v>7</v>
      </c>
      <c r="CC34" s="149" t="s">
        <v>171</v>
      </c>
      <c r="CD34" s="865">
        <v>25</v>
      </c>
      <c r="CE34" s="211"/>
      <c r="CF34" s="42"/>
      <c r="CG34" s="42"/>
      <c r="CH34" s="42"/>
      <c r="CI34" s="42"/>
      <c r="CJ34" s="42"/>
      <c r="CK34" s="42"/>
      <c r="CL34" s="42"/>
      <c r="CM34" s="42"/>
      <c r="CN34" s="121"/>
      <c r="CO34" s="29"/>
      <c r="CP34" s="30"/>
    </row>
    <row r="35" spans="1:94" ht="23.25" x14ac:dyDescent="0.25">
      <c r="A35" s="901"/>
      <c r="B35" s="910"/>
      <c r="C35" s="911"/>
      <c r="D35" s="910"/>
      <c r="E35" s="911"/>
      <c r="F35" s="910"/>
      <c r="G35" s="911"/>
      <c r="H35" s="910"/>
      <c r="I35" s="896"/>
      <c r="J35" s="871"/>
      <c r="K35" s="882"/>
      <c r="L35" s="882"/>
      <c r="M35" s="47"/>
      <c r="N35" s="47"/>
      <c r="P35" s="186"/>
      <c r="Q35" s="896"/>
      <c r="R35" s="406"/>
      <c r="S35" s="897"/>
      <c r="T35" s="897"/>
      <c r="U35" s="897"/>
      <c r="V35" s="898"/>
      <c r="W35" s="59"/>
      <c r="X35" s="59"/>
      <c r="Y35" s="59"/>
      <c r="Z35" s="59"/>
      <c r="AA35" s="29"/>
      <c r="AB35" s="29"/>
      <c r="AC35" s="871"/>
      <c r="AD35" s="245"/>
      <c r="AE35" s="246"/>
      <c r="AF35" s="406"/>
      <c r="AG35" s="406"/>
      <c r="AH35" s="247"/>
      <c r="AI35" s="248"/>
      <c r="AJ35" s="248"/>
      <c r="AK35" s="247"/>
      <c r="AL35" s="406"/>
      <c r="AM35" s="406"/>
      <c r="AN35" s="406"/>
      <c r="AO35" s="406"/>
      <c r="AP35" s="406"/>
      <c r="AQ35" s="406"/>
      <c r="AR35" s="406"/>
      <c r="AS35" s="406"/>
      <c r="AT35" s="406"/>
      <c r="AU35" s="406"/>
      <c r="AV35" s="1046"/>
      <c r="AW35" s="1024"/>
      <c r="AX35" s="1024"/>
      <c r="AY35" s="1024"/>
      <c r="AZ35" s="1024"/>
      <c r="BA35" s="1024"/>
      <c r="BB35" s="1047"/>
      <c r="BC35" s="40"/>
      <c r="BD35" s="40"/>
      <c r="BE35" s="40"/>
      <c r="BF35" s="40"/>
      <c r="BG35" s="40"/>
      <c r="BH35" s="40"/>
      <c r="BI35" s="40"/>
      <c r="BJ35" s="40"/>
      <c r="BK35" s="208"/>
      <c r="BM35" s="57"/>
      <c r="BQ35" s="31"/>
      <c r="BR35" s="57"/>
      <c r="BS35" s="31"/>
      <c r="BT35" s="31"/>
      <c r="BU35" s="100"/>
      <c r="BV35" s="100"/>
      <c r="BW35" s="100"/>
      <c r="BX35" s="100"/>
      <c r="BY35" s="100"/>
      <c r="BZ35" s="100"/>
      <c r="CA35" s="100"/>
      <c r="CB35" s="201">
        <v>8</v>
      </c>
      <c r="CC35" s="149" t="s">
        <v>171</v>
      </c>
      <c r="CD35" s="866">
        <v>25</v>
      </c>
      <c r="CE35" s="211"/>
      <c r="CF35" s="42"/>
      <c r="CG35" s="42"/>
      <c r="CH35" s="42"/>
      <c r="CI35" s="42"/>
      <c r="CJ35" s="42"/>
      <c r="CK35" s="42"/>
      <c r="CL35" s="42"/>
      <c r="CM35" s="42"/>
      <c r="CN35" s="121"/>
      <c r="CO35" s="29"/>
      <c r="CP35" s="30"/>
    </row>
    <row r="36" spans="1:94" ht="21" x14ac:dyDescent="0.25">
      <c r="A36" s="901"/>
      <c r="B36" s="912"/>
      <c r="C36" s="912"/>
      <c r="D36" s="912"/>
      <c r="E36" s="912"/>
      <c r="F36" s="912"/>
      <c r="G36" s="912"/>
      <c r="H36" s="912"/>
      <c r="I36" s="911"/>
      <c r="J36" s="871"/>
      <c r="K36" s="882"/>
      <c r="L36" s="882"/>
      <c r="M36" s="47"/>
      <c r="N36" s="47"/>
      <c r="P36" s="186"/>
      <c r="Q36" s="406"/>
      <c r="R36" s="899"/>
      <c r="S36" s="900"/>
      <c r="T36" s="900"/>
      <c r="U36" s="900"/>
      <c r="V36" s="899"/>
      <c r="W36" s="406"/>
      <c r="X36" s="406"/>
      <c r="Y36" s="892"/>
      <c r="Z36" s="892"/>
      <c r="AA36" s="892"/>
      <c r="AB36" s="892"/>
      <c r="AC36" s="892"/>
      <c r="AD36" s="406"/>
      <c r="AE36" s="896"/>
      <c r="AF36" s="957"/>
      <c r="AG36" s="957"/>
      <c r="AH36" s="957"/>
      <c r="AI36" s="898"/>
      <c r="AJ36" s="406"/>
      <c r="AK36" s="406"/>
      <c r="AL36" s="406"/>
      <c r="AM36" s="406"/>
      <c r="AN36" s="406"/>
      <c r="AO36" s="406"/>
      <c r="AP36" s="406"/>
      <c r="AQ36" s="406"/>
      <c r="AR36" s="406"/>
      <c r="AS36" s="406"/>
      <c r="AT36" s="406"/>
      <c r="AU36" s="406"/>
      <c r="AV36" s="1046"/>
      <c r="AW36" s="1024"/>
      <c r="AX36" s="1024"/>
      <c r="AY36" s="1024"/>
      <c r="AZ36" s="1024"/>
      <c r="BA36" s="1024"/>
      <c r="BB36" s="1047"/>
      <c r="BC36" s="40"/>
      <c r="BD36" s="40"/>
      <c r="BE36" s="40"/>
      <c r="BF36" s="40"/>
      <c r="BG36" s="40"/>
      <c r="BH36" s="40"/>
      <c r="BI36" s="40"/>
      <c r="BJ36" s="40"/>
      <c r="BK36" s="208"/>
      <c r="BL36" s="978"/>
      <c r="BM36" s="975"/>
      <c r="BN36" s="406"/>
      <c r="BO36" s="406"/>
      <c r="BP36" s="406"/>
      <c r="BQ36" s="976"/>
      <c r="BR36" s="406"/>
      <c r="BS36" s="976"/>
      <c r="BT36" s="976"/>
      <c r="BU36" s="100"/>
      <c r="BV36" s="100"/>
      <c r="BW36" s="100"/>
      <c r="BX36" s="100"/>
      <c r="BY36" s="100"/>
      <c r="BZ36" s="100"/>
      <c r="CA36" s="100"/>
      <c r="CB36" s="201">
        <v>9</v>
      </c>
      <c r="CC36" s="149" t="s">
        <v>171</v>
      </c>
      <c r="CD36" s="866">
        <v>25</v>
      </c>
      <c r="CE36" s="211"/>
      <c r="CF36" s="42"/>
      <c r="CG36" s="42"/>
      <c r="CH36" s="42"/>
      <c r="CI36" s="42"/>
      <c r="CJ36" s="42"/>
      <c r="CK36" s="42"/>
      <c r="CL36" s="42"/>
      <c r="CM36" s="42"/>
      <c r="CN36" s="121"/>
      <c r="CO36" s="29"/>
      <c r="CP36" s="30"/>
    </row>
    <row r="37" spans="1:94" ht="23.25" x14ac:dyDescent="0.25">
      <c r="A37" s="901"/>
      <c r="B37" s="1042"/>
      <c r="C37" s="1042"/>
      <c r="D37" s="1042"/>
      <c r="E37" s="1042"/>
      <c r="F37" s="1042"/>
      <c r="G37" s="1042"/>
      <c r="H37" s="1042"/>
      <c r="I37" s="911"/>
      <c r="J37" s="871"/>
      <c r="K37" s="882"/>
      <c r="L37" s="882"/>
      <c r="M37" s="47"/>
      <c r="N37" s="47"/>
      <c r="P37" s="186"/>
      <c r="Q37" s="406"/>
      <c r="R37" s="899"/>
      <c r="S37" s="900"/>
      <c r="T37" s="900"/>
      <c r="U37" s="900"/>
      <c r="V37" s="899"/>
      <c r="W37" s="406"/>
      <c r="X37" s="406"/>
      <c r="Y37" s="892"/>
      <c r="Z37" s="892"/>
      <c r="AA37" s="892"/>
      <c r="AB37" s="892"/>
      <c r="AC37" s="892"/>
      <c r="AD37" s="406"/>
      <c r="AE37" s="957"/>
      <c r="AF37" s="900"/>
      <c r="AG37" s="900"/>
      <c r="AH37" s="900"/>
      <c r="AI37" s="957"/>
      <c r="AJ37" s="406"/>
      <c r="AK37" s="406"/>
      <c r="AL37" s="893"/>
      <c r="AM37" s="893"/>
      <c r="AN37" s="893"/>
      <c r="AO37" s="893"/>
      <c r="AP37" s="406"/>
      <c r="AQ37" s="406"/>
      <c r="AR37" s="964"/>
      <c r="AS37" s="964"/>
      <c r="AT37" s="964"/>
      <c r="AU37" s="406"/>
      <c r="AV37" s="1046"/>
      <c r="AW37" s="1024"/>
      <c r="AX37" s="1024"/>
      <c r="AY37" s="1024"/>
      <c r="AZ37" s="1024"/>
      <c r="BA37" s="1024"/>
      <c r="BB37" s="1047"/>
      <c r="BC37" s="40"/>
      <c r="BD37" s="40"/>
      <c r="BE37" s="40"/>
      <c r="BF37" s="40"/>
      <c r="BG37" s="40"/>
      <c r="BH37" s="40"/>
      <c r="BI37" s="40"/>
      <c r="BJ37" s="40"/>
      <c r="BK37" s="208"/>
      <c r="BL37" s="902"/>
      <c r="BM37" s="978"/>
      <c r="BN37" s="406"/>
      <c r="BO37" s="406"/>
      <c r="BP37" s="406"/>
      <c r="BQ37" s="961"/>
      <c r="BR37" s="961"/>
      <c r="BS37" s="976"/>
      <c r="BT37" s="871"/>
      <c r="BU37" s="100"/>
      <c r="BV37" s="100"/>
      <c r="BW37" s="100"/>
      <c r="BX37" s="100"/>
      <c r="BY37" s="100"/>
      <c r="BZ37" s="100"/>
      <c r="CA37" s="100"/>
      <c r="CB37" s="100"/>
      <c r="CC37" s="193"/>
      <c r="CD37" s="193"/>
      <c r="CE37" s="211"/>
      <c r="CF37" s="42"/>
      <c r="CG37" s="42"/>
      <c r="CH37" s="42"/>
      <c r="CI37" s="42"/>
      <c r="CJ37" s="42"/>
      <c r="CK37" s="42"/>
      <c r="CL37" s="42"/>
      <c r="CM37" s="42"/>
      <c r="CN37" s="121"/>
      <c r="CO37" s="29"/>
      <c r="CP37" s="30"/>
    </row>
    <row r="38" spans="1:94" ht="21" x14ac:dyDescent="0.25">
      <c r="A38" s="901"/>
      <c r="B38" s="406"/>
      <c r="C38" s="406"/>
      <c r="D38" s="911"/>
      <c r="E38" s="911"/>
      <c r="F38" s="913"/>
      <c r="G38" s="913"/>
      <c r="H38" s="913"/>
      <c r="I38" s="913"/>
      <c r="J38" s="871"/>
      <c r="K38" s="406"/>
      <c r="L38" s="406"/>
      <c r="M38" s="406"/>
      <c r="N38" s="406"/>
      <c r="O38" s="406"/>
      <c r="P38" s="918"/>
      <c r="Q38" s="406"/>
      <c r="R38" s="406"/>
      <c r="S38" s="897"/>
      <c r="T38" s="897"/>
      <c r="U38" s="897"/>
      <c r="V38" s="406"/>
      <c r="W38" s="406"/>
      <c r="X38" s="406"/>
      <c r="Y38" s="406"/>
      <c r="Z38" s="406"/>
      <c r="AA38" s="406"/>
      <c r="AB38" s="406"/>
      <c r="AC38" s="406"/>
      <c r="AD38" s="406"/>
      <c r="AE38" s="957"/>
      <c r="AF38" s="900"/>
      <c r="AG38" s="900"/>
      <c r="AH38" s="900"/>
      <c r="AI38" s="957"/>
      <c r="AJ38" s="406"/>
      <c r="AK38" s="406"/>
      <c r="AL38" s="893"/>
      <c r="AM38" s="893"/>
      <c r="AN38" s="893"/>
      <c r="AO38" s="893"/>
      <c r="AP38" s="406"/>
      <c r="AQ38" s="406"/>
      <c r="AR38" s="964"/>
      <c r="AS38" s="964"/>
      <c r="AT38" s="964"/>
      <c r="AU38" s="406"/>
      <c r="AV38" s="1046"/>
      <c r="AW38" s="1024"/>
      <c r="AX38" s="1024"/>
      <c r="AY38" s="1024"/>
      <c r="AZ38" s="1024"/>
      <c r="BA38" s="1024"/>
      <c r="BB38" s="1047"/>
      <c r="BC38" s="40"/>
      <c r="BD38" s="40"/>
      <c r="BE38" s="40"/>
      <c r="BF38" s="40"/>
      <c r="BG38" s="40"/>
      <c r="BH38" s="40"/>
      <c r="BI38" s="40"/>
      <c r="BJ38" s="40"/>
      <c r="BK38" s="208"/>
      <c r="BL38" s="902"/>
      <c r="BM38" s="961"/>
      <c r="BN38" s="961"/>
      <c r="BO38" s="406"/>
      <c r="BP38" s="406"/>
      <c r="BQ38" s="406"/>
      <c r="BR38" s="406"/>
      <c r="BS38" s="406"/>
      <c r="BT38" s="871"/>
      <c r="BU38" s="100"/>
      <c r="BV38" s="100"/>
      <c r="BW38" s="100"/>
      <c r="BX38" s="100"/>
      <c r="BY38" s="100"/>
      <c r="BZ38" s="100"/>
      <c r="CA38" s="100"/>
      <c r="CB38" s="100"/>
      <c r="CC38" s="42"/>
      <c r="CD38" s="42"/>
      <c r="CE38" s="211"/>
      <c r="CF38" s="42"/>
      <c r="CG38" s="42"/>
      <c r="CH38" s="42"/>
      <c r="CI38" s="42"/>
      <c r="CJ38" s="42"/>
      <c r="CK38" s="42"/>
      <c r="CL38" s="42"/>
      <c r="CM38" s="42"/>
      <c r="CN38" s="121"/>
      <c r="CO38" s="29"/>
      <c r="CP38" s="30"/>
    </row>
    <row r="39" spans="1:94" ht="24" thickBot="1" x14ac:dyDescent="0.3">
      <c r="A39" s="70"/>
      <c r="B39" s="923"/>
      <c r="C39" s="896"/>
      <c r="D39" s="911"/>
      <c r="E39" s="255"/>
      <c r="F39" s="256"/>
      <c r="G39" s="256"/>
      <c r="H39" s="256"/>
      <c r="I39" s="256"/>
      <c r="J39" s="100"/>
      <c r="K39" s="919"/>
      <c r="L39" s="406"/>
      <c r="M39" s="1053"/>
      <c r="N39" s="1053"/>
      <c r="O39" s="406"/>
      <c r="P39" s="918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958"/>
      <c r="AF39" s="957"/>
      <c r="AG39" s="957"/>
      <c r="AH39" s="957"/>
      <c r="AI39" s="406"/>
      <c r="AJ39" s="959"/>
      <c r="AK39" s="959"/>
      <c r="AL39" s="959"/>
      <c r="AM39" s="959"/>
      <c r="AN39" s="959"/>
      <c r="AO39" s="959"/>
      <c r="AP39" s="959"/>
      <c r="AQ39" s="959"/>
      <c r="AR39" s="959"/>
      <c r="AS39" s="959"/>
      <c r="AT39" s="959"/>
      <c r="AU39" s="258"/>
      <c r="AV39" s="1048"/>
      <c r="AW39" s="1049"/>
      <c r="AX39" s="1049"/>
      <c r="AY39" s="1049"/>
      <c r="AZ39" s="1049"/>
      <c r="BA39" s="1049"/>
      <c r="BB39" s="1050"/>
      <c r="BC39" s="64"/>
      <c r="BD39" s="64"/>
      <c r="BE39" s="64"/>
      <c r="BF39" s="64"/>
      <c r="BG39" s="64"/>
      <c r="BH39" s="64"/>
      <c r="BI39" s="64"/>
      <c r="BJ39" s="64"/>
      <c r="BK39" s="259"/>
      <c r="BL39" s="960"/>
      <c r="BM39" s="979"/>
      <c r="BN39" s="979"/>
      <c r="BO39" s="961"/>
      <c r="BP39" s="406"/>
      <c r="BQ39" s="406"/>
      <c r="BR39" s="406"/>
      <c r="BS39" s="406"/>
      <c r="BT39" s="871"/>
      <c r="BU39" s="100"/>
      <c r="BV39" s="100"/>
      <c r="BW39" s="100"/>
      <c r="BX39" s="100"/>
      <c r="BY39" s="100"/>
      <c r="BZ39" s="100"/>
      <c r="CA39" s="100"/>
      <c r="CB39" s="100"/>
      <c r="CC39" s="42"/>
      <c r="CD39" s="42"/>
      <c r="CE39" s="211"/>
      <c r="CF39" s="42"/>
      <c r="CG39" s="42"/>
      <c r="CH39" s="42"/>
      <c r="CI39" s="42"/>
      <c r="CJ39" s="42"/>
      <c r="CK39" s="42"/>
      <c r="CL39" s="42"/>
      <c r="CM39" s="42"/>
      <c r="CN39" s="261"/>
      <c r="CO39" s="29"/>
      <c r="CP39" s="30"/>
    </row>
    <row r="40" spans="1:94" ht="24" thickBot="1" x14ac:dyDescent="0.3">
      <c r="A40" s="70"/>
      <c r="B40" s="900"/>
      <c r="C40" s="924"/>
      <c r="D40" s="925"/>
      <c r="E40" s="263"/>
      <c r="J40" s="100"/>
      <c r="K40" s="406"/>
      <c r="L40" s="896"/>
      <c r="M40" s="129"/>
      <c r="N40" s="129"/>
      <c r="O40" s="898"/>
      <c r="P40" s="918"/>
      <c r="Q40" s="1006"/>
      <c r="R40" s="1007"/>
      <c r="S40" s="1008"/>
      <c r="T40" s="264"/>
      <c r="U40" s="264"/>
      <c r="V40" s="264"/>
      <c r="W40" s="264"/>
      <c r="X40" s="264"/>
      <c r="Y40" s="264"/>
      <c r="Z40" s="264"/>
      <c r="AA40" s="264"/>
      <c r="AB40" s="264"/>
      <c r="AC40" s="108"/>
      <c r="AD40" s="108"/>
      <c r="AE40" s="108"/>
      <c r="AF40" s="108"/>
      <c r="AG40" s="108"/>
      <c r="AH40" s="108"/>
      <c r="AI40" s="108"/>
      <c r="AJ40" s="108"/>
      <c r="AK40" s="265"/>
      <c r="AM40" s="168"/>
      <c r="AN40" s="168"/>
      <c r="AO40" s="168"/>
      <c r="AP40" s="97"/>
      <c r="AQ40" s="97"/>
      <c r="AR40" s="97"/>
      <c r="AS40" s="97"/>
      <c r="AT40" s="97"/>
      <c r="AU40" s="266"/>
      <c r="AV40" s="97"/>
      <c r="AW40" s="97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980"/>
      <c r="BM40" s="981"/>
      <c r="BN40" s="980"/>
      <c r="BO40" s="980"/>
      <c r="BP40" s="980"/>
      <c r="BQ40" s="980"/>
      <c r="BR40" s="980"/>
      <c r="BS40" s="1015"/>
      <c r="BT40" s="1016"/>
      <c r="BU40" s="268"/>
      <c r="BV40" s="268"/>
      <c r="BW40" s="268"/>
      <c r="BX40" s="268"/>
      <c r="BY40" s="268"/>
      <c r="BZ40" s="268"/>
      <c r="CA40" s="268"/>
      <c r="CB40" s="268"/>
      <c r="CC40" s="269"/>
      <c r="CD40" s="42"/>
      <c r="CE40" s="211"/>
      <c r="CF40" s="42"/>
      <c r="CG40" s="42"/>
      <c r="CH40" s="42"/>
      <c r="CI40" s="42"/>
      <c r="CJ40" s="42"/>
      <c r="CK40" s="42"/>
      <c r="CL40" s="42"/>
      <c r="CM40" s="42"/>
      <c r="CN40" s="261"/>
      <c r="CO40" s="29"/>
      <c r="CP40" s="30"/>
    </row>
    <row r="41" spans="1:94" ht="21" x14ac:dyDescent="0.25">
      <c r="A41" s="270"/>
      <c r="B41" s="923"/>
      <c r="C41" s="923"/>
      <c r="D41" s="926"/>
      <c r="E41" s="272"/>
      <c r="F41" s="1005" t="s">
        <v>234</v>
      </c>
      <c r="G41" s="1005"/>
      <c r="H41" s="1005"/>
      <c r="J41" s="100"/>
      <c r="K41" s="920"/>
      <c r="L41" s="129"/>
      <c r="M41" s="900"/>
      <c r="N41" s="900"/>
      <c r="O41" s="129"/>
      <c r="P41" s="921"/>
      <c r="Q41" s="1009"/>
      <c r="R41" s="1010"/>
      <c r="S41" s="1011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97"/>
      <c r="AE41" s="97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275"/>
      <c r="AT41" s="275"/>
      <c r="AU41" s="275"/>
      <c r="AV41" s="275"/>
      <c r="AW41" s="275"/>
      <c r="AX41" s="275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276"/>
      <c r="BN41" s="277"/>
      <c r="BO41" s="277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278"/>
      <c r="CD41" s="42"/>
      <c r="CE41" s="211"/>
      <c r="CF41" s="42"/>
      <c r="CG41" s="42"/>
      <c r="CH41" s="42"/>
      <c r="CI41" s="42"/>
      <c r="CJ41" s="42"/>
      <c r="CK41" s="42"/>
      <c r="CL41" s="42"/>
      <c r="CM41" s="42"/>
      <c r="CN41" s="261"/>
      <c r="CO41" s="29"/>
      <c r="CP41" s="30"/>
    </row>
    <row r="42" spans="1:94" ht="21" x14ac:dyDescent="0.3">
      <c r="A42" s="270"/>
      <c r="B42" s="900"/>
      <c r="C42" s="924"/>
      <c r="D42" s="925"/>
      <c r="E42" s="92" t="s">
        <v>222</v>
      </c>
      <c r="F42" s="98">
        <v>1</v>
      </c>
      <c r="G42" s="250"/>
      <c r="H42" s="98">
        <v>2</v>
      </c>
      <c r="J42" s="255"/>
      <c r="K42" s="920"/>
      <c r="L42" s="129"/>
      <c r="M42" s="900"/>
      <c r="N42" s="900"/>
      <c r="O42" s="129"/>
      <c r="P42" s="921"/>
      <c r="Q42" s="1009"/>
      <c r="R42" s="1010"/>
      <c r="S42" s="1011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31"/>
      <c r="AE42" s="31"/>
      <c r="AF42" s="280"/>
      <c r="AG42" s="40"/>
      <c r="AH42" s="31"/>
      <c r="AI42" s="31"/>
      <c r="AJ42" s="281"/>
      <c r="AK42" s="281"/>
      <c r="AL42" s="281"/>
      <c r="AM42" s="281"/>
      <c r="AN42" s="40"/>
      <c r="AO42" s="40"/>
      <c r="AP42" s="40"/>
      <c r="AQ42" s="40"/>
      <c r="AR42" s="40"/>
      <c r="AS42" s="54"/>
      <c r="AT42" s="54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54"/>
      <c r="BM42" s="97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208"/>
      <c r="CD42" s="42"/>
      <c r="CE42" s="282"/>
      <c r="CF42" s="42"/>
      <c r="CG42" s="42"/>
      <c r="CH42" s="42"/>
      <c r="CI42" s="42"/>
      <c r="CJ42" s="42"/>
      <c r="CK42" s="42"/>
      <c r="CL42" s="42"/>
      <c r="CM42" s="42"/>
      <c r="CN42" s="261"/>
      <c r="CO42" s="29"/>
      <c r="CP42" s="30"/>
    </row>
    <row r="43" spans="1:94" ht="21.75" thickBot="1" x14ac:dyDescent="0.3">
      <c r="A43" s="270"/>
      <c r="B43" s="923"/>
      <c r="C43" s="923"/>
      <c r="D43" s="926"/>
      <c r="E43" s="283"/>
      <c r="F43" s="284"/>
      <c r="G43" s="285"/>
      <c r="H43" s="284"/>
      <c r="I43" s="283"/>
      <c r="J43" s="88"/>
      <c r="K43" s="922"/>
      <c r="L43" s="129"/>
      <c r="M43" s="900"/>
      <c r="N43" s="900"/>
      <c r="O43" s="129"/>
      <c r="P43" s="921"/>
      <c r="Q43" s="1009"/>
      <c r="R43" s="1010"/>
      <c r="S43" s="1011"/>
      <c r="T43" s="29"/>
      <c r="U43" s="34"/>
      <c r="V43" s="34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6"/>
      <c r="AO43" s="942"/>
      <c r="AP43" s="40"/>
      <c r="AQ43" s="54"/>
      <c r="AR43" s="54"/>
      <c r="AS43" s="54"/>
      <c r="AT43" s="54"/>
      <c r="BB43" s="54"/>
      <c r="BC43" s="54"/>
      <c r="BD43" s="54"/>
      <c r="BE43" s="97"/>
      <c r="BF43" s="97"/>
      <c r="BG43" s="97"/>
      <c r="BH43" s="97"/>
      <c r="BI43" s="97"/>
      <c r="BJ43" s="97"/>
      <c r="BK43" s="97"/>
      <c r="BL43" s="54"/>
      <c r="BM43" s="54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208"/>
      <c r="CD43" s="42"/>
      <c r="CE43" s="282"/>
      <c r="CF43" s="42"/>
      <c r="CG43" s="42"/>
      <c r="CH43" s="42"/>
      <c r="CI43" s="42"/>
      <c r="CJ43" s="42"/>
      <c r="CK43" s="42"/>
      <c r="CL43" s="42"/>
      <c r="CM43" s="42"/>
      <c r="CN43" s="278"/>
      <c r="CO43" s="29"/>
      <c r="CP43" s="30"/>
    </row>
    <row r="44" spans="1:94" ht="21" x14ac:dyDescent="0.25">
      <c r="A44" s="270"/>
      <c r="B44" s="900"/>
      <c r="C44" s="924"/>
      <c r="D44" s="925"/>
      <c r="E44" s="284"/>
      <c r="F44" s="863">
        <v>100</v>
      </c>
      <c r="G44" s="284"/>
      <c r="H44" s="862">
        <v>100</v>
      </c>
      <c r="I44" s="284"/>
      <c r="J44" s="255"/>
      <c r="K44" s="922"/>
      <c r="L44" s="129"/>
      <c r="M44" s="900"/>
      <c r="N44" s="900"/>
      <c r="O44" s="129"/>
      <c r="P44" s="921"/>
      <c r="Q44" s="1009"/>
      <c r="R44" s="1010"/>
      <c r="S44" s="1011"/>
      <c r="T44" s="1017"/>
      <c r="U44" s="1017"/>
      <c r="V44" s="1017"/>
      <c r="W44" s="1017"/>
      <c r="X44" s="1017"/>
      <c r="Y44" s="1017"/>
      <c r="Z44" s="1017"/>
      <c r="AA44" s="1017"/>
      <c r="AB44" s="1018"/>
      <c r="AC44" s="943"/>
      <c r="AD44" s="943"/>
      <c r="AE44" s="943"/>
      <c r="AF44" s="944"/>
      <c r="AG44" s="59"/>
      <c r="AH44" s="943"/>
      <c r="AI44" s="943"/>
      <c r="AJ44" s="945"/>
      <c r="AK44" s="945"/>
      <c r="AL44" s="945"/>
      <c r="AM44" s="945"/>
      <c r="AN44" s="406"/>
      <c r="AO44" s="902"/>
      <c r="AP44" s="40"/>
      <c r="AQ44" s="54"/>
      <c r="AR44" s="54"/>
      <c r="AS44" s="54"/>
      <c r="AT44" s="54"/>
      <c r="BB44" s="54"/>
      <c r="BC44" s="54"/>
      <c r="BD44" s="54"/>
      <c r="BE44" s="31"/>
      <c r="BF44" s="31"/>
      <c r="BG44" s="31"/>
      <c r="BH44" s="31"/>
      <c r="BI44" s="31"/>
      <c r="BJ44" s="31"/>
      <c r="BK44" s="31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278"/>
      <c r="CD44" s="42"/>
      <c r="CE44" s="282"/>
      <c r="CF44" s="42"/>
      <c r="CG44" s="54"/>
      <c r="CH44" s="54"/>
      <c r="CI44" s="54"/>
      <c r="CJ44" s="54"/>
      <c r="CK44" s="54"/>
      <c r="CL44" s="54"/>
      <c r="CM44" s="54"/>
      <c r="CN44" s="278"/>
      <c r="CO44" s="29"/>
      <c r="CP44" s="30"/>
    </row>
    <row r="45" spans="1:94" ht="21.75" thickBot="1" x14ac:dyDescent="0.3">
      <c r="A45" s="270"/>
      <c r="B45" s="923"/>
      <c r="C45" s="923"/>
      <c r="D45" s="926"/>
      <c r="E45" s="290"/>
      <c r="F45" s="867">
        <v>100</v>
      </c>
      <c r="G45" s="284"/>
      <c r="H45" s="868">
        <v>100</v>
      </c>
      <c r="I45" s="290"/>
      <c r="J45" s="255"/>
      <c r="K45" s="406"/>
      <c r="L45" s="406"/>
      <c r="M45" s="129"/>
      <c r="N45" s="129"/>
      <c r="O45" s="406"/>
      <c r="P45" s="871"/>
      <c r="Q45" s="1009"/>
      <c r="R45" s="1010"/>
      <c r="S45" s="1011"/>
      <c r="T45" s="1019"/>
      <c r="U45" s="1019"/>
      <c r="V45" s="1019"/>
      <c r="W45" s="1019"/>
      <c r="X45" s="1019"/>
      <c r="Y45" s="1019"/>
      <c r="Z45" s="1019"/>
      <c r="AA45" s="1019"/>
      <c r="AB45" s="1020"/>
      <c r="AC45" s="946"/>
      <c r="AD45" s="946"/>
      <c r="AE45" s="946"/>
      <c r="AF45" s="946"/>
      <c r="AG45" s="946"/>
      <c r="AH45" s="946"/>
      <c r="AI45" s="946"/>
      <c r="AJ45" s="946"/>
      <c r="AK45" s="946"/>
      <c r="AL45" s="946"/>
      <c r="AM45" s="946"/>
      <c r="AN45" s="406"/>
      <c r="AO45" s="902"/>
      <c r="AP45" s="40"/>
      <c r="AQ45" s="54"/>
      <c r="AR45" s="54"/>
      <c r="AS45" s="54"/>
      <c r="AT45" s="54"/>
      <c r="BB45" s="54"/>
      <c r="BC45" s="31"/>
      <c r="BD45" s="54"/>
      <c r="BE45" s="31"/>
      <c r="BF45" s="31"/>
      <c r="BG45" s="31"/>
      <c r="BH45" s="31"/>
      <c r="BI45" s="31"/>
      <c r="BJ45" s="31"/>
      <c r="BK45" s="31"/>
      <c r="BL45" s="54"/>
      <c r="BM45" s="54"/>
      <c r="BN45" s="54"/>
      <c r="BO45" s="54"/>
      <c r="BP45" s="54"/>
      <c r="BQ45" s="54"/>
      <c r="BR45" s="54"/>
      <c r="BS45" s="31"/>
      <c r="BT45" s="54"/>
      <c r="BU45" s="54"/>
      <c r="BV45" s="54"/>
      <c r="BW45" s="54"/>
      <c r="BX45" s="54"/>
      <c r="BY45" s="54"/>
      <c r="BZ45" s="54"/>
      <c r="CA45" s="54"/>
      <c r="CB45" s="54"/>
      <c r="CC45" s="278"/>
      <c r="CD45" s="42"/>
      <c r="CE45" s="294"/>
      <c r="CF45" s="64"/>
      <c r="CG45" s="64"/>
      <c r="CH45" s="64"/>
      <c r="CI45" s="64"/>
      <c r="CJ45" s="64"/>
      <c r="CK45" s="64"/>
      <c r="CL45" s="64"/>
      <c r="CM45" s="64"/>
      <c r="CN45" s="259"/>
      <c r="CO45" s="29"/>
      <c r="CP45" s="30"/>
    </row>
    <row r="46" spans="1:94" ht="21" x14ac:dyDescent="0.25">
      <c r="A46" s="270"/>
      <c r="B46" s="900"/>
      <c r="C46" s="924"/>
      <c r="D46" s="926"/>
      <c r="E46" s="295"/>
      <c r="F46" s="284"/>
      <c r="G46" s="285"/>
      <c r="H46" s="284"/>
      <c r="I46" s="295"/>
      <c r="J46" s="255"/>
      <c r="K46" s="406"/>
      <c r="L46" s="406"/>
      <c r="M46" s="406"/>
      <c r="N46" s="406"/>
      <c r="O46" s="871"/>
      <c r="P46" s="406"/>
      <c r="Q46" s="1009"/>
      <c r="R46" s="1010"/>
      <c r="S46" s="1011"/>
      <c r="T46" s="1019"/>
      <c r="U46" s="1019"/>
      <c r="V46" s="1019"/>
      <c r="W46" s="1019"/>
      <c r="X46" s="1019"/>
      <c r="Y46" s="1019"/>
      <c r="Z46" s="1019"/>
      <c r="AA46" s="1019"/>
      <c r="AB46" s="1020"/>
      <c r="AC46" s="947"/>
      <c r="AD46" s="948"/>
      <c r="AE46" s="1351"/>
      <c r="AF46" s="1352"/>
      <c r="AG46" s="1352"/>
      <c r="AH46" s="1352"/>
      <c r="AI46" s="1352"/>
      <c r="AJ46" s="1352"/>
      <c r="AK46" s="1352"/>
      <c r="AL46" s="1352"/>
      <c r="AM46" s="1353"/>
      <c r="AN46" s="406"/>
      <c r="AO46" s="902"/>
      <c r="AP46" s="40"/>
      <c r="AQ46" s="54"/>
      <c r="AR46" s="54"/>
      <c r="AS46" s="54"/>
      <c r="AT46" s="54"/>
      <c r="BB46" s="54"/>
      <c r="BC46" s="54"/>
      <c r="BD46" s="298"/>
      <c r="BE46" s="275"/>
      <c r="BF46" s="275"/>
      <c r="BG46" s="275"/>
      <c r="BJ46" s="275"/>
      <c r="BK46" s="275"/>
      <c r="BL46" s="54"/>
      <c r="BM46" s="275"/>
      <c r="BN46" s="275"/>
      <c r="BO46" s="54"/>
      <c r="BP46" s="54"/>
      <c r="BQ46" s="54"/>
      <c r="BR46" s="54"/>
      <c r="BS46" s="31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9"/>
      <c r="CO46" s="29"/>
      <c r="CP46" s="30"/>
    </row>
    <row r="47" spans="1:94" x14ac:dyDescent="0.25">
      <c r="A47" s="270"/>
      <c r="B47" s="923"/>
      <c r="C47" s="406"/>
      <c r="D47" s="926"/>
      <c r="E47" s="95"/>
      <c r="F47" s="98">
        <v>4</v>
      </c>
      <c r="G47" s="250"/>
      <c r="H47" s="98">
        <v>3</v>
      </c>
      <c r="I47" s="95"/>
      <c r="J47" s="255"/>
      <c r="K47" s="406"/>
      <c r="L47" s="406"/>
      <c r="M47" s="406"/>
      <c r="N47" s="406"/>
      <c r="O47" s="871"/>
      <c r="P47" s="406"/>
      <c r="Q47" s="1009"/>
      <c r="R47" s="1010"/>
      <c r="S47" s="1011"/>
      <c r="T47" s="1019"/>
      <c r="U47" s="1019"/>
      <c r="V47" s="1019"/>
      <c r="W47" s="1019"/>
      <c r="X47" s="1019"/>
      <c r="Y47" s="1019"/>
      <c r="Z47" s="1019"/>
      <c r="AA47" s="1019"/>
      <c r="AB47" s="1020"/>
      <c r="AC47" s="242"/>
      <c r="AD47" s="242"/>
      <c r="AE47" s="1023"/>
      <c r="AF47" s="1024"/>
      <c r="AG47" s="1024"/>
      <c r="AH47" s="1024"/>
      <c r="AI47" s="1024"/>
      <c r="AJ47" s="1024"/>
      <c r="AK47" s="1024"/>
      <c r="AL47" s="1024"/>
      <c r="AM47" s="1025"/>
      <c r="AN47" s="406"/>
      <c r="AO47" s="902"/>
      <c r="AP47" s="54"/>
      <c r="AQ47" s="54"/>
      <c r="AR47" s="54"/>
      <c r="AS47" s="54"/>
      <c r="AT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278"/>
      <c r="CO47" s="29"/>
      <c r="CP47" s="30"/>
    </row>
    <row r="48" spans="1:94" ht="15.75" x14ac:dyDescent="0.25">
      <c r="A48" s="270"/>
      <c r="B48" s="1029"/>
      <c r="C48" s="1030"/>
      <c r="D48" s="926"/>
      <c r="J48" s="255"/>
      <c r="K48" s="238"/>
      <c r="L48" s="255"/>
      <c r="M48" s="255"/>
      <c r="N48" s="255"/>
      <c r="O48" s="100"/>
      <c r="P48" s="100"/>
      <c r="Q48" s="1009"/>
      <c r="R48" s="1010"/>
      <c r="S48" s="1011"/>
      <c r="T48" s="1019"/>
      <c r="U48" s="1019"/>
      <c r="V48" s="1019"/>
      <c r="W48" s="1019"/>
      <c r="X48" s="1019"/>
      <c r="Y48" s="1019"/>
      <c r="Z48" s="1019"/>
      <c r="AA48" s="1019"/>
      <c r="AB48" s="1020"/>
      <c r="AC48" s="242"/>
      <c r="AD48" s="242"/>
      <c r="AE48" s="1026"/>
      <c r="AF48" s="1027"/>
      <c r="AG48" s="1027"/>
      <c r="AH48" s="1027"/>
      <c r="AI48" s="1027"/>
      <c r="AJ48" s="1027"/>
      <c r="AK48" s="1027"/>
      <c r="AL48" s="1027"/>
      <c r="AM48" s="1028"/>
      <c r="AN48" s="406"/>
      <c r="AO48" s="902"/>
      <c r="AP48" s="54"/>
      <c r="AQ48" s="54"/>
      <c r="AR48" s="54"/>
      <c r="AS48" s="54"/>
      <c r="AT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278"/>
      <c r="CO48" s="29"/>
      <c r="CP48" s="30"/>
    </row>
    <row r="49" spans="1:94" x14ac:dyDescent="0.25">
      <c r="A49" s="270"/>
      <c r="B49" s="927"/>
      <c r="C49" s="927"/>
      <c r="D49" s="926"/>
      <c r="E49" s="406"/>
      <c r="F49" s="406"/>
      <c r="G49" s="406"/>
      <c r="H49" s="406"/>
      <c r="I49" s="406"/>
      <c r="J49" s="406"/>
      <c r="L49" s="255"/>
      <c r="M49" s="255"/>
      <c r="N49" s="255"/>
      <c r="O49" s="100"/>
      <c r="P49" s="255"/>
      <c r="Q49" s="1009"/>
      <c r="R49" s="1010"/>
      <c r="S49" s="1011"/>
      <c r="T49" s="1019"/>
      <c r="U49" s="1019"/>
      <c r="V49" s="1019"/>
      <c r="W49" s="1019"/>
      <c r="X49" s="1019"/>
      <c r="Y49" s="1019"/>
      <c r="Z49" s="1019"/>
      <c r="AA49" s="1019"/>
      <c r="AB49" s="1020"/>
      <c r="AC49" s="242"/>
      <c r="AD49" s="242"/>
      <c r="AE49" s="242"/>
      <c r="AF49" s="242"/>
      <c r="AG49" s="242"/>
      <c r="AH49" s="242"/>
      <c r="AI49" s="242"/>
      <c r="AJ49" s="242"/>
      <c r="AK49" s="1354"/>
      <c r="AL49" s="1352"/>
      <c r="AM49" s="1355"/>
      <c r="AN49" s="406"/>
      <c r="AO49" s="902"/>
      <c r="AP49" s="54"/>
      <c r="AQ49" s="54"/>
      <c r="AR49" s="54"/>
      <c r="AS49" s="54"/>
      <c r="AT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278"/>
      <c r="CO49" s="29"/>
      <c r="CP49" s="30"/>
    </row>
    <row r="50" spans="1:94" ht="20.25" x14ac:dyDescent="0.25">
      <c r="A50" s="270"/>
      <c r="B50" s="927"/>
      <c r="C50" s="927"/>
      <c r="D50" s="406"/>
      <c r="E50" s="926"/>
      <c r="F50" s="263"/>
      <c r="G50" s="263"/>
      <c r="H50" s="263"/>
      <c r="I50" s="263"/>
      <c r="J50" s="406"/>
      <c r="L50" s="255"/>
      <c r="M50" s="255"/>
      <c r="N50" s="255"/>
      <c r="O50" s="255"/>
      <c r="P50" s="255"/>
      <c r="Q50" s="1009"/>
      <c r="R50" s="1010"/>
      <c r="S50" s="1011"/>
      <c r="T50" s="1019"/>
      <c r="U50" s="1019"/>
      <c r="V50" s="1019"/>
      <c r="W50" s="1019"/>
      <c r="X50" s="1019"/>
      <c r="Y50" s="1019"/>
      <c r="Z50" s="1019"/>
      <c r="AA50" s="1019"/>
      <c r="AB50" s="1020"/>
      <c r="AC50" s="242"/>
      <c r="AD50" s="242"/>
      <c r="AE50" s="242"/>
      <c r="AF50" s="242"/>
      <c r="AG50" s="242"/>
      <c r="AH50" s="242"/>
      <c r="AI50" s="242"/>
      <c r="AJ50" s="242"/>
      <c r="AK50" s="1031"/>
      <c r="AL50" s="1024"/>
      <c r="AM50" s="1032"/>
      <c r="AN50" s="406"/>
      <c r="AO50" s="902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278"/>
      <c r="CO50" s="302"/>
      <c r="CP50" s="30"/>
    </row>
    <row r="51" spans="1:94" x14ac:dyDescent="0.25">
      <c r="A51" s="270"/>
      <c r="C51" s="255"/>
      <c r="E51" s="926"/>
      <c r="F51" s="927"/>
      <c r="G51" s="927"/>
      <c r="H51" s="927"/>
      <c r="I51" s="406"/>
      <c r="J51" s="406"/>
      <c r="L51" s="255"/>
      <c r="M51" s="255"/>
      <c r="N51" s="255"/>
      <c r="Q51" s="1009"/>
      <c r="R51" s="1010"/>
      <c r="S51" s="1011"/>
      <c r="T51" s="1019"/>
      <c r="U51" s="1019"/>
      <c r="V51" s="1019"/>
      <c r="W51" s="1019"/>
      <c r="X51" s="1019"/>
      <c r="Y51" s="1019"/>
      <c r="Z51" s="1019"/>
      <c r="AA51" s="1019"/>
      <c r="AB51" s="1020"/>
      <c r="AC51" s="1356"/>
      <c r="AD51" s="1357"/>
      <c r="AE51" s="1357"/>
      <c r="AF51" s="1357"/>
      <c r="AG51" s="1357"/>
      <c r="AH51" s="1357"/>
      <c r="AI51" s="1357"/>
      <c r="AJ51" s="1358"/>
      <c r="AK51" s="1031"/>
      <c r="AL51" s="1024"/>
      <c r="AM51" s="1032"/>
      <c r="AN51" s="406"/>
      <c r="AO51" s="949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303"/>
      <c r="CO51" s="302"/>
      <c r="CP51" s="30"/>
    </row>
    <row r="52" spans="1:94" ht="18.75" x14ac:dyDescent="0.25">
      <c r="A52" s="270"/>
      <c r="B52" s="927"/>
      <c r="C52" s="927"/>
      <c r="D52" s="406"/>
      <c r="E52" s="896"/>
      <c r="F52" s="928"/>
      <c r="G52" s="928"/>
      <c r="H52" s="928"/>
      <c r="I52" s="898"/>
      <c r="J52" s="406"/>
      <c r="L52" s="255"/>
      <c r="M52" s="255"/>
      <c r="N52" s="255"/>
      <c r="Q52" s="1009"/>
      <c r="R52" s="1010"/>
      <c r="S52" s="1011"/>
      <c r="T52" s="1019"/>
      <c r="U52" s="1019"/>
      <c r="V52" s="1019"/>
      <c r="W52" s="1019"/>
      <c r="X52" s="1019"/>
      <c r="Y52" s="1019"/>
      <c r="Z52" s="1019"/>
      <c r="AA52" s="1019"/>
      <c r="AB52" s="1020"/>
      <c r="AC52" s="1035"/>
      <c r="AD52" s="1019"/>
      <c r="AE52" s="1019"/>
      <c r="AF52" s="1019"/>
      <c r="AG52" s="1019"/>
      <c r="AH52" s="1019"/>
      <c r="AI52" s="1019"/>
      <c r="AJ52" s="1036"/>
      <c r="AK52" s="1033"/>
      <c r="AL52" s="1027"/>
      <c r="AM52" s="1034"/>
      <c r="AN52" s="406"/>
      <c r="AO52" s="949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303"/>
      <c r="CO52" s="302"/>
      <c r="CP52" s="30"/>
    </row>
    <row r="53" spans="1:94" ht="15.75" x14ac:dyDescent="0.25">
      <c r="A53" s="270"/>
      <c r="B53" s="255"/>
      <c r="C53" s="255"/>
      <c r="D53" s="406"/>
      <c r="E53" s="926"/>
      <c r="F53" s="900"/>
      <c r="G53" s="900"/>
      <c r="H53" s="900"/>
      <c r="I53" s="406"/>
      <c r="J53" s="406"/>
      <c r="L53" s="255"/>
      <c r="M53" s="255"/>
      <c r="N53" s="255"/>
      <c r="Q53" s="1009"/>
      <c r="R53" s="1010"/>
      <c r="S53" s="1011"/>
      <c r="T53" s="1019"/>
      <c r="U53" s="1019"/>
      <c r="V53" s="1019"/>
      <c r="W53" s="1019"/>
      <c r="X53" s="1019"/>
      <c r="Y53" s="1019"/>
      <c r="Z53" s="1019"/>
      <c r="AA53" s="1019"/>
      <c r="AB53" s="1020"/>
      <c r="AC53" s="1035"/>
      <c r="AD53" s="1019"/>
      <c r="AE53" s="1019"/>
      <c r="AF53" s="1019"/>
      <c r="AG53" s="1019"/>
      <c r="AH53" s="1019"/>
      <c r="AI53" s="1019"/>
      <c r="AJ53" s="1036"/>
      <c r="AK53" s="1359"/>
      <c r="AL53" s="1360"/>
      <c r="AM53" s="1361"/>
      <c r="AN53" s="406"/>
      <c r="AO53" s="949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303"/>
      <c r="CO53" s="302"/>
      <c r="CP53" s="30"/>
    </row>
    <row r="54" spans="1:94" ht="16.5" thickBot="1" x14ac:dyDescent="0.3">
      <c r="A54" s="1001"/>
      <c r="B54" s="927"/>
      <c r="C54" s="927"/>
      <c r="D54" s="406"/>
      <c r="E54" s="925"/>
      <c r="F54" s="900"/>
      <c r="G54" s="900"/>
      <c r="H54" s="900"/>
      <c r="I54" s="406"/>
      <c r="J54" s="406"/>
      <c r="L54" s="255"/>
      <c r="M54" s="255"/>
      <c r="N54" s="255"/>
      <c r="Q54" s="1009"/>
      <c r="R54" s="1010"/>
      <c r="S54" s="1011"/>
      <c r="T54" s="1021"/>
      <c r="U54" s="1021"/>
      <c r="V54" s="1021"/>
      <c r="W54" s="1021"/>
      <c r="X54" s="1021"/>
      <c r="Y54" s="1021"/>
      <c r="Z54" s="1021"/>
      <c r="AA54" s="1021"/>
      <c r="AB54" s="1022"/>
      <c r="AC54" s="1035"/>
      <c r="AD54" s="1019"/>
      <c r="AE54" s="1019"/>
      <c r="AF54" s="1019"/>
      <c r="AG54" s="1019"/>
      <c r="AH54" s="1019"/>
      <c r="AI54" s="1019"/>
      <c r="AJ54" s="1036"/>
      <c r="AK54" s="1037"/>
      <c r="AL54" s="1038"/>
      <c r="AM54" s="1039"/>
      <c r="AN54" s="406"/>
      <c r="AO54" s="406"/>
      <c r="CO54" s="302"/>
      <c r="CP54" s="30"/>
    </row>
    <row r="55" spans="1:94" ht="15.75" x14ac:dyDescent="0.25">
      <c r="A55" s="1001"/>
      <c r="B55" s="1002"/>
      <c r="C55" s="927"/>
      <c r="D55" s="406"/>
      <c r="E55" s="882"/>
      <c r="F55" s="928"/>
      <c r="G55" s="928"/>
      <c r="H55" s="928"/>
      <c r="I55" s="406"/>
      <c r="J55" s="406"/>
      <c r="Q55" s="1009"/>
      <c r="R55" s="1010"/>
      <c r="S55" s="1011"/>
      <c r="T55" s="29"/>
      <c r="U55" s="29"/>
      <c r="V55" s="29"/>
      <c r="W55" s="29"/>
      <c r="X55" s="29"/>
      <c r="Y55" s="29"/>
      <c r="Z55" s="29"/>
      <c r="AA55" s="2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09"/>
      <c r="BK55" s="309"/>
      <c r="BL55" s="309"/>
      <c r="BM55" s="309"/>
      <c r="BN55" s="309"/>
      <c r="BO55" s="309"/>
      <c r="BP55" s="309"/>
      <c r="BQ55" s="309"/>
      <c r="BR55" s="309"/>
      <c r="BS55" s="309"/>
      <c r="BT55" s="309"/>
      <c r="BU55" s="309"/>
      <c r="BV55" s="309"/>
      <c r="BW55" s="309"/>
      <c r="BX55" s="309"/>
      <c r="BY55" s="309"/>
      <c r="BZ55" s="309"/>
      <c r="CA55" s="309"/>
      <c r="CB55" s="309"/>
      <c r="CC55" s="309"/>
      <c r="CD55" s="309"/>
      <c r="CE55" s="309"/>
      <c r="CF55" s="309"/>
      <c r="CG55" s="309"/>
      <c r="CH55" s="309"/>
      <c r="CI55" s="309"/>
      <c r="CJ55" s="309"/>
      <c r="CK55" s="309"/>
      <c r="CL55" s="309"/>
      <c r="CM55" s="309"/>
      <c r="CN55" s="309"/>
      <c r="CO55" s="29"/>
      <c r="CP55" s="29"/>
    </row>
    <row r="56" spans="1:94" ht="15.75" x14ac:dyDescent="0.25">
      <c r="A56" s="1001"/>
      <c r="B56" s="1002"/>
      <c r="C56" s="927"/>
      <c r="D56" s="406"/>
      <c r="E56" s="882"/>
      <c r="F56" s="927"/>
      <c r="G56" s="927"/>
      <c r="H56" s="927"/>
      <c r="I56" s="927"/>
      <c r="J56" s="406"/>
      <c r="Q56" s="1009"/>
      <c r="R56" s="1010"/>
      <c r="S56" s="1011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</row>
    <row r="57" spans="1:94" ht="15.75" x14ac:dyDescent="0.25">
      <c r="A57" s="1001"/>
      <c r="B57" s="1002"/>
      <c r="C57" s="927"/>
      <c r="D57" s="934"/>
      <c r="E57" s="882"/>
      <c r="F57" s="406"/>
      <c r="G57" s="406"/>
      <c r="H57" s="406"/>
      <c r="I57" s="406"/>
      <c r="J57" s="927"/>
      <c r="Q57" s="1009"/>
      <c r="R57" s="1010"/>
      <c r="S57" s="1011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</row>
    <row r="58" spans="1:94" x14ac:dyDescent="0.25">
      <c r="A58" s="1001"/>
      <c r="B58" s="927"/>
      <c r="C58" s="927"/>
      <c r="D58" s="406"/>
      <c r="E58" s="47"/>
      <c r="Q58" s="1009"/>
      <c r="R58" s="1010"/>
      <c r="S58" s="1011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11"/>
      <c r="CD58" s="311"/>
      <c r="CE58" s="311"/>
      <c r="CF58" s="311"/>
      <c r="CG58" s="311"/>
      <c r="CH58" s="311"/>
      <c r="CI58" s="311"/>
      <c r="CJ58" s="311"/>
      <c r="CK58" s="311"/>
      <c r="CL58" s="40"/>
      <c r="CM58" s="40"/>
      <c r="CN58" s="40"/>
      <c r="CO58" s="29"/>
      <c r="CP58" s="29"/>
    </row>
    <row r="59" spans="1:94" x14ac:dyDescent="0.25">
      <c r="A59" s="1001"/>
      <c r="B59" s="923"/>
      <c r="C59" s="406"/>
      <c r="D59" s="406"/>
      <c r="E59" s="255"/>
      <c r="F59" s="312"/>
      <c r="Q59" s="1009"/>
      <c r="R59" s="1010"/>
      <c r="S59" s="1011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311"/>
      <c r="AP59" s="311"/>
      <c r="AQ59" s="311"/>
      <c r="AR59" s="311"/>
      <c r="AS59" s="311"/>
      <c r="AT59" s="311"/>
      <c r="AU59" s="311"/>
      <c r="AV59" s="311"/>
      <c r="AW59" s="311"/>
      <c r="AX59" s="311"/>
      <c r="AY59" s="311"/>
      <c r="AZ59" s="311"/>
      <c r="BA59" s="311"/>
      <c r="BB59" s="311"/>
      <c r="BC59" s="311"/>
      <c r="BD59" s="311"/>
      <c r="BE59" s="311"/>
      <c r="BF59" s="311"/>
      <c r="BG59" s="311"/>
      <c r="BH59" s="311"/>
      <c r="BI59" s="311"/>
      <c r="BJ59" s="311"/>
      <c r="BK59" s="311"/>
      <c r="BL59" s="311"/>
      <c r="BM59" s="311"/>
      <c r="BN59" s="311"/>
      <c r="BO59" s="311"/>
      <c r="BP59" s="311"/>
      <c r="BQ59" s="311"/>
      <c r="BR59" s="311"/>
      <c r="BS59" s="311"/>
      <c r="BT59" s="311"/>
      <c r="BU59" s="311"/>
      <c r="BV59" s="311"/>
      <c r="BW59" s="311"/>
      <c r="BX59" s="311"/>
      <c r="BY59" s="311"/>
      <c r="BZ59" s="311"/>
      <c r="CA59" s="311"/>
      <c r="CB59" s="311"/>
      <c r="CC59" s="311"/>
      <c r="CD59" s="311"/>
      <c r="CE59" s="311"/>
      <c r="CF59" s="311"/>
      <c r="CG59" s="311"/>
      <c r="CH59" s="311"/>
      <c r="CI59" s="311"/>
      <c r="CJ59" s="311"/>
      <c r="CK59" s="311"/>
      <c r="CL59" s="40"/>
      <c r="CM59" s="40"/>
      <c r="CN59" s="40"/>
      <c r="CO59" s="29"/>
      <c r="CP59" s="29"/>
    </row>
    <row r="60" spans="1:94" ht="15.75" x14ac:dyDescent="0.25">
      <c r="A60" s="1001"/>
      <c r="B60" s="893"/>
      <c r="C60" s="406"/>
      <c r="D60" s="406"/>
      <c r="E60" s="927"/>
      <c r="F60" s="923"/>
      <c r="G60" s="406"/>
      <c r="H60" s="406"/>
      <c r="I60" s="406"/>
      <c r="J60" s="100"/>
      <c r="K60" s="100"/>
      <c r="L60" s="100"/>
      <c r="M60" s="100"/>
      <c r="Q60" s="1009"/>
      <c r="R60" s="1010"/>
      <c r="S60" s="1011"/>
      <c r="T60" s="311"/>
      <c r="U60" s="311"/>
      <c r="V60" s="311"/>
      <c r="W60" s="311"/>
      <c r="X60" s="311"/>
      <c r="Y60" s="311"/>
      <c r="Z60" s="311"/>
      <c r="AA60" s="311"/>
      <c r="AB60" s="311"/>
      <c r="AC60" s="313"/>
      <c r="AD60" s="313"/>
      <c r="AE60" s="313"/>
      <c r="AF60" s="313"/>
      <c r="AG60" s="313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311"/>
      <c r="AX60" s="311"/>
      <c r="AY60" s="311"/>
      <c r="AZ60" s="311"/>
      <c r="BA60" s="311"/>
      <c r="BB60" s="311"/>
      <c r="BC60" s="311"/>
      <c r="BD60" s="311"/>
      <c r="BE60" s="311"/>
      <c r="BF60" s="311"/>
      <c r="BG60" s="311"/>
      <c r="BH60" s="311"/>
      <c r="BI60" s="311"/>
      <c r="BJ60" s="311"/>
      <c r="BK60" s="311"/>
      <c r="BL60" s="311"/>
      <c r="BM60" s="311"/>
      <c r="BN60" s="311"/>
      <c r="BO60" s="311"/>
      <c r="BP60" s="311"/>
      <c r="BQ60" s="311"/>
      <c r="BR60" s="311"/>
      <c r="BS60" s="311"/>
      <c r="BT60" s="311"/>
      <c r="BU60" s="311"/>
      <c r="BV60" s="311"/>
      <c r="BW60" s="311"/>
      <c r="BX60" s="311"/>
      <c r="BY60" s="311"/>
      <c r="BZ60" s="311"/>
      <c r="CA60" s="311"/>
      <c r="CB60" s="311"/>
      <c r="CC60" s="311"/>
      <c r="CD60" s="311"/>
      <c r="CE60" s="311"/>
      <c r="CF60" s="311"/>
      <c r="CG60" s="311"/>
      <c r="CH60" s="311"/>
      <c r="CI60" s="311"/>
      <c r="CJ60" s="311"/>
      <c r="CK60" s="311"/>
      <c r="CL60" s="40"/>
      <c r="CM60" s="40"/>
      <c r="CN60" s="40"/>
      <c r="CO60" s="29"/>
      <c r="CP60" s="29"/>
    </row>
    <row r="61" spans="1:94" ht="21" x14ac:dyDescent="0.25">
      <c r="A61" s="1001"/>
      <c r="B61" s="893"/>
      <c r="C61" s="406"/>
      <c r="D61" s="406"/>
      <c r="E61" s="406"/>
      <c r="F61" s="314"/>
      <c r="G61" s="406"/>
      <c r="H61" s="406"/>
      <c r="I61" s="406"/>
      <c r="J61" s="100"/>
      <c r="K61" s="100"/>
      <c r="L61" s="100"/>
      <c r="M61" s="100"/>
      <c r="Q61" s="1009"/>
      <c r="R61" s="1010"/>
      <c r="S61" s="1011"/>
      <c r="T61" s="311"/>
      <c r="U61" s="311"/>
      <c r="V61" s="311"/>
      <c r="W61" s="311"/>
      <c r="X61" s="311"/>
      <c r="Y61" s="29"/>
      <c r="Z61" s="29"/>
      <c r="AA61" s="29"/>
      <c r="AB61" s="29"/>
      <c r="AC61" s="313"/>
      <c r="AD61" s="313"/>
      <c r="AE61" s="313"/>
      <c r="AF61" s="313"/>
      <c r="AG61" s="313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/>
      <c r="AX61" s="311"/>
      <c r="AY61" s="311"/>
      <c r="AZ61" s="311"/>
      <c r="BA61" s="311"/>
      <c r="BB61" s="311"/>
      <c r="BC61" s="311"/>
      <c r="BD61" s="311"/>
      <c r="BE61" s="311"/>
      <c r="BF61" s="311"/>
      <c r="BG61" s="311"/>
      <c r="BH61" s="311"/>
      <c r="BI61" s="311"/>
      <c r="BJ61" s="311"/>
      <c r="BK61" s="311"/>
      <c r="BL61" s="311"/>
      <c r="BM61" s="311"/>
      <c r="BN61" s="311"/>
      <c r="BO61" s="311"/>
      <c r="BP61" s="311"/>
      <c r="BQ61" s="311"/>
      <c r="BR61" s="311"/>
      <c r="BS61" s="311"/>
      <c r="BT61" s="311"/>
      <c r="BU61" s="311"/>
      <c r="BV61" s="311"/>
      <c r="BW61" s="311"/>
      <c r="BX61" s="311"/>
      <c r="BY61" s="311"/>
      <c r="BZ61" s="311"/>
      <c r="CA61" s="311"/>
      <c r="CB61" s="311"/>
      <c r="CC61" s="311"/>
      <c r="CD61" s="311"/>
      <c r="CE61" s="311"/>
      <c r="CF61" s="311"/>
      <c r="CG61" s="311"/>
      <c r="CH61" s="311"/>
      <c r="CI61" s="311"/>
      <c r="CJ61" s="311"/>
      <c r="CK61" s="311"/>
      <c r="CL61" s="40"/>
      <c r="CM61" s="40"/>
      <c r="CN61" s="40"/>
      <c r="CO61" s="29"/>
      <c r="CP61" s="29"/>
    </row>
    <row r="62" spans="1:94" ht="21" x14ac:dyDescent="0.25">
      <c r="A62" s="1001"/>
      <c r="B62" s="961"/>
      <c r="C62" s="406"/>
      <c r="D62" s="406"/>
      <c r="E62" s="406"/>
      <c r="F62" s="1040"/>
      <c r="G62" s="1040"/>
      <c r="H62" s="1040"/>
      <c r="I62" s="314"/>
      <c r="J62" s="100"/>
      <c r="K62" s="100"/>
      <c r="L62" s="100"/>
      <c r="M62" s="100"/>
      <c r="P62" s="301"/>
      <c r="Q62" s="1009"/>
      <c r="R62" s="1010"/>
      <c r="S62" s="1011"/>
      <c r="T62" s="311"/>
      <c r="U62" s="311"/>
      <c r="V62" s="311"/>
      <c r="W62" s="311"/>
      <c r="X62" s="311"/>
      <c r="Y62" s="311"/>
      <c r="Z62" s="311"/>
      <c r="AA62" s="311"/>
      <c r="AB62" s="311"/>
      <c r="AJ62" s="311"/>
      <c r="AK62" s="311"/>
      <c r="AL62" s="311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1"/>
      <c r="AY62" s="311"/>
      <c r="AZ62" s="311"/>
      <c r="BA62" s="311"/>
      <c r="BB62" s="311"/>
      <c r="BC62" s="311"/>
      <c r="BD62" s="311"/>
      <c r="BE62" s="311"/>
      <c r="BF62" s="311"/>
      <c r="BG62" s="311"/>
      <c r="BH62" s="311"/>
      <c r="BI62" s="311"/>
      <c r="BJ62" s="311"/>
      <c r="BK62" s="311"/>
      <c r="BL62" s="311"/>
      <c r="BM62" s="311"/>
      <c r="BN62" s="311"/>
      <c r="BO62" s="311"/>
      <c r="BP62" s="311"/>
      <c r="BQ62" s="311"/>
      <c r="BR62" s="311"/>
      <c r="BS62" s="311"/>
      <c r="BT62" s="311"/>
      <c r="BU62" s="311"/>
      <c r="BV62" s="311"/>
      <c r="BW62" s="311"/>
      <c r="BX62" s="311"/>
      <c r="BY62" s="311"/>
      <c r="BZ62" s="311"/>
      <c r="CA62" s="311"/>
      <c r="CB62" s="311"/>
      <c r="CC62" s="311"/>
      <c r="CD62" s="311"/>
      <c r="CE62" s="311"/>
      <c r="CF62" s="311"/>
      <c r="CG62" s="311"/>
      <c r="CH62" s="311"/>
      <c r="CI62" s="311"/>
      <c r="CJ62" s="311"/>
      <c r="CK62" s="311"/>
      <c r="CL62" s="40"/>
      <c r="CM62" s="40"/>
      <c r="CN62" s="40"/>
      <c r="CO62" s="29"/>
      <c r="CP62" s="29"/>
    </row>
    <row r="63" spans="1:94" ht="18.75" x14ac:dyDescent="0.3">
      <c r="A63" s="1001"/>
      <c r="B63" s="961"/>
      <c r="C63" s="406"/>
      <c r="D63" s="406"/>
      <c r="E63" s="406"/>
      <c r="F63" s="126"/>
      <c r="G63" s="935"/>
      <c r="H63" s="935"/>
      <c r="I63" s="126"/>
      <c r="K63" s="92" t="s">
        <v>230</v>
      </c>
      <c r="L63" s="98">
        <v>1</v>
      </c>
      <c r="M63" s="250"/>
      <c r="N63" s="98">
        <v>2</v>
      </c>
      <c r="O63" s="250"/>
      <c r="Q63" s="1009"/>
      <c r="R63" s="1010"/>
      <c r="S63" s="1011"/>
      <c r="T63" s="311"/>
      <c r="V63" s="29"/>
      <c r="W63" s="29"/>
      <c r="X63" s="29"/>
      <c r="Y63" s="29"/>
      <c r="Z63" s="29"/>
      <c r="AA63" s="29"/>
      <c r="AB63" s="29"/>
      <c r="AJ63" s="311"/>
      <c r="AK63" s="311"/>
      <c r="AL63" s="311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  <c r="BG63" s="311"/>
      <c r="BH63" s="311"/>
      <c r="BI63" s="311"/>
      <c r="BJ63" s="311"/>
      <c r="BK63" s="311"/>
      <c r="BL63" s="311"/>
      <c r="BM63" s="311"/>
      <c r="BN63" s="311"/>
      <c r="BO63" s="311"/>
      <c r="BP63" s="311"/>
      <c r="BQ63" s="311"/>
      <c r="BR63" s="311"/>
      <c r="BS63" s="311"/>
      <c r="BT63" s="311"/>
      <c r="BU63" s="311"/>
      <c r="BV63" s="311"/>
      <c r="BW63" s="311"/>
      <c r="BX63" s="311"/>
      <c r="BY63" s="311"/>
      <c r="BZ63" s="311"/>
      <c r="CA63" s="311"/>
      <c r="CB63" s="311"/>
      <c r="CC63" s="311"/>
      <c r="CD63" s="311"/>
      <c r="CE63" s="311"/>
      <c r="CF63" s="311"/>
      <c r="CG63" s="311"/>
      <c r="CH63" s="311"/>
      <c r="CI63" s="311"/>
      <c r="CJ63" s="311"/>
      <c r="CK63" s="311"/>
      <c r="CL63" s="40"/>
      <c r="CM63" s="40"/>
      <c r="CN63" s="40"/>
      <c r="CO63" s="29"/>
      <c r="CP63" s="29"/>
    </row>
    <row r="64" spans="1:94" ht="21" x14ac:dyDescent="0.25">
      <c r="A64" s="270"/>
      <c r="B64" s="1003"/>
      <c r="C64" s="1004"/>
      <c r="D64" s="1004"/>
      <c r="E64" s="406"/>
      <c r="F64" s="247"/>
      <c r="G64" s="247"/>
      <c r="H64" s="247"/>
      <c r="I64" s="406"/>
      <c r="K64" s="283"/>
      <c r="L64" s="318"/>
      <c r="M64" s="285"/>
      <c r="N64" s="318"/>
      <c r="O64" s="285"/>
      <c r="Q64" s="1009"/>
      <c r="R64" s="1010"/>
      <c r="S64" s="1011"/>
      <c r="T64" s="311"/>
      <c r="V64" s="311"/>
      <c r="W64" s="311"/>
      <c r="X64" s="311"/>
      <c r="Y64" s="313"/>
      <c r="Z64" s="313"/>
      <c r="AA64" s="313"/>
      <c r="AB64" s="313"/>
      <c r="AC64" s="313"/>
      <c r="AD64" s="313"/>
      <c r="AE64" s="313"/>
      <c r="AF64" s="313"/>
      <c r="AG64" s="313"/>
      <c r="AJ64" s="311"/>
      <c r="AK64" s="313"/>
      <c r="AL64" s="313"/>
      <c r="AM64" s="313"/>
      <c r="AN64" s="313"/>
      <c r="AO64" s="313"/>
      <c r="AP64" s="313"/>
      <c r="AQ64" s="313"/>
      <c r="AR64" s="313"/>
      <c r="AS64" s="313"/>
      <c r="AT64" s="311"/>
      <c r="AU64" s="311"/>
      <c r="AV64" s="311"/>
      <c r="AW64" s="311"/>
      <c r="AX64" s="311"/>
      <c r="AY64" s="311"/>
      <c r="AZ64" s="311"/>
      <c r="BA64" s="311"/>
      <c r="BB64" s="311"/>
      <c r="BC64" s="311"/>
      <c r="BD64" s="311"/>
      <c r="BE64" s="311"/>
      <c r="BF64" s="311"/>
      <c r="BG64" s="311"/>
      <c r="BH64" s="311"/>
      <c r="BI64" s="311"/>
      <c r="BJ64" s="311"/>
      <c r="BK64" s="311"/>
      <c r="BL64" s="311"/>
      <c r="BM64" s="311"/>
      <c r="BN64" s="311"/>
      <c r="BO64" s="311"/>
      <c r="BP64" s="311"/>
      <c r="BQ64" s="311"/>
      <c r="BR64" s="311"/>
      <c r="BS64" s="311"/>
      <c r="BT64" s="311"/>
      <c r="BU64" s="311"/>
      <c r="BV64" s="311"/>
      <c r="BW64" s="311"/>
      <c r="BX64" s="311"/>
      <c r="BY64" s="311"/>
      <c r="BZ64" s="311"/>
      <c r="CA64" s="311"/>
      <c r="CB64" s="311"/>
      <c r="CC64" s="311"/>
      <c r="CD64" s="311"/>
      <c r="CE64" s="311"/>
      <c r="CF64" s="311"/>
      <c r="CG64" s="311"/>
      <c r="CH64" s="311"/>
      <c r="CI64" s="311"/>
      <c r="CJ64" s="311"/>
      <c r="CK64" s="311"/>
      <c r="CL64" s="40"/>
      <c r="CM64" s="40"/>
      <c r="CN64" s="40"/>
      <c r="CO64" s="29"/>
      <c r="CP64" s="29"/>
    </row>
    <row r="65" spans="1:94" ht="21" x14ac:dyDescent="0.25">
      <c r="A65" s="270"/>
      <c r="B65" s="86"/>
      <c r="C65" s="896"/>
      <c r="D65" s="406"/>
      <c r="E65" s="247"/>
      <c r="F65" s="900"/>
      <c r="G65" s="900"/>
      <c r="H65" s="900"/>
      <c r="I65" s="247"/>
      <c r="K65" s="319"/>
      <c r="L65" s="869">
        <v>100</v>
      </c>
      <c r="M65" s="122"/>
      <c r="N65" s="862">
        <v>100</v>
      </c>
      <c r="O65" s="319"/>
      <c r="Q65" s="1009"/>
      <c r="R65" s="1010"/>
      <c r="S65" s="1011"/>
      <c r="T65" s="311"/>
      <c r="U65" s="317"/>
      <c r="V65" s="29"/>
      <c r="W65" s="29"/>
      <c r="X65" s="29"/>
      <c r="Y65" s="313"/>
      <c r="Z65" s="313"/>
      <c r="AA65" s="313"/>
      <c r="AB65" s="313"/>
      <c r="AC65" s="313"/>
      <c r="AD65" s="313"/>
      <c r="AE65" s="313"/>
      <c r="AF65" s="313"/>
      <c r="AG65" s="313"/>
      <c r="AH65" s="311"/>
      <c r="AI65" s="311"/>
      <c r="AJ65" s="311"/>
      <c r="AK65" s="313"/>
      <c r="AL65" s="313"/>
      <c r="AM65" s="313"/>
      <c r="AN65" s="313"/>
      <c r="AO65" s="313"/>
      <c r="AP65" s="313"/>
      <c r="AQ65" s="313"/>
      <c r="AR65" s="313"/>
      <c r="AS65" s="313"/>
      <c r="AT65" s="311"/>
      <c r="AU65" s="311"/>
      <c r="AV65" s="311"/>
      <c r="AW65" s="311"/>
      <c r="AX65" s="311"/>
      <c r="AY65" s="311"/>
      <c r="AZ65" s="311"/>
      <c r="BA65" s="311"/>
      <c r="BB65" s="311"/>
      <c r="BC65" s="311"/>
      <c r="BD65" s="311"/>
      <c r="BE65" s="311"/>
      <c r="BF65" s="311"/>
      <c r="BG65" s="311"/>
      <c r="BH65" s="311"/>
      <c r="BI65" s="311"/>
      <c r="BJ65" s="311"/>
      <c r="BK65" s="311"/>
      <c r="BL65" s="311"/>
      <c r="BM65" s="311"/>
      <c r="BN65" s="311"/>
      <c r="BO65" s="311"/>
      <c r="BP65" s="311"/>
      <c r="BQ65" s="311"/>
      <c r="BR65" s="311"/>
      <c r="BS65" s="311"/>
      <c r="BT65" s="311"/>
      <c r="BU65" s="311"/>
      <c r="BV65" s="311"/>
      <c r="BW65" s="311"/>
      <c r="BX65" s="311"/>
      <c r="BY65" s="311"/>
      <c r="BZ65" s="311"/>
      <c r="CA65" s="311"/>
      <c r="CB65" s="311"/>
      <c r="CC65" s="311"/>
      <c r="CD65" s="311"/>
      <c r="CE65" s="311"/>
      <c r="CF65" s="311"/>
      <c r="CG65" s="311"/>
      <c r="CH65" s="311"/>
      <c r="CI65" s="311"/>
      <c r="CJ65" s="311"/>
      <c r="CK65" s="311"/>
      <c r="CL65" s="40"/>
      <c r="CM65" s="40"/>
      <c r="CN65" s="40"/>
      <c r="CO65" s="29"/>
      <c r="CP65" s="29"/>
    </row>
    <row r="66" spans="1:94" ht="21" x14ac:dyDescent="0.25">
      <c r="A66" s="270"/>
      <c r="B66" s="900"/>
      <c r="C66" s="86"/>
      <c r="D66" s="926"/>
      <c r="E66" s="247"/>
      <c r="F66" s="900"/>
      <c r="G66" s="900"/>
      <c r="H66" s="900"/>
      <c r="I66" s="247"/>
      <c r="K66" s="319"/>
      <c r="L66" s="860">
        <v>100</v>
      </c>
      <c r="M66" s="122"/>
      <c r="N66" s="860">
        <v>100</v>
      </c>
      <c r="O66" s="319"/>
      <c r="Q66" s="1009"/>
      <c r="R66" s="1010"/>
      <c r="S66" s="1011"/>
      <c r="T66" s="311"/>
      <c r="U66" s="255"/>
      <c r="V66" s="311"/>
      <c r="W66" s="311"/>
      <c r="X66" s="311"/>
      <c r="Y66" s="313"/>
      <c r="Z66" s="313"/>
      <c r="AA66" s="313"/>
      <c r="AB66" s="313"/>
      <c r="AC66" s="313"/>
      <c r="AD66" s="313"/>
      <c r="AE66" s="313"/>
      <c r="AF66" s="313"/>
      <c r="AG66" s="313"/>
      <c r="AH66" s="311"/>
      <c r="AI66" s="311"/>
      <c r="AJ66" s="311"/>
      <c r="AK66" s="313"/>
      <c r="AL66" s="313"/>
      <c r="AM66" s="313"/>
      <c r="AN66" s="313"/>
      <c r="AO66" s="313"/>
      <c r="AP66" s="313"/>
      <c r="AQ66" s="313"/>
      <c r="AR66" s="313"/>
      <c r="AS66" s="313"/>
      <c r="AT66" s="311"/>
      <c r="AU66" s="311"/>
      <c r="AV66" s="311"/>
      <c r="AW66" s="311"/>
      <c r="AX66" s="311"/>
      <c r="AY66" s="311"/>
      <c r="AZ66" s="311"/>
      <c r="BA66" s="311"/>
      <c r="BB66" s="311"/>
      <c r="BC66" s="311"/>
      <c r="BD66" s="311"/>
      <c r="BE66" s="311"/>
      <c r="BF66" s="311"/>
      <c r="BG66" s="311"/>
      <c r="BH66" s="311"/>
      <c r="BI66" s="311"/>
      <c r="BJ66" s="311"/>
      <c r="BK66" s="311"/>
      <c r="BL66" s="311"/>
      <c r="BM66" s="311"/>
      <c r="BN66" s="311"/>
      <c r="BO66" s="311"/>
      <c r="BP66" s="311"/>
      <c r="BQ66" s="311"/>
      <c r="BR66" s="311"/>
      <c r="BS66" s="311"/>
      <c r="BT66" s="311"/>
      <c r="BU66" s="311"/>
      <c r="BV66" s="311"/>
      <c r="BW66" s="311"/>
      <c r="BX66" s="311"/>
      <c r="BY66" s="311"/>
      <c r="BZ66" s="311"/>
      <c r="CA66" s="311"/>
      <c r="CB66" s="311"/>
      <c r="CC66" s="311"/>
      <c r="CD66" s="311"/>
      <c r="CE66" s="311"/>
      <c r="CF66" s="311"/>
      <c r="CG66" s="311"/>
      <c r="CH66" s="311"/>
      <c r="CI66" s="311"/>
      <c r="CJ66" s="311"/>
      <c r="CK66" s="311"/>
      <c r="CL66" s="40"/>
      <c r="CM66" s="40"/>
      <c r="CN66" s="40"/>
      <c r="CO66" s="29"/>
      <c r="CP66" s="29"/>
    </row>
    <row r="67" spans="1:94" ht="21" x14ac:dyDescent="0.25">
      <c r="A67" s="270"/>
      <c r="B67" s="929"/>
      <c r="C67" s="406"/>
      <c r="D67" s="926"/>
      <c r="E67" s="406"/>
      <c r="F67" s="247"/>
      <c r="G67" s="247"/>
      <c r="H67" s="247"/>
      <c r="I67" s="406"/>
      <c r="K67" s="285"/>
      <c r="L67" s="318"/>
      <c r="M67" s="285"/>
      <c r="N67" s="318"/>
      <c r="O67" s="285"/>
      <c r="Q67" s="1009"/>
      <c r="R67" s="1010"/>
      <c r="S67" s="1011"/>
      <c r="T67" s="311"/>
      <c r="U67" s="255"/>
      <c r="V67" s="29"/>
      <c r="W67" s="29"/>
      <c r="X67" s="29"/>
      <c r="Y67" s="313"/>
      <c r="Z67" s="313"/>
      <c r="AA67" s="313"/>
      <c r="AB67" s="313"/>
      <c r="AC67" s="313"/>
      <c r="AD67" s="313"/>
      <c r="AE67" s="313"/>
      <c r="AF67" s="313"/>
      <c r="AG67" s="313"/>
      <c r="AH67" s="311"/>
      <c r="AI67" s="311"/>
      <c r="AJ67" s="311"/>
      <c r="AK67" s="313"/>
      <c r="AL67" s="313"/>
      <c r="AM67" s="313"/>
      <c r="AN67" s="313"/>
      <c r="AO67" s="313"/>
      <c r="AP67" s="313"/>
      <c r="AQ67" s="313"/>
      <c r="AR67" s="313"/>
      <c r="AS67" s="313"/>
      <c r="AT67" s="311"/>
      <c r="AU67" s="311"/>
      <c r="AV67" s="311"/>
      <c r="AW67" s="311"/>
      <c r="AX67" s="311"/>
      <c r="AY67" s="311"/>
      <c r="AZ67" s="311"/>
      <c r="BA67" s="311"/>
      <c r="BB67" s="311"/>
      <c r="BC67" s="311"/>
      <c r="BD67" s="311"/>
      <c r="BE67" s="311"/>
      <c r="BF67" s="311"/>
      <c r="BG67" s="311"/>
      <c r="BH67" s="311"/>
      <c r="BI67" s="311"/>
      <c r="BJ67" s="311"/>
      <c r="BK67" s="311"/>
      <c r="BL67" s="311"/>
      <c r="BM67" s="311"/>
      <c r="BN67" s="311"/>
      <c r="BO67" s="311"/>
      <c r="BP67" s="311"/>
      <c r="BQ67" s="311"/>
      <c r="BR67" s="311"/>
      <c r="BS67" s="311"/>
      <c r="BT67" s="311"/>
      <c r="BU67" s="311"/>
      <c r="BV67" s="311"/>
      <c r="BW67" s="311"/>
      <c r="BX67" s="311"/>
      <c r="BY67" s="311"/>
      <c r="BZ67" s="311"/>
      <c r="CA67" s="311"/>
      <c r="CB67" s="311"/>
      <c r="CC67" s="311"/>
      <c r="CD67" s="311"/>
      <c r="CE67" s="311"/>
      <c r="CF67" s="311"/>
      <c r="CG67" s="311"/>
      <c r="CH67" s="311"/>
      <c r="CI67" s="311"/>
      <c r="CJ67" s="311"/>
      <c r="CK67" s="311"/>
      <c r="CL67" s="40"/>
      <c r="CM67" s="40"/>
      <c r="CN67" s="40"/>
      <c r="CO67" s="29"/>
      <c r="CP67" s="29"/>
    </row>
    <row r="68" spans="1:94" ht="15.75" x14ac:dyDescent="0.25">
      <c r="A68" s="270"/>
      <c r="B68" s="900"/>
      <c r="C68" s="86"/>
      <c r="D68" s="926"/>
      <c r="E68" s="406"/>
      <c r="F68" s="935"/>
      <c r="G68" s="935"/>
      <c r="H68" s="935"/>
      <c r="I68" s="935"/>
      <c r="J68" s="317"/>
      <c r="K68" s="255"/>
      <c r="L68" s="98">
        <v>4</v>
      </c>
      <c r="M68" s="250"/>
      <c r="N68" s="98">
        <v>3</v>
      </c>
      <c r="O68" s="250"/>
      <c r="P68" s="317"/>
      <c r="Q68" s="1009"/>
      <c r="R68" s="1010"/>
      <c r="S68" s="1011"/>
      <c r="T68" s="311"/>
      <c r="U68" s="255"/>
      <c r="V68" s="313"/>
      <c r="W68" s="313"/>
      <c r="X68" s="311"/>
      <c r="Y68" s="313"/>
      <c r="Z68" s="313"/>
      <c r="AA68" s="313"/>
      <c r="AB68" s="313"/>
      <c r="AC68" s="313"/>
      <c r="AD68" s="313"/>
      <c r="AE68" s="313"/>
      <c r="AF68" s="313"/>
      <c r="AG68" s="313"/>
      <c r="AH68" s="311"/>
      <c r="AI68" s="311"/>
      <c r="AJ68" s="311"/>
      <c r="AK68" s="313"/>
      <c r="AL68" s="313"/>
      <c r="AM68" s="313"/>
      <c r="AN68" s="313"/>
      <c r="AO68" s="313"/>
      <c r="AP68" s="313"/>
      <c r="AQ68" s="313"/>
      <c r="AR68" s="313"/>
      <c r="AS68" s="313"/>
      <c r="AT68" s="311"/>
      <c r="AU68" s="311"/>
      <c r="AV68" s="311"/>
      <c r="AW68" s="311"/>
      <c r="AX68" s="311"/>
      <c r="AY68" s="311"/>
      <c r="AZ68" s="311"/>
      <c r="BA68" s="311"/>
      <c r="BB68" s="311"/>
      <c r="BC68" s="311"/>
      <c r="BD68" s="311"/>
      <c r="BE68" s="311"/>
      <c r="BF68" s="311"/>
      <c r="BG68" s="311"/>
      <c r="BH68" s="311"/>
      <c r="BI68" s="311"/>
      <c r="BJ68" s="311"/>
      <c r="BK68" s="311"/>
      <c r="BL68" s="311"/>
      <c r="BM68" s="311"/>
      <c r="BN68" s="311"/>
      <c r="BO68" s="311"/>
      <c r="BP68" s="311"/>
      <c r="BQ68" s="311"/>
      <c r="BR68" s="311"/>
      <c r="BS68" s="311"/>
      <c r="BT68" s="311"/>
      <c r="BU68" s="311"/>
      <c r="BV68" s="311"/>
      <c r="BW68" s="311"/>
      <c r="BX68" s="311"/>
      <c r="BY68" s="311"/>
      <c r="BZ68" s="311"/>
      <c r="CA68" s="311"/>
      <c r="CB68" s="311"/>
      <c r="CC68" s="311"/>
      <c r="CD68" s="311"/>
      <c r="CE68" s="311"/>
      <c r="CF68" s="311"/>
      <c r="CG68" s="311"/>
      <c r="CH68" s="311"/>
      <c r="CI68" s="311"/>
      <c r="CJ68" s="311"/>
      <c r="CK68" s="311"/>
      <c r="CL68" s="40"/>
      <c r="CM68" s="40"/>
      <c r="CN68" s="40"/>
      <c r="CO68" s="29"/>
      <c r="CP68" s="29"/>
    </row>
    <row r="69" spans="1:94" ht="21" x14ac:dyDescent="0.25">
      <c r="A69" s="270"/>
      <c r="B69" s="929"/>
      <c r="C69" s="930"/>
      <c r="D69" s="926"/>
      <c r="E69" s="930"/>
      <c r="F69" s="406"/>
      <c r="G69" s="406"/>
      <c r="H69" s="406"/>
      <c r="I69" s="406"/>
      <c r="K69" s="255"/>
      <c r="L69" s="1005" t="s">
        <v>234</v>
      </c>
      <c r="M69" s="1005"/>
      <c r="N69" s="1005"/>
      <c r="O69" s="250"/>
      <c r="P69" s="312"/>
      <c r="Q69" s="1009"/>
      <c r="R69" s="1010"/>
      <c r="S69" s="1011"/>
      <c r="T69" s="311"/>
      <c r="U69" s="311"/>
      <c r="V69" s="29"/>
      <c r="W69" s="29"/>
      <c r="X69" s="29"/>
      <c r="Y69" s="313"/>
      <c r="Z69" s="313"/>
      <c r="AA69" s="313"/>
      <c r="AB69" s="313"/>
      <c r="AC69" s="313"/>
      <c r="AD69" s="313"/>
      <c r="AE69" s="313"/>
      <c r="AF69" s="313"/>
      <c r="AG69" s="313"/>
      <c r="AH69" s="311"/>
      <c r="AI69" s="311"/>
      <c r="AJ69" s="311"/>
      <c r="AK69" s="313"/>
      <c r="AL69" s="313"/>
      <c r="AM69" s="313"/>
      <c r="AN69" s="313"/>
      <c r="AO69" s="313"/>
      <c r="AP69" s="313"/>
      <c r="AQ69" s="313"/>
      <c r="AR69" s="313"/>
      <c r="AS69" s="313"/>
      <c r="AT69" s="311"/>
      <c r="AU69" s="311"/>
      <c r="AV69" s="311"/>
      <c r="AW69" s="311"/>
      <c r="AX69" s="311"/>
      <c r="AY69" s="311"/>
      <c r="AZ69" s="311"/>
      <c r="BA69" s="311"/>
      <c r="BB69" s="311"/>
      <c r="BC69" s="311"/>
      <c r="BD69" s="311"/>
      <c r="BE69" s="311"/>
      <c r="BF69" s="311"/>
      <c r="BG69" s="311"/>
      <c r="BH69" s="311"/>
      <c r="BI69" s="311"/>
      <c r="BJ69" s="311"/>
      <c r="BK69" s="311"/>
      <c r="BL69" s="311"/>
      <c r="BM69" s="311"/>
      <c r="BN69" s="311"/>
      <c r="BO69" s="311"/>
      <c r="BP69" s="311"/>
      <c r="BQ69" s="311"/>
      <c r="BR69" s="311"/>
      <c r="BS69" s="311"/>
      <c r="BT69" s="311"/>
      <c r="BU69" s="311"/>
      <c r="BV69" s="311"/>
      <c r="BW69" s="311"/>
      <c r="BX69" s="311"/>
      <c r="BY69" s="311"/>
      <c r="BZ69" s="311"/>
      <c r="CA69" s="311"/>
      <c r="CB69" s="311"/>
      <c r="CC69" s="311"/>
      <c r="CD69" s="311"/>
      <c r="CE69" s="311"/>
      <c r="CF69" s="311"/>
      <c r="CG69" s="311"/>
      <c r="CH69" s="311"/>
      <c r="CI69" s="311"/>
      <c r="CJ69" s="311"/>
      <c r="CK69" s="311"/>
      <c r="CL69" s="40"/>
      <c r="CM69" s="40"/>
      <c r="CN69" s="40"/>
      <c r="CO69" s="29"/>
      <c r="CP69" s="29"/>
    </row>
    <row r="70" spans="1:94" ht="15.75" x14ac:dyDescent="0.25">
      <c r="A70" s="270"/>
      <c r="B70" s="900"/>
      <c r="C70" s="86"/>
      <c r="D70" s="926"/>
      <c r="E70" s="930"/>
      <c r="F70" s="406"/>
      <c r="G70" s="406"/>
      <c r="H70" s="406"/>
      <c r="I70" s="406"/>
      <c r="K70" s="312"/>
      <c r="L70" s="312"/>
      <c r="M70" s="100"/>
      <c r="N70" s="100"/>
      <c r="O70" s="312"/>
      <c r="P70" s="312"/>
      <c r="Q70" s="1009"/>
      <c r="R70" s="1010"/>
      <c r="S70" s="1011"/>
      <c r="T70" s="311"/>
      <c r="U70" s="311"/>
      <c r="V70" s="311"/>
      <c r="W70" s="311"/>
      <c r="X70" s="311"/>
      <c r="Y70" s="313"/>
      <c r="Z70" s="313"/>
      <c r="AA70" s="313"/>
      <c r="AB70" s="313"/>
      <c r="AC70" s="313"/>
      <c r="AD70" s="313"/>
      <c r="AE70" s="313"/>
      <c r="AF70" s="313"/>
      <c r="AG70" s="313"/>
      <c r="AH70" s="311"/>
      <c r="AI70" s="311"/>
      <c r="AJ70" s="311"/>
      <c r="AK70" s="313"/>
      <c r="AL70" s="313"/>
      <c r="AM70" s="313"/>
      <c r="AN70" s="313"/>
      <c r="AO70" s="313"/>
      <c r="AP70" s="313"/>
      <c r="AQ70" s="313"/>
      <c r="AR70" s="313"/>
      <c r="AS70" s="313"/>
      <c r="AT70" s="311"/>
      <c r="AU70" s="311"/>
      <c r="AV70" s="311"/>
      <c r="AW70" s="311"/>
      <c r="AX70" s="311"/>
      <c r="AY70" s="311"/>
      <c r="AZ70" s="311"/>
      <c r="BA70" s="311"/>
      <c r="BB70" s="311"/>
      <c r="BC70" s="311"/>
      <c r="BD70" s="311"/>
      <c r="BE70" s="311"/>
      <c r="BF70" s="311"/>
      <c r="BG70" s="311"/>
      <c r="BH70" s="311"/>
      <c r="BI70" s="311"/>
      <c r="BJ70" s="311"/>
      <c r="BK70" s="311"/>
      <c r="BL70" s="311"/>
      <c r="BM70" s="311"/>
      <c r="BN70" s="311"/>
      <c r="BO70" s="311"/>
      <c r="BP70" s="311"/>
      <c r="BQ70" s="311"/>
      <c r="BR70" s="311"/>
      <c r="BS70" s="311"/>
      <c r="BT70" s="311"/>
      <c r="BU70" s="311"/>
      <c r="BV70" s="311"/>
      <c r="BW70" s="311"/>
      <c r="BX70" s="311"/>
      <c r="BY70" s="311"/>
      <c r="BZ70" s="311"/>
      <c r="CA70" s="311"/>
      <c r="CB70" s="311"/>
      <c r="CC70" s="311"/>
      <c r="CD70" s="311"/>
      <c r="CE70" s="311"/>
      <c r="CF70" s="311"/>
      <c r="CG70" s="311"/>
      <c r="CH70" s="311"/>
      <c r="CI70" s="311"/>
      <c r="CJ70" s="311"/>
      <c r="CK70" s="311"/>
      <c r="CL70" s="40"/>
      <c r="CM70" s="40"/>
      <c r="CN70" s="40"/>
      <c r="CO70" s="29"/>
      <c r="CP70" s="29"/>
    </row>
    <row r="71" spans="1:94" x14ac:dyDescent="0.25">
      <c r="A71" s="270"/>
      <c r="B71" s="929"/>
      <c r="C71" s="930"/>
      <c r="D71" s="931"/>
      <c r="E71" s="95"/>
      <c r="F71" s="255"/>
      <c r="G71" s="255"/>
      <c r="H71" s="255"/>
      <c r="I71" s="312"/>
      <c r="J71" s="312"/>
      <c r="K71" s="312"/>
      <c r="L71" s="312"/>
      <c r="M71" s="100"/>
      <c r="N71" s="100"/>
      <c r="O71" s="312"/>
      <c r="P71" s="312"/>
      <c r="Q71" s="1009"/>
      <c r="R71" s="1010"/>
      <c r="S71" s="1011"/>
      <c r="T71" s="311"/>
      <c r="U71" s="311"/>
      <c r="V71" s="29"/>
      <c r="W71" s="29"/>
      <c r="X71" s="29"/>
      <c r="Y71" s="313"/>
      <c r="Z71" s="313"/>
      <c r="AA71" s="313"/>
      <c r="AB71" s="313"/>
      <c r="AC71" s="313"/>
      <c r="AD71" s="313"/>
      <c r="AE71" s="313"/>
      <c r="AF71" s="313"/>
      <c r="AG71" s="313"/>
      <c r="AH71" s="311"/>
      <c r="AI71" s="311"/>
      <c r="AJ71" s="311"/>
      <c r="AK71" s="313"/>
      <c r="AL71" s="313"/>
      <c r="AM71" s="313"/>
      <c r="AN71" s="313"/>
      <c r="AO71" s="313"/>
      <c r="AP71" s="313"/>
      <c r="AQ71" s="313"/>
      <c r="AR71" s="313"/>
      <c r="AS71" s="313"/>
      <c r="AT71" s="311"/>
      <c r="AU71" s="311"/>
      <c r="AV71" s="311"/>
      <c r="AW71" s="311"/>
      <c r="AX71" s="311"/>
      <c r="AY71" s="311"/>
      <c r="AZ71" s="311"/>
      <c r="BA71" s="311"/>
      <c r="BB71" s="311"/>
      <c r="BC71" s="311"/>
      <c r="BD71" s="311"/>
      <c r="BE71" s="311"/>
      <c r="BF71" s="311"/>
      <c r="BG71" s="311"/>
      <c r="BH71" s="311"/>
      <c r="BI71" s="311"/>
      <c r="BJ71" s="311"/>
      <c r="BK71" s="311"/>
      <c r="BL71" s="311"/>
      <c r="BM71" s="311"/>
      <c r="BN71" s="311"/>
      <c r="BO71" s="311"/>
      <c r="BP71" s="311"/>
      <c r="BQ71" s="311"/>
      <c r="BR71" s="311"/>
      <c r="BS71" s="311"/>
      <c r="BT71" s="311"/>
      <c r="BU71" s="311"/>
      <c r="BV71" s="311"/>
      <c r="BW71" s="311"/>
      <c r="BX71" s="311"/>
      <c r="BY71" s="311"/>
      <c r="BZ71" s="311"/>
      <c r="CA71" s="311"/>
      <c r="CB71" s="311"/>
      <c r="CC71" s="311"/>
      <c r="CD71" s="311"/>
      <c r="CE71" s="311"/>
      <c r="CF71" s="311"/>
      <c r="CG71" s="311"/>
      <c r="CH71" s="311"/>
      <c r="CI71" s="311"/>
      <c r="CJ71" s="311"/>
      <c r="CK71" s="311"/>
      <c r="CL71" s="40"/>
      <c r="CM71" s="40"/>
      <c r="CN71" s="40"/>
      <c r="CO71" s="29"/>
      <c r="CP71" s="29"/>
    </row>
    <row r="72" spans="1:94" ht="26.25" x14ac:dyDescent="0.4">
      <c r="A72" s="270"/>
      <c r="B72" s="900"/>
      <c r="C72" s="86"/>
      <c r="D72" s="926"/>
      <c r="E72" s="255"/>
      <c r="F72" s="936"/>
      <c r="G72" s="936"/>
      <c r="H72" s="936"/>
      <c r="I72" s="936"/>
      <c r="J72" s="936"/>
      <c r="K72" s="936"/>
      <c r="L72" s="936"/>
      <c r="M72" s="930"/>
      <c r="N72" s="937"/>
      <c r="O72" s="930"/>
      <c r="P72" s="312"/>
      <c r="Q72" s="1009"/>
      <c r="R72" s="1010"/>
      <c r="S72" s="1011"/>
      <c r="T72" s="311"/>
      <c r="U72" s="311"/>
      <c r="V72" s="311"/>
      <c r="W72" s="311"/>
      <c r="X72" s="311"/>
      <c r="Y72" s="313"/>
      <c r="Z72" s="313"/>
      <c r="AA72" s="313"/>
      <c r="AB72" s="313"/>
      <c r="AC72" s="313"/>
      <c r="AD72" s="313"/>
      <c r="AE72" s="313"/>
      <c r="AF72" s="313"/>
      <c r="AG72" s="313"/>
      <c r="AH72" s="311"/>
      <c r="AI72" s="311"/>
      <c r="AJ72" s="311"/>
      <c r="AK72" s="313"/>
      <c r="AL72" s="313"/>
      <c r="AM72" s="313"/>
      <c r="AN72" s="313"/>
      <c r="AO72" s="313"/>
      <c r="AP72" s="313"/>
      <c r="AQ72" s="313"/>
      <c r="AR72" s="313"/>
      <c r="AS72" s="313"/>
      <c r="AT72" s="311"/>
      <c r="AU72" s="311"/>
      <c r="AV72" s="311"/>
      <c r="AW72" s="311"/>
      <c r="AX72" s="311"/>
      <c r="AY72" s="311"/>
      <c r="AZ72" s="311"/>
      <c r="BA72" s="311"/>
      <c r="BB72" s="311"/>
      <c r="BC72" s="311"/>
      <c r="BD72" s="311"/>
      <c r="BE72" s="311"/>
      <c r="BF72" s="311"/>
      <c r="BG72" s="311"/>
      <c r="BH72" s="311"/>
      <c r="BI72" s="311"/>
      <c r="BJ72" s="311"/>
      <c r="BK72" s="311"/>
      <c r="BL72" s="311"/>
      <c r="BM72" s="311"/>
      <c r="BN72" s="311"/>
      <c r="BO72" s="311"/>
      <c r="BP72" s="311"/>
      <c r="BQ72" s="311"/>
      <c r="BR72" s="311"/>
      <c r="BS72" s="311"/>
      <c r="BT72" s="311"/>
      <c r="BU72" s="311"/>
      <c r="BV72" s="311"/>
      <c r="BW72" s="311"/>
      <c r="BX72" s="311"/>
      <c r="BY72" s="311"/>
      <c r="BZ72" s="311"/>
      <c r="CA72" s="311"/>
      <c r="CB72" s="311"/>
      <c r="CC72" s="311"/>
      <c r="CD72" s="311"/>
      <c r="CE72" s="311"/>
      <c r="CF72" s="311"/>
      <c r="CG72" s="311"/>
      <c r="CH72" s="311"/>
      <c r="CI72" s="311"/>
      <c r="CJ72" s="311"/>
      <c r="CK72" s="311"/>
      <c r="CL72" s="40"/>
      <c r="CM72" s="40"/>
      <c r="CN72" s="40"/>
      <c r="CO72" s="29"/>
      <c r="CP72" s="29"/>
    </row>
    <row r="73" spans="1:94" ht="27" thickBot="1" x14ac:dyDescent="0.45">
      <c r="A73" s="270"/>
      <c r="B73" s="932"/>
      <c r="C73" s="933"/>
      <c r="D73" s="933"/>
      <c r="E73" s="328"/>
      <c r="F73" s="938"/>
      <c r="G73" s="916"/>
      <c r="H73" s="939"/>
      <c r="I73" s="916"/>
      <c r="J73" s="940"/>
      <c r="K73" s="916"/>
      <c r="L73" s="940"/>
      <c r="M73" s="916"/>
      <c r="N73" s="941"/>
      <c r="O73" s="916"/>
      <c r="P73" s="328"/>
      <c r="Q73" s="1012"/>
      <c r="R73" s="1013"/>
      <c r="S73" s="1014"/>
      <c r="T73" s="311"/>
      <c r="U73" s="311"/>
      <c r="V73" s="311"/>
      <c r="W73" s="311"/>
      <c r="X73" s="311"/>
      <c r="Y73" s="313"/>
      <c r="Z73" s="313"/>
      <c r="AA73" s="313"/>
      <c r="AB73" s="313"/>
      <c r="AC73" s="313"/>
      <c r="AD73" s="313"/>
      <c r="AE73" s="313"/>
      <c r="AF73" s="313"/>
      <c r="AG73" s="313"/>
      <c r="AH73" s="311"/>
      <c r="AI73" s="311"/>
      <c r="AJ73" s="311"/>
      <c r="AK73" s="313"/>
      <c r="AL73" s="313"/>
      <c r="AM73" s="313"/>
      <c r="AN73" s="313"/>
      <c r="AO73" s="313"/>
      <c r="AP73" s="313"/>
      <c r="AQ73" s="313"/>
      <c r="AR73" s="313"/>
      <c r="AS73" s="313"/>
      <c r="AT73" s="311"/>
      <c r="AU73" s="311"/>
      <c r="AV73" s="311"/>
      <c r="AW73" s="311"/>
      <c r="AX73" s="311"/>
      <c r="AY73" s="311"/>
      <c r="AZ73" s="311"/>
      <c r="BA73" s="311"/>
      <c r="BB73" s="311"/>
      <c r="BC73" s="311"/>
      <c r="BD73" s="311"/>
      <c r="BE73" s="311"/>
      <c r="BF73" s="311"/>
      <c r="BG73" s="311"/>
      <c r="BH73" s="311"/>
      <c r="BI73" s="311"/>
      <c r="BJ73" s="311"/>
      <c r="BK73" s="311"/>
      <c r="BL73" s="311"/>
      <c r="BM73" s="311"/>
      <c r="BN73" s="311"/>
      <c r="BO73" s="311"/>
      <c r="BP73" s="311"/>
      <c r="BQ73" s="311"/>
      <c r="BR73" s="311"/>
      <c r="BS73" s="311"/>
      <c r="BT73" s="311"/>
      <c r="BU73" s="311"/>
      <c r="BV73" s="311"/>
      <c r="BW73" s="311"/>
      <c r="BX73" s="311"/>
      <c r="BY73" s="311"/>
      <c r="BZ73" s="311"/>
      <c r="CA73" s="311"/>
      <c r="CB73" s="311"/>
      <c r="CC73" s="311"/>
      <c r="CD73" s="311"/>
      <c r="CE73" s="311"/>
      <c r="CF73" s="311"/>
      <c r="CG73" s="311"/>
      <c r="CH73" s="311"/>
      <c r="CI73" s="311"/>
      <c r="CJ73" s="311"/>
      <c r="CK73" s="311"/>
      <c r="CL73" s="40"/>
      <c r="CM73" s="40"/>
      <c r="CN73" s="40"/>
    </row>
    <row r="74" spans="1:94" x14ac:dyDescent="0.25">
      <c r="A74" s="333"/>
      <c r="B74" s="334"/>
      <c r="C74" s="335"/>
      <c r="D74" s="108"/>
      <c r="E74" s="108"/>
      <c r="H74" s="311"/>
      <c r="I74" s="311"/>
      <c r="J74" s="311"/>
      <c r="K74" s="311"/>
      <c r="L74" s="311"/>
      <c r="M74" s="311"/>
      <c r="N74" s="336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3"/>
      <c r="Z74" s="313"/>
      <c r="AA74" s="313"/>
      <c r="AB74" s="313"/>
      <c r="AC74" s="313"/>
      <c r="AD74" s="313"/>
      <c r="AE74" s="313"/>
      <c r="AF74" s="313"/>
      <c r="AG74" s="313"/>
      <c r="AH74" s="311"/>
      <c r="AI74" s="311"/>
      <c r="AJ74" s="311"/>
      <c r="AK74" s="313"/>
      <c r="AL74" s="313"/>
      <c r="AM74" s="313"/>
      <c r="AN74" s="313"/>
      <c r="AO74" s="313"/>
      <c r="AP74" s="313"/>
      <c r="AQ74" s="313"/>
      <c r="AR74" s="313"/>
      <c r="AS74" s="313"/>
      <c r="AT74" s="311"/>
      <c r="AU74" s="311"/>
      <c r="AV74" s="311"/>
      <c r="AW74" s="311"/>
      <c r="AX74" s="311"/>
      <c r="AY74" s="311"/>
      <c r="AZ74" s="311"/>
      <c r="BA74" s="311"/>
      <c r="BB74" s="311"/>
      <c r="BC74" s="311"/>
      <c r="BD74" s="311"/>
      <c r="BE74" s="311"/>
      <c r="BF74" s="311"/>
      <c r="BG74" s="311"/>
      <c r="BH74" s="311"/>
      <c r="BI74" s="311"/>
      <c r="BJ74" s="311"/>
      <c r="BK74" s="311"/>
      <c r="BL74" s="311"/>
      <c r="BM74" s="311"/>
      <c r="BN74" s="311"/>
      <c r="BO74" s="311"/>
      <c r="BP74" s="311"/>
      <c r="BQ74" s="311"/>
      <c r="BR74" s="311"/>
      <c r="BS74" s="311"/>
      <c r="BT74" s="311"/>
      <c r="BU74" s="311"/>
      <c r="BV74" s="311"/>
      <c r="BW74" s="311"/>
      <c r="BX74" s="311"/>
      <c r="BY74" s="311"/>
      <c r="BZ74" s="311"/>
      <c r="CA74" s="311"/>
      <c r="CB74" s="311"/>
      <c r="CC74" s="311"/>
      <c r="CD74" s="311"/>
      <c r="CE74" s="311"/>
      <c r="CF74" s="311"/>
      <c r="CG74" s="311"/>
      <c r="CH74" s="311"/>
      <c r="CI74" s="311"/>
      <c r="CJ74" s="311"/>
      <c r="CK74" s="311"/>
      <c r="CL74" s="40"/>
      <c r="CM74" s="40"/>
      <c r="CN74" s="40"/>
    </row>
    <row r="75" spans="1:94" x14ac:dyDescent="0.25">
      <c r="A75" s="333"/>
      <c r="B75" s="337"/>
      <c r="C75" s="40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36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3"/>
      <c r="Z75" s="313"/>
      <c r="AA75" s="313"/>
      <c r="AB75" s="313"/>
      <c r="AC75" s="313"/>
      <c r="AD75" s="313"/>
      <c r="AE75" s="313"/>
      <c r="AF75" s="313"/>
      <c r="AG75" s="313"/>
      <c r="AH75" s="311"/>
      <c r="AI75" s="311"/>
      <c r="AJ75" s="311"/>
      <c r="AK75" s="313"/>
      <c r="AL75" s="313"/>
      <c r="AM75" s="313"/>
      <c r="AN75" s="313"/>
      <c r="AO75" s="313"/>
      <c r="AP75" s="313"/>
      <c r="AQ75" s="313"/>
      <c r="AR75" s="313"/>
      <c r="AS75" s="313"/>
      <c r="AT75" s="311"/>
      <c r="AU75" s="311"/>
      <c r="AV75" s="311"/>
      <c r="AW75" s="311"/>
      <c r="AX75" s="311"/>
      <c r="AY75" s="311"/>
      <c r="AZ75" s="311"/>
      <c r="BA75" s="311"/>
      <c r="BB75" s="311"/>
      <c r="BC75" s="311"/>
      <c r="BD75" s="311"/>
      <c r="BE75" s="311"/>
      <c r="BF75" s="311"/>
      <c r="BG75" s="311"/>
      <c r="BH75" s="311"/>
      <c r="BI75" s="311"/>
      <c r="BJ75" s="311"/>
      <c r="BK75" s="311"/>
      <c r="BL75" s="311"/>
      <c r="BM75" s="311"/>
      <c r="BN75" s="311"/>
      <c r="BO75" s="311"/>
      <c r="BP75" s="311"/>
      <c r="BQ75" s="311"/>
      <c r="BR75" s="311"/>
      <c r="BS75" s="311"/>
      <c r="BT75" s="311"/>
      <c r="BU75" s="311"/>
      <c r="BV75" s="311"/>
      <c r="BW75" s="311"/>
      <c r="BX75" s="311"/>
      <c r="BY75" s="311"/>
      <c r="BZ75" s="311"/>
      <c r="CA75" s="311"/>
      <c r="CB75" s="311"/>
      <c r="CC75" s="311"/>
      <c r="CD75" s="311"/>
      <c r="CE75" s="311"/>
      <c r="CF75" s="311"/>
      <c r="CG75" s="311"/>
      <c r="CH75" s="311"/>
      <c r="CI75" s="311"/>
      <c r="CJ75" s="311"/>
      <c r="CK75" s="311"/>
      <c r="CL75" s="40"/>
      <c r="CM75" s="40"/>
      <c r="CN75" s="40"/>
    </row>
    <row r="76" spans="1:94" x14ac:dyDescent="0.25">
      <c r="Y76" s="313"/>
      <c r="Z76" s="313"/>
      <c r="AA76" s="313"/>
      <c r="AB76" s="313"/>
      <c r="AC76" s="313"/>
      <c r="AD76" s="313"/>
      <c r="AE76" s="313"/>
      <c r="AF76" s="313"/>
      <c r="AG76" s="313"/>
      <c r="AK76" s="313"/>
      <c r="AL76" s="313"/>
      <c r="AM76" s="313"/>
      <c r="AN76" s="313"/>
      <c r="AO76" s="313"/>
      <c r="AP76" s="313"/>
      <c r="AQ76" s="313"/>
      <c r="AR76" s="313"/>
      <c r="AS76" s="313"/>
    </row>
    <row r="77" spans="1:94" x14ac:dyDescent="0.25">
      <c r="Y77" s="313"/>
      <c r="Z77" s="313"/>
      <c r="AA77" s="313"/>
      <c r="AB77" s="313"/>
      <c r="AC77" s="313"/>
      <c r="AD77" s="313"/>
      <c r="AE77" s="313"/>
      <c r="AF77" s="313"/>
      <c r="AG77" s="313"/>
    </row>
    <row r="84" spans="13:13" x14ac:dyDescent="0.25">
      <c r="M84" s="338"/>
    </row>
    <row r="85" spans="13:13" x14ac:dyDescent="0.25">
      <c r="M85" s="338"/>
    </row>
    <row r="86" spans="13:13" x14ac:dyDescent="0.25">
      <c r="M86" s="338"/>
    </row>
    <row r="91" spans="13:13" x14ac:dyDescent="0.25">
      <c r="M91" s="338"/>
    </row>
    <row r="92" spans="13:13" x14ac:dyDescent="0.25">
      <c r="M92" s="338"/>
    </row>
    <row r="93" spans="13:13" x14ac:dyDescent="0.25">
      <c r="M93" s="338"/>
    </row>
    <row r="98" spans="13:13" x14ac:dyDescent="0.25">
      <c r="M98" s="338"/>
    </row>
    <row r="99" spans="13:13" x14ac:dyDescent="0.25">
      <c r="M99" s="338"/>
    </row>
    <row r="100" spans="13:13" x14ac:dyDescent="0.25">
      <c r="M100" s="338"/>
    </row>
    <row r="105" spans="13:13" x14ac:dyDescent="0.25">
      <c r="M105" s="338"/>
    </row>
    <row r="106" spans="13:13" x14ac:dyDescent="0.25">
      <c r="M106" s="338"/>
    </row>
    <row r="107" spans="13:13" x14ac:dyDescent="0.25">
      <c r="M107" s="338"/>
    </row>
    <row r="112" spans="13:13" x14ac:dyDescent="0.25">
      <c r="M112" s="338"/>
    </row>
    <row r="113" spans="13:13" x14ac:dyDescent="0.25">
      <c r="M113" s="338"/>
    </row>
    <row r="114" spans="13:13" x14ac:dyDescent="0.25">
      <c r="M114" s="338"/>
    </row>
    <row r="119" spans="13:13" x14ac:dyDescent="0.25">
      <c r="M119" s="338"/>
    </row>
    <row r="120" spans="13:13" x14ac:dyDescent="0.25">
      <c r="M120" s="338"/>
    </row>
    <row r="121" spans="13:13" x14ac:dyDescent="0.25">
      <c r="M121" s="338"/>
    </row>
  </sheetData>
  <mergeCells count="31">
    <mergeCell ref="T28:U28"/>
    <mergeCell ref="BL28:BT28"/>
    <mergeCell ref="A1:CN1"/>
    <mergeCell ref="BL3:BO7"/>
    <mergeCell ref="CK3:CL3"/>
    <mergeCell ref="AR18:AT18"/>
    <mergeCell ref="AA19:AD19"/>
    <mergeCell ref="AS21:AV21"/>
    <mergeCell ref="BL23:BL24"/>
    <mergeCell ref="AS24:AV24"/>
    <mergeCell ref="AX24:AZ24"/>
    <mergeCell ref="AL26:AP26"/>
    <mergeCell ref="CD27:CE27"/>
    <mergeCell ref="A29:B29"/>
    <mergeCell ref="AC31:AF31"/>
    <mergeCell ref="AV32:BB39"/>
    <mergeCell ref="J33:K33"/>
    <mergeCell ref="B37:H37"/>
    <mergeCell ref="M39:N39"/>
    <mergeCell ref="B64:D64"/>
    <mergeCell ref="L69:N69"/>
    <mergeCell ref="Q40:S73"/>
    <mergeCell ref="BS40:BT40"/>
    <mergeCell ref="F41:H41"/>
    <mergeCell ref="T44:AB54"/>
    <mergeCell ref="AE46:AM48"/>
    <mergeCell ref="B48:C48"/>
    <mergeCell ref="AK49:AM52"/>
    <mergeCell ref="AC51:AJ54"/>
    <mergeCell ref="AK53:AM54"/>
    <mergeCell ref="F62:H6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P121"/>
  <sheetViews>
    <sheetView topLeftCell="E1" zoomScale="60" zoomScaleNormal="60" workbookViewId="0">
      <selection activeCell="O29" sqref="O29"/>
    </sheetView>
  </sheetViews>
  <sheetFormatPr baseColWidth="10" defaultColWidth="16.7109375" defaultRowHeight="15" x14ac:dyDescent="0.25"/>
  <cols>
    <col min="1" max="4" width="2.42578125" customWidth="1"/>
    <col min="16" max="20" width="1.28515625" customWidth="1"/>
    <col min="44" max="57" width="10" customWidth="1"/>
    <col min="58" max="71" width="1.28515625" customWidth="1"/>
    <col min="84" max="94" width="3" customWidth="1"/>
  </cols>
  <sheetData>
    <row r="1" spans="1:94" ht="34.5" thickBot="1" x14ac:dyDescent="0.3">
      <c r="A1" s="1057" t="s">
        <v>149</v>
      </c>
      <c r="B1" s="1058"/>
      <c r="C1" s="1058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1058"/>
      <c r="P1" s="1058"/>
      <c r="Q1" s="1058"/>
      <c r="R1" s="1058"/>
      <c r="S1" s="1058"/>
      <c r="T1" s="1058"/>
      <c r="U1" s="1058"/>
      <c r="V1" s="1058"/>
      <c r="W1" s="1058"/>
      <c r="X1" s="1058"/>
      <c r="Y1" s="1058"/>
      <c r="Z1" s="1058"/>
      <c r="AA1" s="1058"/>
      <c r="AB1" s="1058"/>
      <c r="AC1" s="1058"/>
      <c r="AD1" s="1058"/>
      <c r="AE1" s="1058"/>
      <c r="AF1" s="1058"/>
      <c r="AG1" s="1058"/>
      <c r="AH1" s="1058"/>
      <c r="AI1" s="1058"/>
      <c r="AJ1" s="1058"/>
      <c r="AK1" s="1058"/>
      <c r="AL1" s="1058"/>
      <c r="AM1" s="1058"/>
      <c r="AN1" s="1058"/>
      <c r="AO1" s="1058"/>
      <c r="AP1" s="1058"/>
      <c r="AQ1" s="1058"/>
      <c r="AR1" s="1058"/>
      <c r="AS1" s="1058"/>
      <c r="AT1" s="1058"/>
      <c r="AU1" s="1058"/>
      <c r="AV1" s="1058"/>
      <c r="AW1" s="1058"/>
      <c r="AX1" s="1058"/>
      <c r="AY1" s="1058"/>
      <c r="AZ1" s="1058"/>
      <c r="BA1" s="1058"/>
      <c r="BB1" s="1058"/>
      <c r="BC1" s="1058"/>
      <c r="BD1" s="1058"/>
      <c r="BE1" s="1058"/>
      <c r="BF1" s="1058"/>
      <c r="BG1" s="1058"/>
      <c r="BH1" s="1058"/>
      <c r="BI1" s="1058"/>
      <c r="BJ1" s="1058"/>
      <c r="BK1" s="1058"/>
      <c r="BL1" s="1058"/>
      <c r="BM1" s="1058"/>
      <c r="BN1" s="1058"/>
      <c r="BO1" s="1058"/>
      <c r="BP1" s="1058"/>
      <c r="BQ1" s="1058"/>
      <c r="BR1" s="1058"/>
      <c r="BS1" s="1058"/>
      <c r="BT1" s="1058"/>
      <c r="BU1" s="1058"/>
      <c r="BV1" s="1058"/>
      <c r="BW1" s="1058"/>
      <c r="BX1" s="1058"/>
      <c r="BY1" s="1058"/>
      <c r="BZ1" s="1058"/>
      <c r="CA1" s="1058"/>
      <c r="CB1" s="1058"/>
      <c r="CC1" s="1058"/>
      <c r="CD1" s="1058"/>
      <c r="CE1" s="1058"/>
      <c r="CF1" s="1058"/>
      <c r="CG1" s="1058"/>
      <c r="CH1" s="1058"/>
      <c r="CI1" s="1058"/>
      <c r="CJ1" s="1058"/>
      <c r="CK1" s="1058"/>
      <c r="CL1" s="1058"/>
      <c r="CM1" s="1058"/>
      <c r="CN1" s="1058"/>
      <c r="CO1" s="29"/>
      <c r="CP1" s="30"/>
    </row>
    <row r="2" spans="1:94" ht="15.75" thickBo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3"/>
      <c r="CO2" s="34"/>
      <c r="CP2" s="30"/>
    </row>
    <row r="3" spans="1:94" ht="15" customHeight="1" thickBo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5"/>
      <c r="BL3" s="1059"/>
      <c r="BM3" s="1060"/>
      <c r="BN3" s="1060"/>
      <c r="BO3" s="1061"/>
      <c r="BP3" s="983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1068"/>
      <c r="CL3" s="1069"/>
      <c r="CM3" s="36"/>
      <c r="CN3" s="37"/>
      <c r="CO3" s="34"/>
      <c r="CP3" s="30"/>
    </row>
    <row r="4" spans="1:94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5"/>
      <c r="BL4" s="1062"/>
      <c r="BM4" s="1063"/>
      <c r="BN4" s="1063"/>
      <c r="BO4" s="1064"/>
      <c r="BP4" s="982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9"/>
      <c r="CO4" s="34"/>
      <c r="CP4" s="30"/>
    </row>
    <row r="5" spans="1:94" ht="15.75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5"/>
      <c r="BL5" s="1062"/>
      <c r="BM5" s="1063"/>
      <c r="BN5" s="1063"/>
      <c r="BO5" s="1064"/>
      <c r="BP5" s="982"/>
      <c r="BQ5" s="38"/>
      <c r="BR5" s="38"/>
      <c r="BS5" s="38"/>
      <c r="BT5" s="38"/>
      <c r="BZ5" s="40"/>
      <c r="CA5" s="40"/>
      <c r="CB5" s="40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870"/>
      <c r="CO5" s="34"/>
      <c r="CP5" s="30"/>
    </row>
    <row r="6" spans="1:94" ht="18.75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5"/>
      <c r="BL6" s="1062"/>
      <c r="BM6" s="1063"/>
      <c r="BN6" s="1063"/>
      <c r="BO6" s="1064"/>
      <c r="BP6" s="982"/>
      <c r="BQ6" s="38"/>
      <c r="BR6" s="38"/>
      <c r="BS6" s="38"/>
      <c r="BT6" s="38"/>
      <c r="BW6" s="42"/>
      <c r="BZ6" s="40"/>
      <c r="CA6" s="876"/>
      <c r="CB6" s="876"/>
      <c r="CC6" s="876"/>
      <c r="CD6" s="876"/>
      <c r="CE6" s="876"/>
      <c r="CF6" s="40"/>
      <c r="CG6" s="40"/>
      <c r="CH6" s="40"/>
      <c r="CI6" s="40"/>
      <c r="CJ6" s="40"/>
      <c r="CK6" s="31"/>
      <c r="CL6" s="31"/>
      <c r="CM6" s="31"/>
      <c r="CN6" s="870"/>
      <c r="CO6" s="34"/>
      <c r="CP6" s="30"/>
    </row>
    <row r="7" spans="1:94" ht="19.5" thickBo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5"/>
      <c r="BL7" s="1065"/>
      <c r="BM7" s="1066"/>
      <c r="BN7" s="1066"/>
      <c r="BO7" s="1067"/>
      <c r="BP7" s="982"/>
      <c r="BQ7" s="38"/>
      <c r="BR7" s="38"/>
      <c r="BS7" s="982"/>
      <c r="BT7" s="919"/>
      <c r="BU7" s="406"/>
      <c r="BV7" s="406"/>
      <c r="BW7" s="984"/>
      <c r="BX7" s="406"/>
      <c r="BY7" s="59"/>
      <c r="BZ7" s="31"/>
      <c r="CA7" s="976"/>
      <c r="CB7" s="993"/>
      <c r="CC7" s="993"/>
      <c r="CD7" s="993"/>
      <c r="CE7" s="876"/>
      <c r="CF7" s="40"/>
      <c r="CG7" s="40"/>
      <c r="CH7" s="40"/>
      <c r="CI7" s="40"/>
      <c r="CJ7" s="40"/>
      <c r="CK7" s="45"/>
      <c r="CL7" s="45"/>
      <c r="CM7" s="45"/>
      <c r="CN7" s="870"/>
      <c r="CO7" s="34"/>
      <c r="CP7" s="30"/>
    </row>
    <row r="8" spans="1:94" ht="18.75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5"/>
      <c r="BL8" s="43"/>
      <c r="BM8" s="38"/>
      <c r="BN8" s="38"/>
      <c r="BO8" s="38"/>
      <c r="BP8" s="38"/>
      <c r="BQ8" s="38"/>
      <c r="BR8" s="38"/>
      <c r="BS8" s="982"/>
      <c r="BT8" s="59"/>
      <c r="BU8" s="46"/>
      <c r="BV8" s="46"/>
      <c r="BW8" s="984"/>
      <c r="BX8" s="919"/>
      <c r="BY8" s="59"/>
      <c r="BZ8" s="31"/>
      <c r="CA8" s="976"/>
      <c r="CB8" s="993"/>
      <c r="CC8" s="876"/>
      <c r="CD8" s="993"/>
      <c r="CE8" s="876"/>
      <c r="CF8" s="40"/>
      <c r="CG8" s="40"/>
      <c r="CH8" s="876"/>
      <c r="CI8" s="876"/>
      <c r="CJ8" s="876"/>
      <c r="CK8" s="903"/>
      <c r="CL8" s="903"/>
      <c r="CM8" s="903"/>
      <c r="CN8" s="870"/>
      <c r="CO8" s="34"/>
      <c r="CP8" s="30"/>
    </row>
    <row r="9" spans="1:94" ht="18.75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4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5"/>
      <c r="BL9" s="43"/>
      <c r="BM9" s="47"/>
      <c r="BN9" s="47"/>
      <c r="BO9" s="882"/>
      <c r="BP9" s="982"/>
      <c r="BQ9" s="982"/>
      <c r="BR9" s="406"/>
      <c r="BS9" s="406"/>
      <c r="BT9" s="982"/>
      <c r="BU9" s="984"/>
      <c r="BV9" s="984"/>
      <c r="BW9" s="984"/>
      <c r="BX9" s="406"/>
      <c r="BY9" s="406"/>
      <c r="BZ9" s="31"/>
      <c r="CA9" s="406"/>
      <c r="CB9" s="993"/>
      <c r="CC9" s="876"/>
      <c r="CD9" s="993"/>
      <c r="CE9" s="876"/>
      <c r="CF9" s="40"/>
      <c r="CG9" s="40"/>
      <c r="CH9" s="876"/>
      <c r="CI9" s="876"/>
      <c r="CJ9" s="876"/>
      <c r="CK9" s="903"/>
      <c r="CL9" s="903"/>
      <c r="CM9" s="903"/>
      <c r="CN9" s="994"/>
      <c r="CO9" s="34"/>
      <c r="CP9" s="30"/>
    </row>
    <row r="10" spans="1:94" ht="18.75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4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5"/>
      <c r="BL10" s="43"/>
      <c r="BM10" s="47"/>
      <c r="BN10" s="47"/>
      <c r="BO10" s="882"/>
      <c r="BP10" s="982"/>
      <c r="BQ10" s="982"/>
      <c r="BR10" s="406"/>
      <c r="BS10" s="406"/>
      <c r="BT10" s="896"/>
      <c r="BU10" s="924"/>
      <c r="BV10" s="924"/>
      <c r="BW10" s="406"/>
      <c r="BX10" s="406"/>
      <c r="BY10" s="406"/>
      <c r="BZ10" s="40"/>
      <c r="CA10" s="406"/>
      <c r="CB10" s="406"/>
      <c r="CC10" s="993"/>
      <c r="CD10" s="993"/>
      <c r="CE10" s="876"/>
      <c r="CF10" s="40"/>
      <c r="CG10" s="40"/>
      <c r="CH10" s="876"/>
      <c r="CI10" s="876"/>
      <c r="CJ10" s="876"/>
      <c r="CK10" s="903"/>
      <c r="CL10" s="903"/>
      <c r="CM10" s="903"/>
      <c r="CN10" s="994"/>
      <c r="CO10" s="34"/>
      <c r="CP10" s="30"/>
    </row>
    <row r="11" spans="1:94" ht="18.75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4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5"/>
      <c r="BL11" s="43"/>
      <c r="BM11" s="47"/>
      <c r="BN11" s="47"/>
      <c r="BO11" s="882"/>
      <c r="BP11" s="890"/>
      <c r="BQ11" s="890"/>
      <c r="BR11" s="406"/>
      <c r="BS11" s="406"/>
      <c r="BT11" s="924"/>
      <c r="BU11" s="971"/>
      <c r="BV11" s="971"/>
      <c r="BW11" s="924"/>
      <c r="BX11" s="406"/>
      <c r="BY11" s="984"/>
      <c r="BZ11" s="40"/>
      <c r="CA11" s="876"/>
      <c r="CB11" s="876"/>
      <c r="CC11" s="876"/>
      <c r="CD11" s="876"/>
      <c r="CE11" s="876"/>
      <c r="CF11" s="40"/>
      <c r="CG11" s="40"/>
      <c r="CH11" s="876"/>
      <c r="CI11" s="876"/>
      <c r="CJ11" s="870"/>
      <c r="CK11" s="903"/>
      <c r="CL11" s="903"/>
      <c r="CM11" s="903"/>
      <c r="CN11" s="994"/>
      <c r="CO11" s="34"/>
      <c r="CP11" s="30"/>
    </row>
    <row r="12" spans="1:94" ht="18.75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40"/>
      <c r="V12" s="31"/>
      <c r="W12" s="40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5"/>
      <c r="BL12" s="43"/>
      <c r="BM12" s="47"/>
      <c r="BN12" s="47"/>
      <c r="BO12" s="882"/>
      <c r="BP12" s="890"/>
      <c r="BQ12" s="890"/>
      <c r="BR12" s="406"/>
      <c r="BS12" s="406"/>
      <c r="BT12" s="924"/>
      <c r="BU12" s="971"/>
      <c r="BV12" s="971"/>
      <c r="BW12" s="924"/>
      <c r="BX12" s="59"/>
      <c r="BY12" s="984"/>
      <c r="BZ12" s="40"/>
      <c r="CA12" s="876"/>
      <c r="CB12" s="876"/>
      <c r="CC12" s="876"/>
      <c r="CD12" s="876"/>
      <c r="CE12" s="876"/>
      <c r="CF12" s="40"/>
      <c r="CG12" s="40"/>
      <c r="CH12" s="876"/>
      <c r="CI12" s="870"/>
      <c r="CJ12" s="876"/>
      <c r="CK12" s="870"/>
      <c r="CL12" s="903"/>
      <c r="CM12" s="903"/>
      <c r="CN12" s="870"/>
      <c r="CO12" s="34"/>
      <c r="CP12" s="30"/>
    </row>
    <row r="13" spans="1:94" ht="18.75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40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5"/>
      <c r="BL13" s="43"/>
      <c r="BM13" s="47"/>
      <c r="BN13" s="47"/>
      <c r="BO13" s="882"/>
      <c r="BP13" s="982"/>
      <c r="BQ13" s="982"/>
      <c r="BR13" s="406"/>
      <c r="BS13" s="406"/>
      <c r="BT13" s="982"/>
      <c r="BU13" s="924"/>
      <c r="BV13" s="924"/>
      <c r="BW13" s="982"/>
      <c r="BX13" s="982"/>
      <c r="BY13" s="984"/>
      <c r="BZ13" s="40"/>
      <c r="CA13" s="40"/>
      <c r="CB13" s="40"/>
      <c r="CC13" s="40"/>
      <c r="CD13" s="40"/>
      <c r="CE13" s="40"/>
      <c r="CF13" s="40"/>
      <c r="CG13" s="40"/>
      <c r="CH13" s="870"/>
      <c r="CI13" s="876"/>
      <c r="CJ13" s="406"/>
      <c r="CK13" s="406"/>
      <c r="CL13" s="870"/>
      <c r="CM13" s="903"/>
      <c r="CN13" s="870"/>
      <c r="CO13" s="34"/>
      <c r="CP13" s="30"/>
    </row>
    <row r="14" spans="1:94" ht="18.75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40"/>
      <c r="V14" s="40"/>
      <c r="W14" s="4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5"/>
      <c r="BL14" s="43"/>
      <c r="BM14" s="47"/>
      <c r="BN14" s="47"/>
      <c r="BO14" s="882"/>
      <c r="BP14" s="982"/>
      <c r="BQ14" s="982"/>
      <c r="BR14" s="406"/>
      <c r="BS14" s="406"/>
      <c r="BT14" s="982"/>
      <c r="BU14" s="984"/>
      <c r="BV14" s="984"/>
      <c r="BW14" s="406"/>
      <c r="BX14" s="406"/>
      <c r="BY14" s="984"/>
      <c r="CA14" s="876"/>
      <c r="CB14" s="876"/>
      <c r="CC14" s="876"/>
      <c r="CD14" s="876"/>
      <c r="CE14" s="876"/>
      <c r="CF14" s="876"/>
      <c r="CG14" s="40"/>
      <c r="CH14" s="876"/>
      <c r="CI14" s="870"/>
      <c r="CJ14" s="406"/>
      <c r="CK14" s="870"/>
      <c r="CL14" s="903"/>
      <c r="CM14" s="903"/>
      <c r="CN14" s="870"/>
      <c r="CO14" s="34"/>
      <c r="CP14" s="30"/>
    </row>
    <row r="15" spans="1:94" ht="18.75" x14ac:dyDescent="0.2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31"/>
      <c r="BC15" s="31"/>
      <c r="BD15" s="31"/>
      <c r="BE15" s="31"/>
      <c r="BF15" s="31"/>
      <c r="BG15" s="31"/>
      <c r="BH15" s="31"/>
      <c r="BI15" s="31"/>
      <c r="BJ15" s="31"/>
      <c r="BK15" s="35"/>
      <c r="BL15" s="56"/>
      <c r="BM15" s="47"/>
      <c r="BN15" s="47"/>
      <c r="BO15" s="882"/>
      <c r="BP15" s="975"/>
      <c r="BQ15" s="975"/>
      <c r="BR15" s="406"/>
      <c r="BS15" s="406"/>
      <c r="BT15" s="975"/>
      <c r="BU15" s="897"/>
      <c r="BV15" s="897"/>
      <c r="BW15" s="59"/>
      <c r="BX15" s="60"/>
      <c r="BY15" s="984"/>
      <c r="CA15" s="406"/>
      <c r="CB15" s="406"/>
      <c r="CC15" s="406"/>
      <c r="CD15" s="406"/>
      <c r="CE15" s="876"/>
      <c r="CF15" s="876"/>
      <c r="CG15" s="40"/>
      <c r="CH15" s="876"/>
      <c r="CI15" s="876"/>
      <c r="CJ15" s="870"/>
      <c r="CK15" s="406"/>
      <c r="CL15" s="903"/>
      <c r="CM15" s="903"/>
      <c r="CN15" s="995"/>
      <c r="CO15" s="34"/>
      <c r="CP15" s="30"/>
    </row>
    <row r="16" spans="1:94" ht="19.5" thickBot="1" x14ac:dyDescent="0.3">
      <c r="A16" s="53"/>
      <c r="B16" s="62"/>
      <c r="C16" s="62"/>
      <c r="D16" s="62"/>
      <c r="E16" s="62"/>
      <c r="F16" s="62"/>
      <c r="G16" s="62"/>
      <c r="H16" s="62"/>
      <c r="I16" s="63"/>
      <c r="J16" s="62"/>
      <c r="K16" s="64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6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7"/>
      <c r="BL16" s="68"/>
      <c r="BM16" s="47"/>
      <c r="BN16" s="47"/>
      <c r="BO16" s="882"/>
      <c r="BP16" s="975"/>
      <c r="BQ16" s="975"/>
      <c r="BR16" s="406"/>
      <c r="BS16" s="984"/>
      <c r="BT16" s="897"/>
      <c r="BU16" s="971"/>
      <c r="BV16" s="971"/>
      <c r="BW16" s="897"/>
      <c r="BX16" s="984"/>
      <c r="BY16" s="984"/>
      <c r="CA16" s="870"/>
      <c r="CB16" s="870"/>
      <c r="CC16" s="870"/>
      <c r="CD16" s="870"/>
      <c r="CE16" s="870"/>
      <c r="CF16" s="876"/>
      <c r="CG16" s="40"/>
      <c r="CH16" s="876"/>
      <c r="CI16" s="876"/>
      <c r="CJ16" s="876"/>
      <c r="CK16" s="903"/>
      <c r="CL16" s="903"/>
      <c r="CM16" s="914"/>
      <c r="CN16" s="995"/>
      <c r="CO16" s="34"/>
      <c r="CP16" s="30"/>
    </row>
    <row r="17" spans="1:94" ht="23.25" x14ac:dyDescent="0.25">
      <c r="A17" s="70"/>
      <c r="C17" s="406"/>
      <c r="D17" s="870"/>
      <c r="F17" s="9">
        <v>100</v>
      </c>
      <c r="G17" s="9">
        <v>100</v>
      </c>
      <c r="H17" s="72">
        <v>100</v>
      </c>
      <c r="I17" s="72">
        <v>100</v>
      </c>
      <c r="J17" s="916"/>
      <c r="K17" s="916"/>
      <c r="L17" s="916"/>
      <c r="M17" s="916"/>
      <c r="N17" s="917"/>
      <c r="O17" s="917"/>
      <c r="P17" s="917"/>
      <c r="Q17" s="917"/>
      <c r="R17" s="917"/>
      <c r="S17" s="917"/>
      <c r="T17" s="917"/>
      <c r="U17" s="878"/>
      <c r="V17" s="878"/>
      <c r="W17" s="878"/>
      <c r="X17" s="878"/>
      <c r="Y17" s="877"/>
      <c r="Z17" s="877"/>
      <c r="AA17" s="999"/>
      <c r="AB17" s="999"/>
      <c r="AC17" s="1000"/>
      <c r="AD17" s="849"/>
      <c r="AE17" s="850"/>
      <c r="AF17" s="850"/>
      <c r="AG17" s="851"/>
      <c r="AH17" s="82"/>
      <c r="AI17" s="83">
        <v>100</v>
      </c>
      <c r="AJ17" s="83">
        <v>100</v>
      </c>
      <c r="AK17" s="17">
        <v>100</v>
      </c>
      <c r="AL17" s="16">
        <v>100</v>
      </c>
      <c r="AM17" s="12">
        <v>100</v>
      </c>
      <c r="AN17" s="72">
        <v>100</v>
      </c>
      <c r="AO17" s="72">
        <v>100</v>
      </c>
      <c r="AP17" s="72">
        <v>100</v>
      </c>
      <c r="AQ17" s="84"/>
      <c r="AR17" s="965"/>
      <c r="AS17" s="965"/>
      <c r="AT17" s="965"/>
      <c r="AU17" s="965"/>
      <c r="AV17" s="965"/>
      <c r="AW17" s="12">
        <v>100</v>
      </c>
      <c r="AX17" s="12">
        <v>100</v>
      </c>
      <c r="AY17" s="19">
        <v>100</v>
      </c>
      <c r="AZ17" s="19">
        <v>100</v>
      </c>
      <c r="BA17" s="20">
        <v>100</v>
      </c>
      <c r="BB17" s="82"/>
      <c r="BC17" s="86"/>
      <c r="BD17" s="910"/>
      <c r="BE17" s="126"/>
      <c r="BF17" s="968"/>
      <c r="BG17" s="968"/>
      <c r="BH17" s="968"/>
      <c r="BI17" s="968"/>
      <c r="BJ17" s="88"/>
      <c r="BK17" s="88"/>
      <c r="BL17" s="90"/>
      <c r="BM17" s="47"/>
      <c r="BN17" s="47"/>
      <c r="BO17" s="882"/>
      <c r="BP17" s="872"/>
      <c r="BQ17" s="872"/>
      <c r="BR17" s="406"/>
      <c r="BS17" s="984"/>
      <c r="BT17" s="897"/>
      <c r="BU17" s="971"/>
      <c r="BV17" s="971"/>
      <c r="BW17" s="897"/>
      <c r="BX17" s="984"/>
      <c r="BY17" s="984"/>
      <c r="BZ17" s="406"/>
      <c r="CA17" s="870"/>
      <c r="CB17" s="870"/>
      <c r="CC17" s="870"/>
      <c r="CD17" s="870"/>
      <c r="CE17" s="870"/>
      <c r="CF17" s="876"/>
      <c r="CG17" s="40"/>
      <c r="CH17" s="876"/>
      <c r="CI17" s="876"/>
      <c r="CJ17" s="876"/>
      <c r="CK17" s="903"/>
      <c r="CL17" s="903"/>
      <c r="CM17" s="914"/>
      <c r="CN17" s="995"/>
      <c r="CO17" s="34"/>
      <c r="CP17" s="30"/>
    </row>
    <row r="18" spans="1:94" ht="24" thickBot="1" x14ac:dyDescent="0.35">
      <c r="A18" s="70"/>
      <c r="B18" s="45"/>
      <c r="C18" s="45"/>
      <c r="D18" s="40"/>
      <c r="E18" s="40"/>
      <c r="F18" s="82" t="s">
        <v>171</v>
      </c>
      <c r="G18" s="82" t="s">
        <v>171</v>
      </c>
      <c r="H18" s="82" t="s">
        <v>171</v>
      </c>
      <c r="I18" s="82" t="s">
        <v>171</v>
      </c>
      <c r="AE18" s="92" t="s">
        <v>172</v>
      </c>
      <c r="AH18" s="84"/>
      <c r="AI18" s="82" t="s">
        <v>171</v>
      </c>
      <c r="AJ18" s="82" t="s">
        <v>171</v>
      </c>
      <c r="AK18" s="82" t="s">
        <v>171</v>
      </c>
      <c r="AL18" s="82" t="s">
        <v>171</v>
      </c>
      <c r="AM18" s="82" t="s">
        <v>171</v>
      </c>
      <c r="AN18" s="82" t="s">
        <v>171</v>
      </c>
      <c r="AO18" s="82" t="s">
        <v>171</v>
      </c>
      <c r="AP18" s="82" t="s">
        <v>171</v>
      </c>
      <c r="AQ18" s="93" t="s">
        <v>173</v>
      </c>
      <c r="AR18" s="1363"/>
      <c r="AS18" s="1363"/>
      <c r="AT18" s="1363"/>
      <c r="AU18" s="94"/>
      <c r="AV18" s="966"/>
      <c r="AW18" s="82" t="s">
        <v>171</v>
      </c>
      <c r="AX18" s="82" t="s">
        <v>171</v>
      </c>
      <c r="AY18" s="82" t="s">
        <v>171</v>
      </c>
      <c r="AZ18" s="82" t="s">
        <v>171</v>
      </c>
      <c r="BA18" s="82" t="s">
        <v>171</v>
      </c>
      <c r="BB18" s="84"/>
      <c r="BC18" s="406"/>
      <c r="BD18" s="923"/>
      <c r="BE18" s="910"/>
      <c r="BF18" s="406"/>
      <c r="BG18" s="910"/>
      <c r="BH18" s="406"/>
      <c r="BI18" s="910"/>
      <c r="BK18" s="87"/>
      <c r="BL18" s="90"/>
      <c r="BM18" s="47"/>
      <c r="BN18" s="47"/>
      <c r="BO18" s="882"/>
      <c r="BP18" s="872"/>
      <c r="BQ18" s="872"/>
      <c r="BR18" s="406"/>
      <c r="BS18" s="984"/>
      <c r="BT18" s="897"/>
      <c r="BU18" s="971"/>
      <c r="BV18" s="971"/>
      <c r="BW18" s="897"/>
      <c r="BX18" s="984"/>
      <c r="BY18" s="984"/>
      <c r="BZ18" s="406"/>
      <c r="CA18" s="985"/>
      <c r="CB18" s="985"/>
      <c r="CC18" s="985"/>
      <c r="CD18" s="985"/>
      <c r="CE18" s="406"/>
      <c r="CF18" s="903"/>
      <c r="CG18" s="45"/>
      <c r="CH18" s="97"/>
      <c r="CI18" s="45"/>
      <c r="CJ18" s="45"/>
      <c r="CK18" s="45"/>
      <c r="CL18" s="45"/>
      <c r="CM18" s="38"/>
      <c r="CN18" s="996"/>
      <c r="CO18" s="29"/>
      <c r="CP18" s="30"/>
    </row>
    <row r="19" spans="1:94" ht="18.75" x14ac:dyDescent="0.3">
      <c r="A19" s="70"/>
      <c r="B19" s="45"/>
      <c r="C19" s="45"/>
      <c r="D19" s="31"/>
      <c r="E19" s="31"/>
      <c r="F19" s="98">
        <v>1</v>
      </c>
      <c r="G19" s="99">
        <v>2</v>
      </c>
      <c r="H19" s="99">
        <v>3</v>
      </c>
      <c r="I19" s="98">
        <v>4</v>
      </c>
      <c r="L19" s="100"/>
      <c r="Z19" s="101"/>
      <c r="AA19" s="1071" t="s">
        <v>176</v>
      </c>
      <c r="AB19" s="1071"/>
      <c r="AC19" s="1071"/>
      <c r="AD19" s="1071"/>
      <c r="AE19" s="102"/>
      <c r="AH19" s="92"/>
      <c r="AI19" s="103">
        <v>1</v>
      </c>
      <c r="AJ19" s="103">
        <v>2</v>
      </c>
      <c r="AK19" s="103">
        <v>3</v>
      </c>
      <c r="AL19" s="104">
        <v>4</v>
      </c>
      <c r="AM19" s="103">
        <v>5</v>
      </c>
      <c r="AN19" s="103">
        <v>6</v>
      </c>
      <c r="AO19" s="104">
        <v>7</v>
      </c>
      <c r="AP19" s="104">
        <v>8</v>
      </c>
      <c r="AQ19" s="103"/>
      <c r="AR19" s="871"/>
      <c r="AS19" s="871"/>
      <c r="AT19" s="871"/>
      <c r="AU19" s="871"/>
      <c r="AV19" s="871"/>
      <c r="AW19" s="104">
        <v>13</v>
      </c>
      <c r="AX19" s="104">
        <v>14</v>
      </c>
      <c r="AY19" s="103">
        <v>15</v>
      </c>
      <c r="AZ19" s="104">
        <v>16</v>
      </c>
      <c r="BA19" s="104">
        <v>17</v>
      </c>
      <c r="BB19" s="92" t="s">
        <v>177</v>
      </c>
      <c r="BC19" s="126"/>
      <c r="BD19" s="126"/>
      <c r="BE19" s="126"/>
      <c r="BF19" s="126"/>
      <c r="BG19" s="969"/>
      <c r="BH19" s="126"/>
      <c r="BI19" s="126"/>
      <c r="BJ19" s="88"/>
      <c r="BK19" s="88"/>
      <c r="BL19" s="90"/>
      <c r="BM19" s="47"/>
      <c r="BN19" s="47"/>
      <c r="BO19" s="882"/>
      <c r="BP19" s="872"/>
      <c r="BQ19" s="872"/>
      <c r="BR19" s="406"/>
      <c r="BS19" s="984"/>
      <c r="BT19" s="984"/>
      <c r="BU19" s="897"/>
      <c r="BV19" s="897"/>
      <c r="BW19" s="984"/>
      <c r="BX19" s="984"/>
      <c r="BY19" s="984"/>
      <c r="BZ19" s="986"/>
      <c r="CA19" s="986"/>
      <c r="CB19" s="986"/>
      <c r="CC19" s="986"/>
      <c r="CD19" s="987"/>
      <c r="CE19" s="991"/>
      <c r="CF19" s="992"/>
      <c r="CG19" s="108"/>
      <c r="CH19" s="108"/>
      <c r="CI19" s="109"/>
      <c r="CJ19" s="110"/>
      <c r="CK19" s="110"/>
      <c r="CL19" s="110"/>
      <c r="CM19" s="110"/>
      <c r="CN19" s="997"/>
      <c r="CO19" s="29"/>
      <c r="CP19" s="30"/>
    </row>
    <row r="20" spans="1:94" ht="21" x14ac:dyDescent="0.3">
      <c r="A20" s="70"/>
      <c r="B20" s="31"/>
      <c r="C20" s="97"/>
      <c r="D20" s="112"/>
      <c r="E20" s="97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92" t="s">
        <v>178</v>
      </c>
      <c r="V20" s="98">
        <v>1</v>
      </c>
      <c r="W20" s="99">
        <v>2</v>
      </c>
      <c r="X20" s="99">
        <v>3</v>
      </c>
      <c r="Y20" s="98">
        <v>1</v>
      </c>
      <c r="Z20" s="113" t="s">
        <v>179</v>
      </c>
      <c r="AA20" s="99">
        <v>2</v>
      </c>
      <c r="AB20" s="99">
        <v>3</v>
      </c>
      <c r="AC20" s="98">
        <v>1</v>
      </c>
      <c r="AD20" s="99">
        <v>2</v>
      </c>
      <c r="AE20" s="114" t="s">
        <v>180</v>
      </c>
      <c r="AF20" s="104">
        <v>3</v>
      </c>
      <c r="AG20" s="103">
        <v>1</v>
      </c>
      <c r="AH20" s="104">
        <v>2</v>
      </c>
      <c r="AI20" s="104">
        <v>3</v>
      </c>
      <c r="AK20" s="92" t="s">
        <v>181</v>
      </c>
      <c r="AL20" s="98">
        <v>1</v>
      </c>
      <c r="AM20" s="99">
        <v>2</v>
      </c>
      <c r="AN20" s="99">
        <v>3</v>
      </c>
      <c r="AO20" s="98">
        <v>4</v>
      </c>
      <c r="AP20" s="99">
        <v>5</v>
      </c>
      <c r="AQ20" s="115"/>
      <c r="AR20" s="871"/>
      <c r="AS20" s="871"/>
      <c r="AT20" s="871"/>
      <c r="AU20" s="871"/>
      <c r="AV20" s="871"/>
      <c r="AW20" s="871"/>
      <c r="AX20" s="406"/>
      <c r="AY20" s="406"/>
      <c r="AZ20" s="406"/>
      <c r="BA20" s="882"/>
      <c r="BB20" s="406"/>
      <c r="BC20" s="871"/>
      <c r="BD20" s="406"/>
      <c r="BE20" s="406"/>
      <c r="BF20" s="406"/>
      <c r="BG20" s="406"/>
      <c r="BH20" s="406"/>
      <c r="BI20" s="406"/>
      <c r="BJ20" s="100"/>
      <c r="BL20" s="90"/>
      <c r="BM20" s="57"/>
      <c r="BN20" s="57"/>
      <c r="BO20" s="975"/>
      <c r="BP20" s="975"/>
      <c r="BQ20" s="975"/>
      <c r="BR20" s="975"/>
      <c r="BS20" s="976"/>
      <c r="BT20" s="984"/>
      <c r="BU20" s="984"/>
      <c r="BV20" s="984"/>
      <c r="BW20" s="984"/>
      <c r="BX20" s="984"/>
      <c r="BY20" s="984"/>
      <c r="BZ20" s="988"/>
      <c r="CA20" s="988"/>
      <c r="CB20" s="989"/>
      <c r="CC20" s="989"/>
      <c r="CD20" s="987"/>
      <c r="CE20" s="118"/>
      <c r="CF20" s="119"/>
      <c r="CG20" s="119"/>
      <c r="CH20" s="119"/>
      <c r="CI20" s="120"/>
      <c r="CJ20" s="42"/>
      <c r="CK20" s="42"/>
      <c r="CL20" s="42"/>
      <c r="CM20" s="42"/>
      <c r="CN20" s="998"/>
      <c r="CO20" s="29"/>
      <c r="CP20" s="30"/>
    </row>
    <row r="21" spans="1:94" ht="21" x14ac:dyDescent="0.3">
      <c r="A21" s="70"/>
      <c r="B21" s="31"/>
      <c r="C21" s="97"/>
      <c r="D21" s="112"/>
      <c r="E21" s="406"/>
      <c r="F21" s="871"/>
      <c r="G21" s="871"/>
      <c r="H21" s="871"/>
      <c r="I21" s="871"/>
      <c r="J21" s="871"/>
      <c r="K21" s="871"/>
      <c r="L21" s="871"/>
      <c r="M21" s="871"/>
      <c r="N21" s="871"/>
      <c r="O21" s="871"/>
      <c r="P21" s="871"/>
      <c r="Q21" s="871"/>
      <c r="R21" s="871"/>
      <c r="S21" s="871"/>
      <c r="T21" s="100"/>
      <c r="U21" s="99"/>
      <c r="V21" s="122" t="s">
        <v>182</v>
      </c>
      <c r="W21" s="122" t="s">
        <v>182</v>
      </c>
      <c r="X21" s="122" t="s">
        <v>182</v>
      </c>
      <c r="Y21" s="122" t="s">
        <v>182</v>
      </c>
      <c r="Z21" s="123" t="s">
        <v>180</v>
      </c>
      <c r="AA21" s="122" t="s">
        <v>182</v>
      </c>
      <c r="AB21" s="122" t="s">
        <v>182</v>
      </c>
      <c r="AC21" s="122" t="s">
        <v>182</v>
      </c>
      <c r="AD21" s="122" t="s">
        <v>182</v>
      </c>
      <c r="AE21" s="124"/>
      <c r="AF21" s="122" t="s">
        <v>182</v>
      </c>
      <c r="AG21" s="125" t="s">
        <v>182</v>
      </c>
      <c r="AH21" s="125" t="s">
        <v>182</v>
      </c>
      <c r="AI21" s="125" t="s">
        <v>182</v>
      </c>
      <c r="AJ21" s="99"/>
      <c r="AK21" s="99"/>
      <c r="AL21" s="82" t="s">
        <v>182</v>
      </c>
      <c r="AM21" s="82" t="s">
        <v>182</v>
      </c>
      <c r="AN21" s="82" t="s">
        <v>182</v>
      </c>
      <c r="AO21" s="82" t="s">
        <v>182</v>
      </c>
      <c r="AP21" s="82" t="s">
        <v>182</v>
      </c>
      <c r="AQ21" s="92" t="s">
        <v>183</v>
      </c>
      <c r="AR21" s="406"/>
      <c r="AS21" s="1072"/>
      <c r="AT21" s="1072"/>
      <c r="AU21" s="1072"/>
      <c r="AV21" s="1072"/>
      <c r="AW21" s="871"/>
      <c r="AX21" s="126"/>
      <c r="AY21" s="126"/>
      <c r="AZ21" s="406"/>
      <c r="BA21" s="882"/>
      <c r="BB21" s="406"/>
      <c r="BC21" s="871"/>
      <c r="BD21" s="898"/>
      <c r="BE21" s="129"/>
      <c r="BF21" s="129"/>
      <c r="BG21" s="129"/>
      <c r="BH21" s="129"/>
      <c r="BI21" s="970"/>
      <c r="BJ21" s="100"/>
      <c r="BL21" s="90"/>
      <c r="BM21" s="57"/>
      <c r="BN21" s="57"/>
      <c r="BO21" s="57"/>
      <c r="BP21" s="57"/>
      <c r="BQ21" s="57"/>
      <c r="BR21" s="57"/>
      <c r="BS21" s="31"/>
      <c r="BT21" s="42"/>
      <c r="BU21" s="42"/>
      <c r="BV21" s="42"/>
      <c r="BW21" s="42"/>
      <c r="BX21" s="984"/>
      <c r="BY21" s="984"/>
      <c r="BZ21" s="871"/>
      <c r="CA21" s="871"/>
      <c r="CB21" s="871"/>
      <c r="CC21" s="871"/>
      <c r="CD21" s="871"/>
      <c r="CE21" s="131"/>
      <c r="CF21" s="120"/>
      <c r="CG21" s="42"/>
      <c r="CH21" s="42"/>
      <c r="CI21" s="42"/>
      <c r="CJ21" s="42"/>
      <c r="CK21" s="42"/>
      <c r="CL21" s="42"/>
      <c r="CM21" s="42"/>
      <c r="CN21" s="121"/>
      <c r="CO21" s="29"/>
      <c r="CP21" s="30"/>
    </row>
    <row r="22" spans="1:94" ht="24" thickBot="1" x14ac:dyDescent="0.3">
      <c r="A22" s="70"/>
      <c r="B22" s="31"/>
      <c r="C22" s="97"/>
      <c r="D22" s="112"/>
      <c r="E22" s="406"/>
      <c r="F22" s="872"/>
      <c r="G22" s="872"/>
      <c r="H22" s="872"/>
      <c r="I22" s="872"/>
      <c r="J22" s="873"/>
      <c r="K22" s="874"/>
      <c r="L22" s="871"/>
      <c r="M22" s="875"/>
      <c r="N22" s="877"/>
      <c r="O22" s="883"/>
      <c r="P22" s="884"/>
      <c r="Q22" s="885"/>
      <c r="R22" s="886"/>
      <c r="S22" s="871"/>
      <c r="T22" s="100"/>
      <c r="U22" s="141"/>
      <c r="V22" s="852">
        <v>100</v>
      </c>
      <c r="W22" s="143">
        <v>100</v>
      </c>
      <c r="X22" s="10">
        <v>100</v>
      </c>
      <c r="Y22" s="853">
        <v>100</v>
      </c>
      <c r="Z22" s="145"/>
      <c r="AA22" s="146">
        <v>200</v>
      </c>
      <c r="AB22" s="146">
        <v>200</v>
      </c>
      <c r="AC22" s="146">
        <v>200</v>
      </c>
      <c r="AD22" s="18">
        <v>200</v>
      </c>
      <c r="AE22" s="147"/>
      <c r="AF22" s="854">
        <v>100</v>
      </c>
      <c r="AG22" s="9">
        <v>100</v>
      </c>
      <c r="AH22" s="15">
        <v>100</v>
      </c>
      <c r="AI22" s="15">
        <v>100</v>
      </c>
      <c r="AJ22" s="141"/>
      <c r="AK22" s="141"/>
      <c r="AL22" s="143">
        <v>200</v>
      </c>
      <c r="AM22" s="143">
        <v>200</v>
      </c>
      <c r="AN22" s="11">
        <v>200</v>
      </c>
      <c r="AO22" s="10">
        <v>200</v>
      </c>
      <c r="AP22" s="10">
        <v>200</v>
      </c>
      <c r="AQ22" s="149"/>
      <c r="AR22" s="406"/>
      <c r="AS22" s="965"/>
      <c r="AT22" s="965"/>
      <c r="AU22" s="965"/>
      <c r="AV22" s="965"/>
      <c r="AW22" s="871"/>
      <c r="AX22" s="967"/>
      <c r="AY22" s="967"/>
      <c r="AZ22" s="967"/>
      <c r="BA22" s="882"/>
      <c r="BB22" s="406"/>
      <c r="BC22" s="871"/>
      <c r="BD22" s="871"/>
      <c r="BE22" s="953"/>
      <c r="BF22" s="953"/>
      <c r="BG22" s="953"/>
      <c r="BH22" s="152"/>
      <c r="BI22" s="971"/>
      <c r="BJ22" s="100"/>
      <c r="BL22" s="972"/>
      <c r="BM22" s="57"/>
      <c r="BN22" s="57"/>
      <c r="BO22" s="57"/>
      <c r="BP22" s="57"/>
      <c r="BQ22" s="57"/>
      <c r="BR22" s="57"/>
      <c r="BS22" s="31"/>
      <c r="BT22" s="42"/>
      <c r="BU22" s="42"/>
      <c r="BV22" s="42"/>
      <c r="BW22" s="42"/>
      <c r="BX22" s="984"/>
      <c r="BY22" s="984"/>
      <c r="BZ22" s="871"/>
      <c r="CA22" s="871"/>
      <c r="CB22" s="871"/>
      <c r="CC22" s="871"/>
      <c r="CD22" s="871"/>
      <c r="CE22" s="131"/>
      <c r="CF22" s="120"/>
      <c r="CG22" s="42"/>
      <c r="CH22" s="42"/>
      <c r="CI22" s="42"/>
      <c r="CJ22" s="42"/>
      <c r="CK22" s="42"/>
      <c r="CL22" s="42"/>
      <c r="CM22" s="42"/>
      <c r="CN22" s="121"/>
      <c r="CO22" s="29"/>
      <c r="CP22" s="30"/>
    </row>
    <row r="23" spans="1:94" ht="23.25" x14ac:dyDescent="0.25">
      <c r="A23" s="70"/>
      <c r="B23" s="31"/>
      <c r="C23" s="97"/>
      <c r="D23" s="112"/>
      <c r="E23" s="876"/>
      <c r="F23" s="877"/>
      <c r="G23" s="878"/>
      <c r="H23" s="878"/>
      <c r="I23" s="879"/>
      <c r="J23" s="877"/>
      <c r="K23" s="880"/>
      <c r="L23" s="871"/>
      <c r="M23" s="881"/>
      <c r="N23" s="884"/>
      <c r="O23" s="887"/>
      <c r="P23" s="887"/>
      <c r="Q23" s="888"/>
      <c r="R23" s="889"/>
      <c r="S23" s="871"/>
      <c r="T23" s="100"/>
      <c r="U23" s="141"/>
      <c r="V23" s="72">
        <v>100</v>
      </c>
      <c r="W23" s="72">
        <v>100</v>
      </c>
      <c r="X23" s="9">
        <v>100</v>
      </c>
      <c r="Y23" s="9">
        <v>100</v>
      </c>
      <c r="Z23" s="145"/>
      <c r="AA23" s="146">
        <v>200</v>
      </c>
      <c r="AB23" s="13">
        <v>200</v>
      </c>
      <c r="AC23" s="18">
        <v>200</v>
      </c>
      <c r="AD23" s="21">
        <v>200</v>
      </c>
      <c r="AE23" s="147"/>
      <c r="AF23" s="855">
        <v>100</v>
      </c>
      <c r="AG23" s="83">
        <v>100</v>
      </c>
      <c r="AH23" s="83">
        <v>100</v>
      </c>
      <c r="AI23" s="83">
        <v>100</v>
      </c>
      <c r="AJ23" s="141"/>
      <c r="AK23" s="141"/>
      <c r="AL23" s="15">
        <v>200</v>
      </c>
      <c r="AM23" s="15">
        <v>200</v>
      </c>
      <c r="AN23" s="14">
        <v>200</v>
      </c>
      <c r="AO23" s="9">
        <v>200</v>
      </c>
      <c r="AP23" s="9">
        <v>200</v>
      </c>
      <c r="AQ23" s="149"/>
      <c r="AR23" s="406"/>
      <c r="AS23" s="965"/>
      <c r="AT23" s="965"/>
      <c r="AU23" s="965"/>
      <c r="AV23" s="965"/>
      <c r="AW23" s="871"/>
      <c r="AX23" s="967"/>
      <c r="AY23" s="967"/>
      <c r="AZ23" s="967"/>
      <c r="BA23" s="882"/>
      <c r="BB23" s="406"/>
      <c r="BC23" s="871"/>
      <c r="BD23" s="871"/>
      <c r="BE23" s="953"/>
      <c r="BF23" s="953"/>
      <c r="BG23" s="953"/>
      <c r="BH23" s="161"/>
      <c r="BI23" s="971"/>
      <c r="BJ23" s="100"/>
      <c r="BL23" s="1073"/>
      <c r="BM23" s="31"/>
      <c r="BN23" s="31"/>
      <c r="BO23" s="31"/>
      <c r="BP23" s="57"/>
      <c r="BQ23" s="57"/>
      <c r="BR23" s="57"/>
      <c r="BS23" s="31"/>
      <c r="BT23" s="42"/>
      <c r="BU23" s="42"/>
      <c r="BV23" s="42"/>
      <c r="BW23" s="42"/>
      <c r="BX23" s="988"/>
      <c r="BY23" s="988"/>
      <c r="BZ23" s="871"/>
      <c r="CA23" s="877"/>
      <c r="CB23" s="885"/>
      <c r="CC23" s="877"/>
      <c r="CD23" s="871"/>
      <c r="CE23" s="131"/>
      <c r="CF23" s="120"/>
      <c r="CG23" s="42"/>
      <c r="CH23" s="42"/>
      <c r="CI23" s="42"/>
      <c r="CJ23" s="42"/>
      <c r="CK23" s="42"/>
      <c r="CL23" s="42"/>
      <c r="CM23" s="42"/>
      <c r="CN23" s="121"/>
      <c r="CO23" s="29"/>
      <c r="CP23" s="30"/>
    </row>
    <row r="24" spans="1:94" ht="24" thickBot="1" x14ac:dyDescent="0.3">
      <c r="A24" s="70"/>
      <c r="B24" s="31"/>
      <c r="C24" s="40"/>
      <c r="D24" s="40"/>
      <c r="E24" s="876"/>
      <c r="F24" s="406"/>
      <c r="G24" s="406"/>
      <c r="H24" s="406"/>
      <c r="I24" s="406"/>
      <c r="J24" s="882"/>
      <c r="K24" s="882"/>
      <c r="L24" s="871"/>
      <c r="M24" s="882"/>
      <c r="N24" s="882"/>
      <c r="O24" s="162"/>
      <c r="P24" s="162"/>
      <c r="Q24" s="406"/>
      <c r="R24" s="882"/>
      <c r="S24" s="871"/>
      <c r="T24" s="100"/>
      <c r="U24" s="163"/>
      <c r="V24" s="122" t="s">
        <v>182</v>
      </c>
      <c r="W24" s="122" t="s">
        <v>182</v>
      </c>
      <c r="X24" s="122" t="s">
        <v>182</v>
      </c>
      <c r="Y24" s="122" t="s">
        <v>182</v>
      </c>
      <c r="Z24" s="164"/>
      <c r="AA24" s="122" t="s">
        <v>182</v>
      </c>
      <c r="AB24" s="122" t="s">
        <v>182</v>
      </c>
      <c r="AC24" s="122" t="s">
        <v>182</v>
      </c>
      <c r="AD24" s="122" t="s">
        <v>182</v>
      </c>
      <c r="AE24" s="165"/>
      <c r="AF24" s="122" t="s">
        <v>182</v>
      </c>
      <c r="AG24" s="125" t="s">
        <v>182</v>
      </c>
      <c r="AH24" s="125" t="s">
        <v>182</v>
      </c>
      <c r="AI24" s="125" t="s">
        <v>182</v>
      </c>
      <c r="AJ24" s="163"/>
      <c r="AK24" s="163"/>
      <c r="AL24" s="82" t="s">
        <v>182</v>
      </c>
      <c r="AM24" s="82" t="s">
        <v>182</v>
      </c>
      <c r="AN24" s="82" t="s">
        <v>182</v>
      </c>
      <c r="AO24" s="82" t="s">
        <v>182</v>
      </c>
      <c r="AP24" s="82" t="s">
        <v>182</v>
      </c>
      <c r="AQ24" s="166"/>
      <c r="AR24" s="406"/>
      <c r="AS24" s="1364"/>
      <c r="AT24" s="1364"/>
      <c r="AU24" s="1364"/>
      <c r="AV24" s="1364"/>
      <c r="AW24" s="871"/>
      <c r="AX24" s="1076"/>
      <c r="AY24" s="1042"/>
      <c r="AZ24" s="1042"/>
      <c r="BA24" s="882"/>
      <c r="BB24" s="406"/>
      <c r="BC24" s="871"/>
      <c r="BD24" s="871"/>
      <c r="BE24" s="129"/>
      <c r="BF24" s="129"/>
      <c r="BG24" s="129"/>
      <c r="BH24" s="129"/>
      <c r="BI24" s="970"/>
      <c r="BJ24" s="100"/>
      <c r="BL24" s="1074"/>
      <c r="BM24" s="31"/>
      <c r="BN24" s="31"/>
      <c r="BO24" s="31"/>
      <c r="BP24" s="57"/>
      <c r="BQ24" s="57"/>
      <c r="BR24" s="57"/>
      <c r="BS24" s="31"/>
      <c r="BT24" s="42"/>
      <c r="BU24" s="42"/>
      <c r="BV24" s="42"/>
      <c r="BW24" s="42"/>
      <c r="BX24" s="986"/>
      <c r="BY24" s="990"/>
      <c r="BZ24" s="871"/>
      <c r="CA24" s="878"/>
      <c r="CB24" s="878"/>
      <c r="CC24" s="875"/>
      <c r="CD24" s="871"/>
      <c r="CE24" s="131"/>
      <c r="CG24" s="42"/>
      <c r="CH24" s="42"/>
      <c r="CI24" s="42"/>
      <c r="CJ24" s="42"/>
      <c r="CK24" s="42"/>
      <c r="CL24" s="42"/>
      <c r="CM24" s="42"/>
      <c r="CN24" s="121"/>
      <c r="CO24" s="29"/>
      <c r="CP24" s="30"/>
    </row>
    <row r="25" spans="1:94" ht="19.5" thickBot="1" x14ac:dyDescent="0.3">
      <c r="A25" s="70"/>
      <c r="B25" s="31"/>
      <c r="C25" s="97"/>
      <c r="D25" s="97"/>
      <c r="E25" s="97"/>
      <c r="F25" s="168"/>
      <c r="H25" s="168"/>
      <c r="I25" s="1"/>
      <c r="J25" s="47"/>
      <c r="K25" s="47"/>
      <c r="L25" s="100"/>
      <c r="M25" s="47"/>
      <c r="N25" s="882"/>
      <c r="O25" s="406"/>
      <c r="P25" s="890"/>
      <c r="Q25" s="169"/>
      <c r="R25" s="890"/>
      <c r="S25" s="871"/>
      <c r="T25" s="891"/>
      <c r="U25" s="891"/>
      <c r="V25" s="98">
        <v>6</v>
      </c>
      <c r="W25" s="99">
        <v>5</v>
      </c>
      <c r="X25" s="171">
        <v>4</v>
      </c>
      <c r="Y25" s="98">
        <v>6</v>
      </c>
      <c r="Z25" s="172"/>
      <c r="AA25" s="173">
        <v>5</v>
      </c>
      <c r="AB25" s="174">
        <v>4</v>
      </c>
      <c r="AC25" s="175">
        <v>6</v>
      </c>
      <c r="AD25" s="173">
        <v>5</v>
      </c>
      <c r="AE25" s="176"/>
      <c r="AF25" s="177">
        <v>4</v>
      </c>
      <c r="AG25" s="103">
        <v>6</v>
      </c>
      <c r="AH25" s="104">
        <v>5</v>
      </c>
      <c r="AI25" s="177">
        <v>4</v>
      </c>
      <c r="AJ25" s="966"/>
      <c r="AL25" s="98">
        <v>10</v>
      </c>
      <c r="AM25" s="99">
        <v>9</v>
      </c>
      <c r="AN25" s="99">
        <v>8</v>
      </c>
      <c r="AO25" s="98">
        <v>7</v>
      </c>
      <c r="AP25" s="99">
        <v>6</v>
      </c>
      <c r="AQ25" s="178"/>
      <c r="AR25" s="406"/>
      <c r="AS25" s="406"/>
      <c r="AT25" s="406"/>
      <c r="AU25" s="406"/>
      <c r="AV25" s="406"/>
      <c r="AW25" s="871"/>
      <c r="AX25" s="406"/>
      <c r="AY25" s="406"/>
      <c r="AZ25" s="406"/>
      <c r="BA25" s="882"/>
      <c r="BB25" s="406"/>
      <c r="BC25" s="871"/>
      <c r="BD25" s="871"/>
      <c r="BE25" s="871"/>
      <c r="BF25" s="871"/>
      <c r="BG25" s="871"/>
      <c r="BH25" s="871"/>
      <c r="BI25" s="871"/>
      <c r="BJ25" s="100"/>
      <c r="BL25" s="973"/>
      <c r="BM25" s="57"/>
      <c r="BN25" s="57"/>
      <c r="BO25" s="57"/>
      <c r="BP25" s="57"/>
      <c r="BQ25" s="57"/>
      <c r="BR25" s="57"/>
      <c r="BS25" s="31"/>
      <c r="BT25" s="42"/>
      <c r="BU25" s="42"/>
      <c r="BV25" s="42"/>
      <c r="BW25" s="42"/>
      <c r="BX25" s="986"/>
      <c r="BY25" s="989"/>
      <c r="BZ25" s="871"/>
      <c r="CA25" s="871"/>
      <c r="CB25" s="871"/>
      <c r="CC25" s="871"/>
      <c r="CD25" s="871"/>
      <c r="CE25" s="131"/>
      <c r="CF25" s="120"/>
      <c r="CG25" s="42"/>
      <c r="CH25" s="42"/>
      <c r="CI25" s="42"/>
      <c r="CJ25" s="42"/>
      <c r="CK25" s="42"/>
      <c r="CL25" s="42"/>
      <c r="CM25" s="42"/>
      <c r="CN25" s="121"/>
      <c r="CO25" s="29"/>
      <c r="CP25" s="30"/>
    </row>
    <row r="26" spans="1:94" ht="19.5" thickBot="1" x14ac:dyDescent="0.3">
      <c r="A26" s="70"/>
      <c r="B26" s="31"/>
      <c r="C26" s="97"/>
      <c r="D26" s="97"/>
      <c r="E26" s="180"/>
      <c r="F26" s="45"/>
      <c r="G26" s="181"/>
      <c r="H26" s="45"/>
      <c r="I26" s="45"/>
      <c r="J26" s="47"/>
      <c r="K26" s="47"/>
      <c r="L26" s="47"/>
      <c r="M26" s="47"/>
      <c r="N26" s="882"/>
      <c r="O26" s="406"/>
      <c r="P26" s="169"/>
      <c r="Q26" s="890"/>
      <c r="R26" s="882"/>
      <c r="S26" s="871"/>
      <c r="T26" s="891"/>
      <c r="U26" s="891"/>
      <c r="V26" s="47"/>
      <c r="W26" s="47"/>
      <c r="X26" s="47"/>
      <c r="Y26" s="47"/>
      <c r="Z26" s="47"/>
      <c r="AA26" s="47"/>
      <c r="AB26" s="47"/>
      <c r="AC26" s="182"/>
      <c r="AD26" s="928"/>
      <c r="AE26" s="928"/>
      <c r="AF26" s="951"/>
      <c r="AG26" s="952"/>
      <c r="AH26" s="952"/>
      <c r="AI26" s="952"/>
      <c r="AJ26" s="406"/>
      <c r="AK26" s="406"/>
      <c r="AL26" s="1077" t="s">
        <v>205</v>
      </c>
      <c r="AM26" s="1077"/>
      <c r="AN26" s="1077"/>
      <c r="AO26" s="1077"/>
      <c r="AP26" s="1077"/>
      <c r="AQ26" s="47"/>
      <c r="AR26" s="406"/>
      <c r="AS26" s="406"/>
      <c r="AT26" s="406"/>
      <c r="AU26" s="406"/>
      <c r="AV26" s="406"/>
      <c r="AW26" s="871"/>
      <c r="AX26" s="406"/>
      <c r="AY26" s="406"/>
      <c r="AZ26" s="406"/>
      <c r="BA26" s="882"/>
      <c r="BB26" s="406"/>
      <c r="BC26" s="871"/>
      <c r="BD26" s="100"/>
      <c r="BE26" s="100"/>
      <c r="BF26" s="100"/>
      <c r="BG26" s="100"/>
      <c r="BH26" s="100"/>
      <c r="BI26" s="100"/>
      <c r="BJ26" s="100"/>
      <c r="BK26" s="186"/>
      <c r="BL26" s="974"/>
      <c r="BM26" s="57"/>
      <c r="BN26" s="57"/>
      <c r="BO26" s="57"/>
      <c r="BP26" s="31"/>
      <c r="BQ26" s="57"/>
      <c r="BR26" s="57"/>
      <c r="BS26" s="31"/>
      <c r="BT26" s="31"/>
      <c r="BU26" s="42"/>
      <c r="BV26" s="42"/>
      <c r="BW26" s="42"/>
      <c r="BX26" s="31"/>
      <c r="BY26" s="31"/>
      <c r="BZ26" s="100"/>
      <c r="CA26" s="100"/>
      <c r="CB26" s="100"/>
      <c r="CC26" s="100"/>
      <c r="CD26" s="100"/>
      <c r="CE26" s="188"/>
      <c r="CG26" s="42"/>
      <c r="CH26" s="42"/>
      <c r="CI26" s="42"/>
      <c r="CJ26" s="42"/>
      <c r="CK26" s="42"/>
      <c r="CL26" s="42"/>
      <c r="CM26" s="42"/>
      <c r="CN26" s="121"/>
      <c r="CO26" s="29"/>
      <c r="CP26" s="30"/>
    </row>
    <row r="27" spans="1:94" ht="21.75" thickBot="1" x14ac:dyDescent="0.35">
      <c r="A27" s="70"/>
      <c r="B27" s="31"/>
      <c r="C27" s="189"/>
      <c r="D27" s="97"/>
      <c r="E27" s="180"/>
      <c r="F27" s="45"/>
      <c r="G27" s="190"/>
      <c r="H27" s="40"/>
      <c r="I27" s="40"/>
      <c r="J27" s="47"/>
      <c r="K27" s="47"/>
      <c r="L27" s="47"/>
      <c r="M27" s="47"/>
      <c r="N27" s="47"/>
      <c r="P27" s="169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928"/>
      <c r="AD27" s="953"/>
      <c r="AE27" s="953"/>
      <c r="AF27" s="928"/>
      <c r="AG27" s="406"/>
      <c r="AH27" s="247"/>
      <c r="AI27" s="953"/>
      <c r="AJ27" s="953"/>
      <c r="AK27" s="247"/>
      <c r="AN27" s="86"/>
      <c r="AO27" s="953"/>
      <c r="AP27" s="953"/>
      <c r="AQ27" s="86"/>
      <c r="AR27" s="406"/>
      <c r="AS27" s="406"/>
      <c r="AT27" s="406"/>
      <c r="AU27" s="406"/>
      <c r="AV27" s="406"/>
      <c r="AW27" s="406"/>
      <c r="AX27" s="406"/>
      <c r="AY27" s="406"/>
      <c r="AZ27" s="406"/>
      <c r="BA27" s="406"/>
      <c r="BB27" s="406"/>
      <c r="BC27" s="871"/>
      <c r="BD27" s="100"/>
      <c r="BE27" s="100"/>
      <c r="BF27" s="100"/>
      <c r="BG27" s="100"/>
      <c r="BH27" s="100"/>
      <c r="BJ27" s="100"/>
      <c r="BK27" s="186"/>
      <c r="BL27" s="975"/>
      <c r="BM27" s="975"/>
      <c r="BN27" s="975"/>
      <c r="BO27" s="975"/>
      <c r="BP27" s="976"/>
      <c r="BQ27" s="976"/>
      <c r="BR27" s="406"/>
      <c r="BS27" s="406"/>
      <c r="BT27" s="406"/>
      <c r="BU27" s="42"/>
      <c r="BV27" s="42"/>
      <c r="BW27" s="42"/>
      <c r="BZ27" s="38"/>
      <c r="CA27" s="100"/>
      <c r="CB27" s="92" t="s">
        <v>206</v>
      </c>
      <c r="CC27" s="193"/>
      <c r="CD27" s="1078" t="s">
        <v>207</v>
      </c>
      <c r="CE27" s="1079"/>
      <c r="CF27" s="194"/>
      <c r="CG27" s="42"/>
      <c r="CH27" s="42"/>
      <c r="CI27" s="42"/>
      <c r="CJ27" s="42"/>
      <c r="CK27" s="42"/>
      <c r="CL27" s="42"/>
      <c r="CM27" s="42"/>
      <c r="CN27" s="121"/>
      <c r="CO27" s="29"/>
      <c r="CP27" s="30"/>
    </row>
    <row r="28" spans="1:94" ht="21" x14ac:dyDescent="0.3">
      <c r="A28" s="70"/>
      <c r="B28" s="856"/>
      <c r="C28" s="45"/>
      <c r="D28" s="196"/>
      <c r="E28" s="180"/>
      <c r="F28" s="45"/>
      <c r="G28" s="45"/>
      <c r="H28" s="40"/>
      <c r="I28" s="40"/>
      <c r="J28" s="47"/>
      <c r="K28" s="47"/>
      <c r="L28" s="47"/>
      <c r="M28" s="47"/>
      <c r="N28" s="47"/>
      <c r="O28" s="406"/>
      <c r="P28" s="876"/>
      <c r="Q28" s="876"/>
      <c r="R28" s="882"/>
      <c r="S28" s="882"/>
      <c r="T28" s="1054"/>
      <c r="U28" s="1054"/>
      <c r="V28" s="882"/>
      <c r="W28" s="47"/>
      <c r="X28" s="47"/>
      <c r="Y28" s="47"/>
      <c r="Z28" s="47"/>
      <c r="AA28" s="47"/>
      <c r="AB28" s="47"/>
      <c r="AC28" s="928"/>
      <c r="AD28" s="900"/>
      <c r="AE28" s="900"/>
      <c r="AF28" s="928"/>
      <c r="AG28" s="406"/>
      <c r="AH28" s="247"/>
      <c r="AI28" s="900"/>
      <c r="AJ28" s="900"/>
      <c r="AK28" s="247"/>
      <c r="AL28" s="47"/>
      <c r="AM28" s="47"/>
      <c r="AN28" s="86"/>
      <c r="AO28" s="900"/>
      <c r="AP28" s="900"/>
      <c r="AQ28" s="86"/>
      <c r="AR28" s="406"/>
      <c r="AS28" s="960"/>
      <c r="AT28" s="961"/>
      <c r="AU28" s="406"/>
      <c r="BD28" s="100"/>
      <c r="BE28" s="100"/>
      <c r="BF28" s="100"/>
      <c r="BG28" s="100"/>
      <c r="BH28" s="100"/>
      <c r="BK28" s="186"/>
      <c r="BL28" s="1055"/>
      <c r="BM28" s="1056"/>
      <c r="BN28" s="1056"/>
      <c r="BO28" s="1056"/>
      <c r="BP28" s="1056"/>
      <c r="BQ28" s="1056"/>
      <c r="BR28" s="1056"/>
      <c r="BS28" s="1056"/>
      <c r="BT28" s="1056"/>
      <c r="BU28" s="42"/>
      <c r="BV28" s="42"/>
      <c r="BW28" s="42"/>
      <c r="BX28" s="200"/>
      <c r="BZ28" s="38"/>
      <c r="CA28" s="100"/>
      <c r="CB28" s="201">
        <v>1</v>
      </c>
      <c r="CC28" s="149" t="s">
        <v>171</v>
      </c>
      <c r="CD28" s="857">
        <v>100</v>
      </c>
      <c r="CE28" s="203"/>
      <c r="CF28" s="42"/>
      <c r="CG28" s="42"/>
      <c r="CH28" s="42"/>
      <c r="CI28" s="42"/>
      <c r="CJ28" s="42"/>
      <c r="CK28" s="42"/>
      <c r="CL28" s="42"/>
      <c r="CM28" s="42"/>
      <c r="CN28" s="121"/>
      <c r="CO28" s="29"/>
      <c r="CP28" s="30"/>
    </row>
    <row r="29" spans="1:94" ht="21" x14ac:dyDescent="0.3">
      <c r="A29" s="1362"/>
      <c r="B29" s="1362"/>
      <c r="C29" s="45"/>
      <c r="D29" s="45"/>
      <c r="E29" s="196"/>
      <c r="F29" s="45"/>
      <c r="G29" s="45"/>
      <c r="H29" s="40"/>
      <c r="I29" s="40"/>
      <c r="J29" s="47"/>
      <c r="K29" s="47"/>
      <c r="L29" s="47"/>
      <c r="M29" s="47"/>
      <c r="N29" s="47"/>
      <c r="O29" s="406"/>
      <c r="P29" s="892"/>
      <c r="Q29" s="892"/>
      <c r="R29" s="882"/>
      <c r="S29" s="882"/>
      <c r="T29" s="893"/>
      <c r="U29" s="893"/>
      <c r="V29" s="882"/>
      <c r="W29" s="47"/>
      <c r="X29" s="950"/>
      <c r="Y29" s="950"/>
      <c r="Z29" s="882"/>
      <c r="AA29" s="47"/>
      <c r="AB29" s="47"/>
      <c r="AC29" s="928"/>
      <c r="AD29" s="954"/>
      <c r="AE29" s="954"/>
      <c r="AF29" s="928"/>
      <c r="AG29" s="406"/>
      <c r="AH29" s="247"/>
      <c r="AI29" s="900"/>
      <c r="AJ29" s="900"/>
      <c r="AK29" s="247"/>
      <c r="AN29" s="406"/>
      <c r="AO29" s="86"/>
      <c r="AP29" s="86"/>
      <c r="AQ29" s="406"/>
      <c r="AR29" s="406"/>
      <c r="AS29" s="960"/>
      <c r="AT29" s="961"/>
      <c r="AU29" s="406"/>
      <c r="BB29" s="40"/>
      <c r="BC29" s="40"/>
      <c r="BD29" s="100"/>
      <c r="BE29" s="100"/>
      <c r="BF29" s="100"/>
      <c r="BG29" s="100"/>
      <c r="BH29" s="100"/>
      <c r="BI29" s="40"/>
      <c r="BJ29" s="40"/>
      <c r="BK29" s="208"/>
      <c r="BL29" s="406"/>
      <c r="BM29" s="975"/>
      <c r="BN29" s="961"/>
      <c r="BO29" s="961"/>
      <c r="BP29" s="976"/>
      <c r="BQ29" s="976"/>
      <c r="BR29" s="961"/>
      <c r="BS29" s="961"/>
      <c r="BT29" s="976"/>
      <c r="BU29" s="92" t="s">
        <v>213</v>
      </c>
      <c r="BV29" s="209">
        <v>1</v>
      </c>
      <c r="BW29" s="99">
        <v>2</v>
      </c>
      <c r="BX29" s="99">
        <v>3</v>
      </c>
      <c r="BY29" s="209">
        <v>4</v>
      </c>
      <c r="BZ29" s="210" t="s">
        <v>180</v>
      </c>
      <c r="CA29" s="100"/>
      <c r="CB29" s="201">
        <v>2</v>
      </c>
      <c r="CC29" s="149" t="s">
        <v>171</v>
      </c>
      <c r="CD29" s="857">
        <v>100</v>
      </c>
      <c r="CE29" s="211"/>
      <c r="CF29" s="42"/>
      <c r="CG29" s="42"/>
      <c r="CH29" s="42"/>
      <c r="CI29" s="42"/>
      <c r="CJ29" s="42"/>
      <c r="CK29" s="42"/>
      <c r="CL29" s="42"/>
      <c r="CM29" s="42"/>
      <c r="CN29" s="121"/>
      <c r="CO29" s="29"/>
      <c r="CP29" s="30"/>
    </row>
    <row r="30" spans="1:94" ht="21" x14ac:dyDescent="0.25">
      <c r="A30" s="915"/>
      <c r="B30" s="902"/>
      <c r="C30" s="45"/>
      <c r="D30" s="45"/>
      <c r="E30" s="45"/>
      <c r="F30" s="213"/>
      <c r="G30" s="45"/>
      <c r="H30" s="40"/>
      <c r="I30" s="40"/>
      <c r="J30" s="47"/>
      <c r="K30" s="47"/>
      <c r="L30" s="47"/>
      <c r="M30" s="47"/>
      <c r="N30" s="47"/>
      <c r="O30" s="406"/>
      <c r="P30" s="892"/>
      <c r="Q30" s="892"/>
      <c r="R30" s="882"/>
      <c r="S30" s="882"/>
      <c r="T30" s="893"/>
      <c r="U30" s="893"/>
      <c r="V30" s="882"/>
      <c r="W30" s="47"/>
      <c r="X30" s="950"/>
      <c r="Y30" s="950"/>
      <c r="Z30" s="882"/>
      <c r="AA30" s="47"/>
      <c r="AB30" s="47"/>
      <c r="AC30" s="406"/>
      <c r="AD30" s="928"/>
      <c r="AE30" s="928"/>
      <c r="AF30" s="898"/>
      <c r="AG30" s="406"/>
      <c r="AH30" s="406"/>
      <c r="AI30" s="247"/>
      <c r="AJ30" s="247"/>
      <c r="AK30" s="406"/>
      <c r="AN30" s="406"/>
      <c r="AO30" s="406"/>
      <c r="AP30" s="406"/>
      <c r="AQ30" s="406"/>
      <c r="AR30" s="406"/>
      <c r="AS30" s="960"/>
      <c r="AT30" s="961"/>
      <c r="AU30" s="406"/>
      <c r="AV30" s="406"/>
      <c r="AW30" s="406"/>
      <c r="AX30" s="406"/>
      <c r="AY30" s="406"/>
      <c r="AZ30" s="406"/>
      <c r="BA30" s="406"/>
      <c r="BB30" s="876"/>
      <c r="BC30" s="40"/>
      <c r="BD30" s="100"/>
      <c r="BE30" s="100"/>
      <c r="BF30" s="100"/>
      <c r="BG30" s="100"/>
      <c r="BH30" s="100"/>
      <c r="BI30" s="40"/>
      <c r="BJ30" s="40"/>
      <c r="BK30" s="208"/>
      <c r="BL30" s="977"/>
      <c r="BM30" s="975"/>
      <c r="BN30" s="961"/>
      <c r="BO30" s="961"/>
      <c r="BP30" s="406"/>
      <c r="BQ30" s="976"/>
      <c r="BR30" s="961"/>
      <c r="BS30" s="961"/>
      <c r="BT30" s="406"/>
      <c r="BU30" s="193"/>
      <c r="BV30" s="214" t="s">
        <v>215</v>
      </c>
      <c r="BW30" s="214" t="s">
        <v>215</v>
      </c>
      <c r="BX30" s="214" t="s">
        <v>215</v>
      </c>
      <c r="BY30" s="214" t="s">
        <v>215</v>
      </c>
      <c r="BZ30" s="193"/>
      <c r="CA30" s="100"/>
      <c r="CB30" s="201">
        <v>3</v>
      </c>
      <c r="CC30" s="149" t="s">
        <v>171</v>
      </c>
      <c r="CD30" s="858">
        <v>100</v>
      </c>
      <c r="CE30" s="211"/>
      <c r="CF30" s="42"/>
      <c r="CG30" s="42"/>
      <c r="CH30" s="42"/>
      <c r="CI30" s="42"/>
      <c r="CJ30" s="42"/>
      <c r="CK30" s="42"/>
      <c r="CL30" s="42"/>
      <c r="CM30" s="42"/>
      <c r="CN30" s="121"/>
      <c r="CO30" s="29"/>
      <c r="CP30" s="30"/>
    </row>
    <row r="31" spans="1:94" ht="24" thickBot="1" x14ac:dyDescent="0.3">
      <c r="A31" s="70"/>
      <c r="B31" s="54"/>
      <c r="C31" s="45"/>
      <c r="D31" s="45"/>
      <c r="E31" s="45"/>
      <c r="F31" s="1"/>
      <c r="G31" s="45"/>
      <c r="H31" s="40"/>
      <c r="I31" s="40"/>
      <c r="J31" s="47"/>
      <c r="K31" s="47"/>
      <c r="L31" s="47"/>
      <c r="M31" s="47"/>
      <c r="N31" s="47"/>
      <c r="O31" s="406"/>
      <c r="P31" s="882"/>
      <c r="Q31" s="882"/>
      <c r="R31" s="882"/>
      <c r="S31" s="882"/>
      <c r="T31" s="893"/>
      <c r="U31" s="893"/>
      <c r="V31" s="882"/>
      <c r="W31" s="47"/>
      <c r="X31" s="950"/>
      <c r="Y31" s="950"/>
      <c r="Z31" s="882"/>
      <c r="AA31" s="47"/>
      <c r="AB31" s="47"/>
      <c r="AC31" s="1042"/>
      <c r="AD31" s="1042"/>
      <c r="AE31" s="1042"/>
      <c r="AF31" s="1042"/>
      <c r="AG31" s="406"/>
      <c r="AH31" s="406"/>
      <c r="AI31" s="247"/>
      <c r="AJ31" s="247"/>
      <c r="AK31" s="406"/>
      <c r="AN31" s="406"/>
      <c r="AO31" s="217"/>
      <c r="AP31" s="406"/>
      <c r="AQ31" s="406"/>
      <c r="AR31" s="406"/>
      <c r="AS31" s="406"/>
      <c r="AT31" s="406"/>
      <c r="AU31" s="406"/>
      <c r="AV31" s="406"/>
      <c r="AW31" s="406"/>
      <c r="AX31" s="406"/>
      <c r="AY31" s="406"/>
      <c r="AZ31" s="406"/>
      <c r="BA31" s="406"/>
      <c r="BB31" s="876"/>
      <c r="BC31" s="40"/>
      <c r="BD31" s="100"/>
      <c r="BE31" s="100"/>
      <c r="BF31" s="100"/>
      <c r="BG31" s="100"/>
      <c r="BH31" s="100"/>
      <c r="BI31" s="40"/>
      <c r="BJ31" s="40"/>
      <c r="BK31" s="208"/>
      <c r="BL31" s="977"/>
      <c r="BM31" s="975"/>
      <c r="BN31" s="961"/>
      <c r="BO31" s="961"/>
      <c r="BP31" s="406"/>
      <c r="BQ31" s="406"/>
      <c r="BR31" s="961"/>
      <c r="BS31" s="961"/>
      <c r="BT31" s="406"/>
      <c r="BU31" s="218"/>
      <c r="BV31" s="859">
        <v>100</v>
      </c>
      <c r="BW31" s="859">
        <v>100</v>
      </c>
      <c r="BX31" s="860">
        <v>100</v>
      </c>
      <c r="BY31" s="860">
        <v>100</v>
      </c>
      <c r="BZ31" s="218"/>
      <c r="CA31" s="100"/>
      <c r="CB31" s="201">
        <v>4</v>
      </c>
      <c r="CC31" s="149" t="s">
        <v>171</v>
      </c>
      <c r="CD31" s="861">
        <v>100</v>
      </c>
      <c r="CE31" s="211"/>
      <c r="CF31" s="42"/>
      <c r="CG31" s="42"/>
      <c r="CH31" s="42"/>
      <c r="CI31" s="42"/>
      <c r="CJ31" s="42"/>
      <c r="CK31" s="42"/>
      <c r="CL31" s="42"/>
      <c r="CM31" s="42"/>
      <c r="CN31" s="121"/>
      <c r="CO31" s="29"/>
      <c r="CP31" s="30"/>
    </row>
    <row r="32" spans="1:94" ht="21.75" thickBot="1" x14ac:dyDescent="0.3">
      <c r="A32" s="901"/>
      <c r="B32" s="902"/>
      <c r="C32" s="903"/>
      <c r="D32" s="903"/>
      <c r="E32" s="903"/>
      <c r="F32" s="246"/>
      <c r="G32" s="903"/>
      <c r="H32" s="903"/>
      <c r="I32" s="904"/>
      <c r="J32" s="882"/>
      <c r="K32" s="882"/>
      <c r="L32" s="882"/>
      <c r="M32" s="47"/>
      <c r="N32" s="47"/>
      <c r="O32" s="222"/>
      <c r="P32" s="47"/>
      <c r="Q32" s="47"/>
      <c r="R32" s="47"/>
      <c r="S32" s="47"/>
      <c r="T32" s="47"/>
      <c r="U32" s="47"/>
      <c r="V32" s="47"/>
      <c r="W32" s="47"/>
      <c r="X32" s="950"/>
      <c r="Y32" s="950"/>
      <c r="Z32" s="882"/>
      <c r="AA32" s="47"/>
      <c r="AB32" s="47"/>
      <c r="AC32" s="871"/>
      <c r="AD32" s="223"/>
      <c r="AE32" s="60"/>
      <c r="AF32" s="406"/>
      <c r="AG32" s="406"/>
      <c r="AH32" s="247"/>
      <c r="AI32" s="955"/>
      <c r="AJ32" s="955"/>
      <c r="AK32" s="247"/>
      <c r="AN32" s="406"/>
      <c r="AO32" s="962"/>
      <c r="AP32" s="963"/>
      <c r="AQ32" s="406"/>
      <c r="AR32" s="406"/>
      <c r="AS32" s="406"/>
      <c r="AT32" s="406"/>
      <c r="AU32" s="406"/>
      <c r="AV32" s="1043"/>
      <c r="AW32" s="1044"/>
      <c r="AX32" s="1044"/>
      <c r="AY32" s="1044"/>
      <c r="AZ32" s="1044"/>
      <c r="BA32" s="1044"/>
      <c r="BB32" s="1045"/>
      <c r="BC32" s="40"/>
      <c r="BD32" s="40"/>
      <c r="BE32" s="100"/>
      <c r="BF32" s="100"/>
      <c r="BG32" s="100"/>
      <c r="BH32" s="100"/>
      <c r="BI32" s="40"/>
      <c r="BJ32" s="40"/>
      <c r="BK32" s="208"/>
      <c r="BL32" s="977"/>
      <c r="BM32" s="975"/>
      <c r="BN32" s="406"/>
      <c r="BO32" s="406"/>
      <c r="BP32" s="406"/>
      <c r="BQ32" s="406"/>
      <c r="BR32" s="975"/>
      <c r="BS32" s="975"/>
      <c r="BT32" s="406"/>
      <c r="BU32" s="218"/>
      <c r="BV32" s="862">
        <v>100</v>
      </c>
      <c r="BW32" s="862">
        <v>100</v>
      </c>
      <c r="BX32" s="863">
        <v>100</v>
      </c>
      <c r="BY32" s="863">
        <v>100</v>
      </c>
      <c r="BZ32" s="218"/>
      <c r="CA32" s="100"/>
      <c r="CB32" s="201">
        <v>5</v>
      </c>
      <c r="CC32" s="149" t="s">
        <v>171</v>
      </c>
      <c r="CD32" s="864">
        <v>100</v>
      </c>
      <c r="CE32" s="211"/>
      <c r="CF32" s="42"/>
      <c r="CG32" s="42"/>
      <c r="CH32" s="42"/>
      <c r="CI32" s="42"/>
      <c r="CJ32" s="42"/>
      <c r="CK32" s="42"/>
      <c r="CL32" s="42"/>
      <c r="CM32" s="42"/>
      <c r="CN32" s="121"/>
      <c r="CO32" s="29"/>
      <c r="CP32" s="30"/>
    </row>
    <row r="33" spans="1:94" ht="21.75" thickBot="1" x14ac:dyDescent="0.3">
      <c r="A33" s="901"/>
      <c r="B33" s="905"/>
      <c r="C33" s="906"/>
      <c r="D33" s="906"/>
      <c r="E33" s="906"/>
      <c r="F33" s="907"/>
      <c r="G33" s="908"/>
      <c r="H33" s="908"/>
      <c r="I33" s="908"/>
      <c r="J33" s="1051"/>
      <c r="K33" s="1052"/>
      <c r="L33" s="909"/>
      <c r="M33" s="235"/>
      <c r="N33" s="235"/>
      <c r="R33" s="47"/>
      <c r="S33" s="47"/>
      <c r="T33" s="47"/>
      <c r="U33" s="47"/>
      <c r="V33" s="47"/>
      <c r="W33" s="47"/>
      <c r="X33" s="950"/>
      <c r="Y33" s="950"/>
      <c r="Z33" s="882"/>
      <c r="AA33" s="47"/>
      <c r="AB33" s="47"/>
      <c r="AC33" s="871"/>
      <c r="AD33" s="956"/>
      <c r="AE33" s="956"/>
      <c r="AF33" s="406"/>
      <c r="AG33" s="406"/>
      <c r="AH33" s="247"/>
      <c r="AI33" s="900"/>
      <c r="AJ33" s="900"/>
      <c r="AK33" s="247"/>
      <c r="AN33" s="406"/>
      <c r="AO33" s="962"/>
      <c r="AP33" s="963"/>
      <c r="AQ33" s="406"/>
      <c r="AR33" s="406"/>
      <c r="AS33" s="406"/>
      <c r="AT33" s="406"/>
      <c r="AU33" s="406"/>
      <c r="AV33" s="1046"/>
      <c r="AW33" s="1024"/>
      <c r="AX33" s="1024"/>
      <c r="AY33" s="1024"/>
      <c r="AZ33" s="1024"/>
      <c r="BA33" s="1024"/>
      <c r="BB33" s="1047"/>
      <c r="BC33" s="40"/>
      <c r="BD33" s="40"/>
      <c r="BE33" s="40"/>
      <c r="BF33" s="40"/>
      <c r="BG33" s="40"/>
      <c r="BH33" s="40"/>
      <c r="BI33" s="40"/>
      <c r="BJ33" s="40"/>
      <c r="BK33" s="208"/>
      <c r="BL33" s="976"/>
      <c r="BM33" s="975"/>
      <c r="BN33" s="406"/>
      <c r="BO33" s="406"/>
      <c r="BP33" s="406"/>
      <c r="BQ33" s="976"/>
      <c r="BR33" s="975"/>
      <c r="BS33" s="975"/>
      <c r="BT33" s="406"/>
      <c r="BU33" s="193"/>
      <c r="BV33" s="149" t="s">
        <v>171</v>
      </c>
      <c r="BW33" s="149" t="s">
        <v>171</v>
      </c>
      <c r="BX33" s="149" t="s">
        <v>171</v>
      </c>
      <c r="BY33" s="149" t="s">
        <v>171</v>
      </c>
      <c r="BZ33" s="193"/>
      <c r="CA33" s="100"/>
      <c r="CB33" s="201">
        <v>6</v>
      </c>
      <c r="CC33" s="149" t="s">
        <v>171</v>
      </c>
      <c r="CD33" s="864">
        <v>100</v>
      </c>
      <c r="CE33" s="211"/>
      <c r="CF33" s="42"/>
      <c r="CG33" s="42"/>
      <c r="CH33" s="42"/>
      <c r="CI33" s="42"/>
      <c r="CJ33" s="42"/>
      <c r="CK33" s="42"/>
      <c r="CL33" s="42"/>
      <c r="CM33" s="42"/>
      <c r="CN33" s="121"/>
      <c r="CO33" s="29"/>
      <c r="CP33" s="30"/>
    </row>
    <row r="34" spans="1:94" ht="23.25" x14ac:dyDescent="0.25">
      <c r="A34" s="901"/>
      <c r="B34" s="900"/>
      <c r="C34" s="910"/>
      <c r="D34" s="900"/>
      <c r="E34" s="910"/>
      <c r="F34" s="900"/>
      <c r="G34" s="910"/>
      <c r="H34" s="900"/>
      <c r="I34" s="910"/>
      <c r="J34" s="871"/>
      <c r="K34" s="871"/>
      <c r="L34" s="871"/>
      <c r="M34" s="100"/>
      <c r="N34" s="238"/>
      <c r="O34" s="108"/>
      <c r="P34" s="239"/>
      <c r="Q34" s="406"/>
      <c r="R34" s="894"/>
      <c r="S34" s="59"/>
      <c r="T34" s="59"/>
      <c r="U34" s="59"/>
      <c r="V34" s="895"/>
      <c r="W34" s="242"/>
      <c r="X34" s="882"/>
      <c r="Y34" s="882"/>
      <c r="Z34" s="882"/>
      <c r="AA34" s="47"/>
      <c r="AB34" s="47"/>
      <c r="AC34" s="871"/>
      <c r="AD34" s="956"/>
      <c r="AE34" s="956"/>
      <c r="AF34" s="406"/>
      <c r="AG34" s="406"/>
      <c r="AH34" s="247"/>
      <c r="AI34" s="954"/>
      <c r="AJ34" s="954"/>
      <c r="AK34" s="247"/>
      <c r="AN34" s="406"/>
      <c r="AO34" s="962"/>
      <c r="AP34" s="963"/>
      <c r="AQ34" s="406"/>
      <c r="AR34" s="406"/>
      <c r="AS34" s="406"/>
      <c r="AT34" s="406"/>
      <c r="AU34" s="406"/>
      <c r="AV34" s="1046"/>
      <c r="AW34" s="1024"/>
      <c r="AX34" s="1024"/>
      <c r="AY34" s="1024"/>
      <c r="AZ34" s="1024"/>
      <c r="BA34" s="1024"/>
      <c r="BB34" s="1047"/>
      <c r="BC34" s="40"/>
      <c r="BD34" s="40"/>
      <c r="BE34" s="40"/>
      <c r="BF34" s="40"/>
      <c r="BG34" s="40"/>
      <c r="BH34" s="40"/>
      <c r="BI34" s="40"/>
      <c r="BJ34" s="40"/>
      <c r="BK34" s="208"/>
      <c r="BL34" s="902"/>
      <c r="BM34" s="975"/>
      <c r="BN34" s="406"/>
      <c r="BO34" s="406"/>
      <c r="BP34" s="406"/>
      <c r="BQ34" s="976"/>
      <c r="BR34" s="975"/>
      <c r="BS34" s="975"/>
      <c r="BT34" s="976"/>
      <c r="BV34" s="209">
        <v>8</v>
      </c>
      <c r="BW34" s="99">
        <v>7</v>
      </c>
      <c r="BX34" s="99">
        <v>6</v>
      </c>
      <c r="BY34" s="209">
        <v>5</v>
      </c>
      <c r="CA34" s="100"/>
      <c r="CB34" s="201">
        <v>7</v>
      </c>
      <c r="CC34" s="149" t="s">
        <v>171</v>
      </c>
      <c r="CD34" s="865">
        <v>100</v>
      </c>
      <c r="CE34" s="211"/>
      <c r="CF34" s="42"/>
      <c r="CG34" s="42"/>
      <c r="CH34" s="42"/>
      <c r="CI34" s="42"/>
      <c r="CJ34" s="42"/>
      <c r="CK34" s="42"/>
      <c r="CL34" s="42"/>
      <c r="CM34" s="42"/>
      <c r="CN34" s="121"/>
      <c r="CO34" s="29"/>
      <c r="CP34" s="30"/>
    </row>
    <row r="35" spans="1:94" ht="23.25" x14ac:dyDescent="0.25">
      <c r="A35" s="901"/>
      <c r="B35" s="910"/>
      <c r="C35" s="911"/>
      <c r="D35" s="910"/>
      <c r="E35" s="911"/>
      <c r="F35" s="910"/>
      <c r="G35" s="911"/>
      <c r="H35" s="910"/>
      <c r="I35" s="896"/>
      <c r="J35" s="871"/>
      <c r="K35" s="882"/>
      <c r="L35" s="882"/>
      <c r="M35" s="47"/>
      <c r="N35" s="47"/>
      <c r="P35" s="186"/>
      <c r="Q35" s="896"/>
      <c r="R35" s="406"/>
      <c r="S35" s="897"/>
      <c r="T35" s="897"/>
      <c r="U35" s="897"/>
      <c r="V35" s="898"/>
      <c r="W35" s="59"/>
      <c r="X35" s="59"/>
      <c r="Y35" s="59"/>
      <c r="Z35" s="59"/>
      <c r="AA35" s="29"/>
      <c r="AB35" s="29"/>
      <c r="AC35" s="871"/>
      <c r="AD35" s="245"/>
      <c r="AE35" s="246"/>
      <c r="AF35" s="406"/>
      <c r="AG35" s="406"/>
      <c r="AH35" s="247"/>
      <c r="AI35" s="248"/>
      <c r="AJ35" s="248"/>
      <c r="AK35" s="247"/>
      <c r="AL35" s="406"/>
      <c r="AM35" s="406"/>
      <c r="AN35" s="406"/>
      <c r="AO35" s="406"/>
      <c r="AP35" s="406"/>
      <c r="AQ35" s="406"/>
      <c r="AR35" s="406"/>
      <c r="AS35" s="406"/>
      <c r="AT35" s="406"/>
      <c r="AU35" s="406"/>
      <c r="AV35" s="1046"/>
      <c r="AW35" s="1024"/>
      <c r="AX35" s="1024"/>
      <c r="AY35" s="1024"/>
      <c r="AZ35" s="1024"/>
      <c r="BA35" s="1024"/>
      <c r="BB35" s="1047"/>
      <c r="BC35" s="40"/>
      <c r="BD35" s="40"/>
      <c r="BE35" s="40"/>
      <c r="BF35" s="40"/>
      <c r="BG35" s="40"/>
      <c r="BH35" s="40"/>
      <c r="BI35" s="40"/>
      <c r="BJ35" s="40"/>
      <c r="BK35" s="208"/>
      <c r="BM35" s="57"/>
      <c r="BQ35" s="31"/>
      <c r="BR35" s="57"/>
      <c r="BS35" s="31"/>
      <c r="BT35" s="31"/>
      <c r="BU35" s="100"/>
      <c r="BV35" s="100"/>
      <c r="BW35" s="100"/>
      <c r="BX35" s="100"/>
      <c r="BY35" s="100"/>
      <c r="BZ35" s="100"/>
      <c r="CA35" s="100"/>
      <c r="CB35" s="201">
        <v>8</v>
      </c>
      <c r="CC35" s="149" t="s">
        <v>171</v>
      </c>
      <c r="CD35" s="866">
        <v>100</v>
      </c>
      <c r="CE35" s="211"/>
      <c r="CF35" s="42"/>
      <c r="CG35" s="42"/>
      <c r="CH35" s="42"/>
      <c r="CI35" s="42"/>
      <c r="CJ35" s="42"/>
      <c r="CK35" s="42"/>
      <c r="CL35" s="42"/>
      <c r="CM35" s="42"/>
      <c r="CN35" s="121"/>
      <c r="CO35" s="29"/>
      <c r="CP35" s="30"/>
    </row>
    <row r="36" spans="1:94" ht="21" x14ac:dyDescent="0.25">
      <c r="A36" s="901"/>
      <c r="B36" s="912"/>
      <c r="C36" s="912"/>
      <c r="D36" s="912"/>
      <c r="E36" s="912"/>
      <c r="F36" s="912"/>
      <c r="G36" s="912"/>
      <c r="H36" s="912"/>
      <c r="I36" s="911"/>
      <c r="J36" s="871"/>
      <c r="K36" s="882"/>
      <c r="L36" s="882"/>
      <c r="M36" s="47"/>
      <c r="N36" s="47"/>
      <c r="P36" s="186"/>
      <c r="Q36" s="406"/>
      <c r="R36" s="899"/>
      <c r="S36" s="900"/>
      <c r="T36" s="900"/>
      <c r="U36" s="900"/>
      <c r="V36" s="899"/>
      <c r="W36" s="406"/>
      <c r="X36" s="406"/>
      <c r="Y36" s="892"/>
      <c r="Z36" s="892"/>
      <c r="AA36" s="892"/>
      <c r="AB36" s="892"/>
      <c r="AC36" s="892"/>
      <c r="AD36" s="406"/>
      <c r="AE36" s="896"/>
      <c r="AF36" s="957"/>
      <c r="AG36" s="957"/>
      <c r="AH36" s="957"/>
      <c r="AI36" s="898"/>
      <c r="AJ36" s="406"/>
      <c r="AK36" s="406"/>
      <c r="AL36" s="406"/>
      <c r="AM36" s="406"/>
      <c r="AN36" s="406"/>
      <c r="AO36" s="406"/>
      <c r="AP36" s="406"/>
      <c r="AQ36" s="406"/>
      <c r="AR36" s="406"/>
      <c r="AS36" s="406"/>
      <c r="AT36" s="406"/>
      <c r="AU36" s="406"/>
      <c r="AV36" s="1046"/>
      <c r="AW36" s="1024"/>
      <c r="AX36" s="1024"/>
      <c r="AY36" s="1024"/>
      <c r="AZ36" s="1024"/>
      <c r="BA36" s="1024"/>
      <c r="BB36" s="1047"/>
      <c r="BC36" s="40"/>
      <c r="BD36" s="40"/>
      <c r="BE36" s="40"/>
      <c r="BF36" s="40"/>
      <c r="BG36" s="40"/>
      <c r="BH36" s="40"/>
      <c r="BI36" s="40"/>
      <c r="BJ36" s="40"/>
      <c r="BK36" s="208"/>
      <c r="BL36" s="978"/>
      <c r="BM36" s="975"/>
      <c r="BN36" s="406"/>
      <c r="BO36" s="406"/>
      <c r="BP36" s="406"/>
      <c r="BQ36" s="976"/>
      <c r="BR36" s="406"/>
      <c r="BS36" s="976"/>
      <c r="BT36" s="976"/>
      <c r="BU36" s="100"/>
      <c r="BV36" s="100"/>
      <c r="BW36" s="100"/>
      <c r="BX36" s="100"/>
      <c r="BY36" s="100"/>
      <c r="BZ36" s="100"/>
      <c r="CA36" s="100"/>
      <c r="CB36" s="201">
        <v>9</v>
      </c>
      <c r="CC36" s="149" t="s">
        <v>171</v>
      </c>
      <c r="CD36" s="866">
        <v>100</v>
      </c>
      <c r="CE36" s="211"/>
      <c r="CF36" s="42"/>
      <c r="CG36" s="42"/>
      <c r="CH36" s="42"/>
      <c r="CI36" s="42"/>
      <c r="CJ36" s="42"/>
      <c r="CK36" s="42"/>
      <c r="CL36" s="42"/>
      <c r="CM36" s="42"/>
      <c r="CN36" s="121"/>
      <c r="CO36" s="29"/>
      <c r="CP36" s="30"/>
    </row>
    <row r="37" spans="1:94" ht="23.25" x14ac:dyDescent="0.25">
      <c r="A37" s="901"/>
      <c r="B37" s="1042"/>
      <c r="C37" s="1042"/>
      <c r="D37" s="1042"/>
      <c r="E37" s="1042"/>
      <c r="F37" s="1042"/>
      <c r="G37" s="1042"/>
      <c r="H37" s="1042"/>
      <c r="I37" s="911"/>
      <c r="J37" s="871"/>
      <c r="K37" s="882"/>
      <c r="L37" s="882"/>
      <c r="M37" s="47"/>
      <c r="N37" s="47"/>
      <c r="P37" s="186"/>
      <c r="Q37" s="406"/>
      <c r="R37" s="899"/>
      <c r="S37" s="900"/>
      <c r="T37" s="900"/>
      <c r="U37" s="900"/>
      <c r="V37" s="899"/>
      <c r="W37" s="406"/>
      <c r="X37" s="406"/>
      <c r="Y37" s="892"/>
      <c r="Z37" s="892"/>
      <c r="AA37" s="892"/>
      <c r="AB37" s="892"/>
      <c r="AC37" s="892"/>
      <c r="AD37" s="406"/>
      <c r="AE37" s="957"/>
      <c r="AF37" s="900"/>
      <c r="AG37" s="900"/>
      <c r="AH37" s="900"/>
      <c r="AI37" s="957"/>
      <c r="AJ37" s="406"/>
      <c r="AK37" s="406"/>
      <c r="AL37" s="893"/>
      <c r="AM37" s="893"/>
      <c r="AN37" s="893"/>
      <c r="AO37" s="893"/>
      <c r="AP37" s="406"/>
      <c r="AQ37" s="406"/>
      <c r="AR37" s="964"/>
      <c r="AS37" s="964"/>
      <c r="AT37" s="964"/>
      <c r="AU37" s="406"/>
      <c r="AV37" s="1046"/>
      <c r="AW37" s="1024"/>
      <c r="AX37" s="1024"/>
      <c r="AY37" s="1024"/>
      <c r="AZ37" s="1024"/>
      <c r="BA37" s="1024"/>
      <c r="BB37" s="1047"/>
      <c r="BC37" s="40"/>
      <c r="BD37" s="40"/>
      <c r="BE37" s="40"/>
      <c r="BF37" s="40"/>
      <c r="BG37" s="40"/>
      <c r="BH37" s="40"/>
      <c r="BI37" s="40"/>
      <c r="BJ37" s="40"/>
      <c r="BK37" s="208"/>
      <c r="BL37" s="902"/>
      <c r="BM37" s="978"/>
      <c r="BN37" s="406"/>
      <c r="BO37" s="406"/>
      <c r="BP37" s="406"/>
      <c r="BQ37" s="961"/>
      <c r="BR37" s="961"/>
      <c r="BS37" s="976"/>
      <c r="BT37" s="871"/>
      <c r="BU37" s="100"/>
      <c r="BV37" s="100"/>
      <c r="BW37" s="100"/>
      <c r="BX37" s="100"/>
      <c r="BY37" s="100"/>
      <c r="BZ37" s="100"/>
      <c r="CA37" s="100"/>
      <c r="CB37" s="100"/>
      <c r="CC37" s="193"/>
      <c r="CD37" s="193"/>
      <c r="CE37" s="211"/>
      <c r="CF37" s="42"/>
      <c r="CG37" s="42"/>
      <c r="CH37" s="42"/>
      <c r="CI37" s="42"/>
      <c r="CJ37" s="42"/>
      <c r="CK37" s="42"/>
      <c r="CL37" s="42"/>
      <c r="CM37" s="42"/>
      <c r="CN37" s="121"/>
      <c r="CO37" s="29"/>
      <c r="CP37" s="30"/>
    </row>
    <row r="38" spans="1:94" ht="21" x14ac:dyDescent="0.25">
      <c r="A38" s="901"/>
      <c r="B38" s="406"/>
      <c r="C38" s="406"/>
      <c r="D38" s="911"/>
      <c r="E38" s="911"/>
      <c r="F38" s="913"/>
      <c r="G38" s="913"/>
      <c r="H38" s="913"/>
      <c r="I38" s="913"/>
      <c r="J38" s="871"/>
      <c r="K38" s="406"/>
      <c r="L38" s="406"/>
      <c r="M38" s="406"/>
      <c r="N38" s="406"/>
      <c r="O38" s="406"/>
      <c r="P38" s="918"/>
      <c r="Q38" s="406"/>
      <c r="R38" s="406"/>
      <c r="S38" s="897"/>
      <c r="T38" s="897"/>
      <c r="U38" s="897"/>
      <c r="V38" s="406"/>
      <c r="W38" s="406"/>
      <c r="X38" s="406"/>
      <c r="Y38" s="406"/>
      <c r="Z38" s="406"/>
      <c r="AA38" s="406"/>
      <c r="AB38" s="406"/>
      <c r="AC38" s="406"/>
      <c r="AD38" s="406"/>
      <c r="AE38" s="957"/>
      <c r="AF38" s="900"/>
      <c r="AG38" s="900"/>
      <c r="AH38" s="900"/>
      <c r="AI38" s="957"/>
      <c r="AJ38" s="406"/>
      <c r="AK38" s="406"/>
      <c r="AL38" s="893"/>
      <c r="AM38" s="893"/>
      <c r="AN38" s="893"/>
      <c r="AO38" s="893"/>
      <c r="AP38" s="406"/>
      <c r="AQ38" s="406"/>
      <c r="AR38" s="964"/>
      <c r="AS38" s="964"/>
      <c r="AT38" s="964"/>
      <c r="AU38" s="406"/>
      <c r="AV38" s="1046"/>
      <c r="AW38" s="1024"/>
      <c r="AX38" s="1024"/>
      <c r="AY38" s="1024"/>
      <c r="AZ38" s="1024"/>
      <c r="BA38" s="1024"/>
      <c r="BB38" s="1047"/>
      <c r="BC38" s="40"/>
      <c r="BD38" s="40"/>
      <c r="BE38" s="40"/>
      <c r="BF38" s="40"/>
      <c r="BG38" s="40"/>
      <c r="BH38" s="40"/>
      <c r="BI38" s="40"/>
      <c r="BJ38" s="40"/>
      <c r="BK38" s="208"/>
      <c r="BL38" s="902"/>
      <c r="BM38" s="961"/>
      <c r="BN38" s="961"/>
      <c r="BO38" s="406"/>
      <c r="BP38" s="406"/>
      <c r="BQ38" s="406"/>
      <c r="BR38" s="406"/>
      <c r="BS38" s="406"/>
      <c r="BT38" s="871"/>
      <c r="BU38" s="100"/>
      <c r="BV38" s="100"/>
      <c r="BW38" s="100"/>
      <c r="BX38" s="100"/>
      <c r="BY38" s="100"/>
      <c r="BZ38" s="100"/>
      <c r="CA38" s="100"/>
      <c r="CB38" s="100"/>
      <c r="CC38" s="42"/>
      <c r="CD38" s="42"/>
      <c r="CE38" s="211"/>
      <c r="CF38" s="42"/>
      <c r="CG38" s="42"/>
      <c r="CH38" s="42"/>
      <c r="CI38" s="42"/>
      <c r="CJ38" s="42"/>
      <c r="CK38" s="42"/>
      <c r="CL38" s="42"/>
      <c r="CM38" s="42"/>
      <c r="CN38" s="121"/>
      <c r="CO38" s="29"/>
      <c r="CP38" s="30"/>
    </row>
    <row r="39" spans="1:94" ht="24" thickBot="1" x14ac:dyDescent="0.3">
      <c r="A39" s="70"/>
      <c r="B39" s="923"/>
      <c r="C39" s="896"/>
      <c r="D39" s="911"/>
      <c r="E39" s="255"/>
      <c r="F39" s="256"/>
      <c r="G39" s="256"/>
      <c r="H39" s="256"/>
      <c r="I39" s="256"/>
      <c r="J39" s="100"/>
      <c r="K39" s="919"/>
      <c r="L39" s="406"/>
      <c r="M39" s="1053"/>
      <c r="N39" s="1053"/>
      <c r="O39" s="406"/>
      <c r="P39" s="918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958"/>
      <c r="AF39" s="957"/>
      <c r="AG39" s="957"/>
      <c r="AH39" s="957"/>
      <c r="AI39" s="406"/>
      <c r="AJ39" s="959"/>
      <c r="AK39" s="959"/>
      <c r="AL39" s="959"/>
      <c r="AM39" s="959"/>
      <c r="AN39" s="959"/>
      <c r="AO39" s="959"/>
      <c r="AP39" s="959"/>
      <c r="AQ39" s="959"/>
      <c r="AR39" s="959"/>
      <c r="AS39" s="959"/>
      <c r="AT39" s="959"/>
      <c r="AU39" s="258"/>
      <c r="AV39" s="1048"/>
      <c r="AW39" s="1049"/>
      <c r="AX39" s="1049"/>
      <c r="AY39" s="1049"/>
      <c r="AZ39" s="1049"/>
      <c r="BA39" s="1049"/>
      <c r="BB39" s="1050"/>
      <c r="BC39" s="64"/>
      <c r="BD39" s="64"/>
      <c r="BE39" s="64"/>
      <c r="BF39" s="64"/>
      <c r="BG39" s="64"/>
      <c r="BH39" s="64"/>
      <c r="BI39" s="64"/>
      <c r="BJ39" s="64"/>
      <c r="BK39" s="259"/>
      <c r="BL39" s="960"/>
      <c r="BM39" s="979"/>
      <c r="BN39" s="979"/>
      <c r="BO39" s="961"/>
      <c r="BP39" s="406"/>
      <c r="BQ39" s="406"/>
      <c r="BR39" s="406"/>
      <c r="BS39" s="406"/>
      <c r="BT39" s="871"/>
      <c r="BU39" s="100"/>
      <c r="BV39" s="100"/>
      <c r="BW39" s="100"/>
      <c r="BX39" s="100"/>
      <c r="BY39" s="100"/>
      <c r="BZ39" s="100"/>
      <c r="CA39" s="100"/>
      <c r="CB39" s="100"/>
      <c r="CC39" s="42"/>
      <c r="CD39" s="42"/>
      <c r="CE39" s="211"/>
      <c r="CF39" s="42"/>
      <c r="CG39" s="42"/>
      <c r="CH39" s="42"/>
      <c r="CI39" s="42"/>
      <c r="CJ39" s="42"/>
      <c r="CK39" s="42"/>
      <c r="CL39" s="42"/>
      <c r="CM39" s="42"/>
      <c r="CN39" s="261"/>
      <c r="CO39" s="29"/>
      <c r="CP39" s="30"/>
    </row>
    <row r="40" spans="1:94" ht="24" thickBot="1" x14ac:dyDescent="0.3">
      <c r="A40" s="70"/>
      <c r="B40" s="900"/>
      <c r="C40" s="924"/>
      <c r="D40" s="925"/>
      <c r="E40" s="263"/>
      <c r="J40" s="100"/>
      <c r="K40" s="406"/>
      <c r="L40" s="896"/>
      <c r="M40" s="129"/>
      <c r="N40" s="129"/>
      <c r="O40" s="898"/>
      <c r="P40" s="918"/>
      <c r="Q40" s="1006"/>
      <c r="R40" s="1007"/>
      <c r="S40" s="1008"/>
      <c r="T40" s="264"/>
      <c r="U40" s="264"/>
      <c r="V40" s="264"/>
      <c r="W40" s="264"/>
      <c r="X40" s="264"/>
      <c r="Y40" s="264"/>
      <c r="Z40" s="264"/>
      <c r="AA40" s="264"/>
      <c r="AB40" s="264"/>
      <c r="AC40" s="108"/>
      <c r="AD40" s="108"/>
      <c r="AE40" s="108"/>
      <c r="AF40" s="108"/>
      <c r="AG40" s="108"/>
      <c r="AH40" s="108"/>
      <c r="AI40" s="108"/>
      <c r="AJ40" s="108"/>
      <c r="AK40" s="265"/>
      <c r="AM40" s="168"/>
      <c r="AN40" s="168"/>
      <c r="AO40" s="168"/>
      <c r="AP40" s="97"/>
      <c r="AQ40" s="97"/>
      <c r="AR40" s="97"/>
      <c r="AS40" s="97"/>
      <c r="AT40" s="97"/>
      <c r="AU40" s="266"/>
      <c r="AV40" s="97"/>
      <c r="AW40" s="97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980"/>
      <c r="BM40" s="981"/>
      <c r="BN40" s="980"/>
      <c r="BO40" s="980"/>
      <c r="BP40" s="980"/>
      <c r="BQ40" s="980"/>
      <c r="BR40" s="980"/>
      <c r="BS40" s="1015"/>
      <c r="BT40" s="1016"/>
      <c r="BU40" s="268"/>
      <c r="BV40" s="268"/>
      <c r="BW40" s="268"/>
      <c r="BX40" s="268"/>
      <c r="BY40" s="268"/>
      <c r="BZ40" s="268"/>
      <c r="CA40" s="268"/>
      <c r="CB40" s="268"/>
      <c r="CC40" s="269"/>
      <c r="CD40" s="42"/>
      <c r="CE40" s="211"/>
      <c r="CF40" s="42"/>
      <c r="CG40" s="42"/>
      <c r="CH40" s="42"/>
      <c r="CI40" s="42"/>
      <c r="CJ40" s="42"/>
      <c r="CK40" s="42"/>
      <c r="CL40" s="42"/>
      <c r="CM40" s="42"/>
      <c r="CN40" s="261"/>
      <c r="CO40" s="29"/>
      <c r="CP40" s="30"/>
    </row>
    <row r="41" spans="1:94" ht="21" x14ac:dyDescent="0.25">
      <c r="A41" s="270"/>
      <c r="B41" s="923"/>
      <c r="C41" s="923"/>
      <c r="D41" s="926"/>
      <c r="E41" s="272"/>
      <c r="F41" s="1005" t="s">
        <v>234</v>
      </c>
      <c r="G41" s="1005"/>
      <c r="H41" s="1005"/>
      <c r="J41" s="100"/>
      <c r="K41" s="920"/>
      <c r="L41" s="129"/>
      <c r="M41" s="900"/>
      <c r="N41" s="900"/>
      <c r="O41" s="129"/>
      <c r="P41" s="921"/>
      <c r="Q41" s="1009"/>
      <c r="R41" s="1010"/>
      <c r="S41" s="1011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97"/>
      <c r="AE41" s="97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275"/>
      <c r="AT41" s="275"/>
      <c r="AU41" s="275"/>
      <c r="AV41" s="275"/>
      <c r="AW41" s="275"/>
      <c r="AX41" s="275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276"/>
      <c r="BN41" s="277"/>
      <c r="BO41" s="277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278"/>
      <c r="CD41" s="42"/>
      <c r="CE41" s="211"/>
      <c r="CF41" s="42"/>
      <c r="CG41" s="42"/>
      <c r="CH41" s="42"/>
      <c r="CI41" s="42"/>
      <c r="CJ41" s="42"/>
      <c r="CK41" s="42"/>
      <c r="CL41" s="42"/>
      <c r="CM41" s="42"/>
      <c r="CN41" s="261"/>
      <c r="CO41" s="29"/>
      <c r="CP41" s="30"/>
    </row>
    <row r="42" spans="1:94" ht="21" x14ac:dyDescent="0.3">
      <c r="A42" s="270"/>
      <c r="B42" s="900"/>
      <c r="C42" s="924"/>
      <c r="D42" s="925"/>
      <c r="E42" s="92" t="s">
        <v>222</v>
      </c>
      <c r="F42" s="98">
        <v>1</v>
      </c>
      <c r="G42" s="250"/>
      <c r="H42" s="98">
        <v>2</v>
      </c>
      <c r="J42" s="255"/>
      <c r="K42" s="920"/>
      <c r="L42" s="129"/>
      <c r="M42" s="900"/>
      <c r="N42" s="900"/>
      <c r="O42" s="129"/>
      <c r="P42" s="921"/>
      <c r="Q42" s="1009"/>
      <c r="R42" s="1010"/>
      <c r="S42" s="1011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31"/>
      <c r="AE42" s="31"/>
      <c r="AF42" s="280"/>
      <c r="AG42" s="40"/>
      <c r="AH42" s="31"/>
      <c r="AI42" s="31"/>
      <c r="AJ42" s="281"/>
      <c r="AK42" s="281"/>
      <c r="AL42" s="281"/>
      <c r="AM42" s="281"/>
      <c r="AN42" s="40"/>
      <c r="AO42" s="40"/>
      <c r="AP42" s="40"/>
      <c r="AQ42" s="40"/>
      <c r="AR42" s="40"/>
      <c r="AS42" s="54"/>
      <c r="AT42" s="54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54"/>
      <c r="BM42" s="97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208"/>
      <c r="CD42" s="42"/>
      <c r="CE42" s="282"/>
      <c r="CF42" s="42"/>
      <c r="CG42" s="42"/>
      <c r="CH42" s="42"/>
      <c r="CI42" s="42"/>
      <c r="CJ42" s="42"/>
      <c r="CK42" s="42"/>
      <c r="CL42" s="42"/>
      <c r="CM42" s="42"/>
      <c r="CN42" s="261"/>
      <c r="CO42" s="29"/>
      <c r="CP42" s="30"/>
    </row>
    <row r="43" spans="1:94" ht="21.75" thickBot="1" x14ac:dyDescent="0.3">
      <c r="A43" s="270"/>
      <c r="B43" s="923"/>
      <c r="C43" s="923"/>
      <c r="D43" s="926"/>
      <c r="E43" s="283"/>
      <c r="F43" s="284"/>
      <c r="G43" s="285"/>
      <c r="H43" s="284"/>
      <c r="I43" s="283"/>
      <c r="J43" s="88"/>
      <c r="K43" s="922"/>
      <c r="L43" s="129"/>
      <c r="M43" s="900"/>
      <c r="N43" s="900"/>
      <c r="O43" s="129"/>
      <c r="P43" s="921"/>
      <c r="Q43" s="1009"/>
      <c r="R43" s="1010"/>
      <c r="S43" s="1011"/>
      <c r="T43" s="29"/>
      <c r="U43" s="34"/>
      <c r="V43" s="34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6"/>
      <c r="AO43" s="942"/>
      <c r="AP43" s="40"/>
      <c r="AQ43" s="54"/>
      <c r="AR43" s="54"/>
      <c r="AS43" s="54"/>
      <c r="AT43" s="54"/>
      <c r="BB43" s="54"/>
      <c r="BC43" s="54"/>
      <c r="BD43" s="54"/>
      <c r="BE43" s="97"/>
      <c r="BF43" s="97"/>
      <c r="BG43" s="97"/>
      <c r="BH43" s="97"/>
      <c r="BI43" s="97"/>
      <c r="BJ43" s="97"/>
      <c r="BK43" s="97"/>
      <c r="BL43" s="54"/>
      <c r="BM43" s="54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208"/>
      <c r="CD43" s="42"/>
      <c r="CE43" s="282"/>
      <c r="CF43" s="42"/>
      <c r="CG43" s="42"/>
      <c r="CH43" s="42"/>
      <c r="CI43" s="42"/>
      <c r="CJ43" s="42"/>
      <c r="CK43" s="42"/>
      <c r="CL43" s="42"/>
      <c r="CM43" s="42"/>
      <c r="CN43" s="278"/>
      <c r="CO43" s="29"/>
      <c r="CP43" s="30"/>
    </row>
    <row r="44" spans="1:94" ht="21" x14ac:dyDescent="0.25">
      <c r="A44" s="270"/>
      <c r="B44" s="900"/>
      <c r="C44" s="924"/>
      <c r="D44" s="925"/>
      <c r="E44" s="284"/>
      <c r="F44" s="863">
        <v>800</v>
      </c>
      <c r="G44" s="284"/>
      <c r="H44" s="862">
        <v>800</v>
      </c>
      <c r="I44" s="284"/>
      <c r="J44" s="255"/>
      <c r="K44" s="922"/>
      <c r="L44" s="129"/>
      <c r="M44" s="900"/>
      <c r="N44" s="900"/>
      <c r="O44" s="129"/>
      <c r="P44" s="921"/>
      <c r="Q44" s="1009"/>
      <c r="R44" s="1010"/>
      <c r="S44" s="1011"/>
      <c r="T44" s="1017"/>
      <c r="U44" s="1017"/>
      <c r="V44" s="1017"/>
      <c r="W44" s="1017"/>
      <c r="X44" s="1017"/>
      <c r="Y44" s="1017"/>
      <c r="Z44" s="1017"/>
      <c r="AA44" s="1017"/>
      <c r="AB44" s="1018"/>
      <c r="AC44" s="943"/>
      <c r="AD44" s="943"/>
      <c r="AE44" s="943"/>
      <c r="AF44" s="944"/>
      <c r="AG44" s="59"/>
      <c r="AH44" s="943"/>
      <c r="AI44" s="943"/>
      <c r="AJ44" s="945"/>
      <c r="AK44" s="945"/>
      <c r="AL44" s="945"/>
      <c r="AM44" s="945"/>
      <c r="AN44" s="406"/>
      <c r="AO44" s="902"/>
      <c r="AP44" s="40"/>
      <c r="AQ44" s="54"/>
      <c r="AR44" s="54"/>
      <c r="AS44" s="54"/>
      <c r="AT44" s="54"/>
      <c r="BB44" s="54"/>
      <c r="BC44" s="54"/>
      <c r="BD44" s="54"/>
      <c r="BE44" s="31"/>
      <c r="BF44" s="31"/>
      <c r="BG44" s="31"/>
      <c r="BH44" s="31"/>
      <c r="BI44" s="31"/>
      <c r="BJ44" s="31"/>
      <c r="BK44" s="31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278"/>
      <c r="CD44" s="42"/>
      <c r="CE44" s="282"/>
      <c r="CF44" s="42"/>
      <c r="CG44" s="54"/>
      <c r="CH44" s="54"/>
      <c r="CI44" s="54"/>
      <c r="CJ44" s="54"/>
      <c r="CK44" s="54"/>
      <c r="CL44" s="54"/>
      <c r="CM44" s="54"/>
      <c r="CN44" s="278"/>
      <c r="CO44" s="29"/>
      <c r="CP44" s="30"/>
    </row>
    <row r="45" spans="1:94" ht="21.75" thickBot="1" x14ac:dyDescent="0.3">
      <c r="A45" s="270"/>
      <c r="B45" s="923"/>
      <c r="C45" s="923"/>
      <c r="D45" s="926"/>
      <c r="E45" s="290"/>
      <c r="F45" s="867">
        <v>800</v>
      </c>
      <c r="G45" s="284"/>
      <c r="H45" s="868">
        <v>800</v>
      </c>
      <c r="I45" s="290"/>
      <c r="J45" s="255"/>
      <c r="K45" s="406"/>
      <c r="L45" s="406"/>
      <c r="M45" s="129"/>
      <c r="N45" s="129"/>
      <c r="O45" s="406"/>
      <c r="P45" s="871"/>
      <c r="Q45" s="1009"/>
      <c r="R45" s="1010"/>
      <c r="S45" s="1011"/>
      <c r="T45" s="1019"/>
      <c r="U45" s="1019"/>
      <c r="V45" s="1019"/>
      <c r="W45" s="1019"/>
      <c r="X45" s="1019"/>
      <c r="Y45" s="1019"/>
      <c r="Z45" s="1019"/>
      <c r="AA45" s="1019"/>
      <c r="AB45" s="1020"/>
      <c r="AC45" s="946"/>
      <c r="AD45" s="946"/>
      <c r="AE45" s="946"/>
      <c r="AF45" s="946"/>
      <c r="AG45" s="946"/>
      <c r="AH45" s="946"/>
      <c r="AI45" s="946"/>
      <c r="AJ45" s="946"/>
      <c r="AK45" s="946"/>
      <c r="AL45" s="946"/>
      <c r="AM45" s="946"/>
      <c r="AN45" s="406"/>
      <c r="AO45" s="902"/>
      <c r="AP45" s="40"/>
      <c r="AQ45" s="54"/>
      <c r="AR45" s="54"/>
      <c r="AS45" s="54"/>
      <c r="AT45" s="54"/>
      <c r="BB45" s="54"/>
      <c r="BC45" s="31"/>
      <c r="BD45" s="54"/>
      <c r="BE45" s="31"/>
      <c r="BF45" s="31"/>
      <c r="BG45" s="31"/>
      <c r="BH45" s="31"/>
      <c r="BI45" s="31"/>
      <c r="BJ45" s="31"/>
      <c r="BK45" s="31"/>
      <c r="BL45" s="54"/>
      <c r="BM45" s="54"/>
      <c r="BN45" s="54"/>
      <c r="BO45" s="54"/>
      <c r="BP45" s="54"/>
      <c r="BQ45" s="54"/>
      <c r="BR45" s="54"/>
      <c r="BS45" s="31"/>
      <c r="BT45" s="54"/>
      <c r="BU45" s="54"/>
      <c r="BV45" s="54"/>
      <c r="BW45" s="54"/>
      <c r="BX45" s="54"/>
      <c r="BY45" s="54"/>
      <c r="BZ45" s="54"/>
      <c r="CA45" s="54"/>
      <c r="CB45" s="54"/>
      <c r="CC45" s="278"/>
      <c r="CD45" s="42"/>
      <c r="CE45" s="294"/>
      <c r="CF45" s="64"/>
      <c r="CG45" s="64"/>
      <c r="CH45" s="64"/>
      <c r="CI45" s="64"/>
      <c r="CJ45" s="64"/>
      <c r="CK45" s="64"/>
      <c r="CL45" s="64"/>
      <c r="CM45" s="64"/>
      <c r="CN45" s="259"/>
      <c r="CO45" s="29"/>
      <c r="CP45" s="30"/>
    </row>
    <row r="46" spans="1:94" ht="21" x14ac:dyDescent="0.25">
      <c r="A46" s="270"/>
      <c r="B46" s="900"/>
      <c r="C46" s="924"/>
      <c r="D46" s="926"/>
      <c r="E46" s="295"/>
      <c r="F46" s="284"/>
      <c r="G46" s="285"/>
      <c r="H46" s="284"/>
      <c r="I46" s="295"/>
      <c r="J46" s="255"/>
      <c r="K46" s="406"/>
      <c r="L46" s="406"/>
      <c r="M46" s="406"/>
      <c r="N46" s="406"/>
      <c r="O46" s="871"/>
      <c r="P46" s="406"/>
      <c r="Q46" s="1009"/>
      <c r="R46" s="1010"/>
      <c r="S46" s="1011"/>
      <c r="T46" s="1019"/>
      <c r="U46" s="1019"/>
      <c r="V46" s="1019"/>
      <c r="W46" s="1019"/>
      <c r="X46" s="1019"/>
      <c r="Y46" s="1019"/>
      <c r="Z46" s="1019"/>
      <c r="AA46" s="1019"/>
      <c r="AB46" s="1020"/>
      <c r="AC46" s="947"/>
      <c r="AD46" s="948"/>
      <c r="AE46" s="1351"/>
      <c r="AF46" s="1352"/>
      <c r="AG46" s="1352"/>
      <c r="AH46" s="1352"/>
      <c r="AI46" s="1352"/>
      <c r="AJ46" s="1352"/>
      <c r="AK46" s="1352"/>
      <c r="AL46" s="1352"/>
      <c r="AM46" s="1353"/>
      <c r="AN46" s="406"/>
      <c r="AO46" s="902"/>
      <c r="AP46" s="40"/>
      <c r="AQ46" s="54"/>
      <c r="AR46" s="54"/>
      <c r="AS46" s="54"/>
      <c r="AT46" s="54"/>
      <c r="BB46" s="54"/>
      <c r="BC46" s="54"/>
      <c r="BD46" s="298"/>
      <c r="BE46" s="275"/>
      <c r="BF46" s="275"/>
      <c r="BG46" s="275"/>
      <c r="BJ46" s="275"/>
      <c r="BK46" s="275"/>
      <c r="BL46" s="54"/>
      <c r="BM46" s="275"/>
      <c r="BN46" s="275"/>
      <c r="BO46" s="54"/>
      <c r="BP46" s="54"/>
      <c r="BQ46" s="54"/>
      <c r="BR46" s="54"/>
      <c r="BS46" s="31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9"/>
      <c r="CO46" s="29"/>
      <c r="CP46" s="30"/>
    </row>
    <row r="47" spans="1:94" x14ac:dyDescent="0.25">
      <c r="A47" s="270"/>
      <c r="B47" s="923"/>
      <c r="C47" s="406"/>
      <c r="D47" s="926"/>
      <c r="E47" s="95"/>
      <c r="F47" s="98">
        <v>4</v>
      </c>
      <c r="G47" s="250"/>
      <c r="H47" s="98">
        <v>3</v>
      </c>
      <c r="I47" s="95"/>
      <c r="J47" s="255"/>
      <c r="K47" s="406"/>
      <c r="L47" s="406"/>
      <c r="M47" s="406"/>
      <c r="N47" s="406"/>
      <c r="O47" s="871"/>
      <c r="P47" s="406"/>
      <c r="Q47" s="1009"/>
      <c r="R47" s="1010"/>
      <c r="S47" s="1011"/>
      <c r="T47" s="1019"/>
      <c r="U47" s="1019"/>
      <c r="V47" s="1019"/>
      <c r="W47" s="1019"/>
      <c r="X47" s="1019"/>
      <c r="Y47" s="1019"/>
      <c r="Z47" s="1019"/>
      <c r="AA47" s="1019"/>
      <c r="AB47" s="1020"/>
      <c r="AC47" s="242"/>
      <c r="AD47" s="242"/>
      <c r="AE47" s="1023"/>
      <c r="AF47" s="1024"/>
      <c r="AG47" s="1024"/>
      <c r="AH47" s="1024"/>
      <c r="AI47" s="1024"/>
      <c r="AJ47" s="1024"/>
      <c r="AK47" s="1024"/>
      <c r="AL47" s="1024"/>
      <c r="AM47" s="1025"/>
      <c r="AN47" s="406"/>
      <c r="AO47" s="902"/>
      <c r="AP47" s="54"/>
      <c r="AQ47" s="54"/>
      <c r="AR47" s="54"/>
      <c r="AS47" s="54"/>
      <c r="AT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278"/>
      <c r="CO47" s="29"/>
      <c r="CP47" s="30"/>
    </row>
    <row r="48" spans="1:94" ht="15.75" x14ac:dyDescent="0.25">
      <c r="A48" s="270"/>
      <c r="B48" s="1029"/>
      <c r="C48" s="1030"/>
      <c r="D48" s="926"/>
      <c r="J48" s="255"/>
      <c r="K48" s="238"/>
      <c r="L48" s="255"/>
      <c r="M48" s="255"/>
      <c r="N48" s="255"/>
      <c r="O48" s="100"/>
      <c r="P48" s="100"/>
      <c r="Q48" s="1009"/>
      <c r="R48" s="1010"/>
      <c r="S48" s="1011"/>
      <c r="T48" s="1019"/>
      <c r="U48" s="1019"/>
      <c r="V48" s="1019"/>
      <c r="W48" s="1019"/>
      <c r="X48" s="1019"/>
      <c r="Y48" s="1019"/>
      <c r="Z48" s="1019"/>
      <c r="AA48" s="1019"/>
      <c r="AB48" s="1020"/>
      <c r="AC48" s="242"/>
      <c r="AD48" s="242"/>
      <c r="AE48" s="1026"/>
      <c r="AF48" s="1027"/>
      <c r="AG48" s="1027"/>
      <c r="AH48" s="1027"/>
      <c r="AI48" s="1027"/>
      <c r="AJ48" s="1027"/>
      <c r="AK48" s="1027"/>
      <c r="AL48" s="1027"/>
      <c r="AM48" s="1028"/>
      <c r="AN48" s="406"/>
      <c r="AO48" s="902"/>
      <c r="AP48" s="54"/>
      <c r="AQ48" s="54"/>
      <c r="AR48" s="54"/>
      <c r="AS48" s="54"/>
      <c r="AT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278"/>
      <c r="CO48" s="29"/>
      <c r="CP48" s="30"/>
    </row>
    <row r="49" spans="1:94" x14ac:dyDescent="0.25">
      <c r="A49" s="270"/>
      <c r="B49" s="927"/>
      <c r="C49" s="927"/>
      <c r="D49" s="926"/>
      <c r="E49" s="406"/>
      <c r="F49" s="406"/>
      <c r="G49" s="406"/>
      <c r="H49" s="406"/>
      <c r="I49" s="406"/>
      <c r="J49" s="406"/>
      <c r="L49" s="255"/>
      <c r="M49" s="255"/>
      <c r="N49" s="255"/>
      <c r="O49" s="100"/>
      <c r="P49" s="255"/>
      <c r="Q49" s="1009"/>
      <c r="R49" s="1010"/>
      <c r="S49" s="1011"/>
      <c r="T49" s="1019"/>
      <c r="U49" s="1019"/>
      <c r="V49" s="1019"/>
      <c r="W49" s="1019"/>
      <c r="X49" s="1019"/>
      <c r="Y49" s="1019"/>
      <c r="Z49" s="1019"/>
      <c r="AA49" s="1019"/>
      <c r="AB49" s="1020"/>
      <c r="AC49" s="242"/>
      <c r="AD49" s="242"/>
      <c r="AE49" s="242"/>
      <c r="AF49" s="242"/>
      <c r="AG49" s="242"/>
      <c r="AH49" s="242"/>
      <c r="AI49" s="242"/>
      <c r="AJ49" s="242"/>
      <c r="AK49" s="1354"/>
      <c r="AL49" s="1352"/>
      <c r="AM49" s="1355"/>
      <c r="AN49" s="406"/>
      <c r="AO49" s="902"/>
      <c r="AP49" s="54"/>
      <c r="AQ49" s="54"/>
      <c r="AR49" s="54"/>
      <c r="AS49" s="54"/>
      <c r="AT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278"/>
      <c r="CO49" s="29"/>
      <c r="CP49" s="30"/>
    </row>
    <row r="50" spans="1:94" ht="20.25" x14ac:dyDescent="0.25">
      <c r="A50" s="270"/>
      <c r="B50" s="927"/>
      <c r="C50" s="927"/>
      <c r="D50" s="406"/>
      <c r="E50" s="926"/>
      <c r="F50" s="263"/>
      <c r="G50" s="263"/>
      <c r="H50" s="263"/>
      <c r="I50" s="263"/>
      <c r="J50" s="406"/>
      <c r="L50" s="255"/>
      <c r="M50" s="255"/>
      <c r="N50" s="255"/>
      <c r="O50" s="255"/>
      <c r="P50" s="255"/>
      <c r="Q50" s="1009"/>
      <c r="R50" s="1010"/>
      <c r="S50" s="1011"/>
      <c r="T50" s="1019"/>
      <c r="U50" s="1019"/>
      <c r="V50" s="1019"/>
      <c r="W50" s="1019"/>
      <c r="X50" s="1019"/>
      <c r="Y50" s="1019"/>
      <c r="Z50" s="1019"/>
      <c r="AA50" s="1019"/>
      <c r="AB50" s="1020"/>
      <c r="AC50" s="242"/>
      <c r="AD50" s="242"/>
      <c r="AE50" s="242"/>
      <c r="AF50" s="242"/>
      <c r="AG50" s="242"/>
      <c r="AH50" s="242"/>
      <c r="AI50" s="242"/>
      <c r="AJ50" s="242"/>
      <c r="AK50" s="1031"/>
      <c r="AL50" s="1024"/>
      <c r="AM50" s="1032"/>
      <c r="AN50" s="406"/>
      <c r="AO50" s="902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278"/>
      <c r="CO50" s="302"/>
      <c r="CP50" s="30"/>
    </row>
    <row r="51" spans="1:94" x14ac:dyDescent="0.25">
      <c r="A51" s="270"/>
      <c r="C51" s="255"/>
      <c r="E51" s="926"/>
      <c r="F51" s="927"/>
      <c r="G51" s="927"/>
      <c r="H51" s="927"/>
      <c r="I51" s="406"/>
      <c r="J51" s="406"/>
      <c r="L51" s="255"/>
      <c r="M51" s="255"/>
      <c r="N51" s="255"/>
      <c r="Q51" s="1009"/>
      <c r="R51" s="1010"/>
      <c r="S51" s="1011"/>
      <c r="T51" s="1019"/>
      <c r="U51" s="1019"/>
      <c r="V51" s="1019"/>
      <c r="W51" s="1019"/>
      <c r="X51" s="1019"/>
      <c r="Y51" s="1019"/>
      <c r="Z51" s="1019"/>
      <c r="AA51" s="1019"/>
      <c r="AB51" s="1020"/>
      <c r="AC51" s="1356"/>
      <c r="AD51" s="1357"/>
      <c r="AE51" s="1357"/>
      <c r="AF51" s="1357"/>
      <c r="AG51" s="1357"/>
      <c r="AH51" s="1357"/>
      <c r="AI51" s="1357"/>
      <c r="AJ51" s="1358"/>
      <c r="AK51" s="1031"/>
      <c r="AL51" s="1024"/>
      <c r="AM51" s="1032"/>
      <c r="AN51" s="406"/>
      <c r="AO51" s="949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303"/>
      <c r="CO51" s="302"/>
      <c r="CP51" s="30"/>
    </row>
    <row r="52" spans="1:94" ht="18.75" x14ac:dyDescent="0.25">
      <c r="A52" s="270"/>
      <c r="B52" s="927"/>
      <c r="C52" s="927"/>
      <c r="D52" s="406"/>
      <c r="E52" s="896"/>
      <c r="F52" s="928"/>
      <c r="G52" s="928"/>
      <c r="H52" s="928"/>
      <c r="I52" s="898"/>
      <c r="J52" s="406"/>
      <c r="L52" s="255"/>
      <c r="M52" s="255"/>
      <c r="N52" s="255"/>
      <c r="Q52" s="1009"/>
      <c r="R52" s="1010"/>
      <c r="S52" s="1011"/>
      <c r="T52" s="1019"/>
      <c r="U52" s="1019"/>
      <c r="V52" s="1019"/>
      <c r="W52" s="1019"/>
      <c r="X52" s="1019"/>
      <c r="Y52" s="1019"/>
      <c r="Z52" s="1019"/>
      <c r="AA52" s="1019"/>
      <c r="AB52" s="1020"/>
      <c r="AC52" s="1035"/>
      <c r="AD52" s="1019"/>
      <c r="AE52" s="1019"/>
      <c r="AF52" s="1019"/>
      <c r="AG52" s="1019"/>
      <c r="AH52" s="1019"/>
      <c r="AI52" s="1019"/>
      <c r="AJ52" s="1036"/>
      <c r="AK52" s="1033"/>
      <c r="AL52" s="1027"/>
      <c r="AM52" s="1034"/>
      <c r="AN52" s="406"/>
      <c r="AO52" s="949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303"/>
      <c r="CO52" s="302"/>
      <c r="CP52" s="30"/>
    </row>
    <row r="53" spans="1:94" ht="15.75" x14ac:dyDescent="0.25">
      <c r="A53" s="270"/>
      <c r="B53" s="255"/>
      <c r="C53" s="255"/>
      <c r="D53" s="406"/>
      <c r="E53" s="926"/>
      <c r="F53" s="900"/>
      <c r="G53" s="900"/>
      <c r="H53" s="900"/>
      <c r="I53" s="406"/>
      <c r="J53" s="406"/>
      <c r="L53" s="255"/>
      <c r="M53" s="255"/>
      <c r="N53" s="255"/>
      <c r="Q53" s="1009"/>
      <c r="R53" s="1010"/>
      <c r="S53" s="1011"/>
      <c r="T53" s="1019"/>
      <c r="U53" s="1019"/>
      <c r="V53" s="1019"/>
      <c r="W53" s="1019"/>
      <c r="X53" s="1019"/>
      <c r="Y53" s="1019"/>
      <c r="Z53" s="1019"/>
      <c r="AA53" s="1019"/>
      <c r="AB53" s="1020"/>
      <c r="AC53" s="1035"/>
      <c r="AD53" s="1019"/>
      <c r="AE53" s="1019"/>
      <c r="AF53" s="1019"/>
      <c r="AG53" s="1019"/>
      <c r="AH53" s="1019"/>
      <c r="AI53" s="1019"/>
      <c r="AJ53" s="1036"/>
      <c r="AK53" s="1359"/>
      <c r="AL53" s="1360"/>
      <c r="AM53" s="1361"/>
      <c r="AN53" s="406"/>
      <c r="AO53" s="949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303"/>
      <c r="CO53" s="302"/>
      <c r="CP53" s="30"/>
    </row>
    <row r="54" spans="1:94" ht="16.5" thickBot="1" x14ac:dyDescent="0.3">
      <c r="A54" s="1001"/>
      <c r="B54" s="927"/>
      <c r="C54" s="927"/>
      <c r="D54" s="406"/>
      <c r="E54" s="925"/>
      <c r="F54" s="900"/>
      <c r="G54" s="900"/>
      <c r="H54" s="900"/>
      <c r="I54" s="406"/>
      <c r="J54" s="406"/>
      <c r="L54" s="255"/>
      <c r="M54" s="255"/>
      <c r="N54" s="255"/>
      <c r="Q54" s="1009"/>
      <c r="R54" s="1010"/>
      <c r="S54" s="1011"/>
      <c r="T54" s="1021"/>
      <c r="U54" s="1021"/>
      <c r="V54" s="1021"/>
      <c r="W54" s="1021"/>
      <c r="X54" s="1021"/>
      <c r="Y54" s="1021"/>
      <c r="Z54" s="1021"/>
      <c r="AA54" s="1021"/>
      <c r="AB54" s="1022"/>
      <c r="AC54" s="1035"/>
      <c r="AD54" s="1019"/>
      <c r="AE54" s="1019"/>
      <c r="AF54" s="1019"/>
      <c r="AG54" s="1019"/>
      <c r="AH54" s="1019"/>
      <c r="AI54" s="1019"/>
      <c r="AJ54" s="1036"/>
      <c r="AK54" s="1037"/>
      <c r="AL54" s="1038"/>
      <c r="AM54" s="1039"/>
      <c r="AN54" s="406"/>
      <c r="AO54" s="406"/>
      <c r="CO54" s="302"/>
      <c r="CP54" s="30"/>
    </row>
    <row r="55" spans="1:94" ht="15.75" x14ac:dyDescent="0.25">
      <c r="A55" s="1001"/>
      <c r="B55" s="1002"/>
      <c r="C55" s="927"/>
      <c r="D55" s="406"/>
      <c r="E55" s="882"/>
      <c r="F55" s="928"/>
      <c r="G55" s="928"/>
      <c r="H55" s="928"/>
      <c r="I55" s="406"/>
      <c r="J55" s="406"/>
      <c r="Q55" s="1009"/>
      <c r="R55" s="1010"/>
      <c r="S55" s="1011"/>
      <c r="T55" s="29"/>
      <c r="U55" s="29"/>
      <c r="V55" s="29"/>
      <c r="W55" s="29"/>
      <c r="X55" s="29"/>
      <c r="Y55" s="29"/>
      <c r="Z55" s="29"/>
      <c r="AA55" s="2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09"/>
      <c r="BK55" s="309"/>
      <c r="BL55" s="309"/>
      <c r="BM55" s="309"/>
      <c r="BN55" s="309"/>
      <c r="BO55" s="309"/>
      <c r="BP55" s="309"/>
      <c r="BQ55" s="309"/>
      <c r="BR55" s="309"/>
      <c r="BS55" s="309"/>
      <c r="BT55" s="309"/>
      <c r="BU55" s="309"/>
      <c r="BV55" s="309"/>
      <c r="BW55" s="309"/>
      <c r="BX55" s="309"/>
      <c r="BY55" s="309"/>
      <c r="BZ55" s="309"/>
      <c r="CA55" s="309"/>
      <c r="CB55" s="309"/>
      <c r="CC55" s="309"/>
      <c r="CD55" s="309"/>
      <c r="CE55" s="309"/>
      <c r="CF55" s="309"/>
      <c r="CG55" s="309"/>
      <c r="CH55" s="309"/>
      <c r="CI55" s="309"/>
      <c r="CJ55" s="309"/>
      <c r="CK55" s="309"/>
      <c r="CL55" s="309"/>
      <c r="CM55" s="309"/>
      <c r="CN55" s="309"/>
      <c r="CO55" s="29"/>
      <c r="CP55" s="29"/>
    </row>
    <row r="56" spans="1:94" ht="15.75" x14ac:dyDescent="0.25">
      <c r="A56" s="1001"/>
      <c r="B56" s="1002"/>
      <c r="C56" s="927"/>
      <c r="D56" s="406"/>
      <c r="E56" s="882"/>
      <c r="F56" s="927"/>
      <c r="G56" s="927"/>
      <c r="H56" s="927"/>
      <c r="I56" s="927"/>
      <c r="J56" s="406"/>
      <c r="Q56" s="1009"/>
      <c r="R56" s="1010"/>
      <c r="S56" s="1011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</row>
    <row r="57" spans="1:94" ht="15.75" x14ac:dyDescent="0.25">
      <c r="A57" s="1001"/>
      <c r="B57" s="1002"/>
      <c r="C57" s="927"/>
      <c r="D57" s="934"/>
      <c r="E57" s="882"/>
      <c r="F57" s="406"/>
      <c r="G57" s="406"/>
      <c r="H57" s="406"/>
      <c r="I57" s="406"/>
      <c r="J57" s="927"/>
      <c r="Q57" s="1009"/>
      <c r="R57" s="1010"/>
      <c r="S57" s="1011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</row>
    <row r="58" spans="1:94" x14ac:dyDescent="0.25">
      <c r="A58" s="1001"/>
      <c r="B58" s="927"/>
      <c r="C58" s="927"/>
      <c r="D58" s="406"/>
      <c r="E58" s="47"/>
      <c r="Q58" s="1009"/>
      <c r="R58" s="1010"/>
      <c r="S58" s="1011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11"/>
      <c r="CD58" s="311"/>
      <c r="CE58" s="311"/>
      <c r="CF58" s="311"/>
      <c r="CG58" s="311"/>
      <c r="CH58" s="311"/>
      <c r="CI58" s="311"/>
      <c r="CJ58" s="311"/>
      <c r="CK58" s="311"/>
      <c r="CL58" s="40"/>
      <c r="CM58" s="40"/>
      <c r="CN58" s="40"/>
      <c r="CO58" s="29"/>
      <c r="CP58" s="29"/>
    </row>
    <row r="59" spans="1:94" x14ac:dyDescent="0.25">
      <c r="A59" s="1001"/>
      <c r="B59" s="923"/>
      <c r="C59" s="406"/>
      <c r="D59" s="406"/>
      <c r="E59" s="255"/>
      <c r="F59" s="312"/>
      <c r="Q59" s="1009"/>
      <c r="R59" s="1010"/>
      <c r="S59" s="1011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311"/>
      <c r="AP59" s="311"/>
      <c r="AQ59" s="311"/>
      <c r="AR59" s="311"/>
      <c r="AS59" s="311"/>
      <c r="AT59" s="311"/>
      <c r="AU59" s="311"/>
      <c r="AV59" s="311"/>
      <c r="AW59" s="311"/>
      <c r="AX59" s="311"/>
      <c r="AY59" s="311"/>
      <c r="AZ59" s="311"/>
      <c r="BA59" s="311"/>
      <c r="BB59" s="311"/>
      <c r="BC59" s="311"/>
      <c r="BD59" s="311"/>
      <c r="BE59" s="311"/>
      <c r="BF59" s="311"/>
      <c r="BG59" s="311"/>
      <c r="BH59" s="311"/>
      <c r="BI59" s="311"/>
      <c r="BJ59" s="311"/>
      <c r="BK59" s="311"/>
      <c r="BL59" s="311"/>
      <c r="BM59" s="311"/>
      <c r="BN59" s="311"/>
      <c r="BO59" s="311"/>
      <c r="BP59" s="311"/>
      <c r="BQ59" s="311"/>
      <c r="BR59" s="311"/>
      <c r="BS59" s="311"/>
      <c r="BT59" s="311"/>
      <c r="BU59" s="311"/>
      <c r="BV59" s="311"/>
      <c r="BW59" s="311"/>
      <c r="BX59" s="311"/>
      <c r="BY59" s="311"/>
      <c r="BZ59" s="311"/>
      <c r="CA59" s="311"/>
      <c r="CB59" s="311"/>
      <c r="CC59" s="311"/>
      <c r="CD59" s="311"/>
      <c r="CE59" s="311"/>
      <c r="CF59" s="311"/>
      <c r="CG59" s="311"/>
      <c r="CH59" s="311"/>
      <c r="CI59" s="311"/>
      <c r="CJ59" s="311"/>
      <c r="CK59" s="311"/>
      <c r="CL59" s="40"/>
      <c r="CM59" s="40"/>
      <c r="CN59" s="40"/>
      <c r="CO59" s="29"/>
      <c r="CP59" s="29"/>
    </row>
    <row r="60" spans="1:94" ht="15.75" x14ac:dyDescent="0.25">
      <c r="A60" s="1001"/>
      <c r="B60" s="893"/>
      <c r="C60" s="406"/>
      <c r="D60" s="406"/>
      <c r="E60" s="927"/>
      <c r="F60" s="923"/>
      <c r="G60" s="406"/>
      <c r="H60" s="406"/>
      <c r="I60" s="406"/>
      <c r="J60" s="100"/>
      <c r="K60" s="100"/>
      <c r="L60" s="100"/>
      <c r="M60" s="100"/>
      <c r="Q60" s="1009"/>
      <c r="R60" s="1010"/>
      <c r="S60" s="1011"/>
      <c r="T60" s="311"/>
      <c r="U60" s="311"/>
      <c r="V60" s="311"/>
      <c r="W60" s="311"/>
      <c r="X60" s="311"/>
      <c r="Y60" s="311"/>
      <c r="Z60" s="311"/>
      <c r="AA60" s="311"/>
      <c r="AB60" s="311"/>
      <c r="AC60" s="313"/>
      <c r="AD60" s="313"/>
      <c r="AE60" s="313"/>
      <c r="AF60" s="313"/>
      <c r="AG60" s="313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311"/>
      <c r="AX60" s="311"/>
      <c r="AY60" s="311"/>
      <c r="AZ60" s="311"/>
      <c r="BA60" s="311"/>
      <c r="BB60" s="311"/>
      <c r="BC60" s="311"/>
      <c r="BD60" s="311"/>
      <c r="BE60" s="311"/>
      <c r="BF60" s="311"/>
      <c r="BG60" s="311"/>
      <c r="BH60" s="311"/>
      <c r="BI60" s="311"/>
      <c r="BJ60" s="311"/>
      <c r="BK60" s="311"/>
      <c r="BL60" s="311"/>
      <c r="BM60" s="311"/>
      <c r="BN60" s="311"/>
      <c r="BO60" s="311"/>
      <c r="BP60" s="311"/>
      <c r="BQ60" s="311"/>
      <c r="BR60" s="311"/>
      <c r="BS60" s="311"/>
      <c r="BT60" s="311"/>
      <c r="BU60" s="311"/>
      <c r="BV60" s="311"/>
      <c r="BW60" s="311"/>
      <c r="BX60" s="311"/>
      <c r="BY60" s="311"/>
      <c r="BZ60" s="311"/>
      <c r="CA60" s="311"/>
      <c r="CB60" s="311"/>
      <c r="CC60" s="311"/>
      <c r="CD60" s="311"/>
      <c r="CE60" s="311"/>
      <c r="CF60" s="311"/>
      <c r="CG60" s="311"/>
      <c r="CH60" s="311"/>
      <c r="CI60" s="311"/>
      <c r="CJ60" s="311"/>
      <c r="CK60" s="311"/>
      <c r="CL60" s="40"/>
      <c r="CM60" s="40"/>
      <c r="CN60" s="40"/>
      <c r="CO60" s="29"/>
      <c r="CP60" s="29"/>
    </row>
    <row r="61" spans="1:94" ht="21" x14ac:dyDescent="0.25">
      <c r="A61" s="1001"/>
      <c r="B61" s="893"/>
      <c r="C61" s="406"/>
      <c r="D61" s="406"/>
      <c r="E61" s="406"/>
      <c r="F61" s="314"/>
      <c r="G61" s="406"/>
      <c r="H61" s="406"/>
      <c r="I61" s="406"/>
      <c r="J61" s="100"/>
      <c r="K61" s="100"/>
      <c r="L61" s="100"/>
      <c r="M61" s="100"/>
      <c r="Q61" s="1009"/>
      <c r="R61" s="1010"/>
      <c r="S61" s="1011"/>
      <c r="T61" s="311"/>
      <c r="U61" s="311"/>
      <c r="V61" s="311"/>
      <c r="W61" s="311"/>
      <c r="X61" s="311"/>
      <c r="Y61" s="29"/>
      <c r="Z61" s="29"/>
      <c r="AA61" s="29"/>
      <c r="AB61" s="29"/>
      <c r="AC61" s="313"/>
      <c r="AD61" s="313"/>
      <c r="AE61" s="313"/>
      <c r="AF61" s="313"/>
      <c r="AG61" s="313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/>
      <c r="AX61" s="311"/>
      <c r="AY61" s="311"/>
      <c r="AZ61" s="311"/>
      <c r="BA61" s="311"/>
      <c r="BB61" s="311"/>
      <c r="BC61" s="311"/>
      <c r="BD61" s="311"/>
      <c r="BE61" s="311"/>
      <c r="BF61" s="311"/>
      <c r="BG61" s="311"/>
      <c r="BH61" s="311"/>
      <c r="BI61" s="311"/>
      <c r="BJ61" s="311"/>
      <c r="BK61" s="311"/>
      <c r="BL61" s="311"/>
      <c r="BM61" s="311"/>
      <c r="BN61" s="311"/>
      <c r="BO61" s="311"/>
      <c r="BP61" s="311"/>
      <c r="BQ61" s="311"/>
      <c r="BR61" s="311"/>
      <c r="BS61" s="311"/>
      <c r="BT61" s="311"/>
      <c r="BU61" s="311"/>
      <c r="BV61" s="311"/>
      <c r="BW61" s="311"/>
      <c r="BX61" s="311"/>
      <c r="BY61" s="311"/>
      <c r="BZ61" s="311"/>
      <c r="CA61" s="311"/>
      <c r="CB61" s="311"/>
      <c r="CC61" s="311"/>
      <c r="CD61" s="311"/>
      <c r="CE61" s="311"/>
      <c r="CF61" s="311"/>
      <c r="CG61" s="311"/>
      <c r="CH61" s="311"/>
      <c r="CI61" s="311"/>
      <c r="CJ61" s="311"/>
      <c r="CK61" s="311"/>
      <c r="CL61" s="40"/>
      <c r="CM61" s="40"/>
      <c r="CN61" s="40"/>
      <c r="CO61" s="29"/>
      <c r="CP61" s="29"/>
    </row>
    <row r="62" spans="1:94" ht="21" x14ac:dyDescent="0.25">
      <c r="A62" s="1001"/>
      <c r="B62" s="961"/>
      <c r="C62" s="406"/>
      <c r="D62" s="406"/>
      <c r="E62" s="406"/>
      <c r="F62" s="1040"/>
      <c r="G62" s="1040"/>
      <c r="H62" s="1040"/>
      <c r="I62" s="314"/>
      <c r="J62" s="100"/>
      <c r="K62" s="100"/>
      <c r="L62" s="100"/>
      <c r="M62" s="100"/>
      <c r="P62" s="301"/>
      <c r="Q62" s="1009"/>
      <c r="R62" s="1010"/>
      <c r="S62" s="1011"/>
      <c r="T62" s="311"/>
      <c r="U62" s="311"/>
      <c r="V62" s="311"/>
      <c r="W62" s="311"/>
      <c r="X62" s="311"/>
      <c r="Y62" s="311"/>
      <c r="Z62" s="311"/>
      <c r="AA62" s="311"/>
      <c r="AB62" s="311"/>
      <c r="AJ62" s="311"/>
      <c r="AK62" s="311"/>
      <c r="AL62" s="311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1"/>
      <c r="AY62" s="311"/>
      <c r="AZ62" s="311"/>
      <c r="BA62" s="311"/>
      <c r="BB62" s="311"/>
      <c r="BC62" s="311"/>
      <c r="BD62" s="311"/>
      <c r="BE62" s="311"/>
      <c r="BF62" s="311"/>
      <c r="BG62" s="311"/>
      <c r="BH62" s="311"/>
      <c r="BI62" s="311"/>
      <c r="BJ62" s="311"/>
      <c r="BK62" s="311"/>
      <c r="BL62" s="311"/>
      <c r="BM62" s="311"/>
      <c r="BN62" s="311"/>
      <c r="BO62" s="311"/>
      <c r="BP62" s="311"/>
      <c r="BQ62" s="311"/>
      <c r="BR62" s="311"/>
      <c r="BS62" s="311"/>
      <c r="BT62" s="311"/>
      <c r="BU62" s="311"/>
      <c r="BV62" s="311"/>
      <c r="BW62" s="311"/>
      <c r="BX62" s="311"/>
      <c r="BY62" s="311"/>
      <c r="BZ62" s="311"/>
      <c r="CA62" s="311"/>
      <c r="CB62" s="311"/>
      <c r="CC62" s="311"/>
      <c r="CD62" s="311"/>
      <c r="CE62" s="311"/>
      <c r="CF62" s="311"/>
      <c r="CG62" s="311"/>
      <c r="CH62" s="311"/>
      <c r="CI62" s="311"/>
      <c r="CJ62" s="311"/>
      <c r="CK62" s="311"/>
      <c r="CL62" s="40"/>
      <c r="CM62" s="40"/>
      <c r="CN62" s="40"/>
      <c r="CO62" s="29"/>
      <c r="CP62" s="29"/>
    </row>
    <row r="63" spans="1:94" ht="18.75" x14ac:dyDescent="0.3">
      <c r="A63" s="1001"/>
      <c r="B63" s="961"/>
      <c r="C63" s="406"/>
      <c r="D63" s="406"/>
      <c r="E63" s="406"/>
      <c r="F63" s="126"/>
      <c r="G63" s="935"/>
      <c r="H63" s="935"/>
      <c r="I63" s="126"/>
      <c r="K63" s="92" t="s">
        <v>230</v>
      </c>
      <c r="L63" s="98">
        <v>1</v>
      </c>
      <c r="M63" s="250"/>
      <c r="N63" s="98">
        <v>2</v>
      </c>
      <c r="O63" s="250"/>
      <c r="Q63" s="1009"/>
      <c r="R63" s="1010"/>
      <c r="S63" s="1011"/>
      <c r="T63" s="311"/>
      <c r="V63" s="29"/>
      <c r="W63" s="29"/>
      <c r="X63" s="29"/>
      <c r="Y63" s="29"/>
      <c r="Z63" s="29"/>
      <c r="AA63" s="29"/>
      <c r="AB63" s="29"/>
      <c r="AJ63" s="311"/>
      <c r="AK63" s="311"/>
      <c r="AL63" s="311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  <c r="BG63" s="311"/>
      <c r="BH63" s="311"/>
      <c r="BI63" s="311"/>
      <c r="BJ63" s="311"/>
      <c r="BK63" s="311"/>
      <c r="BL63" s="311"/>
      <c r="BM63" s="311"/>
      <c r="BN63" s="311"/>
      <c r="BO63" s="311"/>
      <c r="BP63" s="311"/>
      <c r="BQ63" s="311"/>
      <c r="BR63" s="311"/>
      <c r="BS63" s="311"/>
      <c r="BT63" s="311"/>
      <c r="BU63" s="311"/>
      <c r="BV63" s="311"/>
      <c r="BW63" s="311"/>
      <c r="BX63" s="311"/>
      <c r="BY63" s="311"/>
      <c r="BZ63" s="311"/>
      <c r="CA63" s="311"/>
      <c r="CB63" s="311"/>
      <c r="CC63" s="311"/>
      <c r="CD63" s="311"/>
      <c r="CE63" s="311"/>
      <c r="CF63" s="311"/>
      <c r="CG63" s="311"/>
      <c r="CH63" s="311"/>
      <c r="CI63" s="311"/>
      <c r="CJ63" s="311"/>
      <c r="CK63" s="311"/>
      <c r="CL63" s="40"/>
      <c r="CM63" s="40"/>
      <c r="CN63" s="40"/>
      <c r="CO63" s="29"/>
      <c r="CP63" s="29"/>
    </row>
    <row r="64" spans="1:94" ht="21" x14ac:dyDescent="0.25">
      <c r="A64" s="270"/>
      <c r="B64" s="1003"/>
      <c r="C64" s="1004"/>
      <c r="D64" s="1004"/>
      <c r="E64" s="406"/>
      <c r="F64" s="247"/>
      <c r="G64" s="247"/>
      <c r="H64" s="247"/>
      <c r="I64" s="406"/>
      <c r="K64" s="283"/>
      <c r="L64" s="318"/>
      <c r="M64" s="285"/>
      <c r="N64" s="318"/>
      <c r="O64" s="285"/>
      <c r="Q64" s="1009"/>
      <c r="R64" s="1010"/>
      <c r="S64" s="1011"/>
      <c r="T64" s="311"/>
      <c r="V64" s="311"/>
      <c r="W64" s="311"/>
      <c r="X64" s="311"/>
      <c r="Y64" s="313"/>
      <c r="Z64" s="313"/>
      <c r="AA64" s="313"/>
      <c r="AB64" s="313"/>
      <c r="AC64" s="313"/>
      <c r="AD64" s="313"/>
      <c r="AE64" s="313"/>
      <c r="AF64" s="313"/>
      <c r="AG64" s="313"/>
      <c r="AJ64" s="311"/>
      <c r="AK64" s="313"/>
      <c r="AL64" s="313"/>
      <c r="AM64" s="313"/>
      <c r="AN64" s="313"/>
      <c r="AO64" s="313"/>
      <c r="AP64" s="313"/>
      <c r="AQ64" s="313"/>
      <c r="AR64" s="313"/>
      <c r="AS64" s="313"/>
      <c r="AT64" s="311"/>
      <c r="AU64" s="311"/>
      <c r="AV64" s="311"/>
      <c r="AW64" s="311"/>
      <c r="AX64" s="311"/>
      <c r="AY64" s="311"/>
      <c r="AZ64" s="311"/>
      <c r="BA64" s="311"/>
      <c r="BB64" s="311"/>
      <c r="BC64" s="311"/>
      <c r="BD64" s="311"/>
      <c r="BE64" s="311"/>
      <c r="BF64" s="311"/>
      <c r="BG64" s="311"/>
      <c r="BH64" s="311"/>
      <c r="BI64" s="311"/>
      <c r="BJ64" s="311"/>
      <c r="BK64" s="311"/>
      <c r="BL64" s="311"/>
      <c r="BM64" s="311"/>
      <c r="BN64" s="311"/>
      <c r="BO64" s="311"/>
      <c r="BP64" s="311"/>
      <c r="BQ64" s="311"/>
      <c r="BR64" s="311"/>
      <c r="BS64" s="311"/>
      <c r="BT64" s="311"/>
      <c r="BU64" s="311"/>
      <c r="BV64" s="311"/>
      <c r="BW64" s="311"/>
      <c r="BX64" s="311"/>
      <c r="BY64" s="311"/>
      <c r="BZ64" s="311"/>
      <c r="CA64" s="311"/>
      <c r="CB64" s="311"/>
      <c r="CC64" s="311"/>
      <c r="CD64" s="311"/>
      <c r="CE64" s="311"/>
      <c r="CF64" s="311"/>
      <c r="CG64" s="311"/>
      <c r="CH64" s="311"/>
      <c r="CI64" s="311"/>
      <c r="CJ64" s="311"/>
      <c r="CK64" s="311"/>
      <c r="CL64" s="40"/>
      <c r="CM64" s="40"/>
      <c r="CN64" s="40"/>
      <c r="CO64" s="29"/>
      <c r="CP64" s="29"/>
    </row>
    <row r="65" spans="1:94" ht="21" x14ac:dyDescent="0.25">
      <c r="A65" s="270"/>
      <c r="B65" s="86"/>
      <c r="C65" s="896"/>
      <c r="D65" s="406"/>
      <c r="E65" s="247"/>
      <c r="F65" s="900"/>
      <c r="G65" s="900"/>
      <c r="H65" s="900"/>
      <c r="I65" s="247"/>
      <c r="K65" s="319"/>
      <c r="L65" s="869">
        <v>800</v>
      </c>
      <c r="M65" s="122"/>
      <c r="N65" s="862">
        <v>800</v>
      </c>
      <c r="O65" s="319"/>
      <c r="Q65" s="1009"/>
      <c r="R65" s="1010"/>
      <c r="S65" s="1011"/>
      <c r="T65" s="311"/>
      <c r="U65" s="317"/>
      <c r="V65" s="29"/>
      <c r="W65" s="29"/>
      <c r="X65" s="29"/>
      <c r="Y65" s="313"/>
      <c r="Z65" s="313"/>
      <c r="AA65" s="313"/>
      <c r="AB65" s="313"/>
      <c r="AC65" s="313"/>
      <c r="AD65" s="313"/>
      <c r="AE65" s="313"/>
      <c r="AF65" s="313"/>
      <c r="AG65" s="313"/>
      <c r="AH65" s="311"/>
      <c r="AI65" s="311"/>
      <c r="AJ65" s="311"/>
      <c r="AK65" s="313"/>
      <c r="AL65" s="313"/>
      <c r="AM65" s="313"/>
      <c r="AN65" s="313"/>
      <c r="AO65" s="313"/>
      <c r="AP65" s="313"/>
      <c r="AQ65" s="313"/>
      <c r="AR65" s="313"/>
      <c r="AS65" s="313"/>
      <c r="AT65" s="311"/>
      <c r="AU65" s="311"/>
      <c r="AV65" s="311"/>
      <c r="AW65" s="311"/>
      <c r="AX65" s="311"/>
      <c r="AY65" s="311"/>
      <c r="AZ65" s="311"/>
      <c r="BA65" s="311"/>
      <c r="BB65" s="311"/>
      <c r="BC65" s="311"/>
      <c r="BD65" s="311"/>
      <c r="BE65" s="311"/>
      <c r="BF65" s="311"/>
      <c r="BG65" s="311"/>
      <c r="BH65" s="311"/>
      <c r="BI65" s="311"/>
      <c r="BJ65" s="311"/>
      <c r="BK65" s="311"/>
      <c r="BL65" s="311"/>
      <c r="BM65" s="311"/>
      <c r="BN65" s="311"/>
      <c r="BO65" s="311"/>
      <c r="BP65" s="311"/>
      <c r="BQ65" s="311"/>
      <c r="BR65" s="311"/>
      <c r="BS65" s="311"/>
      <c r="BT65" s="311"/>
      <c r="BU65" s="311"/>
      <c r="BV65" s="311"/>
      <c r="BW65" s="311"/>
      <c r="BX65" s="311"/>
      <c r="BY65" s="311"/>
      <c r="BZ65" s="311"/>
      <c r="CA65" s="311"/>
      <c r="CB65" s="311"/>
      <c r="CC65" s="311"/>
      <c r="CD65" s="311"/>
      <c r="CE65" s="311"/>
      <c r="CF65" s="311"/>
      <c r="CG65" s="311"/>
      <c r="CH65" s="311"/>
      <c r="CI65" s="311"/>
      <c r="CJ65" s="311"/>
      <c r="CK65" s="311"/>
      <c r="CL65" s="40"/>
      <c r="CM65" s="40"/>
      <c r="CN65" s="40"/>
      <c r="CO65" s="29"/>
      <c r="CP65" s="29"/>
    </row>
    <row r="66" spans="1:94" ht="21" x14ac:dyDescent="0.25">
      <c r="A66" s="270"/>
      <c r="B66" s="900"/>
      <c r="C66" s="86"/>
      <c r="D66" s="926"/>
      <c r="E66" s="247"/>
      <c r="F66" s="900"/>
      <c r="G66" s="900"/>
      <c r="H66" s="900"/>
      <c r="I66" s="247"/>
      <c r="K66" s="319"/>
      <c r="L66" s="860">
        <v>800</v>
      </c>
      <c r="M66" s="122"/>
      <c r="N66" s="860">
        <v>800</v>
      </c>
      <c r="O66" s="319"/>
      <c r="Q66" s="1009"/>
      <c r="R66" s="1010"/>
      <c r="S66" s="1011"/>
      <c r="T66" s="311"/>
      <c r="U66" s="255"/>
      <c r="V66" s="311"/>
      <c r="W66" s="311"/>
      <c r="X66" s="311"/>
      <c r="Y66" s="313"/>
      <c r="Z66" s="313"/>
      <c r="AA66" s="313"/>
      <c r="AB66" s="313"/>
      <c r="AC66" s="313"/>
      <c r="AD66" s="313"/>
      <c r="AE66" s="313"/>
      <c r="AF66" s="313"/>
      <c r="AG66" s="313"/>
      <c r="AH66" s="311"/>
      <c r="AI66" s="311"/>
      <c r="AJ66" s="311"/>
      <c r="AK66" s="313"/>
      <c r="AL66" s="313"/>
      <c r="AM66" s="313"/>
      <c r="AN66" s="313"/>
      <c r="AO66" s="313"/>
      <c r="AP66" s="313"/>
      <c r="AQ66" s="313"/>
      <c r="AR66" s="313"/>
      <c r="AS66" s="313"/>
      <c r="AT66" s="311"/>
      <c r="AU66" s="311"/>
      <c r="AV66" s="311"/>
      <c r="AW66" s="311"/>
      <c r="AX66" s="311"/>
      <c r="AY66" s="311"/>
      <c r="AZ66" s="311"/>
      <c r="BA66" s="311"/>
      <c r="BB66" s="311"/>
      <c r="BC66" s="311"/>
      <c r="BD66" s="311"/>
      <c r="BE66" s="311"/>
      <c r="BF66" s="311"/>
      <c r="BG66" s="311"/>
      <c r="BH66" s="311"/>
      <c r="BI66" s="311"/>
      <c r="BJ66" s="311"/>
      <c r="BK66" s="311"/>
      <c r="BL66" s="311"/>
      <c r="BM66" s="311"/>
      <c r="BN66" s="311"/>
      <c r="BO66" s="311"/>
      <c r="BP66" s="311"/>
      <c r="BQ66" s="311"/>
      <c r="BR66" s="311"/>
      <c r="BS66" s="311"/>
      <c r="BT66" s="311"/>
      <c r="BU66" s="311"/>
      <c r="BV66" s="311"/>
      <c r="BW66" s="311"/>
      <c r="BX66" s="311"/>
      <c r="BY66" s="311"/>
      <c r="BZ66" s="311"/>
      <c r="CA66" s="311"/>
      <c r="CB66" s="311"/>
      <c r="CC66" s="311"/>
      <c r="CD66" s="311"/>
      <c r="CE66" s="311"/>
      <c r="CF66" s="311"/>
      <c r="CG66" s="311"/>
      <c r="CH66" s="311"/>
      <c r="CI66" s="311"/>
      <c r="CJ66" s="311"/>
      <c r="CK66" s="311"/>
      <c r="CL66" s="40"/>
      <c r="CM66" s="40"/>
      <c r="CN66" s="40"/>
      <c r="CO66" s="29"/>
      <c r="CP66" s="29"/>
    </row>
    <row r="67" spans="1:94" ht="21" x14ac:dyDescent="0.25">
      <c r="A67" s="270"/>
      <c r="B67" s="929"/>
      <c r="C67" s="406"/>
      <c r="D67" s="926"/>
      <c r="E67" s="406"/>
      <c r="F67" s="247"/>
      <c r="G67" s="247"/>
      <c r="H67" s="247"/>
      <c r="I67" s="406"/>
      <c r="K67" s="285"/>
      <c r="L67" s="318"/>
      <c r="M67" s="285"/>
      <c r="N67" s="318"/>
      <c r="O67" s="285"/>
      <c r="Q67" s="1009"/>
      <c r="R67" s="1010"/>
      <c r="S67" s="1011"/>
      <c r="T67" s="311"/>
      <c r="U67" s="255"/>
      <c r="V67" s="29"/>
      <c r="W67" s="29"/>
      <c r="X67" s="29"/>
      <c r="Y67" s="313"/>
      <c r="Z67" s="313"/>
      <c r="AA67" s="313"/>
      <c r="AB67" s="313"/>
      <c r="AC67" s="313"/>
      <c r="AD67" s="313"/>
      <c r="AE67" s="313"/>
      <c r="AF67" s="313"/>
      <c r="AG67" s="313"/>
      <c r="AH67" s="311"/>
      <c r="AI67" s="311"/>
      <c r="AJ67" s="311"/>
      <c r="AK67" s="313"/>
      <c r="AL67" s="313"/>
      <c r="AM67" s="313"/>
      <c r="AN67" s="313"/>
      <c r="AO67" s="313"/>
      <c r="AP67" s="313"/>
      <c r="AQ67" s="313"/>
      <c r="AR67" s="313"/>
      <c r="AS67" s="313"/>
      <c r="AT67" s="311"/>
      <c r="AU67" s="311"/>
      <c r="AV67" s="311"/>
      <c r="AW67" s="311"/>
      <c r="AX67" s="311"/>
      <c r="AY67" s="311"/>
      <c r="AZ67" s="311"/>
      <c r="BA67" s="311"/>
      <c r="BB67" s="311"/>
      <c r="BC67" s="311"/>
      <c r="BD67" s="311"/>
      <c r="BE67" s="311"/>
      <c r="BF67" s="311"/>
      <c r="BG67" s="311"/>
      <c r="BH67" s="311"/>
      <c r="BI67" s="311"/>
      <c r="BJ67" s="311"/>
      <c r="BK67" s="311"/>
      <c r="BL67" s="311"/>
      <c r="BM67" s="311"/>
      <c r="BN67" s="311"/>
      <c r="BO67" s="311"/>
      <c r="BP67" s="311"/>
      <c r="BQ67" s="311"/>
      <c r="BR67" s="311"/>
      <c r="BS67" s="311"/>
      <c r="BT67" s="311"/>
      <c r="BU67" s="311"/>
      <c r="BV67" s="311"/>
      <c r="BW67" s="311"/>
      <c r="BX67" s="311"/>
      <c r="BY67" s="311"/>
      <c r="BZ67" s="311"/>
      <c r="CA67" s="311"/>
      <c r="CB67" s="311"/>
      <c r="CC67" s="311"/>
      <c r="CD67" s="311"/>
      <c r="CE67" s="311"/>
      <c r="CF67" s="311"/>
      <c r="CG67" s="311"/>
      <c r="CH67" s="311"/>
      <c r="CI67" s="311"/>
      <c r="CJ67" s="311"/>
      <c r="CK67" s="311"/>
      <c r="CL67" s="40"/>
      <c r="CM67" s="40"/>
      <c r="CN67" s="40"/>
      <c r="CO67" s="29"/>
      <c r="CP67" s="29"/>
    </row>
    <row r="68" spans="1:94" ht="15.75" x14ac:dyDescent="0.25">
      <c r="A68" s="270"/>
      <c r="B68" s="900"/>
      <c r="C68" s="86"/>
      <c r="D68" s="926"/>
      <c r="E68" s="406"/>
      <c r="F68" s="935"/>
      <c r="G68" s="935"/>
      <c r="H68" s="935"/>
      <c r="I68" s="935"/>
      <c r="J68" s="317"/>
      <c r="K68" s="255"/>
      <c r="L68" s="98">
        <v>4</v>
      </c>
      <c r="M68" s="250"/>
      <c r="N68" s="98">
        <v>3</v>
      </c>
      <c r="O68" s="250"/>
      <c r="P68" s="317"/>
      <c r="Q68" s="1009"/>
      <c r="R68" s="1010"/>
      <c r="S68" s="1011"/>
      <c r="T68" s="311"/>
      <c r="U68" s="255"/>
      <c r="V68" s="313"/>
      <c r="W68" s="313"/>
      <c r="X68" s="311"/>
      <c r="Y68" s="313"/>
      <c r="Z68" s="313"/>
      <c r="AA68" s="313"/>
      <c r="AB68" s="313"/>
      <c r="AC68" s="313"/>
      <c r="AD68" s="313"/>
      <c r="AE68" s="313"/>
      <c r="AF68" s="313"/>
      <c r="AG68" s="313"/>
      <c r="AH68" s="311"/>
      <c r="AI68" s="311"/>
      <c r="AJ68" s="311"/>
      <c r="AK68" s="313"/>
      <c r="AL68" s="313"/>
      <c r="AM68" s="313"/>
      <c r="AN68" s="313"/>
      <c r="AO68" s="313"/>
      <c r="AP68" s="313"/>
      <c r="AQ68" s="313"/>
      <c r="AR68" s="313"/>
      <c r="AS68" s="313"/>
      <c r="AT68" s="311"/>
      <c r="AU68" s="311"/>
      <c r="AV68" s="311"/>
      <c r="AW68" s="311"/>
      <c r="AX68" s="311"/>
      <c r="AY68" s="311"/>
      <c r="AZ68" s="311"/>
      <c r="BA68" s="311"/>
      <c r="BB68" s="311"/>
      <c r="BC68" s="311"/>
      <c r="BD68" s="311"/>
      <c r="BE68" s="311"/>
      <c r="BF68" s="311"/>
      <c r="BG68" s="311"/>
      <c r="BH68" s="311"/>
      <c r="BI68" s="311"/>
      <c r="BJ68" s="311"/>
      <c r="BK68" s="311"/>
      <c r="BL68" s="311"/>
      <c r="BM68" s="311"/>
      <c r="BN68" s="311"/>
      <c r="BO68" s="311"/>
      <c r="BP68" s="311"/>
      <c r="BQ68" s="311"/>
      <c r="BR68" s="311"/>
      <c r="BS68" s="311"/>
      <c r="BT68" s="311"/>
      <c r="BU68" s="311"/>
      <c r="BV68" s="311"/>
      <c r="BW68" s="311"/>
      <c r="BX68" s="311"/>
      <c r="BY68" s="311"/>
      <c r="BZ68" s="311"/>
      <c r="CA68" s="311"/>
      <c r="CB68" s="311"/>
      <c r="CC68" s="311"/>
      <c r="CD68" s="311"/>
      <c r="CE68" s="311"/>
      <c r="CF68" s="311"/>
      <c r="CG68" s="311"/>
      <c r="CH68" s="311"/>
      <c r="CI68" s="311"/>
      <c r="CJ68" s="311"/>
      <c r="CK68" s="311"/>
      <c r="CL68" s="40"/>
      <c r="CM68" s="40"/>
      <c r="CN68" s="40"/>
      <c r="CO68" s="29"/>
      <c r="CP68" s="29"/>
    </row>
    <row r="69" spans="1:94" ht="21" x14ac:dyDescent="0.25">
      <c r="A69" s="270"/>
      <c r="B69" s="929"/>
      <c r="C69" s="930"/>
      <c r="D69" s="926"/>
      <c r="E69" s="930"/>
      <c r="F69" s="406"/>
      <c r="G69" s="406"/>
      <c r="H69" s="406"/>
      <c r="I69" s="406"/>
      <c r="K69" s="255"/>
      <c r="L69" s="1005" t="s">
        <v>234</v>
      </c>
      <c r="M69" s="1005"/>
      <c r="N69" s="1005"/>
      <c r="O69" s="250"/>
      <c r="P69" s="312"/>
      <c r="Q69" s="1009"/>
      <c r="R69" s="1010"/>
      <c r="S69" s="1011"/>
      <c r="T69" s="311"/>
      <c r="U69" s="311"/>
      <c r="V69" s="29"/>
      <c r="W69" s="29"/>
      <c r="X69" s="29"/>
      <c r="Y69" s="313"/>
      <c r="Z69" s="313"/>
      <c r="AA69" s="313"/>
      <c r="AB69" s="313"/>
      <c r="AC69" s="313"/>
      <c r="AD69" s="313"/>
      <c r="AE69" s="313"/>
      <c r="AF69" s="313"/>
      <c r="AG69" s="313"/>
      <c r="AH69" s="311"/>
      <c r="AI69" s="311"/>
      <c r="AJ69" s="311"/>
      <c r="AK69" s="313"/>
      <c r="AL69" s="313"/>
      <c r="AM69" s="313"/>
      <c r="AN69" s="313"/>
      <c r="AO69" s="313"/>
      <c r="AP69" s="313"/>
      <c r="AQ69" s="313"/>
      <c r="AR69" s="313"/>
      <c r="AS69" s="313"/>
      <c r="AT69" s="311"/>
      <c r="AU69" s="311"/>
      <c r="AV69" s="311"/>
      <c r="AW69" s="311"/>
      <c r="AX69" s="311"/>
      <c r="AY69" s="311"/>
      <c r="AZ69" s="311"/>
      <c r="BA69" s="311"/>
      <c r="BB69" s="311"/>
      <c r="BC69" s="311"/>
      <c r="BD69" s="311"/>
      <c r="BE69" s="311"/>
      <c r="BF69" s="311"/>
      <c r="BG69" s="311"/>
      <c r="BH69" s="311"/>
      <c r="BI69" s="311"/>
      <c r="BJ69" s="311"/>
      <c r="BK69" s="311"/>
      <c r="BL69" s="311"/>
      <c r="BM69" s="311"/>
      <c r="BN69" s="311"/>
      <c r="BO69" s="311"/>
      <c r="BP69" s="311"/>
      <c r="BQ69" s="311"/>
      <c r="BR69" s="311"/>
      <c r="BS69" s="311"/>
      <c r="BT69" s="311"/>
      <c r="BU69" s="311"/>
      <c r="BV69" s="311"/>
      <c r="BW69" s="311"/>
      <c r="BX69" s="311"/>
      <c r="BY69" s="311"/>
      <c r="BZ69" s="311"/>
      <c r="CA69" s="311"/>
      <c r="CB69" s="311"/>
      <c r="CC69" s="311"/>
      <c r="CD69" s="311"/>
      <c r="CE69" s="311"/>
      <c r="CF69" s="311"/>
      <c r="CG69" s="311"/>
      <c r="CH69" s="311"/>
      <c r="CI69" s="311"/>
      <c r="CJ69" s="311"/>
      <c r="CK69" s="311"/>
      <c r="CL69" s="40"/>
      <c r="CM69" s="40"/>
      <c r="CN69" s="40"/>
      <c r="CO69" s="29"/>
      <c r="CP69" s="29"/>
    </row>
    <row r="70" spans="1:94" ht="15.75" x14ac:dyDescent="0.25">
      <c r="A70" s="270"/>
      <c r="B70" s="900"/>
      <c r="C70" s="86"/>
      <c r="D70" s="926"/>
      <c r="E70" s="930"/>
      <c r="F70" s="406"/>
      <c r="G70" s="406"/>
      <c r="H70" s="406"/>
      <c r="I70" s="406"/>
      <c r="K70" s="312"/>
      <c r="L70" s="312"/>
      <c r="M70" s="100"/>
      <c r="N70" s="100"/>
      <c r="O70" s="312"/>
      <c r="P70" s="312"/>
      <c r="Q70" s="1009"/>
      <c r="R70" s="1010"/>
      <c r="S70" s="1011"/>
      <c r="T70" s="311"/>
      <c r="U70" s="311"/>
      <c r="V70" s="311"/>
      <c r="W70" s="311"/>
      <c r="X70" s="311"/>
      <c r="Y70" s="313"/>
      <c r="Z70" s="313"/>
      <c r="AA70" s="313"/>
      <c r="AB70" s="313"/>
      <c r="AC70" s="313"/>
      <c r="AD70" s="313"/>
      <c r="AE70" s="313"/>
      <c r="AF70" s="313"/>
      <c r="AG70" s="313"/>
      <c r="AH70" s="311"/>
      <c r="AI70" s="311"/>
      <c r="AJ70" s="311"/>
      <c r="AK70" s="313"/>
      <c r="AL70" s="313"/>
      <c r="AM70" s="313"/>
      <c r="AN70" s="313"/>
      <c r="AO70" s="313"/>
      <c r="AP70" s="313"/>
      <c r="AQ70" s="313"/>
      <c r="AR70" s="313"/>
      <c r="AS70" s="313"/>
      <c r="AT70" s="311"/>
      <c r="AU70" s="311"/>
      <c r="AV70" s="311"/>
      <c r="AW70" s="311"/>
      <c r="AX70" s="311"/>
      <c r="AY70" s="311"/>
      <c r="AZ70" s="311"/>
      <c r="BA70" s="311"/>
      <c r="BB70" s="311"/>
      <c r="BC70" s="311"/>
      <c r="BD70" s="311"/>
      <c r="BE70" s="311"/>
      <c r="BF70" s="311"/>
      <c r="BG70" s="311"/>
      <c r="BH70" s="311"/>
      <c r="BI70" s="311"/>
      <c r="BJ70" s="311"/>
      <c r="BK70" s="311"/>
      <c r="BL70" s="311"/>
      <c r="BM70" s="311"/>
      <c r="BN70" s="311"/>
      <c r="BO70" s="311"/>
      <c r="BP70" s="311"/>
      <c r="BQ70" s="311"/>
      <c r="BR70" s="311"/>
      <c r="BS70" s="311"/>
      <c r="BT70" s="311"/>
      <c r="BU70" s="311"/>
      <c r="BV70" s="311"/>
      <c r="BW70" s="311"/>
      <c r="BX70" s="311"/>
      <c r="BY70" s="311"/>
      <c r="BZ70" s="311"/>
      <c r="CA70" s="311"/>
      <c r="CB70" s="311"/>
      <c r="CC70" s="311"/>
      <c r="CD70" s="311"/>
      <c r="CE70" s="311"/>
      <c r="CF70" s="311"/>
      <c r="CG70" s="311"/>
      <c r="CH70" s="311"/>
      <c r="CI70" s="311"/>
      <c r="CJ70" s="311"/>
      <c r="CK70" s="311"/>
      <c r="CL70" s="40"/>
      <c r="CM70" s="40"/>
      <c r="CN70" s="40"/>
      <c r="CO70" s="29"/>
      <c r="CP70" s="29"/>
    </row>
    <row r="71" spans="1:94" x14ac:dyDescent="0.25">
      <c r="A71" s="270"/>
      <c r="B71" s="929"/>
      <c r="C71" s="930"/>
      <c r="D71" s="931"/>
      <c r="E71" s="95"/>
      <c r="F71" s="255"/>
      <c r="G71" s="255"/>
      <c r="H71" s="255"/>
      <c r="I71" s="312"/>
      <c r="J71" s="312"/>
      <c r="K71" s="312"/>
      <c r="L71" s="312"/>
      <c r="M71" s="100"/>
      <c r="N71" s="100"/>
      <c r="O71" s="312"/>
      <c r="P71" s="312"/>
      <c r="Q71" s="1009"/>
      <c r="R71" s="1010"/>
      <c r="S71" s="1011"/>
      <c r="T71" s="311"/>
      <c r="U71" s="311"/>
      <c r="V71" s="29"/>
      <c r="W71" s="29"/>
      <c r="X71" s="29"/>
      <c r="Y71" s="313"/>
      <c r="Z71" s="313"/>
      <c r="AA71" s="313"/>
      <c r="AB71" s="313"/>
      <c r="AC71" s="313"/>
      <c r="AD71" s="313"/>
      <c r="AE71" s="313"/>
      <c r="AF71" s="313"/>
      <c r="AG71" s="313"/>
      <c r="AH71" s="311"/>
      <c r="AI71" s="311"/>
      <c r="AJ71" s="311"/>
      <c r="AK71" s="313"/>
      <c r="AL71" s="313"/>
      <c r="AM71" s="313"/>
      <c r="AN71" s="313"/>
      <c r="AO71" s="313"/>
      <c r="AP71" s="313"/>
      <c r="AQ71" s="313"/>
      <c r="AR71" s="313"/>
      <c r="AS71" s="313"/>
      <c r="AT71" s="311"/>
      <c r="AU71" s="311"/>
      <c r="AV71" s="311"/>
      <c r="AW71" s="311"/>
      <c r="AX71" s="311"/>
      <c r="AY71" s="311"/>
      <c r="AZ71" s="311"/>
      <c r="BA71" s="311"/>
      <c r="BB71" s="311"/>
      <c r="BC71" s="311"/>
      <c r="BD71" s="311"/>
      <c r="BE71" s="311"/>
      <c r="BF71" s="311"/>
      <c r="BG71" s="311"/>
      <c r="BH71" s="311"/>
      <c r="BI71" s="311"/>
      <c r="BJ71" s="311"/>
      <c r="BK71" s="311"/>
      <c r="BL71" s="311"/>
      <c r="BM71" s="311"/>
      <c r="BN71" s="311"/>
      <c r="BO71" s="311"/>
      <c r="BP71" s="311"/>
      <c r="BQ71" s="311"/>
      <c r="BR71" s="311"/>
      <c r="BS71" s="311"/>
      <c r="BT71" s="311"/>
      <c r="BU71" s="311"/>
      <c r="BV71" s="311"/>
      <c r="BW71" s="311"/>
      <c r="BX71" s="311"/>
      <c r="BY71" s="311"/>
      <c r="BZ71" s="311"/>
      <c r="CA71" s="311"/>
      <c r="CB71" s="311"/>
      <c r="CC71" s="311"/>
      <c r="CD71" s="311"/>
      <c r="CE71" s="311"/>
      <c r="CF71" s="311"/>
      <c r="CG71" s="311"/>
      <c r="CH71" s="311"/>
      <c r="CI71" s="311"/>
      <c r="CJ71" s="311"/>
      <c r="CK71" s="311"/>
      <c r="CL71" s="40"/>
      <c r="CM71" s="40"/>
      <c r="CN71" s="40"/>
      <c r="CO71" s="29"/>
      <c r="CP71" s="29"/>
    </row>
    <row r="72" spans="1:94" ht="26.25" x14ac:dyDescent="0.4">
      <c r="A72" s="270"/>
      <c r="B72" s="900"/>
      <c r="C72" s="86"/>
      <c r="D72" s="926"/>
      <c r="E72" s="255"/>
      <c r="F72" s="936"/>
      <c r="G72" s="936"/>
      <c r="H72" s="936"/>
      <c r="I72" s="936"/>
      <c r="J72" s="936"/>
      <c r="K72" s="936"/>
      <c r="L72" s="936"/>
      <c r="M72" s="930"/>
      <c r="N72" s="937"/>
      <c r="O72" s="930"/>
      <c r="P72" s="312"/>
      <c r="Q72" s="1009"/>
      <c r="R72" s="1010"/>
      <c r="S72" s="1011"/>
      <c r="T72" s="311"/>
      <c r="U72" s="311"/>
      <c r="V72" s="311"/>
      <c r="W72" s="311"/>
      <c r="X72" s="311"/>
      <c r="Y72" s="313"/>
      <c r="Z72" s="313"/>
      <c r="AA72" s="313"/>
      <c r="AB72" s="313"/>
      <c r="AC72" s="313"/>
      <c r="AD72" s="313"/>
      <c r="AE72" s="313"/>
      <c r="AF72" s="313"/>
      <c r="AG72" s="313"/>
      <c r="AH72" s="311"/>
      <c r="AI72" s="311"/>
      <c r="AJ72" s="311"/>
      <c r="AK72" s="313"/>
      <c r="AL72" s="313"/>
      <c r="AM72" s="313"/>
      <c r="AN72" s="313"/>
      <c r="AO72" s="313"/>
      <c r="AP72" s="313"/>
      <c r="AQ72" s="313"/>
      <c r="AR72" s="313"/>
      <c r="AS72" s="313"/>
      <c r="AT72" s="311"/>
      <c r="AU72" s="311"/>
      <c r="AV72" s="311"/>
      <c r="AW72" s="311"/>
      <c r="AX72" s="311"/>
      <c r="AY72" s="311"/>
      <c r="AZ72" s="311"/>
      <c r="BA72" s="311"/>
      <c r="BB72" s="311"/>
      <c r="BC72" s="311"/>
      <c r="BD72" s="311"/>
      <c r="BE72" s="311"/>
      <c r="BF72" s="311"/>
      <c r="BG72" s="311"/>
      <c r="BH72" s="311"/>
      <c r="BI72" s="311"/>
      <c r="BJ72" s="311"/>
      <c r="BK72" s="311"/>
      <c r="BL72" s="311"/>
      <c r="BM72" s="311"/>
      <c r="BN72" s="311"/>
      <c r="BO72" s="311"/>
      <c r="BP72" s="311"/>
      <c r="BQ72" s="311"/>
      <c r="BR72" s="311"/>
      <c r="BS72" s="311"/>
      <c r="BT72" s="311"/>
      <c r="BU72" s="311"/>
      <c r="BV72" s="311"/>
      <c r="BW72" s="311"/>
      <c r="BX72" s="311"/>
      <c r="BY72" s="311"/>
      <c r="BZ72" s="311"/>
      <c r="CA72" s="311"/>
      <c r="CB72" s="311"/>
      <c r="CC72" s="311"/>
      <c r="CD72" s="311"/>
      <c r="CE72" s="311"/>
      <c r="CF72" s="311"/>
      <c r="CG72" s="311"/>
      <c r="CH72" s="311"/>
      <c r="CI72" s="311"/>
      <c r="CJ72" s="311"/>
      <c r="CK72" s="311"/>
      <c r="CL72" s="40"/>
      <c r="CM72" s="40"/>
      <c r="CN72" s="40"/>
      <c r="CO72" s="29"/>
      <c r="CP72" s="29"/>
    </row>
    <row r="73" spans="1:94" ht="27" thickBot="1" x14ac:dyDescent="0.45">
      <c r="A73" s="270"/>
      <c r="B73" s="932"/>
      <c r="C73" s="933"/>
      <c r="D73" s="933"/>
      <c r="E73" s="328"/>
      <c r="F73" s="938"/>
      <c r="G73" s="916"/>
      <c r="H73" s="939"/>
      <c r="I73" s="916"/>
      <c r="J73" s="940"/>
      <c r="K73" s="916"/>
      <c r="L73" s="940"/>
      <c r="M73" s="916"/>
      <c r="N73" s="941"/>
      <c r="O73" s="916"/>
      <c r="P73" s="328"/>
      <c r="Q73" s="1012"/>
      <c r="R73" s="1013"/>
      <c r="S73" s="1014"/>
      <c r="T73" s="311"/>
      <c r="U73" s="311"/>
      <c r="V73" s="311"/>
      <c r="W73" s="311"/>
      <c r="X73" s="311"/>
      <c r="Y73" s="313"/>
      <c r="Z73" s="313"/>
      <c r="AA73" s="313"/>
      <c r="AB73" s="313"/>
      <c r="AC73" s="313"/>
      <c r="AD73" s="313"/>
      <c r="AE73" s="313"/>
      <c r="AF73" s="313"/>
      <c r="AG73" s="313"/>
      <c r="AH73" s="311"/>
      <c r="AI73" s="311"/>
      <c r="AJ73" s="311"/>
      <c r="AK73" s="313"/>
      <c r="AL73" s="313"/>
      <c r="AM73" s="313"/>
      <c r="AN73" s="313"/>
      <c r="AO73" s="313"/>
      <c r="AP73" s="313"/>
      <c r="AQ73" s="313"/>
      <c r="AR73" s="313"/>
      <c r="AS73" s="313"/>
      <c r="AT73" s="311"/>
      <c r="AU73" s="311"/>
      <c r="AV73" s="311"/>
      <c r="AW73" s="311"/>
      <c r="AX73" s="311"/>
      <c r="AY73" s="311"/>
      <c r="AZ73" s="311"/>
      <c r="BA73" s="311"/>
      <c r="BB73" s="311"/>
      <c r="BC73" s="311"/>
      <c r="BD73" s="311"/>
      <c r="BE73" s="311"/>
      <c r="BF73" s="311"/>
      <c r="BG73" s="311"/>
      <c r="BH73" s="311"/>
      <c r="BI73" s="311"/>
      <c r="BJ73" s="311"/>
      <c r="BK73" s="311"/>
      <c r="BL73" s="311"/>
      <c r="BM73" s="311"/>
      <c r="BN73" s="311"/>
      <c r="BO73" s="311"/>
      <c r="BP73" s="311"/>
      <c r="BQ73" s="311"/>
      <c r="BR73" s="311"/>
      <c r="BS73" s="311"/>
      <c r="BT73" s="311"/>
      <c r="BU73" s="311"/>
      <c r="BV73" s="311"/>
      <c r="BW73" s="311"/>
      <c r="BX73" s="311"/>
      <c r="BY73" s="311"/>
      <c r="BZ73" s="311"/>
      <c r="CA73" s="311"/>
      <c r="CB73" s="311"/>
      <c r="CC73" s="311"/>
      <c r="CD73" s="311"/>
      <c r="CE73" s="311"/>
      <c r="CF73" s="311"/>
      <c r="CG73" s="311"/>
      <c r="CH73" s="311"/>
      <c r="CI73" s="311"/>
      <c r="CJ73" s="311"/>
      <c r="CK73" s="311"/>
      <c r="CL73" s="40"/>
      <c r="CM73" s="40"/>
      <c r="CN73" s="40"/>
    </row>
    <row r="74" spans="1:94" x14ac:dyDescent="0.25">
      <c r="A74" s="333"/>
      <c r="B74" s="334"/>
      <c r="C74" s="335"/>
      <c r="D74" s="108"/>
      <c r="E74" s="108"/>
      <c r="H74" s="311"/>
      <c r="I74" s="311"/>
      <c r="J74" s="311"/>
      <c r="K74" s="311"/>
      <c r="L74" s="311"/>
      <c r="M74" s="311"/>
      <c r="N74" s="336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3"/>
      <c r="Z74" s="313"/>
      <c r="AA74" s="313"/>
      <c r="AB74" s="313"/>
      <c r="AC74" s="313"/>
      <c r="AD74" s="313"/>
      <c r="AE74" s="313"/>
      <c r="AF74" s="313"/>
      <c r="AG74" s="313"/>
      <c r="AH74" s="311"/>
      <c r="AI74" s="311"/>
      <c r="AJ74" s="311"/>
      <c r="AK74" s="313"/>
      <c r="AL74" s="313"/>
      <c r="AM74" s="313"/>
      <c r="AN74" s="313"/>
      <c r="AO74" s="313"/>
      <c r="AP74" s="313"/>
      <c r="AQ74" s="313"/>
      <c r="AR74" s="313"/>
      <c r="AS74" s="313"/>
      <c r="AT74" s="311"/>
      <c r="AU74" s="311"/>
      <c r="AV74" s="311"/>
      <c r="AW74" s="311"/>
      <c r="AX74" s="311"/>
      <c r="AY74" s="311"/>
      <c r="AZ74" s="311"/>
      <c r="BA74" s="311"/>
      <c r="BB74" s="311"/>
      <c r="BC74" s="311"/>
      <c r="BD74" s="311"/>
      <c r="BE74" s="311"/>
      <c r="BF74" s="311"/>
      <c r="BG74" s="311"/>
      <c r="BH74" s="311"/>
      <c r="BI74" s="311"/>
      <c r="BJ74" s="311"/>
      <c r="BK74" s="311"/>
      <c r="BL74" s="311"/>
      <c r="BM74" s="311"/>
      <c r="BN74" s="311"/>
      <c r="BO74" s="311"/>
      <c r="BP74" s="311"/>
      <c r="BQ74" s="311"/>
      <c r="BR74" s="311"/>
      <c r="BS74" s="311"/>
      <c r="BT74" s="311"/>
      <c r="BU74" s="311"/>
      <c r="BV74" s="311"/>
      <c r="BW74" s="311"/>
      <c r="BX74" s="311"/>
      <c r="BY74" s="311"/>
      <c r="BZ74" s="311"/>
      <c r="CA74" s="311"/>
      <c r="CB74" s="311"/>
      <c r="CC74" s="311"/>
      <c r="CD74" s="311"/>
      <c r="CE74" s="311"/>
      <c r="CF74" s="311"/>
      <c r="CG74" s="311"/>
      <c r="CH74" s="311"/>
      <c r="CI74" s="311"/>
      <c r="CJ74" s="311"/>
      <c r="CK74" s="311"/>
      <c r="CL74" s="40"/>
      <c r="CM74" s="40"/>
      <c r="CN74" s="40"/>
    </row>
    <row r="75" spans="1:94" x14ac:dyDescent="0.25">
      <c r="A75" s="333"/>
      <c r="B75" s="337"/>
      <c r="C75" s="40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36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3"/>
      <c r="Z75" s="313"/>
      <c r="AA75" s="313"/>
      <c r="AB75" s="313"/>
      <c r="AC75" s="313"/>
      <c r="AD75" s="313"/>
      <c r="AE75" s="313"/>
      <c r="AF75" s="313"/>
      <c r="AG75" s="313"/>
      <c r="AH75" s="311"/>
      <c r="AI75" s="311"/>
      <c r="AJ75" s="311"/>
      <c r="AK75" s="313"/>
      <c r="AL75" s="313"/>
      <c r="AM75" s="313"/>
      <c r="AN75" s="313"/>
      <c r="AO75" s="313"/>
      <c r="AP75" s="313"/>
      <c r="AQ75" s="313"/>
      <c r="AR75" s="313"/>
      <c r="AS75" s="313"/>
      <c r="AT75" s="311"/>
      <c r="AU75" s="311"/>
      <c r="AV75" s="311"/>
      <c r="AW75" s="311"/>
      <c r="AX75" s="311"/>
      <c r="AY75" s="311"/>
      <c r="AZ75" s="311"/>
      <c r="BA75" s="311"/>
      <c r="BB75" s="311"/>
      <c r="BC75" s="311"/>
      <c r="BD75" s="311"/>
      <c r="BE75" s="311"/>
      <c r="BF75" s="311"/>
      <c r="BG75" s="311"/>
      <c r="BH75" s="311"/>
      <c r="BI75" s="311"/>
      <c r="BJ75" s="311"/>
      <c r="BK75" s="311"/>
      <c r="BL75" s="311"/>
      <c r="BM75" s="311"/>
      <c r="BN75" s="311"/>
      <c r="BO75" s="311"/>
      <c r="BP75" s="311"/>
      <c r="BQ75" s="311"/>
      <c r="BR75" s="311"/>
      <c r="BS75" s="311"/>
      <c r="BT75" s="311"/>
      <c r="BU75" s="311"/>
      <c r="BV75" s="311"/>
      <c r="BW75" s="311"/>
      <c r="BX75" s="311"/>
      <c r="BY75" s="311"/>
      <c r="BZ75" s="311"/>
      <c r="CA75" s="311"/>
      <c r="CB75" s="311"/>
      <c r="CC75" s="311"/>
      <c r="CD75" s="311"/>
      <c r="CE75" s="311"/>
      <c r="CF75" s="311"/>
      <c r="CG75" s="311"/>
      <c r="CH75" s="311"/>
      <c r="CI75" s="311"/>
      <c r="CJ75" s="311"/>
      <c r="CK75" s="311"/>
      <c r="CL75" s="40"/>
      <c r="CM75" s="40"/>
      <c r="CN75" s="40"/>
    </row>
    <row r="76" spans="1:94" x14ac:dyDescent="0.25">
      <c r="Y76" s="313"/>
      <c r="Z76" s="313"/>
      <c r="AA76" s="313"/>
      <c r="AB76" s="313"/>
      <c r="AC76" s="313"/>
      <c r="AD76" s="313"/>
      <c r="AE76" s="313"/>
      <c r="AF76" s="313"/>
      <c r="AG76" s="313"/>
      <c r="AK76" s="313"/>
      <c r="AL76" s="313"/>
      <c r="AM76" s="313"/>
      <c r="AN76" s="313"/>
      <c r="AO76" s="313"/>
      <c r="AP76" s="313"/>
      <c r="AQ76" s="313"/>
      <c r="AR76" s="313"/>
      <c r="AS76" s="313"/>
    </row>
    <row r="77" spans="1:94" x14ac:dyDescent="0.25">
      <c r="Y77" s="313"/>
      <c r="Z77" s="313"/>
      <c r="AA77" s="313"/>
      <c r="AB77" s="313"/>
      <c r="AC77" s="313"/>
      <c r="AD77" s="313"/>
      <c r="AE77" s="313"/>
      <c r="AF77" s="313"/>
      <c r="AG77" s="313"/>
    </row>
    <row r="84" spans="13:13" x14ac:dyDescent="0.25">
      <c r="M84" s="338"/>
    </row>
    <row r="85" spans="13:13" x14ac:dyDescent="0.25">
      <c r="M85" s="338"/>
    </row>
    <row r="86" spans="13:13" x14ac:dyDescent="0.25">
      <c r="M86" s="338"/>
    </row>
    <row r="91" spans="13:13" x14ac:dyDescent="0.25">
      <c r="M91" s="338"/>
    </row>
    <row r="92" spans="13:13" x14ac:dyDescent="0.25">
      <c r="M92" s="338"/>
    </row>
    <row r="93" spans="13:13" x14ac:dyDescent="0.25">
      <c r="M93" s="338"/>
    </row>
    <row r="98" spans="13:13" x14ac:dyDescent="0.25">
      <c r="M98" s="338"/>
    </row>
    <row r="99" spans="13:13" x14ac:dyDescent="0.25">
      <c r="M99" s="338"/>
    </row>
    <row r="100" spans="13:13" x14ac:dyDescent="0.25">
      <c r="M100" s="338"/>
    </row>
    <row r="105" spans="13:13" x14ac:dyDescent="0.25">
      <c r="M105" s="338"/>
    </row>
    <row r="106" spans="13:13" x14ac:dyDescent="0.25">
      <c r="M106" s="338"/>
    </row>
    <row r="107" spans="13:13" x14ac:dyDescent="0.25">
      <c r="M107" s="338"/>
    </row>
    <row r="112" spans="13:13" x14ac:dyDescent="0.25">
      <c r="M112" s="338"/>
    </row>
    <row r="113" spans="13:13" x14ac:dyDescent="0.25">
      <c r="M113" s="338"/>
    </row>
    <row r="114" spans="13:13" x14ac:dyDescent="0.25">
      <c r="M114" s="338"/>
    </row>
    <row r="119" spans="13:13" x14ac:dyDescent="0.25">
      <c r="M119" s="338"/>
    </row>
    <row r="120" spans="13:13" x14ac:dyDescent="0.25">
      <c r="M120" s="338"/>
    </row>
    <row r="121" spans="13:13" x14ac:dyDescent="0.25">
      <c r="M121" s="338"/>
    </row>
  </sheetData>
  <mergeCells count="31">
    <mergeCell ref="T28:U28"/>
    <mergeCell ref="BL28:BT28"/>
    <mergeCell ref="A1:CN1"/>
    <mergeCell ref="BL3:BO7"/>
    <mergeCell ref="CK3:CL3"/>
    <mergeCell ref="AR18:AT18"/>
    <mergeCell ref="AA19:AD19"/>
    <mergeCell ref="AS21:AV21"/>
    <mergeCell ref="BL23:BL24"/>
    <mergeCell ref="AS24:AV24"/>
    <mergeCell ref="AX24:AZ24"/>
    <mergeCell ref="AL26:AP26"/>
    <mergeCell ref="CD27:CE27"/>
    <mergeCell ref="A29:B29"/>
    <mergeCell ref="AC31:AF31"/>
    <mergeCell ref="AV32:BB39"/>
    <mergeCell ref="J33:K33"/>
    <mergeCell ref="B37:H37"/>
    <mergeCell ref="M39:N39"/>
    <mergeCell ref="B64:D64"/>
    <mergeCell ref="L69:N69"/>
    <mergeCell ref="Q40:S73"/>
    <mergeCell ref="BS40:BT40"/>
    <mergeCell ref="F41:H41"/>
    <mergeCell ref="T44:AB54"/>
    <mergeCell ref="AE46:AM48"/>
    <mergeCell ref="B48:C48"/>
    <mergeCell ref="AK49:AM52"/>
    <mergeCell ref="AC51:AJ54"/>
    <mergeCell ref="AK53:AM54"/>
    <mergeCell ref="F62:H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2025-10-28T19:24:35Z</dcterms:modified>
</cp:coreProperties>
</file>