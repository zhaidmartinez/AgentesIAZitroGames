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TRABAJO\informacion_Entregas\DATA IA\"/>
    </mc:Choice>
  </mc:AlternateContent>
  <xr:revisionPtr revIDLastSave="0" documentId="13_ncr:1_{342BB786-25B0-4144-9B01-9535B79F01D9}" xr6:coauthVersionLast="47" xr6:coauthVersionMax="47" xr10:uidLastSave="{00000000-0000-0000-0000-000000000000}"/>
  <bookViews>
    <workbookView xWindow="-11670" yWindow="-21720" windowWidth="51840" windowHeight="21120" tabRatio="796" xr2:uid="{00000000-000D-0000-FFFF-FFFF00000000}"/>
  </bookViews>
  <sheets>
    <sheet name="Licencias actual" sheetId="50" r:id="rId1"/>
    <sheet name="Layout actual" sheetId="51" r:id="rId2"/>
    <sheet name="Denominacion" sheetId="66" r:id="rId3"/>
    <sheet name="Apuesta Minima" sheetId="67" r:id="rId4"/>
  </sheets>
  <definedNames>
    <definedName name="_abb88">#REF!</definedName>
    <definedName name="FUMAR" localSheetId="1">'Layout actual'!#REF!</definedName>
    <definedName name="P" localSheetId="1">'Layout actual'!#REF!</definedName>
    <definedName name="P" localSheetId="0">'Licencias actual'!#REF!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257" i="51" l="1"/>
  <c r="AO259" i="51" s="1"/>
  <c r="AE86" i="51" s="1"/>
  <c r="AF86" i="51" s="1"/>
  <c r="AO253" i="51"/>
  <c r="AO252" i="51"/>
  <c r="AX251" i="51"/>
  <c r="AO251" i="51"/>
  <c r="AX250" i="51"/>
  <c r="AO250" i="51"/>
  <c r="AX249" i="51"/>
  <c r="AO249" i="51"/>
  <c r="AX248" i="51"/>
  <c r="AX252" i="51" s="1"/>
  <c r="AE80" i="51" s="1"/>
  <c r="AF80" i="51" s="1"/>
  <c r="AO248" i="51"/>
  <c r="AO247" i="51"/>
  <c r="AO246" i="51"/>
  <c r="AO245" i="51"/>
  <c r="AX244" i="51"/>
  <c r="AX245" i="51" s="1"/>
  <c r="AE98" i="51" s="1"/>
  <c r="AF98" i="51" s="1"/>
  <c r="AO244" i="51"/>
  <c r="AO254" i="51" s="1"/>
  <c r="AE97" i="51" s="1"/>
  <c r="AF97" i="51" s="1"/>
  <c r="AO241" i="51"/>
  <c r="AX240" i="51"/>
  <c r="AX241" i="51" s="1"/>
  <c r="AE100" i="51" s="1"/>
  <c r="AF100" i="51" s="1"/>
  <c r="AO240" i="51"/>
  <c r="AO239" i="51"/>
  <c r="AX236" i="51"/>
  <c r="AX237" i="51" s="1"/>
  <c r="AE92" i="51" s="1"/>
  <c r="AF92" i="51" s="1"/>
  <c r="AO235" i="51"/>
  <c r="AO234" i="51"/>
  <c r="AX233" i="51"/>
  <c r="AO233" i="51"/>
  <c r="AX232" i="51"/>
  <c r="AO232" i="51"/>
  <c r="AO231" i="51"/>
  <c r="AO236" i="51" s="1"/>
  <c r="AE99" i="51" s="1"/>
  <c r="AF99" i="51" s="1"/>
  <c r="AX228" i="51"/>
  <c r="AX227" i="51"/>
  <c r="AX226" i="51"/>
  <c r="G226" i="51"/>
  <c r="AX225" i="51"/>
  <c r="T225" i="51"/>
  <c r="G225" i="51"/>
  <c r="AX224" i="51"/>
  <c r="T224" i="51"/>
  <c r="T226" i="51" s="1"/>
  <c r="G224" i="51"/>
  <c r="AX223" i="51"/>
  <c r="AX229" i="51" s="1"/>
  <c r="AE82" i="51" s="1"/>
  <c r="AF82" i="51" s="1"/>
  <c r="AO222" i="51"/>
  <c r="T222" i="51"/>
  <c r="AO221" i="51"/>
  <c r="T221" i="51"/>
  <c r="G221" i="51"/>
  <c r="AO220" i="51"/>
  <c r="T220" i="51"/>
  <c r="G220" i="51"/>
  <c r="G222" i="51" s="1"/>
  <c r="AX219" i="51"/>
  <c r="AO219" i="51"/>
  <c r="AX218" i="51"/>
  <c r="AX220" i="51" s="1"/>
  <c r="AE89" i="51" s="1"/>
  <c r="AF89" i="51" s="1"/>
  <c r="AO218" i="51"/>
  <c r="G218" i="51"/>
  <c r="AO217" i="51"/>
  <c r="T217" i="51"/>
  <c r="G217" i="51"/>
  <c r="AO216" i="51"/>
  <c r="T216" i="51"/>
  <c r="G216" i="51"/>
  <c r="AO215" i="51"/>
  <c r="T215" i="51"/>
  <c r="G215" i="51"/>
  <c r="AX214" i="51"/>
  <c r="AO214" i="51"/>
  <c r="T214" i="51"/>
  <c r="G214" i="51"/>
  <c r="AX213" i="51"/>
  <c r="AO213" i="51"/>
  <c r="T213" i="51"/>
  <c r="G213" i="51"/>
  <c r="AX212" i="51"/>
  <c r="AO212" i="51"/>
  <c r="T212" i="51"/>
  <c r="T218" i="51" s="1"/>
  <c r="G212" i="51"/>
  <c r="AX211" i="51"/>
  <c r="AO211" i="51"/>
  <c r="AX210" i="51"/>
  <c r="AO210" i="51"/>
  <c r="AX209" i="51"/>
  <c r="AO209" i="51"/>
  <c r="T209" i="51"/>
  <c r="G209" i="51"/>
  <c r="AX208" i="51"/>
  <c r="AO208" i="51"/>
  <c r="T208" i="51"/>
  <c r="G208" i="51"/>
  <c r="AX207" i="51"/>
  <c r="AO207" i="51"/>
  <c r="AO223" i="51" s="1"/>
  <c r="AE87" i="51" s="1"/>
  <c r="AF87" i="51" s="1"/>
  <c r="T207" i="51"/>
  <c r="G207" i="51"/>
  <c r="AX206" i="51"/>
  <c r="T206" i="51"/>
  <c r="G206" i="51"/>
  <c r="AX205" i="51"/>
  <c r="T205" i="51"/>
  <c r="G205" i="51"/>
  <c r="AX204" i="51"/>
  <c r="T204" i="51"/>
  <c r="G204" i="51"/>
  <c r="AX203" i="51"/>
  <c r="T203" i="51"/>
  <c r="G203" i="51"/>
  <c r="AX202" i="51"/>
  <c r="AO202" i="51"/>
  <c r="T202" i="51"/>
  <c r="G202" i="51"/>
  <c r="AX201" i="51"/>
  <c r="AO201" i="51"/>
  <c r="T201" i="51"/>
  <c r="G201" i="51"/>
  <c r="AX200" i="51"/>
  <c r="AO200" i="51"/>
  <c r="T200" i="51"/>
  <c r="G200" i="51"/>
  <c r="AX199" i="51"/>
  <c r="AO199" i="51"/>
  <c r="T199" i="51"/>
  <c r="T210" i="51" s="1"/>
  <c r="G199" i="51"/>
  <c r="G210" i="51" s="1"/>
  <c r="AX198" i="51"/>
  <c r="AO198" i="51"/>
  <c r="AX197" i="51"/>
  <c r="AO197" i="51"/>
  <c r="AA197" i="51"/>
  <c r="AX196" i="51"/>
  <c r="AO196" i="51"/>
  <c r="AO203" i="51" s="1"/>
  <c r="AE85" i="51" s="1"/>
  <c r="AF85" i="51" s="1"/>
  <c r="T196" i="51"/>
  <c r="G196" i="51"/>
  <c r="AX195" i="51"/>
  <c r="T195" i="51"/>
  <c r="G195" i="51"/>
  <c r="AX194" i="51"/>
  <c r="T194" i="51"/>
  <c r="G194" i="51"/>
  <c r="AX193" i="51"/>
  <c r="AA193" i="51"/>
  <c r="T193" i="51"/>
  <c r="G193" i="51"/>
  <c r="AX192" i="51"/>
  <c r="AA192" i="51"/>
  <c r="T192" i="51"/>
  <c r="G192" i="51"/>
  <c r="AX191" i="51"/>
  <c r="AO191" i="51"/>
  <c r="AO192" i="51" s="1"/>
  <c r="AE84" i="51" s="1"/>
  <c r="AF84" i="51" s="1"/>
  <c r="T191" i="51"/>
  <c r="T197" i="51" s="1"/>
  <c r="G191" i="51"/>
  <c r="G197" i="51" s="1"/>
  <c r="AX190" i="51"/>
  <c r="AO190" i="51"/>
  <c r="AX189" i="51"/>
  <c r="AX188" i="51"/>
  <c r="AX187" i="51"/>
  <c r="AX186" i="51"/>
  <c r="AX185" i="51"/>
  <c r="AO185" i="51"/>
  <c r="AA185" i="51"/>
  <c r="AX184" i="51"/>
  <c r="AO184" i="51"/>
  <c r="AA184" i="51"/>
  <c r="AX183" i="51"/>
  <c r="AO183" i="51"/>
  <c r="AX182" i="51"/>
  <c r="AO182" i="51"/>
  <c r="AX181" i="51"/>
  <c r="AO181" i="51"/>
  <c r="AX180" i="51"/>
  <c r="AO180" i="51"/>
  <c r="AX179" i="51"/>
  <c r="AO179" i="51"/>
  <c r="AX178" i="51"/>
  <c r="AO178" i="51"/>
  <c r="AX177" i="51"/>
  <c r="AX215" i="51" s="1"/>
  <c r="AE88" i="51" s="1"/>
  <c r="AF88" i="51" s="1"/>
  <c r="AO177" i="51"/>
  <c r="AO176" i="51"/>
  <c r="T176" i="51"/>
  <c r="AO175" i="51"/>
  <c r="AF175" i="51"/>
  <c r="AE175" i="51"/>
  <c r="T175" i="51"/>
  <c r="Z175" i="51" s="1"/>
  <c r="G175" i="51"/>
  <c r="L175" i="51" s="1"/>
  <c r="AO174" i="51"/>
  <c r="AF174" i="51"/>
  <c r="AE174" i="51"/>
  <c r="Y174" i="51"/>
  <c r="T174" i="51"/>
  <c r="Z174" i="51" s="1"/>
  <c r="L174" i="51"/>
  <c r="G174" i="51"/>
  <c r="AX173" i="51"/>
  <c r="AO173" i="51"/>
  <c r="AF173" i="51"/>
  <c r="AE173" i="51"/>
  <c r="Z173" i="51"/>
  <c r="Y173" i="51"/>
  <c r="T173" i="51"/>
  <c r="G173" i="51"/>
  <c r="G176" i="51" s="1"/>
  <c r="AX172" i="51"/>
  <c r="AO172" i="51"/>
  <c r="AE172" i="51"/>
  <c r="AF172" i="51" s="1"/>
  <c r="AX171" i="51"/>
  <c r="AO171" i="51"/>
  <c r="AE171" i="51"/>
  <c r="AF171" i="51" s="1"/>
  <c r="AX170" i="51"/>
  <c r="AO170" i="51"/>
  <c r="AE170" i="51"/>
  <c r="AF170" i="51" s="1"/>
  <c r="AX169" i="51"/>
  <c r="AO169" i="51"/>
  <c r="AE169" i="51"/>
  <c r="AF169" i="51" s="1"/>
  <c r="X169" i="51"/>
  <c r="W169" i="51"/>
  <c r="K169" i="51"/>
  <c r="J169" i="51"/>
  <c r="AX168" i="51"/>
  <c r="AO168" i="51"/>
  <c r="AF168" i="51"/>
  <c r="AE168" i="51"/>
  <c r="Z168" i="51"/>
  <c r="T168" i="51"/>
  <c r="Y168" i="51" s="1"/>
  <c r="L168" i="51"/>
  <c r="G168" i="51"/>
  <c r="AX167" i="51"/>
  <c r="AO167" i="51"/>
  <c r="AE167" i="51"/>
  <c r="AF167" i="51" s="1"/>
  <c r="Y167" i="51"/>
  <c r="T167" i="51"/>
  <c r="Z167" i="51" s="1"/>
  <c r="L167" i="51"/>
  <c r="G167" i="51"/>
  <c r="AX166" i="51"/>
  <c r="AO166" i="51"/>
  <c r="AE166" i="51"/>
  <c r="AF166" i="51" s="1"/>
  <c r="T166" i="51"/>
  <c r="T169" i="51" s="1"/>
  <c r="G166" i="51"/>
  <c r="L166" i="51" s="1"/>
  <c r="AX165" i="51"/>
  <c r="AO165" i="51"/>
  <c r="AO186" i="51" s="1"/>
  <c r="AE81" i="51" s="1"/>
  <c r="AF81" i="51" s="1"/>
  <c r="AE165" i="51"/>
  <c r="AF165" i="51" s="1"/>
  <c r="T165" i="51"/>
  <c r="Y165" i="51" s="1"/>
  <c r="L165" i="51"/>
  <c r="G165" i="51"/>
  <c r="Z165" i="51" s="1"/>
  <c r="AX164" i="51"/>
  <c r="AO164" i="51"/>
  <c r="AF164" i="51"/>
  <c r="AE164" i="51"/>
  <c r="AX163" i="51"/>
  <c r="AO163" i="51"/>
  <c r="AF163" i="51"/>
  <c r="AE163" i="51"/>
  <c r="AX162" i="51"/>
  <c r="AO162" i="51"/>
  <c r="AF162" i="51"/>
  <c r="AE162" i="51"/>
  <c r="AX161" i="51"/>
  <c r="AO161" i="51"/>
  <c r="AF161" i="51"/>
  <c r="AE161" i="51"/>
  <c r="AA161" i="51"/>
  <c r="AX160" i="51"/>
  <c r="AO160" i="51"/>
  <c r="AF160" i="51"/>
  <c r="AE160" i="51"/>
  <c r="Z160" i="51"/>
  <c r="Y160" i="51"/>
  <c r="T160" i="51"/>
  <c r="G160" i="51"/>
  <c r="L160" i="51" s="1"/>
  <c r="AX159" i="51"/>
  <c r="AO159" i="51"/>
  <c r="AE159" i="51"/>
  <c r="AF159" i="51" s="1"/>
  <c r="Z159" i="51"/>
  <c r="Y159" i="51"/>
  <c r="T159" i="51"/>
  <c r="L159" i="51"/>
  <c r="G159" i="51"/>
  <c r="AX158" i="51"/>
  <c r="AO158" i="51"/>
  <c r="AF158" i="51"/>
  <c r="AE158" i="51"/>
  <c r="T158" i="51"/>
  <c r="Z158" i="51" s="1"/>
  <c r="G158" i="51"/>
  <c r="G161" i="51" s="1"/>
  <c r="AX157" i="51"/>
  <c r="AO157" i="51"/>
  <c r="AF157" i="51"/>
  <c r="AE157" i="51"/>
  <c r="AX156" i="51"/>
  <c r="AF156" i="51"/>
  <c r="AE156" i="51"/>
  <c r="AX155" i="51"/>
  <c r="AE155" i="51"/>
  <c r="AF155" i="51" s="1"/>
  <c r="AX154" i="51"/>
  <c r="AO154" i="51"/>
  <c r="AE154" i="51"/>
  <c r="AF154" i="51" s="1"/>
  <c r="X154" i="51"/>
  <c r="W154" i="51"/>
  <c r="K154" i="51"/>
  <c r="J154" i="51"/>
  <c r="AX153" i="51"/>
  <c r="AF153" i="51"/>
  <c r="AE153" i="51"/>
  <c r="T153" i="51"/>
  <c r="Z153" i="51" s="1"/>
  <c r="G153" i="51"/>
  <c r="L153" i="51" s="1"/>
  <c r="AX152" i="51"/>
  <c r="AO152" i="51"/>
  <c r="AE152" i="51"/>
  <c r="AF152" i="51" s="1"/>
  <c r="Z152" i="51"/>
  <c r="Y152" i="51"/>
  <c r="T152" i="51"/>
  <c r="G152" i="51"/>
  <c r="L152" i="51" s="1"/>
  <c r="AX151" i="51"/>
  <c r="AO151" i="51"/>
  <c r="AF151" i="51"/>
  <c r="AE151" i="51"/>
  <c r="T151" i="51"/>
  <c r="Y151" i="51" s="1"/>
  <c r="G151" i="51"/>
  <c r="L151" i="51" s="1"/>
  <c r="AX150" i="51"/>
  <c r="AO150" i="51"/>
  <c r="AE150" i="51"/>
  <c r="AF150" i="51" s="1"/>
  <c r="Y150" i="51"/>
  <c r="T150" i="51"/>
  <c r="L150" i="51"/>
  <c r="G150" i="51"/>
  <c r="G154" i="51" s="1"/>
  <c r="AX149" i="51"/>
  <c r="AO149" i="51"/>
  <c r="AF149" i="51"/>
  <c r="AE149" i="51"/>
  <c r="AX148" i="51"/>
  <c r="AO148" i="51"/>
  <c r="AF148" i="51"/>
  <c r="AE148" i="51"/>
  <c r="AX147" i="51"/>
  <c r="AO147" i="51"/>
  <c r="AF147" i="51"/>
  <c r="AE147" i="51"/>
  <c r="AX146" i="51"/>
  <c r="AO146" i="51"/>
  <c r="AF146" i="51"/>
  <c r="AE146" i="51"/>
  <c r="X146" i="51"/>
  <c r="W146" i="51"/>
  <c r="K146" i="51"/>
  <c r="J146" i="51"/>
  <c r="AX145" i="51"/>
  <c r="AO145" i="51"/>
  <c r="AF145" i="51"/>
  <c r="AE145" i="51"/>
  <c r="Y145" i="51"/>
  <c r="T145" i="51"/>
  <c r="Z145" i="51" s="1"/>
  <c r="L145" i="51"/>
  <c r="G145" i="51"/>
  <c r="AX144" i="51"/>
  <c r="AO144" i="51"/>
  <c r="AF144" i="51"/>
  <c r="AE144" i="51"/>
  <c r="Z144" i="51"/>
  <c r="Y144" i="51"/>
  <c r="T144" i="51"/>
  <c r="G144" i="51"/>
  <c r="L144" i="51" s="1"/>
  <c r="AX143" i="51"/>
  <c r="AO143" i="51"/>
  <c r="AE143" i="51"/>
  <c r="AF143" i="51" s="1"/>
  <c r="Z143" i="51"/>
  <c r="Y143" i="51"/>
  <c r="T143" i="51"/>
  <c r="L143" i="51"/>
  <c r="G143" i="51"/>
  <c r="AX142" i="51"/>
  <c r="AO142" i="51"/>
  <c r="AE142" i="51"/>
  <c r="AF142" i="51" s="1"/>
  <c r="T142" i="51"/>
  <c r="Z142" i="51" s="1"/>
  <c r="G142" i="51"/>
  <c r="L142" i="51" s="1"/>
  <c r="AX141" i="51"/>
  <c r="AO141" i="51"/>
  <c r="AF141" i="51"/>
  <c r="AE141" i="51"/>
  <c r="T141" i="51"/>
  <c r="Y141" i="51" s="1"/>
  <c r="L141" i="51"/>
  <c r="G141" i="51"/>
  <c r="AX140" i="51"/>
  <c r="AO140" i="51"/>
  <c r="AF140" i="51"/>
  <c r="AE140" i="51"/>
  <c r="Z140" i="51"/>
  <c r="Y140" i="51"/>
  <c r="T140" i="51"/>
  <c r="G140" i="51"/>
  <c r="L140" i="51" s="1"/>
  <c r="AX139" i="51"/>
  <c r="AO139" i="51"/>
  <c r="AE139" i="51"/>
  <c r="AF139" i="51" s="1"/>
  <c r="Z139" i="51"/>
  <c r="Y139" i="51"/>
  <c r="T139" i="51"/>
  <c r="L139" i="51"/>
  <c r="G139" i="51"/>
  <c r="AX138" i="51"/>
  <c r="AO138" i="51"/>
  <c r="AE138" i="51"/>
  <c r="AF138" i="51" s="1"/>
  <c r="T138" i="51"/>
  <c r="Z138" i="51" s="1"/>
  <c r="G138" i="51"/>
  <c r="L138" i="51" s="1"/>
  <c r="AX137" i="51"/>
  <c r="AO137" i="51"/>
  <c r="AF137" i="51"/>
  <c r="AE137" i="51"/>
  <c r="T137" i="51"/>
  <c r="Z137" i="51" s="1"/>
  <c r="L137" i="51"/>
  <c r="G137" i="51"/>
  <c r="AX136" i="51"/>
  <c r="AO136" i="51"/>
  <c r="AF136" i="51"/>
  <c r="AE136" i="51"/>
  <c r="Z136" i="51"/>
  <c r="Y136" i="51"/>
  <c r="T136" i="51"/>
  <c r="G136" i="51"/>
  <c r="L136" i="51" s="1"/>
  <c r="AX135" i="51"/>
  <c r="AO135" i="51"/>
  <c r="AE135" i="51"/>
  <c r="AF135" i="51" s="1"/>
  <c r="Z135" i="51"/>
  <c r="Y135" i="51"/>
  <c r="T135" i="51"/>
  <c r="L135" i="51"/>
  <c r="G135" i="51"/>
  <c r="AX134" i="51"/>
  <c r="AO134" i="51"/>
  <c r="AE134" i="51"/>
  <c r="AF134" i="51" s="1"/>
  <c r="T134" i="51"/>
  <c r="Z134" i="51" s="1"/>
  <c r="G134" i="51"/>
  <c r="L134" i="51" s="1"/>
  <c r="AX133" i="51"/>
  <c r="AO133" i="51"/>
  <c r="AF133" i="51"/>
  <c r="AE133" i="51"/>
  <c r="T133" i="51"/>
  <c r="Y133" i="51" s="1"/>
  <c r="L133" i="51"/>
  <c r="G133" i="51"/>
  <c r="AX132" i="51"/>
  <c r="AO132" i="51"/>
  <c r="AF132" i="51"/>
  <c r="AE132" i="51"/>
  <c r="Z132" i="51"/>
  <c r="Y132" i="51"/>
  <c r="T132" i="51"/>
  <c r="G132" i="51"/>
  <c r="L132" i="51" s="1"/>
  <c r="AX131" i="51"/>
  <c r="AO131" i="51"/>
  <c r="AE131" i="51"/>
  <c r="AF131" i="51" s="1"/>
  <c r="Z131" i="51"/>
  <c r="Y131" i="51"/>
  <c r="T131" i="51"/>
  <c r="L131" i="51"/>
  <c r="G131" i="51"/>
  <c r="AX130" i="51"/>
  <c r="AO130" i="51"/>
  <c r="AE130" i="51"/>
  <c r="AF130" i="51" s="1"/>
  <c r="T130" i="51"/>
  <c r="Z130" i="51" s="1"/>
  <c r="G130" i="51"/>
  <c r="L130" i="51" s="1"/>
  <c r="AX129" i="51"/>
  <c r="AO129" i="51"/>
  <c r="AF129" i="51"/>
  <c r="AE129" i="51"/>
  <c r="AA129" i="51"/>
  <c r="Y129" i="51"/>
  <c r="T129" i="51"/>
  <c r="T146" i="51" s="1"/>
  <c r="G129" i="51"/>
  <c r="L129" i="51" s="1"/>
  <c r="AX128" i="51"/>
  <c r="AO128" i="51"/>
  <c r="AE128" i="51"/>
  <c r="AF128" i="51" s="1"/>
  <c r="AX127" i="51"/>
  <c r="AO127" i="51"/>
  <c r="AE127" i="51"/>
  <c r="AF127" i="51" s="1"/>
  <c r="X127" i="51"/>
  <c r="W127" i="51"/>
  <c r="K127" i="51"/>
  <c r="J127" i="51"/>
  <c r="AX126" i="51"/>
  <c r="AO126" i="51"/>
  <c r="AE126" i="51"/>
  <c r="AF126" i="51" s="1"/>
  <c r="T126" i="51"/>
  <c r="Z126" i="51" s="1"/>
  <c r="G126" i="51"/>
  <c r="L126" i="51" s="1"/>
  <c r="L127" i="51" s="1"/>
  <c r="AX125" i="51"/>
  <c r="AO125" i="51"/>
  <c r="AF125" i="51"/>
  <c r="AE125" i="51"/>
  <c r="T125" i="51"/>
  <c r="Z125" i="51" s="1"/>
  <c r="L125" i="51"/>
  <c r="G125" i="51"/>
  <c r="AX124" i="51"/>
  <c r="AO124" i="51"/>
  <c r="AF124" i="51"/>
  <c r="AE124" i="51"/>
  <c r="AX123" i="51"/>
  <c r="AO123" i="51"/>
  <c r="AE123" i="51"/>
  <c r="AF123" i="51" s="1"/>
  <c r="X123" i="51"/>
  <c r="W123" i="51"/>
  <c r="K123" i="51"/>
  <c r="J123" i="51"/>
  <c r="AX122" i="51"/>
  <c r="AO122" i="51"/>
  <c r="AE122" i="51"/>
  <c r="AF122" i="51" s="1"/>
  <c r="Y122" i="51"/>
  <c r="T122" i="51"/>
  <c r="G122" i="51"/>
  <c r="Z122" i="51" s="1"/>
  <c r="AX121" i="51"/>
  <c r="AX174" i="51" s="1"/>
  <c r="AE83" i="51" s="1"/>
  <c r="AF83" i="51" s="1"/>
  <c r="AO121" i="51"/>
  <c r="AF121" i="51"/>
  <c r="AE121" i="51"/>
  <c r="T121" i="51"/>
  <c r="Z121" i="51" s="1"/>
  <c r="G121" i="51"/>
  <c r="L121" i="51" s="1"/>
  <c r="AO120" i="51"/>
  <c r="AE120" i="51"/>
  <c r="AF120" i="51" s="1"/>
  <c r="Z120" i="51"/>
  <c r="T120" i="51"/>
  <c r="Y120" i="51" s="1"/>
  <c r="L120" i="51"/>
  <c r="G120" i="51"/>
  <c r="AO119" i="51"/>
  <c r="AE119" i="51"/>
  <c r="AF119" i="51" s="1"/>
  <c r="T119" i="51"/>
  <c r="Z119" i="51" s="1"/>
  <c r="G119" i="51"/>
  <c r="L119" i="51" s="1"/>
  <c r="AO118" i="51"/>
  <c r="AF118" i="51"/>
  <c r="AE118" i="51"/>
  <c r="T118" i="51"/>
  <c r="Y118" i="51" s="1"/>
  <c r="L118" i="51"/>
  <c r="G118" i="51"/>
  <c r="AX117" i="51"/>
  <c r="AO117" i="51"/>
  <c r="AF117" i="51"/>
  <c r="AE117" i="51"/>
  <c r="Z117" i="51"/>
  <c r="Y117" i="51"/>
  <c r="T117" i="51"/>
  <c r="G117" i="51"/>
  <c r="L117" i="51" s="1"/>
  <c r="AX116" i="51"/>
  <c r="AO116" i="51"/>
  <c r="AE116" i="51"/>
  <c r="AF116" i="51" s="1"/>
  <c r="Z116" i="51"/>
  <c r="Y116" i="51"/>
  <c r="T116" i="51"/>
  <c r="L116" i="51"/>
  <c r="G116" i="51"/>
  <c r="AX115" i="51"/>
  <c r="AO115" i="51"/>
  <c r="AE115" i="51"/>
  <c r="AF115" i="51" s="1"/>
  <c r="T115" i="51"/>
  <c r="Z115" i="51" s="1"/>
  <c r="G115" i="51"/>
  <c r="L115" i="51" s="1"/>
  <c r="AX114" i="51"/>
  <c r="AO114" i="51"/>
  <c r="AF114" i="51"/>
  <c r="AE114" i="51"/>
  <c r="T114" i="51"/>
  <c r="Z114" i="51" s="1"/>
  <c r="L114" i="51"/>
  <c r="G114" i="51"/>
  <c r="AX113" i="51"/>
  <c r="AO113" i="51"/>
  <c r="AF113" i="51"/>
  <c r="AE113" i="51"/>
  <c r="Z113" i="51"/>
  <c r="Y113" i="51"/>
  <c r="T113" i="51"/>
  <c r="G113" i="51"/>
  <c r="AX112" i="51"/>
  <c r="AO112" i="51"/>
  <c r="AF112" i="51"/>
  <c r="AE112" i="51"/>
  <c r="T112" i="51"/>
  <c r="Y112" i="51" s="1"/>
  <c r="G112" i="51"/>
  <c r="L112" i="51" s="1"/>
  <c r="AX111" i="51"/>
  <c r="AO111" i="51"/>
  <c r="AE111" i="51"/>
  <c r="AF111" i="51" s="1"/>
  <c r="Y111" i="51"/>
  <c r="T111" i="51"/>
  <c r="G111" i="51"/>
  <c r="Z111" i="51" s="1"/>
  <c r="AX110" i="51"/>
  <c r="AO110" i="51"/>
  <c r="AF110" i="51"/>
  <c r="AE110" i="51"/>
  <c r="T110" i="51"/>
  <c r="Z110" i="51" s="1"/>
  <c r="G110" i="51"/>
  <c r="L110" i="51" s="1"/>
  <c r="AX109" i="51"/>
  <c r="AO109" i="51"/>
  <c r="AE109" i="51"/>
  <c r="AF109" i="51" s="1"/>
  <c r="Z109" i="51"/>
  <c r="Y109" i="51"/>
  <c r="T109" i="51"/>
  <c r="L109" i="51"/>
  <c r="G109" i="51"/>
  <c r="AX108" i="51"/>
  <c r="AO108" i="51"/>
  <c r="AF108" i="51"/>
  <c r="AE108" i="51"/>
  <c r="T108" i="51"/>
  <c r="T123" i="51" s="1"/>
  <c r="Z123" i="51" s="1"/>
  <c r="G108" i="51"/>
  <c r="L108" i="51" s="1"/>
  <c r="AX107" i="51"/>
  <c r="AO107" i="51"/>
  <c r="AE107" i="51"/>
  <c r="AF107" i="51" s="1"/>
  <c r="Y107" i="51"/>
  <c r="T107" i="51"/>
  <c r="G107" i="51"/>
  <c r="G123" i="51" s="1"/>
  <c r="AX106" i="51"/>
  <c r="AO106" i="51"/>
  <c r="AF106" i="51"/>
  <c r="AE106" i="51"/>
  <c r="T106" i="51"/>
  <c r="Z106" i="51" s="1"/>
  <c r="G106" i="51"/>
  <c r="L106" i="51" s="1"/>
  <c r="AX105" i="51"/>
  <c r="AO105" i="51"/>
  <c r="AE105" i="51"/>
  <c r="AF105" i="51" s="1"/>
  <c r="Z105" i="51"/>
  <c r="Y105" i="51"/>
  <c r="T105" i="51"/>
  <c r="G105" i="51"/>
  <c r="L105" i="51" s="1"/>
  <c r="AX104" i="51"/>
  <c r="AO104" i="51"/>
  <c r="AE104" i="51"/>
  <c r="AF104" i="51" s="1"/>
  <c r="AX103" i="51"/>
  <c r="AO103" i="51"/>
  <c r="AF103" i="51"/>
  <c r="AE103" i="51"/>
  <c r="X103" i="51"/>
  <c r="W103" i="51"/>
  <c r="K103" i="51"/>
  <c r="J103" i="51"/>
  <c r="AX102" i="51"/>
  <c r="AO102" i="51"/>
  <c r="Z102" i="51"/>
  <c r="Y102" i="51"/>
  <c r="T102" i="51"/>
  <c r="G102" i="51"/>
  <c r="L102" i="51" s="1"/>
  <c r="AX101" i="51"/>
  <c r="AO101" i="51"/>
  <c r="AE101" i="51"/>
  <c r="AF101" i="51" s="1"/>
  <c r="T101" i="51"/>
  <c r="Y101" i="51" s="1"/>
  <c r="L101" i="51"/>
  <c r="G101" i="51"/>
  <c r="AX100" i="51"/>
  <c r="AO100" i="51"/>
  <c r="T100" i="51"/>
  <c r="Y100" i="51" s="1"/>
  <c r="G100" i="51"/>
  <c r="L100" i="51" s="1"/>
  <c r="AX99" i="51"/>
  <c r="AO99" i="51"/>
  <c r="T99" i="51"/>
  <c r="Z99" i="51" s="1"/>
  <c r="G99" i="51"/>
  <c r="L99" i="51" s="1"/>
  <c r="AX98" i="51"/>
  <c r="AO98" i="51"/>
  <c r="Z98" i="51"/>
  <c r="Y98" i="51"/>
  <c r="T98" i="51"/>
  <c r="G98" i="51"/>
  <c r="L98" i="51" s="1"/>
  <c r="AX97" i="51"/>
  <c r="AO97" i="51"/>
  <c r="T97" i="51"/>
  <c r="Z97" i="51" s="1"/>
  <c r="L97" i="51"/>
  <c r="G97" i="51"/>
  <c r="AX96" i="51"/>
  <c r="AO96" i="51"/>
  <c r="AE96" i="51"/>
  <c r="AF96" i="51" s="1"/>
  <c r="T96" i="51"/>
  <c r="Y96" i="51" s="1"/>
  <c r="G96" i="51"/>
  <c r="L96" i="51" s="1"/>
  <c r="AX95" i="51"/>
  <c r="AO95" i="51"/>
  <c r="AF95" i="51"/>
  <c r="AE95" i="51"/>
  <c r="T95" i="51"/>
  <c r="Z95" i="51" s="1"/>
  <c r="G95" i="51"/>
  <c r="L95" i="51" s="1"/>
  <c r="AX94" i="51"/>
  <c r="AO94" i="51"/>
  <c r="Z94" i="51"/>
  <c r="Y94" i="51"/>
  <c r="T94" i="51"/>
  <c r="G94" i="51"/>
  <c r="L94" i="51" s="1"/>
  <c r="AX93" i="51"/>
  <c r="AO93" i="51"/>
  <c r="AE93" i="51"/>
  <c r="AF93" i="51" s="1"/>
  <c r="T93" i="51"/>
  <c r="Z93" i="51" s="1"/>
  <c r="L93" i="51"/>
  <c r="G93" i="51"/>
  <c r="AX92" i="51"/>
  <c r="AO92" i="51"/>
  <c r="T92" i="51"/>
  <c r="Z92" i="51" s="1"/>
  <c r="G92" i="51"/>
  <c r="L92" i="51" s="1"/>
  <c r="AX91" i="51"/>
  <c r="AO91" i="51"/>
  <c r="AF91" i="51"/>
  <c r="Z91" i="51"/>
  <c r="T91" i="51"/>
  <c r="Y91" i="51" s="1"/>
  <c r="G91" i="51"/>
  <c r="L91" i="51" s="1"/>
  <c r="AX90" i="51"/>
  <c r="AO90" i="51"/>
  <c r="AE90" i="51"/>
  <c r="AF90" i="51" s="1"/>
  <c r="Z90" i="51"/>
  <c r="Y90" i="51"/>
  <c r="T90" i="51"/>
  <c r="L90" i="51"/>
  <c r="G90" i="51"/>
  <c r="AX89" i="51"/>
  <c r="AO89" i="51"/>
  <c r="T89" i="51"/>
  <c r="Y89" i="51" s="1"/>
  <c r="G89" i="51"/>
  <c r="L89" i="51" s="1"/>
  <c r="AX88" i="51"/>
  <c r="AO88" i="51"/>
  <c r="T88" i="51"/>
  <c r="Z88" i="51" s="1"/>
  <c r="G88" i="51"/>
  <c r="L88" i="51" s="1"/>
  <c r="AX87" i="51"/>
  <c r="AO87" i="51"/>
  <c r="T87" i="51"/>
  <c r="Z87" i="51" s="1"/>
  <c r="G87" i="51"/>
  <c r="L87" i="51" s="1"/>
  <c r="AX86" i="51"/>
  <c r="AO86" i="51"/>
  <c r="AA86" i="51"/>
  <c r="Z86" i="51"/>
  <c r="Y86" i="51"/>
  <c r="T86" i="51"/>
  <c r="G86" i="51"/>
  <c r="L86" i="51" s="1"/>
  <c r="AX85" i="51"/>
  <c r="AO85" i="51"/>
  <c r="T85" i="51"/>
  <c r="Y85" i="51" s="1"/>
  <c r="L85" i="51"/>
  <c r="G85" i="51"/>
  <c r="AX84" i="51"/>
  <c r="AO84" i="51"/>
  <c r="T84" i="51"/>
  <c r="Z84" i="51" s="1"/>
  <c r="G84" i="51"/>
  <c r="G103" i="51" s="1"/>
  <c r="I77" i="51" s="1"/>
  <c r="AX83" i="51"/>
  <c r="AO83" i="51"/>
  <c r="T83" i="51"/>
  <c r="Z83" i="51" s="1"/>
  <c r="G83" i="51"/>
  <c r="L83" i="51" s="1"/>
  <c r="AX82" i="51"/>
  <c r="AO82" i="51"/>
  <c r="Z82" i="51"/>
  <c r="Y82" i="51"/>
  <c r="T82" i="51"/>
  <c r="G82" i="51"/>
  <c r="L82" i="51" s="1"/>
  <c r="AX81" i="51"/>
  <c r="AO81" i="51"/>
  <c r="AX80" i="51"/>
  <c r="AO80" i="51"/>
  <c r="AX79" i="51"/>
  <c r="AO79" i="51"/>
  <c r="AX78" i="51"/>
  <c r="AO78" i="51"/>
  <c r="AX77" i="51"/>
  <c r="AX118" i="51" s="1"/>
  <c r="AE94" i="51" s="1"/>
  <c r="AF94" i="51" s="1"/>
  <c r="AO77" i="51"/>
  <c r="AO153" i="51" s="1"/>
  <c r="AE79" i="51" s="1"/>
  <c r="AF79" i="51" s="1"/>
  <c r="V76" i="51"/>
  <c r="I76" i="51"/>
  <c r="V75" i="51"/>
  <c r="I75" i="51"/>
  <c r="E66" i="51" s="1"/>
  <c r="Z71" i="51"/>
  <c r="Y71" i="51"/>
  <c r="X71" i="51"/>
  <c r="Z70" i="51"/>
  <c r="Y70" i="51"/>
  <c r="X70" i="51"/>
  <c r="Z69" i="51"/>
  <c r="Y69" i="51"/>
  <c r="X69" i="51"/>
  <c r="Z68" i="51"/>
  <c r="Y68" i="51"/>
  <c r="X68" i="51"/>
  <c r="Z67" i="51"/>
  <c r="Y67" i="51"/>
  <c r="X67" i="51"/>
  <c r="E67" i="51"/>
  <c r="Z66" i="51"/>
  <c r="Y66" i="51"/>
  <c r="X66" i="51"/>
  <c r="F188" i="51" l="1"/>
  <c r="L146" i="51"/>
  <c r="Y154" i="51"/>
  <c r="Y161" i="51" s="1"/>
  <c r="Z169" i="51"/>
  <c r="S188" i="51"/>
  <c r="L169" i="51"/>
  <c r="L103" i="51"/>
  <c r="Z176" i="51"/>
  <c r="L154" i="51"/>
  <c r="G146" i="51"/>
  <c r="Z146" i="51" s="1"/>
  <c r="L111" i="51"/>
  <c r="L123" i="51" s="1"/>
  <c r="Z112" i="51"/>
  <c r="Z151" i="51"/>
  <c r="Y84" i="51"/>
  <c r="Z96" i="51"/>
  <c r="Z150" i="51"/>
  <c r="T154" i="51"/>
  <c r="Z154" i="51" s="1"/>
  <c r="Y166" i="51"/>
  <c r="Y169" i="51" s="1"/>
  <c r="Y176" i="51" s="1"/>
  <c r="G169" i="51"/>
  <c r="Y93" i="51"/>
  <c r="L107" i="51"/>
  <c r="Z100" i="51"/>
  <c r="Z129" i="51"/>
  <c r="Z166" i="51"/>
  <c r="Y108" i="51"/>
  <c r="Z108" i="51"/>
  <c r="Z89" i="51"/>
  <c r="Y92" i="51"/>
  <c r="Y88" i="51"/>
  <c r="Y83" i="51"/>
  <c r="Y103" i="51" s="1"/>
  <c r="T103" i="51"/>
  <c r="Y114" i="51"/>
  <c r="Y125" i="51"/>
  <c r="Y137" i="51"/>
  <c r="Y87" i="51"/>
  <c r="Y95" i="51"/>
  <c r="Y99" i="51"/>
  <c r="Y106" i="51"/>
  <c r="Y123" i="51" s="1"/>
  <c r="Y110" i="51"/>
  <c r="Z118" i="51"/>
  <c r="Y121" i="51"/>
  <c r="Z133" i="51"/>
  <c r="Z141" i="51"/>
  <c r="Y153" i="51"/>
  <c r="T161" i="51"/>
  <c r="Z161" i="51" s="1"/>
  <c r="L173" i="51"/>
  <c r="L84" i="51"/>
  <c r="Z85" i="51"/>
  <c r="Y97" i="51"/>
  <c r="Z101" i="51"/>
  <c r="L122" i="51"/>
  <c r="Z107" i="51"/>
  <c r="AA87" i="51"/>
  <c r="G127" i="51"/>
  <c r="I78" i="51" s="1"/>
  <c r="T127" i="51"/>
  <c r="L158" i="51"/>
  <c r="Y115" i="51"/>
  <c r="Y119" i="51"/>
  <c r="Y126" i="51"/>
  <c r="Y130" i="51"/>
  <c r="Y134" i="51"/>
  <c r="Y146" i="51" s="1"/>
  <c r="Y138" i="51"/>
  <c r="Y142" i="51"/>
  <c r="Y158" i="51"/>
  <c r="Y175" i="51"/>
  <c r="W176" i="51" s="1"/>
  <c r="L176" i="51" l="1"/>
  <c r="K176" i="51"/>
  <c r="J176" i="51"/>
  <c r="J179" i="51" s="1"/>
  <c r="Y127" i="51"/>
  <c r="Y179" i="51" s="1"/>
  <c r="T179" i="51"/>
  <c r="J161" i="51"/>
  <c r="L161" i="51"/>
  <c r="L179" i="51" s="1"/>
  <c r="E70" i="51" s="1"/>
  <c r="K161" i="51"/>
  <c r="G179" i="51"/>
  <c r="I79" i="51" s="1"/>
  <c r="Z127" i="51"/>
  <c r="V78" i="51"/>
  <c r="Z103" i="51"/>
  <c r="V77" i="51"/>
  <c r="X176" i="51"/>
  <c r="X161" i="51"/>
  <c r="W161" i="51"/>
  <c r="W179" i="51" s="1"/>
  <c r="H186" i="51"/>
  <c r="V79" i="51" l="1"/>
  <c r="G64" i="51" s="1"/>
  <c r="J62" i="51" s="1"/>
  <c r="Z179" i="51"/>
  <c r="E71" i="51"/>
  <c r="X179" i="51"/>
  <c r="K179" i="51"/>
  <c r="E69" i="51" l="1"/>
</calcChain>
</file>

<file path=xl/sharedStrings.xml><?xml version="1.0" encoding="utf-8"?>
<sst xmlns="http://schemas.openxmlformats.org/spreadsheetml/2006/main" count="1800" uniqueCount="1064">
  <si>
    <t>IP</t>
  </si>
  <si>
    <t>BLAZING PEARLS</t>
  </si>
  <si>
    <t>ID 1 3 8 - B I G   B O L A    T E C A M A C H A L C O</t>
  </si>
  <si>
    <t>TOP3</t>
  </si>
  <si>
    <t>PRWP</t>
  </si>
  <si>
    <t>TB2</t>
  </si>
  <si>
    <t>DB</t>
  </si>
  <si>
    <t>BST</t>
  </si>
  <si>
    <t>CALA</t>
  </si>
  <si>
    <t>LOTB</t>
  </si>
  <si>
    <t>ISLA 5</t>
  </si>
  <si>
    <t>25c</t>
  </si>
  <si>
    <t>NT</t>
  </si>
  <si>
    <t>TMB</t>
  </si>
  <si>
    <t>GOLM</t>
  </si>
  <si>
    <t>IGT</t>
  </si>
  <si>
    <t>SCIGA</t>
  </si>
  <si>
    <t>ACCESO A FUMAR</t>
  </si>
  <si>
    <t>BRYKE</t>
  </si>
  <si>
    <t>TM</t>
  </si>
  <si>
    <t>BLE</t>
  </si>
  <si>
    <t>B</t>
  </si>
  <si>
    <t>MIN JUG 2.00</t>
  </si>
  <si>
    <t>MIN JUG 2.50</t>
  </si>
  <si>
    <t>ISLA 1</t>
  </si>
  <si>
    <t>50C</t>
  </si>
  <si>
    <t>ISLA 2</t>
  </si>
  <si>
    <t>MIN JUG 3.40 WLEG / CHSTS 3.75</t>
  </si>
  <si>
    <t>END CAP DL3</t>
  </si>
  <si>
    <t>HOT</t>
  </si>
  <si>
    <t>ELK GRN</t>
  </si>
  <si>
    <t>EK DB</t>
  </si>
  <si>
    <t>EK GDICE</t>
  </si>
  <si>
    <t>SIGN EK-2</t>
  </si>
  <si>
    <t>GO PWR</t>
  </si>
  <si>
    <t>ELK BLU</t>
  </si>
  <si>
    <t>EK P4</t>
  </si>
  <si>
    <t>BARRA</t>
  </si>
  <si>
    <t>CAJAS</t>
  </si>
  <si>
    <t>10C</t>
  </si>
  <si>
    <t>SIGN KING</t>
  </si>
  <si>
    <t>5C</t>
  </si>
  <si>
    <t>5c</t>
  </si>
  <si>
    <t>SIGN FUFRGS-2</t>
  </si>
  <si>
    <t>MIN JUG 3.40</t>
  </si>
  <si>
    <t>DRAGON LINK</t>
  </si>
  <si>
    <t>SIGN MKING-2</t>
  </si>
  <si>
    <t>ISLA 3</t>
  </si>
  <si>
    <t>50c</t>
  </si>
  <si>
    <t>ISLA 4</t>
  </si>
  <si>
    <t xml:space="preserve">SPORT </t>
  </si>
  <si>
    <t>AR</t>
  </si>
  <si>
    <t>AW</t>
  </si>
  <si>
    <t>SPI</t>
  </si>
  <si>
    <t>LMP SPI</t>
  </si>
  <si>
    <t xml:space="preserve">BOOK </t>
  </si>
  <si>
    <t>LMP TCWY</t>
  </si>
  <si>
    <t>ESCALERA</t>
  </si>
  <si>
    <t>EGT</t>
  </si>
  <si>
    <t>BAÑOS</t>
  </si>
  <si>
    <t>AFI</t>
  </si>
  <si>
    <t>ENTRADA PRINCIPAL</t>
  </si>
  <si>
    <t>TOTAL SALA</t>
  </si>
  <si>
    <t>ANTERIOR THERMO ENTREGADO</t>
  </si>
  <si>
    <t>THERMO ACTUAL</t>
  </si>
  <si>
    <t>2308-15</t>
  </si>
  <si>
    <t>FECHA</t>
  </si>
  <si>
    <t>SEMANA</t>
  </si>
  <si>
    <t>TOTAL ZITRO</t>
  </si>
  <si>
    <t>S13 a S24</t>
  </si>
  <si>
    <t>TOTAL</t>
  </si>
  <si>
    <t>F POWER</t>
  </si>
  <si>
    <t>SIN F POWER</t>
  </si>
  <si>
    <t>VS</t>
  </si>
  <si>
    <t>39 MAQ.</t>
  </si>
  <si>
    <t>TOTAL MAQUINAS CON 25C</t>
  </si>
  <si>
    <t>COIN IN X MAQ</t>
  </si>
  <si>
    <t>TOTAL MAQUINAS CON 50C</t>
  </si>
  <si>
    <t>MEDIA</t>
  </si>
  <si>
    <t>OCUPACIÓN</t>
  </si>
  <si>
    <t>TOTAL BLACK</t>
  </si>
  <si>
    <t>% DEV</t>
  </si>
  <si>
    <t>TOTAL BLUE</t>
  </si>
  <si>
    <t>AP X PART</t>
  </si>
  <si>
    <t>TOTAL FUSION</t>
  </si>
  <si>
    <t>PART X MAQ X DIA</t>
  </si>
  <si>
    <t>TABLA DE JUEGOS ZITRO</t>
  </si>
  <si>
    <t>MAQUINAS CON 25C FUMAR</t>
  </si>
  <si>
    <t>MAQUINAS CON 25C NO FUMAR</t>
  </si>
  <si>
    <t>TABLA COMPETENCIA</t>
  </si>
  <si>
    <t>MAQUINAS CON 50C FUMAR</t>
  </si>
  <si>
    <t>MAQUINAS CON 50C NO FUMAR</t>
  </si>
  <si>
    <t>EIBE</t>
  </si>
  <si>
    <t>LUDICUS/IGT Bingo</t>
  </si>
  <si>
    <t>TOTAL FUMAR FAMILIA POWER</t>
  </si>
  <si>
    <t>TOTAL NO FUMAR FAMILIA POWER</t>
  </si>
  <si>
    <t>PROVEEDOR</t>
  </si>
  <si>
    <t>MAQUINAS</t>
  </si>
  <si>
    <t>% SALA</t>
  </si>
  <si>
    <t>ACE BONUS</t>
  </si>
  <si>
    <t>ACB</t>
  </si>
  <si>
    <t>BARON ROJO</t>
  </si>
  <si>
    <t>BR</t>
  </si>
  <si>
    <t>TOTAL FUMAR BISONTE / BINGO STORY</t>
  </si>
  <si>
    <t>TOTAL NO FUMAR BISONTE / BINGO STORY</t>
  </si>
  <si>
    <t>B I N G O</t>
  </si>
  <si>
    <t>ACE MANIA</t>
  </si>
  <si>
    <t>ACM</t>
  </si>
  <si>
    <t>BEE WILD</t>
  </si>
  <si>
    <t>BW</t>
  </si>
  <si>
    <t>TOTAL FUMAR SALA</t>
  </si>
  <si>
    <t>TOTAL NO FUMAR SALA</t>
  </si>
  <si>
    <t>ALL STAR</t>
  </si>
  <si>
    <t>ALLSTR</t>
  </si>
  <si>
    <t>BICHOS PARTY</t>
  </si>
  <si>
    <t>BP</t>
  </si>
  <si>
    <t>AMBRA GAMING</t>
  </si>
  <si>
    <t>AMBRA</t>
  </si>
  <si>
    <t>BEACH BINGO</t>
  </si>
  <si>
    <t>BCHB</t>
  </si>
  <si>
    <t>BING KONG</t>
  </si>
  <si>
    <t>BK</t>
  </si>
  <si>
    <t>FAMILIA POWER</t>
  </si>
  <si>
    <t>FUSION</t>
  </si>
  <si>
    <t>BLACK</t>
  </si>
  <si>
    <t>BLUE</t>
  </si>
  <si>
    <t>TOTAL JUEGO</t>
  </si>
  <si>
    <t>METRONIA / BEMEX</t>
  </si>
  <si>
    <t>MET</t>
  </si>
  <si>
    <t>BEST BINGO</t>
  </si>
  <si>
    <t>BB</t>
  </si>
  <si>
    <t>BINGO GRAND HIT</t>
  </si>
  <si>
    <t>BGHI</t>
  </si>
  <si>
    <t>BEER, CHEERS FEST</t>
  </si>
  <si>
    <t>BEER</t>
  </si>
  <si>
    <t>SABIA</t>
  </si>
  <si>
    <t>SAB</t>
  </si>
  <si>
    <t>BIG SCORE</t>
  </si>
  <si>
    <t>BIGCRE</t>
  </si>
  <si>
    <t xml:space="preserve">BINGO JOKER </t>
  </si>
  <si>
    <t>BJK</t>
  </si>
  <si>
    <t>BEST TOP 3 BONUS</t>
  </si>
  <si>
    <t>*</t>
  </si>
  <si>
    <t>FBM</t>
  </si>
  <si>
    <t>BINGO MAN</t>
  </si>
  <si>
    <t>BMAN</t>
  </si>
  <si>
    <t>BINGO LINK 10</t>
  </si>
  <si>
    <t>BLINK10</t>
  </si>
  <si>
    <t>DOBLE BONUS</t>
  </si>
  <si>
    <t>JESTRONIC</t>
  </si>
  <si>
    <t>BINGOL</t>
  </si>
  <si>
    <t>BGOL</t>
  </si>
  <si>
    <t>BINGO LINK DOBLE BONUS</t>
  </si>
  <si>
    <t>BLINKDB</t>
  </si>
  <si>
    <t>DRAGON BINGO</t>
  </si>
  <si>
    <t>DBF</t>
  </si>
  <si>
    <t>DRAGONB</t>
  </si>
  <si>
    <t>R. FRANCO</t>
  </si>
  <si>
    <t>FRANCO</t>
  </si>
  <si>
    <t>BINGOLE</t>
  </si>
  <si>
    <t>BINGO LINK GOLDEN</t>
  </si>
  <si>
    <t>BLINKG</t>
  </si>
  <si>
    <t>GO POWER</t>
  </si>
  <si>
    <t>KONAMI BINGO</t>
  </si>
  <si>
    <t>KNBINGO</t>
  </si>
  <si>
    <t>BINGOLE PLUS</t>
  </si>
  <si>
    <t>BLEP</t>
  </si>
  <si>
    <t>BINGO JONES</t>
  </si>
  <si>
    <t>BJN</t>
  </si>
  <si>
    <t>GOD STORM</t>
  </si>
  <si>
    <t>TBD2</t>
  </si>
  <si>
    <t>GSTORM</t>
  </si>
  <si>
    <t>WINPOT / DREIDEL</t>
  </si>
  <si>
    <t>WINPOT</t>
  </si>
  <si>
    <t>BINGOLE PRIME</t>
  </si>
  <si>
    <t>BLEPm</t>
  </si>
  <si>
    <t>BUFFALO KINGS</t>
  </si>
  <si>
    <t>BUFF</t>
  </si>
  <si>
    <t>HOT DICE</t>
  </si>
  <si>
    <t>SLEIC (OTIUM - UNIDESA)</t>
  </si>
  <si>
    <t>SLEIC</t>
  </si>
  <si>
    <t>BUBBLE MANIA</t>
  </si>
  <si>
    <r>
      <rPr>
        <b/>
        <sz val="12"/>
        <color theme="7" tint="0.39997558519241921"/>
        <rFont val="Calibri"/>
        <family val="2"/>
        <scheme val="minor"/>
      </rPr>
      <t>BUB</t>
    </r>
    <r>
      <rPr>
        <b/>
        <sz val="12"/>
        <color rgb="FFFFFF00"/>
        <rFont val="Calibri"/>
        <family val="2"/>
        <scheme val="minor"/>
      </rPr>
      <t>BLE</t>
    </r>
  </si>
  <si>
    <t>DRAGONS TREASURE</t>
  </si>
  <si>
    <t>DRTR</t>
  </si>
  <si>
    <t>HOT DICE MULTI</t>
  </si>
  <si>
    <t>HOTM</t>
  </si>
  <si>
    <t>PACHINKO</t>
  </si>
  <si>
    <t>CAPITAN PARROT</t>
  </si>
  <si>
    <t>CP</t>
  </si>
  <si>
    <t>FIGHT AND WIN</t>
  </si>
  <si>
    <t>FGTW</t>
  </si>
  <si>
    <t>BOBBY DOGGIE</t>
  </si>
  <si>
    <t>BOBBY</t>
  </si>
  <si>
    <t>BLUBERI</t>
  </si>
  <si>
    <t>BLUB</t>
  </si>
  <si>
    <t>CHICKEN FARM</t>
  </si>
  <si>
    <t>CFM</t>
  </si>
  <si>
    <t>FLYING PIGS</t>
  </si>
  <si>
    <t>FPIG</t>
  </si>
  <si>
    <t>LAMP POWER</t>
  </si>
  <si>
    <t>LMP PWR</t>
  </si>
  <si>
    <t>BETSTONE BINGO</t>
  </si>
  <si>
    <t>BTSB</t>
  </si>
  <si>
    <t>-</t>
  </si>
  <si>
    <t>CINE BINGO</t>
  </si>
  <si>
    <t>CINEB</t>
  </si>
  <si>
    <t>FUNNY CREATURES</t>
  </si>
  <si>
    <t>FC</t>
  </si>
  <si>
    <t>LAMP MEX</t>
  </si>
  <si>
    <t>LMP MEX</t>
  </si>
  <si>
    <t>SHOWBALL</t>
  </si>
  <si>
    <t>SHOW</t>
  </si>
  <si>
    <t>CINE BINGO MULTI</t>
  </si>
  <si>
    <t>MCINEB</t>
  </si>
  <si>
    <t>HUNGRY FISH</t>
  </si>
  <si>
    <t>HUF</t>
  </si>
  <si>
    <t>Pi</t>
  </si>
  <si>
    <t>PI</t>
  </si>
  <si>
    <t>LATINA WORLD GAMING</t>
  </si>
  <si>
    <t>LATINWG</t>
  </si>
  <si>
    <t>CIRCUS</t>
  </si>
  <si>
    <t>CIR</t>
  </si>
  <si>
    <t>LAS MIL Y UNA NOCHES</t>
  </si>
  <si>
    <t>MYUN</t>
  </si>
  <si>
    <t>PIM PAM PUM</t>
  </si>
  <si>
    <t>PPPUM</t>
  </si>
  <si>
    <t>LUD/IGT B</t>
  </si>
  <si>
    <t>DINO BINGO</t>
  </si>
  <si>
    <t>DINO</t>
  </si>
  <si>
    <t>LA CHIRIPA</t>
  </si>
  <si>
    <t>LACHI</t>
  </si>
  <si>
    <t>POWER BONUS</t>
  </si>
  <si>
    <t>PWRB</t>
  </si>
  <si>
    <t>AGS</t>
  </si>
  <si>
    <t>AGSB</t>
  </si>
  <si>
    <t>DULCE MANIA</t>
  </si>
  <si>
    <t>DULM</t>
  </si>
  <si>
    <t>LOS GNOMOS</t>
  </si>
  <si>
    <t>LGMS</t>
  </si>
  <si>
    <t>POWER FORCE</t>
  </si>
  <si>
    <t>PWF</t>
  </si>
  <si>
    <t>VDK2</t>
  </si>
  <si>
    <t>VDK</t>
  </si>
  <si>
    <t>EL DORADO BINGO</t>
  </si>
  <si>
    <t>DORAD</t>
  </si>
  <si>
    <t>LUCKY PRINCESS</t>
  </si>
  <si>
    <t>LKP</t>
  </si>
  <si>
    <t>POWER FOUR</t>
  </si>
  <si>
    <t>P4</t>
  </si>
  <si>
    <t>DEGESTEC BINGO</t>
  </si>
  <si>
    <t>DEGESTEC B</t>
  </si>
  <si>
    <t>EL PEZ</t>
  </si>
  <si>
    <t>PEZ</t>
  </si>
  <si>
    <t>MARTINS FORTUNE</t>
  </si>
  <si>
    <t>MARTF</t>
  </si>
  <si>
    <t>POWER PRIZE</t>
  </si>
  <si>
    <t>JCB GAMING</t>
  </si>
  <si>
    <t>JCB</t>
  </si>
  <si>
    <t>FIESTA BINGO</t>
  </si>
  <si>
    <t>FSTB</t>
  </si>
  <si>
    <t>MEDIEBALL</t>
  </si>
  <si>
    <t>MEB</t>
  </si>
  <si>
    <t>REVOLUTION</t>
  </si>
  <si>
    <t>REV</t>
  </si>
  <si>
    <t>RCT BINGO</t>
  </si>
  <si>
    <t>RCT B</t>
  </si>
  <si>
    <t>FIRST MANIA</t>
  </si>
  <si>
    <t>FM</t>
  </si>
  <si>
    <t>MULTI BINGO PACK</t>
  </si>
  <si>
    <t>MBGP</t>
  </si>
  <si>
    <t>THE COURSE OF KUKULKAN</t>
  </si>
  <si>
    <t>TCKKK</t>
  </si>
  <si>
    <t>INTERVISION BINGO</t>
  </si>
  <si>
    <t>INTVB</t>
  </si>
  <si>
    <t>FOUR BINGO</t>
  </si>
  <si>
    <t>FB</t>
  </si>
  <si>
    <t xml:space="preserve">NEW BINGO CITY </t>
  </si>
  <si>
    <t>BCTY</t>
  </si>
  <si>
    <t>TRIPLE BONUS 2</t>
  </si>
  <si>
    <t>OTROS BINGO</t>
  </si>
  <si>
    <t>OTROS B</t>
  </si>
  <si>
    <t>GAMBETA BINGO</t>
  </si>
  <si>
    <t>GAMB</t>
  </si>
  <si>
    <t>OLYMPUS</t>
  </si>
  <si>
    <t>OLYM</t>
  </si>
  <si>
    <t>WESTERN DICE</t>
  </si>
  <si>
    <t>WDICE</t>
  </si>
  <si>
    <t>R O D I L L O S</t>
  </si>
  <si>
    <t>GLADIATOR</t>
  </si>
  <si>
    <t>GLAR</t>
  </si>
  <si>
    <t>PANDA 88</t>
  </si>
  <si>
    <t>PAN88</t>
  </si>
  <si>
    <t>AINSWORTH</t>
  </si>
  <si>
    <t>GOL MANIA</t>
  </si>
  <si>
    <t>PICOSOMETRO</t>
  </si>
  <si>
    <t>PICO</t>
  </si>
  <si>
    <t>BISONTE / BINGO STORY</t>
  </si>
  <si>
    <t>ADMIRAL</t>
  </si>
  <si>
    <t>ADMI</t>
  </si>
  <si>
    <t>GOL MANIA PLUS</t>
  </si>
  <si>
    <t>GOLMP</t>
  </si>
  <si>
    <t>PIG WIZARD</t>
  </si>
  <si>
    <t>PGW</t>
  </si>
  <si>
    <t>BINGO STORY</t>
  </si>
  <si>
    <t>ATLAS</t>
  </si>
  <si>
    <t>AGT</t>
  </si>
  <si>
    <t>GOL MANIA PRIME</t>
  </si>
  <si>
    <t>GOLMPm</t>
  </si>
  <si>
    <t>PIRATES OF THE BINGO SEA</t>
  </si>
  <si>
    <t>PSEA</t>
  </si>
  <si>
    <t>BLACK LOOTER</t>
  </si>
  <si>
    <t>GDICE</t>
  </si>
  <si>
    <t>BLOOTER</t>
  </si>
  <si>
    <t>ALFASTREET</t>
  </si>
  <si>
    <t>AST</t>
  </si>
  <si>
    <t>HOT CHILLI</t>
  </si>
  <si>
    <t>HTC</t>
  </si>
  <si>
    <t>PLAYA BINGO</t>
  </si>
  <si>
    <t>PLAB</t>
  </si>
  <si>
    <t>EGYPT TREASURES</t>
  </si>
  <si>
    <t>EGYTRE</t>
  </si>
  <si>
    <t>KATANA BINGO</t>
  </si>
  <si>
    <t>KATNA</t>
  </si>
  <si>
    <t>REYES DEL RING</t>
  </si>
  <si>
    <t>RDR</t>
  </si>
  <si>
    <t>FRATELLI PIZZA</t>
  </si>
  <si>
    <t>FRPIZZA</t>
  </si>
  <si>
    <t>AMATIC</t>
  </si>
  <si>
    <t>AMA</t>
  </si>
  <si>
    <t>LE BON BON</t>
  </si>
  <si>
    <t>LBON</t>
  </si>
  <si>
    <t>ROUTE 66</t>
  </si>
  <si>
    <t>R66</t>
  </si>
  <si>
    <t>GO DICE</t>
  </si>
  <si>
    <t>AMUSGO</t>
  </si>
  <si>
    <t>AMGO</t>
  </si>
  <si>
    <t>LOCOMODIN</t>
  </si>
  <si>
    <t>LMDIN</t>
  </si>
  <si>
    <t>ROUTE 66 MULTI</t>
  </si>
  <si>
    <t>R66M</t>
  </si>
  <si>
    <t>HALLO WIN</t>
  </si>
  <si>
    <t>HALLO</t>
  </si>
  <si>
    <t>APEX</t>
  </si>
  <si>
    <t>LOCOMODIN PLUS</t>
  </si>
  <si>
    <t>LMDIN P</t>
  </si>
  <si>
    <t>ROUTE TO WIN</t>
  </si>
  <si>
    <t>RTW</t>
  </si>
  <si>
    <t>LAMP BINGO STORY</t>
  </si>
  <si>
    <t>LMP STO</t>
  </si>
  <si>
    <t>ARISTOCRAT</t>
  </si>
  <si>
    <t>LOCOMODIN PRIME</t>
  </si>
  <si>
    <t>LMDIN Pm</t>
  </si>
  <si>
    <t>RULETA DE LA SUERTE</t>
  </si>
  <si>
    <t>RDS</t>
  </si>
  <si>
    <t>LAMP HALLO WIN</t>
  </si>
  <si>
    <t>LMP HALLO</t>
  </si>
  <si>
    <t>ARUZE</t>
  </si>
  <si>
    <t>ARU</t>
  </si>
  <si>
    <t>LOVE</t>
  </si>
  <si>
    <t>LV</t>
  </si>
  <si>
    <t>SLOT 66</t>
  </si>
  <si>
    <t>S66</t>
  </si>
  <si>
    <t>MONEY WISE PANDA</t>
  </si>
  <si>
    <t>MWPANDA</t>
  </si>
  <si>
    <t>ASTRO</t>
  </si>
  <si>
    <t>LUCKY NOTE</t>
  </si>
  <si>
    <t>LN</t>
  </si>
  <si>
    <t>TESORO DEL CARIBE</t>
  </si>
  <si>
    <t>TC</t>
  </si>
  <si>
    <t>KINGO</t>
  </si>
  <si>
    <t>ATRONIC</t>
  </si>
  <si>
    <t>AT</t>
  </si>
  <si>
    <t>MAGIC CELTIC BINGO</t>
  </si>
  <si>
    <t>MAGCELT</t>
  </si>
  <si>
    <t>VIKINGS</t>
  </si>
  <si>
    <t>VK</t>
  </si>
  <si>
    <t>KINGO STORY</t>
  </si>
  <si>
    <t>KST</t>
  </si>
  <si>
    <t>AURIFY</t>
  </si>
  <si>
    <t>MAGIC DRAGON</t>
  </si>
  <si>
    <t>MAGD</t>
  </si>
  <si>
    <t>WILD TRAIN</t>
  </si>
  <si>
    <t>WDT</t>
  </si>
  <si>
    <t>LAMP BOBBY</t>
  </si>
  <si>
    <t>LMP BOBBY</t>
  </si>
  <si>
    <t>AVANTIME</t>
  </si>
  <si>
    <t>AV</t>
  </si>
  <si>
    <t>MASTER SHOW</t>
  </si>
  <si>
    <t>MSTRSH</t>
  </si>
  <si>
    <t>WILD WEST</t>
  </si>
  <si>
    <t>WT</t>
  </si>
  <si>
    <t>LAMP MUSTANG</t>
  </si>
  <si>
    <t>LMP MUS</t>
  </si>
  <si>
    <t>BELATRA (MULTIVISION)</t>
  </si>
  <si>
    <t>BEL</t>
  </si>
  <si>
    <t>MIN LUN LUO GOLDEN DRAGON</t>
  </si>
  <si>
    <t>MLUGD</t>
  </si>
  <si>
    <t>WIN &amp; ROLL</t>
  </si>
  <si>
    <t>WNRLL</t>
  </si>
  <si>
    <t>MAORIS LAND</t>
  </si>
  <si>
    <t>MAORIS</t>
  </si>
  <si>
    <t>BETSTONE</t>
  </si>
  <si>
    <t>BTS</t>
  </si>
  <si>
    <t>MR.X</t>
  </si>
  <si>
    <t>MX</t>
  </si>
  <si>
    <t>TOTAL LUDICUS</t>
  </si>
  <si>
    <t>ROYAL CRAPS</t>
  </si>
  <si>
    <t>RCRP</t>
  </si>
  <si>
    <t>BLU</t>
  </si>
  <si>
    <t>MULTI MANIA</t>
  </si>
  <si>
    <t>MULMA</t>
  </si>
  <si>
    <t>ROYAL FU</t>
  </si>
  <si>
    <t>RFU</t>
  </si>
  <si>
    <t>BRAVO GAMES</t>
  </si>
  <si>
    <t>BGAMES</t>
  </si>
  <si>
    <t>MULTI TRIPLE</t>
  </si>
  <si>
    <t>MT</t>
  </si>
  <si>
    <t>ROYAL TROPICAL BINGO</t>
  </si>
  <si>
    <t>RTROP</t>
  </si>
  <si>
    <t>MULTIBINGO</t>
  </si>
  <si>
    <t>MUL</t>
  </si>
  <si>
    <t>30 MANIA BONUS</t>
  </si>
  <si>
    <t>30MB</t>
  </si>
  <si>
    <t>THE GREAT WEALTH</t>
  </si>
  <si>
    <t>TGREATW</t>
  </si>
  <si>
    <t>CASINO TECHNOLOGY</t>
  </si>
  <si>
    <t>CT</t>
  </si>
  <si>
    <t>MYKONOS BINGO</t>
  </si>
  <si>
    <t>MYK</t>
  </si>
  <si>
    <t>ANCIENT TROPIC</t>
  </si>
  <si>
    <t>ANTRP</t>
  </si>
  <si>
    <t>CELEBRITY</t>
  </si>
  <si>
    <t>CELE</t>
  </si>
  <si>
    <t>NEW MANIA</t>
  </si>
  <si>
    <t>NWM</t>
  </si>
  <si>
    <t>ARTIC BLAST</t>
  </si>
  <si>
    <t>ARTB</t>
  </si>
  <si>
    <t>PRIZE UP</t>
  </si>
  <si>
    <t>CV GAMES</t>
  </si>
  <si>
    <t>CV G</t>
  </si>
  <si>
    <t>NEW TRIPLE</t>
  </si>
  <si>
    <t>BASKETBALL BINGO</t>
  </si>
  <si>
    <t>BKTB</t>
  </si>
  <si>
    <t>PRIZE UP DOBLE BONUS</t>
  </si>
  <si>
    <t>PZUPDB</t>
  </si>
  <si>
    <t>CYBERVIEW</t>
  </si>
  <si>
    <t>CYB</t>
  </si>
  <si>
    <t>NIGHT BINGO</t>
  </si>
  <si>
    <t>NBNG</t>
  </si>
  <si>
    <t>BINGO BLAST</t>
  </si>
  <si>
    <t>BIB</t>
  </si>
  <si>
    <t>PRIZE UP GO DICE</t>
  </si>
  <si>
    <t>PZUPGDICE</t>
  </si>
  <si>
    <t>DEGESTEC</t>
  </si>
  <si>
    <t>OASIS BINGO</t>
  </si>
  <si>
    <t>OASIS</t>
  </si>
  <si>
    <t>BINGO BLAST BONUS</t>
  </si>
  <si>
    <t>BIBB</t>
  </si>
  <si>
    <t>DIGIDEAL</t>
  </si>
  <si>
    <t>DGD</t>
  </si>
  <si>
    <t>OK BINGO</t>
  </si>
  <si>
    <t>OB</t>
  </si>
  <si>
    <t>BINGO BLAST PIRATES</t>
  </si>
  <si>
    <t>BIBP</t>
  </si>
  <si>
    <t>RESTO FAM</t>
  </si>
  <si>
    <t>DIXPA GAMES</t>
  </si>
  <si>
    <t>DIXG</t>
  </si>
  <si>
    <t>OLE</t>
  </si>
  <si>
    <t>BINGO PILIPINO</t>
  </si>
  <si>
    <t>BPILI</t>
  </si>
  <si>
    <t>BEETLE 3</t>
  </si>
  <si>
    <t>BEETLE BINGO (BDR)</t>
  </si>
  <si>
    <t>BE3</t>
  </si>
  <si>
    <t>E-GAMING (MULTI JUEGOS)</t>
  </si>
  <si>
    <t>E-GAM</t>
  </si>
  <si>
    <t>PANDA SHOW</t>
  </si>
  <si>
    <t>PNDSH</t>
  </si>
  <si>
    <t>BINGO RANCHO</t>
  </si>
  <si>
    <t>BRANCH</t>
  </si>
  <si>
    <t>BEETLE JEWELS RED</t>
  </si>
  <si>
    <t>BEJR</t>
  </si>
  <si>
    <t>EIBE SLOTS OTIUM</t>
  </si>
  <si>
    <t>EIBE-SLTOTIUM</t>
  </si>
  <si>
    <t xml:space="preserve">PILIBINGO </t>
  </si>
  <si>
    <t>PB</t>
  </si>
  <si>
    <t>BINGO-GO</t>
  </si>
  <si>
    <t>BGO</t>
  </si>
  <si>
    <t>CALACA</t>
  </si>
  <si>
    <t>EIBE SLOTS</t>
  </si>
  <si>
    <t>EIBE-SLT</t>
  </si>
  <si>
    <t>RICO EL TOPO</t>
  </si>
  <si>
    <t>RET</t>
  </si>
  <si>
    <t>BINGOLICIOUS</t>
  </si>
  <si>
    <t>BLIC</t>
  </si>
  <si>
    <t>DIAMOND WISH</t>
  </si>
  <si>
    <t>DWISH</t>
  </si>
  <si>
    <t>ENCORE</t>
  </si>
  <si>
    <t>ENCO</t>
  </si>
  <si>
    <t>RIMBA BINGO</t>
  </si>
  <si>
    <t>RIMB</t>
  </si>
  <si>
    <t>CASH CLOCK</t>
  </si>
  <si>
    <t>$CLK</t>
  </si>
  <si>
    <t>DREAM</t>
  </si>
  <si>
    <t>BDR</t>
  </si>
  <si>
    <t>RODEO BINGO</t>
  </si>
  <si>
    <t>RODB</t>
  </si>
  <si>
    <t>CATCH THE GOLD</t>
  </si>
  <si>
    <t>CATG</t>
  </si>
  <si>
    <t>FIREWORKS FU RED</t>
  </si>
  <si>
    <t>FIREFUR</t>
  </si>
  <si>
    <t>EVERI</t>
  </si>
  <si>
    <t>EVER</t>
  </si>
  <si>
    <t>ROMA BINGO</t>
  </si>
  <si>
    <t>ROMB</t>
  </si>
  <si>
    <t>CHAMPION BINGO</t>
  </si>
  <si>
    <t>CHBIN</t>
  </si>
  <si>
    <t>FISH DOUBLE</t>
  </si>
  <si>
    <t>FSHDB</t>
  </si>
  <si>
    <t>FBM RODILLOS</t>
  </si>
  <si>
    <t>FBMRO</t>
  </si>
  <si>
    <t>ROYAL TRIPLE</t>
  </si>
  <si>
    <t>RT</t>
  </si>
  <si>
    <t>CHICHEN ITZA</t>
  </si>
  <si>
    <t>CHIT</t>
  </si>
  <si>
    <t>LAMP SPIN</t>
  </si>
  <si>
    <t>GAME MEDIA WORKS</t>
  </si>
  <si>
    <t>GMW</t>
  </si>
  <si>
    <t>SIX BINGO</t>
  </si>
  <si>
    <t>SIXB</t>
  </si>
  <si>
    <t>EASY MONEY BINGO</t>
  </si>
  <si>
    <t>EMB</t>
  </si>
  <si>
    <t>LAMP TACOWAY</t>
  </si>
  <si>
    <t>GAMES UNLIMITED</t>
  </si>
  <si>
    <t>GU</t>
  </si>
  <si>
    <t>SKY BONUS</t>
  </si>
  <si>
    <t>SKB</t>
  </si>
  <si>
    <t>GOLD FEVER</t>
  </si>
  <si>
    <t>GLDF</t>
  </si>
  <si>
    <t>LOTERIA BONUS</t>
  </si>
  <si>
    <t>GAMINATOR</t>
  </si>
  <si>
    <t>GTOR</t>
  </si>
  <si>
    <t>SMASH BINGO</t>
  </si>
  <si>
    <t>SMB</t>
  </si>
  <si>
    <t>GOLDEN BALL</t>
  </si>
  <si>
    <t>GBALL</t>
  </si>
  <si>
    <t>MULTI SPIN BINGO</t>
  </si>
  <si>
    <t>SPIM</t>
  </si>
  <si>
    <t>GOLDEN GAMING</t>
  </si>
  <si>
    <t>GGAM</t>
  </si>
  <si>
    <t>TAJ BINGO</t>
  </si>
  <si>
    <t>TAJ</t>
  </si>
  <si>
    <t>GOLDEN CITY</t>
  </si>
  <si>
    <t>GCT</t>
  </si>
  <si>
    <t>SPELLS AND POTIONS</t>
  </si>
  <si>
    <t>TCM</t>
  </si>
  <si>
    <t>SPELLS</t>
  </si>
  <si>
    <t>GOLDEN SYSTEM</t>
  </si>
  <si>
    <t>GSYM</t>
  </si>
  <si>
    <t>TOP PREMIUM</t>
  </si>
  <si>
    <t>TOP</t>
  </si>
  <si>
    <t>GOLDEN LUCK</t>
  </si>
  <si>
    <t>GLK</t>
  </si>
  <si>
    <t>SPIN BINGO</t>
  </si>
  <si>
    <t>GT SOURCE</t>
  </si>
  <si>
    <t>GTS</t>
  </si>
  <si>
    <t>TOWER LINK</t>
  </si>
  <si>
    <t>TLINK</t>
  </si>
  <si>
    <t>GOLDEN METROPOLIS</t>
  </si>
  <si>
    <t>GMET</t>
  </si>
  <si>
    <t>TACOMANIA</t>
  </si>
  <si>
    <t>HEAL TECNOLOGY</t>
  </si>
  <si>
    <t>HTEC</t>
  </si>
  <si>
    <t>TRIPLE BONUS</t>
  </si>
  <si>
    <t>TB</t>
  </si>
  <si>
    <t>GOLDEN NEW YEAR</t>
  </si>
  <si>
    <t>GNWY</t>
  </si>
  <si>
    <t>TACOWAY</t>
  </si>
  <si>
    <t>TCWY</t>
  </si>
  <si>
    <t>ID GAMMING</t>
  </si>
  <si>
    <t>IDG</t>
  </si>
  <si>
    <t>TRIPLE BONUS PLUS</t>
  </si>
  <si>
    <t>TBP</t>
  </si>
  <si>
    <t>HUNT BINGO</t>
  </si>
  <si>
    <t>HB</t>
  </si>
  <si>
    <t>ULTIMO BINGO EN PARIS</t>
  </si>
  <si>
    <t>UBP</t>
  </si>
  <si>
    <t>TRIPLE BONUS PRIME</t>
  </si>
  <si>
    <t>TBPm</t>
  </si>
  <si>
    <t>ICE BLAST</t>
  </si>
  <si>
    <t>ICEB</t>
  </si>
  <si>
    <t>WEALTHY CLUB</t>
  </si>
  <si>
    <t>WCLUB</t>
  </si>
  <si>
    <t>INCREDIBLE TECHNOLOGIES</t>
  </si>
  <si>
    <t>INCTECH</t>
  </si>
  <si>
    <t>TRIPLE EVOLUTION</t>
  </si>
  <si>
    <t>TE</t>
  </si>
  <si>
    <t>KINGDOM GEMS</t>
  </si>
  <si>
    <t>KGEMS</t>
  </si>
  <si>
    <t>INTERACTIVE</t>
  </si>
  <si>
    <t>INTER</t>
  </si>
  <si>
    <t>TRIPLE MANIA</t>
  </si>
  <si>
    <t>MAGIC CHAMPION</t>
  </si>
  <si>
    <t>MGCH</t>
  </si>
  <si>
    <t>INTERBLOCK</t>
  </si>
  <si>
    <t>INTB</t>
  </si>
  <si>
    <t>TRIPLE MANIA BONUS</t>
  </si>
  <si>
    <t>MAGIC MANIA</t>
  </si>
  <si>
    <t>MAGM</t>
  </si>
  <si>
    <t>INTERVISION</t>
  </si>
  <si>
    <t>INTV</t>
  </si>
  <si>
    <t>TRIPLE MANIA BONUS PLUS</t>
  </si>
  <si>
    <t>TMBP</t>
  </si>
  <si>
    <t>MALL MANIA</t>
  </si>
  <si>
    <t>MALLM</t>
  </si>
  <si>
    <t>ENERGY LINK</t>
  </si>
  <si>
    <t>JAMES</t>
  </si>
  <si>
    <t>JMES</t>
  </si>
  <si>
    <t>TRIPLE MANIA BONUS PRIME</t>
  </si>
  <si>
    <t>TMBPm</t>
  </si>
  <si>
    <t>MASSKARA BINGO</t>
  </si>
  <si>
    <t>MSKB</t>
  </si>
  <si>
    <t>ENERGY LINK BLUE</t>
  </si>
  <si>
    <t>JESTRE</t>
  </si>
  <si>
    <t>JES</t>
  </si>
  <si>
    <t>TRIPLE TURBO</t>
  </si>
  <si>
    <t>TT</t>
  </si>
  <si>
    <t>MAYA</t>
  </si>
  <si>
    <t>MY</t>
  </si>
  <si>
    <t>ENERGY LINK GREEN</t>
  </si>
  <si>
    <t>JVL</t>
  </si>
  <si>
    <t>VIKINGS GOLD</t>
  </si>
  <si>
    <t>VKG</t>
  </si>
  <si>
    <t>MEDIEVAL BINGO</t>
  </si>
  <si>
    <t>MDVB</t>
  </si>
  <si>
    <t>ENERGY LINK MEX</t>
  </si>
  <si>
    <t>ELK MEX</t>
  </si>
  <si>
    <t>KONAMI</t>
  </si>
  <si>
    <t>KN</t>
  </si>
  <si>
    <t>WHITE TIGER BINGO</t>
  </si>
  <si>
    <t>WTB</t>
  </si>
  <si>
    <t>MEGA 25</t>
  </si>
  <si>
    <t>MG25</t>
  </si>
  <si>
    <t>ENERGY LINK WEST</t>
  </si>
  <si>
    <t>ELK WST</t>
  </si>
  <si>
    <t>LEGENDARY GAMING/BAUM GAMES</t>
  </si>
  <si>
    <t>BAUM</t>
  </si>
  <si>
    <t>TOTAL EIBE</t>
  </si>
  <si>
    <t>MULTI BINGO</t>
  </si>
  <si>
    <t>MB</t>
  </si>
  <si>
    <t>TOTAL ENERGY LINK</t>
  </si>
  <si>
    <t>MERKUR</t>
  </si>
  <si>
    <t>MER</t>
  </si>
  <si>
    <t>TOTAL MUEBLE O-FUTURE</t>
  </si>
  <si>
    <t>O-FUT</t>
  </si>
  <si>
    <t>MULTI CHAMPION BONUS</t>
  </si>
  <si>
    <t>MCHB</t>
  </si>
  <si>
    <t>MULTI MEDIA GAMES</t>
  </si>
  <si>
    <t>MMG</t>
  </si>
  <si>
    <t>MULTI CHANCE</t>
  </si>
  <si>
    <t>MCH</t>
  </si>
  <si>
    <t>NOVOMATIC</t>
  </si>
  <si>
    <t>NOV</t>
  </si>
  <si>
    <t>MULTI MEGA</t>
  </si>
  <si>
    <t>MM</t>
  </si>
  <si>
    <t>ENERGY LINK 3x5</t>
  </si>
  <si>
    <t>OPERADORA CLASS LK</t>
  </si>
  <si>
    <t>CLASSLK</t>
  </si>
  <si>
    <t>20 GRATIS</t>
  </si>
  <si>
    <t>20G</t>
  </si>
  <si>
    <t>MULTI MEGA BONUS</t>
  </si>
  <si>
    <t>MMB</t>
  </si>
  <si>
    <t>ENERGY LINK DOBLE BONUS</t>
  </si>
  <si>
    <t>ELK DB</t>
  </si>
  <si>
    <t>ORION</t>
  </si>
  <si>
    <t>ORI</t>
  </si>
  <si>
    <t>ASTRAL</t>
  </si>
  <si>
    <t>ASTRA</t>
  </si>
  <si>
    <t>MULTI MEGA ICE BLAST</t>
  </si>
  <si>
    <t>MMIB</t>
  </si>
  <si>
    <t>ENERGY LINK P4 BONUS</t>
  </si>
  <si>
    <t>ELK P4</t>
  </si>
  <si>
    <t>PAULA</t>
  </si>
  <si>
    <t>PAU</t>
  </si>
  <si>
    <t>AVE CAESAR GRATIS</t>
  </si>
  <si>
    <t>ACG</t>
  </si>
  <si>
    <t>MULTI MEGA MILLONAIRE</t>
  </si>
  <si>
    <t>MMBM</t>
  </si>
  <si>
    <t>ENERGY LINK GO DICE</t>
  </si>
  <si>
    <t>ELK GDICE</t>
  </si>
  <si>
    <t>PRIOR 2 ARRIVAL</t>
  </si>
  <si>
    <t>P2A</t>
  </si>
  <si>
    <t>BINGO IMPERIUM XII</t>
  </si>
  <si>
    <t>IMP XII</t>
  </si>
  <si>
    <t>MULTI PLUS</t>
  </si>
  <si>
    <t>MP</t>
  </si>
  <si>
    <t>TOTAL ENERGY LINK 3x5</t>
  </si>
  <si>
    <t>PROMATIC</t>
  </si>
  <si>
    <t>PMAT</t>
  </si>
  <si>
    <t>BINGO TOP GRATIS</t>
  </si>
  <si>
    <t>BNTG</t>
  </si>
  <si>
    <t>MULTI PLUS BONUS</t>
  </si>
  <si>
    <t>MPB</t>
  </si>
  <si>
    <t>RCT</t>
  </si>
  <si>
    <t>BOMBA MULTI GAME</t>
  </si>
  <si>
    <t>BMG</t>
  </si>
  <si>
    <t>PLUS 3</t>
  </si>
  <si>
    <t>P3</t>
  </si>
  <si>
    <t>SB</t>
  </si>
  <si>
    <t>DOBLE GRATIS</t>
  </si>
  <si>
    <t>DMG</t>
  </si>
  <si>
    <t>PLUS 3 BONUS</t>
  </si>
  <si>
    <t>P3B</t>
  </si>
  <si>
    <t>ENERGY KING 3x4</t>
  </si>
  <si>
    <t>LIGHT &amp; WONDER</t>
  </si>
  <si>
    <t>DOBLE MANIA</t>
  </si>
  <si>
    <t>DM</t>
  </si>
  <si>
    <t>PLUS 3 MULTI</t>
  </si>
  <si>
    <t>P3M</t>
  </si>
  <si>
    <t>ENERGY KING TOP</t>
  </si>
  <si>
    <t>EK TOP</t>
  </si>
  <si>
    <t>SCORPIO GAMING INTERNATIONAL</t>
  </si>
  <si>
    <t>SGINT</t>
  </si>
  <si>
    <t>FUSION LINK</t>
  </si>
  <si>
    <t>FLINK</t>
  </si>
  <si>
    <t>RACINGO</t>
  </si>
  <si>
    <t>RACNG</t>
  </si>
  <si>
    <t>ENERGY KING AQUA</t>
  </si>
  <si>
    <t>EK AQUA</t>
  </si>
  <si>
    <t>SEGA SAMMY CREATION</t>
  </si>
  <si>
    <t>SAMMY</t>
  </si>
  <si>
    <t>IMPERIUM</t>
  </si>
  <si>
    <t>ROCK STAR</t>
  </si>
  <si>
    <t>RKS</t>
  </si>
  <si>
    <t>ENERGY KING MEX</t>
  </si>
  <si>
    <t>EK MEX</t>
  </si>
  <si>
    <t>SHOWBALL RODILLOS</t>
  </si>
  <si>
    <t>SHOWRO</t>
  </si>
  <si>
    <t>IMPERIUM GRATIS</t>
  </si>
  <si>
    <t>IMG</t>
  </si>
  <si>
    <t>RUBINGO</t>
  </si>
  <si>
    <t>RBGO</t>
  </si>
  <si>
    <t>ENERGY KING WEST</t>
  </si>
  <si>
    <t>EK WST</t>
  </si>
  <si>
    <t>SLEIC RODILLOS</t>
  </si>
  <si>
    <t>SLERO</t>
  </si>
  <si>
    <t>JOKER MEX</t>
  </si>
  <si>
    <t>JKM</t>
  </si>
  <si>
    <t>SANDS OF FORTUNE</t>
  </si>
  <si>
    <t>SOFE</t>
  </si>
  <si>
    <t xml:space="preserve">TOTAL ENERGY KING
</t>
  </si>
  <si>
    <t>SPIELO</t>
  </si>
  <si>
    <t>SPLO</t>
  </si>
  <si>
    <t>JOKER WIN</t>
  </si>
  <si>
    <t>JKW</t>
  </si>
  <si>
    <t>THE KING</t>
  </si>
  <si>
    <t>KNG</t>
  </si>
  <si>
    <t>TECNOVISION</t>
  </si>
  <si>
    <t>TCNO</t>
  </si>
  <si>
    <t>L´AMOR</t>
  </si>
  <si>
    <t>L´A</t>
  </si>
  <si>
    <t>TREASURE BINGO</t>
  </si>
  <si>
    <t>TRB</t>
  </si>
  <si>
    <t>VEGAVISION</t>
  </si>
  <si>
    <t>VEGA</t>
  </si>
  <si>
    <t>LA VIDENTE</t>
  </si>
  <si>
    <t>LAV</t>
  </si>
  <si>
    <t>UNDERWATER RICHES</t>
  </si>
  <si>
    <t>UNDW</t>
  </si>
  <si>
    <t>ENERGY KING 3x5</t>
  </si>
  <si>
    <t>VGT</t>
  </si>
  <si>
    <t>LAST MANIA</t>
  </si>
  <si>
    <t>LM</t>
  </si>
  <si>
    <t>VIVA MEXICO</t>
  </si>
  <si>
    <t>VM</t>
  </si>
  <si>
    <t>ENERGY KING DOBLE BONUS</t>
  </si>
  <si>
    <t>WINPOT / DREIDEL SL</t>
  </si>
  <si>
    <t>WINPOTSL</t>
  </si>
  <si>
    <t>LONDON PLAY</t>
  </si>
  <si>
    <t>LONP</t>
  </si>
  <si>
    <t>VOLCANO</t>
  </si>
  <si>
    <t>VOLC</t>
  </si>
  <si>
    <t>ENERGY KING P4 BONUS</t>
  </si>
  <si>
    <t>WIN SYSTEM</t>
  </si>
  <si>
    <t>WS</t>
  </si>
  <si>
    <t>MEPHISTOFELES</t>
  </si>
  <si>
    <t>MEPH</t>
  </si>
  <si>
    <t>TOTAL FBM</t>
  </si>
  <si>
    <t>ENERGY KING GO DICE</t>
  </si>
  <si>
    <t>OTROS SLOTS</t>
  </si>
  <si>
    <t>OTROS SL</t>
  </si>
  <si>
    <t>MEXICAN GAME</t>
  </si>
  <si>
    <t>MEXG</t>
  </si>
  <si>
    <t>TOTAL ENERGY KING 3x5</t>
  </si>
  <si>
    <t>MILLION +</t>
  </si>
  <si>
    <t>ML</t>
  </si>
  <si>
    <t>MULTI CHOICE</t>
  </si>
  <si>
    <t>MULTICH</t>
  </si>
  <si>
    <t>30 FUNNY CARS</t>
  </si>
  <si>
    <t>30FCRS</t>
  </si>
  <si>
    <t>MULTI CLASSIC</t>
  </si>
  <si>
    <t>MCLS</t>
  </si>
  <si>
    <t>ATLANTIS BINGO</t>
  </si>
  <si>
    <t>AB</t>
  </si>
  <si>
    <t>TOTAL NO FUMAR</t>
  </si>
  <si>
    <t>PRIMA</t>
  </si>
  <si>
    <t>PRI</t>
  </si>
  <si>
    <t>BEACH FIESTA BINGO</t>
  </si>
  <si>
    <t>BCHF</t>
  </si>
  <si>
    <t>QUEEN ROULETTE</t>
  </si>
  <si>
    <t>QR</t>
  </si>
  <si>
    <t>BINGO BANG THEORY</t>
  </si>
  <si>
    <t>BBT</t>
  </si>
  <si>
    <t>TNT</t>
  </si>
  <si>
    <t>BING BUZO</t>
  </si>
  <si>
    <t>BBUZO</t>
  </si>
  <si>
    <t>TOP MANIA</t>
  </si>
  <si>
    <t>TOM</t>
  </si>
  <si>
    <t>BINGO DE LOS CIELOS</t>
  </si>
  <si>
    <t>BCIELOS</t>
  </si>
  <si>
    <t>TABLA DE SIGNS BINGO</t>
  </si>
  <si>
    <t>TOT IMPERIUM</t>
  </si>
  <si>
    <t>TOTI</t>
  </si>
  <si>
    <t>BINGO SAURUS</t>
  </si>
  <si>
    <t>BS</t>
  </si>
  <si>
    <t>XII CAESARES</t>
  </si>
  <si>
    <t>XII</t>
  </si>
  <si>
    <t>BINVADERS</t>
  </si>
  <si>
    <t>BINV</t>
  </si>
  <si>
    <t>TRIPLE X BOOM</t>
  </si>
  <si>
    <t>XXX B</t>
  </si>
  <si>
    <t>COPA CABANA</t>
  </si>
  <si>
    <t>COPC</t>
  </si>
  <si>
    <t>TOTAL SIGNS SALA</t>
  </si>
  <si>
    <t>TOTAL METRONIA</t>
  </si>
  <si>
    <t>DIAMOND JACK</t>
  </si>
  <si>
    <t>DJ</t>
  </si>
  <si>
    <t>DOCTOR BINGO PLUS</t>
  </si>
  <si>
    <t>DBP</t>
  </si>
  <si>
    <t xml:space="preserve">TOTAL FUMAR </t>
  </si>
  <si>
    <t>DOUBLE SPEED</t>
  </si>
  <si>
    <t>DSPEED</t>
  </si>
  <si>
    <t>EL PESERO</t>
  </si>
  <si>
    <t>PESE</t>
  </si>
  <si>
    <t>FRAMELESS</t>
  </si>
  <si>
    <t>CRAZY CACTUS BINGO</t>
  </si>
  <si>
    <t>CCB</t>
  </si>
  <si>
    <t>FUNNY CARS</t>
  </si>
  <si>
    <t>FCRS</t>
  </si>
  <si>
    <t>DRAGON WIN 1 CARA</t>
  </si>
  <si>
    <t>SIGN DW-1</t>
  </si>
  <si>
    <t>DYNAMITE BINGO</t>
  </si>
  <si>
    <t>DYB</t>
  </si>
  <si>
    <t>FUNNY CARS CLASSIC</t>
  </si>
  <si>
    <t>FCRC</t>
  </si>
  <si>
    <t>ENERGY KING 1 CARA</t>
  </si>
  <si>
    <t>SIGN EK-1</t>
  </si>
  <si>
    <t>TOTAL JESTRONIC</t>
  </si>
  <si>
    <t>GRAN NATIONAL 20</t>
  </si>
  <si>
    <t>G20</t>
  </si>
  <si>
    <t>ENERGY LINK 1 CARA</t>
  </si>
  <si>
    <t>SIGN EL-1</t>
  </si>
  <si>
    <t>GRAND NATIONAL</t>
  </si>
  <si>
    <t>GN</t>
  </si>
  <si>
    <t>DRAGON WIN 2 CARAS</t>
  </si>
  <si>
    <t>SIGN DW-2</t>
  </si>
  <si>
    <t>IMPERIAL BINGO</t>
  </si>
  <si>
    <t>IMB</t>
  </si>
  <si>
    <t>ENERGY KING 2 CARAS</t>
  </si>
  <si>
    <t>R.FRANCO</t>
  </si>
  <si>
    <t>IMPERIAL PALACE</t>
  </si>
  <si>
    <t>IMP</t>
  </si>
  <si>
    <t>ENERGY LINK 2 CARAS</t>
  </si>
  <si>
    <t>SIGN EL-2</t>
  </si>
  <si>
    <t xml:space="preserve"> BINGO CARAMEL</t>
  </si>
  <si>
    <t>BC</t>
  </si>
  <si>
    <t>JOCKEY MANIA</t>
  </si>
  <si>
    <t>JOKCM</t>
  </si>
  <si>
    <t>10 VECES BINGO</t>
  </si>
  <si>
    <t>10VB</t>
  </si>
  <si>
    <t>LA MINA DE LA SUERTE 20</t>
  </si>
  <si>
    <t>MS20</t>
  </si>
  <si>
    <t>BINGO LINK</t>
  </si>
  <si>
    <t>5 DIAMANTES</t>
  </si>
  <si>
    <t>5D</t>
  </si>
  <si>
    <t>MAGIC 60</t>
  </si>
  <si>
    <t>MGC60</t>
  </si>
  <si>
    <t>SIGN BLDW-1</t>
  </si>
  <si>
    <t>BON VOYAGE</t>
  </si>
  <si>
    <t>BV</t>
  </si>
  <si>
    <t>MULTI DRAGON</t>
  </si>
  <si>
    <t>MDRA</t>
  </si>
  <si>
    <t>SIGN BLEK-1</t>
  </si>
  <si>
    <t>CONECTA BINGO</t>
  </si>
  <si>
    <t>CB</t>
  </si>
  <si>
    <t>MULTI JUEGO</t>
  </si>
  <si>
    <t>MULTJ</t>
  </si>
  <si>
    <t>SIGN BLEL-1</t>
  </si>
  <si>
    <t>CONFIDENTIAL</t>
  </si>
  <si>
    <t>CF</t>
  </si>
  <si>
    <t>ORIGINAL BINGO</t>
  </si>
  <si>
    <t>OBGO</t>
  </si>
  <si>
    <t>SHOW TIME 1 CARA</t>
  </si>
  <si>
    <t>SIGN BLSWT-1</t>
  </si>
  <si>
    <t>RICH BINGO</t>
  </si>
  <si>
    <t>RCHB</t>
  </si>
  <si>
    <t>ORIGINAL BINGO JAZZ</t>
  </si>
  <si>
    <t>OBGOJAZZ</t>
  </si>
  <si>
    <t>SIGN BLDW-2</t>
  </si>
  <si>
    <t>TOTAL R.FRANCO</t>
  </si>
  <si>
    <t>PLUS MANIA</t>
  </si>
  <si>
    <t>PMANIA</t>
  </si>
  <si>
    <t>ENERGY KING / ENERGY LINK 2 CARAS</t>
  </si>
  <si>
    <t>SIGN BLEK/BLEL-2</t>
  </si>
  <si>
    <t>MAGIC CHINA</t>
  </si>
  <si>
    <t>MCHINA</t>
  </si>
  <si>
    <t>SHOW TIME 2 CARAS</t>
  </si>
  <si>
    <t>SIGN BLSWT-2</t>
  </si>
  <si>
    <t>RA MANIA</t>
  </si>
  <si>
    <t>DRAGON WIN / LINK ME 2 CARAS</t>
  </si>
  <si>
    <t>SIGN BLDW/LM-2</t>
  </si>
  <si>
    <t>SAFARI RACE</t>
  </si>
  <si>
    <t>SR</t>
  </si>
  <si>
    <t>DRAGON WIN/ ENERGY KING 2 CARAS</t>
  </si>
  <si>
    <t>SIGN BLDW/EK-2</t>
  </si>
  <si>
    <t>CANDY PRIZE</t>
  </si>
  <si>
    <t>CNYPRZ</t>
  </si>
  <si>
    <t>SATURN 8</t>
  </si>
  <si>
    <t>S8</t>
  </si>
  <si>
    <t>DRAGON WIN/ ENERGY LINK 2 CARAS</t>
  </si>
  <si>
    <t>SIGN BLDW/EL-2</t>
  </si>
  <si>
    <t>DREIDEL</t>
  </si>
  <si>
    <t>SPIN GOAL</t>
  </si>
  <si>
    <t>SPGOAL</t>
  </si>
  <si>
    <t>DRAGON WIN / SHOW TIME FASE 5  2 CARAS</t>
  </si>
  <si>
    <t>SIGN BLDW/STF5-2</t>
  </si>
  <si>
    <t>FIRE AND ICE</t>
  </si>
  <si>
    <t>FANDI</t>
  </si>
  <si>
    <t>STORM LINK</t>
  </si>
  <si>
    <t>STRLINK</t>
  </si>
  <si>
    <t>FIRE LINK</t>
  </si>
  <si>
    <t>FRELK</t>
  </si>
  <si>
    <t>SWEET BINGO</t>
  </si>
  <si>
    <t>SWEETB</t>
  </si>
  <si>
    <t>FREDDY WHEEL BINGO</t>
  </si>
  <si>
    <t>FREDWBINGO</t>
  </si>
  <si>
    <t>SWITCH LINK</t>
  </si>
  <si>
    <t>STLINK</t>
  </si>
  <si>
    <t>SIGN BPDW-1</t>
  </si>
  <si>
    <t>JA PON PON</t>
  </si>
  <si>
    <t>JPON</t>
  </si>
  <si>
    <t>TIME 4 BONUS</t>
  </si>
  <si>
    <t>T4B</t>
  </si>
  <si>
    <t>SIGN BPEK-1</t>
  </si>
  <si>
    <t>LUCKY DRAGON</t>
  </si>
  <si>
    <t>LKYDRGN</t>
  </si>
  <si>
    <t>WONDER BINGO</t>
  </si>
  <si>
    <t>WBING</t>
  </si>
  <si>
    <t>SIGN BPEL-1</t>
  </si>
  <si>
    <t>LUCKY WIZARD</t>
  </si>
  <si>
    <t>LKYWRD</t>
  </si>
  <si>
    <t>YETI (ICE CREAM)</t>
  </si>
  <si>
    <t>YETI</t>
  </si>
  <si>
    <t>SIGN BPDW-2</t>
  </si>
  <si>
    <t>MARDI JAZZ</t>
  </si>
  <si>
    <t>MARDIJ</t>
  </si>
  <si>
    <t>TOTAL SLEIC</t>
  </si>
  <si>
    <t>SIGN BPEK-2</t>
  </si>
  <si>
    <t>SEA FORTUNES</t>
  </si>
  <si>
    <t>SEAFORT</t>
  </si>
  <si>
    <t>SIGN BPEL-2</t>
  </si>
  <si>
    <t>THE 7 KINGDOMS</t>
  </si>
  <si>
    <t>7KDOMS</t>
  </si>
  <si>
    <t>TINO</t>
  </si>
  <si>
    <t xml:space="preserve">PACHINKO </t>
  </si>
  <si>
    <t>PKI</t>
  </si>
  <si>
    <t>ZITRO</t>
  </si>
  <si>
    <t>TINO 60s</t>
  </si>
  <si>
    <t>TINO60s</t>
  </si>
  <si>
    <t>PACHINKO II</t>
  </si>
  <si>
    <t>PKII</t>
  </si>
  <si>
    <t>SIGN ZITRODW-1</t>
  </si>
  <si>
    <t>TINO CHINA</t>
  </si>
  <si>
    <t>TOTAL PACHINKO</t>
  </si>
  <si>
    <t>SIGN ZITRODW-2</t>
  </si>
  <si>
    <t>WEST WEST BINGO</t>
  </si>
  <si>
    <t>WWBINGO</t>
  </si>
  <si>
    <t>WINNING RAINBOWS</t>
  </si>
  <si>
    <t>WRBWS</t>
  </si>
  <si>
    <t>ONIX</t>
  </si>
  <si>
    <t>TOTAL WINPOT</t>
  </si>
  <si>
    <t>BINGO BINGO</t>
  </si>
  <si>
    <t>BINB</t>
  </si>
  <si>
    <t>SIGN ONIXDW-1</t>
  </si>
  <si>
    <t>BINGO DE LA PASION</t>
  </si>
  <si>
    <t>BPS</t>
  </si>
  <si>
    <t>SIGN ONIXDW-2</t>
  </si>
  <si>
    <t>JUKEBOX BINGO</t>
  </si>
  <si>
    <t>JBB</t>
  </si>
  <si>
    <t>SALSA BINGO</t>
  </si>
  <si>
    <t>SBO</t>
  </si>
  <si>
    <t>SUPER BET BINGO</t>
  </si>
  <si>
    <t>SBB</t>
  </si>
  <si>
    <t>ZOMBIE BINGO</t>
  </si>
  <si>
    <t>ZB</t>
  </si>
  <si>
    <t>TOTAL SABIA</t>
  </si>
  <si>
    <t>FLEX GAME</t>
  </si>
  <si>
    <t>FLXG</t>
  </si>
  <si>
    <t>HOT BINGO</t>
  </si>
  <si>
    <t>HBIN</t>
  </si>
  <si>
    <t>BLUEBERI</t>
  </si>
  <si>
    <t>PARK BINGO</t>
  </si>
  <si>
    <t>PKB</t>
  </si>
  <si>
    <t>TOTAL BLUBERI</t>
  </si>
  <si>
    <t>STEEL BINGO</t>
  </si>
  <si>
    <t>STLB</t>
  </si>
  <si>
    <t>SUPER BOLA</t>
  </si>
  <si>
    <t>SUPB</t>
  </si>
  <si>
    <t>TOTAL RCT</t>
  </si>
  <si>
    <t>TOTAL SHOWBALL</t>
  </si>
  <si>
    <t>DOUBLIN BINGO</t>
  </si>
  <si>
    <t>DOUBB</t>
  </si>
  <si>
    <t>TOUCH THE GOLD BINGO</t>
  </si>
  <si>
    <t>TTGB</t>
  </si>
  <si>
    <t>VIVA</t>
  </si>
  <si>
    <t>TOTAL LATINA WORLD GAMING</t>
  </si>
  <si>
    <t>TOTAL INTERVISION</t>
  </si>
  <si>
    <t>JALAPEÑO</t>
  </si>
  <si>
    <t>JPÑO</t>
  </si>
  <si>
    <t>AEROBINGO</t>
  </si>
  <si>
    <t>AEROB</t>
  </si>
  <si>
    <t>BINGO BRAVO</t>
  </si>
  <si>
    <t>BBRAVO</t>
  </si>
  <si>
    <t>TOTAL JCB GAMING</t>
  </si>
  <si>
    <t>PIRATES</t>
  </si>
  <si>
    <t>PIR</t>
  </si>
  <si>
    <t>LUCHA LIBRE</t>
  </si>
  <si>
    <t>LLIBRE</t>
  </si>
  <si>
    <t>SONORA DESERT</t>
  </si>
  <si>
    <t>SDESERT</t>
  </si>
  <si>
    <t>MAXCOTA</t>
  </si>
  <si>
    <t>MXTA</t>
  </si>
  <si>
    <t>TESORO DEL ARTICO</t>
  </si>
  <si>
    <t>TARTICO</t>
  </si>
  <si>
    <t>MONSTER</t>
  </si>
  <si>
    <t>MNST</t>
  </si>
  <si>
    <t>TROPICANA</t>
  </si>
  <si>
    <t>TROPIC</t>
  </si>
  <si>
    <t>ROYAL BINGO</t>
  </si>
  <si>
    <t>RYBG</t>
  </si>
  <si>
    <t>POKER REVOLUTION</t>
  </si>
  <si>
    <t>PKREV</t>
  </si>
  <si>
    <t>TROPI CALIENTE</t>
  </si>
  <si>
    <t>TRPC</t>
  </si>
  <si>
    <t>BLACK JACK</t>
  </si>
  <si>
    <t>BJ</t>
  </si>
  <si>
    <t>TOTAL AMBRA GAMING</t>
  </si>
  <si>
    <t>KENO</t>
  </si>
  <si>
    <t>KNO</t>
  </si>
  <si>
    <t>TOTAL DEGESTEC</t>
  </si>
  <si>
    <t>FIESTA DE FUEGO</t>
  </si>
  <si>
    <t>FFUEGO</t>
  </si>
  <si>
    <t>TOTAL KONAMI BINGO</t>
  </si>
  <si>
    <t>LIMITAZO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</si>
</sst>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-&quot;$&quot;* #,##0_-;\-&quot;$&quot;* #,##0_-;_-&quot;$&quot;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\$* #,##0_);_(\$* \(#,##0\);_(\$* &quot;-&quot;_);_(@_)"/>
    <numFmt numFmtId="169" formatCode="_-&quot;€&quot;* #,##0.00_-;\-&quot;€&quot;* #,##0.00_-;_-&quot;€&quot;* &quot;-&quot;??_-;_-@_-"/>
    <numFmt numFmtId="170" formatCode="&quot;$&quot;#,##0"/>
    <numFmt numFmtId="171" formatCode="_-* #,##0\ _€_-;\-* #,##0\ _€_-;_-* &quot;-&quot;\ _€_-;_-@_-"/>
    <numFmt numFmtId="172" formatCode="h:mm;@"/>
    <numFmt numFmtId="173" formatCode="_(* #,##0_);_(* \(#,##0\);_(* &quot;-&quot;_);_(@_)"/>
    <numFmt numFmtId="174" formatCode="0000000"/>
  </numFmts>
  <fonts count="161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  <charset val="1"/>
    </font>
    <font>
      <sz val="10"/>
      <color indexed="8"/>
      <name val="Arial"/>
      <family val="2"/>
    </font>
    <font>
      <u/>
      <sz val="7"/>
      <color indexed="12"/>
      <name val="Tahoma"/>
      <family val="2"/>
    </font>
    <font>
      <b/>
      <sz val="10"/>
      <name val="Tahoma"/>
      <family val="2"/>
    </font>
    <font>
      <sz val="10"/>
      <name val="Helv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indexed="8"/>
      <name val="Arial"/>
      <family val="2"/>
    </font>
    <font>
      <b/>
      <sz val="23"/>
      <color indexed="8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4"/>
      <color theme="0"/>
      <name val="Arial"/>
      <family val="2"/>
    </font>
    <font>
      <b/>
      <sz val="14"/>
      <color rgb="FF333F4F"/>
      <name val="Arial"/>
      <family val="2"/>
    </font>
    <font>
      <b/>
      <sz val="14"/>
      <color rgb="FF222B35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10"/>
      <name val="Arial"/>
      <family val="2"/>
    </font>
    <font>
      <b/>
      <sz val="9"/>
      <color indexed="9"/>
      <name val="Arial"/>
      <family val="2"/>
    </font>
    <font>
      <b/>
      <sz val="12"/>
      <color theme="0"/>
      <name val="Arial"/>
      <family val="2"/>
    </font>
    <font>
      <sz val="8"/>
      <color indexed="8"/>
      <name val="Arial"/>
      <family val="2"/>
    </font>
    <font>
      <b/>
      <sz val="12"/>
      <color theme="1"/>
      <name val="Arial"/>
      <family val="2"/>
    </font>
    <font>
      <b/>
      <sz val="11"/>
      <color indexed="8"/>
      <name val="Arial"/>
      <family val="2"/>
    </font>
    <font>
      <b/>
      <sz val="10"/>
      <color indexed="56"/>
      <name val="Arial"/>
      <family val="2"/>
    </font>
    <font>
      <sz val="1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color rgb="FF000000"/>
      <name val="Arial"/>
      <family val="2"/>
    </font>
    <font>
      <sz val="9"/>
      <name val="Arial"/>
      <family val="2"/>
    </font>
    <font>
      <b/>
      <sz val="14"/>
      <color indexed="9"/>
      <name val="Arial"/>
      <family val="2"/>
    </font>
    <font>
      <b/>
      <sz val="11"/>
      <color indexed="8"/>
      <name val="Calibri"/>
      <family val="2"/>
    </font>
    <font>
      <b/>
      <sz val="12"/>
      <color rgb="FFFF0000"/>
      <name val="Calibri"/>
      <family val="2"/>
      <scheme val="minor"/>
    </font>
    <font>
      <sz val="10"/>
      <color indexed="9"/>
      <name val="Arial"/>
      <family val="2"/>
    </font>
    <font>
      <b/>
      <sz val="12"/>
      <color theme="8" tint="0.79998168889431442"/>
      <name val="Arial"/>
      <family val="2"/>
    </font>
    <font>
      <b/>
      <sz val="12"/>
      <name val="Arial"/>
      <family val="2"/>
    </font>
    <font>
      <b/>
      <sz val="20"/>
      <color rgb="FFFF0000"/>
      <name val="Calibri"/>
      <family val="2"/>
      <scheme val="minor"/>
    </font>
    <font>
      <b/>
      <sz val="16"/>
      <color indexed="8"/>
      <name val="Arial"/>
      <family val="2"/>
    </font>
    <font>
      <b/>
      <sz val="12"/>
      <color indexed="8"/>
      <name val="Calibri"/>
      <family val="2"/>
      <scheme val="minor"/>
    </font>
    <font>
      <b/>
      <sz val="12"/>
      <color rgb="FFDDDDDD"/>
      <name val="Calibri"/>
      <family val="2"/>
      <scheme val="minor"/>
    </font>
    <font>
      <b/>
      <sz val="12"/>
      <color rgb="FFC00000"/>
      <name val="Arial"/>
      <family val="2"/>
    </font>
    <font>
      <b/>
      <sz val="14"/>
      <color rgb="FFFF0000"/>
      <name val="Calibri"/>
      <family val="2"/>
      <scheme val="minor"/>
    </font>
    <font>
      <b/>
      <sz val="16"/>
      <name val="Arial"/>
      <family val="2"/>
    </font>
    <font>
      <b/>
      <sz val="8"/>
      <color indexed="8"/>
      <name val="Arial"/>
      <family val="2"/>
    </font>
    <font>
      <b/>
      <sz val="20"/>
      <color rgb="FFFF0000"/>
      <name val="Calibri"/>
      <family val="2"/>
    </font>
    <font>
      <b/>
      <sz val="14"/>
      <color theme="5"/>
      <name val="Arial"/>
      <family val="2"/>
    </font>
    <font>
      <b/>
      <sz val="14"/>
      <color theme="3" tint="-0.499984740745262"/>
      <name val="Arial"/>
      <family val="2"/>
    </font>
    <font>
      <sz val="10"/>
      <color indexed="18"/>
      <name val="Arial"/>
      <family val="2"/>
    </font>
    <font>
      <b/>
      <sz val="18"/>
      <color theme="0"/>
      <name val="Calibri"/>
      <family val="2"/>
    </font>
    <font>
      <sz val="14"/>
      <color rgb="FFFF0000"/>
      <name val="Calibri"/>
      <family val="2"/>
    </font>
    <font>
      <b/>
      <sz val="14"/>
      <color rgb="FF000000"/>
      <name val="Calibri"/>
      <family val="2"/>
    </font>
    <font>
      <b/>
      <sz val="16"/>
      <color rgb="FFFF0000"/>
      <name val="Calibri"/>
      <family val="2"/>
    </font>
    <font>
      <b/>
      <sz val="14"/>
      <color theme="0"/>
      <name val="Calibri"/>
      <family val="2"/>
      <scheme val="minor"/>
    </font>
    <font>
      <b/>
      <sz val="14"/>
      <color rgb="FFFF0000"/>
      <name val="Arial"/>
      <family val="2"/>
    </font>
    <font>
      <b/>
      <sz val="11"/>
      <color theme="0"/>
      <name val="Calibri"/>
      <family val="2"/>
    </font>
    <font>
      <b/>
      <sz val="10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4"/>
      <color rgb="FF9E0400"/>
      <name val="Arial"/>
      <family val="2"/>
    </font>
    <font>
      <b/>
      <sz val="12"/>
      <color theme="9" tint="0.3999755851924192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indexed="18"/>
      <name val="Arial"/>
      <family val="2"/>
    </font>
    <font>
      <b/>
      <sz val="16"/>
      <name val="Calibri"/>
      <family val="2"/>
      <scheme val="minor"/>
    </font>
    <font>
      <b/>
      <sz val="26"/>
      <color rgb="FFFF0000"/>
      <name val="Arial"/>
      <family val="2"/>
    </font>
    <font>
      <b/>
      <sz val="12"/>
      <color theme="1"/>
      <name val="Calibri"/>
      <family val="2"/>
      <scheme val="minor"/>
    </font>
    <font>
      <sz val="10"/>
      <name val="Tahoma"/>
      <family val="2"/>
    </font>
    <font>
      <b/>
      <sz val="16"/>
      <color rgb="FF000000"/>
      <name val="Arial"/>
      <family val="2"/>
    </font>
    <font>
      <b/>
      <sz val="18"/>
      <color indexed="8"/>
      <name val="Calibri"/>
      <family val="2"/>
      <scheme val="minor"/>
    </font>
    <font>
      <b/>
      <sz val="13"/>
      <color theme="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0"/>
      <name val="Arial"/>
      <family val="2"/>
    </font>
    <font>
      <sz val="12"/>
      <name val="Arial"/>
      <family val="2"/>
    </font>
    <font>
      <b/>
      <sz val="16"/>
      <color theme="0"/>
      <name val="Symbol"/>
      <family val="1"/>
      <charset val="2"/>
    </font>
    <font>
      <sz val="3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6"/>
      <color theme="7" tint="0.3999755851924192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name val="Calibri"/>
      <family val="2"/>
      <scheme val="minor"/>
    </font>
    <font>
      <sz val="12"/>
      <color theme="1"/>
      <name val="Arial"/>
      <family val="2"/>
    </font>
    <font>
      <b/>
      <sz val="20"/>
      <name val="Arial"/>
      <family val="2"/>
    </font>
    <font>
      <b/>
      <sz val="8"/>
      <name val="Arial"/>
      <family val="2"/>
    </font>
    <font>
      <b/>
      <sz val="12"/>
      <name val="Calibri"/>
      <family val="2"/>
      <scheme val="minor"/>
    </font>
    <font>
      <b/>
      <sz val="12"/>
      <color rgb="FFFFFF00"/>
      <name val="Arial"/>
      <family val="2"/>
    </font>
    <font>
      <b/>
      <sz val="12"/>
      <color theme="3" tint="0.39997558519241921"/>
      <name val="Calibri"/>
      <family val="2"/>
      <scheme val="minor"/>
    </font>
    <font>
      <b/>
      <sz val="14"/>
      <color rgb="FF222222"/>
      <name val="Arial"/>
      <family val="2"/>
    </font>
    <font>
      <b/>
      <sz val="11"/>
      <name val="Arial"/>
      <family val="2"/>
    </font>
    <font>
      <b/>
      <sz val="12"/>
      <color theme="7" tint="-0.499984740745262"/>
      <name val="Arial"/>
      <family val="2"/>
    </font>
    <font>
      <b/>
      <sz val="12"/>
      <color theme="2" tint="-0.749992370372631"/>
      <name val="Calibri"/>
      <family val="2"/>
      <scheme val="minor"/>
    </font>
    <font>
      <b/>
      <sz val="12"/>
      <color rgb="FF800080"/>
      <name val="Arial"/>
      <family val="2"/>
    </font>
    <font>
      <b/>
      <sz val="12"/>
      <color theme="7" tint="0.3999755851924192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rgb="FF7030A0"/>
      <name val="Arial"/>
      <family val="2"/>
    </font>
    <font>
      <b/>
      <sz val="14"/>
      <color rgb="FF92D050"/>
      <name val="Arial"/>
      <family val="2"/>
    </font>
    <font>
      <b/>
      <sz val="12"/>
      <color theme="3"/>
      <name val="Calibri"/>
      <family val="2"/>
      <scheme val="minor"/>
    </font>
    <font>
      <b/>
      <sz val="12"/>
      <color theme="5"/>
      <name val="Arial"/>
      <family val="2"/>
    </font>
    <font>
      <b/>
      <sz val="12"/>
      <color rgb="FFCC3300"/>
      <name val="Calibri"/>
      <family val="2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b/>
      <sz val="12"/>
      <color rgb="FF990000"/>
      <name val="Calibri"/>
      <family val="2"/>
      <scheme val="minor"/>
    </font>
    <font>
      <b/>
      <sz val="14"/>
      <color rgb="FF806000"/>
      <name val="Arial"/>
      <family val="2"/>
    </font>
    <font>
      <b/>
      <sz val="14"/>
      <color rgb="FF0070C0"/>
      <name val="Arial"/>
      <family val="2"/>
    </font>
    <font>
      <b/>
      <sz val="14"/>
      <color rgb="FFFFC000"/>
      <name val="Arial"/>
      <family val="2"/>
    </font>
    <font>
      <b/>
      <sz val="12"/>
      <color theme="6" tint="-0.249977111117893"/>
      <name val="Calibri"/>
      <family val="2"/>
      <scheme val="minor"/>
    </font>
    <font>
      <sz val="14"/>
      <color theme="1"/>
      <name val="Arial"/>
      <family val="2"/>
    </font>
    <font>
      <b/>
      <sz val="12"/>
      <color rgb="FFFF9900"/>
      <name val="Arial"/>
      <family val="2"/>
    </font>
    <font>
      <b/>
      <sz val="12"/>
      <color theme="8" tint="0.39994506668294322"/>
      <name val="Arial"/>
      <family val="2"/>
    </font>
    <font>
      <b/>
      <sz val="12"/>
      <color theme="9"/>
      <name val="Arial"/>
      <family val="2"/>
    </font>
    <font>
      <b/>
      <sz val="12"/>
      <color rgb="FFFFC000"/>
      <name val="Arial"/>
      <family val="2"/>
    </font>
    <font>
      <b/>
      <sz val="12"/>
      <color rgb="FFCC9900"/>
      <name val="Arial"/>
      <family val="2"/>
    </font>
    <font>
      <b/>
      <sz val="12"/>
      <color rgb="FF0070C0"/>
      <name val="Arial"/>
      <family val="2"/>
    </font>
    <font>
      <b/>
      <sz val="14"/>
      <color rgb="FFFFFF00"/>
      <name val="Arial"/>
      <family val="2"/>
    </font>
    <font>
      <b/>
      <sz val="12"/>
      <color theme="3" tint="-0.499984740745262"/>
      <name val="Arial"/>
      <family val="2"/>
    </font>
    <font>
      <b/>
      <sz val="12"/>
      <color theme="2" tint="-0.499984740745262"/>
      <name val="Arial"/>
      <family val="2"/>
    </font>
    <font>
      <b/>
      <sz val="14"/>
      <color rgb="FFC00000"/>
      <name val="Arial"/>
      <family val="2"/>
    </font>
    <font>
      <b/>
      <sz val="12"/>
      <color rgb="FF00B0F0"/>
      <name val="Arial"/>
      <family val="2"/>
    </font>
    <font>
      <b/>
      <sz val="12"/>
      <color theme="5" tint="-0.499984740745262"/>
      <name val="Arial"/>
      <family val="2"/>
    </font>
    <font>
      <b/>
      <sz val="12"/>
      <color rgb="FFFF33CC"/>
      <name val="Arial"/>
      <family val="2"/>
    </font>
    <font>
      <b/>
      <sz val="12"/>
      <color rgb="FF3366FF"/>
      <name val="Arial"/>
      <family val="2"/>
    </font>
    <font>
      <b/>
      <sz val="20"/>
      <color theme="1"/>
      <name val="Calibri"/>
      <family val="2"/>
      <scheme val="minor"/>
    </font>
    <font>
      <sz val="12"/>
      <color theme="5" tint="0.79998168889431442"/>
      <name val="Calibri"/>
      <family val="2"/>
      <scheme val="minor"/>
    </font>
    <font>
      <b/>
      <sz val="12"/>
      <color rgb="FF00B050"/>
      <name val="Arial"/>
      <family val="2"/>
    </font>
    <font>
      <sz val="12"/>
      <name val="Calibri"/>
      <family val="2"/>
      <scheme val="minor"/>
    </font>
    <font>
      <sz val="14"/>
      <color theme="8" tint="0.79998168889431442"/>
      <name val="Arial"/>
      <family val="2"/>
    </font>
    <font>
      <b/>
      <sz val="12"/>
      <color rgb="FF00FFFF"/>
      <name val="Arial"/>
      <family val="2"/>
    </font>
    <font>
      <b/>
      <sz val="12"/>
      <color theme="2"/>
      <name val="Arial"/>
      <family val="2"/>
    </font>
    <font>
      <b/>
      <sz val="12"/>
      <color theme="8" tint="-0.499984740745262"/>
      <name val="Arial"/>
      <family val="2"/>
    </font>
    <font>
      <b/>
      <sz val="12"/>
      <color theme="2" tint="-0.89999084444715716"/>
      <name val="Arial"/>
      <family val="2"/>
    </font>
  </fonts>
  <fills count="28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D3D3D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69696"/>
        <bgColor indexed="64"/>
      </patternFill>
    </fill>
    <fill>
      <patternFill patternType="darkGrid">
        <fgColor rgb="FFFF0000"/>
        <bgColor rgb="FFFFC000"/>
      </patternFill>
    </fill>
    <fill>
      <gradientFill degree="90">
        <stop position="0">
          <color rgb="FFFF3F3F"/>
        </stop>
        <stop position="1">
          <color rgb="FF7E0300"/>
        </stop>
      </gradientFill>
    </fill>
    <fill>
      <patternFill patternType="solid">
        <fgColor rgb="FFBDD7EE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BBD828"/>
        <bgColor indexed="64"/>
      </patternFill>
    </fill>
    <fill>
      <patternFill patternType="solid">
        <fgColor rgb="FF7B7B7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rgb="FFFFCC00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gray0625">
        <fgColor theme="4" tint="0.39994506668294322"/>
        <bgColor theme="4" tint="-0.24994659260841701"/>
      </patternFill>
    </fill>
    <fill>
      <patternFill patternType="solid">
        <fgColor theme="3" tint="0.59999389629810485"/>
        <bgColor rgb="FF0066CC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FC9AD4"/>
        <bgColor indexed="64"/>
      </patternFill>
    </fill>
    <fill>
      <patternFill patternType="solid">
        <fgColor rgb="FF333F4F"/>
        <bgColor indexed="64"/>
      </patternFill>
    </fill>
    <fill>
      <gradientFill degree="90">
        <stop position="0">
          <color rgb="FFFFFF00"/>
        </stop>
        <stop position="0.5">
          <color rgb="FF92D050"/>
        </stop>
        <stop position="1">
          <color rgb="FFFFFF00"/>
        </stop>
      </gradientFill>
    </fill>
    <fill>
      <patternFill patternType="lightDown">
        <fgColor theme="9"/>
        <bgColor theme="9" tint="0.39991454817346722"/>
      </patternFill>
    </fill>
    <fill>
      <patternFill patternType="gray0625">
        <fgColor theme="0"/>
        <bgColor rgb="FFC00000"/>
      </patternFill>
    </fill>
    <fill>
      <patternFill patternType="solid">
        <fgColor rgb="FF66CCFF"/>
        <bgColor indexed="64"/>
      </patternFill>
    </fill>
    <fill>
      <gradientFill degree="90">
        <stop position="0">
          <color rgb="FFFFFF00"/>
        </stop>
        <stop position="0.5">
          <color rgb="FF00B0F0"/>
        </stop>
        <stop position="1">
          <color rgb="FFFFFF00"/>
        </stop>
      </gradientFill>
    </fill>
    <fill>
      <patternFill patternType="lightTrellis">
        <fgColor theme="4" tint="-0.24994659260841701"/>
        <bgColor rgb="FFFF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CBC0D9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lightTrellis">
        <fgColor rgb="FFFF0000"/>
        <bgColor rgb="FFC0504D"/>
      </patternFill>
    </fill>
    <fill>
      <patternFill patternType="solid">
        <fgColor rgb="FFDA3F3D"/>
        <bgColor indexed="64"/>
      </patternFill>
    </fill>
    <fill>
      <patternFill patternType="solid">
        <fgColor rgb="FFA6936B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E5D8F4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FF"/>
        <bgColor rgb="FF0066CC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6" tint="-0.249977111117893"/>
        <bgColor rgb="FF003366"/>
      </patternFill>
    </fill>
    <fill>
      <gradientFill degree="90">
        <stop position="0">
          <color theme="8" tint="0.80001220740379042"/>
        </stop>
        <stop position="1">
          <color theme="5"/>
        </stop>
      </gradientFill>
    </fill>
    <fill>
      <patternFill patternType="solid">
        <fgColor rgb="FF800080"/>
        <bgColor rgb="FF800080"/>
      </patternFill>
    </fill>
    <fill>
      <gradientFill degree="270">
        <stop position="0">
          <color rgb="FFC00000"/>
        </stop>
        <stop position="1">
          <color theme="4" tint="-0.25098422193060094"/>
        </stop>
      </gradientFill>
    </fill>
    <fill>
      <patternFill patternType="solid">
        <fgColor rgb="FF00B0F0"/>
        <bgColor rgb="FF008080"/>
      </patternFill>
    </fill>
    <fill>
      <patternFill patternType="solid">
        <fgColor theme="0" tint="-0.34998626667073579"/>
        <bgColor rgb="FF003366"/>
      </patternFill>
    </fill>
    <fill>
      <patternFill patternType="solid">
        <fgColor rgb="FF66FFFF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rgb="FFFFCC00"/>
      </patternFill>
    </fill>
    <fill>
      <patternFill patternType="solid">
        <fgColor rgb="FFFF600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  <fill>
      <patternFill patternType="solid">
        <fgColor theme="3" tint="0.39997558519241921"/>
        <bgColor rgb="FFFFCC00"/>
      </patternFill>
    </fill>
    <fill>
      <gradientFill degree="135">
        <stop position="0">
          <color theme="0" tint="-0.49803155613879818"/>
        </stop>
        <stop position="1">
          <color theme="6" tint="0.80001220740379042"/>
        </stop>
      </gradientFill>
    </fill>
    <fill>
      <patternFill patternType="solid">
        <fgColor rgb="FF7030A0"/>
        <bgColor rgb="FFFFCC00"/>
      </patternFill>
    </fill>
    <fill>
      <patternFill patternType="solid">
        <fgColor theme="9"/>
        <bgColor indexed="64"/>
      </patternFill>
    </fill>
    <fill>
      <patternFill patternType="solid">
        <fgColor rgb="FF66CCFF"/>
        <bgColor rgb="FFFFCC00"/>
      </patternFill>
    </fill>
    <fill>
      <gradientFill degree="90">
        <stop position="0">
          <color rgb="FF4F81BD"/>
        </stop>
        <stop position="1">
          <color theme="4" tint="0.59999389629810485"/>
        </stop>
      </gradientFill>
    </fill>
    <fill>
      <patternFill patternType="solid">
        <fgColor rgb="FFA8A5A5"/>
        <bgColor indexed="64"/>
      </patternFill>
    </fill>
    <fill>
      <gradientFill degree="90">
        <stop position="0">
          <color theme="8" tint="0.80001220740379042"/>
        </stop>
        <stop position="1">
          <color theme="8" tint="-0.49803155613879818"/>
        </stop>
      </gradientFill>
    </fill>
    <fill>
      <patternFill patternType="solid">
        <fgColor theme="2" tint="-0.749992370372631"/>
        <bgColor indexed="64"/>
      </patternFill>
    </fill>
    <fill>
      <patternFill patternType="solid">
        <fgColor rgb="FFFC04D9"/>
        <bgColor indexed="64"/>
      </patternFill>
    </fill>
    <fill>
      <gradientFill degree="135">
        <stop position="0">
          <color rgb="FFFFFF00"/>
        </stop>
        <stop position="0.5">
          <color rgb="FF99FF33"/>
        </stop>
        <stop position="1">
          <color rgb="FFFFFF00"/>
        </stop>
      </gradientFill>
    </fill>
    <fill>
      <patternFill patternType="solid">
        <fgColor rgb="FFCCA86F"/>
        <bgColor indexed="64"/>
      </patternFill>
    </fill>
    <fill>
      <patternFill patternType="solid">
        <fgColor rgb="FFD0E939"/>
        <bgColor indexed="64"/>
      </patternFill>
    </fill>
    <fill>
      <patternFill patternType="solid">
        <fgColor theme="0" tint="-4.9989318521683403E-2"/>
        <bgColor rgb="FF0066CC"/>
      </patternFill>
    </fill>
    <fill>
      <patternFill patternType="solid">
        <fgColor theme="3" tint="0.59999389629810485"/>
        <bgColor rgb="FF008080"/>
      </patternFill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rgb="FFFF0000"/>
        </stop>
        <stop position="1">
          <color theme="4" tint="-0.25098422193060094"/>
        </stop>
      </gradientFill>
    </fill>
    <fill>
      <patternFill patternType="solid">
        <fgColor rgb="FFBFBFBF"/>
        <bgColor rgb="FF000000"/>
      </patternFill>
    </fill>
    <fill>
      <patternFill patternType="solid">
        <fgColor rgb="FF00B0F0"/>
        <bgColor rgb="FF0066CC"/>
      </patternFill>
    </fill>
    <fill>
      <gradientFill degree="270">
        <stop position="0">
          <color theme="9" tint="-0.25098422193060094"/>
        </stop>
        <stop position="1">
          <color theme="4"/>
        </stop>
      </gradientFill>
    </fill>
    <fill>
      <patternFill patternType="solid">
        <fgColor theme="2" tint="-0.499984740745262"/>
        <bgColor rgb="FF0066CC"/>
      </patternFill>
    </fill>
    <fill>
      <patternFill patternType="solid">
        <fgColor theme="8" tint="-0.249977111117893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4BC0B2"/>
        <bgColor indexed="64"/>
      </patternFill>
    </fill>
    <fill>
      <gradientFill>
        <stop position="0">
          <color theme="8" tint="-0.25098422193060094"/>
        </stop>
        <stop position="0.5">
          <color theme="0" tint="-5.0965910824915313E-2"/>
        </stop>
        <stop position="1">
          <color theme="8" tint="-0.25098422193060094"/>
        </stop>
      </gradientFill>
    </fill>
    <fill>
      <patternFill patternType="solid">
        <fgColor rgb="FF92D050"/>
        <bgColor rgb="FFFFCC00"/>
      </patternFill>
    </fill>
    <fill>
      <patternFill patternType="solid">
        <fgColor rgb="FF99CCFF"/>
        <bgColor rgb="FFCCCCFF"/>
      </patternFill>
    </fill>
    <fill>
      <patternFill patternType="solid">
        <fgColor theme="3" tint="-0.249977111117893"/>
        <bgColor rgb="FF0066CC"/>
      </patternFill>
    </fill>
    <fill>
      <patternFill patternType="solid">
        <fgColor theme="0" tint="-0.249977111117893"/>
        <bgColor rgb="FF003366"/>
      </patternFill>
    </fill>
    <fill>
      <patternFill patternType="solid">
        <fgColor rgb="FFCCD66F"/>
        <bgColor indexed="64"/>
      </patternFill>
    </fill>
    <fill>
      <patternFill patternType="solid">
        <fgColor theme="6" tint="0.59999389629810485"/>
        <bgColor rgb="FF0066CC"/>
      </patternFill>
    </fill>
    <fill>
      <patternFill patternType="solid">
        <fgColor rgb="FF00B050"/>
        <bgColor rgb="FFFFCC00"/>
      </patternFill>
    </fill>
    <fill>
      <patternFill patternType="solid">
        <fgColor rgb="FFFF3F3F"/>
        <bgColor indexed="64"/>
      </patternFill>
    </fill>
    <fill>
      <patternFill patternType="solid">
        <fgColor rgb="FFC00000"/>
        <bgColor rgb="FF0066CC"/>
      </patternFill>
    </fill>
    <fill>
      <patternFill patternType="solid">
        <fgColor rgb="FFB57298"/>
        <bgColor indexed="64"/>
      </patternFill>
    </fill>
    <fill>
      <patternFill patternType="solid">
        <fgColor theme="3" tint="0.39997558519241921"/>
        <bgColor rgb="FF0066CC"/>
      </patternFill>
    </fill>
    <fill>
      <gradientFill degree="90">
        <stop position="0">
          <color rgb="FF00FFFF"/>
        </stop>
        <stop position="1">
          <color rgb="FFFF00FF"/>
        </stop>
      </gradientFill>
    </fill>
    <fill>
      <patternFill patternType="solid">
        <fgColor rgb="FF7030A0"/>
        <bgColor rgb="FF800080"/>
      </patternFill>
    </fill>
    <fill>
      <patternFill patternType="solid">
        <fgColor theme="6"/>
        <bgColor indexed="64"/>
      </patternFill>
    </fill>
    <fill>
      <gradientFill type="path" left="0.5" right="0.5" top="0.5" bottom="0.5">
        <stop position="0">
          <color rgb="FFFFFF99"/>
        </stop>
        <stop position="1">
          <color rgb="FF0070C0"/>
        </stop>
      </gradientFill>
    </fill>
    <fill>
      <patternFill patternType="solid">
        <fgColor theme="9"/>
        <bgColor auto="1"/>
      </patternFill>
    </fill>
    <fill>
      <patternFill patternType="solid">
        <fgColor rgb="FFFFFFFF"/>
        <bgColor rgb="FFFFCC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8000"/>
        <bgColor rgb="FF008080"/>
      </patternFill>
    </fill>
    <fill>
      <gradientFill degree="90">
        <stop position="0">
          <color theme="0" tint="-0.49803155613879818"/>
        </stop>
        <stop position="1">
          <color theme="6" tint="0.80001220740379042"/>
        </stop>
      </gradientFill>
    </fill>
    <fill>
      <gradientFill>
        <stop position="0">
          <color theme="8" tint="0.80001220740379042"/>
        </stop>
        <stop position="1">
          <color theme="4"/>
        </stop>
      </gradientFill>
    </fill>
    <fill>
      <gradientFill degree="90">
        <stop position="0">
          <color theme="2" tint="-0.49803155613879818"/>
        </stop>
        <stop position="1">
          <color theme="6" tint="0.80001220740379042"/>
        </stop>
      </gradientFill>
    </fill>
    <fill>
      <patternFill patternType="solid">
        <fgColor rgb="FF4BACC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E901C8"/>
        <bgColor indexed="64"/>
      </patternFill>
    </fill>
    <fill>
      <patternFill patternType="solid">
        <fgColor rgb="FFFF9900"/>
        <bgColor rgb="FFFFCC00"/>
      </patternFill>
    </fill>
    <fill>
      <patternFill patternType="solid">
        <fgColor rgb="FF003366"/>
        <bgColor rgb="FF333399"/>
      </patternFill>
    </fill>
    <fill>
      <patternFill patternType="solid">
        <fgColor rgb="FFFFCC00"/>
        <bgColor rgb="FFFF8080"/>
      </patternFill>
    </fill>
    <fill>
      <patternFill patternType="solid">
        <fgColor rgb="FFBF8F00"/>
        <bgColor indexed="64"/>
      </patternFill>
    </fill>
    <fill>
      <gradientFill degree="90">
        <stop position="0">
          <color theme="6" tint="0.40000610370189521"/>
        </stop>
        <stop position="1">
          <color theme="4"/>
        </stop>
      </gradientFill>
    </fill>
    <fill>
      <patternFill patternType="solid">
        <fgColor theme="1" tint="0.34998626667073579"/>
        <bgColor rgb="FF008080"/>
      </patternFill>
    </fill>
    <fill>
      <patternFill patternType="solid">
        <fgColor rgb="FF73EFEF"/>
        <bgColor indexed="64"/>
      </patternFill>
    </fill>
    <fill>
      <gradientFill degree="90">
        <stop position="0">
          <color theme="8" tint="-0.25098422193060094"/>
        </stop>
        <stop position="1">
          <color theme="6" tint="0.40000610370189521"/>
        </stop>
      </gradientFill>
    </fill>
    <fill>
      <patternFill patternType="solid">
        <fgColor rgb="FF00FFFF"/>
        <bgColor rgb="FF008080"/>
      </patternFill>
    </fill>
    <fill>
      <patternFill patternType="solid">
        <fgColor rgb="FFC4984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-0.499984740745262"/>
        <bgColor rgb="FF003366"/>
      </patternFill>
    </fill>
    <fill>
      <patternFill patternType="solid">
        <fgColor rgb="FFB4C6E7"/>
        <bgColor indexed="64"/>
      </patternFill>
    </fill>
    <fill>
      <patternFill patternType="solid">
        <fgColor theme="4" tint="-0.499984740745262"/>
        <bgColor rgb="FF003366"/>
      </patternFill>
    </fill>
    <fill>
      <gradientFill>
        <stop position="0">
          <color theme="8" tint="0.59999389629810485"/>
        </stop>
        <stop position="1">
          <color theme="9" tint="-0.49803155613879818"/>
        </stop>
      </gradientFill>
    </fill>
    <fill>
      <patternFill patternType="solid">
        <fgColor theme="5" tint="-0.249977111117893"/>
        <bgColor rgb="FF003366"/>
      </patternFill>
    </fill>
    <fill>
      <patternFill patternType="solid">
        <fgColor theme="9" tint="-0.249977111117893"/>
        <bgColor rgb="FFFFCC00"/>
      </patternFill>
    </fill>
    <fill>
      <patternFill patternType="solid">
        <fgColor rgb="FF0099FF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rgb="FF333399"/>
      </patternFill>
    </fill>
    <fill>
      <patternFill patternType="solid">
        <fgColor rgb="FFABE2A8"/>
        <bgColor indexed="64"/>
      </patternFill>
    </fill>
    <fill>
      <gradientFill degree="90">
        <stop position="0">
          <color theme="7" tint="0.80001220740379042"/>
        </stop>
        <stop position="1">
          <color theme="7" tint="-0.25098422193060094"/>
        </stop>
      </gradientFill>
    </fill>
    <fill>
      <gradientFill>
        <stop position="0">
          <color theme="8" tint="-0.49803155613879818"/>
        </stop>
        <stop position="0.5">
          <color rgb="FF00FFFF"/>
        </stop>
        <stop position="1">
          <color theme="8" tint="-0.49803155613879818"/>
        </stop>
      </gradientFill>
    </fill>
    <fill>
      <patternFill patternType="solid">
        <fgColor theme="7" tint="0.79998168889431442"/>
        <bgColor indexed="64"/>
      </patternFill>
    </fill>
    <fill>
      <gradientFill degree="180">
        <stop position="0">
          <color theme="1"/>
        </stop>
        <stop position="1">
          <color theme="6" tint="-0.25098422193060094"/>
        </stop>
      </gradientFill>
    </fill>
    <fill>
      <patternFill patternType="solid">
        <fgColor rgb="FF66FFFF"/>
        <bgColor indexed="64"/>
      </patternFill>
    </fill>
    <fill>
      <patternFill patternType="solid">
        <fgColor theme="6" tint="-0.499984740745262"/>
        <bgColor rgb="FF008080"/>
      </patternFill>
    </fill>
    <fill>
      <gradientFill>
        <stop position="0">
          <color theme="0"/>
        </stop>
        <stop position="1">
          <color theme="4"/>
        </stop>
      </gradientFill>
    </fill>
    <fill>
      <gradientFill degree="180">
        <stop position="0">
          <color rgb="FFFF00FF"/>
        </stop>
        <stop position="1">
          <color theme="9" tint="-0.25098422193060094"/>
        </stop>
      </gradientFill>
    </fill>
    <fill>
      <patternFill patternType="solid">
        <fgColor rgb="FF0070C0"/>
        <bgColor rgb="FF0066CC"/>
      </patternFill>
    </fill>
    <fill>
      <patternFill patternType="solid">
        <fgColor theme="5"/>
        <bgColor rgb="FFFFCC00"/>
      </patternFill>
    </fill>
    <fill>
      <gradientFill degree="45">
        <stop position="0">
          <color theme="9" tint="-0.25098422193060094"/>
        </stop>
        <stop position="1">
          <color rgb="FF92D050"/>
        </stop>
      </gradientFill>
    </fill>
    <fill>
      <patternFill patternType="solid">
        <fgColor rgb="FF800080"/>
        <bgColor indexed="64"/>
      </patternFill>
    </fill>
    <fill>
      <patternFill patternType="solid">
        <fgColor rgb="FFFFFF00"/>
        <bgColor rgb="FFFF8080"/>
      </patternFill>
    </fill>
    <fill>
      <patternFill patternType="solid">
        <fgColor theme="8" tint="0.39997558519241921"/>
        <bgColor rgb="FF0066CC"/>
      </patternFill>
    </fill>
    <fill>
      <patternFill patternType="solid">
        <fgColor rgb="FF66CCFF"/>
        <bgColor auto="1"/>
      </patternFill>
    </fill>
    <fill>
      <patternFill patternType="solid">
        <fgColor theme="0" tint="-0.499984740745262"/>
        <bgColor rgb="FF0066CC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8080"/>
      </patternFill>
    </fill>
    <fill>
      <patternFill patternType="solid">
        <fgColor theme="2" tint="-0.249977111117893"/>
        <bgColor rgb="FFFFCC00"/>
      </patternFill>
    </fill>
    <fill>
      <gradientFill degree="90">
        <stop position="0">
          <color rgb="FFFFC000"/>
        </stop>
        <stop position="0.5">
          <color rgb="FFFF9900"/>
        </stop>
        <stop position="1">
          <color rgb="FFFFC000"/>
        </stop>
      </gradientFill>
    </fill>
    <fill>
      <patternFill patternType="solid">
        <fgColor rgb="FFC00000"/>
        <bgColor rgb="FF993300"/>
      </patternFill>
    </fill>
    <fill>
      <patternFill patternType="solid">
        <fgColor theme="2" tint="-0.249977111117893"/>
        <bgColor indexed="64"/>
      </patternFill>
    </fill>
    <fill>
      <gradientFill>
        <stop position="0">
          <color rgb="FF00FFFF"/>
        </stop>
        <stop position="0.5">
          <color rgb="FF7CF91F"/>
        </stop>
        <stop position="1">
          <color rgb="FF00FFFF"/>
        </stop>
      </gradientFill>
    </fill>
    <fill>
      <patternFill patternType="solid">
        <fgColor rgb="FF974706"/>
        <bgColor indexed="64"/>
      </patternFill>
    </fill>
    <fill>
      <gradientFill degree="90">
        <stop position="0">
          <color theme="3" tint="0.80001220740379042"/>
        </stop>
        <stop position="1">
          <color rgb="FF4F81BD"/>
        </stop>
      </gradientFill>
    </fill>
    <fill>
      <patternFill patternType="solid">
        <fgColor theme="5" tint="0.59999389629810485"/>
        <bgColor indexed="64"/>
      </patternFill>
    </fill>
    <fill>
      <gradientFill degree="90">
        <stop position="0">
          <color rgb="FF4F81BD"/>
        </stop>
        <stop position="1">
          <color theme="2" tint="-0.25098422193060094"/>
        </stop>
      </gradientFill>
    </fill>
    <fill>
      <patternFill patternType="solid">
        <fgColor theme="5" tint="0.59999389629810485"/>
        <bgColor rgb="FF0066CC"/>
      </patternFill>
    </fill>
    <fill>
      <patternFill patternType="solid">
        <fgColor theme="6"/>
        <bgColor rgb="FF0066CC"/>
      </patternFill>
    </fill>
    <fill>
      <gradientFill degree="90">
        <stop position="0">
          <color theme="2"/>
        </stop>
        <stop position="1">
          <color rgb="FFFFFF99"/>
        </stop>
      </gradientFill>
    </fill>
    <fill>
      <gradientFill degree="135">
        <stop position="0">
          <color theme="0"/>
        </stop>
        <stop position="0.5">
          <color rgb="FFBBD828"/>
        </stop>
        <stop position="1">
          <color theme="0"/>
        </stop>
      </gradientFill>
    </fill>
    <fill>
      <patternFill patternType="lightUp">
        <fgColor rgb="FFE6B8B7"/>
        <bgColor theme="5" tint="0.39997558519241921"/>
      </patternFill>
    </fill>
    <fill>
      <patternFill patternType="solid">
        <fgColor theme="6" tint="-0.499984740745262"/>
        <bgColor rgb="FF0066CC"/>
      </patternFill>
    </fill>
    <fill>
      <patternFill patternType="solid">
        <fgColor theme="7"/>
        <bgColor rgb="FF000000"/>
      </patternFill>
    </fill>
    <fill>
      <gradientFill type="path" degree="180" left="0.5" right="0.5" top="0.5" bottom="0.5">
        <stop position="0">
          <color rgb="FF00B050"/>
        </stop>
        <stop position="1">
          <color rgb="FFFFFF00"/>
        </stop>
      </gradientFill>
    </fill>
    <fill>
      <patternFill patternType="solid">
        <fgColor theme="1" tint="0.249977111117893"/>
        <bgColor indexed="64"/>
      </patternFill>
    </fill>
    <fill>
      <patternFill patternType="lightTrellis">
        <fgColor theme="9"/>
        <bgColor theme="9" tint="-0.499984740745262"/>
      </patternFill>
    </fill>
    <fill>
      <patternFill patternType="solid">
        <fgColor theme="9" tint="-0.249977111117893"/>
        <bgColor rgb="FF0066CC"/>
      </patternFill>
    </fill>
    <fill>
      <patternFill patternType="gray0625">
        <fgColor auto="1"/>
        <bgColor rgb="FFFF0000"/>
      </patternFill>
    </fill>
    <fill>
      <patternFill patternType="solid">
        <fgColor rgb="FF0066FF"/>
        <bgColor rgb="FF0066CC"/>
      </patternFill>
    </fill>
    <fill>
      <gradientFill degree="270">
        <stop position="0">
          <color rgb="FF00B050"/>
        </stop>
        <stop position="1">
          <color theme="2"/>
        </stop>
      </gradientFill>
    </fill>
    <fill>
      <gradientFill degree="45">
        <stop position="0">
          <color rgb="FFFF0000"/>
        </stop>
        <stop position="0.5">
          <color theme="9" tint="0.80001220740379042"/>
        </stop>
        <stop position="1">
          <color rgb="FFFF0000"/>
        </stop>
      </gradientFill>
    </fill>
    <fill>
      <patternFill patternType="solid">
        <fgColor theme="4" tint="0.39997558519241921"/>
        <bgColor rgb="FF0066CC"/>
      </patternFill>
    </fill>
    <fill>
      <gradientFill type="path" top="1" bottom="1">
        <stop position="0">
          <color theme="5"/>
        </stop>
        <stop position="1">
          <color rgb="FF00B0F0"/>
        </stop>
      </gradientFill>
    </fill>
    <fill>
      <patternFill patternType="solid">
        <fgColor theme="8" tint="0.79998168889431442"/>
        <bgColor auto="1"/>
      </patternFill>
    </fill>
    <fill>
      <gradientFill degree="45">
        <stop position="0">
          <color theme="0"/>
        </stop>
        <stop position="1">
          <color theme="2" tint="-0.25098422193060094"/>
        </stop>
      </gradientFill>
    </fill>
    <fill>
      <gradientFill type="path">
        <stop position="0">
          <color theme="9" tint="-0.25098422193060094"/>
        </stop>
        <stop position="1">
          <color rgb="FFFFFF00"/>
        </stop>
      </gradientFill>
    </fill>
    <fill>
      <gradientFill type="path" left="0.5" right="0.5" top="0.5" bottom="0.5">
        <stop position="0">
          <color theme="0"/>
        </stop>
        <stop position="1">
          <color rgb="FFFF0000"/>
        </stop>
      </gradientFill>
    </fill>
    <fill>
      <patternFill patternType="solid">
        <fgColor theme="9" tint="0.79998168889431442"/>
        <bgColor rgb="FF0066CC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7" tint="-0.499984740745262"/>
        <bgColor rgb="FF993300"/>
      </patternFill>
    </fill>
    <fill>
      <patternFill patternType="solid">
        <fgColor theme="7"/>
        <bgColor rgb="FF0066CC"/>
      </patternFill>
    </fill>
    <fill>
      <patternFill patternType="solid">
        <fgColor rgb="FF6699FF"/>
        <bgColor rgb="FF003366"/>
      </patternFill>
    </fill>
    <fill>
      <gradientFill degree="90">
        <stop position="0">
          <color theme="9" tint="-0.25098422193060094"/>
        </stop>
        <stop position="1">
          <color rgb="FFFFFF00"/>
        </stop>
      </gradientFill>
    </fill>
    <fill>
      <gradientFill type="path" top="1" bottom="1">
        <stop position="0">
          <color theme="8"/>
        </stop>
        <stop position="1">
          <color rgb="FF66FF66"/>
        </stop>
      </gradientFill>
    </fill>
    <fill>
      <gradientFill degree="45">
        <stop position="0">
          <color theme="8" tint="0.59999389629810485"/>
        </stop>
        <stop position="0.5">
          <color theme="8" tint="-0.25098422193060094"/>
        </stop>
        <stop position="1">
          <color theme="8" tint="0.59999389629810485"/>
        </stop>
      </gradientFill>
    </fill>
    <fill>
      <patternFill patternType="solid">
        <fgColor theme="9" tint="0.59999389629810485"/>
        <bgColor rgb="FF008080"/>
      </patternFill>
    </fill>
    <fill>
      <gradientFill>
        <stop position="0">
          <color theme="1"/>
        </stop>
        <stop position="0.5">
          <color rgb="FF99FF33"/>
        </stop>
        <stop position="1">
          <color theme="1"/>
        </stop>
      </gradientFill>
    </fill>
    <fill>
      <patternFill patternType="solid">
        <fgColor theme="7"/>
        <bgColor indexed="64"/>
      </patternFill>
    </fill>
    <fill>
      <gradientFill degree="225">
        <stop position="0">
          <color theme="8" tint="0.80001220740379042"/>
        </stop>
        <stop position="1">
          <color theme="3" tint="-0.25098422193060094"/>
        </stop>
      </gradientFill>
    </fill>
    <fill>
      <gradientFill degree="45">
        <stop position="0">
          <color theme="9" tint="0.80001220740379042"/>
        </stop>
        <stop position="0.5">
          <color rgb="FFFF9900"/>
        </stop>
        <stop position="1">
          <color theme="9" tint="0.80001220740379042"/>
        </stop>
      </gradientFill>
    </fill>
    <fill>
      <gradientFill type="path" left="0.5" right="0.5" top="0.5" bottom="0.5">
        <stop position="0">
          <color theme="9" tint="0.80001220740379042"/>
        </stop>
        <stop position="1">
          <color theme="9" tint="-0.25098422193060094"/>
        </stop>
      </gradientFill>
    </fill>
    <fill>
      <patternFill patternType="solid">
        <fgColor theme="5" tint="0.39997558519241921"/>
        <bgColor rgb="FF0066CC"/>
      </patternFill>
    </fill>
    <fill>
      <gradientFill degree="90">
        <stop position="0">
          <color rgb="FF99CC00"/>
        </stop>
        <stop position="0.5">
          <color rgb="FFCC99FF"/>
        </stop>
        <stop position="1">
          <color rgb="FF99CC00"/>
        </stop>
      </gradientFill>
    </fill>
    <fill>
      <gradientFill degree="90">
        <stop position="0">
          <color theme="2"/>
        </stop>
        <stop position="1">
          <color theme="8" tint="0.59999389629810485"/>
        </stop>
      </gradientFill>
    </fill>
    <fill>
      <gradientFill degree="90">
        <stop position="0">
          <color theme="6" tint="-0.25098422193060094"/>
        </stop>
        <stop position="1">
          <color rgb="FF00B050"/>
        </stop>
      </gradientFill>
    </fill>
    <fill>
      <gradientFill degree="270">
        <stop position="0">
          <color theme="7" tint="0.40000610370189521"/>
        </stop>
        <stop position="1">
          <color rgb="FF7030A0"/>
        </stop>
      </gradientFill>
    </fill>
    <fill>
      <patternFill patternType="solid">
        <fgColor rgb="FFB6DEE8"/>
        <bgColor auto="1"/>
      </patternFill>
    </fill>
    <fill>
      <patternFill patternType="solid">
        <fgColor theme="8"/>
        <bgColor auto="1"/>
      </patternFill>
    </fill>
    <fill>
      <gradientFill degree="90">
        <stop position="0">
          <color rgb="FFFFCC00"/>
        </stop>
        <stop position="0.5">
          <color rgb="FFFFFF99"/>
        </stop>
        <stop position="1">
          <color rgb="FFFFCC00"/>
        </stop>
      </gradientFill>
    </fill>
    <fill>
      <patternFill patternType="solid">
        <fgColor rgb="FFCC3300"/>
        <bgColor rgb="FF0066CC"/>
      </patternFill>
    </fill>
    <fill>
      <gradientFill degree="45">
        <stop position="0">
          <color theme="0"/>
        </stop>
        <stop position="0.5">
          <color theme="3" tint="0.59999389629810485"/>
        </stop>
        <stop position="1">
          <color theme="0"/>
        </stop>
      </gradientFill>
    </fill>
    <fill>
      <patternFill patternType="solid">
        <fgColor theme="6" tint="0.39997558519241921"/>
        <bgColor rgb="FF0066CC"/>
      </patternFill>
    </fill>
    <fill>
      <patternFill patternType="solid">
        <fgColor theme="8" tint="-0.249977111117893"/>
        <bgColor rgb="FF0066CC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 tint="-0.249977111117893"/>
        <bgColor rgb="FF0066CC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0" tint="-0.14999847407452621"/>
        <bgColor rgb="FFCCCCFF"/>
      </patternFill>
    </fill>
    <fill>
      <patternFill patternType="solid">
        <fgColor theme="7" tint="0.59999389629810485"/>
        <bgColor rgb="FFFFCC00"/>
      </patternFill>
    </fill>
    <fill>
      <patternFill patternType="solid">
        <fgColor theme="4" tint="-0.249977111117893"/>
        <bgColor rgb="FF0066CC"/>
      </patternFill>
    </fill>
    <fill>
      <patternFill patternType="solid">
        <fgColor rgb="FF7030A0"/>
        <bgColor rgb="FF0066CC"/>
      </patternFill>
    </fill>
    <fill>
      <patternFill patternType="solid">
        <fgColor theme="3" tint="0.39997558519241921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2" tint="-0.499984740745262"/>
        <bgColor rgb="FF000000"/>
      </patternFill>
    </fill>
    <fill>
      <gradientFill>
        <stop position="0">
          <color theme="0"/>
        </stop>
        <stop position="0.5">
          <color rgb="FFFF0000"/>
        </stop>
        <stop position="1">
          <color theme="0"/>
        </stop>
      </gradientFill>
    </fill>
    <fill>
      <patternFill patternType="solid">
        <fgColor rgb="FF9900CC"/>
        <bgColor rgb="FF000000"/>
      </patternFill>
    </fill>
    <fill>
      <gradientFill degree="90">
        <stop position="0">
          <color rgb="FFFFFF00"/>
        </stop>
        <stop position="1">
          <color rgb="FF00FFFF"/>
        </stop>
      </gradientFill>
    </fill>
    <fill>
      <patternFill patternType="solid">
        <fgColor theme="4" tint="0.79998168889431442"/>
        <bgColor rgb="FF000000"/>
      </patternFill>
    </fill>
    <fill>
      <gradientFill degree="90">
        <stop position="0">
          <color theme="2" tint="-9.8025452436902985E-2"/>
        </stop>
        <stop position="1">
          <color theme="2" tint="-0.74901577806939912"/>
        </stop>
      </gradientFill>
    </fill>
    <fill>
      <patternFill patternType="solid">
        <fgColor theme="9" tint="0.39997558519241921"/>
        <bgColor rgb="FF000000"/>
      </patternFill>
    </fill>
    <fill>
      <gradientFill degree="90">
        <stop position="0">
          <color rgb="FFFFFF00"/>
        </stop>
        <stop position="1">
          <color rgb="FFFF0000"/>
        </stop>
      </gradientFill>
    </fill>
    <fill>
      <patternFill patternType="solid">
        <fgColor theme="0" tint="-0.249977111117893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0066CC"/>
      </patternFill>
    </fill>
    <fill>
      <patternFill patternType="gray0625">
        <fgColor theme="4" tint="0.39994506668294322"/>
        <bgColor theme="0"/>
      </patternFill>
    </fill>
    <fill>
      <patternFill patternType="solid">
        <fgColor theme="0"/>
        <bgColor rgb="FFFFFFFF"/>
      </patternFill>
    </fill>
  </fills>
  <borders count="9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/>
      <diagonal/>
    </border>
    <border>
      <left/>
      <right style="mediumDashed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 style="mediumDashed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rgb="FF000000"/>
      </bottom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 style="thin">
        <color rgb="FF000000"/>
      </bottom>
      <diagonal/>
    </border>
    <border>
      <left style="mediumDashed">
        <color auto="1"/>
      </left>
      <right/>
      <top/>
      <bottom/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Dashed">
        <color auto="1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rgb="FF000000"/>
      </bottom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</borders>
  <cellStyleXfs count="243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6" applyNumberFormat="0" applyAlignment="0" applyProtection="0"/>
    <xf numFmtId="0" fontId="14" fillId="22" borderId="7" applyNumberFormat="0" applyAlignment="0" applyProtection="0"/>
    <xf numFmtId="0" fontId="15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7" fillId="29" borderId="6" applyNumberFormat="0" applyAlignment="0" applyProtection="0"/>
    <xf numFmtId="0" fontId="5" fillId="0" borderId="0">
      <alignment vertical="top"/>
    </xf>
    <xf numFmtId="0" fontId="1" fillId="0" borderId="0"/>
    <xf numFmtId="0" fontId="7" fillId="30" borderId="0"/>
    <xf numFmtId="0" fontId="18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19" fillId="31" borderId="0" applyNumberFormat="0" applyBorder="0" applyAlignment="0" applyProtection="0"/>
    <xf numFmtId="168" fontId="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5" fillId="0" borderId="0"/>
    <xf numFmtId="43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5" fillId="0" borderId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20" fillId="32" borderId="0" applyNumberFormat="0" applyBorder="0" applyAlignment="0" applyProtection="0"/>
    <xf numFmtId="0" fontId="2" fillId="0" borderId="0">
      <alignment vertical="top"/>
    </xf>
    <xf numFmtId="0" fontId="2" fillId="0" borderId="0">
      <alignment vertical="top"/>
    </xf>
    <xf numFmtId="0" fontId="21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1" fillId="0" borderId="0"/>
    <xf numFmtId="0" fontId="9" fillId="0" borderId="0">
      <alignment vertical="center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10" fillId="0" borderId="0"/>
    <xf numFmtId="0" fontId="5" fillId="0" borderId="0"/>
    <xf numFmtId="0" fontId="2" fillId="0" borderId="0">
      <alignment vertical="top"/>
    </xf>
    <xf numFmtId="0" fontId="2" fillId="0" borderId="0">
      <protection locked="0"/>
    </xf>
    <xf numFmtId="0" fontId="5" fillId="0" borderId="0"/>
    <xf numFmtId="0" fontId="5" fillId="0" borderId="0"/>
    <xf numFmtId="0" fontId="2" fillId="0" borderId="0">
      <alignment vertical="top"/>
    </xf>
    <xf numFmtId="0" fontId="5" fillId="0" borderId="0"/>
    <xf numFmtId="0" fontId="5" fillId="0" borderId="0"/>
    <xf numFmtId="0" fontId="10" fillId="0" borderId="0"/>
    <xf numFmtId="0" fontId="1" fillId="0" borderId="0"/>
    <xf numFmtId="0" fontId="10" fillId="0" borderId="0"/>
    <xf numFmtId="0" fontId="2" fillId="0" borderId="0"/>
    <xf numFmtId="0" fontId="2" fillId="0" borderId="0"/>
    <xf numFmtId="0" fontId="2" fillId="0" borderId="0"/>
    <xf numFmtId="0" fontId="2" fillId="0" borderId="0">
      <alignment vertical="top"/>
    </xf>
    <xf numFmtId="0" fontId="2" fillId="0" borderId="0"/>
    <xf numFmtId="0" fontId="2" fillId="0" borderId="0">
      <protection locked="0"/>
    </xf>
    <xf numFmtId="0" fontId="22" fillId="0" borderId="0" applyNumberFormat="0" applyBorder="0" applyProtection="0"/>
    <xf numFmtId="0" fontId="2" fillId="0" borderId="0">
      <protection locked="0"/>
    </xf>
    <xf numFmtId="0" fontId="2" fillId="0" borderId="0"/>
    <xf numFmtId="0" fontId="2" fillId="0" borderId="0"/>
    <xf numFmtId="0" fontId="10" fillId="0" borderId="0"/>
    <xf numFmtId="0" fontId="22" fillId="0" borderId="0" applyNumberFormat="0" applyBorder="0" applyProtection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protection locked="0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4" fillId="0" borderId="0">
      <alignment vertical="top"/>
    </xf>
    <xf numFmtId="0" fontId="2" fillId="0" borderId="0"/>
    <xf numFmtId="0" fontId="2" fillId="0" borderId="0">
      <protection locked="0"/>
    </xf>
    <xf numFmtId="0" fontId="10" fillId="0" borderId="0"/>
    <xf numFmtId="0" fontId="2" fillId="0" borderId="0">
      <alignment vertical="top"/>
    </xf>
    <xf numFmtId="0" fontId="4" fillId="0" borderId="0">
      <alignment vertical="top"/>
    </xf>
    <xf numFmtId="0" fontId="5" fillId="0" borderId="0">
      <alignment vertical="top"/>
    </xf>
    <xf numFmtId="0" fontId="2" fillId="0" borderId="0">
      <alignment vertical="top"/>
    </xf>
    <xf numFmtId="0" fontId="5" fillId="0" borderId="0">
      <alignment vertical="top"/>
    </xf>
    <xf numFmtId="0" fontId="1" fillId="0" borderId="0"/>
    <xf numFmtId="0" fontId="2" fillId="0" borderId="0"/>
    <xf numFmtId="0" fontId="5" fillId="0" borderId="0"/>
    <xf numFmtId="0" fontId="1" fillId="0" borderId="0"/>
    <xf numFmtId="0" fontId="2" fillId="0" borderId="0"/>
    <xf numFmtId="0" fontId="10" fillId="0" borderId="0"/>
    <xf numFmtId="0" fontId="2" fillId="0" borderId="0"/>
    <xf numFmtId="0" fontId="10" fillId="0" borderId="0"/>
    <xf numFmtId="0" fontId="5" fillId="0" borderId="0"/>
    <xf numFmtId="0" fontId="2" fillId="0" borderId="0">
      <alignment vertical="top"/>
    </xf>
    <xf numFmtId="0" fontId="1" fillId="0" borderId="0"/>
    <xf numFmtId="0" fontId="10" fillId="0" borderId="0"/>
    <xf numFmtId="0" fontId="10" fillId="0" borderId="0"/>
    <xf numFmtId="0" fontId="2" fillId="0" borderId="0">
      <alignment vertical="top"/>
    </xf>
    <xf numFmtId="0" fontId="10" fillId="0" borderId="0"/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2" fillId="0" borderId="0">
      <alignment vertical="top"/>
    </xf>
    <xf numFmtId="0" fontId="8" fillId="0" borderId="0"/>
    <xf numFmtId="0" fontId="10" fillId="33" borderId="9" applyNumberFormat="0" applyFont="0" applyAlignment="0" applyProtection="0"/>
    <xf numFmtId="0" fontId="10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0" fontId="1" fillId="33" borderId="9" applyNumberFormat="0" applyFont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21" borderId="10" applyNumberFormat="0" applyAlignment="0" applyProtection="0"/>
    <xf numFmtId="0" fontId="5" fillId="0" borderId="0">
      <alignment vertical="top"/>
    </xf>
    <xf numFmtId="0" fontId="5" fillId="0" borderId="0">
      <alignment vertical="top"/>
    </xf>
    <xf numFmtId="0" fontId="22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11" applyNumberFormat="0" applyFill="0" applyAlignment="0" applyProtection="0"/>
    <xf numFmtId="0" fontId="28" fillId="0" borderId="12" applyNumberFormat="0" applyFill="0" applyAlignment="0" applyProtection="0"/>
    <xf numFmtId="0" fontId="16" fillId="0" borderId="13" applyNumberFormat="0" applyFill="0" applyAlignment="0" applyProtection="0"/>
    <xf numFmtId="0" fontId="29" fillId="0" borderId="14" applyNumberFormat="0" applyFill="0" applyAlignment="0" applyProtection="0"/>
    <xf numFmtId="0" fontId="2" fillId="0" borderId="0">
      <alignment vertical="top"/>
    </xf>
    <xf numFmtId="167" fontId="1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2" fillId="0" borderId="0"/>
    <xf numFmtId="0" fontId="1" fillId="0" borderId="0" applyFont="0" applyFill="0" applyBorder="0" applyAlignment="0" applyProtection="0"/>
    <xf numFmtId="0" fontId="2" fillId="0" borderId="0">
      <alignment vertical="top"/>
    </xf>
    <xf numFmtId="0" fontId="2" fillId="0" borderId="0">
      <protection locked="0"/>
    </xf>
    <xf numFmtId="0" fontId="91" fillId="0" borderId="0">
      <alignment vertical="top"/>
    </xf>
  </cellStyleXfs>
  <cellXfs count="1221">
    <xf numFmtId="0" fontId="0" fillId="0" borderId="0" xfId="0"/>
    <xf numFmtId="0" fontId="0" fillId="0" borderId="0" xfId="0" applyAlignment="1">
      <alignment horizontal="center" vertical="center"/>
    </xf>
    <xf numFmtId="0" fontId="29" fillId="0" borderId="0" xfId="0" applyFont="1" applyAlignment="1">
      <alignment horizontal="center"/>
    </xf>
    <xf numFmtId="0" fontId="5" fillId="0" borderId="0" xfId="0" applyFont="1" applyAlignment="1" applyProtection="1">
      <alignment horizontal="center" vertical="center"/>
      <protection locked="0"/>
    </xf>
    <xf numFmtId="0" fontId="5" fillId="58" borderId="0" xfId="0" applyFont="1" applyFill="1" applyAlignment="1">
      <alignment horizontal="center" vertical="center"/>
    </xf>
    <xf numFmtId="0" fontId="38" fillId="59" borderId="1" xfId="139" applyFont="1" applyFill="1" applyBorder="1" applyAlignment="1">
      <alignment horizontal="center" vertical="center" shrinkToFit="1"/>
    </xf>
    <xf numFmtId="0" fontId="39" fillId="60" borderId="1" xfId="139" applyFont="1" applyFill="1" applyBorder="1" applyAlignment="1">
      <alignment horizontal="center" vertical="center" shrinkToFit="1"/>
    </xf>
    <xf numFmtId="0" fontId="40" fillId="61" borderId="1" xfId="0" applyFont="1" applyFill="1" applyBorder="1" applyAlignment="1">
      <alignment horizontal="center" vertical="center"/>
    </xf>
    <xf numFmtId="0" fontId="41" fillId="62" borderId="1" xfId="0" applyFont="1" applyFill="1" applyBorder="1" applyAlignment="1">
      <alignment horizontal="center" vertical="center"/>
    </xf>
    <xf numFmtId="0" fontId="42" fillId="63" borderId="1" xfId="0" applyFont="1" applyFill="1" applyBorder="1" applyAlignment="1">
      <alignment horizontal="center" vertical="center"/>
    </xf>
    <xf numFmtId="0" fontId="43" fillId="50" borderId="1" xfId="0" applyFont="1" applyFill="1" applyBorder="1" applyAlignment="1">
      <alignment horizontal="center" vertical="center"/>
    </xf>
    <xf numFmtId="0" fontId="43" fillId="64" borderId="1" xfId="0" applyFont="1" applyFill="1" applyBorder="1" applyAlignment="1">
      <alignment horizontal="center" vertical="center"/>
    </xf>
    <xf numFmtId="0" fontId="5" fillId="0" borderId="22" xfId="0" applyFont="1" applyBorder="1" applyAlignment="1" applyProtection="1">
      <alignment horizontal="center" vertical="center"/>
      <protection locked="0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shrinkToFit="1"/>
    </xf>
    <xf numFmtId="0" fontId="46" fillId="0" borderId="23" xfId="0" applyFont="1" applyBorder="1"/>
    <xf numFmtId="0" fontId="47" fillId="0" borderId="0" xfId="0" applyFont="1" applyAlignment="1">
      <alignment horizontal="center" vertical="center"/>
    </xf>
    <xf numFmtId="0" fontId="37" fillId="38" borderId="0" xfId="0" applyFont="1" applyFill="1" applyAlignment="1">
      <alignment horizontal="center" vertical="center"/>
    </xf>
    <xf numFmtId="0" fontId="48" fillId="58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49" fillId="0" borderId="0" xfId="0" applyFont="1" applyAlignment="1">
      <alignment horizontal="center" vertical="center" shrinkToFit="1"/>
    </xf>
    <xf numFmtId="170" fontId="5" fillId="0" borderId="0" xfId="0" applyNumberFormat="1" applyFont="1" applyAlignment="1">
      <alignment horizontal="center" vertical="center" shrinkToFit="1"/>
    </xf>
    <xf numFmtId="0" fontId="1" fillId="0" borderId="23" xfId="0" applyFont="1" applyBorder="1"/>
    <xf numFmtId="0" fontId="48" fillId="65" borderId="2" xfId="128" applyFont="1" applyFill="1" applyBorder="1" applyAlignment="1">
      <alignment horizontal="center" vertical="center" shrinkToFit="1"/>
    </xf>
    <xf numFmtId="0" fontId="50" fillId="38" borderId="0" xfId="0" applyFont="1" applyFill="1" applyAlignment="1">
      <alignment horizontal="center" vertical="center"/>
    </xf>
    <xf numFmtId="0" fontId="51" fillId="0" borderId="0" xfId="0" applyFont="1" applyAlignment="1" applyProtection="1">
      <alignment vertical="center"/>
      <protection locked="0"/>
    </xf>
    <xf numFmtId="0" fontId="34" fillId="0" borderId="0" xfId="0" applyFont="1" applyAlignment="1">
      <alignment horizontal="center" vertical="center"/>
    </xf>
    <xf numFmtId="0" fontId="2" fillId="0" borderId="23" xfId="0" applyFont="1" applyBorder="1"/>
    <xf numFmtId="0" fontId="50" fillId="65" borderId="1" xfId="128" applyFont="1" applyFill="1" applyBorder="1" applyAlignment="1">
      <alignment horizontal="center" vertical="center" shrinkToFit="1"/>
    </xf>
    <xf numFmtId="0" fontId="52" fillId="0" borderId="0" xfId="0" applyFont="1" applyAlignment="1">
      <alignment horizontal="center" vertical="center" shrinkToFit="1"/>
    </xf>
    <xf numFmtId="0" fontId="49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52" fillId="0" borderId="23" xfId="0" applyFont="1" applyBorder="1"/>
    <xf numFmtId="0" fontId="50" fillId="66" borderId="24" xfId="128" applyFont="1" applyFill="1" applyBorder="1" applyAlignment="1">
      <alignment horizontal="center" vertical="center" shrinkToFit="1"/>
    </xf>
    <xf numFmtId="0" fontId="54" fillId="0" borderId="0" xfId="0" applyFont="1" applyAlignment="1" applyProtection="1">
      <alignment horizontal="center" vertical="center"/>
      <protection locked="0"/>
    </xf>
    <xf numFmtId="0" fontId="55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3" fillId="0" borderId="0" xfId="0" applyNumberFormat="1" applyFont="1" applyAlignment="1">
      <alignment horizontal="center" vertical="center"/>
    </xf>
    <xf numFmtId="0" fontId="47" fillId="0" borderId="23" xfId="0" applyFont="1" applyBorder="1" applyAlignment="1">
      <alignment horizontal="center" vertical="center"/>
    </xf>
    <xf numFmtId="0" fontId="56" fillId="0" borderId="23" xfId="0" applyFont="1" applyBorder="1"/>
    <xf numFmtId="0" fontId="57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0" fontId="58" fillId="0" borderId="23" xfId="0" applyFont="1" applyBorder="1"/>
    <xf numFmtId="0" fontId="59" fillId="67" borderId="24" xfId="124" applyFont="1" applyFill="1" applyBorder="1" applyAlignment="1">
      <alignment horizontal="center"/>
    </xf>
    <xf numFmtId="0" fontId="0" fillId="0" borderId="0" xfId="0" applyProtection="1">
      <protection locked="0"/>
    </xf>
    <xf numFmtId="0" fontId="60" fillId="0" borderId="0" xfId="0" applyFont="1" applyAlignment="1">
      <alignment horizontal="center" vertical="center" shrinkToFit="1"/>
    </xf>
    <xf numFmtId="0" fontId="5" fillId="0" borderId="0" xfId="0" applyFont="1" applyAlignment="1">
      <alignment horizontal="center" vertical="center" shrinkToFit="1"/>
    </xf>
    <xf numFmtId="0" fontId="60" fillId="0" borderId="22" xfId="0" applyFont="1" applyBorder="1" applyAlignment="1">
      <alignment horizontal="center" vertical="center" shrinkToFit="1"/>
    </xf>
    <xf numFmtId="0" fontId="61" fillId="44" borderId="25" xfId="128" applyFont="1" applyFill="1" applyBorder="1" applyAlignment="1">
      <alignment horizontal="center" vertical="center" shrinkToFit="1"/>
    </xf>
    <xf numFmtId="0" fontId="0" fillId="0" borderId="26" xfId="0" applyBorder="1" applyProtection="1">
      <protection locked="0"/>
    </xf>
    <xf numFmtId="0" fontId="0" fillId="0" borderId="26" xfId="0" applyBorder="1"/>
    <xf numFmtId="0" fontId="62" fillId="68" borderId="1" xfId="128" applyFont="1" applyFill="1" applyBorder="1" applyAlignment="1">
      <alignment horizontal="center" vertical="center" shrinkToFit="1"/>
    </xf>
    <xf numFmtId="0" fontId="32" fillId="0" borderId="26" xfId="0" applyFont="1" applyBorder="1" applyProtection="1"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48" fillId="65" borderId="28" xfId="128" applyFont="1" applyFill="1" applyBorder="1" applyAlignment="1">
      <alignment horizontal="center" vertical="center" shrinkToFit="1"/>
    </xf>
    <xf numFmtId="0" fontId="0" fillId="69" borderId="0" xfId="0" applyFill="1"/>
    <xf numFmtId="0" fontId="65" fillId="0" borderId="0" xfId="0" applyFont="1" applyAlignment="1" applyProtection="1">
      <alignment horizontal="center" vertical="center"/>
      <protection locked="0"/>
    </xf>
    <xf numFmtId="0" fontId="66" fillId="70" borderId="18" xfId="124" applyFont="1" applyFill="1" applyBorder="1" applyAlignment="1">
      <alignment horizontal="center"/>
    </xf>
    <xf numFmtId="0" fontId="45" fillId="0" borderId="0" xfId="0" applyFont="1" applyAlignment="1" applyProtection="1">
      <alignment horizontal="center" vertical="center"/>
      <protection locked="0"/>
    </xf>
    <xf numFmtId="0" fontId="67" fillId="71" borderId="1" xfId="128" applyFont="1" applyFill="1" applyBorder="1" applyAlignment="1">
      <alignment horizontal="center" vertical="center" shrinkToFit="1"/>
    </xf>
    <xf numFmtId="0" fontId="50" fillId="65" borderId="33" xfId="128" applyFont="1" applyFill="1" applyBorder="1" applyAlignment="1">
      <alignment horizontal="center" vertical="center" shrinkToFit="1"/>
    </xf>
    <xf numFmtId="0" fontId="50" fillId="66" borderId="33" xfId="128" applyFont="1" applyFill="1" applyBorder="1" applyAlignment="1">
      <alignment horizontal="center" vertical="center" shrinkToFit="1"/>
    </xf>
    <xf numFmtId="0" fontId="67" fillId="71" borderId="33" xfId="128" applyFont="1" applyFill="1" applyBorder="1" applyAlignment="1">
      <alignment horizontal="center" vertical="center" shrinkToFit="1"/>
    </xf>
    <xf numFmtId="0" fontId="45" fillId="72" borderId="0" xfId="0" applyFont="1" applyFill="1" applyAlignment="1" applyProtection="1">
      <alignment horizontal="center" vertical="center"/>
      <protection locked="0"/>
    </xf>
    <xf numFmtId="0" fontId="5" fillId="72" borderId="0" xfId="0" applyFont="1" applyFill="1" applyAlignment="1" applyProtection="1">
      <alignment horizontal="center" vertical="center"/>
      <protection locked="0"/>
    </xf>
    <xf numFmtId="0" fontId="49" fillId="0" borderId="0" xfId="0" applyFont="1" applyAlignment="1" applyProtection="1">
      <alignment horizontal="center" vertical="center"/>
      <protection locked="0"/>
    </xf>
    <xf numFmtId="0" fontId="68" fillId="35" borderId="0" xfId="0" applyFont="1" applyFill="1"/>
    <xf numFmtId="0" fontId="0" fillId="0" borderId="22" xfId="0" applyBorder="1" applyAlignment="1">
      <alignment horizontal="center" vertical="center"/>
    </xf>
    <xf numFmtId="0" fontId="69" fillId="73" borderId="0" xfId="0" applyFont="1" applyFill="1" applyAlignment="1">
      <alignment horizontal="center" vertical="center"/>
    </xf>
    <xf numFmtId="0" fontId="0" fillId="72" borderId="0" xfId="0" applyFill="1"/>
    <xf numFmtId="0" fontId="70" fillId="0" borderId="0" xfId="0" applyFont="1" applyAlignment="1">
      <alignment horizontal="center" vertical="center"/>
    </xf>
    <xf numFmtId="0" fontId="62" fillId="65" borderId="0" xfId="0" applyFont="1" applyFill="1" applyAlignment="1">
      <alignment horizontal="center"/>
    </xf>
    <xf numFmtId="0" fontId="2" fillId="65" borderId="0" xfId="0" applyFont="1" applyFill="1" applyAlignment="1">
      <alignment horizontal="center"/>
    </xf>
    <xf numFmtId="0" fontId="48" fillId="65" borderId="0" xfId="0" applyFont="1" applyFill="1" applyAlignment="1">
      <alignment horizontal="center"/>
    </xf>
    <xf numFmtId="0" fontId="5" fillId="0" borderId="23" xfId="0" applyFont="1" applyBorder="1" applyAlignment="1" applyProtection="1">
      <alignment horizontal="center" vertical="center"/>
      <protection locked="0"/>
    </xf>
    <xf numFmtId="0" fontId="68" fillId="35" borderId="0" xfId="0" applyFont="1" applyFill="1" applyAlignment="1">
      <alignment horizontal="center" vertical="center"/>
    </xf>
    <xf numFmtId="0" fontId="43" fillId="74" borderId="1" xfId="0" applyFont="1" applyFill="1" applyBorder="1" applyAlignment="1">
      <alignment horizontal="center" vertical="center"/>
    </xf>
    <xf numFmtId="0" fontId="2" fillId="65" borderId="0" xfId="0" applyFont="1" applyFill="1"/>
    <xf numFmtId="0" fontId="72" fillId="75" borderId="1" xfId="128" applyFont="1" applyFill="1" applyBorder="1" applyAlignment="1">
      <alignment horizontal="center" vertical="center" shrinkToFit="1"/>
    </xf>
    <xf numFmtId="0" fontId="73" fillId="76" borderId="1" xfId="128" applyFont="1" applyFill="1" applyBorder="1" applyAlignment="1">
      <alignment horizontal="center" vertical="center" shrinkToFit="1"/>
    </xf>
    <xf numFmtId="0" fontId="39" fillId="77" borderId="1" xfId="139" applyFont="1" applyFill="1" applyBorder="1" applyAlignment="1">
      <alignment horizontal="center" vertical="center" shrinkToFit="1"/>
    </xf>
    <xf numFmtId="0" fontId="31" fillId="35" borderId="0" xfId="0" applyFont="1" applyFill="1" applyAlignment="1">
      <alignment horizontal="center" vertical="center"/>
    </xf>
    <xf numFmtId="0" fontId="74" fillId="0" borderId="0" xfId="0" applyFont="1" applyAlignment="1">
      <alignment horizontal="center" vertical="center" shrinkToFit="1"/>
    </xf>
    <xf numFmtId="0" fontId="75" fillId="56" borderId="0" xfId="111" applyFont="1" applyFill="1" applyAlignment="1">
      <alignment horizontal="center" vertical="center"/>
    </xf>
    <xf numFmtId="0" fontId="43" fillId="78" borderId="1" xfId="0" applyFont="1" applyFill="1" applyBorder="1" applyAlignment="1">
      <alignment horizontal="center" vertical="center"/>
    </xf>
    <xf numFmtId="0" fontId="72" fillId="79" borderId="1" xfId="128" applyFont="1" applyFill="1" applyBorder="1" applyAlignment="1">
      <alignment horizontal="center" vertical="center" shrinkToFit="1"/>
    </xf>
    <xf numFmtId="0" fontId="38" fillId="80" borderId="1" xfId="139" applyFont="1" applyFill="1" applyBorder="1" applyAlignment="1">
      <alignment horizontal="center" vertical="center" shrinkToFit="1"/>
    </xf>
    <xf numFmtId="0" fontId="5" fillId="0" borderId="30" xfId="0" applyFont="1" applyBorder="1" applyAlignment="1" applyProtection="1">
      <alignment horizontal="center" vertical="center"/>
      <protection locked="0"/>
    </xf>
    <xf numFmtId="0" fontId="74" fillId="0" borderId="26" xfId="0" applyFont="1" applyBorder="1" applyAlignment="1">
      <alignment horizontal="center" vertical="center" shrinkToFit="1"/>
    </xf>
    <xf numFmtId="0" fontId="62" fillId="81" borderId="0" xfId="0" applyFont="1" applyFill="1" applyAlignment="1">
      <alignment horizontal="center" vertical="center"/>
    </xf>
    <xf numFmtId="0" fontId="5" fillId="0" borderId="35" xfId="0" applyFont="1" applyBorder="1" applyAlignment="1" applyProtection="1">
      <alignment horizontal="center" vertical="center"/>
      <protection locked="0"/>
    </xf>
    <xf numFmtId="0" fontId="5" fillId="44" borderId="0" xfId="0" applyFont="1" applyFill="1" applyAlignment="1">
      <alignment horizontal="center" vertical="center"/>
    </xf>
    <xf numFmtId="0" fontId="43" fillId="44" borderId="0" xfId="0" applyFont="1" applyFill="1" applyAlignment="1">
      <alignment horizontal="center" vertical="center"/>
    </xf>
    <xf numFmtId="0" fontId="5" fillId="0" borderId="20" xfId="0" applyFont="1" applyBorder="1" applyAlignment="1" applyProtection="1">
      <alignment horizontal="center" vertical="center"/>
      <protection locked="0"/>
    </xf>
    <xf numFmtId="0" fontId="75" fillId="82" borderId="0" xfId="111" applyFont="1" applyFill="1" applyAlignment="1">
      <alignment horizontal="center" vertical="center"/>
    </xf>
    <xf numFmtId="0" fontId="50" fillId="44" borderId="0" xfId="0" applyFont="1" applyFill="1" applyAlignment="1">
      <alignment horizontal="center" vertical="center"/>
    </xf>
    <xf numFmtId="0" fontId="62" fillId="44" borderId="0" xfId="0" applyFont="1" applyFill="1" applyAlignment="1">
      <alignment horizontal="center" vertical="center"/>
    </xf>
    <xf numFmtId="0" fontId="5" fillId="44" borderId="0" xfId="0" applyFont="1" applyFill="1" applyAlignment="1" applyProtection="1">
      <alignment horizontal="center" vertical="center"/>
      <protection locked="0"/>
    </xf>
    <xf numFmtId="0" fontId="76" fillId="0" borderId="0" xfId="0" applyFont="1" applyAlignment="1">
      <alignment horizontal="center" vertical="center"/>
    </xf>
    <xf numFmtId="0" fontId="29" fillId="0" borderId="0" xfId="0" applyFont="1" applyAlignment="1" applyProtection="1">
      <alignment horizontal="center" vertical="center"/>
      <protection locked="0"/>
    </xf>
    <xf numFmtId="0" fontId="68" fillId="0" borderId="0" xfId="0" applyFont="1" applyAlignment="1">
      <alignment horizontal="center"/>
    </xf>
    <xf numFmtId="0" fontId="5" fillId="72" borderId="0" xfId="0" applyFont="1" applyFill="1" applyAlignment="1">
      <alignment horizontal="center" vertical="center"/>
    </xf>
    <xf numFmtId="0" fontId="47" fillId="44" borderId="0" xfId="0" applyFont="1" applyFill="1" applyAlignment="1">
      <alignment horizontal="center" vertical="center"/>
    </xf>
    <xf numFmtId="0" fontId="0" fillId="83" borderId="0" xfId="0" applyFill="1"/>
    <xf numFmtId="0" fontId="77" fillId="84" borderId="0" xfId="0" applyFont="1" applyFill="1" applyAlignment="1">
      <alignment horizontal="center" vertical="center"/>
    </xf>
    <xf numFmtId="0" fontId="78" fillId="35" borderId="0" xfId="0" applyFont="1" applyFill="1" applyAlignment="1">
      <alignment horizontal="center" vertical="center"/>
    </xf>
    <xf numFmtId="0" fontId="79" fillId="40" borderId="0" xfId="0" applyFont="1" applyFill="1" applyAlignment="1">
      <alignment horizontal="center" vertical="center"/>
    </xf>
    <xf numFmtId="1" fontId="80" fillId="85" borderId="0" xfId="0" applyNumberFormat="1" applyFont="1" applyFill="1" applyAlignment="1">
      <alignment horizontal="center" vertical="center"/>
    </xf>
    <xf numFmtId="0" fontId="5" fillId="44" borderId="0" xfId="0" applyFont="1" applyFill="1" applyAlignment="1" applyProtection="1">
      <alignment vertical="center"/>
      <protection locked="0"/>
    </xf>
    <xf numFmtId="0" fontId="65" fillId="44" borderId="0" xfId="0" applyFont="1" applyFill="1" applyAlignment="1" applyProtection="1">
      <alignment horizontal="center" vertical="center"/>
      <protection locked="0"/>
    </xf>
    <xf numFmtId="0" fontId="0" fillId="44" borderId="0" xfId="0" applyFill="1"/>
    <xf numFmtId="0" fontId="81" fillId="86" borderId="0" xfId="0" applyFont="1" applyFill="1" applyAlignment="1">
      <alignment horizontal="center"/>
    </xf>
    <xf numFmtId="0" fontId="0" fillId="44" borderId="0" xfId="0" applyFill="1" applyProtection="1">
      <protection locked="0"/>
    </xf>
    <xf numFmtId="0" fontId="74" fillId="44" borderId="0" xfId="0" applyFont="1" applyFill="1" applyAlignment="1">
      <alignment horizontal="center" vertical="center" shrinkToFit="1"/>
    </xf>
    <xf numFmtId="0" fontId="50" fillId="44" borderId="0" xfId="0" applyFont="1" applyFill="1" applyAlignment="1">
      <alignment horizontal="right" vertical="center"/>
    </xf>
    <xf numFmtId="0" fontId="48" fillId="44" borderId="0" xfId="0" applyFont="1" applyFill="1" applyAlignment="1">
      <alignment horizontal="center" vertical="center"/>
    </xf>
    <xf numFmtId="0" fontId="39" fillId="44" borderId="0" xfId="139" applyFont="1" applyFill="1" applyAlignment="1">
      <alignment horizontal="center" vertical="center" shrinkToFit="1"/>
    </xf>
    <xf numFmtId="0" fontId="82" fillId="44" borderId="0" xfId="0" applyFont="1" applyFill="1" applyAlignment="1">
      <alignment horizontal="center" vertical="center"/>
    </xf>
    <xf numFmtId="0" fontId="50" fillId="44" borderId="0" xfId="0" applyFont="1" applyFill="1" applyAlignment="1">
      <alignment horizontal="left" vertical="center"/>
    </xf>
    <xf numFmtId="0" fontId="5" fillId="44" borderId="0" xfId="0" applyFont="1" applyFill="1" applyAlignment="1" applyProtection="1">
      <alignment horizontal="right" vertical="center"/>
      <protection locked="0"/>
    </xf>
    <xf numFmtId="0" fontId="59" fillId="44" borderId="0" xfId="112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74" fillId="44" borderId="0" xfId="0" applyFont="1" applyFill="1" applyAlignment="1">
      <alignment horizontal="left" vertical="center" shrinkToFit="1"/>
    </xf>
    <xf numFmtId="0" fontId="29" fillId="44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right" vertical="center"/>
      <protection locked="0"/>
    </xf>
    <xf numFmtId="0" fontId="43" fillId="44" borderId="0" xfId="139" applyFont="1" applyFill="1" applyAlignment="1">
      <alignment horizontal="center" vertical="center" shrinkToFit="1"/>
    </xf>
    <xf numFmtId="0" fontId="1" fillId="0" borderId="0" xfId="0" applyFont="1"/>
    <xf numFmtId="0" fontId="0" fillId="0" borderId="0" xfId="0" applyAlignment="1">
      <alignment vertical="center"/>
    </xf>
    <xf numFmtId="0" fontId="69" fillId="44" borderId="0" xfId="0" applyFont="1" applyFill="1" applyAlignment="1">
      <alignment horizontal="center" vertical="center"/>
    </xf>
    <xf numFmtId="0" fontId="40" fillId="44" borderId="0" xfId="0" applyFont="1" applyFill="1" applyAlignment="1">
      <alignment horizontal="center" vertical="center"/>
    </xf>
    <xf numFmtId="0" fontId="29" fillId="39" borderId="0" xfId="0" applyFont="1" applyFill="1" applyAlignment="1">
      <alignment horizontal="center" vertical="center"/>
    </xf>
    <xf numFmtId="0" fontId="48" fillId="57" borderId="0" xfId="0" applyFont="1" applyFill="1" applyAlignment="1">
      <alignment horizontal="center" vertical="center"/>
    </xf>
    <xf numFmtId="0" fontId="62" fillId="44" borderId="0" xfId="0" applyFont="1" applyFill="1" applyAlignment="1">
      <alignment horizontal="center"/>
    </xf>
    <xf numFmtId="0" fontId="74" fillId="0" borderId="0" xfId="0" applyFont="1" applyAlignment="1">
      <alignment horizontal="left" vertical="center" shrinkToFit="1"/>
    </xf>
    <xf numFmtId="0" fontId="37" fillId="44" borderId="0" xfId="0" applyFont="1" applyFill="1" applyAlignment="1">
      <alignment horizontal="center" vertical="center"/>
    </xf>
    <xf numFmtId="0" fontId="51" fillId="35" borderId="22" xfId="0" applyFont="1" applyFill="1" applyBorder="1" applyAlignment="1" applyProtection="1">
      <alignment horizontal="center" vertical="center"/>
      <protection locked="0"/>
    </xf>
    <xf numFmtId="0" fontId="83" fillId="87" borderId="1" xfId="124" applyFont="1" applyFill="1" applyBorder="1" applyAlignment="1">
      <alignment horizontal="center"/>
    </xf>
    <xf numFmtId="0" fontId="0" fillId="39" borderId="0" xfId="0" applyFill="1"/>
    <xf numFmtId="0" fontId="72" fillId="44" borderId="0" xfId="128" applyFont="1" applyFill="1" applyAlignment="1">
      <alignment horizontal="center" vertical="center" shrinkToFit="1"/>
    </xf>
    <xf numFmtId="0" fontId="5" fillId="0" borderId="31" xfId="0" applyFont="1" applyBorder="1" applyAlignment="1" applyProtection="1">
      <alignment horizontal="center" vertical="center" textRotation="90"/>
      <protection locked="0"/>
    </xf>
    <xf numFmtId="0" fontId="83" fillId="88" borderId="1" xfId="124" applyFont="1" applyFill="1" applyBorder="1" applyAlignment="1">
      <alignment horizontal="center"/>
    </xf>
    <xf numFmtId="0" fontId="50" fillId="38" borderId="0" xfId="0" applyFont="1" applyFill="1" applyAlignment="1">
      <alignment horizontal="right" vertical="center"/>
    </xf>
    <xf numFmtId="0" fontId="82" fillId="58" borderId="0" xfId="0" applyFont="1" applyFill="1" applyAlignment="1">
      <alignment horizontal="center" vertical="center"/>
    </xf>
    <xf numFmtId="0" fontId="43" fillId="89" borderId="1" xfId="139" applyFont="1" applyFill="1" applyBorder="1" applyAlignment="1">
      <alignment horizontal="center" vertical="center" shrinkToFit="1"/>
    </xf>
    <xf numFmtId="0" fontId="43" fillId="90" borderId="1" xfId="0" applyFont="1" applyFill="1" applyBorder="1" applyAlignment="1">
      <alignment horizontal="center" vertical="center"/>
    </xf>
    <xf numFmtId="0" fontId="50" fillId="38" borderId="0" xfId="0" applyFont="1" applyFill="1" applyAlignment="1">
      <alignment horizontal="left" vertical="center"/>
    </xf>
    <xf numFmtId="0" fontId="60" fillId="0" borderId="0" xfId="0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 textRotation="90"/>
      <protection locked="0"/>
    </xf>
    <xf numFmtId="0" fontId="84" fillId="91" borderId="1" xfId="0" applyFont="1" applyFill="1" applyBorder="1" applyAlignment="1">
      <alignment horizontal="center" vertical="center"/>
    </xf>
    <xf numFmtId="0" fontId="85" fillId="44" borderId="0" xfId="0" applyFont="1" applyFill="1" applyAlignment="1">
      <alignment horizontal="center"/>
    </xf>
    <xf numFmtId="0" fontId="83" fillId="92" borderId="1" xfId="0" applyFont="1" applyFill="1" applyBorder="1" applyAlignment="1">
      <alignment horizontal="center"/>
    </xf>
    <xf numFmtId="0" fontId="38" fillId="44" borderId="0" xfId="139" applyFont="1" applyFill="1" applyAlignment="1">
      <alignment horizontal="center" vertical="center" shrinkToFit="1"/>
    </xf>
    <xf numFmtId="0" fontId="86" fillId="44" borderId="0" xfId="0" applyFont="1" applyFill="1"/>
    <xf numFmtId="0" fontId="68" fillId="44" borderId="0" xfId="0" applyFont="1" applyFill="1" applyAlignment="1">
      <alignment horizontal="center"/>
    </xf>
    <xf numFmtId="0" fontId="0" fillId="44" borderId="0" xfId="0" applyFill="1" applyAlignment="1">
      <alignment horizontal="center" vertical="center"/>
    </xf>
    <xf numFmtId="0" fontId="74" fillId="0" borderId="0" xfId="0" applyFont="1" applyAlignment="1">
      <alignment horizontal="center" vertical="center" textRotation="90" shrinkToFit="1"/>
    </xf>
    <xf numFmtId="0" fontId="43" fillId="74" borderId="36" xfId="0" applyFont="1" applyFill="1" applyBorder="1" applyAlignment="1">
      <alignment horizontal="center" vertical="center"/>
    </xf>
    <xf numFmtId="0" fontId="43" fillId="78" borderId="36" xfId="0" applyFont="1" applyFill="1" applyBorder="1" applyAlignment="1">
      <alignment horizontal="center" vertical="center"/>
    </xf>
    <xf numFmtId="0" fontId="87" fillId="0" borderId="0" xfId="0" applyFont="1" applyAlignment="1">
      <alignment horizontal="center" vertical="center" shrinkToFit="1"/>
    </xf>
    <xf numFmtId="0" fontId="51" fillId="0" borderId="0" xfId="0" applyFont="1" applyAlignment="1" applyProtection="1">
      <alignment horizontal="center" vertical="center"/>
      <protection locked="0"/>
    </xf>
    <xf numFmtId="0" fontId="68" fillId="0" borderId="0" xfId="0" applyFont="1"/>
    <xf numFmtId="0" fontId="5" fillId="44" borderId="22" xfId="0" applyFont="1" applyFill="1" applyBorder="1" applyAlignment="1" applyProtection="1">
      <alignment horizontal="center" vertical="center"/>
      <protection locked="0"/>
    </xf>
    <xf numFmtId="0" fontId="2" fillId="44" borderId="26" xfId="0" applyFont="1" applyFill="1" applyBorder="1"/>
    <xf numFmtId="0" fontId="48" fillId="93" borderId="1" xfId="128" applyFont="1" applyFill="1" applyBorder="1" applyAlignment="1">
      <alignment horizontal="center" vertical="center" shrinkToFit="1"/>
    </xf>
    <xf numFmtId="0" fontId="50" fillId="66" borderId="1" xfId="128" applyFont="1" applyFill="1" applyBorder="1" applyAlignment="1">
      <alignment horizontal="center" vertical="center" shrinkToFit="1"/>
    </xf>
    <xf numFmtId="0" fontId="5" fillId="0" borderId="31" xfId="0" applyFont="1" applyBorder="1" applyAlignment="1" applyProtection="1">
      <alignment horizontal="center" vertical="center"/>
      <protection locked="0"/>
    </xf>
    <xf numFmtId="0" fontId="90" fillId="0" borderId="22" xfId="124" applyFont="1" applyBorder="1" applyAlignment="1">
      <alignment horizontal="center"/>
    </xf>
    <xf numFmtId="0" fontId="32" fillId="0" borderId="0" xfId="0" applyFont="1" applyProtection="1">
      <protection locked="0"/>
    </xf>
    <xf numFmtId="0" fontId="5" fillId="0" borderId="21" xfId="0" applyFont="1" applyBorder="1" applyAlignment="1" applyProtection="1">
      <alignment horizontal="center" vertical="center"/>
      <protection locked="0"/>
    </xf>
    <xf numFmtId="0" fontId="29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8" fillId="0" borderId="26" xfId="0" applyFont="1" applyBorder="1" applyAlignment="1">
      <alignment horizontal="center" vertical="center"/>
    </xf>
    <xf numFmtId="0" fontId="90" fillId="0" borderId="26" xfId="124" applyFont="1" applyBorder="1" applyAlignment="1">
      <alignment horizontal="center"/>
    </xf>
    <xf numFmtId="0" fontId="29" fillId="0" borderId="0" xfId="0" applyFont="1" applyProtection="1">
      <protection locked="0"/>
    </xf>
    <xf numFmtId="0" fontId="0" fillId="0" borderId="0" xfId="0" quotePrefix="1" applyProtection="1"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20" xfId="0" applyBorder="1" applyProtection="1">
      <protection locked="0"/>
    </xf>
    <xf numFmtId="0" fontId="32" fillId="0" borderId="0" xfId="0" applyFont="1"/>
    <xf numFmtId="0" fontId="95" fillId="0" borderId="0" xfId="0" applyFont="1" applyAlignment="1">
      <alignment horizontal="center" vertical="center"/>
    </xf>
    <xf numFmtId="0" fontId="96" fillId="0" borderId="0" xfId="0" applyFont="1"/>
    <xf numFmtId="0" fontId="97" fillId="0" borderId="0" xfId="0" applyFont="1"/>
    <xf numFmtId="0" fontId="98" fillId="0" borderId="0" xfId="0" applyFont="1"/>
    <xf numFmtId="0" fontId="34" fillId="0" borderId="0" xfId="0" applyFont="1" applyAlignment="1">
      <alignment horizontal="left" vertical="top" wrapText="1"/>
    </xf>
    <xf numFmtId="0" fontId="100" fillId="44" borderId="0" xfId="128" applyFont="1" applyFill="1" applyAlignment="1">
      <alignment horizontal="center" vertical="center" shrinkToFit="1"/>
    </xf>
    <xf numFmtId="14" fontId="99" fillId="0" borderId="1" xfId="0" applyNumberFormat="1" applyFont="1" applyBorder="1" applyAlignment="1" applyProtection="1">
      <alignment horizontal="center" vertical="center" wrapText="1"/>
      <protection locked="0"/>
    </xf>
    <xf numFmtId="14" fontId="94" fillId="88" borderId="1" xfId="0" applyNumberFormat="1" applyFont="1" applyFill="1" applyBorder="1" applyAlignment="1" applyProtection="1">
      <alignment horizontal="center" vertical="center" wrapText="1"/>
      <protection locked="0"/>
    </xf>
    <xf numFmtId="0" fontId="94" fillId="88" borderId="1" xfId="0" applyFont="1" applyFill="1" applyBorder="1" applyAlignment="1" applyProtection="1">
      <alignment horizontal="center" vertical="center" wrapText="1"/>
      <protection locked="0"/>
    </xf>
    <xf numFmtId="171" fontId="99" fillId="0" borderId="1" xfId="0" applyNumberFormat="1" applyFont="1" applyBorder="1" applyAlignment="1">
      <alignment horizontal="center" vertical="center" wrapText="1"/>
    </xf>
    <xf numFmtId="0" fontId="39" fillId="44" borderId="0" xfId="128" applyFont="1" applyFill="1" applyAlignment="1">
      <alignment vertical="center" shrinkToFit="1"/>
    </xf>
    <xf numFmtId="171" fontId="88" fillId="44" borderId="39" xfId="128" applyNumberFormat="1" applyFont="1" applyFill="1" applyBorder="1" applyAlignment="1">
      <alignment horizontal="center" vertical="center" shrinkToFit="1"/>
    </xf>
    <xf numFmtId="0" fontId="29" fillId="96" borderId="1" xfId="0" applyFont="1" applyFill="1" applyBorder="1" applyAlignment="1" applyProtection="1">
      <alignment horizontal="center" vertical="center" wrapText="1"/>
      <protection locked="0"/>
    </xf>
    <xf numFmtId="167" fontId="29" fillId="96" borderId="1" xfId="40" applyFont="1" applyFill="1" applyBorder="1" applyAlignment="1">
      <alignment horizontal="right" vertical="center"/>
    </xf>
    <xf numFmtId="0" fontId="101" fillId="44" borderId="0" xfId="128" applyFont="1" applyFill="1" applyAlignment="1">
      <alignment vertical="center" shrinkToFit="1"/>
    </xf>
    <xf numFmtId="0" fontId="102" fillId="44" borderId="0" xfId="128" applyFont="1" applyFill="1" applyAlignment="1">
      <alignment horizontal="center" vertical="center" shrinkToFit="1"/>
    </xf>
    <xf numFmtId="0" fontId="29" fillId="97" borderId="1" xfId="0" applyFont="1" applyFill="1" applyBorder="1" applyAlignment="1" applyProtection="1">
      <alignment horizontal="center" vertical="center" wrapText="1"/>
      <protection locked="0"/>
    </xf>
    <xf numFmtId="167" fontId="29" fillId="97" borderId="33" xfId="40" applyFont="1" applyFill="1" applyBorder="1" applyAlignment="1">
      <alignment horizontal="right" vertical="center"/>
    </xf>
    <xf numFmtId="167" fontId="29" fillId="97" borderId="1" xfId="40" applyFont="1" applyFill="1" applyBorder="1" applyAlignment="1">
      <alignment horizontal="right" vertical="center"/>
    </xf>
    <xf numFmtId="0" fontId="103" fillId="0" borderId="0" xfId="139" applyFont="1" applyAlignment="1">
      <alignment vertical="center" shrinkToFit="1"/>
    </xf>
    <xf numFmtId="0" fontId="29" fillId="98" borderId="16" xfId="0" applyFont="1" applyFill="1" applyBorder="1" applyAlignment="1" applyProtection="1">
      <alignment horizontal="center" vertical="center" wrapText="1"/>
      <protection locked="0"/>
    </xf>
    <xf numFmtId="172" fontId="29" fillId="98" borderId="1" xfId="187" applyNumberFormat="1" applyFont="1" applyFill="1" applyBorder="1" applyAlignment="1" applyProtection="1">
      <alignment horizontal="right" vertical="center" wrapText="1"/>
      <protection locked="0"/>
    </xf>
    <xf numFmtId="0" fontId="62" fillId="44" borderId="0" xfId="128" applyFont="1" applyFill="1" applyAlignment="1">
      <alignment vertical="center" shrinkToFit="1"/>
    </xf>
    <xf numFmtId="171" fontId="105" fillId="51" borderId="29" xfId="139" applyNumberFormat="1" applyFont="1" applyFill="1" applyBorder="1" applyAlignment="1">
      <alignment horizontal="center" vertical="center" shrinkToFit="1"/>
    </xf>
    <xf numFmtId="0" fontId="29" fillId="99" borderId="1" xfId="0" applyFont="1" applyFill="1" applyBorder="1" applyAlignment="1" applyProtection="1">
      <alignment horizontal="center" vertical="center" wrapText="1"/>
      <protection locked="0"/>
    </xf>
    <xf numFmtId="10" fontId="29" fillId="99" borderId="2" xfId="187" applyNumberFormat="1" applyFont="1" applyFill="1" applyBorder="1" applyAlignment="1">
      <alignment horizontal="right" vertical="center"/>
    </xf>
    <xf numFmtId="10" fontId="29" fillId="99" borderId="1" xfId="187" applyNumberFormat="1" applyFont="1" applyFill="1" applyBorder="1" applyAlignment="1">
      <alignment horizontal="right" vertical="center"/>
    </xf>
    <xf numFmtId="171" fontId="105" fillId="93" borderId="3" xfId="139" applyNumberFormat="1" applyFont="1" applyFill="1" applyBorder="1" applyAlignment="1">
      <alignment horizontal="center" vertical="center" shrinkToFit="1"/>
    </xf>
    <xf numFmtId="0" fontId="29" fillId="100" borderId="1" xfId="0" applyFont="1" applyFill="1" applyBorder="1" applyAlignment="1" applyProtection="1">
      <alignment horizontal="center" vertical="center" wrapText="1"/>
      <protection locked="0"/>
    </xf>
    <xf numFmtId="1" fontId="29" fillId="100" borderId="2" xfId="187" applyNumberFormat="1" applyFont="1" applyFill="1" applyBorder="1" applyAlignment="1">
      <alignment horizontal="right" vertical="center"/>
    </xf>
    <xf numFmtId="1" fontId="29" fillId="100" borderId="1" xfId="187" applyNumberFormat="1" applyFont="1" applyFill="1" applyBorder="1" applyAlignment="1">
      <alignment horizontal="right" vertical="center"/>
    </xf>
    <xf numFmtId="171" fontId="101" fillId="101" borderId="3" xfId="128" applyNumberFormat="1" applyFont="1" applyFill="1" applyBorder="1" applyAlignment="1">
      <alignment horizontal="center" vertical="center"/>
    </xf>
    <xf numFmtId="0" fontId="29" fillId="39" borderId="1" xfId="0" applyFont="1" applyFill="1" applyBorder="1" applyAlignment="1" applyProtection="1">
      <alignment horizontal="center" vertical="center" wrapText="1"/>
      <protection locked="0"/>
    </xf>
    <xf numFmtId="1" fontId="29" fillId="39" borderId="2" xfId="187" applyNumberFormat="1" applyFont="1" applyFill="1" applyBorder="1" applyAlignment="1">
      <alignment horizontal="right" vertical="center"/>
    </xf>
    <xf numFmtId="1" fontId="29" fillId="39" borderId="1" xfId="187" applyNumberFormat="1" applyFont="1" applyFill="1" applyBorder="1" applyAlignment="1">
      <alignment horizontal="right" vertical="center"/>
    </xf>
    <xf numFmtId="0" fontId="56" fillId="0" borderId="0" xfId="242" applyFont="1" applyAlignment="1"/>
    <xf numFmtId="0" fontId="108" fillId="0" borderId="0" xfId="0" applyFont="1" applyAlignment="1">
      <alignment horizontal="center" wrapText="1" shrinkToFit="1"/>
    </xf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110" fillId="0" borderId="0" xfId="0" applyFont="1"/>
    <xf numFmtId="0" fontId="62" fillId="0" borderId="1" xfId="128" applyFont="1" applyBorder="1" applyAlignment="1">
      <alignment horizontal="center" vertical="center" shrinkToFit="1"/>
    </xf>
    <xf numFmtId="0" fontId="110" fillId="0" borderId="18" xfId="0" applyFont="1" applyBorder="1"/>
    <xf numFmtId="0" fontId="0" fillId="0" borderId="52" xfId="0" applyBorder="1"/>
    <xf numFmtId="0" fontId="111" fillId="0" borderId="0" xfId="0" applyFont="1"/>
    <xf numFmtId="0" fontId="30" fillId="0" borderId="0" xfId="0" applyFont="1" applyAlignment="1">
      <alignment horizontal="center" vertical="center"/>
    </xf>
    <xf numFmtId="0" fontId="107" fillId="0" borderId="29" xfId="0" applyFont="1" applyBorder="1"/>
    <xf numFmtId="0" fontId="107" fillId="0" borderId="21" xfId="0" applyFont="1" applyBorder="1"/>
    <xf numFmtId="0" fontId="62" fillId="102" borderId="1" xfId="128" applyFont="1" applyFill="1" applyBorder="1" applyAlignment="1">
      <alignment horizontal="center" vertical="center" shrinkToFit="1"/>
    </xf>
    <xf numFmtId="171" fontId="112" fillId="0" borderId="1" xfId="128" applyNumberFormat="1" applyFont="1" applyBorder="1" applyAlignment="1">
      <alignment horizontal="center" vertical="center" shrinkToFit="1"/>
    </xf>
    <xf numFmtId="0" fontId="110" fillId="86" borderId="0" xfId="0" applyFont="1" applyFill="1"/>
    <xf numFmtId="0" fontId="101" fillId="0" borderId="50" xfId="128" applyFont="1" applyBorder="1" applyAlignment="1">
      <alignment horizontal="left" vertical="center" shrinkToFit="1"/>
    </xf>
    <xf numFmtId="0" fontId="101" fillId="0" borderId="15" xfId="128" applyFont="1" applyBorder="1" applyAlignment="1">
      <alignment horizontal="left" vertical="center" shrinkToFit="1"/>
    </xf>
    <xf numFmtId="0" fontId="48" fillId="103" borderId="1" xfId="128" applyFont="1" applyFill="1" applyBorder="1" applyAlignment="1">
      <alignment horizontal="center" vertical="center" shrinkToFit="1"/>
    </xf>
    <xf numFmtId="0" fontId="110" fillId="82" borderId="55" xfId="0" applyFont="1" applyFill="1" applyBorder="1" applyAlignment="1">
      <alignment wrapText="1"/>
    </xf>
    <xf numFmtId="0" fontId="113" fillId="0" borderId="0" xfId="0" applyFont="1" applyAlignment="1">
      <alignment wrapText="1" shrinkToFit="1"/>
    </xf>
    <xf numFmtId="0" fontId="11" fillId="0" borderId="0" xfId="0" applyFont="1"/>
    <xf numFmtId="0" fontId="50" fillId="104" borderId="1" xfId="128" applyFont="1" applyFill="1" applyBorder="1" applyAlignment="1">
      <alignment horizontal="center" vertical="center" shrinkToFit="1"/>
    </xf>
    <xf numFmtId="0" fontId="48" fillId="105" borderId="1" xfId="128" applyFont="1" applyFill="1" applyBorder="1" applyAlignment="1">
      <alignment horizontal="center" vertical="center" shrinkToFit="1"/>
    </xf>
    <xf numFmtId="0" fontId="110" fillId="82" borderId="0" xfId="0" applyFont="1" applyFill="1" applyAlignment="1">
      <alignment wrapText="1"/>
    </xf>
    <xf numFmtId="0" fontId="114" fillId="0" borderId="0" xfId="0" applyFont="1" applyAlignment="1">
      <alignment horizontal="center" wrapText="1" shrinkToFit="1"/>
    </xf>
    <xf numFmtId="15" fontId="38" fillId="0" borderId="0" xfId="0" applyNumberFormat="1" applyFont="1" applyAlignment="1">
      <alignment shrinkToFit="1"/>
    </xf>
    <xf numFmtId="0" fontId="115" fillId="0" borderId="1" xfId="119" applyFont="1" applyBorder="1" applyAlignment="1">
      <alignment shrinkToFit="1"/>
    </xf>
    <xf numFmtId="0" fontId="90" fillId="48" borderId="18" xfId="124" applyFont="1" applyFill="1" applyBorder="1" applyAlignment="1">
      <alignment horizontal="center"/>
    </xf>
    <xf numFmtId="171" fontId="0" fillId="0" borderId="1" xfId="0" applyNumberFormat="1" applyBorder="1" applyAlignment="1">
      <alignment horizontal="center" vertical="center"/>
    </xf>
    <xf numFmtId="9" fontId="0" fillId="0" borderId="1" xfId="184" applyFont="1" applyFill="1" applyBorder="1" applyAlignment="1">
      <alignment horizontal="center"/>
    </xf>
    <xf numFmtId="0" fontId="116" fillId="106" borderId="1" xfId="128" applyFont="1" applyFill="1" applyBorder="1" applyAlignment="1">
      <alignment horizontal="center" vertical="center" shrinkToFit="1"/>
    </xf>
    <xf numFmtId="0" fontId="48" fillId="107" borderId="1" xfId="128" applyFont="1" applyFill="1" applyBorder="1" applyAlignment="1">
      <alignment horizontal="center" vertical="center" shrinkToFit="1"/>
    </xf>
    <xf numFmtId="0" fontId="11" fillId="44" borderId="0" xfId="0" applyFont="1" applyFill="1"/>
    <xf numFmtId="0" fontId="104" fillId="44" borderId="0" xfId="0" applyFont="1" applyFill="1" applyAlignment="1">
      <alignment horizontal="center"/>
    </xf>
    <xf numFmtId="171" fontId="105" fillId="44" borderId="0" xfId="0" applyNumberFormat="1" applyFont="1" applyFill="1" applyAlignment="1">
      <alignment horizontal="center"/>
    </xf>
    <xf numFmtId="0" fontId="32" fillId="44" borderId="0" xfId="0" applyFont="1" applyFill="1"/>
    <xf numFmtId="0" fontId="83" fillId="108" borderId="0" xfId="0" applyFont="1" applyFill="1" applyAlignment="1">
      <alignment horizontal="center" vertical="center"/>
    </xf>
    <xf numFmtId="0" fontId="37" fillId="109" borderId="1" xfId="128" applyFont="1" applyFill="1" applyBorder="1" applyAlignment="1">
      <alignment horizontal="center" vertical="center" shrinkToFit="1"/>
    </xf>
    <xf numFmtId="0" fontId="48" fillId="110" borderId="1" xfId="128" applyFont="1" applyFill="1" applyBorder="1" applyAlignment="1">
      <alignment horizontal="center" vertical="center" shrinkToFit="1"/>
    </xf>
    <xf numFmtId="0" fontId="38" fillId="0" borderId="0" xfId="0" applyFont="1" applyAlignment="1">
      <alignment wrapText="1" shrinkToFit="1"/>
    </xf>
    <xf numFmtId="2" fontId="39" fillId="0" borderId="0" xfId="53" applyNumberFormat="1" applyFont="1" applyFill="1" applyBorder="1" applyAlignment="1" applyProtection="1">
      <alignment shrinkToFit="1"/>
    </xf>
    <xf numFmtId="0" fontId="3" fillId="0" borderId="1" xfId="139" applyFont="1" applyBorder="1" applyAlignment="1">
      <alignment horizontal="center" vertical="center"/>
    </xf>
    <xf numFmtId="0" fontId="3" fillId="0" borderId="18" xfId="139" applyFont="1" applyBorder="1" applyAlignment="1">
      <alignment horizontal="center" vertical="center"/>
    </xf>
    <xf numFmtId="0" fontId="117" fillId="44" borderId="18" xfId="124" applyFont="1" applyFill="1" applyBorder="1" applyAlignment="1">
      <alignment horizontal="center"/>
    </xf>
    <xf numFmtId="0" fontId="50" fillId="109" borderId="1" xfId="128" applyFont="1" applyFill="1" applyBorder="1" applyAlignment="1">
      <alignment horizontal="center" vertical="center" shrinkToFit="1"/>
    </xf>
    <xf numFmtId="0" fontId="38" fillId="0" borderId="0" xfId="0" applyFont="1" applyAlignment="1">
      <alignment shrinkToFit="1"/>
    </xf>
    <xf numFmtId="0" fontId="3" fillId="0" borderId="16" xfId="128" applyFont="1" applyBorder="1" applyAlignment="1">
      <alignment horizontal="center" vertical="center" shrinkToFit="1"/>
    </xf>
    <xf numFmtId="0" fontId="101" fillId="0" borderId="56" xfId="128" applyFont="1" applyBorder="1" applyAlignment="1">
      <alignment horizontal="center" vertical="center" shrinkToFit="1"/>
    </xf>
    <xf numFmtId="0" fontId="118" fillId="35" borderId="5" xfId="0" applyFont="1" applyFill="1" applyBorder="1" applyAlignment="1">
      <alignment horizontal="center" vertical="center"/>
    </xf>
    <xf numFmtId="173" fontId="3" fillId="101" borderId="0" xfId="128" applyNumberFormat="1" applyFont="1" applyFill="1" applyAlignment="1">
      <alignment horizontal="center" vertical="center"/>
    </xf>
    <xf numFmtId="173" fontId="3" fillId="51" borderId="0" xfId="139" applyNumberFormat="1" applyFont="1" applyFill="1" applyAlignment="1">
      <alignment horizontal="center" vertical="center" shrinkToFit="1"/>
    </xf>
    <xf numFmtId="171" fontId="3" fillId="93" borderId="0" xfId="139" applyNumberFormat="1" applyFont="1" applyFill="1" applyAlignment="1">
      <alignment horizontal="center" vertical="center" shrinkToFit="1"/>
    </xf>
    <xf numFmtId="171" fontId="119" fillId="111" borderId="0" xfId="128" applyNumberFormat="1" applyFont="1" applyFill="1" applyAlignment="1">
      <alignment horizontal="center" vertical="center"/>
    </xf>
    <xf numFmtId="0" fontId="115" fillId="112" borderId="18" xfId="124" applyFont="1" applyFill="1" applyBorder="1" applyAlignment="1">
      <alignment horizontal="center"/>
    </xf>
    <xf numFmtId="0" fontId="50" fillId="53" borderId="1" xfId="128" applyFont="1" applyFill="1" applyBorder="1" applyAlignment="1">
      <alignment horizontal="center" vertical="center" shrinkToFit="1"/>
    </xf>
    <xf numFmtId="0" fontId="48" fillId="113" borderId="1" xfId="128" applyFont="1" applyFill="1" applyBorder="1" applyAlignment="1">
      <alignment horizontal="center" vertical="center" shrinkToFit="1"/>
    </xf>
    <xf numFmtId="0" fontId="118" fillId="114" borderId="31" xfId="0" applyFont="1" applyFill="1" applyBorder="1" applyAlignment="1">
      <alignment horizontal="center" vertical="center"/>
    </xf>
    <xf numFmtId="0" fontId="90" fillId="47" borderId="18" xfId="124" applyFont="1" applyFill="1" applyBorder="1" applyAlignment="1">
      <alignment horizontal="center"/>
    </xf>
    <xf numFmtId="0" fontId="120" fillId="115" borderId="1" xfId="128" applyFont="1" applyFill="1" applyBorder="1" applyAlignment="1">
      <alignment horizontal="center" vertical="center" shrinkToFit="1"/>
    </xf>
    <xf numFmtId="0" fontId="48" fillId="116" borderId="1" xfId="128" applyFont="1" applyFill="1" applyBorder="1" applyAlignment="1">
      <alignment horizontal="center" vertical="center" shrinkToFit="1"/>
    </xf>
    <xf numFmtId="0" fontId="41" fillId="62" borderId="26" xfId="0" applyFont="1" applyFill="1" applyBorder="1" applyAlignment="1">
      <alignment horizontal="center" vertical="center"/>
    </xf>
    <xf numFmtId="0" fontId="83" fillId="37" borderId="18" xfId="124" applyFont="1" applyFill="1" applyBorder="1" applyAlignment="1">
      <alignment horizontal="center"/>
    </xf>
    <xf numFmtId="0" fontId="120" fillId="117" borderId="1" xfId="128" applyFont="1" applyFill="1" applyBorder="1" applyAlignment="1">
      <alignment horizontal="center" vertical="center" shrinkToFit="1"/>
    </xf>
    <xf numFmtId="0" fontId="48" fillId="118" borderId="1" xfId="128" applyFont="1" applyFill="1" applyBorder="1" applyAlignment="1">
      <alignment horizontal="center" vertical="center" shrinkToFit="1"/>
    </xf>
    <xf numFmtId="3" fontId="38" fillId="0" borderId="0" xfId="0" applyNumberFormat="1" applyFont="1" applyAlignment="1">
      <alignment shrinkToFit="1"/>
    </xf>
    <xf numFmtId="0" fontId="118" fillId="48" borderId="31" xfId="0" applyFont="1" applyFill="1" applyBorder="1" applyAlignment="1">
      <alignment horizontal="center" vertical="center"/>
    </xf>
    <xf numFmtId="0" fontId="90" fillId="119" borderId="18" xfId="124" applyFont="1" applyFill="1" applyBorder="1" applyAlignment="1">
      <alignment horizontal="center"/>
    </xf>
    <xf numFmtId="0" fontId="48" fillId="120" borderId="1" xfId="128" applyFont="1" applyFill="1" applyBorder="1" applyAlignment="1">
      <alignment horizontal="center" vertical="center" shrinkToFit="1"/>
    </xf>
    <xf numFmtId="0" fontId="43" fillId="78" borderId="0" xfId="0" applyFont="1" applyFill="1" applyAlignment="1">
      <alignment horizontal="center" vertical="center"/>
    </xf>
    <xf numFmtId="0" fontId="121" fillId="48" borderId="1" xfId="124" applyFont="1" applyFill="1" applyBorder="1" applyAlignment="1">
      <alignment horizontal="center"/>
    </xf>
    <xf numFmtId="0" fontId="122" fillId="121" borderId="1" xfId="128" applyFont="1" applyFill="1" applyBorder="1" applyAlignment="1">
      <alignment horizontal="center" vertical="center" shrinkToFit="1"/>
    </xf>
    <xf numFmtId="0" fontId="83" fillId="37" borderId="1" xfId="0" applyFont="1" applyFill="1" applyBorder="1" applyAlignment="1">
      <alignment horizontal="center" vertical="center"/>
    </xf>
    <xf numFmtId="0" fontId="118" fillId="122" borderId="19" xfId="0" applyFont="1" applyFill="1" applyBorder="1" applyAlignment="1">
      <alignment horizontal="center" vertical="center"/>
    </xf>
    <xf numFmtId="0" fontId="90" fillId="40" borderId="18" xfId="124" applyFont="1" applyFill="1" applyBorder="1" applyAlignment="1">
      <alignment horizontal="center"/>
    </xf>
    <xf numFmtId="0" fontId="116" fillId="123" borderId="1" xfId="128" applyFont="1" applyFill="1" applyBorder="1" applyAlignment="1">
      <alignment horizontal="center" vertical="center" shrinkToFit="1"/>
    </xf>
    <xf numFmtId="0" fontId="83" fillId="124" borderId="1" xfId="0" applyFont="1" applyFill="1" applyBorder="1" applyAlignment="1">
      <alignment horizontal="center" vertical="center"/>
    </xf>
    <xf numFmtId="0" fontId="43" fillId="74" borderId="0" xfId="0" applyFont="1" applyFill="1" applyAlignment="1">
      <alignment horizontal="center" vertical="center"/>
    </xf>
    <xf numFmtId="0" fontId="90" fillId="125" borderId="18" xfId="124" applyFont="1" applyFill="1" applyBorder="1" applyAlignment="1">
      <alignment horizontal="center"/>
    </xf>
    <xf numFmtId="0" fontId="83" fillId="112" borderId="1" xfId="0" applyFont="1" applyFill="1" applyBorder="1" applyAlignment="1">
      <alignment horizontal="center" vertical="center"/>
    </xf>
    <xf numFmtId="0" fontId="59" fillId="126" borderId="1" xfId="0" applyFont="1" applyFill="1" applyBorder="1" applyAlignment="1">
      <alignment horizontal="center" vertical="center"/>
    </xf>
    <xf numFmtId="0" fontId="118" fillId="127" borderId="57" xfId="0" applyFont="1" applyFill="1" applyBorder="1" applyAlignment="1">
      <alignment horizontal="center" vertical="center"/>
    </xf>
    <xf numFmtId="0" fontId="90" fillId="42" borderId="18" xfId="124" applyFont="1" applyFill="1" applyBorder="1" applyAlignment="1">
      <alignment horizontal="center"/>
    </xf>
    <xf numFmtId="0" fontId="115" fillId="57" borderId="1" xfId="0" applyFont="1" applyFill="1" applyBorder="1" applyAlignment="1">
      <alignment horizontal="center" vertical="center"/>
    </xf>
    <xf numFmtId="0" fontId="118" fillId="128" borderId="58" xfId="0" applyFont="1" applyFill="1" applyBorder="1" applyAlignment="1">
      <alignment horizontal="center" vertical="center"/>
    </xf>
    <xf numFmtId="0" fontId="115" fillId="0" borderId="1" xfId="128" applyFont="1" applyBorder="1" applyAlignment="1">
      <alignment vertical="center" shrinkToFit="1"/>
    </xf>
    <xf numFmtId="0" fontId="50" fillId="129" borderId="18" xfId="128" applyFont="1" applyFill="1" applyBorder="1" applyAlignment="1">
      <alignment horizontal="center" vertical="center" shrinkToFit="1"/>
    </xf>
    <xf numFmtId="0" fontId="125" fillId="130" borderId="1" xfId="128" applyFont="1" applyFill="1" applyBorder="1" applyAlignment="1">
      <alignment horizontal="center" vertical="center" shrinkToFit="1"/>
    </xf>
    <xf numFmtId="0" fontId="50" fillId="0" borderId="1" xfId="128" applyFont="1" applyBorder="1" applyAlignment="1">
      <alignment horizontal="center" vertical="center" shrinkToFit="1"/>
    </xf>
    <xf numFmtId="0" fontId="80" fillId="131" borderId="1" xfId="139" applyFont="1" applyFill="1" applyBorder="1" applyAlignment="1">
      <alignment horizontal="center" vertical="center" shrinkToFit="1"/>
    </xf>
    <xf numFmtId="0" fontId="90" fillId="119" borderId="1" xfId="124" applyFont="1" applyFill="1" applyBorder="1" applyAlignment="1">
      <alignment horizontal="center"/>
    </xf>
    <xf numFmtId="0" fontId="48" fillId="132" borderId="1" xfId="128" applyFont="1" applyFill="1" applyBorder="1" applyAlignment="1">
      <alignment horizontal="center" vertical="center" shrinkToFit="1"/>
    </xf>
    <xf numFmtId="0" fontId="50" fillId="133" borderId="1" xfId="128" applyFont="1" applyFill="1" applyBorder="1" applyAlignment="1">
      <alignment horizontal="center" vertical="center" shrinkToFit="1"/>
    </xf>
    <xf numFmtId="0" fontId="126" fillId="49" borderId="31" xfId="0" applyFont="1" applyFill="1" applyBorder="1" applyAlignment="1">
      <alignment horizontal="center" vertical="center"/>
    </xf>
    <xf numFmtId="0" fontId="50" fillId="134" borderId="18" xfId="128" applyFont="1" applyFill="1" applyBorder="1" applyAlignment="1">
      <alignment horizontal="center" vertical="center" shrinkToFit="1"/>
    </xf>
    <xf numFmtId="0" fontId="116" fillId="135" borderId="1" xfId="128" applyFont="1" applyFill="1" applyBorder="1" applyAlignment="1">
      <alignment horizontal="center" vertical="center" shrinkToFit="1"/>
    </xf>
    <xf numFmtId="0" fontId="90" fillId="96" borderId="1" xfId="0" applyFont="1" applyFill="1" applyBorder="1" applyAlignment="1">
      <alignment horizontal="center" vertical="center"/>
    </xf>
    <xf numFmtId="0" fontId="118" fillId="122" borderId="31" xfId="0" applyFont="1" applyFill="1" applyBorder="1" applyAlignment="1">
      <alignment horizontal="center" vertical="center"/>
    </xf>
    <xf numFmtId="0" fontId="50" fillId="136" borderId="18" xfId="128" applyFont="1" applyFill="1" applyBorder="1" applyAlignment="1">
      <alignment horizontal="center" vertical="center" shrinkToFit="1"/>
    </xf>
    <xf numFmtId="0" fontId="48" fillId="137" borderId="1" xfId="128" applyFont="1" applyFill="1" applyBorder="1" applyAlignment="1">
      <alignment horizontal="center" vertical="center" shrinkToFit="1"/>
    </xf>
    <xf numFmtId="0" fontId="48" fillId="138" borderId="1" xfId="128" applyFont="1" applyFill="1" applyBorder="1" applyAlignment="1">
      <alignment horizontal="center" vertical="center" shrinkToFit="1"/>
    </xf>
    <xf numFmtId="0" fontId="40" fillId="139" borderId="26" xfId="0" applyFont="1" applyFill="1" applyBorder="1" applyAlignment="1">
      <alignment horizontal="center" vertical="center"/>
    </xf>
    <xf numFmtId="0" fontId="127" fillId="119" borderId="1" xfId="124" applyFont="1" applyFill="1" applyBorder="1" applyAlignment="1">
      <alignment horizontal="center"/>
    </xf>
    <xf numFmtId="0" fontId="112" fillId="86" borderId="0" xfId="0" applyFont="1" applyFill="1" applyAlignment="1">
      <alignment horizontal="center" vertical="center"/>
    </xf>
    <xf numFmtId="0" fontId="73" fillId="140" borderId="16" xfId="128" applyFont="1" applyFill="1" applyBorder="1" applyAlignment="1">
      <alignment horizontal="center" vertical="center" shrinkToFit="1"/>
    </xf>
    <xf numFmtId="0" fontId="115" fillId="0" borderId="1" xfId="128" applyFont="1" applyBorder="1" applyAlignment="1">
      <alignment shrinkToFit="1"/>
    </xf>
    <xf numFmtId="0" fontId="85" fillId="49" borderId="1" xfId="0" applyFont="1" applyFill="1" applyBorder="1" applyAlignment="1">
      <alignment horizontal="center"/>
    </xf>
    <xf numFmtId="0" fontId="50" fillId="141" borderId="1" xfId="128" applyFont="1" applyFill="1" applyBorder="1" applyAlignment="1">
      <alignment horizontal="center" vertical="center" shrinkToFit="1"/>
    </xf>
    <xf numFmtId="0" fontId="50" fillId="142" borderId="1" xfId="128" applyFont="1" applyFill="1" applyBorder="1" applyAlignment="1">
      <alignment horizontal="center" vertical="center" shrinkToFit="1"/>
    </xf>
    <xf numFmtId="0" fontId="43" fillId="42" borderId="26" xfId="0" applyFont="1" applyFill="1" applyBorder="1" applyAlignment="1">
      <alignment horizontal="center" vertical="center"/>
    </xf>
    <xf numFmtId="0" fontId="48" fillId="143" borderId="18" xfId="128" applyFont="1" applyFill="1" applyBorder="1" applyAlignment="1">
      <alignment horizontal="center" vertical="center" shrinkToFit="1"/>
    </xf>
    <xf numFmtId="0" fontId="62" fillId="144" borderId="1" xfId="128" applyFont="1" applyFill="1" applyBorder="1" applyAlignment="1">
      <alignment horizontal="center" vertical="center" shrinkToFit="1"/>
    </xf>
    <xf numFmtId="0" fontId="83" fillId="54" borderId="1" xfId="0" applyFont="1" applyFill="1" applyBorder="1" applyAlignment="1">
      <alignment horizontal="center" vertical="center"/>
    </xf>
    <xf numFmtId="0" fontId="118" fillId="145" borderId="26" xfId="0" applyFont="1" applyFill="1" applyBorder="1" applyAlignment="1">
      <alignment horizontal="center" vertical="center"/>
    </xf>
    <xf numFmtId="0" fontId="62" fillId="146" borderId="18" xfId="128" applyFont="1" applyFill="1" applyBorder="1" applyAlignment="1">
      <alignment horizontal="center" vertical="center" shrinkToFit="1"/>
    </xf>
    <xf numFmtId="0" fontId="50" fillId="147" borderId="1" xfId="128" applyFont="1" applyFill="1" applyBorder="1" applyAlignment="1">
      <alignment horizontal="center" vertical="center" shrinkToFit="1"/>
    </xf>
    <xf numFmtId="0" fontId="83" fillId="115" borderId="1" xfId="0" applyFont="1" applyFill="1" applyBorder="1" applyAlignment="1">
      <alignment horizontal="center" vertical="center"/>
    </xf>
    <xf numFmtId="0" fontId="43" fillId="148" borderId="26" xfId="0" applyFont="1" applyFill="1" applyBorder="1" applyAlignment="1">
      <alignment horizontal="center" vertical="center"/>
    </xf>
    <xf numFmtId="0" fontId="48" fillId="149" borderId="18" xfId="128" applyFont="1" applyFill="1" applyBorder="1" applyAlignment="1">
      <alignment horizontal="center" vertical="center" shrinkToFit="1"/>
    </xf>
    <xf numFmtId="0" fontId="128" fillId="65" borderId="1" xfId="128" applyFont="1" applyFill="1" applyBorder="1" applyAlignment="1">
      <alignment horizontal="center" vertical="center" shrinkToFit="1"/>
    </xf>
    <xf numFmtId="0" fontId="118" fillId="150" borderId="26" xfId="0" applyFont="1" applyFill="1" applyBorder="1" applyAlignment="1">
      <alignment horizontal="center" vertical="center"/>
    </xf>
    <xf numFmtId="0" fontId="48" fillId="151" borderId="18" xfId="128" applyFont="1" applyFill="1" applyBorder="1" applyAlignment="1">
      <alignment horizontal="center" vertical="center" shrinkToFit="1"/>
    </xf>
    <xf numFmtId="0" fontId="124" fillId="152" borderId="1" xfId="0" applyFont="1" applyFill="1" applyBorder="1" applyAlignment="1">
      <alignment horizontal="center" vertical="center"/>
    </xf>
    <xf numFmtId="0" fontId="80" fillId="112" borderId="26" xfId="0" applyFont="1" applyFill="1" applyBorder="1" applyAlignment="1">
      <alignment horizontal="center" vertical="center"/>
    </xf>
    <xf numFmtId="0" fontId="90" fillId="67" borderId="1" xfId="0" applyFont="1" applyFill="1" applyBorder="1" applyAlignment="1">
      <alignment horizontal="center"/>
    </xf>
    <xf numFmtId="0" fontId="48" fillId="153" borderId="1" xfId="128" applyFont="1" applyFill="1" applyBorder="1" applyAlignment="1">
      <alignment horizontal="center" vertical="center" shrinkToFit="1"/>
    </xf>
    <xf numFmtId="0" fontId="90" fillId="119" borderId="1" xfId="0" applyFont="1" applyFill="1" applyBorder="1" applyAlignment="1">
      <alignment horizontal="center" vertical="center"/>
    </xf>
    <xf numFmtId="0" fontId="40" fillId="61" borderId="26" xfId="0" applyFont="1" applyFill="1" applyBorder="1" applyAlignment="1">
      <alignment horizontal="center" vertical="center"/>
    </xf>
    <xf numFmtId="0" fontId="115" fillId="154" borderId="1" xfId="0" applyFont="1" applyFill="1" applyBorder="1" applyAlignment="1">
      <alignment horizontal="center" vertical="center"/>
    </xf>
    <xf numFmtId="0" fontId="129" fillId="155" borderId="1" xfId="0" applyFont="1" applyFill="1" applyBorder="1" applyAlignment="1">
      <alignment horizontal="center" vertical="center"/>
    </xf>
    <xf numFmtId="0" fontId="118" fillId="39" borderId="26" xfId="0" applyFont="1" applyFill="1" applyBorder="1" applyAlignment="1">
      <alignment horizontal="center" vertical="center"/>
    </xf>
    <xf numFmtId="0" fontId="115" fillId="34" borderId="1" xfId="0" applyFont="1" applyFill="1" applyBorder="1" applyAlignment="1">
      <alignment horizontal="center" vertical="center"/>
    </xf>
    <xf numFmtId="0" fontId="129" fillId="156" borderId="1" xfId="0" applyFont="1" applyFill="1" applyBorder="1" applyAlignment="1">
      <alignment horizontal="center" vertical="center"/>
    </xf>
    <xf numFmtId="0" fontId="110" fillId="0" borderId="52" xfId="0" applyFont="1" applyBorder="1"/>
    <xf numFmtId="0" fontId="43" fillId="157" borderId="51" xfId="128" applyFont="1" applyFill="1" applyBorder="1" applyAlignment="1">
      <alignment vertical="center" shrinkToFit="1"/>
    </xf>
    <xf numFmtId="171" fontId="3" fillId="101" borderId="0" xfId="128" applyNumberFormat="1" applyFont="1" applyFill="1" applyAlignment="1">
      <alignment horizontal="center" vertical="center"/>
    </xf>
    <xf numFmtId="171" fontId="3" fillId="51" borderId="0" xfId="139" applyNumberFormat="1" applyFont="1" applyFill="1" applyAlignment="1">
      <alignment horizontal="center" vertical="center" shrinkToFit="1"/>
    </xf>
    <xf numFmtId="0" fontId="43" fillId="157" borderId="60" xfId="128" applyFont="1" applyFill="1" applyBorder="1" applyAlignment="1">
      <alignment vertical="center" shrinkToFit="1"/>
    </xf>
    <xf numFmtId="0" fontId="115" fillId="0" borderId="16" xfId="119" applyFont="1" applyBorder="1" applyAlignment="1">
      <alignment horizontal="left" shrinkToFit="1"/>
    </xf>
    <xf numFmtId="0" fontId="48" fillId="159" borderId="1" xfId="128" applyFont="1" applyFill="1" applyBorder="1" applyAlignment="1">
      <alignment horizontal="center" vertical="center" shrinkToFit="1"/>
    </xf>
    <xf numFmtId="0" fontId="10" fillId="0" borderId="0" xfId="0" applyFont="1"/>
    <xf numFmtId="0" fontId="62" fillId="39" borderId="1" xfId="128" applyFont="1" applyFill="1" applyBorder="1" applyAlignment="1">
      <alignment horizontal="center" vertical="center" shrinkToFit="1"/>
    </xf>
    <xf numFmtId="0" fontId="120" fillId="160" borderId="1" xfId="128" applyFont="1" applyFill="1" applyBorder="1" applyAlignment="1">
      <alignment horizontal="center" vertical="center" shrinkToFit="1"/>
    </xf>
    <xf numFmtId="0" fontId="132" fillId="161" borderId="1" xfId="0" applyFont="1" applyFill="1" applyBorder="1" applyAlignment="1">
      <alignment horizontal="center" vertical="center"/>
    </xf>
    <xf numFmtId="0" fontId="3" fillId="0" borderId="61" xfId="128" applyFont="1" applyBorder="1" applyAlignment="1">
      <alignment horizontal="center" vertical="center" shrinkToFit="1"/>
    </xf>
    <xf numFmtId="0" fontId="101" fillId="0" borderId="63" xfId="128" applyFont="1" applyBorder="1" applyAlignment="1">
      <alignment horizontal="center" vertical="center" shrinkToFit="1"/>
    </xf>
    <xf numFmtId="0" fontId="42" fillId="63" borderId="0" xfId="0" applyFont="1" applyFill="1" applyAlignment="1">
      <alignment horizontal="center" vertical="center"/>
    </xf>
    <xf numFmtId="0" fontId="124" fillId="124" borderId="1" xfId="0" applyFont="1" applyFill="1" applyBorder="1" applyAlignment="1">
      <alignment horizontal="center"/>
    </xf>
    <xf numFmtId="0" fontId="120" fillId="162" borderId="1" xfId="128" applyFont="1" applyFill="1" applyBorder="1" applyAlignment="1">
      <alignment horizontal="center" vertical="center" shrinkToFit="1"/>
    </xf>
    <xf numFmtId="0" fontId="90" fillId="163" borderId="1" xfId="0" applyFont="1" applyFill="1" applyBorder="1" applyAlignment="1">
      <alignment horizontal="center" vertical="center"/>
    </xf>
    <xf numFmtId="0" fontId="101" fillId="0" borderId="49" xfId="128" applyFont="1" applyBorder="1" applyAlignment="1">
      <alignment horizontal="center" vertical="center" shrinkToFit="1"/>
    </xf>
    <xf numFmtId="0" fontId="43" fillId="164" borderId="1" xfId="0" applyFont="1" applyFill="1" applyBorder="1" applyAlignment="1">
      <alignment horizontal="center" vertical="center"/>
    </xf>
    <xf numFmtId="0" fontId="43" fillId="164" borderId="26" xfId="0" applyFont="1" applyFill="1" applyBorder="1" applyAlignment="1">
      <alignment horizontal="center" vertical="center"/>
    </xf>
    <xf numFmtId="0" fontId="90" fillId="124" borderId="1" xfId="0" applyFont="1" applyFill="1" applyBorder="1" applyAlignment="1">
      <alignment horizontal="center"/>
    </xf>
    <xf numFmtId="0" fontId="37" fillId="65" borderId="1" xfId="128" applyFont="1" applyFill="1" applyBorder="1" applyAlignment="1">
      <alignment horizontal="center" vertical="center" shrinkToFit="1"/>
    </xf>
    <xf numFmtId="0" fontId="130" fillId="165" borderId="64" xfId="0" applyFont="1" applyFill="1" applyBorder="1" applyAlignment="1">
      <alignment horizontal="center" vertical="center"/>
    </xf>
    <xf numFmtId="0" fontId="50" fillId="166" borderId="1" xfId="128" applyFont="1" applyFill="1" applyBorder="1" applyAlignment="1">
      <alignment horizontal="center" vertical="center" shrinkToFit="1"/>
    </xf>
    <xf numFmtId="0" fontId="39" fillId="49" borderId="65" xfId="0" applyFont="1" applyFill="1" applyBorder="1" applyAlignment="1">
      <alignment horizontal="center" vertical="center"/>
    </xf>
    <xf numFmtId="0" fontId="90" fillId="38" borderId="1" xfId="0" applyFont="1" applyFill="1" applyBorder="1" applyAlignment="1">
      <alignment horizontal="center"/>
    </xf>
    <xf numFmtId="0" fontId="37" fillId="95" borderId="1" xfId="128" applyFont="1" applyFill="1" applyBorder="1" applyAlignment="1">
      <alignment horizontal="center" vertical="center" shrinkToFit="1"/>
    </xf>
    <xf numFmtId="0" fontId="48" fillId="167" borderId="1" xfId="128" applyFont="1" applyFill="1" applyBorder="1" applyAlignment="1">
      <alignment horizontal="center" vertical="center" shrinkToFit="1"/>
    </xf>
    <xf numFmtId="0" fontId="133" fillId="48" borderId="5" xfId="0" applyFont="1" applyFill="1" applyBorder="1" applyAlignment="1">
      <alignment horizontal="center" vertical="center"/>
    </xf>
    <xf numFmtId="0" fontId="62" fillId="94" borderId="1" xfId="128" applyFont="1" applyFill="1" applyBorder="1" applyAlignment="1">
      <alignment horizontal="center" vertical="center" shrinkToFit="1"/>
    </xf>
    <xf numFmtId="0" fontId="48" fillId="65" borderId="1" xfId="128" applyFont="1" applyFill="1" applyBorder="1" applyAlignment="1">
      <alignment horizontal="center" vertical="center" shrinkToFit="1"/>
    </xf>
    <xf numFmtId="0" fontId="50" fillId="168" borderId="1" xfId="128" applyFont="1" applyFill="1" applyBorder="1" applyAlignment="1">
      <alignment horizontal="center" vertical="center" shrinkToFit="1"/>
    </xf>
    <xf numFmtId="0" fontId="43" fillId="169" borderId="58" xfId="0" applyFont="1" applyFill="1" applyBorder="1" applyAlignment="1">
      <alignment horizontal="center" vertical="center"/>
    </xf>
    <xf numFmtId="0" fontId="90" fillId="154" borderId="1" xfId="0" applyFont="1" applyFill="1" applyBorder="1" applyAlignment="1">
      <alignment horizontal="center"/>
    </xf>
    <xf numFmtId="0" fontId="122" fillId="170" borderId="1" xfId="128" applyFont="1" applyFill="1" applyBorder="1" applyAlignment="1">
      <alignment horizontal="center" vertical="center" shrinkToFit="1"/>
    </xf>
    <xf numFmtId="0" fontId="48" fillId="171" borderId="1" xfId="128" applyFont="1" applyFill="1" applyBorder="1" applyAlignment="1">
      <alignment horizontal="center" vertical="center" shrinkToFit="1"/>
    </xf>
    <xf numFmtId="0" fontId="110" fillId="82" borderId="37" xfId="0" applyFont="1" applyFill="1" applyBorder="1" applyAlignment="1">
      <alignment wrapText="1"/>
    </xf>
    <xf numFmtId="0" fontId="118" fillId="172" borderId="66" xfId="0" applyFont="1" applyFill="1" applyBorder="1" applyAlignment="1">
      <alignment horizontal="center" vertical="center"/>
    </xf>
    <xf numFmtId="0" fontId="116" fillId="173" borderId="1" xfId="128" applyFont="1" applyFill="1" applyBorder="1" applyAlignment="1">
      <alignment horizontal="center" vertical="center" shrinkToFit="1"/>
    </xf>
    <xf numFmtId="0" fontId="50" fillId="174" borderId="1" xfId="128" applyFont="1" applyFill="1" applyBorder="1" applyAlignment="1">
      <alignment horizontal="center" vertical="center" shrinkToFit="1"/>
    </xf>
    <xf numFmtId="0" fontId="43" fillId="175" borderId="67" xfId="0" applyFont="1" applyFill="1" applyBorder="1" applyAlignment="1">
      <alignment horizontal="center" vertical="center"/>
    </xf>
    <xf numFmtId="0" fontId="43" fillId="175" borderId="31" xfId="0" applyFont="1" applyFill="1" applyBorder="1" applyAlignment="1">
      <alignment horizontal="center" vertical="center"/>
    </xf>
    <xf numFmtId="0" fontId="48" fillId="176" borderId="1" xfId="128" applyFont="1" applyFill="1" applyBorder="1" applyAlignment="1">
      <alignment horizontal="center" vertical="center" shrinkToFit="1"/>
    </xf>
    <xf numFmtId="0" fontId="115" fillId="48" borderId="1" xfId="0" applyFont="1" applyFill="1" applyBorder="1" applyAlignment="1">
      <alignment horizontal="center" vertical="center"/>
    </xf>
    <xf numFmtId="0" fontId="43" fillId="34" borderId="68" xfId="0" applyFont="1" applyFill="1" applyBorder="1" applyAlignment="1">
      <alignment horizontal="center" vertical="center"/>
    </xf>
    <xf numFmtId="0" fontId="3" fillId="101" borderId="0" xfId="128" applyFont="1" applyFill="1" applyAlignment="1">
      <alignment horizontal="center" vertical="center"/>
    </xf>
    <xf numFmtId="0" fontId="3" fillId="51" borderId="0" xfId="139" applyFont="1" applyFill="1" applyAlignment="1">
      <alignment horizontal="center" vertical="center" shrinkToFit="1"/>
    </xf>
    <xf numFmtId="0" fontId="115" fillId="177" borderId="1" xfId="0" applyFont="1" applyFill="1" applyBorder="1" applyAlignment="1">
      <alignment horizontal="center"/>
    </xf>
    <xf numFmtId="0" fontId="48" fillId="178" borderId="1" xfId="128" applyFont="1" applyFill="1" applyBorder="1" applyAlignment="1">
      <alignment horizontal="center" vertical="center" shrinkToFit="1"/>
    </xf>
    <xf numFmtId="0" fontId="43" fillId="179" borderId="65" xfId="0" applyFont="1" applyFill="1" applyBorder="1" applyAlignment="1">
      <alignment horizontal="center" vertical="center"/>
    </xf>
    <xf numFmtId="0" fontId="43" fillId="179" borderId="26" xfId="0" applyFont="1" applyFill="1" applyBorder="1" applyAlignment="1">
      <alignment horizontal="center" vertical="center"/>
    </xf>
    <xf numFmtId="0" fontId="48" fillId="180" borderId="1" xfId="128" applyFont="1" applyFill="1" applyBorder="1" applyAlignment="1">
      <alignment horizontal="center" vertical="center" shrinkToFit="1"/>
    </xf>
    <xf numFmtId="0" fontId="39" fillId="181" borderId="1" xfId="139" applyFont="1" applyFill="1" applyBorder="1" applyAlignment="1">
      <alignment horizontal="center" vertical="center" shrinkToFit="1"/>
    </xf>
    <xf numFmtId="0" fontId="134" fillId="35" borderId="58" xfId="0" applyFont="1" applyFill="1" applyBorder="1" applyAlignment="1">
      <alignment horizontal="center" vertical="center"/>
    </xf>
    <xf numFmtId="0" fontId="37" fillId="35" borderId="1" xfId="0" applyFont="1" applyFill="1" applyBorder="1" applyAlignment="1">
      <alignment horizontal="center" vertical="center"/>
    </xf>
    <xf numFmtId="0" fontId="48" fillId="182" borderId="1" xfId="128" applyFont="1" applyFill="1" applyBorder="1" applyAlignment="1">
      <alignment horizontal="center" vertical="center" shrinkToFit="1"/>
    </xf>
    <xf numFmtId="0" fontId="43" fillId="49" borderId="26" xfId="0" applyFont="1" applyFill="1" applyBorder="1" applyAlignment="1">
      <alignment horizontal="center" vertical="center"/>
    </xf>
    <xf numFmtId="0" fontId="59" fillId="38" borderId="1" xfId="0" applyFont="1" applyFill="1" applyBorder="1" applyAlignment="1">
      <alignment horizontal="center"/>
    </xf>
    <xf numFmtId="0" fontId="14" fillId="154" borderId="1" xfId="0" applyFont="1" applyFill="1" applyBorder="1" applyAlignment="1">
      <alignment horizontal="center" vertical="center"/>
    </xf>
    <xf numFmtId="0" fontId="110" fillId="82" borderId="62" xfId="0" applyFont="1" applyFill="1" applyBorder="1" applyAlignment="1">
      <alignment wrapText="1"/>
    </xf>
    <xf numFmtId="0" fontId="135" fillId="88" borderId="26" xfId="0" applyFont="1" applyFill="1" applyBorder="1" applyAlignment="1">
      <alignment horizontal="center" vertical="center"/>
    </xf>
    <xf numFmtId="0" fontId="48" fillId="183" borderId="1" xfId="128" applyFont="1" applyFill="1" applyBorder="1" applyAlignment="1">
      <alignment horizontal="center" vertical="center" shrinkToFit="1"/>
    </xf>
    <xf numFmtId="0" fontId="90" fillId="0" borderId="1" xfId="0" applyFont="1" applyBorder="1"/>
    <xf numFmtId="171" fontId="90" fillId="0" borderId="1" xfId="0" applyNumberFormat="1" applyFont="1" applyBorder="1" applyAlignment="1">
      <alignment horizontal="center" vertical="center"/>
    </xf>
    <xf numFmtId="0" fontId="43" fillId="34" borderId="26" xfId="0" applyFont="1" applyFill="1" applyBorder="1" applyAlignment="1">
      <alignment horizontal="center" vertical="center"/>
    </xf>
    <xf numFmtId="0" fontId="50" fillId="129" borderId="1" xfId="128" applyFont="1" applyFill="1" applyBorder="1" applyAlignment="1">
      <alignment horizontal="center" vertical="center" shrinkToFit="1"/>
    </xf>
    <xf numFmtId="0" fontId="48" fillId="184" borderId="1" xfId="0" applyFont="1" applyFill="1" applyBorder="1" applyAlignment="1">
      <alignment horizontal="center" vertical="center"/>
    </xf>
    <xf numFmtId="0" fontId="43" fillId="53" borderId="26" xfId="0" applyFont="1" applyFill="1" applyBorder="1" applyAlignment="1">
      <alignment horizontal="center" vertical="center"/>
    </xf>
    <xf numFmtId="0" fontId="136" fillId="95" borderId="1" xfId="124" applyFont="1" applyFill="1" applyBorder="1" applyAlignment="1">
      <alignment horizontal="center"/>
    </xf>
    <xf numFmtId="0" fontId="43" fillId="119" borderId="26" xfId="0" applyFont="1" applyFill="1" applyBorder="1" applyAlignment="1">
      <alignment horizontal="center" vertical="center"/>
    </xf>
    <xf numFmtId="0" fontId="115" fillId="0" borderId="1" xfId="119" applyFont="1" applyBorder="1" applyAlignment="1" applyProtection="1">
      <alignment shrinkToFit="1"/>
      <protection locked="0"/>
    </xf>
    <xf numFmtId="0" fontId="66" fillId="70" borderId="1" xfId="124" applyFont="1" applyFill="1" applyBorder="1" applyAlignment="1">
      <alignment horizontal="center"/>
    </xf>
    <xf numFmtId="0" fontId="48" fillId="185" borderId="1" xfId="0" applyFont="1" applyFill="1" applyBorder="1" applyAlignment="1">
      <alignment horizontal="center" vertical="center"/>
    </xf>
    <xf numFmtId="0" fontId="50" fillId="119" borderId="1" xfId="0" applyFont="1" applyFill="1" applyBorder="1" applyAlignment="1">
      <alignment horizontal="center" vertical="center"/>
    </xf>
    <xf numFmtId="0" fontId="110" fillId="47" borderId="0" xfId="0" applyFont="1" applyFill="1"/>
    <xf numFmtId="0" fontId="3" fillId="0" borderId="49" xfId="128" applyFont="1" applyBorder="1" applyAlignment="1">
      <alignment horizontal="center" vertical="center" shrinkToFit="1"/>
    </xf>
    <xf numFmtId="0" fontId="43" fillId="88" borderId="0" xfId="0" applyFont="1" applyFill="1" applyAlignment="1">
      <alignment horizontal="center" vertical="center"/>
    </xf>
    <xf numFmtId="0" fontId="3" fillId="0" borderId="0" xfId="128" applyFont="1" applyAlignment="1">
      <alignment horizontal="center" vertical="center" shrinkToFit="1"/>
    </xf>
    <xf numFmtId="0" fontId="101" fillId="0" borderId="0" xfId="128" applyFont="1" applyAlignment="1">
      <alignment horizontal="center" vertical="center" shrinkToFit="1"/>
    </xf>
    <xf numFmtId="0" fontId="50" fillId="78" borderId="1" xfId="0" applyFont="1" applyFill="1" applyBorder="1" applyAlignment="1">
      <alignment horizontal="center" vertical="center" wrapText="1"/>
    </xf>
    <xf numFmtId="0" fontId="43" fillId="157" borderId="18" xfId="128" applyFont="1" applyFill="1" applyBorder="1" applyAlignment="1">
      <alignment vertical="center" shrinkToFit="1"/>
    </xf>
    <xf numFmtId="0" fontId="43" fillId="157" borderId="73" xfId="128" applyFont="1" applyFill="1" applyBorder="1" applyAlignment="1">
      <alignment vertical="center" shrinkToFit="1"/>
    </xf>
    <xf numFmtId="0" fontId="59" fillId="35" borderId="18" xfId="0" applyFont="1" applyFill="1" applyBorder="1" applyAlignment="1">
      <alignment horizontal="center"/>
    </xf>
    <xf numFmtId="0" fontId="48" fillId="186" borderId="1" xfId="128" applyFont="1" applyFill="1" applyBorder="1" applyAlignment="1">
      <alignment horizontal="center" vertical="center" shrinkToFit="1"/>
    </xf>
    <xf numFmtId="0" fontId="124" fillId="188" borderId="1" xfId="0" applyFont="1" applyFill="1" applyBorder="1" applyAlignment="1">
      <alignment horizontal="center"/>
    </xf>
    <xf numFmtId="0" fontId="125" fillId="189" borderId="1" xfId="0" applyFont="1" applyFill="1" applyBorder="1" applyAlignment="1">
      <alignment horizontal="center" vertical="center"/>
    </xf>
    <xf numFmtId="0" fontId="90" fillId="190" borderId="1" xfId="0" applyFont="1" applyFill="1" applyBorder="1" applyAlignment="1">
      <alignment horizontal="center"/>
    </xf>
    <xf numFmtId="0" fontId="138" fillId="191" borderId="1" xfId="128" applyFont="1" applyFill="1" applyBorder="1" applyAlignment="1">
      <alignment horizontal="center" vertical="center" shrinkToFit="1"/>
    </xf>
    <xf numFmtId="0" fontId="62" fillId="146" borderId="1" xfId="128" applyFont="1" applyFill="1" applyBorder="1" applyAlignment="1">
      <alignment horizontal="center" vertical="center" shrinkToFit="1"/>
    </xf>
    <xf numFmtId="0" fontId="48" fillId="192" borderId="1" xfId="128" applyFont="1" applyFill="1" applyBorder="1" applyAlignment="1">
      <alignment horizontal="center" vertical="center" shrinkToFit="1"/>
    </xf>
    <xf numFmtId="0" fontId="90" fillId="35" borderId="1" xfId="0" applyFont="1" applyFill="1" applyBorder="1" applyAlignment="1">
      <alignment horizontal="center"/>
    </xf>
    <xf numFmtId="0" fontId="48" fillId="193" borderId="1" xfId="128" applyFont="1" applyFill="1" applyBorder="1" applyAlignment="1">
      <alignment horizontal="center" vertical="center" shrinkToFit="1"/>
    </xf>
    <xf numFmtId="0" fontId="110" fillId="47" borderId="0" xfId="0" applyFont="1" applyFill="1" applyAlignment="1">
      <alignment wrapText="1"/>
    </xf>
    <xf numFmtId="0" fontId="83" fillId="119" borderId="1" xfId="0" applyFont="1" applyFill="1" applyBorder="1" applyAlignment="1">
      <alignment horizontal="center"/>
    </xf>
    <xf numFmtId="0" fontId="50" fillId="194" borderId="1" xfId="128" applyFont="1" applyFill="1" applyBorder="1" applyAlignment="1">
      <alignment horizontal="center" vertical="center" shrinkToFit="1"/>
    </xf>
    <xf numFmtId="0" fontId="139" fillId="195" borderId="1" xfId="0" applyFont="1" applyFill="1" applyBorder="1" applyAlignment="1">
      <alignment horizontal="center" vertical="center"/>
    </xf>
    <xf numFmtId="0" fontId="43" fillId="55" borderId="26" xfId="0" applyFont="1" applyFill="1" applyBorder="1" applyAlignment="1">
      <alignment horizontal="center" vertical="center"/>
    </xf>
    <xf numFmtId="0" fontId="48" fillId="196" borderId="1" xfId="128" applyFont="1" applyFill="1" applyBorder="1" applyAlignment="1">
      <alignment horizontal="center" vertical="center" shrinkToFit="1"/>
    </xf>
    <xf numFmtId="0" fontId="62" fillId="187" borderId="1" xfId="128" applyFont="1" applyFill="1" applyBorder="1" applyAlignment="1">
      <alignment horizontal="center" vertical="center" shrinkToFit="1"/>
    </xf>
    <xf numFmtId="0" fontId="134" fillId="48" borderId="0" xfId="0" applyFont="1" applyFill="1" applyAlignment="1">
      <alignment horizontal="center" vertical="center"/>
    </xf>
    <xf numFmtId="0" fontId="37" fillId="87" borderId="1" xfId="128" applyFont="1" applyFill="1" applyBorder="1" applyAlignment="1">
      <alignment horizontal="center" vertical="center" shrinkToFit="1"/>
    </xf>
    <xf numFmtId="0" fontId="83" fillId="92" borderId="1" xfId="0" applyFont="1" applyFill="1" applyBorder="1" applyAlignment="1">
      <alignment horizontal="center" vertical="center"/>
    </xf>
    <xf numFmtId="0" fontId="48" fillId="49" borderId="1" xfId="0" applyFont="1" applyFill="1" applyBorder="1" applyAlignment="1">
      <alignment horizontal="center" vertical="center"/>
    </xf>
    <xf numFmtId="0" fontId="43" fillId="50" borderId="26" xfId="0" applyFont="1" applyFill="1" applyBorder="1" applyAlignment="1">
      <alignment horizontal="center" vertical="center"/>
    </xf>
    <xf numFmtId="0" fontId="140" fillId="87" borderId="1" xfId="128" applyFont="1" applyFill="1" applyBorder="1" applyAlignment="1">
      <alignment horizontal="center" vertical="center" shrinkToFit="1"/>
    </xf>
    <xf numFmtId="0" fontId="48" fillId="197" borderId="1" xfId="128" applyFont="1" applyFill="1" applyBorder="1" applyAlignment="1">
      <alignment horizontal="center" vertical="center" shrinkToFit="1"/>
    </xf>
    <xf numFmtId="0" fontId="0" fillId="86" borderId="37" xfId="0" applyFill="1" applyBorder="1" applyAlignment="1">
      <alignment wrapText="1"/>
    </xf>
    <xf numFmtId="0" fontId="43" fillId="64" borderId="26" xfId="0" applyFont="1" applyFill="1" applyBorder="1" applyAlignment="1">
      <alignment horizontal="center" vertical="center"/>
    </xf>
    <xf numFmtId="0" fontId="61" fillId="49" borderId="1" xfId="128" applyFont="1" applyFill="1" applyBorder="1" applyAlignment="1">
      <alignment horizontal="center" vertical="center" shrinkToFit="1"/>
    </xf>
    <xf numFmtId="0" fontId="48" fillId="198" borderId="1" xfId="128" applyFont="1" applyFill="1" applyBorder="1" applyAlignment="1">
      <alignment horizontal="center" vertical="center" shrinkToFit="1"/>
    </xf>
    <xf numFmtId="0" fontId="43" fillId="199" borderId="31" xfId="0" applyFont="1" applyFill="1" applyBorder="1" applyAlignment="1">
      <alignment horizontal="center" vertical="center"/>
    </xf>
    <xf numFmtId="0" fontId="50" fillId="200" borderId="1" xfId="128" applyFont="1" applyFill="1" applyBorder="1" applyAlignment="1">
      <alignment horizontal="center" vertical="center" shrinkToFit="1"/>
    </xf>
    <xf numFmtId="0" fontId="130" fillId="48" borderId="0" xfId="0" applyFont="1" applyFill="1" applyAlignment="1">
      <alignment horizontal="center" vertical="center"/>
    </xf>
    <xf numFmtId="0" fontId="50" fillId="201" borderId="1" xfId="128" applyFont="1" applyFill="1" applyBorder="1" applyAlignment="1" applyProtection="1">
      <alignment horizontal="center" vertical="center" shrinkToFit="1"/>
      <protection locked="0"/>
    </xf>
    <xf numFmtId="0" fontId="62" fillId="165" borderId="1" xfId="128" applyFont="1" applyFill="1" applyBorder="1" applyAlignment="1">
      <alignment horizontal="center" vertical="center" shrinkToFit="1"/>
    </xf>
    <xf numFmtId="0" fontId="62" fillId="202" borderId="1" xfId="0" applyFont="1" applyFill="1" applyBorder="1" applyAlignment="1">
      <alignment horizontal="center" vertical="center"/>
    </xf>
    <xf numFmtId="0" fontId="48" fillId="203" borderId="1" xfId="128" applyFont="1" applyFill="1" applyBorder="1" applyAlignment="1">
      <alignment horizontal="center" vertical="center" shrinkToFit="1"/>
    </xf>
    <xf numFmtId="0" fontId="50" fillId="204" borderId="1" xfId="128" applyFont="1" applyFill="1" applyBorder="1" applyAlignment="1">
      <alignment horizontal="center" vertical="center" shrinkToFit="1"/>
    </xf>
    <xf numFmtId="0" fontId="43" fillId="90" borderId="0" xfId="0" applyFont="1" applyFill="1" applyAlignment="1">
      <alignment horizontal="center" vertical="center"/>
    </xf>
    <xf numFmtId="0" fontId="90" fillId="37" borderId="1" xfId="0" applyFont="1" applyFill="1" applyBorder="1" applyAlignment="1">
      <alignment horizontal="center"/>
    </xf>
    <xf numFmtId="0" fontId="62" fillId="205" borderId="1" xfId="128" applyFont="1" applyFill="1" applyBorder="1" applyAlignment="1">
      <alignment horizontal="center" vertical="center" shrinkToFit="1"/>
    </xf>
    <xf numFmtId="0" fontId="50" fillId="164" borderId="1" xfId="0" applyFont="1" applyFill="1" applyBorder="1" applyAlignment="1">
      <alignment horizontal="center" vertical="center" wrapText="1"/>
    </xf>
    <xf numFmtId="0" fontId="84" fillId="91" borderId="0" xfId="0" applyFont="1" applyFill="1" applyAlignment="1">
      <alignment horizontal="center" vertical="center"/>
    </xf>
    <xf numFmtId="0" fontId="62" fillId="206" borderId="1" xfId="128" applyFont="1" applyFill="1" applyBorder="1" applyAlignment="1">
      <alignment horizontal="center" vertical="center" shrinkToFit="1"/>
    </xf>
    <xf numFmtId="0" fontId="116" fillId="207" borderId="1" xfId="0" applyFont="1" applyFill="1" applyBorder="1" applyAlignment="1">
      <alignment horizontal="center" vertical="center"/>
    </xf>
    <xf numFmtId="0" fontId="62" fillId="36" borderId="1" xfId="128" applyFont="1" applyFill="1" applyBorder="1" applyAlignment="1">
      <alignment horizontal="center" vertical="center" shrinkToFit="1"/>
    </xf>
    <xf numFmtId="0" fontId="116" fillId="40" borderId="1" xfId="128" applyFont="1" applyFill="1" applyBorder="1" applyAlignment="1">
      <alignment horizontal="center" vertical="center" shrinkToFit="1"/>
    </xf>
    <xf numFmtId="0" fontId="50" fillId="34" borderId="1" xfId="0" applyFont="1" applyFill="1" applyBorder="1" applyAlignment="1">
      <alignment horizontal="center" vertical="center"/>
    </xf>
    <xf numFmtId="0" fontId="43" fillId="90" borderId="31" xfId="0" applyFont="1" applyFill="1" applyBorder="1" applyAlignment="1">
      <alignment horizontal="center" vertical="center"/>
    </xf>
    <xf numFmtId="0" fontId="37" fillId="42" borderId="1" xfId="128" applyFont="1" applyFill="1" applyBorder="1" applyAlignment="1" applyProtection="1">
      <alignment horizontal="center" vertical="center" shrinkToFit="1"/>
      <protection locked="0"/>
    </xf>
    <xf numFmtId="0" fontId="141" fillId="208" borderId="1" xfId="128" applyFont="1" applyFill="1" applyBorder="1" applyAlignment="1">
      <alignment horizontal="center" vertical="center" shrinkToFit="1"/>
    </xf>
    <xf numFmtId="0" fontId="50" fillId="208" borderId="1" xfId="128" applyFont="1" applyFill="1" applyBorder="1" applyAlignment="1">
      <alignment horizontal="center" vertical="center" shrinkToFit="1"/>
    </xf>
    <xf numFmtId="0" fontId="50" fillId="53" borderId="1" xfId="0" applyFont="1" applyFill="1" applyBorder="1" applyAlignment="1">
      <alignment horizontal="center" vertical="center"/>
    </xf>
    <xf numFmtId="0" fontId="43" fillId="90" borderId="19" xfId="0" applyFont="1" applyFill="1" applyBorder="1" applyAlignment="1">
      <alignment horizontal="center" vertical="center"/>
    </xf>
    <xf numFmtId="0" fontId="50" fillId="209" borderId="1" xfId="128" applyFont="1" applyFill="1" applyBorder="1" applyAlignment="1">
      <alignment horizontal="center" vertical="center" shrinkToFit="1"/>
    </xf>
    <xf numFmtId="0" fontId="125" fillId="210" borderId="1" xfId="0" applyFont="1" applyFill="1" applyBorder="1" applyAlignment="1">
      <alignment horizontal="center" vertical="center"/>
    </xf>
    <xf numFmtId="0" fontId="43" fillId="211" borderId="0" xfId="0" applyFont="1" applyFill="1" applyAlignment="1">
      <alignment horizontal="center" vertical="center"/>
    </xf>
    <xf numFmtId="0" fontId="90" fillId="164" borderId="1" xfId="0" applyFont="1" applyFill="1" applyBorder="1" applyAlignment="1">
      <alignment horizontal="center"/>
    </xf>
    <xf numFmtId="0" fontId="84" fillId="64" borderId="0" xfId="0" applyFont="1" applyFill="1" applyAlignment="1">
      <alignment horizontal="center" vertical="center"/>
    </xf>
    <xf numFmtId="0" fontId="90" fillId="49" borderId="1" xfId="0" applyFont="1" applyFill="1" applyBorder="1" applyAlignment="1">
      <alignment horizontal="center"/>
    </xf>
    <xf numFmtId="0" fontId="122" fillId="212" borderId="1" xfId="128" applyFont="1" applyFill="1" applyBorder="1" applyAlignment="1">
      <alignment horizontal="center" vertical="center" shrinkToFit="1"/>
    </xf>
    <xf numFmtId="0" fontId="50" fillId="213" borderId="1" xfId="0" applyFont="1" applyFill="1" applyBorder="1" applyAlignment="1">
      <alignment horizontal="center" vertical="center" wrapText="1"/>
    </xf>
    <xf numFmtId="0" fontId="43" fillId="40" borderId="0" xfId="0" applyFont="1" applyFill="1" applyAlignment="1">
      <alignment horizontal="center" vertical="center"/>
    </xf>
    <xf numFmtId="0" fontId="59" fillId="67" borderId="1" xfId="124" applyFont="1" applyFill="1" applyBorder="1" applyAlignment="1">
      <alignment horizontal="center"/>
    </xf>
    <xf numFmtId="0" fontId="116" fillId="214" borderId="1" xfId="128" applyFont="1" applyFill="1" applyBorder="1" applyAlignment="1">
      <alignment horizontal="center" vertical="center" shrinkToFit="1"/>
    </xf>
    <xf numFmtId="0" fontId="135" fillId="93" borderId="26" xfId="0" applyFont="1" applyFill="1" applyBorder="1" applyAlignment="1">
      <alignment horizontal="center" vertical="center"/>
    </xf>
    <xf numFmtId="0" fontId="90" fillId="42" borderId="1" xfId="0" applyFont="1" applyFill="1" applyBorder="1" applyAlignment="1">
      <alignment horizontal="center"/>
    </xf>
    <xf numFmtId="0" fontId="90" fillId="176" borderId="1" xfId="0" applyFont="1" applyFill="1" applyBorder="1" applyAlignment="1">
      <alignment horizontal="center"/>
    </xf>
    <xf numFmtId="0" fontId="38" fillId="0" borderId="0" xfId="128" applyFont="1" applyAlignment="1">
      <alignment horizontal="center" vertical="center" shrinkToFit="1"/>
    </xf>
    <xf numFmtId="0" fontId="43" fillId="157" borderId="0" xfId="128" applyFont="1" applyFill="1" applyAlignment="1">
      <alignment vertical="center" shrinkToFit="1"/>
    </xf>
    <xf numFmtId="171" fontId="0" fillId="0" borderId="0" xfId="0" applyNumberFormat="1"/>
    <xf numFmtId="0" fontId="48" fillId="86" borderId="1" xfId="0" applyFont="1" applyFill="1" applyBorder="1" applyAlignment="1">
      <alignment horizontal="center" vertical="center"/>
    </xf>
    <xf numFmtId="0" fontId="62" fillId="0" borderId="78" xfId="128" applyFont="1" applyBorder="1" applyAlignment="1">
      <alignment vertical="center" shrinkToFit="1"/>
    </xf>
    <xf numFmtId="0" fontId="2" fillId="0" borderId="18" xfId="139" applyBorder="1" applyAlignment="1">
      <alignment horizontal="center" vertical="center"/>
    </xf>
    <xf numFmtId="0" fontId="2" fillId="0" borderId="1" xfId="139" applyBorder="1" applyAlignment="1">
      <alignment horizontal="center" vertical="center"/>
    </xf>
    <xf numFmtId="0" fontId="72" fillId="79" borderId="16" xfId="128" applyFont="1" applyFill="1" applyBorder="1" applyAlignment="1">
      <alignment horizontal="center" vertical="center" shrinkToFit="1"/>
    </xf>
    <xf numFmtId="0" fontId="50" fillId="215" borderId="1" xfId="128" applyFont="1" applyFill="1" applyBorder="1" applyAlignment="1">
      <alignment horizontal="center" vertical="center" shrinkToFit="1"/>
    </xf>
    <xf numFmtId="0" fontId="116" fillId="65" borderId="1" xfId="128" applyFont="1" applyFill="1" applyBorder="1" applyAlignment="1">
      <alignment horizontal="center" vertical="center" shrinkToFit="1"/>
    </xf>
    <xf numFmtId="0" fontId="50" fillId="216" borderId="1" xfId="128" applyFont="1" applyFill="1" applyBorder="1" applyAlignment="1">
      <alignment horizontal="center" vertical="center" shrinkToFit="1"/>
    </xf>
    <xf numFmtId="0" fontId="142" fillId="217" borderId="1" xfId="128" applyFont="1" applyFill="1" applyBorder="1" applyAlignment="1">
      <alignment horizontal="center" vertical="center" shrinkToFit="1"/>
    </xf>
    <xf numFmtId="0" fontId="143" fillId="218" borderId="1" xfId="0" applyFont="1" applyFill="1" applyBorder="1" applyAlignment="1">
      <alignment horizontal="center" vertical="center"/>
    </xf>
    <xf numFmtId="0" fontId="135" fillId="42" borderId="59" xfId="139" applyFont="1" applyFill="1" applyBorder="1" applyAlignment="1">
      <alignment horizontal="center" vertical="center" shrinkToFit="1"/>
    </xf>
    <xf numFmtId="0" fontId="142" fillId="217" borderId="33" xfId="128" applyFont="1" applyFill="1" applyBorder="1" applyAlignment="1">
      <alignment horizontal="center" vertical="center" shrinkToFit="1"/>
    </xf>
    <xf numFmtId="0" fontId="50" fillId="95" borderId="1" xfId="0" applyFont="1" applyFill="1" applyBorder="1" applyAlignment="1">
      <alignment horizontal="center" vertical="center"/>
    </xf>
    <xf numFmtId="0" fontId="144" fillId="219" borderId="59" xfId="139" applyFont="1" applyFill="1" applyBorder="1" applyAlignment="1">
      <alignment horizontal="center" vertical="center" shrinkToFit="1"/>
    </xf>
    <xf numFmtId="0" fontId="48" fillId="220" borderId="1" xfId="128" applyFont="1" applyFill="1" applyBorder="1" applyAlignment="1">
      <alignment horizontal="center" vertical="center" shrinkToFit="1"/>
    </xf>
    <xf numFmtId="0" fontId="90" fillId="0" borderId="33" xfId="0" applyFont="1" applyBorder="1"/>
    <xf numFmtId="171" fontId="3" fillId="221" borderId="0" xfId="139" applyNumberFormat="1" applyFont="1" applyFill="1" applyAlignment="1">
      <alignment horizontal="center" vertical="center" shrinkToFit="1"/>
    </xf>
    <xf numFmtId="171" fontId="0" fillId="47" borderId="0" xfId="0" applyNumberFormat="1" applyFill="1"/>
    <xf numFmtId="0" fontId="3" fillId="93" borderId="0" xfId="139" applyFont="1" applyFill="1" applyAlignment="1">
      <alignment horizontal="center" vertical="center" shrinkToFit="1"/>
    </xf>
    <xf numFmtId="0" fontId="121" fillId="36" borderId="1" xfId="124" applyFont="1" applyFill="1" applyBorder="1" applyAlignment="1">
      <alignment horizontal="center"/>
    </xf>
    <xf numFmtId="0" fontId="107" fillId="48" borderId="79" xfId="0" applyFont="1" applyFill="1" applyBorder="1" applyAlignment="1">
      <alignment horizontal="center"/>
    </xf>
    <xf numFmtId="0" fontId="90" fillId="53" borderId="1" xfId="0" applyFont="1" applyFill="1" applyBorder="1" applyAlignment="1">
      <alignment horizontal="center"/>
    </xf>
    <xf numFmtId="0" fontId="0" fillId="0" borderId="80" xfId="0" applyBorder="1"/>
    <xf numFmtId="0" fontId="0" fillId="0" borderId="81" xfId="0" applyBorder="1"/>
    <xf numFmtId="0" fontId="90" fillId="52" borderId="1" xfId="124" applyFont="1" applyFill="1" applyBorder="1" applyAlignment="1">
      <alignment horizontal="center"/>
    </xf>
    <xf numFmtId="0" fontId="110" fillId="0" borderId="1" xfId="0" applyFont="1" applyBorder="1"/>
    <xf numFmtId="0" fontId="145" fillId="222" borderId="1" xfId="0" applyFont="1" applyFill="1" applyBorder="1" applyAlignment="1">
      <alignment horizontal="center" vertical="center" wrapText="1"/>
    </xf>
    <xf numFmtId="0" fontId="110" fillId="40" borderId="0" xfId="0" applyFont="1" applyFill="1" applyAlignment="1">
      <alignment wrapText="1"/>
    </xf>
    <xf numFmtId="0" fontId="73" fillId="43" borderId="50" xfId="128" applyFont="1" applyFill="1" applyBorder="1" applyAlignment="1">
      <alignment horizontal="center" vertical="center" shrinkToFit="1"/>
    </xf>
    <xf numFmtId="0" fontId="90" fillId="223" borderId="1" xfId="0" applyFont="1" applyFill="1" applyBorder="1" applyAlignment="1">
      <alignment horizontal="center"/>
    </xf>
    <xf numFmtId="0" fontId="50" fillId="65" borderId="1" xfId="0" applyFont="1" applyFill="1" applyBorder="1" applyAlignment="1">
      <alignment horizontal="center" vertical="center" wrapText="1"/>
    </xf>
    <xf numFmtId="0" fontId="38" fillId="224" borderId="50" xfId="139" applyFont="1" applyFill="1" applyBorder="1" applyAlignment="1">
      <alignment horizontal="center" vertical="center" shrinkToFit="1"/>
    </xf>
    <xf numFmtId="0" fontId="50" fillId="225" borderId="1" xfId="128" applyFont="1" applyFill="1" applyBorder="1" applyAlignment="1">
      <alignment horizontal="center" vertical="center" shrinkToFit="1"/>
    </xf>
    <xf numFmtId="0" fontId="50" fillId="48" borderId="1" xfId="0" applyFont="1" applyFill="1" applyBorder="1" applyAlignment="1">
      <alignment horizontal="center" vertical="center" wrapText="1"/>
    </xf>
    <xf numFmtId="0" fontId="39" fillId="226" borderId="1" xfId="139" applyFont="1" applyFill="1" applyBorder="1" applyAlignment="1">
      <alignment horizontal="center" vertical="center" shrinkToFit="1"/>
    </xf>
    <xf numFmtId="0" fontId="48" fillId="227" borderId="1" xfId="128" applyFont="1" applyFill="1" applyBorder="1" applyAlignment="1">
      <alignment horizontal="center" vertical="center" shrinkToFit="1"/>
    </xf>
    <xf numFmtId="0" fontId="146" fillId="228" borderId="1" xfId="0" applyFont="1" applyFill="1" applyBorder="1" applyAlignment="1">
      <alignment horizontal="center" vertical="center" wrapText="1"/>
    </xf>
    <xf numFmtId="0" fontId="90" fillId="41" borderId="1" xfId="0" applyFont="1" applyFill="1" applyBorder="1" applyAlignment="1">
      <alignment horizontal="center"/>
    </xf>
    <xf numFmtId="0" fontId="62" fillId="229" borderId="1" xfId="0" applyFont="1" applyFill="1" applyBorder="1" applyAlignment="1">
      <alignment horizontal="center" vertical="center" wrapText="1"/>
    </xf>
    <xf numFmtId="0" fontId="50" fillId="92" borderId="1" xfId="0" applyFont="1" applyFill="1" applyBorder="1" applyAlignment="1">
      <alignment horizontal="center" vertical="center"/>
    </xf>
    <xf numFmtId="0" fontId="90" fillId="213" borderId="1" xfId="0" applyFont="1" applyFill="1" applyBorder="1" applyAlignment="1">
      <alignment horizontal="center"/>
    </xf>
    <xf numFmtId="0" fontId="50" fillId="113" borderId="1" xfId="128" applyFont="1" applyFill="1" applyBorder="1" applyAlignment="1">
      <alignment horizontal="center" vertical="center" shrinkToFit="1"/>
    </xf>
    <xf numFmtId="0" fontId="131" fillId="0" borderId="0" xfId="128" applyFont="1" applyAlignment="1">
      <alignment shrinkToFit="1"/>
    </xf>
    <xf numFmtId="0" fontId="48" fillId="230" borderId="1" xfId="128" applyFont="1" applyFill="1" applyBorder="1" applyAlignment="1">
      <alignment horizontal="center" vertical="center" shrinkToFit="1"/>
    </xf>
    <xf numFmtId="0" fontId="101" fillId="0" borderId="0" xfId="128" applyFont="1" applyAlignment="1">
      <alignment vertical="center" shrinkToFit="1"/>
    </xf>
    <xf numFmtId="0" fontId="144" fillId="231" borderId="16" xfId="128" applyFont="1" applyFill="1" applyBorder="1" applyAlignment="1">
      <alignment horizontal="center" vertical="center" shrinkToFit="1"/>
    </xf>
    <xf numFmtId="0" fontId="90" fillId="96" borderId="1" xfId="0" applyFont="1" applyFill="1" applyBorder="1" applyAlignment="1">
      <alignment horizontal="center"/>
    </xf>
    <xf numFmtId="0" fontId="50" fillId="40" borderId="33" xfId="0" applyFont="1" applyFill="1" applyBorder="1" applyAlignment="1">
      <alignment horizontal="center" vertical="center"/>
    </xf>
    <xf numFmtId="0" fontId="72" fillId="232" borderId="1" xfId="128" applyFont="1" applyFill="1" applyBorder="1" applyAlignment="1">
      <alignment horizontal="center" vertical="center" shrinkToFit="1"/>
    </xf>
    <xf numFmtId="0" fontId="48" fillId="134" borderId="1" xfId="128" applyFont="1" applyFill="1" applyBorder="1" applyAlignment="1">
      <alignment horizontal="center" vertical="center" shrinkToFit="1"/>
    </xf>
    <xf numFmtId="10" fontId="101" fillId="0" borderId="0" xfId="119" applyNumberFormat="1" applyFont="1" applyAlignment="1">
      <alignment vertical="center" shrinkToFit="1"/>
    </xf>
    <xf numFmtId="0" fontId="147" fillId="233" borderId="59" xfId="139" applyFont="1" applyFill="1" applyBorder="1" applyAlignment="1">
      <alignment horizontal="center" vertical="center" shrinkToFit="1"/>
    </xf>
    <xf numFmtId="0" fontId="148" fillId="234" borderId="1" xfId="0" applyFont="1" applyFill="1" applyBorder="1" applyAlignment="1">
      <alignment horizontal="center" vertical="center" wrapText="1"/>
    </xf>
    <xf numFmtId="0" fontId="149" fillId="235" borderId="1" xfId="0" applyFont="1" applyFill="1" applyBorder="1" applyAlignment="1">
      <alignment horizontal="center" vertical="center"/>
    </xf>
    <xf numFmtId="0" fontId="144" fillId="131" borderId="59" xfId="139" applyFont="1" applyFill="1" applyBorder="1" applyAlignment="1">
      <alignment horizontal="center" vertical="center" shrinkToFit="1"/>
    </xf>
    <xf numFmtId="0" fontId="37" fillId="236" borderId="1" xfId="128" applyFont="1" applyFill="1" applyBorder="1" applyAlignment="1">
      <alignment horizontal="center" vertical="center" shrinkToFit="1"/>
    </xf>
    <xf numFmtId="0" fontId="37" fillId="237" borderId="2" xfId="0" applyFont="1" applyFill="1" applyBorder="1" applyAlignment="1">
      <alignment horizontal="center" vertical="center"/>
    </xf>
    <xf numFmtId="0" fontId="50" fillId="159" borderId="2" xfId="128" applyFont="1" applyFill="1" applyBorder="1" applyAlignment="1">
      <alignment horizontal="center" vertical="center" shrinkToFit="1"/>
    </xf>
    <xf numFmtId="0" fontId="48" fillId="238" borderId="1" xfId="128" applyFont="1" applyFill="1" applyBorder="1" applyAlignment="1">
      <alignment horizontal="center" vertical="center" shrinkToFit="1"/>
    </xf>
    <xf numFmtId="0" fontId="48" fillId="239" borderId="1" xfId="128" applyFont="1" applyFill="1" applyBorder="1" applyAlignment="1">
      <alignment horizontal="center" vertical="center" shrinkToFit="1"/>
    </xf>
    <xf numFmtId="0" fontId="48" fillId="240" borderId="1" xfId="128" applyFont="1" applyFill="1" applyBorder="1" applyAlignment="1">
      <alignment horizontal="center" vertical="center" shrinkToFit="1"/>
    </xf>
    <xf numFmtId="0" fontId="62" fillId="99" borderId="1" xfId="128" applyFont="1" applyFill="1" applyBorder="1" applyAlignment="1">
      <alignment horizontal="center" vertical="center" shrinkToFit="1"/>
    </xf>
    <xf numFmtId="0" fontId="73" fillId="76" borderId="50" xfId="128" applyFont="1" applyFill="1" applyBorder="1" applyAlignment="1">
      <alignment horizontal="center" vertical="center" shrinkToFit="1"/>
    </xf>
    <xf numFmtId="0" fontId="37" fillId="241" borderId="1" xfId="0" applyFont="1" applyFill="1" applyBorder="1" applyAlignment="1">
      <alignment horizontal="center" vertical="center"/>
    </xf>
    <xf numFmtId="0" fontId="38" fillId="80" borderId="50" xfId="139" applyFont="1" applyFill="1" applyBorder="1" applyAlignment="1">
      <alignment horizontal="center" vertical="center" shrinkToFit="1"/>
    </xf>
    <xf numFmtId="0" fontId="37" fillId="38" borderId="1" xfId="0" applyFont="1" applyFill="1" applyBorder="1" applyAlignment="1">
      <alignment horizontal="center" vertical="center" wrapText="1"/>
    </xf>
    <xf numFmtId="0" fontId="90" fillId="95" borderId="1" xfId="0" applyFont="1" applyFill="1" applyBorder="1" applyAlignment="1">
      <alignment horizontal="center"/>
    </xf>
    <xf numFmtId="0" fontId="37" fillId="40" borderId="1" xfId="0" applyFont="1" applyFill="1" applyBorder="1" applyAlignment="1">
      <alignment horizontal="center" vertical="center" wrapText="1"/>
    </xf>
    <xf numFmtId="0" fontId="150" fillId="242" borderId="1" xfId="0" applyFont="1" applyFill="1" applyBorder="1" applyAlignment="1">
      <alignment horizontal="center" vertical="center" wrapText="1"/>
    </xf>
    <xf numFmtId="0" fontId="48" fillId="43" borderId="1" xfId="0" applyFont="1" applyFill="1" applyBorder="1" applyAlignment="1">
      <alignment horizontal="center" vertical="center" wrapText="1"/>
    </xf>
    <xf numFmtId="0" fontId="110" fillId="68" borderId="0" xfId="0" applyFont="1" applyFill="1"/>
    <xf numFmtId="171" fontId="101" fillId="101" borderId="0" xfId="128" applyNumberFormat="1" applyFont="1" applyFill="1" applyAlignment="1">
      <alignment horizontal="center" vertical="center"/>
    </xf>
    <xf numFmtId="0" fontId="151" fillId="35" borderId="1" xfId="0" applyFont="1" applyFill="1" applyBorder="1" applyAlignment="1">
      <alignment horizontal="center" vertical="center" wrapText="1"/>
    </xf>
    <xf numFmtId="0" fontId="48" fillId="42" borderId="1" xfId="0" applyFont="1" applyFill="1" applyBorder="1" applyAlignment="1">
      <alignment horizontal="center" vertical="center"/>
    </xf>
    <xf numFmtId="0" fontId="38" fillId="0" borderId="0" xfId="128" applyFont="1" applyAlignment="1">
      <alignment horizontal="center" shrinkToFit="1"/>
    </xf>
    <xf numFmtId="0" fontId="50" fillId="42" borderId="1" xfId="0" applyFont="1" applyFill="1" applyBorder="1" applyAlignment="1">
      <alignment horizontal="center" vertical="center" wrapText="1"/>
    </xf>
    <xf numFmtId="0" fontId="48" fillId="88" borderId="1" xfId="0" applyFont="1" applyFill="1" applyBorder="1" applyAlignment="1">
      <alignment horizontal="center" vertical="center"/>
    </xf>
    <xf numFmtId="0" fontId="50" fillId="243" borderId="1" xfId="0" applyFont="1" applyFill="1" applyBorder="1" applyAlignment="1">
      <alignment horizontal="center" vertical="center"/>
    </xf>
    <xf numFmtId="0" fontId="50" fillId="244" borderId="1" xfId="128" applyFont="1" applyFill="1" applyBorder="1" applyAlignment="1">
      <alignment horizontal="center" vertical="center" shrinkToFit="1"/>
    </xf>
    <xf numFmtId="0" fontId="48" fillId="92" borderId="1" xfId="0" applyFont="1" applyFill="1" applyBorder="1" applyAlignment="1">
      <alignment horizontal="center" vertical="center"/>
    </xf>
    <xf numFmtId="0" fontId="116" fillId="40" borderId="1" xfId="0" applyFont="1" applyFill="1" applyBorder="1" applyAlignment="1">
      <alignment horizontal="center" vertical="center"/>
    </xf>
    <xf numFmtId="0" fontId="50" fillId="43" borderId="1" xfId="0" applyFont="1" applyFill="1" applyBorder="1" applyAlignment="1">
      <alignment horizontal="center" vertical="center"/>
    </xf>
    <xf numFmtId="0" fontId="116" fillId="245" borderId="1" xfId="0" applyFont="1" applyFill="1" applyBorder="1" applyAlignment="1">
      <alignment horizontal="center" vertical="center"/>
    </xf>
    <xf numFmtId="0" fontId="48" fillId="246" borderId="1" xfId="0" applyFont="1" applyFill="1" applyBorder="1" applyAlignment="1">
      <alignment horizontal="center" vertical="center"/>
    </xf>
    <xf numFmtId="171" fontId="152" fillId="0" borderId="3" xfId="0" applyNumberFormat="1" applyFont="1" applyBorder="1" applyAlignment="1">
      <alignment horizontal="center" vertical="center"/>
    </xf>
    <xf numFmtId="0" fontId="110" fillId="0" borderId="83" xfId="0" applyFont="1" applyBorder="1"/>
    <xf numFmtId="0" fontId="50" fillId="154" borderId="1" xfId="0" applyFont="1" applyFill="1" applyBorder="1" applyAlignment="1">
      <alignment horizontal="center" vertical="center"/>
    </xf>
    <xf numFmtId="0" fontId="153" fillId="68" borderId="0" xfId="0" applyFont="1" applyFill="1"/>
    <xf numFmtId="0" fontId="116" fillId="247" borderId="1" xfId="0" applyFont="1" applyFill="1" applyBorder="1" applyAlignment="1">
      <alignment horizontal="center" vertical="center"/>
    </xf>
    <xf numFmtId="0" fontId="104" fillId="0" borderId="27" xfId="0" applyFont="1" applyBorder="1" applyAlignment="1" applyProtection="1">
      <alignment horizontal="center"/>
      <protection locked="0"/>
    </xf>
    <xf numFmtId="0" fontId="104" fillId="0" borderId="20" xfId="0" applyFont="1" applyBorder="1" applyAlignment="1" applyProtection="1">
      <alignment horizontal="center"/>
      <protection locked="0"/>
    </xf>
    <xf numFmtId="0" fontId="104" fillId="0" borderId="0" xfId="0" applyFont="1" applyAlignment="1" applyProtection="1">
      <alignment horizontal="center"/>
      <protection locked="0"/>
    </xf>
    <xf numFmtId="0" fontId="154" fillId="248" borderId="1" xfId="0" applyFont="1" applyFill="1" applyBorder="1" applyAlignment="1">
      <alignment horizontal="center" vertical="center"/>
    </xf>
    <xf numFmtId="0" fontId="48" fillId="103" borderId="86" xfId="128" applyFont="1" applyFill="1" applyBorder="1" applyAlignment="1">
      <alignment horizontal="center" vertical="center" shrinkToFit="1"/>
    </xf>
    <xf numFmtId="0" fontId="110" fillId="88" borderId="0" xfId="0" applyFont="1" applyFill="1"/>
    <xf numFmtId="0" fontId="50" fillId="35" borderId="50" xfId="128" applyFont="1" applyFill="1" applyBorder="1" applyAlignment="1">
      <alignment horizontal="center" vertical="center" shrinkToFit="1"/>
    </xf>
    <xf numFmtId="0" fontId="149" fillId="249" borderId="1" xfId="0" applyFont="1" applyFill="1" applyBorder="1" applyAlignment="1">
      <alignment horizontal="center" vertical="center" wrapText="1"/>
    </xf>
    <xf numFmtId="0" fontId="50" fillId="41" borderId="1" xfId="0" applyFont="1" applyFill="1" applyBorder="1" applyAlignment="1">
      <alignment horizontal="center" vertical="center"/>
    </xf>
    <xf numFmtId="0" fontId="50" fillId="250" borderId="1" xfId="128" applyFont="1" applyFill="1" applyBorder="1" applyAlignment="1">
      <alignment horizontal="center" vertical="center" shrinkToFit="1"/>
    </xf>
    <xf numFmtId="0" fontId="110" fillId="119" borderId="55" xfId="0" applyFont="1" applyFill="1" applyBorder="1" applyAlignment="1">
      <alignment horizontal="center" wrapText="1"/>
    </xf>
    <xf numFmtId="0" fontId="116" fillId="251" borderId="1" xfId="128" applyFont="1" applyFill="1" applyBorder="1" applyAlignment="1">
      <alignment horizontal="center" vertical="center" shrinkToFit="1"/>
    </xf>
    <xf numFmtId="171" fontId="130" fillId="158" borderId="1" xfId="131" applyNumberFormat="1" applyFont="1" applyFill="1" applyBorder="1" applyAlignment="1">
      <alignment vertical="center" shrinkToFit="1"/>
    </xf>
    <xf numFmtId="0" fontId="38" fillId="0" borderId="52" xfId="128" applyFont="1" applyBorder="1" applyAlignment="1">
      <alignment horizontal="center" shrinkToFit="1"/>
    </xf>
    <xf numFmtId="0" fontId="110" fillId="119" borderId="0" xfId="0" applyFont="1" applyFill="1" applyAlignment="1">
      <alignment horizontal="center" wrapText="1"/>
    </xf>
    <xf numFmtId="0" fontId="50" fillId="209" borderId="1" xfId="0" applyFont="1" applyFill="1" applyBorder="1" applyAlignment="1">
      <alignment horizontal="center" vertical="center"/>
    </xf>
    <xf numFmtId="0" fontId="50" fillId="98" borderId="50" xfId="0" applyFont="1" applyFill="1" applyBorder="1" applyAlignment="1">
      <alignment horizontal="center" vertical="center"/>
    </xf>
    <xf numFmtId="0" fontId="125" fillId="252" borderId="1" xfId="0" applyFont="1" applyFill="1" applyBorder="1" applyAlignment="1">
      <alignment horizontal="center" vertical="center"/>
    </xf>
    <xf numFmtId="0" fontId="50" fillId="133" borderId="50" xfId="128" applyFont="1" applyFill="1" applyBorder="1" applyAlignment="1">
      <alignment horizontal="center" vertical="center" shrinkToFit="1"/>
    </xf>
    <xf numFmtId="0" fontId="50" fillId="253" borderId="1" xfId="0" applyFont="1" applyFill="1" applyBorder="1" applyAlignment="1">
      <alignment horizontal="center" vertical="center" wrapText="1"/>
    </xf>
    <xf numFmtId="0" fontId="50" fillId="166" borderId="59" xfId="128" applyFont="1" applyFill="1" applyBorder="1" applyAlignment="1">
      <alignment horizontal="center" vertical="center" shrinkToFit="1"/>
    </xf>
    <xf numFmtId="0" fontId="48" fillId="254" borderId="1" xfId="0" applyFont="1" applyFill="1" applyBorder="1" applyAlignment="1">
      <alignment horizontal="center" vertical="center" wrapText="1"/>
    </xf>
    <xf numFmtId="0" fontId="156" fillId="0" borderId="0" xfId="128" applyFont="1" applyAlignment="1">
      <alignment horizontal="center" vertical="center" shrinkToFit="1"/>
    </xf>
    <xf numFmtId="0" fontId="50" fillId="40" borderId="1" xfId="0" applyFont="1" applyFill="1" applyBorder="1" applyAlignment="1">
      <alignment horizontal="center" vertical="center"/>
    </xf>
    <xf numFmtId="0" fontId="48" fillId="255" borderId="1" xfId="0" applyFont="1" applyFill="1" applyBorder="1" applyAlignment="1">
      <alignment horizontal="center" vertical="center" wrapText="1"/>
    </xf>
    <xf numFmtId="0" fontId="48" fillId="256" borderId="1" xfId="0" applyFont="1" applyFill="1" applyBorder="1" applyAlignment="1">
      <alignment horizontal="center" vertical="center" wrapText="1"/>
    </xf>
    <xf numFmtId="0" fontId="0" fillId="0" borderId="83" xfId="0" applyBorder="1"/>
    <xf numFmtId="0" fontId="143" fillId="257" borderId="1" xfId="0" applyFont="1" applyFill="1" applyBorder="1" applyAlignment="1">
      <alignment horizontal="center" vertical="center" wrapText="1"/>
    </xf>
    <xf numFmtId="0" fontId="137" fillId="0" borderId="0" xfId="128" applyFont="1" applyAlignment="1">
      <alignment horizontal="center" vertical="center" shrinkToFit="1"/>
    </xf>
    <xf numFmtId="0" fontId="110" fillId="0" borderId="38" xfId="0" applyFont="1" applyBorder="1"/>
    <xf numFmtId="0" fontId="157" fillId="258" borderId="86" xfId="128" applyFont="1" applyFill="1" applyBorder="1" applyAlignment="1">
      <alignment horizontal="center" vertical="center" shrinkToFit="1"/>
    </xf>
    <xf numFmtId="0" fontId="110" fillId="53" borderId="55" xfId="0" applyFont="1" applyFill="1" applyBorder="1" applyAlignment="1">
      <alignment horizontal="center" wrapText="1"/>
    </xf>
    <xf numFmtId="0" fontId="110" fillId="53" borderId="0" xfId="0" applyFont="1" applyFill="1" applyAlignment="1">
      <alignment horizontal="center" wrapText="1"/>
    </xf>
    <xf numFmtId="0" fontId="141" fillId="53" borderId="1" xfId="0" applyFont="1" applyFill="1" applyBorder="1" applyAlignment="1">
      <alignment horizontal="center" vertical="center"/>
    </xf>
    <xf numFmtId="0" fontId="48" fillId="53" borderId="1" xfId="0" applyFont="1" applyFill="1" applyBorder="1" applyAlignment="1">
      <alignment horizontal="center" vertical="center"/>
    </xf>
    <xf numFmtId="0" fontId="90" fillId="0" borderId="0" xfId="0" applyFont="1" applyAlignment="1">
      <alignment horizontal="center"/>
    </xf>
    <xf numFmtId="0" fontId="62" fillId="35" borderId="1" xfId="0" applyFont="1" applyFill="1" applyBorder="1" applyAlignment="1">
      <alignment horizontal="center" vertical="center"/>
    </xf>
    <xf numFmtId="0" fontId="48" fillId="40" borderId="1" xfId="0" applyFont="1" applyFill="1" applyBorder="1" applyAlignment="1">
      <alignment horizontal="center" vertical="center"/>
    </xf>
    <xf numFmtId="0" fontId="145" fillId="259" borderId="1" xfId="0" applyFont="1" applyFill="1" applyBorder="1" applyAlignment="1">
      <alignment horizontal="center" vertical="center"/>
    </xf>
    <xf numFmtId="0" fontId="50" fillId="260" borderId="86" xfId="128" applyFont="1" applyFill="1" applyBorder="1" applyAlignment="1">
      <alignment horizontal="center" vertical="center" shrinkToFit="1"/>
    </xf>
    <xf numFmtId="0" fontId="110" fillId="42" borderId="0" xfId="0" applyFont="1" applyFill="1"/>
    <xf numFmtId="0" fontId="50" fillId="261" borderId="50" xfId="128" applyFont="1" applyFill="1" applyBorder="1" applyAlignment="1">
      <alignment horizontal="center" vertical="center" shrinkToFit="1"/>
    </xf>
    <xf numFmtId="0" fontId="50" fillId="35" borderId="86" xfId="0" applyFont="1" applyFill="1" applyBorder="1" applyAlignment="1">
      <alignment horizontal="center" vertical="center"/>
    </xf>
    <xf numFmtId="0" fontId="0" fillId="45" borderId="0" xfId="0" applyFill="1"/>
    <xf numFmtId="0" fontId="48" fillId="52" borderId="50" xfId="0" applyFont="1" applyFill="1" applyBorder="1" applyAlignment="1">
      <alignment horizontal="center" vertical="center"/>
    </xf>
    <xf numFmtId="0" fontId="50" fillId="262" borderId="1" xfId="0" applyFont="1" applyFill="1" applyBorder="1" applyAlignment="1">
      <alignment horizontal="center" vertical="center"/>
    </xf>
    <xf numFmtId="0" fontId="0" fillId="55" borderId="1" xfId="0" applyFill="1" applyBorder="1"/>
    <xf numFmtId="0" fontId="48" fillId="176" borderId="1" xfId="0" applyFont="1" applyFill="1" applyBorder="1" applyAlignment="1">
      <alignment horizontal="center" vertical="center"/>
    </xf>
    <xf numFmtId="0" fontId="50" fillId="263" borderId="1" xfId="128" applyFont="1" applyFill="1" applyBorder="1" applyAlignment="1">
      <alignment horizontal="center" vertical="center" shrinkToFit="1"/>
    </xf>
    <xf numFmtId="0" fontId="50" fillId="260" borderId="1" xfId="128" applyFont="1" applyFill="1" applyBorder="1" applyAlignment="1">
      <alignment horizontal="center" vertical="center" shrinkToFit="1"/>
    </xf>
    <xf numFmtId="0" fontId="50" fillId="264" borderId="86" xfId="128" applyFont="1" applyFill="1" applyBorder="1" applyAlignment="1">
      <alignment horizontal="center" vertical="center" shrinkToFit="1"/>
    </xf>
    <xf numFmtId="0" fontId="110" fillId="52" borderId="55" xfId="0" applyFont="1" applyFill="1" applyBorder="1" applyAlignment="1">
      <alignment horizontal="center" wrapText="1"/>
    </xf>
    <xf numFmtId="0" fontId="50" fillId="69" borderId="50" xfId="128" applyFont="1" applyFill="1" applyBorder="1" applyAlignment="1">
      <alignment horizontal="center" vertical="center" shrinkToFit="1"/>
    </xf>
    <xf numFmtId="0" fontId="110" fillId="52" borderId="0" xfId="0" applyFont="1" applyFill="1" applyAlignment="1">
      <alignment horizontal="center" wrapText="1"/>
    </xf>
    <xf numFmtId="0" fontId="50" fillId="129" borderId="86" xfId="128" applyFont="1" applyFill="1" applyBorder="1" applyAlignment="1">
      <alignment horizontal="center" vertical="center" shrinkToFit="1"/>
    </xf>
    <xf numFmtId="0" fontId="50" fillId="225" borderId="50" xfId="128" applyFont="1" applyFill="1" applyBorder="1" applyAlignment="1">
      <alignment horizontal="center" vertical="center" shrinkToFit="1"/>
    </xf>
    <xf numFmtId="0" fontId="50" fillId="265" borderId="50" xfId="128" applyFont="1" applyFill="1" applyBorder="1" applyAlignment="1">
      <alignment horizontal="center" vertical="center" shrinkToFit="1"/>
    </xf>
    <xf numFmtId="0" fontId="50" fillId="266" borderId="59" xfId="128" applyFont="1" applyFill="1" applyBorder="1" applyAlignment="1">
      <alignment horizontal="center" vertical="center" shrinkToFit="1"/>
    </xf>
    <xf numFmtId="0" fontId="50" fillId="134" borderId="86" xfId="128" applyFont="1" applyFill="1" applyBorder="1" applyAlignment="1">
      <alignment horizontal="center" vertical="center" shrinkToFit="1"/>
    </xf>
    <xf numFmtId="0" fontId="50" fillId="134" borderId="37" xfId="128" applyFont="1" applyFill="1" applyBorder="1" applyAlignment="1">
      <alignment horizontal="center" vertical="center" shrinkToFit="1"/>
    </xf>
    <xf numFmtId="0" fontId="37" fillId="98" borderId="1" xfId="128" applyFont="1" applyFill="1" applyBorder="1" applyAlignment="1">
      <alignment horizontal="center" vertical="center" shrinkToFit="1"/>
    </xf>
    <xf numFmtId="0" fontId="110" fillId="35" borderId="0" xfId="0" applyFont="1" applyFill="1"/>
    <xf numFmtId="0" fontId="48" fillId="267" borderId="94" xfId="128" applyFont="1" applyFill="1" applyBorder="1" applyAlignment="1">
      <alignment horizontal="center" vertical="center" shrinkToFit="1"/>
    </xf>
    <xf numFmtId="0" fontId="48" fillId="268" borderId="86" xfId="128" applyFont="1" applyFill="1" applyBorder="1" applyAlignment="1">
      <alignment horizontal="center" vertical="center" shrinkToFit="1"/>
    </xf>
    <xf numFmtId="0" fontId="0" fillId="36" borderId="0" xfId="0" applyFill="1"/>
    <xf numFmtId="0" fontId="50" fillId="0" borderId="1" xfId="0" applyFont="1" applyBorder="1"/>
    <xf numFmtId="0" fontId="110" fillId="98" borderId="0" xfId="0" applyFont="1" applyFill="1"/>
    <xf numFmtId="0" fontId="48" fillId="149" borderId="86" xfId="128" applyFont="1" applyFill="1" applyBorder="1" applyAlignment="1">
      <alignment horizontal="center" vertical="center" shrinkToFit="1"/>
    </xf>
    <xf numFmtId="0" fontId="0" fillId="98" borderId="0" xfId="0" applyFill="1"/>
    <xf numFmtId="0" fontId="50" fillId="269" borderId="86" xfId="128" applyFont="1" applyFill="1" applyBorder="1" applyAlignment="1">
      <alignment horizontal="center" vertical="center" shrinkToFit="1"/>
    </xf>
    <xf numFmtId="0" fontId="50" fillId="270" borderId="86" xfId="128" applyFont="1" applyFill="1" applyBorder="1" applyAlignment="1">
      <alignment horizontal="center" vertical="center" shrinkToFit="1"/>
    </xf>
    <xf numFmtId="0" fontId="50" fillId="271" borderId="86" xfId="128" applyFont="1" applyFill="1" applyBorder="1" applyAlignment="1">
      <alignment horizontal="center" vertical="center" shrinkToFit="1"/>
    </xf>
    <xf numFmtId="0" fontId="50" fillId="272" borderId="86" xfId="128" applyFont="1" applyFill="1" applyBorder="1" applyAlignment="1">
      <alignment horizontal="center" vertical="center" shrinkToFit="1"/>
    </xf>
    <xf numFmtId="0" fontId="158" fillId="273" borderId="1" xfId="128" applyFont="1" applyFill="1" applyBorder="1" applyAlignment="1">
      <alignment horizontal="center" vertical="center" shrinkToFit="1"/>
    </xf>
    <xf numFmtId="0" fontId="0" fillId="108" borderId="0" xfId="0" applyFill="1"/>
    <xf numFmtId="0" fontId="50" fillId="274" borderId="86" xfId="128" applyFont="1" applyFill="1" applyBorder="1" applyAlignment="1">
      <alignment horizontal="center" vertical="center" shrinkToFit="1"/>
    </xf>
    <xf numFmtId="0" fontId="159" fillId="275" borderId="1" xfId="128" applyFont="1" applyFill="1" applyBorder="1" applyAlignment="1">
      <alignment horizontal="center" vertical="center" shrinkToFit="1"/>
    </xf>
    <xf numFmtId="0" fontId="50" fillId="276" borderId="86" xfId="128" applyFont="1" applyFill="1" applyBorder="1" applyAlignment="1">
      <alignment horizontal="center" vertical="center" shrinkToFit="1"/>
    </xf>
    <xf numFmtId="0" fontId="48" fillId="277" borderId="1" xfId="128" applyFont="1" applyFill="1" applyBorder="1" applyAlignment="1">
      <alignment horizontal="center" vertical="center" shrinkToFit="1"/>
    </xf>
    <xf numFmtId="0" fontId="50" fillId="278" borderId="86" xfId="128" applyFont="1" applyFill="1" applyBorder="1" applyAlignment="1">
      <alignment horizontal="center" vertical="center" shrinkToFit="1"/>
    </xf>
    <xf numFmtId="0" fontId="160" fillId="279" borderId="1" xfId="128" applyFont="1" applyFill="1" applyBorder="1" applyAlignment="1">
      <alignment horizontal="center" vertical="center" shrinkToFit="1"/>
    </xf>
    <xf numFmtId="0" fontId="50" fillId="280" borderId="86" xfId="128" applyFont="1" applyFill="1" applyBorder="1" applyAlignment="1">
      <alignment horizontal="center" vertical="center" shrinkToFit="1"/>
    </xf>
    <xf numFmtId="0" fontId="90" fillId="0" borderId="2" xfId="0" applyFont="1" applyBorder="1"/>
    <xf numFmtId="0" fontId="50" fillId="281" borderId="86" xfId="128" applyFont="1" applyFill="1" applyBorder="1" applyAlignment="1">
      <alignment horizontal="center" vertical="center" shrinkToFit="1"/>
    </xf>
    <xf numFmtId="0" fontId="37" fillId="35" borderId="1" xfId="128" applyFont="1" applyFill="1" applyBorder="1" applyAlignment="1">
      <alignment horizontal="center" vertical="center" shrinkToFit="1"/>
    </xf>
    <xf numFmtId="0" fontId="48" fillId="0" borderId="94" xfId="128" applyFont="1" applyBorder="1" applyAlignment="1">
      <alignment horizontal="center" vertical="center" shrinkToFit="1"/>
    </xf>
    <xf numFmtId="0" fontId="50" fillId="0" borderId="83" xfId="128" applyFont="1" applyBorder="1" applyAlignment="1">
      <alignment horizontal="center" vertical="center" shrinkToFit="1"/>
    </xf>
    <xf numFmtId="0" fontId="50" fillId="0" borderId="0" xfId="128" applyFont="1" applyAlignment="1">
      <alignment horizontal="center" vertical="center" shrinkToFit="1"/>
    </xf>
    <xf numFmtId="0" fontId="90" fillId="0" borderId="0" xfId="0" applyFont="1"/>
    <xf numFmtId="171" fontId="90" fillId="0" borderId="0" xfId="0" applyNumberFormat="1" applyFont="1" applyAlignment="1">
      <alignment horizontal="center" vertical="center"/>
    </xf>
    <xf numFmtId="0" fontId="0" fillId="0" borderId="96" xfId="0" applyBorder="1"/>
    <xf numFmtId="0" fontId="0" fillId="0" borderId="97" xfId="0" applyBorder="1"/>
    <xf numFmtId="0" fontId="11" fillId="0" borderId="98" xfId="0" applyFont="1" applyBorder="1" applyAlignment="1">
      <alignment horizontal="right"/>
    </xf>
    <xf numFmtId="0" fontId="0" fillId="0" borderId="0" xfId="0" applyAlignment="1">
      <alignment horizontal="left" vertical="center"/>
    </xf>
    <xf numFmtId="0" fontId="131" fillId="0" borderId="0" xfId="128" applyFont="1" applyAlignment="1">
      <alignment horizontal="center" shrinkToFit="1"/>
    </xf>
    <xf numFmtId="10" fontId="101" fillId="0" borderId="0" xfId="119" applyNumberFormat="1" applyFont="1" applyAlignment="1">
      <alignment horizontal="center" vertical="center" shrinkToFit="1"/>
    </xf>
    <xf numFmtId="0" fontId="11" fillId="48" borderId="0" xfId="0" applyFont="1" applyFill="1" applyAlignment="1">
      <alignment horizontal="center" vertical="center"/>
    </xf>
    <xf numFmtId="0" fontId="48" fillId="44" borderId="2" xfId="128" applyFont="1" applyFill="1" applyBorder="1" applyAlignment="1">
      <alignment horizontal="center" vertical="center" shrinkToFit="1"/>
    </xf>
    <xf numFmtId="0" fontId="50" fillId="44" borderId="1" xfId="128" applyFont="1" applyFill="1" applyBorder="1" applyAlignment="1">
      <alignment horizontal="center" vertical="center" shrinkToFit="1"/>
    </xf>
    <xf numFmtId="0" fontId="50" fillId="282" borderId="24" xfId="128" applyFont="1" applyFill="1" applyBorder="1" applyAlignment="1">
      <alignment horizontal="center" vertical="center" shrinkToFit="1"/>
    </xf>
    <xf numFmtId="0" fontId="47" fillId="44" borderId="23" xfId="0" applyFont="1" applyFill="1" applyBorder="1" applyAlignment="1">
      <alignment horizontal="center" vertical="center"/>
    </xf>
    <xf numFmtId="0" fontId="59" fillId="44" borderId="24" xfId="124" applyFont="1" applyFill="1" applyBorder="1" applyAlignment="1">
      <alignment horizontal="center"/>
    </xf>
    <xf numFmtId="0" fontId="62" fillId="44" borderId="1" xfId="128" applyFont="1" applyFill="1" applyBorder="1" applyAlignment="1">
      <alignment horizontal="center" vertical="center" shrinkToFit="1"/>
    </xf>
    <xf numFmtId="0" fontId="0" fillId="44" borderId="26" xfId="0" applyFill="1" applyBorder="1" applyProtection="1">
      <protection locked="0"/>
    </xf>
    <xf numFmtId="0" fontId="32" fillId="44" borderId="26" xfId="0" applyFont="1" applyFill="1" applyBorder="1" applyProtection="1">
      <protection locked="0"/>
    </xf>
    <xf numFmtId="0" fontId="45" fillId="44" borderId="0" xfId="0" applyFont="1" applyFill="1" applyAlignment="1" applyProtection="1">
      <alignment horizontal="center" vertical="center"/>
      <protection locked="0"/>
    </xf>
    <xf numFmtId="0" fontId="67" fillId="283" borderId="1" xfId="128" applyFont="1" applyFill="1" applyBorder="1" applyAlignment="1">
      <alignment horizontal="center" vertical="center" shrinkToFit="1"/>
    </xf>
    <xf numFmtId="0" fontId="55" fillId="44" borderId="0" xfId="0" applyFont="1" applyFill="1" applyAlignment="1" applyProtection="1">
      <alignment horizontal="center" vertical="center"/>
      <protection locked="0"/>
    </xf>
    <xf numFmtId="0" fontId="52" fillId="44" borderId="0" xfId="0" applyFont="1" applyFill="1" applyAlignment="1">
      <alignment horizontal="center" vertical="center" shrinkToFit="1"/>
    </xf>
    <xf numFmtId="0" fontId="5" fillId="44" borderId="26" xfId="0" applyFont="1" applyFill="1" applyBorder="1" applyAlignment="1" applyProtection="1">
      <alignment horizontal="center" vertical="center"/>
      <protection locked="0"/>
    </xf>
    <xf numFmtId="0" fontId="48" fillId="44" borderId="28" xfId="128" applyFont="1" applyFill="1" applyBorder="1" applyAlignment="1">
      <alignment horizontal="center" vertical="center" shrinkToFit="1"/>
    </xf>
    <xf numFmtId="0" fontId="50" fillId="282" borderId="33" xfId="128" applyFont="1" applyFill="1" applyBorder="1" applyAlignment="1">
      <alignment horizontal="center" vertical="center" shrinkToFit="1"/>
    </xf>
    <xf numFmtId="0" fontId="54" fillId="44" borderId="0" xfId="0" applyFont="1" applyFill="1" applyAlignment="1" applyProtection="1">
      <alignment horizontal="center" vertical="center"/>
      <protection locked="0"/>
    </xf>
    <xf numFmtId="0" fontId="66" fillId="284" borderId="18" xfId="124" applyFont="1" applyFill="1" applyBorder="1" applyAlignment="1">
      <alignment horizontal="center"/>
    </xf>
    <xf numFmtId="0" fontId="75" fillId="44" borderId="0" xfId="111" applyFont="1" applyFill="1" applyAlignment="1">
      <alignment horizontal="center" vertical="center"/>
    </xf>
    <xf numFmtId="0" fontId="81" fillId="44" borderId="0" xfId="0" applyFont="1" applyFill="1" applyAlignment="1">
      <alignment horizontal="center"/>
    </xf>
    <xf numFmtId="0" fontId="77" fillId="44" borderId="0" xfId="0" applyFont="1" applyFill="1" applyAlignment="1">
      <alignment horizontal="center" vertical="center"/>
    </xf>
    <xf numFmtId="0" fontId="78" fillId="44" borderId="0" xfId="0" applyFont="1" applyFill="1" applyAlignment="1">
      <alignment horizontal="center" vertical="center"/>
    </xf>
    <xf numFmtId="0" fontId="0" fillId="44" borderId="0" xfId="0" applyFill="1" applyAlignment="1">
      <alignment vertical="center"/>
    </xf>
    <xf numFmtId="0" fontId="79" fillId="44" borderId="0" xfId="0" applyFont="1" applyFill="1" applyAlignment="1">
      <alignment horizontal="center" vertical="center"/>
    </xf>
    <xf numFmtId="1" fontId="80" fillId="285" borderId="0" xfId="0" applyNumberFormat="1" applyFont="1" applyFill="1" applyAlignment="1">
      <alignment horizontal="center" vertical="center"/>
    </xf>
    <xf numFmtId="0" fontId="49" fillId="44" borderId="0" xfId="0" applyFont="1" applyFill="1" applyAlignment="1" applyProtection="1">
      <alignment horizontal="center" vertical="center"/>
      <protection locked="0"/>
    </xf>
    <xf numFmtId="0" fontId="60" fillId="44" borderId="0" xfId="0" applyFont="1" applyFill="1" applyAlignment="1" applyProtection="1">
      <alignment horizontal="center" vertical="center"/>
      <protection locked="0"/>
    </xf>
    <xf numFmtId="0" fontId="5" fillId="44" borderId="30" xfId="0" applyFont="1" applyFill="1" applyBorder="1" applyAlignment="1" applyProtection="1">
      <alignment horizontal="center" vertical="center"/>
      <protection locked="0"/>
    </xf>
    <xf numFmtId="0" fontId="5" fillId="44" borderId="0" xfId="0" applyFont="1" applyFill="1" applyAlignment="1">
      <alignment horizontal="center" vertical="center" shrinkToFit="1"/>
    </xf>
    <xf numFmtId="0" fontId="50" fillId="282" borderId="1" xfId="128" applyFont="1" applyFill="1" applyBorder="1" applyAlignment="1">
      <alignment horizontal="center" vertical="center" shrinkToFit="1"/>
    </xf>
    <xf numFmtId="0" fontId="5" fillId="44" borderId="31" xfId="0" applyFont="1" applyFill="1" applyBorder="1" applyAlignment="1" applyProtection="1">
      <alignment horizontal="center" vertical="center"/>
      <protection locked="0"/>
    </xf>
    <xf numFmtId="0" fontId="5" fillId="44" borderId="21" xfId="0" applyFont="1" applyFill="1" applyBorder="1" applyAlignment="1" applyProtection="1">
      <alignment horizontal="center" vertical="center"/>
      <protection locked="0"/>
    </xf>
    <xf numFmtId="0" fontId="48" fillId="44" borderId="1" xfId="128" applyFont="1" applyFill="1" applyBorder="1" applyAlignment="1">
      <alignment horizontal="center" vertical="center" shrinkToFit="1"/>
    </xf>
    <xf numFmtId="0" fontId="29" fillId="44" borderId="0" xfId="0" applyFont="1" applyFill="1" applyAlignment="1">
      <alignment horizontal="center" vertical="center"/>
    </xf>
    <xf numFmtId="0" fontId="83" fillId="44" borderId="1" xfId="124" applyFont="1" applyFill="1" applyBorder="1" applyAlignment="1">
      <alignment horizontal="center"/>
    </xf>
    <xf numFmtId="0" fontId="0" fillId="44" borderId="0" xfId="0" applyFill="1" applyAlignment="1">
      <alignment horizontal="left"/>
    </xf>
    <xf numFmtId="0" fontId="83" fillId="44" borderId="1" xfId="0" applyFont="1" applyFill="1" applyBorder="1" applyAlignment="1">
      <alignment horizontal="center"/>
    </xf>
    <xf numFmtId="0" fontId="51" fillId="44" borderId="22" xfId="0" applyFont="1" applyFill="1" applyBorder="1" applyAlignment="1" applyProtection="1">
      <alignment horizontal="center" vertical="center"/>
      <protection locked="0"/>
    </xf>
    <xf numFmtId="0" fontId="60" fillId="44" borderId="0" xfId="0" applyFont="1" applyFill="1" applyAlignment="1">
      <alignment horizontal="center" vertical="center" shrinkToFit="1"/>
    </xf>
    <xf numFmtId="0" fontId="50" fillId="44" borderId="33" xfId="128" applyFont="1" applyFill="1" applyBorder="1" applyAlignment="1">
      <alignment horizontal="center" vertical="center" shrinkToFit="1"/>
    </xf>
    <xf numFmtId="0" fontId="67" fillId="283" borderId="33" xfId="128" applyFont="1" applyFill="1" applyBorder="1" applyAlignment="1">
      <alignment horizontal="center" vertical="center" shrinkToFit="1"/>
    </xf>
    <xf numFmtId="0" fontId="88" fillId="44" borderId="27" xfId="0" applyFont="1" applyFill="1" applyBorder="1" applyAlignment="1">
      <alignment horizontal="center" vertical="center" wrapText="1"/>
    </xf>
    <xf numFmtId="0" fontId="88" fillId="44" borderId="20" xfId="0" applyFont="1" applyFill="1" applyBorder="1" applyAlignment="1">
      <alignment horizontal="center" vertical="center" wrapText="1"/>
    </xf>
    <xf numFmtId="0" fontId="88" fillId="44" borderId="21" xfId="0" applyFont="1" applyFill="1" applyBorder="1" applyAlignment="1">
      <alignment horizontal="center" vertical="center" wrapText="1"/>
    </xf>
    <xf numFmtId="0" fontId="88" fillId="44" borderId="23" xfId="0" applyFont="1" applyFill="1" applyBorder="1" applyAlignment="1">
      <alignment horizontal="center" vertical="center" wrapText="1"/>
    </xf>
    <xf numFmtId="0" fontId="88" fillId="44" borderId="0" xfId="0" applyFont="1" applyFill="1" applyAlignment="1">
      <alignment horizontal="center" vertical="center" wrapText="1"/>
    </xf>
    <xf numFmtId="0" fontId="88" fillId="44" borderId="22" xfId="0" applyFont="1" applyFill="1" applyBorder="1" applyAlignment="1">
      <alignment horizontal="center" vertical="center" wrapText="1"/>
    </xf>
    <xf numFmtId="0" fontId="88" fillId="44" borderId="30" xfId="0" applyFont="1" applyFill="1" applyBorder="1" applyAlignment="1">
      <alignment horizontal="center" vertical="center" wrapText="1"/>
    </xf>
    <xf numFmtId="0" fontId="88" fillId="44" borderId="26" xfId="0" applyFont="1" applyFill="1" applyBorder="1" applyAlignment="1">
      <alignment horizontal="center" vertical="center" wrapText="1"/>
    </xf>
    <xf numFmtId="0" fontId="88" fillId="44" borderId="31" xfId="0" applyFont="1" applyFill="1" applyBorder="1" applyAlignment="1">
      <alignment horizontal="center" vertical="center" wrapText="1"/>
    </xf>
    <xf numFmtId="0" fontId="89" fillId="44" borderId="4" xfId="0" applyFont="1" applyFill="1" applyBorder="1" applyAlignment="1" applyProtection="1">
      <alignment horizontal="center" vertical="center"/>
      <protection locked="0"/>
    </xf>
    <xf numFmtId="0" fontId="89" fillId="44" borderId="19" xfId="0" applyFont="1" applyFill="1" applyBorder="1" applyAlignment="1" applyProtection="1">
      <alignment horizontal="center" vertical="center"/>
      <protection locked="0"/>
    </xf>
    <xf numFmtId="0" fontId="89" fillId="44" borderId="5" xfId="0" applyFont="1" applyFill="1" applyBorder="1" applyAlignment="1" applyProtection="1">
      <alignment horizontal="center" vertical="center"/>
      <protection locked="0"/>
    </xf>
    <xf numFmtId="0" fontId="31" fillId="44" borderId="0" xfId="0" applyFont="1" applyFill="1" applyAlignment="1">
      <alignment horizontal="center" vertical="center"/>
    </xf>
    <xf numFmtId="0" fontId="5" fillId="44" borderId="0" xfId="0" applyFont="1" applyFill="1" applyAlignment="1" applyProtection="1">
      <alignment horizontal="center" vertical="center"/>
      <protection locked="0"/>
    </xf>
    <xf numFmtId="0" fontId="71" fillId="44" borderId="23" xfId="0" applyFont="1" applyFill="1" applyBorder="1" applyAlignment="1">
      <alignment horizontal="center" vertical="center"/>
    </xf>
    <xf numFmtId="0" fontId="71" fillId="44" borderId="0" xfId="0" applyFont="1" applyFill="1" applyAlignment="1">
      <alignment horizontal="center" vertical="center"/>
    </xf>
    <xf numFmtId="0" fontId="68" fillId="44" borderId="0" xfId="0" applyFont="1" applyFill="1" applyAlignment="1">
      <alignment horizontal="center" vertical="center"/>
    </xf>
    <xf numFmtId="0" fontId="68" fillId="44" borderId="0" xfId="0" applyFont="1" applyFill="1" applyAlignment="1">
      <alignment horizontal="center"/>
    </xf>
    <xf numFmtId="0" fontId="35" fillId="36" borderId="4" xfId="0" applyFont="1" applyFill="1" applyBorder="1" applyAlignment="1" applyProtection="1">
      <alignment horizontal="center" vertical="center"/>
      <protection locked="0"/>
    </xf>
    <xf numFmtId="0" fontId="35" fillId="36" borderId="19" xfId="0" applyFont="1" applyFill="1" applyBorder="1" applyAlignment="1" applyProtection="1">
      <alignment horizontal="center" vertical="center"/>
      <protection locked="0"/>
    </xf>
    <xf numFmtId="0" fontId="35" fillId="36" borderId="5" xfId="0" applyFont="1" applyFill="1" applyBorder="1" applyAlignment="1" applyProtection="1">
      <alignment horizontal="center" vertical="center"/>
      <protection locked="0"/>
    </xf>
    <xf numFmtId="0" fontId="36" fillId="0" borderId="19" xfId="0" applyFont="1" applyBorder="1" applyAlignment="1" applyProtection="1">
      <alignment horizontal="center" vertical="center"/>
      <protection locked="0"/>
    </xf>
    <xf numFmtId="0" fontId="37" fillId="0" borderId="20" xfId="0" applyFont="1" applyBorder="1" applyAlignment="1" applyProtection="1">
      <alignment horizontal="center" vertical="center" wrapText="1"/>
      <protection locked="0"/>
    </xf>
    <xf numFmtId="0" fontId="37" fillId="0" borderId="21" xfId="0" applyFont="1" applyBorder="1" applyAlignment="1" applyProtection="1">
      <alignment horizontal="center" vertical="center" wrapText="1"/>
      <protection locked="0"/>
    </xf>
    <xf numFmtId="0" fontId="37" fillId="0" borderId="0" xfId="0" applyFont="1" applyAlignment="1" applyProtection="1">
      <alignment horizontal="center" vertical="center" wrapText="1"/>
      <protection locked="0"/>
    </xf>
    <xf numFmtId="0" fontId="37" fillId="0" borderId="22" xfId="0" applyFont="1" applyBorder="1" applyAlignment="1" applyProtection="1">
      <alignment horizontal="center" vertical="center" wrapText="1"/>
      <protection locked="0"/>
    </xf>
    <xf numFmtId="0" fontId="63" fillId="44" borderId="27" xfId="0" applyFont="1" applyFill="1" applyBorder="1" applyAlignment="1" applyProtection="1">
      <alignment horizontal="center" vertical="center" wrapText="1"/>
      <protection locked="0"/>
    </xf>
    <xf numFmtId="0" fontId="63" fillId="44" borderId="21" xfId="0" applyFont="1" applyFill="1" applyBorder="1" applyAlignment="1" applyProtection="1">
      <alignment horizontal="center" vertical="center" wrapText="1"/>
      <protection locked="0"/>
    </xf>
    <xf numFmtId="0" fontId="63" fillId="44" borderId="30" xfId="0" applyFont="1" applyFill="1" applyBorder="1" applyAlignment="1" applyProtection="1">
      <alignment horizontal="center" vertical="center" wrapText="1"/>
      <protection locked="0"/>
    </xf>
    <xf numFmtId="0" fontId="63" fillId="44" borderId="31" xfId="0" applyFont="1" applyFill="1" applyBorder="1" applyAlignment="1" applyProtection="1">
      <alignment horizontal="center" vertical="center" wrapText="1"/>
      <protection locked="0"/>
    </xf>
    <xf numFmtId="0" fontId="64" fillId="44" borderId="29" xfId="0" applyFont="1" applyFill="1" applyBorder="1" applyAlignment="1" applyProtection="1">
      <alignment horizontal="center" vertical="center" textRotation="90"/>
      <protection locked="0"/>
    </xf>
    <xf numFmtId="0" fontId="64" fillId="44" borderId="32" xfId="0" applyFont="1" applyFill="1" applyBorder="1" applyAlignment="1" applyProtection="1">
      <alignment horizontal="center" vertical="center" textRotation="90"/>
      <protection locked="0"/>
    </xf>
    <xf numFmtId="0" fontId="64" fillId="44" borderId="34" xfId="0" applyFont="1" applyFill="1" applyBorder="1" applyAlignment="1" applyProtection="1">
      <alignment horizontal="center" vertical="center" textRotation="90"/>
      <protection locked="0"/>
    </xf>
    <xf numFmtId="0" fontId="68" fillId="35" borderId="0" xfId="0" applyFont="1" applyFill="1" applyAlignment="1">
      <alignment horizontal="center"/>
    </xf>
    <xf numFmtId="0" fontId="68" fillId="35" borderId="0" xfId="0" applyFont="1" applyFill="1" applyAlignment="1">
      <alignment horizontal="center" vertical="center"/>
    </xf>
    <xf numFmtId="0" fontId="64" fillId="44" borderId="27" xfId="0" applyFont="1" applyFill="1" applyBorder="1" applyAlignment="1" applyProtection="1">
      <alignment horizontal="center" vertical="center"/>
      <protection locked="0"/>
    </xf>
    <xf numFmtId="0" fontId="64" fillId="44" borderId="20" xfId="0" applyFont="1" applyFill="1" applyBorder="1" applyAlignment="1" applyProtection="1">
      <alignment horizontal="center" vertical="center"/>
      <protection locked="0"/>
    </xf>
    <xf numFmtId="0" fontId="64" fillId="44" borderId="21" xfId="0" applyFont="1" applyFill="1" applyBorder="1" applyAlignment="1" applyProtection="1">
      <alignment horizontal="center" vertical="center"/>
      <protection locked="0"/>
    </xf>
    <xf numFmtId="0" fontId="64" fillId="44" borderId="23" xfId="0" applyFont="1" applyFill="1" applyBorder="1" applyAlignment="1" applyProtection="1">
      <alignment horizontal="center" vertical="center"/>
      <protection locked="0"/>
    </xf>
    <xf numFmtId="0" fontId="64" fillId="44" borderId="0" xfId="0" applyFont="1" applyFill="1" applyAlignment="1" applyProtection="1">
      <alignment horizontal="center" vertical="center"/>
      <protection locked="0"/>
    </xf>
    <xf numFmtId="0" fontId="64" fillId="44" borderId="22" xfId="0" applyFont="1" applyFill="1" applyBorder="1" applyAlignment="1" applyProtection="1">
      <alignment horizontal="center" vertical="center"/>
      <protection locked="0"/>
    </xf>
    <xf numFmtId="0" fontId="64" fillId="44" borderId="30" xfId="0" applyFont="1" applyFill="1" applyBorder="1" applyAlignment="1" applyProtection="1">
      <alignment horizontal="center" vertical="center"/>
      <protection locked="0"/>
    </xf>
    <xf numFmtId="0" fontId="64" fillId="44" borderId="26" xfId="0" applyFont="1" applyFill="1" applyBorder="1" applyAlignment="1" applyProtection="1">
      <alignment horizontal="center" vertical="center"/>
      <protection locked="0"/>
    </xf>
    <xf numFmtId="0" fontId="64" fillId="44" borderId="31" xfId="0" applyFont="1" applyFill="1" applyBorder="1" applyAlignment="1" applyProtection="1">
      <alignment horizontal="center" vertical="center"/>
      <protection locked="0"/>
    </xf>
    <xf numFmtId="0" fontId="131" fillId="0" borderId="0" xfId="128" applyFont="1" applyAlignment="1">
      <alignment horizontal="center" shrinkToFit="1"/>
    </xf>
    <xf numFmtId="0" fontId="62" fillId="0" borderId="0" xfId="119" applyFont="1" applyAlignment="1">
      <alignment horizontal="center" shrinkToFit="1"/>
    </xf>
    <xf numFmtId="0" fontId="38" fillId="0" borderId="0" xfId="128" applyFont="1" applyAlignment="1">
      <alignment horizontal="center" shrinkToFit="1"/>
    </xf>
    <xf numFmtId="0" fontId="101" fillId="0" borderId="0" xfId="119" applyFont="1" applyAlignment="1">
      <alignment horizontal="center" vertical="center" shrinkToFit="1"/>
    </xf>
    <xf numFmtId="0" fontId="62" fillId="0" borderId="87" xfId="128" applyFont="1" applyBorder="1" applyAlignment="1">
      <alignment horizontal="center" vertical="center" shrinkToFit="1"/>
    </xf>
    <xf numFmtId="0" fontId="62" fillId="0" borderId="17" xfId="128" applyFont="1" applyBorder="1" applyAlignment="1">
      <alignment horizontal="center" vertical="center" shrinkToFit="1"/>
    </xf>
    <xf numFmtId="0" fontId="62" fillId="0" borderId="51" xfId="128" applyFont="1" applyBorder="1" applyAlignment="1">
      <alignment horizontal="center" vertical="center" shrinkToFit="1"/>
    </xf>
    <xf numFmtId="0" fontId="112" fillId="0" borderId="48" xfId="128" applyFont="1" applyBorder="1" applyAlignment="1">
      <alignment horizontal="left" vertical="center" shrinkToFit="1"/>
    </xf>
    <xf numFmtId="0" fontId="112" fillId="0" borderId="49" xfId="128" applyFont="1" applyBorder="1" applyAlignment="1">
      <alignment horizontal="left" vertical="center" shrinkToFit="1"/>
    </xf>
    <xf numFmtId="0" fontId="112" fillId="0" borderId="56" xfId="128" applyFont="1" applyBorder="1" applyAlignment="1">
      <alignment horizontal="left" vertical="center" shrinkToFit="1"/>
    </xf>
    <xf numFmtId="0" fontId="50" fillId="0" borderId="48" xfId="128" applyFont="1" applyBorder="1" applyAlignment="1">
      <alignment horizontal="center" vertical="center" shrinkToFit="1"/>
    </xf>
    <xf numFmtId="0" fontId="50" fillId="0" borderId="49" xfId="128" applyFont="1" applyBorder="1" applyAlignment="1">
      <alignment horizontal="center" vertical="center" shrinkToFit="1"/>
    </xf>
    <xf numFmtId="0" fontId="50" fillId="0" borderId="18" xfId="128" applyFont="1" applyBorder="1" applyAlignment="1">
      <alignment horizontal="center" vertical="center" shrinkToFit="1"/>
    </xf>
    <xf numFmtId="0" fontId="112" fillId="0" borderId="18" xfId="128" applyFont="1" applyBorder="1" applyAlignment="1">
      <alignment horizontal="left" vertical="center" shrinkToFit="1"/>
    </xf>
    <xf numFmtId="0" fontId="101" fillId="0" borderId="1" xfId="128" applyFont="1" applyBorder="1" applyAlignment="1">
      <alignment horizontal="left" vertical="center" shrinkToFit="1"/>
    </xf>
    <xf numFmtId="0" fontId="62" fillId="0" borderId="86" xfId="128" applyFont="1" applyBorder="1" applyAlignment="1">
      <alignment horizontal="center" vertical="center" shrinkToFit="1"/>
    </xf>
    <xf numFmtId="0" fontId="62" fillId="0" borderId="81" xfId="128" applyFont="1" applyBorder="1" applyAlignment="1">
      <alignment horizontal="center" vertical="center" shrinkToFit="1"/>
    </xf>
    <xf numFmtId="0" fontId="62" fillId="0" borderId="95" xfId="128" applyFont="1" applyBorder="1" applyAlignment="1">
      <alignment horizontal="center" vertical="center" shrinkToFit="1"/>
    </xf>
    <xf numFmtId="0" fontId="101" fillId="0" borderId="50" xfId="128" applyFont="1" applyBorder="1" applyAlignment="1">
      <alignment horizontal="left" vertical="center" shrinkToFit="1"/>
    </xf>
    <xf numFmtId="0" fontId="101" fillId="0" borderId="15" xfId="128" applyFont="1" applyBorder="1" applyAlignment="1">
      <alignment horizontal="left" vertical="center" shrinkToFit="1"/>
    </xf>
    <xf numFmtId="0" fontId="101" fillId="0" borderId="89" xfId="128" applyFont="1" applyBorder="1" applyAlignment="1">
      <alignment horizontal="left" vertical="center" shrinkToFit="1"/>
    </xf>
    <xf numFmtId="0" fontId="62" fillId="0" borderId="50" xfId="128" applyFont="1" applyBorder="1" applyAlignment="1">
      <alignment horizontal="center" vertical="center" shrinkToFit="1"/>
    </xf>
    <xf numFmtId="0" fontId="62" fillId="0" borderId="15" xfId="128" applyFont="1" applyBorder="1" applyAlignment="1">
      <alignment horizontal="center" vertical="center" shrinkToFit="1"/>
    </xf>
    <xf numFmtId="0" fontId="62" fillId="0" borderId="84" xfId="128" applyFont="1" applyBorder="1" applyAlignment="1">
      <alignment horizontal="center" vertical="center" shrinkToFit="1"/>
    </xf>
    <xf numFmtId="0" fontId="62" fillId="0" borderId="59" xfId="128" applyFont="1" applyBorder="1" applyAlignment="1">
      <alignment horizontal="center" vertical="center" shrinkToFit="1"/>
    </xf>
    <xf numFmtId="0" fontId="101" fillId="0" borderId="93" xfId="128" applyFont="1" applyBorder="1" applyAlignment="1">
      <alignment horizontal="left" vertical="center" shrinkToFit="1"/>
    </xf>
    <xf numFmtId="0" fontId="112" fillId="0" borderId="71" xfId="128" applyFont="1" applyBorder="1" applyAlignment="1">
      <alignment horizontal="left" vertical="center" shrinkToFit="1"/>
    </xf>
    <xf numFmtId="0" fontId="112" fillId="0" borderId="70" xfId="128" applyFont="1" applyBorder="1" applyAlignment="1">
      <alignment horizontal="left" vertical="center" shrinkToFit="1"/>
    </xf>
    <xf numFmtId="0" fontId="112" fillId="0" borderId="85" xfId="128" applyFont="1" applyBorder="1" applyAlignment="1">
      <alignment horizontal="left" vertical="center" shrinkToFit="1"/>
    </xf>
    <xf numFmtId="0" fontId="62" fillId="0" borderId="82" xfId="128" applyFont="1" applyBorder="1" applyAlignment="1">
      <alignment horizontal="center" vertical="center" shrinkToFit="1"/>
    </xf>
    <xf numFmtId="0" fontId="62" fillId="0" borderId="90" xfId="0" applyFont="1" applyBorder="1" applyAlignment="1">
      <alignment horizontal="left" vertical="center" wrapText="1" shrinkToFit="1"/>
    </xf>
    <xf numFmtId="0" fontId="62" fillId="0" borderId="91" xfId="0" applyFont="1" applyBorder="1" applyAlignment="1">
      <alignment horizontal="left" vertical="center" wrapText="1" shrinkToFit="1"/>
    </xf>
    <xf numFmtId="0" fontId="62" fillId="0" borderId="92" xfId="0" applyFont="1" applyBorder="1" applyAlignment="1">
      <alignment horizontal="left" vertical="center" wrapText="1" shrinkToFit="1"/>
    </xf>
    <xf numFmtId="171" fontId="130" fillId="158" borderId="16" xfId="131" applyNumberFormat="1" applyFont="1" applyFill="1" applyBorder="1" applyAlignment="1">
      <alignment horizontal="center" vertical="center" shrinkToFit="1"/>
    </xf>
    <xf numFmtId="171" fontId="130" fillId="158" borderId="49" xfId="131" applyNumberFormat="1" applyFont="1" applyFill="1" applyBorder="1" applyAlignment="1">
      <alignment horizontal="center" vertical="center" shrinkToFit="1"/>
    </xf>
    <xf numFmtId="171" fontId="130" fillId="158" borderId="18" xfId="131" applyNumberFormat="1" applyFont="1" applyFill="1" applyBorder="1" applyAlignment="1">
      <alignment horizontal="center" vertical="center" shrinkToFit="1"/>
    </xf>
    <xf numFmtId="0" fontId="155" fillId="0" borderId="1" xfId="139" applyFont="1" applyBorder="1" applyAlignment="1">
      <alignment horizontal="left" vertical="center" shrinkToFit="1"/>
    </xf>
    <xf numFmtId="171" fontId="38" fillId="0" borderId="16" xfId="128" applyNumberFormat="1" applyFont="1" applyBorder="1" applyAlignment="1">
      <alignment horizontal="center" vertical="center" shrinkToFit="1"/>
    </xf>
    <xf numFmtId="171" fontId="38" fillId="0" borderId="49" xfId="128" applyNumberFormat="1" applyFont="1" applyBorder="1" applyAlignment="1">
      <alignment horizontal="center" vertical="center" shrinkToFit="1"/>
    </xf>
    <xf numFmtId="171" fontId="38" fillId="0" borderId="18" xfId="128" applyNumberFormat="1" applyFont="1" applyBorder="1" applyAlignment="1">
      <alignment horizontal="center" vertical="center" shrinkToFit="1"/>
    </xf>
    <xf numFmtId="171" fontId="38" fillId="0" borderId="1" xfId="128" applyNumberFormat="1" applyFont="1" applyBorder="1" applyAlignment="1">
      <alignment horizontal="center" vertical="center" shrinkToFit="1"/>
    </xf>
    <xf numFmtId="0" fontId="38" fillId="0" borderId="4" xfId="0" applyFont="1" applyBorder="1" applyAlignment="1">
      <alignment horizontal="center" vertical="center" wrapText="1" shrinkToFit="1"/>
    </xf>
    <xf numFmtId="0" fontId="38" fillId="0" borderId="19" xfId="0" applyFont="1" applyBorder="1" applyAlignment="1">
      <alignment horizontal="center" vertical="center" wrapText="1" shrinkToFit="1"/>
    </xf>
    <xf numFmtId="0" fontId="38" fillId="0" borderId="5" xfId="0" applyFont="1" applyBorder="1" applyAlignment="1">
      <alignment horizontal="center" vertical="center" wrapText="1" shrinkToFit="1"/>
    </xf>
    <xf numFmtId="0" fontId="112" fillId="0" borderId="82" xfId="128" applyFont="1" applyBorder="1" applyAlignment="1">
      <alignment horizontal="left" vertical="center" shrinkToFit="1"/>
    </xf>
    <xf numFmtId="0" fontId="112" fillId="0" borderId="15" xfId="128" applyFont="1" applyBorder="1" applyAlignment="1">
      <alignment horizontal="left" vertical="center" shrinkToFit="1"/>
    </xf>
    <xf numFmtId="0" fontId="112" fillId="0" borderId="89" xfId="128" applyFont="1" applyBorder="1" applyAlignment="1">
      <alignment horizontal="left" vertical="center" shrinkToFit="1"/>
    </xf>
    <xf numFmtId="0" fontId="38" fillId="0" borderId="4" xfId="0" applyFont="1" applyBorder="1" applyAlignment="1">
      <alignment horizontal="center" vertical="center" shrinkToFit="1"/>
    </xf>
    <xf numFmtId="0" fontId="38" fillId="0" borderId="19" xfId="0" applyFont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shrinkToFit="1"/>
    </xf>
    <xf numFmtId="0" fontId="112" fillId="0" borderId="16" xfId="0" applyFont="1" applyBorder="1" applyAlignment="1">
      <alignment horizontal="left" wrapText="1"/>
    </xf>
    <xf numFmtId="0" fontId="112" fillId="0" borderId="49" xfId="0" applyFont="1" applyBorder="1" applyAlignment="1">
      <alignment horizontal="left" wrapText="1"/>
    </xf>
    <xf numFmtId="0" fontId="112" fillId="0" borderId="56" xfId="0" applyFont="1" applyBorder="1" applyAlignment="1">
      <alignment horizontal="left" wrapText="1"/>
    </xf>
    <xf numFmtId="0" fontId="50" fillId="0" borderId="16" xfId="0" applyFont="1" applyBorder="1" applyAlignment="1">
      <alignment horizontal="center" wrapText="1"/>
    </xf>
    <xf numFmtId="0" fontId="50" fillId="0" borderId="49" xfId="0" applyFont="1" applyBorder="1" applyAlignment="1">
      <alignment horizontal="center" wrapText="1"/>
    </xf>
    <xf numFmtId="0" fontId="50" fillId="0" borderId="18" xfId="0" applyFont="1" applyBorder="1" applyAlignment="1">
      <alignment horizontal="center" wrapText="1"/>
    </xf>
    <xf numFmtId="0" fontId="62" fillId="0" borderId="4" xfId="0" applyFont="1" applyBorder="1" applyAlignment="1">
      <alignment horizontal="left" vertical="center" wrapText="1" shrinkToFit="1"/>
    </xf>
    <xf numFmtId="0" fontId="62" fillId="0" borderId="19" xfId="0" applyFont="1" applyBorder="1" applyAlignment="1">
      <alignment horizontal="left" vertical="center" wrapText="1" shrinkToFit="1"/>
    </xf>
    <xf numFmtId="0" fontId="101" fillId="0" borderId="69" xfId="128" applyFont="1" applyBorder="1" applyAlignment="1">
      <alignment horizontal="left" vertical="center" shrinkToFit="1"/>
    </xf>
    <xf numFmtId="0" fontId="101" fillId="0" borderId="70" xfId="128" applyFont="1" applyBorder="1" applyAlignment="1">
      <alignment horizontal="left" vertical="center" shrinkToFit="1"/>
    </xf>
    <xf numFmtId="0" fontId="101" fillId="0" borderId="85" xfId="128" applyFont="1" applyBorder="1" applyAlignment="1">
      <alignment horizontal="left" vertical="center" shrinkToFit="1"/>
    </xf>
    <xf numFmtId="0" fontId="155" fillId="0" borderId="33" xfId="139" applyFont="1" applyBorder="1" applyAlignment="1">
      <alignment horizontal="left" vertical="center" shrinkToFit="1"/>
    </xf>
    <xf numFmtId="0" fontId="90" fillId="0" borderId="16" xfId="0" applyFont="1" applyBorder="1" applyAlignment="1">
      <alignment horizontal="center"/>
    </xf>
    <xf numFmtId="0" fontId="90" fillId="0" borderId="49" xfId="0" applyFont="1" applyBorder="1" applyAlignment="1">
      <alignment horizontal="center"/>
    </xf>
    <xf numFmtId="0" fontId="90" fillId="0" borderId="18" xfId="0" applyFont="1" applyBorder="1" applyAlignment="1">
      <alignment horizontal="center"/>
    </xf>
    <xf numFmtId="0" fontId="112" fillId="0" borderId="50" xfId="0" applyFont="1" applyBorder="1" applyAlignment="1">
      <alignment horizontal="left" wrapText="1"/>
    </xf>
    <xf numFmtId="0" fontId="112" fillId="0" borderId="15" xfId="0" applyFont="1" applyBorder="1" applyAlignment="1">
      <alignment horizontal="left" wrapText="1"/>
    </xf>
    <xf numFmtId="0" fontId="62" fillId="0" borderId="33" xfId="0" applyFont="1" applyBorder="1" applyAlignment="1">
      <alignment horizontal="left" vertical="center" wrapText="1" shrinkToFit="1"/>
    </xf>
    <xf numFmtId="0" fontId="155" fillId="0" borderId="2" xfId="139" applyFont="1" applyBorder="1" applyAlignment="1">
      <alignment horizontal="left" vertical="center" shrinkToFit="1"/>
    </xf>
    <xf numFmtId="0" fontId="62" fillId="0" borderId="88" xfId="0" applyFont="1" applyBorder="1" applyAlignment="1">
      <alignment horizontal="left" vertical="center" wrapText="1" shrinkToFit="1"/>
    </xf>
    <xf numFmtId="0" fontId="62" fillId="0" borderId="55" xfId="0" applyFont="1" applyBorder="1" applyAlignment="1">
      <alignment horizontal="left" vertical="center" wrapText="1" shrinkToFit="1"/>
    </xf>
    <xf numFmtId="0" fontId="112" fillId="0" borderId="50" xfId="0" applyFont="1" applyBorder="1" applyAlignment="1">
      <alignment horizontal="left" vertical="center" wrapText="1"/>
    </xf>
    <xf numFmtId="0" fontId="112" fillId="0" borderId="15" xfId="0" applyFont="1" applyBorder="1" applyAlignment="1">
      <alignment horizontal="left" vertical="center" wrapText="1"/>
    </xf>
    <xf numFmtId="171" fontId="38" fillId="0" borderId="0" xfId="128" applyNumberFormat="1" applyFont="1" applyAlignment="1">
      <alignment horizontal="center" vertical="center" shrinkToFit="1"/>
    </xf>
    <xf numFmtId="0" fontId="68" fillId="96" borderId="4" xfId="0" applyFont="1" applyFill="1" applyBorder="1" applyAlignment="1">
      <alignment horizontal="center" vertical="center"/>
    </xf>
    <xf numFmtId="0" fontId="68" fillId="96" borderId="19" xfId="0" applyFont="1" applyFill="1" applyBorder="1" applyAlignment="1">
      <alignment horizontal="center" vertical="center"/>
    </xf>
    <xf numFmtId="0" fontId="68" fillId="96" borderId="5" xfId="0" applyFont="1" applyFill="1" applyBorder="1" applyAlignment="1">
      <alignment horizontal="center" vertical="center"/>
    </xf>
    <xf numFmtId="0" fontId="104" fillId="0" borderId="4" xfId="0" applyFont="1" applyBorder="1" applyAlignment="1" applyProtection="1">
      <alignment horizontal="center"/>
      <protection locked="0"/>
    </xf>
    <xf numFmtId="0" fontId="104" fillId="0" borderId="19" xfId="0" applyFont="1" applyBorder="1" applyAlignment="1" applyProtection="1">
      <alignment horizontal="center"/>
      <protection locked="0"/>
    </xf>
    <xf numFmtId="0" fontId="104" fillId="0" borderId="5" xfId="0" applyFont="1" applyBorder="1" applyAlignment="1" applyProtection="1">
      <alignment horizontal="center"/>
      <protection locked="0"/>
    </xf>
    <xf numFmtId="173" fontId="105" fillId="87" borderId="4" xfId="0" applyNumberFormat="1" applyFont="1" applyFill="1" applyBorder="1" applyAlignment="1">
      <alignment horizontal="center" vertical="center"/>
    </xf>
    <xf numFmtId="173" fontId="105" fillId="87" borderId="5" xfId="0" applyNumberFormat="1" applyFont="1" applyFill="1" applyBorder="1" applyAlignment="1">
      <alignment horizontal="center" vertical="center"/>
    </xf>
    <xf numFmtId="0" fontId="106" fillId="35" borderId="0" xfId="0" applyFont="1" applyFill="1" applyAlignment="1" applyProtection="1">
      <alignment horizontal="center" vertical="center"/>
      <protection locked="0"/>
    </xf>
    <xf numFmtId="0" fontId="38" fillId="0" borderId="72" xfId="128" applyFont="1" applyBorder="1" applyAlignment="1">
      <alignment horizontal="center" vertical="center" shrinkToFit="1"/>
    </xf>
    <xf numFmtId="0" fontId="38" fillId="0" borderId="49" xfId="128" applyFont="1" applyBorder="1" applyAlignment="1">
      <alignment horizontal="center" vertical="center" shrinkToFit="1"/>
    </xf>
    <xf numFmtId="171" fontId="39" fillId="87" borderId="1" xfId="128" applyNumberFormat="1" applyFont="1" applyFill="1" applyBorder="1" applyAlignment="1">
      <alignment horizontal="center" vertical="center" shrinkToFit="1"/>
    </xf>
    <xf numFmtId="0" fontId="38" fillId="0" borderId="1" xfId="128" applyFont="1" applyBorder="1" applyAlignment="1">
      <alignment horizontal="center" vertical="center" wrapText="1" shrinkToFit="1"/>
    </xf>
    <xf numFmtId="0" fontId="38" fillId="0" borderId="1" xfId="128" applyFont="1" applyBorder="1" applyAlignment="1">
      <alignment horizontal="center" vertical="center" shrinkToFit="1"/>
    </xf>
    <xf numFmtId="171" fontId="39" fillId="87" borderId="33" xfId="128" applyNumberFormat="1" applyFont="1" applyFill="1" applyBorder="1" applyAlignment="1">
      <alignment horizontal="center" vertical="center" shrinkToFit="1"/>
    </xf>
    <xf numFmtId="0" fontId="101" fillId="0" borderId="16" xfId="139" applyFont="1" applyBorder="1" applyAlignment="1">
      <alignment horizontal="left" vertical="center" shrinkToFit="1"/>
    </xf>
    <xf numFmtId="0" fontId="101" fillId="0" borderId="49" xfId="139" applyFont="1" applyBorder="1" applyAlignment="1">
      <alignment horizontal="left" vertical="center" shrinkToFit="1"/>
    </xf>
    <xf numFmtId="0" fontId="101" fillId="0" borderId="18" xfId="139" applyFont="1" applyBorder="1" applyAlignment="1">
      <alignment horizontal="left" vertical="center" shrinkToFit="1"/>
    </xf>
    <xf numFmtId="0" fontId="101" fillId="0" borderId="16" xfId="128" applyFont="1" applyBorder="1" applyAlignment="1">
      <alignment horizontal="left" vertical="center" shrinkToFit="1"/>
    </xf>
    <xf numFmtId="0" fontId="101" fillId="0" borderId="18" xfId="128" applyFont="1" applyBorder="1" applyAlignment="1">
      <alignment horizontal="left" vertical="center" shrinkToFit="1"/>
    </xf>
    <xf numFmtId="0" fontId="62" fillId="43" borderId="77" xfId="128" applyFont="1" applyFill="1" applyBorder="1" applyAlignment="1">
      <alignment horizontal="center" vertical="center" shrinkToFit="1"/>
    </xf>
    <xf numFmtId="0" fontId="62" fillId="43" borderId="70" xfId="128" applyFont="1" applyFill="1" applyBorder="1" applyAlignment="1">
      <alignment horizontal="center" vertical="center" shrinkToFit="1"/>
    </xf>
    <xf numFmtId="0" fontId="62" fillId="43" borderId="60" xfId="128" applyFont="1" applyFill="1" applyBorder="1" applyAlignment="1">
      <alignment horizontal="center" vertical="center" shrinkToFit="1"/>
    </xf>
    <xf numFmtId="171" fontId="38" fillId="0" borderId="62" xfId="128" applyNumberFormat="1" applyFont="1" applyBorder="1" applyAlignment="1">
      <alignment horizontal="center" vertical="center" shrinkToFit="1"/>
    </xf>
    <xf numFmtId="171" fontId="38" fillId="0" borderId="28" xfId="128" applyNumberFormat="1" applyFont="1" applyBorder="1" applyAlignment="1">
      <alignment horizontal="center" vertical="center" shrinkToFit="1"/>
    </xf>
    <xf numFmtId="0" fontId="62" fillId="95" borderId="77" xfId="128" applyFont="1" applyFill="1" applyBorder="1" applyAlignment="1">
      <alignment horizontal="center" vertical="center" shrinkToFit="1"/>
    </xf>
    <xf numFmtId="0" fontId="62" fillId="95" borderId="70" xfId="128" applyFont="1" applyFill="1" applyBorder="1" applyAlignment="1">
      <alignment horizontal="center" vertical="center" shrinkToFit="1"/>
    </xf>
    <xf numFmtId="0" fontId="62" fillId="95" borderId="60" xfId="128" applyFont="1" applyFill="1" applyBorder="1" applyAlignment="1">
      <alignment horizontal="center" vertical="center" shrinkToFit="1"/>
    </xf>
    <xf numFmtId="0" fontId="62" fillId="37" borderId="77" xfId="128" applyFont="1" applyFill="1" applyBorder="1" applyAlignment="1">
      <alignment horizontal="center" vertical="center" shrinkToFit="1"/>
    </xf>
    <xf numFmtId="0" fontId="62" fillId="37" borderId="70" xfId="128" applyFont="1" applyFill="1" applyBorder="1" applyAlignment="1">
      <alignment horizontal="center" vertical="center" shrinkToFit="1"/>
    </xf>
    <xf numFmtId="0" fontId="62" fillId="37" borderId="60" xfId="128" applyFont="1" applyFill="1" applyBorder="1" applyAlignment="1">
      <alignment horizontal="center" vertical="center" shrinkToFit="1"/>
    </xf>
    <xf numFmtId="0" fontId="110" fillId="0" borderId="48" xfId="0" applyFont="1" applyBorder="1" applyAlignment="1">
      <alignment horizontal="center"/>
    </xf>
    <xf numFmtId="0" fontId="110" fillId="0" borderId="49" xfId="0" applyFont="1" applyBorder="1" applyAlignment="1">
      <alignment horizontal="center"/>
    </xf>
    <xf numFmtId="0" fontId="90" fillId="0" borderId="48" xfId="0" applyFont="1" applyBorder="1" applyAlignment="1">
      <alignment horizontal="center"/>
    </xf>
    <xf numFmtId="0" fontId="62" fillId="48" borderId="77" xfId="128" applyFont="1" applyFill="1" applyBorder="1" applyAlignment="1">
      <alignment horizontal="center" vertical="center" shrinkToFit="1"/>
    </xf>
    <xf numFmtId="0" fontId="62" fillId="48" borderId="70" xfId="128" applyFont="1" applyFill="1" applyBorder="1" applyAlignment="1">
      <alignment horizontal="center" vertical="center" shrinkToFit="1"/>
    </xf>
    <xf numFmtId="0" fontId="62" fillId="48" borderId="60" xfId="128" applyFont="1" applyFill="1" applyBorder="1" applyAlignment="1">
      <alignment horizontal="center" vertical="center" shrinkToFit="1"/>
    </xf>
    <xf numFmtId="171" fontId="130" fillId="158" borderId="1" xfId="128" applyNumberFormat="1" applyFont="1" applyFill="1" applyBorder="1" applyAlignment="1">
      <alignment horizontal="center" vertical="center" shrinkToFit="1"/>
    </xf>
    <xf numFmtId="0" fontId="38" fillId="0" borderId="50" xfId="128" applyFont="1" applyBorder="1" applyAlignment="1">
      <alignment horizontal="center" vertical="center" shrinkToFit="1"/>
    </xf>
    <xf numFmtId="0" fontId="38" fillId="0" borderId="15" xfId="128" applyFont="1" applyBorder="1" applyAlignment="1">
      <alignment horizontal="center" vertical="center" shrinkToFit="1"/>
    </xf>
    <xf numFmtId="171" fontId="137" fillId="158" borderId="1" xfId="128" applyNumberFormat="1" applyFont="1" applyFill="1" applyBorder="1" applyAlignment="1">
      <alignment horizontal="center" vertical="center" shrinkToFit="1"/>
    </xf>
    <xf numFmtId="0" fontId="131" fillId="94" borderId="16" xfId="128" applyFont="1" applyFill="1" applyBorder="1" applyAlignment="1">
      <alignment horizontal="center" vertical="center" shrinkToFit="1"/>
    </xf>
    <xf numFmtId="0" fontId="131" fillId="94" borderId="49" xfId="128" applyFont="1" applyFill="1" applyBorder="1" applyAlignment="1">
      <alignment horizontal="center" vertical="center" shrinkToFit="1"/>
    </xf>
    <xf numFmtId="0" fontId="131" fillId="94" borderId="18" xfId="128" applyFont="1" applyFill="1" applyBorder="1" applyAlignment="1">
      <alignment horizontal="center" vertical="center" shrinkToFit="1"/>
    </xf>
    <xf numFmtId="171" fontId="38" fillId="0" borderId="74" xfId="128" applyNumberFormat="1" applyFont="1" applyBorder="1" applyAlignment="1">
      <alignment horizontal="center" vertical="center" shrinkToFit="1"/>
    </xf>
    <xf numFmtId="171" fontId="38" fillId="0" borderId="75" xfId="128" applyNumberFormat="1" applyFont="1" applyBorder="1" applyAlignment="1">
      <alignment horizontal="center" vertical="center" shrinkToFit="1"/>
    </xf>
    <xf numFmtId="171" fontId="38" fillId="0" borderId="76" xfId="128" applyNumberFormat="1" applyFont="1" applyBorder="1" applyAlignment="1">
      <alignment horizontal="center" vertical="center" shrinkToFit="1"/>
    </xf>
    <xf numFmtId="0" fontId="101" fillId="44" borderId="16" xfId="139" applyFont="1" applyFill="1" applyBorder="1" applyAlignment="1">
      <alignment horizontal="left" vertical="center" shrinkToFit="1"/>
    </xf>
    <xf numFmtId="0" fontId="101" fillId="44" borderId="49" xfId="139" applyFont="1" applyFill="1" applyBorder="1" applyAlignment="1">
      <alignment horizontal="left" vertical="center" shrinkToFit="1"/>
    </xf>
    <xf numFmtId="0" fontId="101" fillId="44" borderId="18" xfId="139" applyFont="1" applyFill="1" applyBorder="1" applyAlignment="1">
      <alignment horizontal="left" vertical="center" shrinkToFit="1"/>
    </xf>
    <xf numFmtId="0" fontId="131" fillId="187" borderId="16" xfId="128" applyFont="1" applyFill="1" applyBorder="1" applyAlignment="1">
      <alignment horizontal="center" vertical="center" shrinkToFit="1"/>
    </xf>
    <xf numFmtId="0" fontId="131" fillId="187" borderId="49" xfId="128" applyFont="1" applyFill="1" applyBorder="1" applyAlignment="1">
      <alignment horizontal="center" vertical="center" shrinkToFit="1"/>
    </xf>
    <xf numFmtId="0" fontId="131" fillId="187" borderId="18" xfId="128" applyFont="1" applyFill="1" applyBorder="1" applyAlignment="1">
      <alignment horizontal="center" vertical="center" shrinkToFit="1"/>
    </xf>
    <xf numFmtId="0" fontId="101" fillId="44" borderId="61" xfId="139" applyFont="1" applyFill="1" applyBorder="1" applyAlignment="1">
      <alignment horizontal="left" vertical="center" shrinkToFit="1"/>
    </xf>
    <xf numFmtId="0" fontId="101" fillId="44" borderId="62" xfId="139" applyFont="1" applyFill="1" applyBorder="1" applyAlignment="1">
      <alignment horizontal="left" vertical="center" shrinkToFit="1"/>
    </xf>
    <xf numFmtId="0" fontId="101" fillId="44" borderId="28" xfId="139" applyFont="1" applyFill="1" applyBorder="1" applyAlignment="1">
      <alignment horizontal="left" vertical="center" shrinkToFit="1"/>
    </xf>
    <xf numFmtId="171" fontId="38" fillId="0" borderId="61" xfId="128" applyNumberFormat="1" applyFont="1" applyBorder="1" applyAlignment="1">
      <alignment horizontal="center" vertical="center" shrinkToFit="1"/>
    </xf>
    <xf numFmtId="0" fontId="101" fillId="0" borderId="60" xfId="128" applyFont="1" applyBorder="1" applyAlignment="1">
      <alignment horizontal="left" vertical="center" shrinkToFit="1"/>
    </xf>
    <xf numFmtId="0" fontId="131" fillId="42" borderId="16" xfId="128" applyFont="1" applyFill="1" applyBorder="1" applyAlignment="1">
      <alignment horizontal="center" vertical="center" shrinkToFit="1"/>
    </xf>
    <xf numFmtId="0" fontId="131" fillId="42" borderId="49" xfId="128" applyFont="1" applyFill="1" applyBorder="1" applyAlignment="1">
      <alignment horizontal="center" vertical="center" shrinkToFit="1"/>
    </xf>
    <xf numFmtId="0" fontId="131" fillId="42" borderId="18" xfId="128" applyFont="1" applyFill="1" applyBorder="1" applyAlignment="1">
      <alignment horizontal="center" vertical="center" shrinkToFit="1"/>
    </xf>
    <xf numFmtId="0" fontId="38" fillId="0" borderId="59" xfId="128" applyFont="1" applyBorder="1" applyAlignment="1">
      <alignment horizontal="center" vertical="center" shrinkToFit="1"/>
    </xf>
    <xf numFmtId="0" fontId="38" fillId="0" borderId="17" xfId="128" applyFont="1" applyBorder="1" applyAlignment="1">
      <alignment horizontal="center" vertical="center" shrinkToFit="1"/>
    </xf>
    <xf numFmtId="171" fontId="130" fillId="158" borderId="33" xfId="128" applyNumberFormat="1" applyFont="1" applyFill="1" applyBorder="1" applyAlignment="1">
      <alignment horizontal="center" vertical="center" shrinkToFit="1"/>
    </xf>
    <xf numFmtId="0" fontId="48" fillId="87" borderId="16" xfId="128" applyFont="1" applyFill="1" applyBorder="1" applyAlignment="1">
      <alignment horizontal="center" vertical="center" shrinkToFit="1"/>
    </xf>
    <xf numFmtId="0" fontId="48" fillId="87" borderId="49" xfId="128" applyFont="1" applyFill="1" applyBorder="1" applyAlignment="1">
      <alignment horizontal="center" vertical="center" shrinkToFit="1"/>
    </xf>
    <xf numFmtId="0" fontId="62" fillId="34" borderId="37" xfId="128" applyFont="1" applyFill="1" applyBorder="1" applyAlignment="1">
      <alignment horizontal="center" vertical="center" shrinkToFit="1"/>
    </xf>
    <xf numFmtId="0" fontId="62" fillId="34" borderId="0" xfId="128" applyFont="1" applyFill="1" applyAlignment="1">
      <alignment horizontal="center" vertical="center" shrinkToFit="1"/>
    </xf>
    <xf numFmtId="0" fontId="62" fillId="34" borderId="38" xfId="128" applyFont="1" applyFill="1" applyBorder="1" applyAlignment="1">
      <alignment horizontal="center" vertical="center" shrinkToFit="1"/>
    </xf>
    <xf numFmtId="0" fontId="104" fillId="0" borderId="4" xfId="0" applyFont="1" applyBorder="1" applyAlignment="1">
      <alignment horizontal="center"/>
    </xf>
    <xf numFmtId="0" fontId="104" fillId="0" borderId="19" xfId="0" applyFont="1" applyBorder="1" applyAlignment="1">
      <alignment horizontal="center"/>
    </xf>
    <xf numFmtId="0" fontId="104" fillId="0" borderId="5" xfId="0" applyFont="1" applyBorder="1" applyAlignment="1">
      <alignment horizontal="center"/>
    </xf>
    <xf numFmtId="171" fontId="105" fillId="87" borderId="4" xfId="0" applyNumberFormat="1" applyFont="1" applyFill="1" applyBorder="1" applyAlignment="1">
      <alignment horizontal="center"/>
    </xf>
    <xf numFmtId="171" fontId="105" fillId="87" borderId="5" xfId="0" applyNumberFormat="1" applyFont="1" applyFill="1" applyBorder="1" applyAlignment="1">
      <alignment horizontal="center"/>
    </xf>
    <xf numFmtId="0" fontId="107" fillId="0" borderId="27" xfId="0" applyFont="1" applyBorder="1" applyAlignment="1">
      <alignment horizontal="center"/>
    </xf>
    <xf numFmtId="0" fontId="107" fillId="0" borderId="20" xfId="0" applyFont="1" applyBorder="1" applyAlignment="1">
      <alignment horizontal="center"/>
    </xf>
    <xf numFmtId="0" fontId="107" fillId="0" borderId="19" xfId="0" applyFont="1" applyBorder="1" applyAlignment="1">
      <alignment horizontal="center"/>
    </xf>
    <xf numFmtId="0" fontId="107" fillId="0" borderId="5" xfId="0" applyFont="1" applyBorder="1" applyAlignment="1">
      <alignment horizontal="center"/>
    </xf>
    <xf numFmtId="171" fontId="105" fillId="54" borderId="27" xfId="0" applyNumberFormat="1" applyFont="1" applyFill="1" applyBorder="1" applyAlignment="1">
      <alignment horizontal="center"/>
    </xf>
    <xf numFmtId="171" fontId="105" fillId="54" borderId="21" xfId="0" applyNumberFormat="1" applyFont="1" applyFill="1" applyBorder="1" applyAlignment="1">
      <alignment horizontal="center"/>
    </xf>
    <xf numFmtId="0" fontId="107" fillId="0" borderId="21" xfId="0" applyFont="1" applyBorder="1" applyAlignment="1">
      <alignment horizontal="center"/>
    </xf>
    <xf numFmtId="0" fontId="62" fillId="0" borderId="48" xfId="128" applyFont="1" applyBorder="1" applyAlignment="1">
      <alignment horizontal="center" vertical="center" shrinkToFit="1"/>
    </xf>
    <xf numFmtId="0" fontId="62" fillId="0" borderId="49" xfId="128" applyFont="1" applyBorder="1" applyAlignment="1">
      <alignment horizontal="center" vertical="center" shrinkToFit="1"/>
    </xf>
    <xf numFmtId="0" fontId="62" fillId="0" borderId="18" xfId="128" applyFont="1" applyBorder="1" applyAlignment="1">
      <alignment horizontal="center" vertical="center" shrinkToFit="1"/>
    </xf>
    <xf numFmtId="0" fontId="107" fillId="0" borderId="53" xfId="0" applyFont="1" applyBorder="1" applyAlignment="1">
      <alignment horizontal="center"/>
    </xf>
    <xf numFmtId="0" fontId="107" fillId="0" borderId="54" xfId="0" applyFont="1" applyBorder="1" applyAlignment="1">
      <alignment horizontal="center"/>
    </xf>
    <xf numFmtId="0" fontId="106" fillId="35" borderId="23" xfId="0" applyFont="1" applyFill="1" applyBorder="1" applyAlignment="1">
      <alignment horizontal="center"/>
    </xf>
    <xf numFmtId="0" fontId="106" fillId="35" borderId="0" xfId="0" applyFont="1" applyFill="1" applyAlignment="1">
      <alignment horizontal="center"/>
    </xf>
    <xf numFmtId="171" fontId="104" fillId="0" borderId="43" xfId="0" applyNumberFormat="1" applyFont="1" applyBorder="1" applyAlignment="1">
      <alignment horizontal="center"/>
    </xf>
    <xf numFmtId="171" fontId="104" fillId="0" borderId="44" xfId="0" applyNumberFormat="1" applyFont="1" applyBorder="1" applyAlignment="1">
      <alignment horizontal="center"/>
    </xf>
    <xf numFmtId="0" fontId="109" fillId="46" borderId="27" xfId="0" applyFont="1" applyFill="1" applyBorder="1" applyAlignment="1">
      <alignment horizontal="center" vertical="center"/>
    </xf>
    <xf numFmtId="0" fontId="109" fillId="46" borderId="20" xfId="0" applyFont="1" applyFill="1" applyBorder="1" applyAlignment="1">
      <alignment horizontal="center" vertical="center"/>
    </xf>
    <xf numFmtId="0" fontId="109" fillId="46" borderId="21" xfId="0" applyFont="1" applyFill="1" applyBorder="1" applyAlignment="1">
      <alignment horizontal="center" vertical="center"/>
    </xf>
    <xf numFmtId="0" fontId="109" fillId="46" borderId="30" xfId="0" applyFont="1" applyFill="1" applyBorder="1" applyAlignment="1">
      <alignment horizontal="center" vertical="center"/>
    </xf>
    <xf numFmtId="0" fontId="109" fillId="46" borderId="26" xfId="0" applyFont="1" applyFill="1" applyBorder="1" applyAlignment="1">
      <alignment horizontal="center" vertical="center"/>
    </xf>
    <xf numFmtId="0" fontId="109" fillId="46" borderId="31" xfId="0" applyFont="1" applyFill="1" applyBorder="1" applyAlignment="1">
      <alignment horizontal="center" vertical="center"/>
    </xf>
    <xf numFmtId="0" fontId="34" fillId="0" borderId="37" xfId="0" applyFont="1" applyBorder="1" applyAlignment="1">
      <alignment horizontal="center"/>
    </xf>
    <xf numFmtId="0" fontId="34" fillId="0" borderId="38" xfId="0" applyFont="1" applyBorder="1" applyAlignment="1">
      <alignment horizontal="center"/>
    </xf>
    <xf numFmtId="0" fontId="69" fillId="44" borderId="4" xfId="128" applyFont="1" applyFill="1" applyBorder="1" applyAlignment="1">
      <alignment horizontal="center" vertical="center" shrinkToFit="1"/>
    </xf>
    <xf numFmtId="0" fontId="69" fillId="44" borderId="19" xfId="128" applyFont="1" applyFill="1" applyBorder="1" applyAlignment="1">
      <alignment horizontal="center" vertical="center" shrinkToFit="1"/>
    </xf>
    <xf numFmtId="0" fontId="104" fillId="0" borderId="40" xfId="0" applyFont="1" applyBorder="1" applyAlignment="1">
      <alignment horizontal="center" vertical="center"/>
    </xf>
    <xf numFmtId="0" fontId="104" fillId="0" borderId="41" xfId="0" applyFont="1" applyBorder="1" applyAlignment="1">
      <alignment horizontal="center" vertical="center"/>
    </xf>
    <xf numFmtId="0" fontId="104" fillId="0" borderId="42" xfId="0" applyFont="1" applyBorder="1" applyAlignment="1">
      <alignment horizontal="center" vertical="center"/>
    </xf>
    <xf numFmtId="0" fontId="99" fillId="95" borderId="1" xfId="0" applyFont="1" applyFill="1" applyBorder="1" applyAlignment="1">
      <alignment horizontal="center" wrapText="1"/>
    </xf>
    <xf numFmtId="0" fontId="100" fillId="87" borderId="4" xfId="128" applyFont="1" applyFill="1" applyBorder="1" applyAlignment="1">
      <alignment horizontal="center" vertical="center" shrinkToFit="1"/>
    </xf>
    <xf numFmtId="0" fontId="100" fillId="87" borderId="19" xfId="128" applyFont="1" applyFill="1" applyBorder="1" applyAlignment="1">
      <alignment horizontal="center" vertical="center" shrinkToFit="1"/>
    </xf>
    <xf numFmtId="0" fontId="100" fillId="87" borderId="5" xfId="128" applyFont="1" applyFill="1" applyBorder="1" applyAlignment="1">
      <alignment horizontal="center" vertical="center" shrinkToFit="1"/>
    </xf>
    <xf numFmtId="171" fontId="33" fillId="87" borderId="4" xfId="128" applyNumberFormat="1" applyFont="1" applyFill="1" applyBorder="1" applyAlignment="1">
      <alignment horizontal="center" vertical="center" shrinkToFit="1"/>
    </xf>
    <xf numFmtId="171" fontId="33" fillId="87" borderId="19" xfId="128" applyNumberFormat="1" applyFont="1" applyFill="1" applyBorder="1" applyAlignment="1">
      <alignment horizontal="center" vertical="center" shrinkToFit="1"/>
    </xf>
    <xf numFmtId="171" fontId="33" fillId="87" borderId="5" xfId="128" applyNumberFormat="1" applyFont="1" applyFill="1" applyBorder="1" applyAlignment="1">
      <alignment horizontal="center" vertical="center" shrinkToFit="1"/>
    </xf>
    <xf numFmtId="14" fontId="99" fillId="0" borderId="1" xfId="0" applyNumberFormat="1" applyFont="1" applyBorder="1" applyAlignment="1" applyProtection="1">
      <alignment horizontal="center" wrapText="1"/>
      <protection locked="0"/>
    </xf>
    <xf numFmtId="0" fontId="99" fillId="0" borderId="1" xfId="0" applyFont="1" applyBorder="1" applyAlignment="1" applyProtection="1">
      <alignment horizontal="center" wrapText="1"/>
      <protection locked="0"/>
    </xf>
    <xf numFmtId="14" fontId="99" fillId="0" borderId="1" xfId="0" applyNumberFormat="1" applyFont="1" applyBorder="1" applyAlignment="1">
      <alignment horizontal="center" wrapText="1"/>
    </xf>
    <xf numFmtId="0" fontId="88" fillId="35" borderId="27" xfId="0" applyFont="1" applyFill="1" applyBorder="1" applyAlignment="1">
      <alignment horizontal="center" vertical="center" wrapText="1"/>
    </xf>
    <xf numFmtId="0" fontId="88" fillId="35" borderId="20" xfId="0" applyFont="1" applyFill="1" applyBorder="1" applyAlignment="1">
      <alignment horizontal="center" vertical="center" wrapText="1"/>
    </xf>
    <xf numFmtId="0" fontId="88" fillId="35" borderId="21" xfId="0" applyFont="1" applyFill="1" applyBorder="1" applyAlignment="1">
      <alignment horizontal="center" vertical="center" wrapText="1"/>
    </xf>
    <xf numFmtId="0" fontId="88" fillId="35" borderId="23" xfId="0" applyFont="1" applyFill="1" applyBorder="1" applyAlignment="1">
      <alignment horizontal="center" vertical="center" wrapText="1"/>
    </xf>
    <xf numFmtId="0" fontId="88" fillId="35" borderId="0" xfId="0" applyFont="1" applyFill="1" applyAlignment="1">
      <alignment horizontal="center" vertical="center" wrapText="1"/>
    </xf>
    <xf numFmtId="0" fontId="88" fillId="35" borderId="22" xfId="0" applyFont="1" applyFill="1" applyBorder="1" applyAlignment="1">
      <alignment horizontal="center" vertical="center" wrapText="1"/>
    </xf>
    <xf numFmtId="0" fontId="88" fillId="35" borderId="30" xfId="0" applyFont="1" applyFill="1" applyBorder="1" applyAlignment="1">
      <alignment horizontal="center" vertical="center" wrapText="1"/>
    </xf>
    <xf numFmtId="0" fontId="88" fillId="35" borderId="26" xfId="0" applyFont="1" applyFill="1" applyBorder="1" applyAlignment="1">
      <alignment horizontal="center" vertical="center" wrapText="1"/>
    </xf>
    <xf numFmtId="0" fontId="88" fillId="35" borderId="31" xfId="0" applyFont="1" applyFill="1" applyBorder="1" applyAlignment="1">
      <alignment horizontal="center" vertical="center" wrapText="1"/>
    </xf>
    <xf numFmtId="0" fontId="89" fillId="35" borderId="4" xfId="0" applyFont="1" applyFill="1" applyBorder="1" applyAlignment="1" applyProtection="1">
      <alignment horizontal="center" vertical="center"/>
      <protection locked="0"/>
    </xf>
    <xf numFmtId="0" fontId="89" fillId="35" borderId="19" xfId="0" applyFont="1" applyFill="1" applyBorder="1" applyAlignment="1" applyProtection="1">
      <alignment horizontal="center" vertical="center"/>
      <protection locked="0"/>
    </xf>
    <xf numFmtId="0" fontId="89" fillId="35" borderId="5" xfId="0" applyFont="1" applyFill="1" applyBorder="1" applyAlignment="1" applyProtection="1">
      <alignment horizontal="center" vertical="center"/>
      <protection locked="0"/>
    </xf>
    <xf numFmtId="0" fontId="92" fillId="94" borderId="4" xfId="242" applyFont="1" applyFill="1" applyBorder="1" applyAlignment="1">
      <alignment horizontal="center" vertical="top" shrinkToFit="1"/>
    </xf>
    <xf numFmtId="0" fontId="46" fillId="94" borderId="19" xfId="242" applyFont="1" applyFill="1" applyBorder="1" applyAlignment="1">
      <alignment horizontal="center" vertical="top" shrinkToFit="1"/>
    </xf>
    <xf numFmtId="0" fontId="46" fillId="94" borderId="5" xfId="242" applyFont="1" applyFill="1" applyBorder="1" applyAlignment="1">
      <alignment horizontal="center" vertical="top" shrinkToFit="1"/>
    </xf>
    <xf numFmtId="171" fontId="93" fillId="94" borderId="4" xfId="242" applyNumberFormat="1" applyFont="1" applyFill="1" applyBorder="1" applyAlignment="1">
      <alignment horizontal="center" vertical="center" shrinkToFit="1"/>
    </xf>
    <xf numFmtId="171" fontId="93" fillId="94" borderId="19" xfId="242" applyNumberFormat="1" applyFont="1" applyFill="1" applyBorder="1" applyAlignment="1">
      <alignment horizontal="center" vertical="center" shrinkToFit="1"/>
    </xf>
    <xf numFmtId="171" fontId="93" fillId="94" borderId="5" xfId="242" applyNumberFormat="1" applyFont="1" applyFill="1" applyBorder="1" applyAlignment="1">
      <alignment horizontal="center" vertical="center" shrinkToFit="1"/>
    </xf>
    <xf numFmtId="0" fontId="94" fillId="37" borderId="1" xfId="0" applyFont="1" applyFill="1" applyBorder="1" applyAlignment="1">
      <alignment horizontal="center" vertical="center" wrapText="1"/>
    </xf>
    <xf numFmtId="0" fontId="71" fillId="35" borderId="23" xfId="0" applyFont="1" applyFill="1" applyBorder="1" applyAlignment="1">
      <alignment horizontal="center" vertical="center"/>
    </xf>
    <xf numFmtId="0" fontId="71" fillId="35" borderId="0" xfId="0" applyFont="1" applyFill="1" applyAlignment="1">
      <alignment horizontal="center" vertical="center"/>
    </xf>
    <xf numFmtId="0" fontId="63" fillId="35" borderId="27" xfId="0" applyFont="1" applyFill="1" applyBorder="1" applyAlignment="1" applyProtection="1">
      <alignment horizontal="center" vertical="center" wrapText="1"/>
      <protection locked="0"/>
    </xf>
    <xf numFmtId="0" fontId="63" fillId="35" borderId="21" xfId="0" applyFont="1" applyFill="1" applyBorder="1" applyAlignment="1" applyProtection="1">
      <alignment horizontal="center" vertical="center" wrapText="1"/>
      <protection locked="0"/>
    </xf>
    <xf numFmtId="0" fontId="63" fillId="35" borderId="30" xfId="0" applyFont="1" applyFill="1" applyBorder="1" applyAlignment="1" applyProtection="1">
      <alignment horizontal="center" vertical="center" wrapText="1"/>
      <protection locked="0"/>
    </xf>
    <xf numFmtId="0" fontId="63" fillId="35" borderId="31" xfId="0" applyFont="1" applyFill="1" applyBorder="1" applyAlignment="1" applyProtection="1">
      <alignment horizontal="center" vertical="center" wrapText="1"/>
      <protection locked="0"/>
    </xf>
    <xf numFmtId="0" fontId="64" fillId="35" borderId="29" xfId="0" applyFont="1" applyFill="1" applyBorder="1" applyAlignment="1" applyProtection="1">
      <alignment horizontal="center" vertical="center" textRotation="90"/>
      <protection locked="0"/>
    </xf>
    <xf numFmtId="0" fontId="64" fillId="35" borderId="32" xfId="0" applyFont="1" applyFill="1" applyBorder="1" applyAlignment="1" applyProtection="1">
      <alignment horizontal="center" vertical="center" textRotation="90"/>
      <protection locked="0"/>
    </xf>
    <xf numFmtId="0" fontId="64" fillId="35" borderId="34" xfId="0" applyFont="1" applyFill="1" applyBorder="1" applyAlignment="1" applyProtection="1">
      <alignment horizontal="center" vertical="center" textRotation="90"/>
      <protection locked="0"/>
    </xf>
    <xf numFmtId="0" fontId="64" fillId="35" borderId="27" xfId="0" applyFont="1" applyFill="1" applyBorder="1" applyAlignment="1" applyProtection="1">
      <alignment horizontal="center" vertical="center"/>
      <protection locked="0"/>
    </xf>
    <xf numFmtId="0" fontId="64" fillId="35" borderId="20" xfId="0" applyFont="1" applyFill="1" applyBorder="1" applyAlignment="1" applyProtection="1">
      <alignment horizontal="center" vertical="center"/>
      <protection locked="0"/>
    </xf>
    <xf numFmtId="0" fontId="64" fillId="35" borderId="21" xfId="0" applyFont="1" applyFill="1" applyBorder="1" applyAlignment="1" applyProtection="1">
      <alignment horizontal="center" vertical="center"/>
      <protection locked="0"/>
    </xf>
    <xf numFmtId="0" fontId="64" fillId="35" borderId="23" xfId="0" applyFont="1" applyFill="1" applyBorder="1" applyAlignment="1" applyProtection="1">
      <alignment horizontal="center" vertical="center"/>
      <protection locked="0"/>
    </xf>
    <xf numFmtId="0" fontId="64" fillId="35" borderId="0" xfId="0" applyFont="1" applyFill="1" applyAlignment="1" applyProtection="1">
      <alignment horizontal="center" vertical="center"/>
      <protection locked="0"/>
    </xf>
    <xf numFmtId="0" fontId="64" fillId="35" borderId="22" xfId="0" applyFont="1" applyFill="1" applyBorder="1" applyAlignment="1" applyProtection="1">
      <alignment horizontal="center" vertical="center"/>
      <protection locked="0"/>
    </xf>
    <xf numFmtId="0" fontId="64" fillId="35" borderId="30" xfId="0" applyFont="1" applyFill="1" applyBorder="1" applyAlignment="1" applyProtection="1">
      <alignment horizontal="center" vertical="center"/>
      <protection locked="0"/>
    </xf>
    <xf numFmtId="0" fontId="64" fillId="35" borderId="26" xfId="0" applyFont="1" applyFill="1" applyBorder="1" applyAlignment="1" applyProtection="1">
      <alignment horizontal="center" vertical="center"/>
      <protection locked="0"/>
    </xf>
    <xf numFmtId="0" fontId="64" fillId="35" borderId="31" xfId="0" applyFont="1" applyFill="1" applyBorder="1" applyAlignment="1" applyProtection="1">
      <alignment horizontal="center" vertical="center"/>
      <protection locked="0"/>
    </xf>
    <xf numFmtId="174" fontId="35" fillId="36" borderId="4" xfId="0" applyNumberFormat="1" applyFont="1" applyFill="1" applyBorder="1" applyAlignment="1" applyProtection="1">
      <alignment horizontal="center" vertical="center"/>
      <protection locked="0"/>
    </xf>
    <xf numFmtId="174" fontId="35" fillId="36" borderId="19" xfId="0" applyNumberFormat="1" applyFont="1" applyFill="1" applyBorder="1" applyAlignment="1" applyProtection="1">
      <alignment horizontal="center" vertical="center"/>
      <protection locked="0"/>
    </xf>
    <xf numFmtId="174" fontId="35" fillId="36" borderId="5" xfId="0" applyNumberFormat="1" applyFont="1" applyFill="1" applyBorder="1" applyAlignment="1" applyProtection="1">
      <alignment horizontal="center" vertical="center"/>
      <protection locked="0"/>
    </xf>
    <xf numFmtId="174" fontId="0" fillId="0" borderId="0" xfId="0" applyNumberFormat="1" applyAlignment="1">
      <alignment horizontal="center" vertical="center"/>
    </xf>
    <xf numFmtId="174" fontId="0" fillId="0" borderId="0" xfId="0" applyNumberFormat="1"/>
    <xf numFmtId="174" fontId="36" fillId="0" borderId="19" xfId="0" applyNumberFormat="1" applyFont="1" applyBorder="1" applyAlignment="1" applyProtection="1">
      <alignment horizontal="center" vertical="center"/>
      <protection locked="0"/>
    </xf>
    <xf numFmtId="174" fontId="37" fillId="0" borderId="20" xfId="0" applyNumberFormat="1" applyFont="1" applyBorder="1" applyAlignment="1" applyProtection="1">
      <alignment horizontal="center" vertical="center" wrapText="1"/>
      <protection locked="0"/>
    </xf>
    <xf numFmtId="174" fontId="37" fillId="0" borderId="21" xfId="0" applyNumberFormat="1" applyFont="1" applyBorder="1" applyAlignment="1" applyProtection="1">
      <alignment horizontal="center" vertical="center" wrapText="1"/>
      <protection locked="0"/>
    </xf>
    <xf numFmtId="174" fontId="5" fillId="0" borderId="0" xfId="0" applyNumberFormat="1" applyFont="1" applyAlignment="1" applyProtection="1">
      <alignment horizontal="center" vertical="center"/>
      <protection locked="0"/>
    </xf>
    <xf numFmtId="174" fontId="5" fillId="58" borderId="0" xfId="0" applyNumberFormat="1" applyFont="1" applyFill="1" applyAlignment="1">
      <alignment horizontal="center" vertical="center"/>
    </xf>
    <xf numFmtId="174" fontId="38" fillId="59" borderId="1" xfId="139" applyNumberFormat="1" applyFont="1" applyFill="1" applyBorder="1" applyAlignment="1">
      <alignment horizontal="center" vertical="center" shrinkToFit="1"/>
    </xf>
    <xf numFmtId="174" fontId="39" fillId="60" borderId="1" xfId="139" applyNumberFormat="1" applyFont="1" applyFill="1" applyBorder="1" applyAlignment="1">
      <alignment horizontal="center" vertical="center" shrinkToFit="1"/>
    </xf>
    <xf numFmtId="174" fontId="40" fillId="61" borderId="1" xfId="0" applyNumberFormat="1" applyFont="1" applyFill="1" applyBorder="1" applyAlignment="1">
      <alignment horizontal="center" vertical="center"/>
    </xf>
    <xf numFmtId="174" fontId="41" fillId="62" borderId="1" xfId="0" applyNumberFormat="1" applyFont="1" applyFill="1" applyBorder="1" applyAlignment="1">
      <alignment horizontal="center" vertical="center"/>
    </xf>
    <xf numFmtId="174" fontId="42" fillId="63" borderId="1" xfId="0" applyNumberFormat="1" applyFont="1" applyFill="1" applyBorder="1" applyAlignment="1">
      <alignment horizontal="center" vertical="center"/>
    </xf>
    <xf numFmtId="174" fontId="43" fillId="50" borderId="1" xfId="0" applyNumberFormat="1" applyFont="1" applyFill="1" applyBorder="1" applyAlignment="1">
      <alignment horizontal="center" vertical="center"/>
    </xf>
    <xf numFmtId="174" fontId="43" fillId="64" borderId="1" xfId="0" applyNumberFormat="1" applyFont="1" applyFill="1" applyBorder="1" applyAlignment="1">
      <alignment horizontal="center" vertical="center"/>
    </xf>
    <xf numFmtId="174" fontId="5" fillId="0" borderId="22" xfId="0" applyNumberFormat="1" applyFont="1" applyBorder="1" applyAlignment="1" applyProtection="1">
      <alignment horizontal="center" vertical="center"/>
      <protection locked="0"/>
    </xf>
    <xf numFmtId="174" fontId="44" fillId="0" borderId="0" xfId="0" applyNumberFormat="1" applyFont="1" applyAlignment="1">
      <alignment horizontal="center" vertical="center"/>
    </xf>
    <xf numFmtId="174" fontId="45" fillId="0" borderId="0" xfId="0" applyNumberFormat="1" applyFont="1" applyAlignment="1">
      <alignment horizontal="center" vertical="center" shrinkToFit="1"/>
    </xf>
    <xf numFmtId="174" fontId="46" fillId="0" borderId="23" xfId="0" applyNumberFormat="1" applyFont="1" applyBorder="1"/>
    <xf numFmtId="174" fontId="37" fillId="0" borderId="0" xfId="0" applyNumberFormat="1" applyFont="1" applyAlignment="1" applyProtection="1">
      <alignment horizontal="center" vertical="center" wrapText="1"/>
      <protection locked="0"/>
    </xf>
    <xf numFmtId="174" fontId="37" fillId="0" borderId="22" xfId="0" applyNumberFormat="1" applyFont="1" applyBorder="1" applyAlignment="1" applyProtection="1">
      <alignment horizontal="center" vertical="center" wrapText="1"/>
      <protection locked="0"/>
    </xf>
    <xf numFmtId="174" fontId="47" fillId="44" borderId="0" xfId="0" applyNumberFormat="1" applyFont="1" applyFill="1" applyAlignment="1">
      <alignment horizontal="center" vertical="center"/>
    </xf>
    <xf numFmtId="174" fontId="5" fillId="44" borderId="0" xfId="0" applyNumberFormat="1" applyFont="1" applyFill="1" applyAlignment="1" applyProtection="1">
      <alignment horizontal="center" vertical="center"/>
      <protection locked="0"/>
    </xf>
    <xf numFmtId="174" fontId="37" fillId="38" borderId="0" xfId="0" applyNumberFormat="1" applyFont="1" applyFill="1" applyAlignment="1">
      <alignment horizontal="center" vertical="center"/>
    </xf>
    <xf numFmtId="174" fontId="48" fillId="58" borderId="0" xfId="0" applyNumberFormat="1" applyFont="1" applyFill="1" applyAlignment="1">
      <alignment horizontal="center" vertical="center"/>
    </xf>
    <xf numFmtId="174" fontId="1" fillId="0" borderId="0" xfId="0" applyNumberFormat="1" applyFont="1" applyAlignment="1">
      <alignment horizontal="center" vertical="center"/>
    </xf>
    <xf numFmtId="174" fontId="1" fillId="0" borderId="22" xfId="0" applyNumberFormat="1" applyFont="1" applyBorder="1" applyAlignment="1">
      <alignment horizontal="center" vertical="center"/>
    </xf>
    <xf numFmtId="174" fontId="49" fillId="0" borderId="0" xfId="0" applyNumberFormat="1" applyFont="1" applyAlignment="1">
      <alignment horizontal="center" vertical="center" shrinkToFit="1"/>
    </xf>
    <xf numFmtId="174" fontId="5" fillId="0" borderId="0" xfId="0" applyNumberFormat="1" applyFont="1" applyAlignment="1">
      <alignment horizontal="center" vertical="center" shrinkToFit="1"/>
    </xf>
    <xf numFmtId="174" fontId="1" fillId="0" borderId="23" xfId="0" applyNumberFormat="1" applyFont="1" applyBorder="1"/>
    <xf numFmtId="174" fontId="48" fillId="44" borderId="2" xfId="128" applyNumberFormat="1" applyFont="1" applyFill="1" applyBorder="1" applyAlignment="1">
      <alignment horizontal="center" vertical="center" shrinkToFit="1"/>
    </xf>
    <xf numFmtId="174" fontId="50" fillId="38" borderId="0" xfId="0" applyNumberFormat="1" applyFont="1" applyFill="1" applyAlignment="1">
      <alignment horizontal="center" vertical="center"/>
    </xf>
    <xf numFmtId="174" fontId="51" fillId="0" borderId="0" xfId="0" applyNumberFormat="1" applyFont="1" applyAlignment="1" applyProtection="1">
      <alignment vertical="center"/>
      <protection locked="0"/>
    </xf>
    <xf numFmtId="174" fontId="34" fillId="0" borderId="0" xfId="0" applyNumberFormat="1" applyFont="1" applyAlignment="1">
      <alignment horizontal="center" vertical="center"/>
    </xf>
    <xf numFmtId="174" fontId="2" fillId="0" borderId="23" xfId="0" applyNumberFormat="1" applyFont="1" applyBorder="1"/>
    <xf numFmtId="174" fontId="50" fillId="44" borderId="1" xfId="128" applyNumberFormat="1" applyFont="1" applyFill="1" applyBorder="1" applyAlignment="1">
      <alignment horizontal="center" vertical="center" shrinkToFit="1"/>
    </xf>
    <xf numFmtId="174" fontId="52" fillId="0" borderId="0" xfId="0" applyNumberFormat="1" applyFont="1" applyAlignment="1">
      <alignment horizontal="center" vertical="center" shrinkToFit="1"/>
    </xf>
    <xf numFmtId="174" fontId="49" fillId="0" borderId="0" xfId="0" applyNumberFormat="1" applyFont="1" applyAlignment="1">
      <alignment horizontal="center" vertical="center"/>
    </xf>
    <xf numFmtId="174" fontId="53" fillId="0" borderId="0" xfId="0" applyNumberFormat="1" applyFont="1" applyAlignment="1">
      <alignment horizontal="center" vertical="center"/>
    </xf>
    <xf numFmtId="174" fontId="52" fillId="0" borderId="23" xfId="0" applyNumberFormat="1" applyFont="1" applyBorder="1"/>
    <xf numFmtId="174" fontId="50" fillId="282" borderId="24" xfId="128" applyNumberFormat="1" applyFont="1" applyFill="1" applyBorder="1" applyAlignment="1">
      <alignment horizontal="center" vertical="center" shrinkToFit="1"/>
    </xf>
    <xf numFmtId="174" fontId="54" fillId="0" borderId="0" xfId="0" applyNumberFormat="1" applyFont="1" applyAlignment="1" applyProtection="1">
      <alignment horizontal="center" vertical="center"/>
      <protection locked="0"/>
    </xf>
    <xf numFmtId="174" fontId="55" fillId="0" borderId="0" xfId="0" applyNumberFormat="1" applyFont="1" applyAlignment="1" applyProtection="1">
      <alignment horizontal="center" vertical="center"/>
      <protection locked="0"/>
    </xf>
    <xf numFmtId="174" fontId="5" fillId="0" borderId="0" xfId="0" applyNumberFormat="1" applyFont="1" applyAlignment="1">
      <alignment horizontal="center" vertical="center"/>
    </xf>
    <xf numFmtId="174" fontId="47" fillId="44" borderId="23" xfId="0" applyNumberFormat="1" applyFont="1" applyFill="1" applyBorder="1" applyAlignment="1">
      <alignment horizontal="center" vertical="center"/>
    </xf>
    <xf numFmtId="174" fontId="56" fillId="0" borderId="23" xfId="0" applyNumberFormat="1" applyFont="1" applyBorder="1"/>
    <xf numFmtId="174" fontId="5" fillId="44" borderId="0" xfId="0" applyNumberFormat="1" applyFont="1" applyFill="1" applyAlignment="1">
      <alignment horizontal="center" vertical="center"/>
    </xf>
    <xf numFmtId="174" fontId="0" fillId="44" borderId="0" xfId="0" applyNumberFormat="1" applyFill="1"/>
    <xf numFmtId="174" fontId="55" fillId="44" borderId="0" xfId="0" applyNumberFormat="1" applyFont="1" applyFill="1" applyAlignment="1" applyProtection="1">
      <alignment horizontal="center" vertical="center"/>
      <protection locked="0"/>
    </xf>
    <xf numFmtId="174" fontId="57" fillId="0" borderId="0" xfId="0" applyNumberFormat="1" applyFont="1" applyAlignment="1">
      <alignment horizontal="center" vertical="center"/>
    </xf>
    <xf numFmtId="174" fontId="58" fillId="0" borderId="23" xfId="0" applyNumberFormat="1" applyFont="1" applyBorder="1"/>
    <xf numFmtId="174" fontId="59" fillId="44" borderId="24" xfId="124" applyNumberFormat="1" applyFont="1" applyFill="1" applyBorder="1" applyAlignment="1">
      <alignment horizontal="center"/>
    </xf>
    <xf numFmtId="174" fontId="0" fillId="44" borderId="0" xfId="0" applyNumberFormat="1" applyFill="1" applyProtection="1">
      <protection locked="0"/>
    </xf>
    <xf numFmtId="174" fontId="0" fillId="44" borderId="0" xfId="0" applyNumberFormat="1" applyFill="1" applyAlignment="1">
      <alignment horizontal="center" vertical="center"/>
    </xf>
    <xf numFmtId="174" fontId="54" fillId="44" borderId="0" xfId="0" applyNumberFormat="1" applyFont="1" applyFill="1" applyAlignment="1" applyProtection="1">
      <alignment horizontal="center" vertical="center"/>
      <protection locked="0"/>
    </xf>
    <xf numFmtId="174" fontId="52" fillId="44" borderId="0" xfId="0" applyNumberFormat="1" applyFont="1" applyFill="1" applyAlignment="1">
      <alignment horizontal="center" vertical="center" shrinkToFit="1"/>
    </xf>
    <xf numFmtId="174" fontId="60" fillId="0" borderId="0" xfId="0" applyNumberFormat="1" applyFont="1" applyAlignment="1">
      <alignment horizontal="center" vertical="center" shrinkToFit="1"/>
    </xf>
    <xf numFmtId="174" fontId="60" fillId="0" borderId="22" xfId="0" applyNumberFormat="1" applyFont="1" applyBorder="1" applyAlignment="1">
      <alignment horizontal="center" vertical="center" shrinkToFit="1"/>
    </xf>
    <xf numFmtId="174" fontId="61" fillId="44" borderId="25" xfId="128" applyNumberFormat="1" applyFont="1" applyFill="1" applyBorder="1" applyAlignment="1">
      <alignment horizontal="center" vertical="center" shrinkToFit="1"/>
    </xf>
    <xf numFmtId="174" fontId="0" fillId="0" borderId="26" xfId="0" applyNumberFormat="1" applyBorder="1" applyProtection="1">
      <protection locked="0"/>
    </xf>
    <xf numFmtId="174" fontId="0" fillId="0" borderId="26" xfId="0" applyNumberFormat="1" applyBorder="1"/>
    <xf numFmtId="174" fontId="62" fillId="44" borderId="1" xfId="128" applyNumberFormat="1" applyFont="1" applyFill="1" applyBorder="1" applyAlignment="1">
      <alignment horizontal="center" vertical="center" shrinkToFit="1"/>
    </xf>
    <xf numFmtId="174" fontId="0" fillId="44" borderId="26" xfId="0" applyNumberFormat="1" applyFill="1" applyBorder="1" applyProtection="1">
      <protection locked="0"/>
    </xf>
    <xf numFmtId="174" fontId="32" fillId="44" borderId="26" xfId="0" applyNumberFormat="1" applyFont="1" applyFill="1" applyBorder="1" applyProtection="1">
      <protection locked="0"/>
    </xf>
    <xf numFmtId="174" fontId="5" fillId="44" borderId="26" xfId="0" applyNumberFormat="1" applyFont="1" applyFill="1" applyBorder="1" applyAlignment="1" applyProtection="1">
      <alignment horizontal="center" vertical="center"/>
      <protection locked="0"/>
    </xf>
    <xf numFmtId="174" fontId="5" fillId="0" borderId="26" xfId="0" applyNumberFormat="1" applyFont="1" applyBorder="1" applyAlignment="1" applyProtection="1">
      <alignment horizontal="center" vertical="center"/>
      <protection locked="0"/>
    </xf>
    <xf numFmtId="174" fontId="0" fillId="0" borderId="0" xfId="0" applyNumberFormat="1" applyProtection="1">
      <protection locked="0"/>
    </xf>
    <xf numFmtId="174" fontId="63" fillId="44" borderId="27" xfId="0" applyNumberFormat="1" applyFont="1" applyFill="1" applyBorder="1" applyAlignment="1" applyProtection="1">
      <alignment horizontal="center" vertical="center" wrapText="1"/>
      <protection locked="0"/>
    </xf>
    <xf numFmtId="174" fontId="63" fillId="44" borderId="21" xfId="0" applyNumberFormat="1" applyFont="1" applyFill="1" applyBorder="1" applyAlignment="1" applyProtection="1">
      <alignment horizontal="center" vertical="center" wrapText="1"/>
      <protection locked="0"/>
    </xf>
    <xf numFmtId="174" fontId="48" fillId="44" borderId="28" xfId="128" applyNumberFormat="1" applyFont="1" applyFill="1" applyBorder="1" applyAlignment="1">
      <alignment horizontal="center" vertical="center" shrinkToFit="1"/>
    </xf>
    <xf numFmtId="174" fontId="64" fillId="44" borderId="29" xfId="0" applyNumberFormat="1" applyFont="1" applyFill="1" applyBorder="1" applyAlignment="1" applyProtection="1">
      <alignment horizontal="center" vertical="center" textRotation="90"/>
      <protection locked="0"/>
    </xf>
    <xf numFmtId="174" fontId="65" fillId="44" borderId="0" xfId="0" applyNumberFormat="1" applyFont="1" applyFill="1" applyAlignment="1" applyProtection="1">
      <alignment horizontal="center" vertical="center"/>
      <protection locked="0"/>
    </xf>
    <xf numFmtId="174" fontId="63" fillId="44" borderId="30" xfId="0" applyNumberFormat="1" applyFont="1" applyFill="1" applyBorder="1" applyAlignment="1" applyProtection="1">
      <alignment horizontal="center" vertical="center" wrapText="1"/>
      <protection locked="0"/>
    </xf>
    <xf numFmtId="174" fontId="63" fillId="44" borderId="31" xfId="0" applyNumberFormat="1" applyFont="1" applyFill="1" applyBorder="1" applyAlignment="1" applyProtection="1">
      <alignment horizontal="center" vertical="center" wrapText="1"/>
      <protection locked="0"/>
    </xf>
    <xf numFmtId="174" fontId="64" fillId="44" borderId="32" xfId="0" applyNumberFormat="1" applyFont="1" applyFill="1" applyBorder="1" applyAlignment="1" applyProtection="1">
      <alignment horizontal="center" vertical="center" textRotation="90"/>
      <protection locked="0"/>
    </xf>
    <xf numFmtId="174" fontId="66" fillId="284" borderId="18" xfId="124" applyNumberFormat="1" applyFont="1" applyFill="1" applyBorder="1" applyAlignment="1">
      <alignment horizontal="center"/>
    </xf>
    <xf numFmtId="174" fontId="45" fillId="44" borderId="0" xfId="0" applyNumberFormat="1" applyFont="1" applyFill="1" applyAlignment="1" applyProtection="1">
      <alignment horizontal="center" vertical="center"/>
      <protection locked="0"/>
    </xf>
    <xf numFmtId="174" fontId="45" fillId="0" borderId="0" xfId="0" applyNumberFormat="1" applyFont="1" applyAlignment="1" applyProtection="1">
      <alignment horizontal="center" vertical="center"/>
      <protection locked="0"/>
    </xf>
    <xf numFmtId="174" fontId="67" fillId="283" borderId="1" xfId="128" applyNumberFormat="1" applyFont="1" applyFill="1" applyBorder="1" applyAlignment="1">
      <alignment horizontal="center" vertical="center" shrinkToFit="1"/>
    </xf>
    <xf numFmtId="174" fontId="50" fillId="44" borderId="33" xfId="128" applyNumberFormat="1" applyFont="1" applyFill="1" applyBorder="1" applyAlignment="1">
      <alignment horizontal="center" vertical="center" shrinkToFit="1"/>
    </xf>
    <xf numFmtId="174" fontId="50" fillId="282" borderId="33" xfId="128" applyNumberFormat="1" applyFont="1" applyFill="1" applyBorder="1" applyAlignment="1">
      <alignment horizontal="center" vertical="center" shrinkToFit="1"/>
    </xf>
    <xf numFmtId="174" fontId="67" fillId="283" borderId="33" xfId="128" applyNumberFormat="1" applyFont="1" applyFill="1" applyBorder="1" applyAlignment="1">
      <alignment horizontal="center" vertical="center" shrinkToFit="1"/>
    </xf>
    <xf numFmtId="174" fontId="45" fillId="72" borderId="0" xfId="0" applyNumberFormat="1" applyFont="1" applyFill="1" applyAlignment="1" applyProtection="1">
      <alignment horizontal="center" vertical="center"/>
      <protection locked="0"/>
    </xf>
    <xf numFmtId="174" fontId="5" fillId="72" borderId="0" xfId="0" applyNumberFormat="1" applyFont="1" applyFill="1" applyAlignment="1" applyProtection="1">
      <alignment horizontal="center" vertical="center"/>
      <protection locked="0"/>
    </xf>
    <xf numFmtId="174" fontId="49" fillId="0" borderId="0" xfId="0" applyNumberFormat="1" applyFont="1" applyAlignment="1" applyProtection="1">
      <alignment horizontal="center" vertical="center"/>
      <protection locked="0"/>
    </xf>
    <xf numFmtId="174" fontId="68" fillId="35" borderId="0" xfId="0" applyNumberFormat="1" applyFont="1" applyFill="1" applyAlignment="1">
      <alignment horizontal="center"/>
    </xf>
    <xf numFmtId="174" fontId="68" fillId="35" borderId="0" xfId="0" applyNumberFormat="1" applyFont="1" applyFill="1"/>
    <xf numFmtId="174" fontId="0" fillId="0" borderId="22" xfId="0" applyNumberFormat="1" applyBorder="1" applyAlignment="1">
      <alignment horizontal="center" vertical="center"/>
    </xf>
    <xf numFmtId="174" fontId="69" fillId="73" borderId="0" xfId="0" applyNumberFormat="1" applyFont="1" applyFill="1" applyAlignment="1">
      <alignment horizontal="center" vertical="center"/>
    </xf>
    <xf numFmtId="174" fontId="0" fillId="72" borderId="0" xfId="0" applyNumberFormat="1" applyFill="1"/>
    <xf numFmtId="174" fontId="70" fillId="0" borderId="0" xfId="0" applyNumberFormat="1" applyFont="1" applyAlignment="1">
      <alignment horizontal="center" vertical="center"/>
    </xf>
    <xf numFmtId="174" fontId="62" fillId="65" borderId="0" xfId="0" applyNumberFormat="1" applyFont="1" applyFill="1" applyAlignment="1">
      <alignment horizontal="center"/>
    </xf>
    <xf numFmtId="174" fontId="2" fillId="65" borderId="0" xfId="0" applyNumberFormat="1" applyFont="1" applyFill="1" applyAlignment="1">
      <alignment horizontal="center"/>
    </xf>
    <xf numFmtId="174" fontId="48" fillId="65" borderId="0" xfId="0" applyNumberFormat="1" applyFont="1" applyFill="1" applyAlignment="1">
      <alignment horizontal="center"/>
    </xf>
    <xf numFmtId="174" fontId="5" fillId="0" borderId="23" xfId="0" applyNumberFormat="1" applyFont="1" applyBorder="1" applyAlignment="1" applyProtection="1">
      <alignment horizontal="center" vertical="center"/>
      <protection locked="0"/>
    </xf>
    <xf numFmtId="174" fontId="71" fillId="44" borderId="0" xfId="0" applyNumberFormat="1" applyFont="1" applyFill="1" applyAlignment="1">
      <alignment horizontal="center" vertical="center"/>
    </xf>
    <xf numFmtId="174" fontId="68" fillId="35" borderId="0" xfId="0" applyNumberFormat="1" applyFont="1" applyFill="1" applyAlignment="1">
      <alignment horizontal="center" vertical="center"/>
    </xf>
    <xf numFmtId="174" fontId="43" fillId="74" borderId="1" xfId="0" applyNumberFormat="1" applyFont="1" applyFill="1" applyBorder="1" applyAlignment="1">
      <alignment horizontal="center" vertical="center"/>
    </xf>
    <xf numFmtId="174" fontId="2" fillId="65" borderId="0" xfId="0" applyNumberFormat="1" applyFont="1" applyFill="1"/>
    <xf numFmtId="174" fontId="72" fillId="75" borderId="1" xfId="128" applyNumberFormat="1" applyFont="1" applyFill="1" applyBorder="1" applyAlignment="1">
      <alignment horizontal="center" vertical="center" shrinkToFit="1"/>
    </xf>
    <xf numFmtId="174" fontId="73" fillId="76" borderId="1" xfId="128" applyNumberFormat="1" applyFont="1" applyFill="1" applyBorder="1" applyAlignment="1">
      <alignment horizontal="center" vertical="center" shrinkToFit="1"/>
    </xf>
    <xf numFmtId="174" fontId="39" fillId="77" borderId="1" xfId="139" applyNumberFormat="1" applyFont="1" applyFill="1" applyBorder="1" applyAlignment="1">
      <alignment horizontal="center" vertical="center" shrinkToFit="1"/>
    </xf>
    <xf numFmtId="174" fontId="31" fillId="35" borderId="0" xfId="0" applyNumberFormat="1" applyFont="1" applyFill="1" applyAlignment="1">
      <alignment horizontal="center" vertical="center"/>
    </xf>
    <xf numFmtId="174" fontId="74" fillId="0" borderId="0" xfId="0" applyNumberFormat="1" applyFont="1" applyAlignment="1">
      <alignment horizontal="center" vertical="center" shrinkToFit="1"/>
    </xf>
    <xf numFmtId="174" fontId="75" fillId="44" borderId="0" xfId="111" applyNumberFormat="1" applyFont="1" applyFill="1" applyAlignment="1">
      <alignment horizontal="center" vertical="center"/>
    </xf>
    <xf numFmtId="174" fontId="43" fillId="78" borderId="1" xfId="0" applyNumberFormat="1" applyFont="1" applyFill="1" applyBorder="1" applyAlignment="1">
      <alignment horizontal="center" vertical="center"/>
    </xf>
    <xf numFmtId="174" fontId="72" fillId="79" borderId="1" xfId="128" applyNumberFormat="1" applyFont="1" applyFill="1" applyBorder="1" applyAlignment="1">
      <alignment horizontal="center" vertical="center" shrinkToFit="1"/>
    </xf>
    <xf numFmtId="174" fontId="38" fillId="80" borderId="1" xfId="139" applyNumberFormat="1" applyFont="1" applyFill="1" applyBorder="1" applyAlignment="1">
      <alignment horizontal="center" vertical="center" shrinkToFit="1"/>
    </xf>
    <xf numFmtId="174" fontId="68" fillId="35" borderId="0" xfId="0" applyNumberFormat="1" applyFont="1" applyFill="1" applyAlignment="1">
      <alignment horizontal="center" vertical="center"/>
    </xf>
    <xf numFmtId="174" fontId="5" fillId="0" borderId="30" xfId="0" applyNumberFormat="1" applyFont="1" applyBorder="1" applyAlignment="1" applyProtection="1">
      <alignment horizontal="center" vertical="center"/>
      <protection locked="0"/>
    </xf>
    <xf numFmtId="174" fontId="74" fillId="0" borderId="26" xfId="0" applyNumberFormat="1" applyFont="1" applyBorder="1" applyAlignment="1">
      <alignment horizontal="center" vertical="center" shrinkToFit="1"/>
    </xf>
    <xf numFmtId="174" fontId="62" fillId="81" borderId="0" xfId="0" applyNumberFormat="1" applyFont="1" applyFill="1" applyAlignment="1">
      <alignment horizontal="center" vertical="center"/>
    </xf>
    <xf numFmtId="174" fontId="64" fillId="44" borderId="34" xfId="0" applyNumberFormat="1" applyFont="1" applyFill="1" applyBorder="1" applyAlignment="1" applyProtection="1">
      <alignment horizontal="center" vertical="center" textRotation="90"/>
      <protection locked="0"/>
    </xf>
    <xf numFmtId="174" fontId="5" fillId="0" borderId="35" xfId="0" applyNumberFormat="1" applyFont="1" applyBorder="1" applyAlignment="1" applyProtection="1">
      <alignment horizontal="center" vertical="center"/>
      <protection locked="0"/>
    </xf>
    <xf numFmtId="174" fontId="64" fillId="44" borderId="27" xfId="0" applyNumberFormat="1" applyFont="1" applyFill="1" applyBorder="1" applyAlignment="1" applyProtection="1">
      <alignment horizontal="center" vertical="center"/>
      <protection locked="0"/>
    </xf>
    <xf numFmtId="174" fontId="64" fillId="44" borderId="20" xfId="0" applyNumberFormat="1" applyFont="1" applyFill="1" applyBorder="1" applyAlignment="1" applyProtection="1">
      <alignment horizontal="center" vertical="center"/>
      <protection locked="0"/>
    </xf>
    <xf numFmtId="174" fontId="64" fillId="44" borderId="21" xfId="0" applyNumberFormat="1" applyFont="1" applyFill="1" applyBorder="1" applyAlignment="1" applyProtection="1">
      <alignment horizontal="center" vertical="center"/>
      <protection locked="0"/>
    </xf>
    <xf numFmtId="174" fontId="43" fillId="44" borderId="0" xfId="0" applyNumberFormat="1" applyFont="1" applyFill="1" applyAlignment="1">
      <alignment horizontal="center" vertical="center"/>
    </xf>
    <xf numFmtId="174" fontId="5" fillId="0" borderId="20" xfId="0" applyNumberFormat="1" applyFont="1" applyBorder="1" applyAlignment="1" applyProtection="1">
      <alignment horizontal="center" vertical="center"/>
      <protection locked="0"/>
    </xf>
    <xf numFmtId="174" fontId="64" fillId="44" borderId="23" xfId="0" applyNumberFormat="1" applyFont="1" applyFill="1" applyBorder="1" applyAlignment="1" applyProtection="1">
      <alignment horizontal="center" vertical="center"/>
      <protection locked="0"/>
    </xf>
    <xf numFmtId="174" fontId="64" fillId="44" borderId="0" xfId="0" applyNumberFormat="1" applyFont="1" applyFill="1" applyAlignment="1" applyProtection="1">
      <alignment horizontal="center" vertical="center"/>
      <protection locked="0"/>
    </xf>
    <xf numFmtId="174" fontId="64" fillId="44" borderId="22" xfId="0" applyNumberFormat="1" applyFont="1" applyFill="1" applyBorder="1" applyAlignment="1" applyProtection="1">
      <alignment horizontal="center" vertical="center"/>
      <protection locked="0"/>
    </xf>
    <xf numFmtId="174" fontId="50" fillId="44" borderId="0" xfId="0" applyNumberFormat="1" applyFont="1" applyFill="1" applyAlignment="1">
      <alignment horizontal="center" vertical="center"/>
    </xf>
    <xf numFmtId="174" fontId="62" fillId="44" borderId="0" xfId="0" applyNumberFormat="1" applyFont="1" applyFill="1" applyAlignment="1">
      <alignment horizontal="center" vertical="center"/>
    </xf>
    <xf numFmtId="174" fontId="76" fillId="0" borderId="0" xfId="0" applyNumberFormat="1" applyFont="1" applyAlignment="1">
      <alignment horizontal="center" vertical="center"/>
    </xf>
    <xf numFmtId="174" fontId="29" fillId="0" borderId="0" xfId="0" applyNumberFormat="1" applyFont="1" applyAlignment="1" applyProtection="1">
      <alignment horizontal="center" vertical="center"/>
      <protection locked="0"/>
    </xf>
    <xf numFmtId="174" fontId="68" fillId="0" borderId="0" xfId="0" applyNumberFormat="1" applyFont="1" applyAlignment="1">
      <alignment horizontal="center"/>
    </xf>
    <xf numFmtId="174" fontId="5" fillId="72" borderId="0" xfId="0" applyNumberFormat="1" applyFont="1" applyFill="1" applyAlignment="1">
      <alignment horizontal="center" vertical="center"/>
    </xf>
    <xf numFmtId="174" fontId="31" fillId="44" borderId="0" xfId="0" applyNumberFormat="1" applyFont="1" applyFill="1" applyAlignment="1">
      <alignment horizontal="center" vertical="center"/>
    </xf>
    <xf numFmtId="174" fontId="77" fillId="44" borderId="0" xfId="0" applyNumberFormat="1" applyFont="1" applyFill="1" applyAlignment="1">
      <alignment horizontal="center" vertical="center"/>
    </xf>
    <xf numFmtId="174" fontId="78" fillId="44" borderId="0" xfId="0" applyNumberFormat="1" applyFont="1" applyFill="1" applyAlignment="1">
      <alignment horizontal="center" vertical="center"/>
    </xf>
    <xf numFmtId="174" fontId="79" fillId="44" borderId="0" xfId="0" applyNumberFormat="1" applyFont="1" applyFill="1" applyAlignment="1">
      <alignment horizontal="center" vertical="center"/>
    </xf>
    <xf numFmtId="174" fontId="80" fillId="285" borderId="0" xfId="0" applyNumberFormat="1" applyFont="1" applyFill="1" applyAlignment="1">
      <alignment horizontal="center" vertical="center"/>
    </xf>
    <xf numFmtId="174" fontId="64" fillId="44" borderId="30" xfId="0" applyNumberFormat="1" applyFont="1" applyFill="1" applyBorder="1" applyAlignment="1" applyProtection="1">
      <alignment horizontal="center" vertical="center"/>
      <protection locked="0"/>
    </xf>
    <xf numFmtId="174" fontId="64" fillId="44" borderId="26" xfId="0" applyNumberFormat="1" applyFont="1" applyFill="1" applyBorder="1" applyAlignment="1" applyProtection="1">
      <alignment horizontal="center" vertical="center"/>
      <protection locked="0"/>
    </xf>
    <xf numFmtId="174" fontId="64" fillId="44" borderId="31" xfId="0" applyNumberFormat="1" applyFont="1" applyFill="1" applyBorder="1" applyAlignment="1" applyProtection="1">
      <alignment horizontal="center" vertical="center"/>
      <protection locked="0"/>
    </xf>
    <xf numFmtId="174" fontId="5" fillId="44" borderId="0" xfId="0" applyNumberFormat="1" applyFont="1" applyFill="1" applyAlignment="1" applyProtection="1">
      <alignment vertical="center"/>
      <protection locked="0"/>
    </xf>
    <xf numFmtId="174" fontId="81" fillId="44" borderId="0" xfId="0" applyNumberFormat="1" applyFont="1" applyFill="1" applyAlignment="1">
      <alignment horizontal="center"/>
    </xf>
    <xf numFmtId="174" fontId="49" fillId="44" borderId="0" xfId="0" applyNumberFormat="1" applyFont="1" applyFill="1" applyAlignment="1" applyProtection="1">
      <alignment horizontal="center" vertical="center"/>
      <protection locked="0"/>
    </xf>
    <xf numFmtId="174" fontId="5" fillId="44" borderId="0" xfId="0" applyNumberFormat="1" applyFont="1" applyFill="1" applyAlignment="1" applyProtection="1">
      <alignment horizontal="center" vertical="center"/>
      <protection locked="0"/>
    </xf>
    <xf numFmtId="174" fontId="74" fillId="44" borderId="0" xfId="0" applyNumberFormat="1" applyFont="1" applyFill="1" applyAlignment="1">
      <alignment horizontal="center" vertical="center" shrinkToFit="1"/>
    </xf>
    <xf numFmtId="174" fontId="71" fillId="44" borderId="23" xfId="0" applyNumberFormat="1" applyFont="1" applyFill="1" applyBorder="1" applyAlignment="1">
      <alignment horizontal="center" vertical="center"/>
    </xf>
    <xf numFmtId="174" fontId="50" fillId="44" borderId="0" xfId="0" applyNumberFormat="1" applyFont="1" applyFill="1" applyAlignment="1">
      <alignment horizontal="right" vertical="center"/>
    </xf>
    <xf numFmtId="174" fontId="48" fillId="44" borderId="0" xfId="0" applyNumberFormat="1" applyFont="1" applyFill="1" applyAlignment="1">
      <alignment horizontal="center" vertical="center"/>
    </xf>
    <xf numFmtId="174" fontId="39" fillId="44" borderId="0" xfId="139" applyNumberFormat="1" applyFont="1" applyFill="1" applyAlignment="1">
      <alignment horizontal="center" vertical="center" shrinkToFit="1"/>
    </xf>
    <xf numFmtId="174" fontId="82" fillId="44" borderId="0" xfId="0" applyNumberFormat="1" applyFont="1" applyFill="1" applyAlignment="1">
      <alignment horizontal="center" vertical="center"/>
    </xf>
    <xf numFmtId="174" fontId="50" fillId="44" borderId="0" xfId="0" applyNumberFormat="1" applyFont="1" applyFill="1" applyAlignment="1">
      <alignment horizontal="left" vertical="center"/>
    </xf>
    <xf numFmtId="174" fontId="68" fillId="44" borderId="0" xfId="0" applyNumberFormat="1" applyFont="1" applyFill="1" applyAlignment="1">
      <alignment horizontal="center" vertical="center"/>
    </xf>
    <xf numFmtId="174" fontId="5" fillId="44" borderId="0" xfId="0" applyNumberFormat="1" applyFont="1" applyFill="1" applyAlignment="1" applyProtection="1">
      <alignment horizontal="right" vertical="center"/>
      <protection locked="0"/>
    </xf>
    <xf numFmtId="174" fontId="59" fillId="44" borderId="0" xfId="112" applyNumberFormat="1" applyFont="1" applyFill="1" applyAlignment="1">
      <alignment horizontal="center" vertical="center"/>
    </xf>
    <xf numFmtId="174" fontId="0" fillId="0" borderId="0" xfId="0" applyNumberFormat="1" applyAlignment="1">
      <alignment horizontal="left"/>
    </xf>
    <xf numFmtId="174" fontId="0" fillId="0" borderId="0" xfId="0" applyNumberFormat="1" applyAlignment="1">
      <alignment horizontal="right"/>
    </xf>
    <xf numFmtId="174" fontId="74" fillId="44" borderId="0" xfId="0" applyNumberFormat="1" applyFont="1" applyFill="1" applyAlignment="1">
      <alignment horizontal="left" vertical="center" shrinkToFit="1"/>
    </xf>
    <xf numFmtId="174" fontId="47" fillId="0" borderId="0" xfId="0" applyNumberFormat="1" applyFont="1" applyAlignment="1">
      <alignment horizontal="center" vertical="center"/>
    </xf>
    <xf numFmtId="174" fontId="29" fillId="44" borderId="0" xfId="0" applyNumberFormat="1" applyFont="1" applyFill="1" applyAlignment="1" applyProtection="1">
      <alignment horizontal="center" vertical="center"/>
      <protection locked="0"/>
    </xf>
    <xf numFmtId="174" fontId="5" fillId="0" borderId="0" xfId="0" applyNumberFormat="1" applyFont="1" applyAlignment="1" applyProtection="1">
      <alignment horizontal="right" vertical="center"/>
      <protection locked="0"/>
    </xf>
    <xf numFmtId="174" fontId="0" fillId="44" borderId="0" xfId="0" applyNumberFormat="1" applyFill="1" applyAlignment="1">
      <alignment horizontal="left"/>
    </xf>
    <xf numFmtId="174" fontId="43" fillId="44" borderId="0" xfId="139" applyNumberFormat="1" applyFont="1" applyFill="1" applyAlignment="1">
      <alignment horizontal="center" vertical="center" shrinkToFit="1"/>
    </xf>
    <xf numFmtId="174" fontId="5" fillId="44" borderId="22" xfId="0" applyNumberFormat="1" applyFont="1" applyFill="1" applyBorder="1" applyAlignment="1" applyProtection="1">
      <alignment horizontal="center" vertical="center"/>
      <protection locked="0"/>
    </xf>
    <xf numFmtId="174" fontId="1" fillId="0" borderId="0" xfId="0" applyNumberFormat="1" applyFont="1"/>
    <xf numFmtId="174" fontId="0" fillId="44" borderId="0" xfId="0" applyNumberFormat="1" applyFill="1" applyAlignment="1">
      <alignment vertical="center"/>
    </xf>
    <xf numFmtId="174" fontId="69" fillId="44" borderId="0" xfId="0" applyNumberFormat="1" applyFont="1" applyFill="1" applyAlignment="1">
      <alignment horizontal="center" vertical="center"/>
    </xf>
    <xf numFmtId="174" fontId="40" fillId="44" borderId="0" xfId="0" applyNumberFormat="1" applyFont="1" applyFill="1" applyAlignment="1">
      <alignment horizontal="center" vertical="center"/>
    </xf>
    <xf numFmtId="174" fontId="29" fillId="44" borderId="0" xfId="0" applyNumberFormat="1" applyFont="1" applyFill="1" applyAlignment="1">
      <alignment horizontal="center" vertical="center"/>
    </xf>
    <xf numFmtId="174" fontId="48" fillId="57" borderId="0" xfId="0" applyNumberFormat="1" applyFont="1" applyFill="1" applyAlignment="1">
      <alignment horizontal="center" vertical="center"/>
    </xf>
    <xf numFmtId="174" fontId="62" fillId="44" borderId="0" xfId="0" applyNumberFormat="1" applyFont="1" applyFill="1" applyAlignment="1">
      <alignment horizontal="center"/>
    </xf>
    <xf numFmtId="174" fontId="74" fillId="0" borderId="0" xfId="0" applyNumberFormat="1" applyFont="1" applyAlignment="1">
      <alignment horizontal="left" vertical="center" shrinkToFit="1"/>
    </xf>
    <xf numFmtId="174" fontId="37" fillId="44" borderId="0" xfId="0" applyNumberFormat="1" applyFont="1" applyFill="1" applyAlignment="1">
      <alignment horizontal="center" vertical="center"/>
    </xf>
    <xf numFmtId="174" fontId="51" fillId="44" borderId="22" xfId="0" applyNumberFormat="1" applyFont="1" applyFill="1" applyBorder="1" applyAlignment="1" applyProtection="1">
      <alignment horizontal="center" vertical="center"/>
      <protection locked="0"/>
    </xf>
    <xf numFmtId="174" fontId="83" fillId="44" borderId="1" xfId="124" applyNumberFormat="1" applyFont="1" applyFill="1" applyBorder="1" applyAlignment="1">
      <alignment horizontal="center"/>
    </xf>
    <xf numFmtId="174" fontId="72" fillId="44" borderId="0" xfId="128" applyNumberFormat="1" applyFont="1" applyFill="1" applyAlignment="1">
      <alignment horizontal="center" vertical="center" shrinkToFit="1"/>
    </xf>
    <xf numFmtId="174" fontId="5" fillId="44" borderId="30" xfId="0" applyNumberFormat="1" applyFont="1" applyFill="1" applyBorder="1" applyAlignment="1" applyProtection="1">
      <alignment horizontal="center" vertical="center"/>
      <protection locked="0"/>
    </xf>
    <xf numFmtId="174" fontId="5" fillId="0" borderId="31" xfId="0" applyNumberFormat="1" applyFont="1" applyBorder="1" applyAlignment="1" applyProtection="1">
      <alignment horizontal="center" vertical="center" textRotation="90"/>
      <protection locked="0"/>
    </xf>
    <xf numFmtId="174" fontId="65" fillId="0" borderId="0" xfId="0" applyNumberFormat="1" applyFont="1" applyAlignment="1" applyProtection="1">
      <alignment horizontal="center" vertical="center"/>
      <protection locked="0"/>
    </xf>
    <xf numFmtId="174" fontId="50" fillId="38" borderId="0" xfId="0" applyNumberFormat="1" applyFont="1" applyFill="1" applyAlignment="1">
      <alignment horizontal="right" vertical="center"/>
    </xf>
    <xf numFmtId="174" fontId="82" fillId="58" borderId="0" xfId="0" applyNumberFormat="1" applyFont="1" applyFill="1" applyAlignment="1">
      <alignment horizontal="center" vertical="center"/>
    </xf>
    <xf numFmtId="174" fontId="43" fillId="89" borderId="1" xfId="139" applyNumberFormat="1" applyFont="1" applyFill="1" applyBorder="1" applyAlignment="1">
      <alignment horizontal="center" vertical="center" shrinkToFit="1"/>
    </xf>
    <xf numFmtId="174" fontId="43" fillId="90" borderId="1" xfId="0" applyNumberFormat="1" applyFont="1" applyFill="1" applyBorder="1" applyAlignment="1">
      <alignment horizontal="center" vertical="center"/>
    </xf>
    <xf numFmtId="174" fontId="50" fillId="38" borderId="0" xfId="0" applyNumberFormat="1" applyFont="1" applyFill="1" applyAlignment="1">
      <alignment horizontal="left" vertical="center"/>
    </xf>
    <xf numFmtId="174" fontId="60" fillId="44" borderId="0" xfId="0" applyNumberFormat="1" applyFont="1" applyFill="1" applyAlignment="1" applyProtection="1">
      <alignment horizontal="center" vertical="center"/>
      <protection locked="0"/>
    </xf>
    <xf numFmtId="174" fontId="5" fillId="0" borderId="0" xfId="0" applyNumberFormat="1" applyFont="1" applyAlignment="1" applyProtection="1">
      <alignment horizontal="center" vertical="center" textRotation="90"/>
      <protection locked="0"/>
    </xf>
    <xf numFmtId="174" fontId="84" fillId="91" borderId="1" xfId="0" applyNumberFormat="1" applyFont="1" applyFill="1" applyBorder="1" applyAlignment="1">
      <alignment horizontal="center" vertical="center"/>
    </xf>
    <xf numFmtId="174" fontId="85" fillId="44" borderId="0" xfId="0" applyNumberFormat="1" applyFont="1" applyFill="1" applyAlignment="1">
      <alignment horizontal="center"/>
    </xf>
    <xf numFmtId="174" fontId="60" fillId="0" borderId="0" xfId="0" applyNumberFormat="1" applyFont="1" applyAlignment="1" applyProtection="1">
      <alignment horizontal="center" vertical="center"/>
      <protection locked="0"/>
    </xf>
    <xf numFmtId="174" fontId="5" fillId="44" borderId="0" xfId="0" applyNumberFormat="1" applyFont="1" applyFill="1" applyAlignment="1">
      <alignment horizontal="center" vertical="center" shrinkToFit="1"/>
    </xf>
    <xf numFmtId="174" fontId="83" fillId="44" borderId="1" xfId="0" applyNumberFormat="1" applyFont="1" applyFill="1" applyBorder="1" applyAlignment="1">
      <alignment horizontal="center"/>
    </xf>
    <xf numFmtId="174" fontId="38" fillId="44" borderId="0" xfId="139" applyNumberFormat="1" applyFont="1" applyFill="1" applyAlignment="1">
      <alignment horizontal="center" vertical="center" shrinkToFit="1"/>
    </xf>
    <xf numFmtId="174" fontId="86" fillId="44" borderId="0" xfId="0" applyNumberFormat="1" applyFont="1" applyFill="1"/>
    <xf numFmtId="174" fontId="68" fillId="44" borderId="0" xfId="0" applyNumberFormat="1" applyFont="1" applyFill="1" applyAlignment="1">
      <alignment horizontal="center"/>
    </xf>
    <xf numFmtId="174" fontId="74" fillId="0" borderId="0" xfId="0" applyNumberFormat="1" applyFont="1" applyAlignment="1">
      <alignment horizontal="center" vertical="center" textRotation="90" shrinkToFit="1"/>
    </xf>
    <xf numFmtId="174" fontId="43" fillId="74" borderId="36" xfId="0" applyNumberFormat="1" applyFont="1" applyFill="1" applyBorder="1" applyAlignment="1">
      <alignment horizontal="center" vertical="center"/>
    </xf>
    <xf numFmtId="174" fontId="43" fillId="78" borderId="36" xfId="0" applyNumberFormat="1" applyFont="1" applyFill="1" applyBorder="1" applyAlignment="1">
      <alignment horizontal="center" vertical="center"/>
    </xf>
    <xf numFmtId="174" fontId="87" fillId="0" borderId="0" xfId="0" applyNumberFormat="1" applyFont="1" applyAlignment="1">
      <alignment horizontal="center" vertical="center" shrinkToFit="1"/>
    </xf>
    <xf numFmtId="174" fontId="51" fillId="0" borderId="0" xfId="0" applyNumberFormat="1" applyFont="1" applyAlignment="1" applyProtection="1">
      <alignment horizontal="center" vertical="center"/>
      <protection locked="0"/>
    </xf>
    <xf numFmtId="174" fontId="68" fillId="0" borderId="0" xfId="0" applyNumberFormat="1" applyFont="1"/>
    <xf numFmtId="174" fontId="60" fillId="44" borderId="0" xfId="0" applyNumberFormat="1" applyFont="1" applyFill="1" applyAlignment="1">
      <alignment horizontal="center" vertical="center" shrinkToFit="1"/>
    </xf>
    <xf numFmtId="174" fontId="68" fillId="44" borderId="0" xfId="0" applyNumberFormat="1" applyFont="1" applyFill="1" applyAlignment="1">
      <alignment horizontal="center"/>
    </xf>
    <xf numFmtId="174" fontId="88" fillId="44" borderId="27" xfId="0" applyNumberFormat="1" applyFont="1" applyFill="1" applyBorder="1" applyAlignment="1">
      <alignment horizontal="center" vertical="center" wrapText="1"/>
    </xf>
    <xf numFmtId="174" fontId="88" fillId="44" borderId="20" xfId="0" applyNumberFormat="1" applyFont="1" applyFill="1" applyBorder="1" applyAlignment="1">
      <alignment horizontal="center" vertical="center" wrapText="1"/>
    </xf>
    <xf numFmtId="174" fontId="88" fillId="44" borderId="21" xfId="0" applyNumberFormat="1" applyFont="1" applyFill="1" applyBorder="1" applyAlignment="1">
      <alignment horizontal="center" vertical="center" wrapText="1"/>
    </xf>
    <xf numFmtId="174" fontId="88" fillId="44" borderId="23" xfId="0" applyNumberFormat="1" applyFont="1" applyFill="1" applyBorder="1" applyAlignment="1">
      <alignment horizontal="center" vertical="center" wrapText="1"/>
    </xf>
    <xf numFmtId="174" fontId="88" fillId="44" borderId="0" xfId="0" applyNumberFormat="1" applyFont="1" applyFill="1" applyAlignment="1">
      <alignment horizontal="center" vertical="center" wrapText="1"/>
    </xf>
    <xf numFmtId="174" fontId="88" fillId="44" borderId="22" xfId="0" applyNumberFormat="1" applyFont="1" applyFill="1" applyBorder="1" applyAlignment="1">
      <alignment horizontal="center" vertical="center" wrapText="1"/>
    </xf>
    <xf numFmtId="174" fontId="88" fillId="44" borderId="30" xfId="0" applyNumberFormat="1" applyFont="1" applyFill="1" applyBorder="1" applyAlignment="1">
      <alignment horizontal="center" vertical="center" wrapText="1"/>
    </xf>
    <xf numFmtId="174" fontId="88" fillId="44" borderId="26" xfId="0" applyNumberFormat="1" applyFont="1" applyFill="1" applyBorder="1" applyAlignment="1">
      <alignment horizontal="center" vertical="center" wrapText="1"/>
    </xf>
    <xf numFmtId="174" fontId="88" fillId="44" borderId="31" xfId="0" applyNumberFormat="1" applyFont="1" applyFill="1" applyBorder="1" applyAlignment="1">
      <alignment horizontal="center" vertical="center" wrapText="1"/>
    </xf>
    <xf numFmtId="174" fontId="2" fillId="44" borderId="26" xfId="0" applyNumberFormat="1" applyFont="1" applyFill="1" applyBorder="1"/>
    <xf numFmtId="174" fontId="48" fillId="44" borderId="1" xfId="128" applyNumberFormat="1" applyFont="1" applyFill="1" applyBorder="1" applyAlignment="1">
      <alignment horizontal="center" vertical="center" shrinkToFit="1"/>
    </xf>
    <xf numFmtId="174" fontId="89" fillId="44" borderId="4" xfId="0" applyNumberFormat="1" applyFont="1" applyFill="1" applyBorder="1" applyAlignment="1" applyProtection="1">
      <alignment horizontal="center" vertical="center"/>
      <protection locked="0"/>
    </xf>
    <xf numFmtId="174" fontId="89" fillId="44" borderId="19" xfId="0" applyNumberFormat="1" applyFont="1" applyFill="1" applyBorder="1" applyAlignment="1" applyProtection="1">
      <alignment horizontal="center" vertical="center"/>
      <protection locked="0"/>
    </xf>
    <xf numFmtId="174" fontId="89" fillId="44" borderId="5" xfId="0" applyNumberFormat="1" applyFont="1" applyFill="1" applyBorder="1" applyAlignment="1" applyProtection="1">
      <alignment horizontal="center" vertical="center"/>
      <protection locked="0"/>
    </xf>
    <xf numFmtId="174" fontId="50" fillId="282" borderId="1" xfId="128" applyNumberFormat="1" applyFont="1" applyFill="1" applyBorder="1" applyAlignment="1">
      <alignment horizontal="center" vertical="center" shrinkToFit="1"/>
    </xf>
    <xf numFmtId="174" fontId="5" fillId="44" borderId="31" xfId="0" applyNumberFormat="1" applyFont="1" applyFill="1" applyBorder="1" applyAlignment="1" applyProtection="1">
      <alignment horizontal="center" vertical="center"/>
      <protection locked="0"/>
    </xf>
    <xf numFmtId="174" fontId="90" fillId="0" borderId="22" xfId="124" applyNumberFormat="1" applyFont="1" applyBorder="1" applyAlignment="1">
      <alignment horizontal="center"/>
    </xf>
    <xf numFmtId="174" fontId="32" fillId="0" borderId="0" xfId="0" applyNumberFormat="1" applyFont="1" applyProtection="1">
      <protection locked="0"/>
    </xf>
    <xf numFmtId="174" fontId="5" fillId="44" borderId="21" xfId="0" applyNumberFormat="1" applyFont="1" applyFill="1" applyBorder="1" applyAlignment="1" applyProtection="1">
      <alignment horizontal="center" vertical="center"/>
      <protection locked="0"/>
    </xf>
    <xf numFmtId="174" fontId="29" fillId="0" borderId="0" xfId="0" applyNumberFormat="1" applyFont="1" applyAlignment="1">
      <alignment horizontal="center" vertical="center"/>
    </xf>
    <xf numFmtId="174" fontId="58" fillId="0" borderId="0" xfId="0" applyNumberFormat="1" applyFont="1" applyAlignment="1">
      <alignment horizontal="center" vertical="center"/>
    </xf>
    <xf numFmtId="174" fontId="58" fillId="0" borderId="26" xfId="0" applyNumberFormat="1" applyFont="1" applyBorder="1" applyAlignment="1">
      <alignment horizontal="center" vertical="center"/>
    </xf>
    <xf numFmtId="174" fontId="90" fillId="0" borderId="26" xfId="124" applyNumberFormat="1" applyFont="1" applyBorder="1" applyAlignment="1">
      <alignment horizontal="center"/>
    </xf>
    <xf numFmtId="174" fontId="5" fillId="0" borderId="31" xfId="0" applyNumberFormat="1" applyFont="1" applyBorder="1" applyAlignment="1" applyProtection="1">
      <alignment horizontal="center" vertical="center"/>
      <protection locked="0"/>
    </xf>
    <xf numFmtId="174" fontId="29" fillId="0" borderId="0" xfId="0" applyNumberFormat="1" applyFont="1" applyProtection="1">
      <protection locked="0"/>
    </xf>
    <xf numFmtId="174" fontId="0" fillId="0" borderId="0" xfId="0" quotePrefix="1" applyNumberFormat="1" applyProtection="1">
      <protection locked="0"/>
    </xf>
    <xf numFmtId="174" fontId="0" fillId="0" borderId="0" xfId="0" applyNumberFormat="1" applyAlignment="1" applyProtection="1">
      <alignment horizontal="left" vertical="center"/>
      <protection locked="0"/>
    </xf>
    <xf numFmtId="174" fontId="0" fillId="0" borderId="20" xfId="0" applyNumberFormat="1" applyBorder="1" applyProtection="1">
      <protection locked="0"/>
    </xf>
    <xf numFmtId="174" fontId="32" fillId="0" borderId="0" xfId="0" applyNumberFormat="1" applyFont="1"/>
  </cellXfs>
  <cellStyles count="2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2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stilo 1" xfId="31" xr:uid="{00000000-0005-0000-0000-00001E000000}"/>
    <cellStyle name="Excel Built-in Normal" xfId="32" xr:uid="{00000000-0005-0000-0000-00001F000000}"/>
    <cellStyle name="headerStyle" xfId="33" xr:uid="{00000000-0005-0000-0000-000020000000}"/>
    <cellStyle name="Hipervínculo 2" xfId="34" xr:uid="{00000000-0005-0000-0000-000021000000}"/>
    <cellStyle name="Hipervínculo 3" xfId="35" xr:uid="{00000000-0005-0000-0000-000022000000}"/>
    <cellStyle name="Incorrecto" xfId="36" builtinId="27" customBuiltin="1"/>
    <cellStyle name="Millares 2" xfId="37" xr:uid="{00000000-0005-0000-0000-000024000000}"/>
    <cellStyle name="Millares 3" xfId="38" xr:uid="{00000000-0005-0000-0000-000025000000}"/>
    <cellStyle name="Millares 3 2" xfId="39" xr:uid="{00000000-0005-0000-0000-000026000000}"/>
    <cellStyle name="Millares 3 2 2" xfId="40" xr:uid="{00000000-0005-0000-0000-000027000000}"/>
    <cellStyle name="Millares 3 2 2 2" xfId="234" xr:uid="{00000000-0005-0000-0000-000028000000}"/>
    <cellStyle name="Millares 3 3" xfId="41" xr:uid="{00000000-0005-0000-0000-000029000000}"/>
    <cellStyle name="Millares 3 3 2" xfId="42" xr:uid="{00000000-0005-0000-0000-00002A000000}"/>
    <cellStyle name="Millares 3 4" xfId="43" xr:uid="{00000000-0005-0000-0000-00002B000000}"/>
    <cellStyle name="Millares 3 5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4 3 2" xfId="49" xr:uid="{00000000-0005-0000-0000-000031000000}"/>
    <cellStyle name="Millares 4 4" xfId="50" xr:uid="{00000000-0005-0000-0000-000032000000}"/>
    <cellStyle name="Millares 5" xfId="51" xr:uid="{00000000-0005-0000-0000-000033000000}"/>
    <cellStyle name="Millares 5 2" xfId="52" xr:uid="{00000000-0005-0000-0000-000034000000}"/>
    <cellStyle name="Millares 5 2 2" xfId="53" xr:uid="{00000000-0005-0000-0000-000035000000}"/>
    <cellStyle name="Millares 5 2 2 2" xfId="54" xr:uid="{00000000-0005-0000-0000-000036000000}"/>
    <cellStyle name="Millares 5 2 2 2 2" xfId="55" xr:uid="{00000000-0005-0000-0000-000037000000}"/>
    <cellStyle name="Millares 5 2 2 2 2 2" xfId="56" xr:uid="{00000000-0005-0000-0000-000038000000}"/>
    <cellStyle name="Millares 5 2 2 2 2 3" xfId="57" xr:uid="{00000000-0005-0000-0000-000039000000}"/>
    <cellStyle name="Millares 5 2 2 2 2 4" xfId="58" xr:uid="{00000000-0005-0000-0000-00003A000000}"/>
    <cellStyle name="Millares 5 2 2 2 3" xfId="59" xr:uid="{00000000-0005-0000-0000-00003B000000}"/>
    <cellStyle name="Millares 5 2 2 2 4" xfId="60" xr:uid="{00000000-0005-0000-0000-00003C000000}"/>
    <cellStyle name="Millares 5 2 2 3" xfId="61" xr:uid="{00000000-0005-0000-0000-00003D000000}"/>
    <cellStyle name="Millares 5 2 2 3 2" xfId="62" xr:uid="{00000000-0005-0000-0000-00003E000000}"/>
    <cellStyle name="Millares 5 2 2 3 2 2" xfId="63" xr:uid="{00000000-0005-0000-0000-00003F000000}"/>
    <cellStyle name="Millares 5 2 2 3 2 3" xfId="64" xr:uid="{00000000-0005-0000-0000-000040000000}"/>
    <cellStyle name="Millares 5 2 2 3 2 4" xfId="65" xr:uid="{00000000-0005-0000-0000-000041000000}"/>
    <cellStyle name="Millares 5 2 2 3 3" xfId="66" xr:uid="{00000000-0005-0000-0000-000042000000}"/>
    <cellStyle name="Millares 5 2 2 3 4" xfId="67" xr:uid="{00000000-0005-0000-0000-000043000000}"/>
    <cellStyle name="Millares 5 2 2 4" xfId="68" xr:uid="{00000000-0005-0000-0000-000044000000}"/>
    <cellStyle name="Millares 5 2 2 4 2" xfId="69" xr:uid="{00000000-0005-0000-0000-000045000000}"/>
    <cellStyle name="Millares 5 2 2 4 3" xfId="70" xr:uid="{00000000-0005-0000-0000-000046000000}"/>
    <cellStyle name="Millares 5 2 2 4 4" xfId="71" xr:uid="{00000000-0005-0000-0000-000047000000}"/>
    <cellStyle name="Millares 5 2 2 5" xfId="72" xr:uid="{00000000-0005-0000-0000-000048000000}"/>
    <cellStyle name="Millares 5 2 2 6" xfId="73" xr:uid="{00000000-0005-0000-0000-000049000000}"/>
    <cellStyle name="Millares 5 2 3" xfId="74" xr:uid="{00000000-0005-0000-0000-00004A000000}"/>
    <cellStyle name="Millares 5 3" xfId="75" xr:uid="{00000000-0005-0000-0000-00004B000000}"/>
    <cellStyle name="Millares 5 4" xfId="76" xr:uid="{00000000-0005-0000-0000-00004C000000}"/>
    <cellStyle name="Millares 6" xfId="77" xr:uid="{00000000-0005-0000-0000-00004D000000}"/>
    <cellStyle name="Millares 6 2" xfId="78" xr:uid="{00000000-0005-0000-0000-00004E000000}"/>
    <cellStyle name="Moneda 2" xfId="79" xr:uid="{00000000-0005-0000-0000-00004F000000}"/>
    <cellStyle name="Moneda 2 2" xfId="80" xr:uid="{00000000-0005-0000-0000-000050000000}"/>
    <cellStyle name="Moneda 2 2 2" xfId="81" xr:uid="{00000000-0005-0000-0000-000051000000}"/>
    <cellStyle name="Moneda 2 2 2 2" xfId="82" xr:uid="{00000000-0005-0000-0000-000052000000}"/>
    <cellStyle name="Moneda 2 2 2 3" xfId="83" xr:uid="{00000000-0005-0000-0000-000053000000}"/>
    <cellStyle name="Moneda 2 2 2 4" xfId="84" xr:uid="{00000000-0005-0000-0000-000054000000}"/>
    <cellStyle name="Moneda 2 2 3" xfId="85" xr:uid="{00000000-0005-0000-0000-000055000000}"/>
    <cellStyle name="Moneda 2 2 4" xfId="86" xr:uid="{00000000-0005-0000-0000-000056000000}"/>
    <cellStyle name="Moneda 2 3" xfId="87" xr:uid="{00000000-0005-0000-0000-000057000000}"/>
    <cellStyle name="Moneda 2 4" xfId="88" xr:uid="{00000000-0005-0000-0000-000058000000}"/>
    <cellStyle name="Moneda 2 4 2" xfId="89" xr:uid="{00000000-0005-0000-0000-000059000000}"/>
    <cellStyle name="Moneda 2 4 3" xfId="90" xr:uid="{00000000-0005-0000-0000-00005A000000}"/>
    <cellStyle name="Moneda 2 4 4" xfId="91" xr:uid="{00000000-0005-0000-0000-00005B000000}"/>
    <cellStyle name="Moneda 2 5" xfId="92" xr:uid="{00000000-0005-0000-0000-00005C000000}"/>
    <cellStyle name="Moneda 2 5 2 2" xfId="239" xr:uid="{00000000-0005-0000-0000-00005D000000}"/>
    <cellStyle name="Moneda 2 6" xfId="93" xr:uid="{00000000-0005-0000-0000-00005E000000}"/>
    <cellStyle name="Moneda 3" xfId="94" xr:uid="{00000000-0005-0000-0000-00005F000000}"/>
    <cellStyle name="Moneda 3 2" xfId="95" xr:uid="{00000000-0005-0000-0000-000060000000}"/>
    <cellStyle name="Moneda 3 3" xfId="96" xr:uid="{00000000-0005-0000-0000-000061000000}"/>
    <cellStyle name="Moneda 3 4" xfId="97" xr:uid="{00000000-0005-0000-0000-000062000000}"/>
    <cellStyle name="Moneda 4" xfId="98" xr:uid="{00000000-0005-0000-0000-000063000000}"/>
    <cellStyle name="Moneda 4 3" xfId="99" xr:uid="{00000000-0005-0000-0000-000064000000}"/>
    <cellStyle name="Neutral" xfId="100" builtinId="28" customBuiltin="1"/>
    <cellStyle name="Normal" xfId="0" builtinId="0"/>
    <cellStyle name="Normal 10" xfId="101" xr:uid="{00000000-0005-0000-0000-000067000000}"/>
    <cellStyle name="Normal 11" xfId="102" xr:uid="{00000000-0005-0000-0000-000068000000}"/>
    <cellStyle name="Normal 12" xfId="103" xr:uid="{00000000-0005-0000-0000-000069000000}"/>
    <cellStyle name="Normal 124" xfId="104" xr:uid="{00000000-0005-0000-0000-00006A000000}"/>
    <cellStyle name="Normal 125" xfId="105" xr:uid="{00000000-0005-0000-0000-00006B000000}"/>
    <cellStyle name="Normal 13" xfId="106" xr:uid="{00000000-0005-0000-0000-00006C000000}"/>
    <cellStyle name="Normal 14" xfId="107" xr:uid="{00000000-0005-0000-0000-00006D000000}"/>
    <cellStyle name="Normal 14 2" xfId="235" xr:uid="{00000000-0005-0000-0000-00006E000000}"/>
    <cellStyle name="Normal 15" xfId="108" xr:uid="{00000000-0005-0000-0000-00006F000000}"/>
    <cellStyle name="Normal 17" xfId="109" xr:uid="{00000000-0005-0000-0000-000070000000}"/>
    <cellStyle name="Normal 18" xfId="236" xr:uid="{00000000-0005-0000-0000-000071000000}"/>
    <cellStyle name="Normal 19" xfId="110" xr:uid="{00000000-0005-0000-0000-000072000000}"/>
    <cellStyle name="Normal 2" xfId="111" xr:uid="{00000000-0005-0000-0000-000073000000}"/>
    <cellStyle name="Normal 2 10 2" xfId="112" xr:uid="{00000000-0005-0000-0000-000074000000}"/>
    <cellStyle name="Normal 2 10 2 2" xfId="113" xr:uid="{00000000-0005-0000-0000-000075000000}"/>
    <cellStyle name="Normal 2 100" xfId="114" xr:uid="{00000000-0005-0000-0000-000076000000}"/>
    <cellStyle name="Normal 2 100 2" xfId="115" xr:uid="{00000000-0005-0000-0000-000077000000}"/>
    <cellStyle name="Normal 2 2" xfId="116" xr:uid="{00000000-0005-0000-0000-000078000000}"/>
    <cellStyle name="Normal 2 2 10" xfId="117" xr:uid="{00000000-0005-0000-0000-000079000000}"/>
    <cellStyle name="Normal 2 2 10 2" xfId="118" xr:uid="{00000000-0005-0000-0000-00007A000000}"/>
    <cellStyle name="Normal 2 2 2" xfId="119" xr:uid="{00000000-0005-0000-0000-00007B000000}"/>
    <cellStyle name="Normal 2 2 2 2" xfId="120" xr:uid="{00000000-0005-0000-0000-00007C000000}"/>
    <cellStyle name="Normal 2 2 2 3" xfId="121" xr:uid="{00000000-0005-0000-0000-00007D000000}"/>
    <cellStyle name="Normal 2 2 2 4" xfId="122" xr:uid="{00000000-0005-0000-0000-00007E000000}"/>
    <cellStyle name="Normal 2 2 3" xfId="123" xr:uid="{00000000-0005-0000-0000-00007F000000}"/>
    <cellStyle name="Normal 2 2 4" xfId="124" xr:uid="{00000000-0005-0000-0000-000080000000}"/>
    <cellStyle name="Normal 2 2 4 2" xfId="125" xr:uid="{00000000-0005-0000-0000-000081000000}"/>
    <cellStyle name="Normal 2 2 4 3" xfId="126" xr:uid="{00000000-0005-0000-0000-000082000000}"/>
    <cellStyle name="Normal 2 2 4 5" xfId="237" xr:uid="{00000000-0005-0000-0000-000083000000}"/>
    <cellStyle name="Normal 2 2 5" xfId="127" xr:uid="{00000000-0005-0000-0000-000084000000}"/>
    <cellStyle name="Normal 2 3" xfId="128" xr:uid="{00000000-0005-0000-0000-000085000000}"/>
    <cellStyle name="Normal 2 3 2" xfId="129" xr:uid="{00000000-0005-0000-0000-000086000000}"/>
    <cellStyle name="Normal 2 3 2 2" xfId="130" xr:uid="{00000000-0005-0000-0000-000087000000}"/>
    <cellStyle name="Normal 2 3 2 2 2 2" xfId="131" xr:uid="{00000000-0005-0000-0000-000088000000}"/>
    <cellStyle name="Normal 2 3 2 3" xfId="132" xr:uid="{00000000-0005-0000-0000-000089000000}"/>
    <cellStyle name="Normal 2 3 3" xfId="133" xr:uid="{00000000-0005-0000-0000-00008A000000}"/>
    <cellStyle name="Normal 2 3 4" xfId="134" xr:uid="{00000000-0005-0000-0000-00008B000000}"/>
    <cellStyle name="Normal 2 3 5" xfId="135" xr:uid="{00000000-0005-0000-0000-00008C000000}"/>
    <cellStyle name="Normal 2 3 6" xfId="136" xr:uid="{00000000-0005-0000-0000-00008D000000}"/>
    <cellStyle name="Normal 2 3 7" xfId="241" xr:uid="{00000000-0005-0000-0000-00008E000000}"/>
    <cellStyle name="Normal 2 4" xfId="137" xr:uid="{00000000-0005-0000-0000-00008F000000}"/>
    <cellStyle name="Normal 2 5" xfId="138" xr:uid="{00000000-0005-0000-0000-000090000000}"/>
    <cellStyle name="Normal 2 6" xfId="139" xr:uid="{00000000-0005-0000-0000-000091000000}"/>
    <cellStyle name="Normal 2 6 10" xfId="140" xr:uid="{00000000-0005-0000-0000-000092000000}"/>
    <cellStyle name="Normal 2 6 10 2" xfId="141" xr:uid="{00000000-0005-0000-0000-000093000000}"/>
    <cellStyle name="Normal 2 6 2" xfId="233" xr:uid="{00000000-0005-0000-0000-000094000000}"/>
    <cellStyle name="Normal 2 6 2 2" xfId="240" xr:uid="{00000000-0005-0000-0000-000095000000}"/>
    <cellStyle name="Normal 2 7" xfId="142" xr:uid="{00000000-0005-0000-0000-000096000000}"/>
    <cellStyle name="Normal 2 9" xfId="143" xr:uid="{00000000-0005-0000-0000-000097000000}"/>
    <cellStyle name="Normal 2_2010 Enero METEPEC(1)" xfId="144" xr:uid="{00000000-0005-0000-0000-000098000000}"/>
    <cellStyle name="Normal 21" xfId="145" xr:uid="{00000000-0005-0000-0000-000099000000}"/>
    <cellStyle name="Normal 22" xfId="146" xr:uid="{00000000-0005-0000-0000-00009A000000}"/>
    <cellStyle name="Normal 23" xfId="147" xr:uid="{00000000-0005-0000-0000-00009B000000}"/>
    <cellStyle name="Normal 3" xfId="148" xr:uid="{00000000-0005-0000-0000-00009C000000}"/>
    <cellStyle name="Normal 3 2" xfId="149" xr:uid="{00000000-0005-0000-0000-00009D000000}"/>
    <cellStyle name="Normal 3 2 2" xfId="150" xr:uid="{00000000-0005-0000-0000-00009E000000}"/>
    <cellStyle name="Normal 3 2 2 2" xfId="238" xr:uid="{00000000-0005-0000-0000-00009F000000}"/>
    <cellStyle name="Normal 3 3" xfId="151" xr:uid="{00000000-0005-0000-0000-0000A0000000}"/>
    <cellStyle name="Normal 3 4" xfId="152" xr:uid="{00000000-0005-0000-0000-0000A1000000}"/>
    <cellStyle name="Normal 3 5" xfId="153" xr:uid="{00000000-0005-0000-0000-0000A2000000}"/>
    <cellStyle name="Normal 3 5 2" xfId="154" xr:uid="{00000000-0005-0000-0000-0000A3000000}"/>
    <cellStyle name="Normal 3 6" xfId="155" xr:uid="{00000000-0005-0000-0000-0000A4000000}"/>
    <cellStyle name="Normal 3 7" xfId="156" xr:uid="{00000000-0005-0000-0000-0000A5000000}"/>
    <cellStyle name="Normal 3_2010-09-30-PUEBLA(1)" xfId="157" xr:uid="{00000000-0005-0000-0000-0000A6000000}"/>
    <cellStyle name="Normal 4" xfId="158" xr:uid="{00000000-0005-0000-0000-0000A7000000}"/>
    <cellStyle name="Normal 4 2" xfId="159" xr:uid="{00000000-0005-0000-0000-0000A8000000}"/>
    <cellStyle name="Normal 4 3" xfId="160" xr:uid="{00000000-0005-0000-0000-0000A9000000}"/>
    <cellStyle name="Normal 4 4" xfId="161" xr:uid="{00000000-0005-0000-0000-0000AA000000}"/>
    <cellStyle name="Normal 5" xfId="162" xr:uid="{00000000-0005-0000-0000-0000AB000000}"/>
    <cellStyle name="Normal 5 2" xfId="163" xr:uid="{00000000-0005-0000-0000-0000AC000000}"/>
    <cellStyle name="Normal 5 3" xfId="164" xr:uid="{00000000-0005-0000-0000-0000AD000000}"/>
    <cellStyle name="Normal 5 3 2" xfId="165" xr:uid="{00000000-0005-0000-0000-0000AE000000}"/>
    <cellStyle name="Normal 5 4" xfId="166" xr:uid="{00000000-0005-0000-0000-0000AF000000}"/>
    <cellStyle name="Normal 5_CAMBIO DE MIX CAPRI SATELITE CON PWB y FISH 2-11-11(1)" xfId="167" xr:uid="{00000000-0005-0000-0000-0000B0000000}"/>
    <cellStyle name="Normal 6" xfId="168" xr:uid="{00000000-0005-0000-0000-0000B1000000}"/>
    <cellStyle name="Normal 6 2" xfId="169" xr:uid="{00000000-0005-0000-0000-0000B2000000}"/>
    <cellStyle name="Normal 6 3" xfId="170" xr:uid="{00000000-0005-0000-0000-0000B3000000}"/>
    <cellStyle name="Normal 7" xfId="171" xr:uid="{00000000-0005-0000-0000-0000B4000000}"/>
    <cellStyle name="Normal 8" xfId="172" xr:uid="{00000000-0005-0000-0000-0000B5000000}"/>
    <cellStyle name="Normal 8 2" xfId="173" xr:uid="{00000000-0005-0000-0000-0000B6000000}"/>
    <cellStyle name="Normal 8_PROPUESTA MIX PALACE CANCUN 5-03-12-P(1)" xfId="174" xr:uid="{00000000-0005-0000-0000-0000B7000000}"/>
    <cellStyle name="Normal 9" xfId="175" xr:uid="{00000000-0005-0000-0000-0000B8000000}"/>
    <cellStyle name="Normal 9 2 2" xfId="176" xr:uid="{00000000-0005-0000-0000-0000B9000000}"/>
    <cellStyle name="Normal_Hoja1 2" xfId="242" xr:uid="{DFD574D2-C8A4-4F84-9195-C9DAE788755A}"/>
    <cellStyle name="Notas 2" xfId="177" xr:uid="{00000000-0005-0000-0000-0000BA000000}"/>
    <cellStyle name="Notas 2 2" xfId="178" xr:uid="{00000000-0005-0000-0000-0000BB000000}"/>
    <cellStyle name="Notas 2 2 2" xfId="179" xr:uid="{00000000-0005-0000-0000-0000BC000000}"/>
    <cellStyle name="Notas 2 2 3" xfId="180" xr:uid="{00000000-0005-0000-0000-0000BD000000}"/>
    <cellStyle name="Notas 2 2 4" xfId="181" xr:uid="{00000000-0005-0000-0000-0000BE000000}"/>
    <cellStyle name="Notas 2 3" xfId="182" xr:uid="{00000000-0005-0000-0000-0000BF000000}"/>
    <cellStyle name="Notas 2 4" xfId="183" xr:uid="{00000000-0005-0000-0000-0000C0000000}"/>
    <cellStyle name="Porcentaje 2" xfId="184" xr:uid="{00000000-0005-0000-0000-0000C1000000}"/>
    <cellStyle name="Porcentaje 2 2" xfId="185" xr:uid="{00000000-0005-0000-0000-0000C2000000}"/>
    <cellStyle name="Porcentaje 2 2 2" xfId="186" xr:uid="{00000000-0005-0000-0000-0000C3000000}"/>
    <cellStyle name="Porcentaje 2 2 2 2" xfId="187" xr:uid="{00000000-0005-0000-0000-0000C4000000}"/>
    <cellStyle name="Porcentaje 2 2 2 3" xfId="188" xr:uid="{00000000-0005-0000-0000-0000C5000000}"/>
    <cellStyle name="Porcentaje 2 2 2 4" xfId="189" xr:uid="{00000000-0005-0000-0000-0000C6000000}"/>
    <cellStyle name="Porcentaje 2 2 2 4 2" xfId="190" xr:uid="{00000000-0005-0000-0000-0000C7000000}"/>
    <cellStyle name="Porcentaje 2 2 3" xfId="191" xr:uid="{00000000-0005-0000-0000-0000C8000000}"/>
    <cellStyle name="Porcentaje 2 2 4" xfId="192" xr:uid="{00000000-0005-0000-0000-0000C9000000}"/>
    <cellStyle name="Porcentaje 2 3" xfId="193" xr:uid="{00000000-0005-0000-0000-0000CA000000}"/>
    <cellStyle name="Porcentaje 2 4" xfId="194" xr:uid="{00000000-0005-0000-0000-0000CB000000}"/>
    <cellStyle name="Porcentaje 2 4 2" xfId="195" xr:uid="{00000000-0005-0000-0000-0000CC000000}"/>
    <cellStyle name="Porcentaje 2 4 2 2" xfId="196" xr:uid="{00000000-0005-0000-0000-0000CD000000}"/>
    <cellStyle name="Porcentaje 2 4 2 3" xfId="197" xr:uid="{00000000-0005-0000-0000-0000CE000000}"/>
    <cellStyle name="Porcentaje 2 4 2 4" xfId="198" xr:uid="{00000000-0005-0000-0000-0000CF000000}"/>
    <cellStyle name="Porcentaje 2 4 3" xfId="199" xr:uid="{00000000-0005-0000-0000-0000D0000000}"/>
    <cellStyle name="Porcentaje 2 4 4" xfId="200" xr:uid="{00000000-0005-0000-0000-0000D1000000}"/>
    <cellStyle name="Porcentaje 2 5" xfId="201" xr:uid="{00000000-0005-0000-0000-0000D2000000}"/>
    <cellStyle name="Porcentaje 2 5 2" xfId="202" xr:uid="{00000000-0005-0000-0000-0000D3000000}"/>
    <cellStyle name="Porcentaje 2 5 3" xfId="203" xr:uid="{00000000-0005-0000-0000-0000D4000000}"/>
    <cellStyle name="Porcentaje 2 5 4" xfId="204" xr:uid="{00000000-0005-0000-0000-0000D5000000}"/>
    <cellStyle name="Porcentaje 2 6" xfId="205" xr:uid="{00000000-0005-0000-0000-0000D6000000}"/>
    <cellStyle name="Porcentaje 3" xfId="206" xr:uid="{00000000-0005-0000-0000-0000D7000000}"/>
    <cellStyle name="Porcentaje 3 2" xfId="207" xr:uid="{00000000-0005-0000-0000-0000D8000000}"/>
    <cellStyle name="Porcentaje 4" xfId="208" xr:uid="{00000000-0005-0000-0000-0000D9000000}"/>
    <cellStyle name="Porcentaje 4 2" xfId="209" xr:uid="{00000000-0005-0000-0000-0000DA000000}"/>
    <cellStyle name="Porcentaje 4 2 2" xfId="210" xr:uid="{00000000-0005-0000-0000-0000DB000000}"/>
    <cellStyle name="Porcentaje 4 2 2 2" xfId="211" xr:uid="{00000000-0005-0000-0000-0000DC000000}"/>
    <cellStyle name="Porcentaje 4 2 2 3" xfId="212" xr:uid="{00000000-0005-0000-0000-0000DD000000}"/>
    <cellStyle name="Porcentaje 4 2 2 4" xfId="213" xr:uid="{00000000-0005-0000-0000-0000DE000000}"/>
    <cellStyle name="Porcentaje 4 2 3" xfId="214" xr:uid="{00000000-0005-0000-0000-0000DF000000}"/>
    <cellStyle name="Porcentaje 4 2 4" xfId="215" xr:uid="{00000000-0005-0000-0000-0000E0000000}"/>
    <cellStyle name="Porcentaje 4 3" xfId="216" xr:uid="{00000000-0005-0000-0000-0000E1000000}"/>
    <cellStyle name="Porcentaje 4 4" xfId="217" xr:uid="{00000000-0005-0000-0000-0000E2000000}"/>
    <cellStyle name="Porcentaje 4 5" xfId="218" xr:uid="{00000000-0005-0000-0000-0000E3000000}"/>
    <cellStyle name="Porcentaje 4 6" xfId="219" xr:uid="{00000000-0005-0000-0000-0000E4000000}"/>
    <cellStyle name="Porcentaje 4 7" xfId="220" xr:uid="{00000000-0005-0000-0000-0000E5000000}"/>
    <cellStyle name="Porcentual 2" xfId="221" xr:uid="{00000000-0005-0000-0000-0000E6000000}"/>
    <cellStyle name="Salida" xfId="222" builtinId="21" customBuiltin="1"/>
    <cellStyle name="Style 1 10" xfId="223" xr:uid="{00000000-0005-0000-0000-0000E8000000}"/>
    <cellStyle name="Style 1 12" xfId="224" xr:uid="{00000000-0005-0000-0000-0000E9000000}"/>
    <cellStyle name="TableStyleLight1" xfId="225" xr:uid="{00000000-0005-0000-0000-0000EA000000}"/>
    <cellStyle name="Texto de advertencia" xfId="226" builtinId="11" customBuiltin="1"/>
    <cellStyle name="Texto explicativo" xfId="227" builtinId="53" customBuiltin="1"/>
    <cellStyle name="Título" xfId="228" builtinId="15" customBuiltin="1"/>
    <cellStyle name="Título 2" xfId="230" builtinId="17" customBuiltin="1"/>
    <cellStyle name="Título 3" xfId="231" builtinId="18" customBuiltin="1"/>
    <cellStyle name="Total" xfId="232" builtinId="25" customBuiltin="1"/>
  </cellStyles>
  <dxfs count="6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 patternType="solid">
          <fgColor theme="0"/>
          <bgColor theme="8" tint="0.79995117038483843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  <dxf>
      <font>
        <color theme="0" tint="-0.24994659260841701"/>
      </font>
      <fill>
        <patternFill>
          <fgColor theme="0"/>
          <bgColor theme="8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761999</xdr:colOff>
      <xdr:row>5</xdr:row>
      <xdr:rowOff>283856</xdr:rowOff>
    </xdr:from>
    <xdr:to>
      <xdr:col>20</xdr:col>
      <xdr:colOff>465961</xdr:colOff>
      <xdr:row>12</xdr:row>
      <xdr:rowOff>6350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0821649" y="1884056"/>
          <a:ext cx="1227962" cy="1151244"/>
        </a:xfrm>
        <a:prstGeom prst="rect">
          <a:avLst/>
        </a:prstGeom>
      </xdr:spPr>
    </xdr:pic>
    <xdr:clientData/>
  </xdr:twoCellAnchor>
  <xdr:twoCellAnchor editAs="oneCell">
    <xdr:from>
      <xdr:col>20</xdr:col>
      <xdr:colOff>1084792</xdr:colOff>
      <xdr:row>31</xdr:row>
      <xdr:rowOff>175110</xdr:rowOff>
    </xdr:from>
    <xdr:to>
      <xdr:col>36</xdr:col>
      <xdr:colOff>92592</xdr:colOff>
      <xdr:row>39</xdr:row>
      <xdr:rowOff>15875</xdr:rowOff>
    </xdr:to>
    <xdr:pic>
      <xdr:nvPicPr>
        <xdr:cNvPr id="3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3292" y="8719035"/>
          <a:ext cx="1522400" cy="136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1050396</xdr:colOff>
      <xdr:row>4</xdr:row>
      <xdr:rowOff>92603</xdr:rowOff>
    </xdr:from>
    <xdr:to>
      <xdr:col>20</xdr:col>
      <xdr:colOff>645584</xdr:colOff>
      <xdr:row>6</xdr:row>
      <xdr:rowOff>31748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1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9995621" y="1397528"/>
          <a:ext cx="2938463" cy="5296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20</xdr:col>
      <xdr:colOff>836084</xdr:colOff>
      <xdr:row>30</xdr:row>
      <xdr:rowOff>21168</xdr:rowOff>
    </xdr:from>
    <xdr:to>
      <xdr:col>22</xdr:col>
      <xdr:colOff>791104</xdr:colOff>
      <xdr:row>31</xdr:row>
      <xdr:rowOff>179917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1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3124584" y="8231718"/>
          <a:ext cx="2183870" cy="49212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47</xdr:col>
      <xdr:colOff>412750</xdr:colOff>
      <xdr:row>29</xdr:row>
      <xdr:rowOff>10584</xdr:rowOff>
    </xdr:from>
    <xdr:to>
      <xdr:col>49</xdr:col>
      <xdr:colOff>423333</xdr:colOff>
      <xdr:row>31</xdr:row>
      <xdr:rowOff>44979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100-000006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52790725" y="8021109"/>
          <a:ext cx="2239433" cy="567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13</xdr:col>
      <xdr:colOff>427178</xdr:colOff>
      <xdr:row>8</xdr:row>
      <xdr:rowOff>71437</xdr:rowOff>
    </xdr:from>
    <xdr:to>
      <xdr:col>17</xdr:col>
      <xdr:colOff>142873</xdr:colOff>
      <xdr:row>12</xdr:row>
      <xdr:rowOff>267711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14976616" y="2500312"/>
          <a:ext cx="4192445" cy="136308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Dejar en un servidor independiente solo ENERGY KING</a:t>
          </a:r>
        </a:p>
      </xdr:txBody>
    </xdr:sp>
    <xdr:clientData/>
  </xdr:twoCellAnchor>
  <xdr:twoCellAnchor editAs="oneCell">
    <xdr:from>
      <xdr:col>47</xdr:col>
      <xdr:colOff>539750</xdr:colOff>
      <xdr:row>31</xdr:row>
      <xdr:rowOff>95250</xdr:rowOff>
    </xdr:from>
    <xdr:to>
      <xdr:col>57</xdr:col>
      <xdr:colOff>729992</xdr:colOff>
      <xdr:row>40</xdr:row>
      <xdr:rowOff>114300</xdr:rowOff>
    </xdr:to>
    <xdr:pic>
      <xdr:nvPicPr>
        <xdr:cNvPr id="8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725" y="8639175"/>
          <a:ext cx="1933318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119062</xdr:colOff>
      <xdr:row>15</xdr:row>
      <xdr:rowOff>95250</xdr:rowOff>
    </xdr:from>
    <xdr:to>
      <xdr:col>20</xdr:col>
      <xdr:colOff>398318</xdr:colOff>
      <xdr:row>26</xdr:row>
      <xdr:rowOff>207818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6835437" y="4476750"/>
          <a:ext cx="5851381" cy="299864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285750</xdr:colOff>
      <xdr:row>8</xdr:row>
      <xdr:rowOff>0</xdr:rowOff>
    </xdr:from>
    <xdr:to>
      <xdr:col>10</xdr:col>
      <xdr:colOff>1445</xdr:colOff>
      <xdr:row>12</xdr:row>
      <xdr:rowOff>196274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7000875" y="2428875"/>
          <a:ext cx="4192445" cy="136308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GREEN</a:t>
          </a:r>
          <a:r>
            <a:rPr lang="es-MX" sz="2400" baseline="0">
              <a:solidFill>
                <a:sysClr val="windowText" lastClr="000000"/>
              </a:solidFill>
            </a:rPr>
            <a:t> Y BLUE SE QUEDAN EN EL ID GENERAL</a:t>
          </a:r>
          <a:endParaRPr lang="es-MX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761999</xdr:colOff>
      <xdr:row>5</xdr:row>
      <xdr:rowOff>283856</xdr:rowOff>
    </xdr:from>
    <xdr:to>
      <xdr:col>19</xdr:col>
      <xdr:colOff>875536</xdr:colOff>
      <xdr:row>12</xdr:row>
      <xdr:rowOff>6350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20821649" y="1884056"/>
          <a:ext cx="1227962" cy="1151244"/>
        </a:xfrm>
        <a:prstGeom prst="rect">
          <a:avLst/>
        </a:prstGeom>
      </xdr:spPr>
    </xdr:pic>
    <xdr:clientData/>
  </xdr:twoCellAnchor>
  <xdr:twoCellAnchor editAs="oneCell">
    <xdr:from>
      <xdr:col>20</xdr:col>
      <xdr:colOff>1084792</xdr:colOff>
      <xdr:row>31</xdr:row>
      <xdr:rowOff>175110</xdr:rowOff>
    </xdr:from>
    <xdr:to>
      <xdr:col>22</xdr:col>
      <xdr:colOff>378342</xdr:colOff>
      <xdr:row>39</xdr:row>
      <xdr:rowOff>15875</xdr:rowOff>
    </xdr:to>
    <xdr:pic>
      <xdr:nvPicPr>
        <xdr:cNvPr id="3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373292" y="8719035"/>
          <a:ext cx="1522400" cy="1364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1050396</xdr:colOff>
      <xdr:row>4</xdr:row>
      <xdr:rowOff>92603</xdr:rowOff>
    </xdr:from>
    <xdr:to>
      <xdr:col>20</xdr:col>
      <xdr:colOff>645584</xdr:colOff>
      <xdr:row>6</xdr:row>
      <xdr:rowOff>31748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4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9995621" y="1397528"/>
          <a:ext cx="2938463" cy="5296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20</xdr:col>
      <xdr:colOff>836084</xdr:colOff>
      <xdr:row>30</xdr:row>
      <xdr:rowOff>21168</xdr:rowOff>
    </xdr:from>
    <xdr:to>
      <xdr:col>22</xdr:col>
      <xdr:colOff>791104</xdr:colOff>
      <xdr:row>31</xdr:row>
      <xdr:rowOff>179917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4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3124584" y="8231718"/>
          <a:ext cx="2183870" cy="49212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47</xdr:col>
      <xdr:colOff>412750</xdr:colOff>
      <xdr:row>29</xdr:row>
      <xdr:rowOff>10584</xdr:rowOff>
    </xdr:from>
    <xdr:to>
      <xdr:col>49</xdr:col>
      <xdr:colOff>423333</xdr:colOff>
      <xdr:row>31</xdr:row>
      <xdr:rowOff>44979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400-000006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52790725" y="8021109"/>
          <a:ext cx="2239433" cy="567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16</xdr:col>
      <xdr:colOff>593866</xdr:colOff>
      <xdr:row>10</xdr:row>
      <xdr:rowOff>71437</xdr:rowOff>
    </xdr:from>
    <xdr:to>
      <xdr:col>20</xdr:col>
      <xdr:colOff>309561</xdr:colOff>
      <xdr:row>15</xdr:row>
      <xdr:rowOff>148649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18424666" y="3148012"/>
          <a:ext cx="4173395" cy="138213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Dejar en un servidor independiente solo ENERGY KING</a:t>
          </a:r>
        </a:p>
      </xdr:txBody>
    </xdr:sp>
    <xdr:clientData/>
  </xdr:twoCellAnchor>
  <xdr:twoCellAnchor editAs="oneCell">
    <xdr:from>
      <xdr:col>47</xdr:col>
      <xdr:colOff>539750</xdr:colOff>
      <xdr:row>31</xdr:row>
      <xdr:rowOff>95250</xdr:rowOff>
    </xdr:from>
    <xdr:to>
      <xdr:col>49</xdr:col>
      <xdr:colOff>244218</xdr:colOff>
      <xdr:row>40</xdr:row>
      <xdr:rowOff>114300</xdr:rowOff>
    </xdr:to>
    <xdr:pic>
      <xdr:nvPicPr>
        <xdr:cNvPr id="8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917725" y="8639175"/>
          <a:ext cx="1933318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119062</xdr:colOff>
      <xdr:row>15</xdr:row>
      <xdr:rowOff>95250</xdr:rowOff>
    </xdr:from>
    <xdr:to>
      <xdr:col>20</xdr:col>
      <xdr:colOff>398318</xdr:colOff>
      <xdr:row>26</xdr:row>
      <xdr:rowOff>207818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6835437" y="4476750"/>
          <a:ext cx="5851381" cy="299864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9</xdr:col>
      <xdr:colOff>0</xdr:colOff>
      <xdr:row>11</xdr:row>
      <xdr:rowOff>0</xdr:rowOff>
    </xdr:from>
    <xdr:to>
      <xdr:col>12</xdr:col>
      <xdr:colOff>834883</xdr:colOff>
      <xdr:row>16</xdr:row>
      <xdr:rowOff>172462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/>
      </xdr:nvSpPr>
      <xdr:spPr>
        <a:xfrm>
          <a:off x="10029825" y="3371850"/>
          <a:ext cx="4178158" cy="1382137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GREEN</a:t>
          </a:r>
          <a:r>
            <a:rPr lang="es-MX" sz="2400" baseline="0">
              <a:solidFill>
                <a:sysClr val="windowText" lastClr="000000"/>
              </a:solidFill>
            </a:rPr>
            <a:t> Y BLUE SE QUEDAN EN EL ID GENERAL</a:t>
          </a:r>
          <a:endParaRPr lang="es-MX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761999</xdr:colOff>
      <xdr:row>5</xdr:row>
      <xdr:rowOff>283856</xdr:rowOff>
    </xdr:from>
    <xdr:to>
      <xdr:col>20</xdr:col>
      <xdr:colOff>465961</xdr:colOff>
      <xdr:row>15</xdr:row>
      <xdr:rowOff>82550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3954124" y="1884056"/>
          <a:ext cx="1932812" cy="1798944"/>
        </a:xfrm>
        <a:prstGeom prst="rect">
          <a:avLst/>
        </a:prstGeom>
      </xdr:spPr>
    </xdr:pic>
    <xdr:clientData/>
  </xdr:twoCellAnchor>
  <xdr:twoCellAnchor editAs="oneCell">
    <xdr:from>
      <xdr:col>20</xdr:col>
      <xdr:colOff>1084792</xdr:colOff>
      <xdr:row>31</xdr:row>
      <xdr:rowOff>175110</xdr:rowOff>
    </xdr:from>
    <xdr:to>
      <xdr:col>36</xdr:col>
      <xdr:colOff>25917</xdr:colOff>
      <xdr:row>41</xdr:row>
      <xdr:rowOff>6350</xdr:rowOff>
    </xdr:to>
    <xdr:pic>
      <xdr:nvPicPr>
        <xdr:cNvPr id="3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5767" y="8719035"/>
          <a:ext cx="1836725" cy="173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1050396</xdr:colOff>
      <xdr:row>4</xdr:row>
      <xdr:rowOff>92603</xdr:rowOff>
    </xdr:from>
    <xdr:to>
      <xdr:col>20</xdr:col>
      <xdr:colOff>645584</xdr:colOff>
      <xdr:row>6</xdr:row>
      <xdr:rowOff>31748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6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3128096" y="1397528"/>
          <a:ext cx="2938463" cy="5296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20</xdr:col>
      <xdr:colOff>836084</xdr:colOff>
      <xdr:row>30</xdr:row>
      <xdr:rowOff>21168</xdr:rowOff>
    </xdr:from>
    <xdr:to>
      <xdr:col>22</xdr:col>
      <xdr:colOff>791104</xdr:colOff>
      <xdr:row>31</xdr:row>
      <xdr:rowOff>179917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6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6257059" y="8231718"/>
          <a:ext cx="507470" cy="49212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47</xdr:col>
      <xdr:colOff>412750</xdr:colOff>
      <xdr:row>29</xdr:row>
      <xdr:rowOff>10584</xdr:rowOff>
    </xdr:from>
    <xdr:to>
      <xdr:col>49</xdr:col>
      <xdr:colOff>423333</xdr:colOff>
      <xdr:row>31</xdr:row>
      <xdr:rowOff>44979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600-000006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5682575" y="8021109"/>
          <a:ext cx="267758" cy="567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13</xdr:col>
      <xdr:colOff>427178</xdr:colOff>
      <xdr:row>8</xdr:row>
      <xdr:rowOff>71437</xdr:rowOff>
    </xdr:from>
    <xdr:to>
      <xdr:col>17</xdr:col>
      <xdr:colOff>142873</xdr:colOff>
      <xdr:row>12</xdr:row>
      <xdr:rowOff>267711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/>
      </xdr:nvSpPr>
      <xdr:spPr>
        <a:xfrm>
          <a:off x="8047178" y="2557462"/>
          <a:ext cx="4173395" cy="138689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Dejar en un servidor independiente solo ENERGY KING</a:t>
          </a:r>
        </a:p>
      </xdr:txBody>
    </xdr:sp>
    <xdr:clientData/>
  </xdr:twoCellAnchor>
  <xdr:twoCellAnchor editAs="oneCell">
    <xdr:from>
      <xdr:col>47</xdr:col>
      <xdr:colOff>539750</xdr:colOff>
      <xdr:row>31</xdr:row>
      <xdr:rowOff>95250</xdr:rowOff>
    </xdr:from>
    <xdr:to>
      <xdr:col>57</xdr:col>
      <xdr:colOff>653791</xdr:colOff>
      <xdr:row>43</xdr:row>
      <xdr:rowOff>0</xdr:rowOff>
    </xdr:to>
    <xdr:pic>
      <xdr:nvPicPr>
        <xdr:cNvPr id="8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76225" y="8639175"/>
          <a:ext cx="2914392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119062</xdr:colOff>
      <xdr:row>15</xdr:row>
      <xdr:rowOff>95250</xdr:rowOff>
    </xdr:from>
    <xdr:to>
      <xdr:col>20</xdr:col>
      <xdr:colOff>398318</xdr:colOff>
      <xdr:row>26</xdr:row>
      <xdr:rowOff>207818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9967912" y="4476750"/>
          <a:ext cx="5851381" cy="299864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285750</xdr:colOff>
      <xdr:row>8</xdr:row>
      <xdr:rowOff>0</xdr:rowOff>
    </xdr:from>
    <xdr:to>
      <xdr:col>10</xdr:col>
      <xdr:colOff>1445</xdr:colOff>
      <xdr:row>12</xdr:row>
      <xdr:rowOff>196274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933450" y="2486025"/>
          <a:ext cx="3344720" cy="138689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GREEN</a:t>
          </a:r>
          <a:r>
            <a:rPr lang="es-MX" sz="2400" baseline="0">
              <a:solidFill>
                <a:sysClr val="windowText" lastClr="000000"/>
              </a:solidFill>
            </a:rPr>
            <a:t> Y BLUE SE QUEDAN EN EL ID GENERAL</a:t>
          </a:r>
          <a:endParaRPr lang="es-MX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761999</xdr:colOff>
      <xdr:row>5</xdr:row>
      <xdr:rowOff>283856</xdr:rowOff>
    </xdr:from>
    <xdr:to>
      <xdr:col>20</xdr:col>
      <xdr:colOff>465961</xdr:colOff>
      <xdr:row>15</xdr:row>
      <xdr:rowOff>82550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flipH="1">
          <a:off x="13954124" y="1884056"/>
          <a:ext cx="1932812" cy="1798944"/>
        </a:xfrm>
        <a:prstGeom prst="rect">
          <a:avLst/>
        </a:prstGeom>
      </xdr:spPr>
    </xdr:pic>
    <xdr:clientData/>
  </xdr:twoCellAnchor>
  <xdr:twoCellAnchor editAs="oneCell">
    <xdr:from>
      <xdr:col>20</xdr:col>
      <xdr:colOff>1084792</xdr:colOff>
      <xdr:row>31</xdr:row>
      <xdr:rowOff>175110</xdr:rowOff>
    </xdr:from>
    <xdr:to>
      <xdr:col>36</xdr:col>
      <xdr:colOff>65411</xdr:colOff>
      <xdr:row>41</xdr:row>
      <xdr:rowOff>6350</xdr:rowOff>
    </xdr:to>
    <xdr:pic>
      <xdr:nvPicPr>
        <xdr:cNvPr id="3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05767" y="8719035"/>
          <a:ext cx="1836725" cy="17362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1050396</xdr:colOff>
      <xdr:row>4</xdr:row>
      <xdr:rowOff>92603</xdr:rowOff>
    </xdr:from>
    <xdr:to>
      <xdr:col>20</xdr:col>
      <xdr:colOff>645584</xdr:colOff>
      <xdr:row>6</xdr:row>
      <xdr:rowOff>31748</xdr:rowOff>
    </xdr:to>
    <xdr:sp macro="" textlink="">
      <xdr:nvSpPr>
        <xdr:cNvPr id="4" name="rect">
          <a:extLst>
            <a:ext uri="{FF2B5EF4-FFF2-40B4-BE49-F238E27FC236}">
              <a16:creationId xmlns:a16="http://schemas.microsoft.com/office/drawing/2014/main" id="{00000000-0008-0000-0800-000004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3128096" y="1397528"/>
          <a:ext cx="2938463" cy="5296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NO  FUMAR</a:t>
          </a:r>
        </a:p>
      </xdr:txBody>
    </xdr:sp>
    <xdr:clientData/>
  </xdr:twoCellAnchor>
  <xdr:twoCellAnchor>
    <xdr:from>
      <xdr:col>20</xdr:col>
      <xdr:colOff>836084</xdr:colOff>
      <xdr:row>30</xdr:row>
      <xdr:rowOff>21168</xdr:rowOff>
    </xdr:from>
    <xdr:to>
      <xdr:col>22</xdr:col>
      <xdr:colOff>791104</xdr:colOff>
      <xdr:row>31</xdr:row>
      <xdr:rowOff>179917</xdr:rowOff>
    </xdr:to>
    <xdr:sp macro="" textlink="">
      <xdr:nvSpPr>
        <xdr:cNvPr id="5" name="rect">
          <a:extLst>
            <a:ext uri="{FF2B5EF4-FFF2-40B4-BE49-F238E27FC236}">
              <a16:creationId xmlns:a16="http://schemas.microsoft.com/office/drawing/2014/main" id="{00000000-0008-0000-0800-000005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16257059" y="8231718"/>
          <a:ext cx="507470" cy="49212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47</xdr:col>
      <xdr:colOff>412750</xdr:colOff>
      <xdr:row>29</xdr:row>
      <xdr:rowOff>10584</xdr:rowOff>
    </xdr:from>
    <xdr:to>
      <xdr:col>49</xdr:col>
      <xdr:colOff>423333</xdr:colOff>
      <xdr:row>31</xdr:row>
      <xdr:rowOff>44979</xdr:rowOff>
    </xdr:to>
    <xdr:sp macro="" textlink="">
      <xdr:nvSpPr>
        <xdr:cNvPr id="6" name="rect">
          <a:extLst>
            <a:ext uri="{FF2B5EF4-FFF2-40B4-BE49-F238E27FC236}">
              <a16:creationId xmlns:a16="http://schemas.microsoft.com/office/drawing/2014/main" id="{00000000-0008-0000-0800-000006000000}"/>
            </a:ext>
            <a:ext uri="{147F2762-F138-4A5C-976F-8EAC2B608ADB}">
              <a16:predDERef xmlns:a16="http://schemas.microsoft.com/office/drawing/2014/main" pred="{00000000-0008-0000-0500-000002000000}"/>
            </a:ext>
          </a:extLst>
        </xdr:cNvPr>
        <xdr:cNvSpPr/>
      </xdr:nvSpPr>
      <xdr:spPr>
        <a:xfrm>
          <a:off x="25682575" y="8021109"/>
          <a:ext cx="267758" cy="56779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1440" tIns="45720" rIns="91440" bIns="45720" anchor="ctr"/>
        <a:lstStyle/>
        <a:p>
          <a:pPr algn="ctr"/>
          <a:r>
            <a:rPr lang="en-US" altLang="zh-CN" sz="4000" b="1">
              <a:solidFill>
                <a:srgbClr val="333333"/>
              </a:solidFill>
              <a:latin typeface="Calibri" panose="00000000000000000000" charset="0"/>
              <a:ea typeface="Calibri" panose="00000000000000000000" charset="0"/>
            </a:rPr>
            <a:t>FUMAR</a:t>
          </a:r>
        </a:p>
      </xdr:txBody>
    </xdr:sp>
    <xdr:clientData/>
  </xdr:twoCellAnchor>
  <xdr:twoCellAnchor>
    <xdr:from>
      <xdr:col>13</xdr:col>
      <xdr:colOff>427178</xdr:colOff>
      <xdr:row>8</xdr:row>
      <xdr:rowOff>71437</xdr:rowOff>
    </xdr:from>
    <xdr:to>
      <xdr:col>17</xdr:col>
      <xdr:colOff>142873</xdr:colOff>
      <xdr:row>12</xdr:row>
      <xdr:rowOff>267711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8047178" y="2557462"/>
          <a:ext cx="4173395" cy="138689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Dejar en un servidor independiente solo ENERGY KING</a:t>
          </a:r>
        </a:p>
      </xdr:txBody>
    </xdr:sp>
    <xdr:clientData/>
  </xdr:twoCellAnchor>
  <xdr:twoCellAnchor editAs="oneCell">
    <xdr:from>
      <xdr:col>47</xdr:col>
      <xdr:colOff>539750</xdr:colOff>
      <xdr:row>31</xdr:row>
      <xdr:rowOff>95250</xdr:rowOff>
    </xdr:from>
    <xdr:to>
      <xdr:col>57</xdr:col>
      <xdr:colOff>677024</xdr:colOff>
      <xdr:row>43</xdr:row>
      <xdr:rowOff>0</xdr:rowOff>
    </xdr:to>
    <xdr:pic>
      <xdr:nvPicPr>
        <xdr:cNvPr id="8" name="9 Imagen" descr="Icono&#10;&#10;Descripción generada automáticamente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76225" y="8639175"/>
          <a:ext cx="2914392" cy="219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119062</xdr:colOff>
      <xdr:row>15</xdr:row>
      <xdr:rowOff>95250</xdr:rowOff>
    </xdr:from>
    <xdr:to>
      <xdr:col>20</xdr:col>
      <xdr:colOff>398318</xdr:colOff>
      <xdr:row>26</xdr:row>
      <xdr:rowOff>207818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9967912" y="4476750"/>
          <a:ext cx="5851381" cy="2998643"/>
        </a:xfrm>
        <a:prstGeom prst="rect">
          <a:avLst/>
        </a:prstGeom>
        <a:noFill/>
        <a:ln w="762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>
    <xdr:from>
      <xdr:col>6</xdr:col>
      <xdr:colOff>285750</xdr:colOff>
      <xdr:row>8</xdr:row>
      <xdr:rowOff>0</xdr:rowOff>
    </xdr:from>
    <xdr:to>
      <xdr:col>10</xdr:col>
      <xdr:colOff>1445</xdr:colOff>
      <xdr:row>12</xdr:row>
      <xdr:rowOff>196274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933450" y="2486025"/>
          <a:ext cx="3344720" cy="1386899"/>
        </a:xfrm>
        <a:prstGeom prst="rect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MX" sz="2400">
              <a:solidFill>
                <a:sysClr val="windowText" lastClr="000000"/>
              </a:solidFill>
            </a:rPr>
            <a:t>GREEN</a:t>
          </a:r>
          <a:r>
            <a:rPr lang="es-MX" sz="2400" baseline="0">
              <a:solidFill>
                <a:sysClr val="windowText" lastClr="000000"/>
              </a:solidFill>
            </a:rPr>
            <a:t> Y BLUE SE QUEDAN EN EL ID GENERAL</a:t>
          </a:r>
          <a:endParaRPr lang="es-MX" sz="24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1">
    <tabColor theme="1"/>
  </sheetPr>
  <dimension ref="A1:BF54"/>
  <sheetViews>
    <sheetView tabSelected="1" topLeftCell="A2" zoomScale="60" zoomScaleNormal="60" workbookViewId="0">
      <selection activeCell="A2" sqref="A1:XFD1048576"/>
    </sheetView>
  </sheetViews>
  <sheetFormatPr baseColWidth="10" defaultColWidth="16.7109375" defaultRowHeight="15" x14ac:dyDescent="0.25"/>
  <cols>
    <col min="1" max="7" width="2" style="997" customWidth="1"/>
    <col min="8" max="21" width="16.7109375" style="997"/>
    <col min="22" max="39" width="1.7109375" style="997" customWidth="1"/>
    <col min="40" max="45" width="16.7109375" style="997"/>
    <col min="46" max="56" width="2" style="997" customWidth="1"/>
    <col min="57" max="16384" width="16.7109375" style="997"/>
  </cols>
  <sheetData>
    <row r="1" spans="1:58" ht="34.5" thickBot="1" x14ac:dyDescent="0.3">
      <c r="A1" s="993"/>
      <c r="B1" s="994"/>
      <c r="C1" s="994"/>
      <c r="D1" s="994"/>
      <c r="E1" s="994"/>
      <c r="F1" s="994"/>
      <c r="G1" s="994"/>
      <c r="H1" s="994"/>
      <c r="I1" s="994"/>
      <c r="J1" s="994"/>
      <c r="K1" s="994"/>
      <c r="L1" s="994"/>
      <c r="M1" s="994"/>
      <c r="N1" s="994"/>
      <c r="O1" s="994"/>
      <c r="P1" s="994"/>
      <c r="Q1" s="994"/>
      <c r="R1" s="994"/>
      <c r="S1" s="994"/>
      <c r="T1" s="994"/>
      <c r="U1" s="994"/>
      <c r="V1" s="994"/>
      <c r="W1" s="994"/>
      <c r="X1" s="994"/>
      <c r="Y1" s="994"/>
      <c r="Z1" s="994"/>
      <c r="AA1" s="994"/>
      <c r="AB1" s="994"/>
      <c r="AC1" s="994"/>
      <c r="AD1" s="994"/>
      <c r="AE1" s="994"/>
      <c r="AF1" s="994"/>
      <c r="AG1" s="994"/>
      <c r="AH1" s="994"/>
      <c r="AI1" s="994"/>
      <c r="AJ1" s="994"/>
      <c r="AK1" s="994"/>
      <c r="AL1" s="994"/>
      <c r="AM1" s="994"/>
      <c r="AN1" s="994"/>
      <c r="AO1" s="994"/>
      <c r="AP1" s="994"/>
      <c r="AQ1" s="994"/>
      <c r="AR1" s="994"/>
      <c r="AS1" s="994"/>
      <c r="AT1" s="994"/>
      <c r="AU1" s="994"/>
      <c r="AV1" s="994"/>
      <c r="AW1" s="994"/>
      <c r="AX1" s="994"/>
      <c r="AY1" s="994"/>
      <c r="AZ1" s="994"/>
      <c r="BA1" s="994"/>
      <c r="BB1" s="994"/>
      <c r="BC1" s="994"/>
      <c r="BD1" s="995"/>
      <c r="BE1" s="996"/>
      <c r="BF1" s="996"/>
    </row>
    <row r="2" spans="1:58" ht="30" thickBot="1" x14ac:dyDescent="0.3">
      <c r="A2" s="998"/>
      <c r="B2" s="998"/>
      <c r="C2" s="998"/>
      <c r="D2" s="998"/>
      <c r="E2" s="998"/>
      <c r="F2" s="998"/>
      <c r="G2" s="998"/>
      <c r="H2" s="998"/>
      <c r="I2" s="998"/>
      <c r="J2" s="998"/>
      <c r="K2" s="998"/>
      <c r="L2" s="998"/>
      <c r="M2" s="998"/>
      <c r="N2" s="998"/>
      <c r="O2" s="998"/>
      <c r="P2" s="998"/>
      <c r="Q2" s="998"/>
      <c r="R2" s="998"/>
      <c r="S2" s="998"/>
      <c r="T2" s="998"/>
      <c r="U2" s="998"/>
      <c r="V2" s="998"/>
      <c r="W2" s="998"/>
      <c r="X2" s="998"/>
      <c r="Y2" s="998"/>
      <c r="Z2" s="998"/>
      <c r="AA2" s="998"/>
      <c r="AB2" s="998"/>
      <c r="AC2" s="998"/>
      <c r="AD2" s="998"/>
      <c r="AE2" s="998"/>
      <c r="AF2" s="998"/>
      <c r="AG2" s="998"/>
      <c r="AH2" s="998"/>
      <c r="AI2" s="998"/>
      <c r="AJ2" s="998"/>
      <c r="AK2" s="998"/>
      <c r="AL2" s="998"/>
      <c r="AM2" s="998"/>
      <c r="AN2" s="998"/>
      <c r="AO2" s="998"/>
      <c r="AP2" s="998"/>
      <c r="AQ2" s="998"/>
      <c r="AR2" s="998"/>
      <c r="AS2" s="998"/>
      <c r="AT2" s="998"/>
      <c r="AU2" s="998"/>
      <c r="AV2" s="998"/>
      <c r="AW2" s="998"/>
      <c r="AX2" s="998"/>
      <c r="AY2" s="998"/>
      <c r="AZ2" s="998"/>
      <c r="BA2" s="998"/>
      <c r="BB2" s="998"/>
      <c r="BC2" s="998"/>
      <c r="BD2" s="998"/>
      <c r="BE2" s="996"/>
      <c r="BF2" s="996"/>
    </row>
    <row r="3" spans="1:58" ht="22.5" customHeight="1" x14ac:dyDescent="0.3">
      <c r="A3" s="999"/>
      <c r="B3" s="999"/>
      <c r="C3" s="999"/>
      <c r="D3" s="1000"/>
      <c r="E3" s="996"/>
      <c r="F3" s="1001"/>
      <c r="G3" s="1001"/>
      <c r="H3" s="1001"/>
      <c r="I3" s="1002"/>
      <c r="J3" s="1003">
        <v>110982</v>
      </c>
      <c r="K3" s="1004">
        <v>113195</v>
      </c>
      <c r="L3" s="1005">
        <v>110495</v>
      </c>
      <c r="M3" s="1006">
        <v>113865</v>
      </c>
      <c r="N3" s="1007">
        <v>109936</v>
      </c>
      <c r="O3" s="1008">
        <v>109931</v>
      </c>
      <c r="P3" s="1009">
        <v>114098</v>
      </c>
      <c r="Q3" s="1002"/>
      <c r="R3" s="1001"/>
      <c r="S3" s="1001"/>
      <c r="T3" s="1001"/>
      <c r="U3" s="1001"/>
      <c r="V3" s="1001"/>
      <c r="W3" s="1001"/>
      <c r="X3" s="1001"/>
      <c r="Y3" s="1010"/>
      <c r="Z3" s="1001"/>
      <c r="AA3" s="1011"/>
      <c r="AB3" s="1001"/>
      <c r="AC3" s="1001"/>
      <c r="AD3" s="1001"/>
      <c r="AE3" s="1001"/>
      <c r="AF3" s="1010"/>
      <c r="AG3" s="1001"/>
      <c r="AH3" s="1001"/>
      <c r="AI3" s="1001"/>
      <c r="AJ3" s="1001"/>
      <c r="AK3" s="1001"/>
      <c r="AL3" s="1001"/>
      <c r="AM3" s="1001"/>
      <c r="AN3" s="1001"/>
      <c r="AO3" s="1001"/>
      <c r="AP3" s="1001"/>
      <c r="AQ3" s="1001"/>
      <c r="AR3" s="1001"/>
      <c r="AS3" s="1001"/>
      <c r="AT3" s="1012"/>
      <c r="AU3" s="1012"/>
      <c r="AV3" s="1012"/>
      <c r="AW3" s="1012"/>
      <c r="AX3" s="1012"/>
      <c r="AY3" s="1012"/>
      <c r="AZ3" s="1012"/>
      <c r="BA3" s="1012"/>
      <c r="BB3" s="1012"/>
      <c r="BC3" s="1012"/>
      <c r="BD3" s="1012"/>
      <c r="BE3" s="1013"/>
    </row>
    <row r="4" spans="1:58" ht="15.75" x14ac:dyDescent="0.25">
      <c r="A4" s="1014"/>
      <c r="B4" s="1014"/>
      <c r="C4" s="1014"/>
      <c r="D4" s="1015"/>
      <c r="E4" s="1016"/>
      <c r="F4" s="1017"/>
      <c r="H4" s="1001"/>
      <c r="I4" s="1018"/>
      <c r="J4" s="1019"/>
      <c r="K4" s="1019"/>
      <c r="L4" s="1019"/>
      <c r="M4" s="1019"/>
      <c r="N4" s="1019"/>
      <c r="O4" s="1019"/>
      <c r="P4" s="1019"/>
      <c r="Q4" s="1018"/>
      <c r="R4" s="1001"/>
      <c r="S4" s="1001"/>
      <c r="T4" s="1001"/>
      <c r="U4" s="1001"/>
      <c r="V4" s="1001"/>
      <c r="W4" s="1001"/>
      <c r="X4" s="1001"/>
      <c r="Y4" s="1010"/>
      <c r="Z4" s="1001"/>
      <c r="AA4" s="1001"/>
      <c r="AB4" s="1001"/>
      <c r="AC4" s="1001"/>
      <c r="AD4" s="1020"/>
      <c r="AE4" s="1020"/>
      <c r="AF4" s="1021"/>
      <c r="AG4" s="1020"/>
      <c r="AH4" s="1001"/>
      <c r="AI4" s="1001"/>
      <c r="AJ4" s="1001"/>
      <c r="AK4" s="1001"/>
      <c r="AL4" s="1001"/>
      <c r="AM4" s="1001"/>
      <c r="AN4" s="1001"/>
      <c r="AO4" s="1001"/>
      <c r="AP4" s="1001"/>
      <c r="AQ4" s="1001"/>
      <c r="AR4" s="1001"/>
      <c r="AS4" s="1001"/>
      <c r="AT4" s="1022"/>
      <c r="AU4" s="1022"/>
      <c r="AV4" s="1022"/>
      <c r="AW4" s="1022"/>
      <c r="AX4" s="1022"/>
      <c r="AY4" s="1022"/>
      <c r="AZ4" s="1023"/>
      <c r="BA4" s="1023"/>
      <c r="BB4" s="1023"/>
      <c r="BC4" s="1023"/>
      <c r="BD4" s="1023"/>
      <c r="BE4" s="1024"/>
    </row>
    <row r="5" spans="1:58" ht="23.25" x14ac:dyDescent="0.25">
      <c r="A5" s="1014"/>
      <c r="B5" s="1014"/>
      <c r="C5" s="1014"/>
      <c r="D5" s="1015"/>
      <c r="E5" s="1025"/>
      <c r="F5" s="1017"/>
      <c r="G5" s="1001"/>
      <c r="H5" s="1001"/>
      <c r="I5" s="1001"/>
      <c r="J5" s="1026"/>
      <c r="K5" s="1026"/>
      <c r="L5" s="1026"/>
      <c r="M5" s="1026"/>
      <c r="N5" s="1026"/>
      <c r="O5" s="1026"/>
      <c r="P5" s="1026"/>
      <c r="Q5" s="1027"/>
      <c r="R5" s="1027"/>
      <c r="S5" s="1001"/>
      <c r="T5" s="1001"/>
      <c r="U5" s="1001"/>
      <c r="V5" s="1001"/>
      <c r="W5" s="1001"/>
      <c r="X5" s="1001"/>
      <c r="Y5" s="1010"/>
      <c r="Z5" s="1001"/>
      <c r="AA5" s="1001"/>
      <c r="AB5" s="1001"/>
      <c r="AC5" s="1020"/>
      <c r="AD5" s="1020"/>
      <c r="AE5" s="1001"/>
      <c r="AF5" s="1010"/>
      <c r="AG5" s="1001"/>
      <c r="AH5" s="1028"/>
      <c r="AI5" s="996"/>
      <c r="AJ5" s="996"/>
      <c r="AK5" s="1001"/>
      <c r="AM5" s="1001"/>
      <c r="AN5" s="1001"/>
      <c r="AO5" s="1001"/>
      <c r="AP5" s="1001"/>
      <c r="AQ5" s="1001"/>
      <c r="AR5" s="1001"/>
      <c r="AS5" s="1001"/>
      <c r="AT5" s="1022"/>
      <c r="AU5" s="1022"/>
      <c r="AV5" s="1022"/>
      <c r="AW5" s="1022"/>
      <c r="AX5" s="1022"/>
      <c r="AY5" s="1022"/>
      <c r="AZ5" s="1023"/>
      <c r="BA5" s="1023"/>
      <c r="BB5" s="1023"/>
      <c r="BC5" s="1023"/>
      <c r="BD5" s="1023"/>
      <c r="BE5" s="1029"/>
    </row>
    <row r="6" spans="1:58" ht="23.25" x14ac:dyDescent="0.25">
      <c r="A6" s="1001"/>
      <c r="B6" s="1001"/>
      <c r="C6" s="1001"/>
      <c r="D6" s="1010"/>
      <c r="E6" s="1030"/>
      <c r="F6" s="1017"/>
      <c r="G6" s="1001"/>
      <c r="H6" s="1001"/>
      <c r="I6" s="1001"/>
      <c r="J6" s="1001"/>
      <c r="K6" s="1001"/>
      <c r="N6" s="1031"/>
      <c r="O6" s="1001"/>
      <c r="P6" s="1001"/>
      <c r="Q6" s="1001"/>
      <c r="R6" s="1001"/>
      <c r="S6" s="1001"/>
      <c r="T6" s="1001"/>
      <c r="U6" s="1001"/>
      <c r="V6" s="1001"/>
      <c r="W6" s="1001"/>
      <c r="X6" s="1001"/>
      <c r="Y6" s="1010"/>
      <c r="Z6" s="1001"/>
      <c r="AA6" s="1001"/>
      <c r="AB6" s="1001"/>
      <c r="AC6" s="1032"/>
      <c r="AD6" s="1001"/>
      <c r="AE6" s="1001"/>
      <c r="AF6" s="1010"/>
      <c r="AG6" s="1001"/>
      <c r="AH6" s="996"/>
      <c r="AI6" s="1033"/>
      <c r="AJ6" s="1033"/>
      <c r="AK6" s="1001"/>
      <c r="AM6" s="1001"/>
      <c r="AN6" s="1001"/>
      <c r="AO6" s="1001"/>
      <c r="AP6" s="1001"/>
      <c r="AQ6" s="1001"/>
      <c r="AR6" s="1001"/>
      <c r="AS6" s="1001"/>
      <c r="AT6" s="1022"/>
      <c r="AU6" s="1022"/>
      <c r="AV6" s="1022"/>
      <c r="AW6" s="1022"/>
      <c r="AX6" s="1022"/>
      <c r="AY6" s="1022"/>
      <c r="AZ6" s="1023"/>
      <c r="BA6" s="1023"/>
      <c r="BB6" s="1023"/>
      <c r="BC6" s="1023"/>
      <c r="BD6" s="1023"/>
      <c r="BE6" s="1034"/>
    </row>
    <row r="7" spans="1:58" ht="23.25" x14ac:dyDescent="0.25">
      <c r="A7" s="1001"/>
      <c r="B7" s="1001"/>
      <c r="C7" s="1001"/>
      <c r="D7" s="1010"/>
      <c r="E7" s="1035"/>
      <c r="F7" s="1017"/>
      <c r="G7" s="1001"/>
      <c r="H7" s="1001"/>
      <c r="I7" s="1001"/>
      <c r="J7" s="1001"/>
      <c r="K7" s="1001"/>
      <c r="M7" s="1001"/>
      <c r="N7" s="1031"/>
      <c r="O7" s="1036"/>
      <c r="P7" s="1031"/>
      <c r="Q7" s="1031"/>
      <c r="R7" s="1031"/>
      <c r="S7" s="1031"/>
      <c r="T7" s="1037"/>
      <c r="U7" s="1001"/>
      <c r="V7" s="1037"/>
      <c r="W7" s="1001"/>
      <c r="X7" s="1001"/>
      <c r="Y7" s="1010"/>
      <c r="Z7" s="1001"/>
      <c r="AA7" s="1001"/>
      <c r="AB7" s="1001"/>
      <c r="AC7" s="1038"/>
      <c r="AD7" s="1001"/>
      <c r="AE7" s="1001"/>
      <c r="AF7" s="1010"/>
      <c r="AG7" s="1001"/>
      <c r="AH7" s="1033"/>
      <c r="AI7" s="996"/>
      <c r="AJ7" s="1033"/>
      <c r="AK7" s="1001"/>
      <c r="AM7" s="1001"/>
      <c r="AN7" s="1001"/>
      <c r="AO7" s="1001"/>
      <c r="AP7" s="1001"/>
      <c r="AQ7" s="1001"/>
      <c r="AR7" s="1001"/>
      <c r="AS7" s="1001"/>
      <c r="AT7" s="1022"/>
      <c r="AU7" s="1022"/>
      <c r="AV7" s="1022"/>
      <c r="AW7" s="1022"/>
      <c r="AX7" s="1022"/>
      <c r="AY7" s="1022"/>
      <c r="AZ7" s="1023"/>
      <c r="BA7" s="1023"/>
      <c r="BB7" s="1023"/>
      <c r="BC7" s="1023"/>
      <c r="BD7" s="1023"/>
      <c r="BE7" s="1029"/>
    </row>
    <row r="8" spans="1:58" ht="23.25" x14ac:dyDescent="0.25">
      <c r="A8" s="1001"/>
      <c r="B8" s="1001"/>
      <c r="C8" s="1001"/>
      <c r="D8" s="1010"/>
      <c r="E8" s="1039"/>
      <c r="F8" s="1017"/>
      <c r="G8" s="1001"/>
      <c r="H8" s="1001"/>
      <c r="I8" s="1001"/>
      <c r="J8" s="1001"/>
      <c r="K8" s="1001"/>
      <c r="L8" s="1001"/>
      <c r="M8" s="1001"/>
      <c r="P8" s="1031"/>
      <c r="Q8" s="1031"/>
      <c r="R8" s="1027"/>
      <c r="S8" s="1001"/>
      <c r="T8" s="1037"/>
      <c r="U8" s="1001"/>
      <c r="V8" s="1037"/>
      <c r="W8" s="1001"/>
      <c r="X8" s="1001"/>
      <c r="Y8" s="1010"/>
      <c r="Z8" s="1001"/>
      <c r="AA8" s="1001"/>
      <c r="AB8" s="1001"/>
      <c r="AC8" s="1038"/>
      <c r="AD8" s="1001"/>
      <c r="AE8" s="1001"/>
      <c r="AF8" s="1010"/>
      <c r="AG8" s="1001"/>
      <c r="AH8" s="1033"/>
      <c r="AI8" s="996"/>
      <c r="AJ8" s="1033"/>
      <c r="AK8" s="1001"/>
      <c r="AM8" s="1001"/>
      <c r="AN8" s="1001"/>
      <c r="AO8" s="1001"/>
      <c r="AP8" s="1001"/>
      <c r="AQ8" s="1001"/>
      <c r="AR8" s="1001"/>
      <c r="AS8" s="1001"/>
      <c r="AT8" s="1022"/>
      <c r="AU8" s="1022"/>
      <c r="AV8" s="1022"/>
      <c r="AW8" s="1022"/>
      <c r="AX8" s="1022"/>
      <c r="AY8" s="1022"/>
      <c r="AZ8" s="1023"/>
      <c r="BA8" s="1023"/>
      <c r="BB8" s="1023"/>
      <c r="BC8" s="1023"/>
      <c r="BD8" s="1023"/>
      <c r="BE8" s="1040"/>
    </row>
    <row r="9" spans="1:58" ht="23.25" x14ac:dyDescent="0.25">
      <c r="A9" s="1001"/>
      <c r="B9" s="1001"/>
      <c r="C9" s="1001"/>
      <c r="D9" s="1010"/>
      <c r="E9" s="1039"/>
      <c r="F9" s="1041"/>
      <c r="G9" s="1001"/>
      <c r="H9" s="1001"/>
      <c r="I9" s="1001"/>
      <c r="J9" s="1001"/>
      <c r="M9" s="1001"/>
      <c r="Q9" s="1042"/>
      <c r="R9" s="1017"/>
      <c r="S9" s="1017"/>
      <c r="T9" s="1043"/>
      <c r="U9" s="1017"/>
      <c r="V9" s="1043"/>
      <c r="W9" s="1001"/>
      <c r="X9" s="1001"/>
      <c r="Y9" s="1010"/>
      <c r="Z9" s="1001"/>
      <c r="AA9" s="1001"/>
      <c r="AB9" s="1001"/>
      <c r="AC9" s="1032"/>
      <c r="AD9" s="1001"/>
      <c r="AE9" s="1001"/>
      <c r="AF9" s="1010"/>
      <c r="AG9" s="1001"/>
      <c r="AH9" s="1044"/>
      <c r="AI9" s="1033"/>
      <c r="AJ9" s="1033"/>
      <c r="AK9" s="1001"/>
      <c r="AM9" s="1001"/>
      <c r="AN9" s="1001"/>
      <c r="AO9" s="1001"/>
      <c r="AP9" s="1001"/>
      <c r="AQ9" s="1001"/>
      <c r="AR9" s="1001"/>
      <c r="AS9" s="1001"/>
      <c r="AT9" s="1022"/>
      <c r="AU9" s="1022"/>
      <c r="AV9" s="1022"/>
      <c r="AW9" s="1022"/>
      <c r="AX9" s="1022"/>
      <c r="AY9" s="1022"/>
      <c r="AZ9" s="1023"/>
      <c r="BA9" s="1023"/>
      <c r="BB9" s="1023"/>
      <c r="BC9" s="1023"/>
      <c r="BD9" s="1023"/>
      <c r="BE9" s="1045"/>
    </row>
    <row r="10" spans="1:58" ht="23.25" x14ac:dyDescent="0.25">
      <c r="A10" s="1001"/>
      <c r="B10" s="1001"/>
      <c r="C10" s="1001"/>
      <c r="D10" s="1010"/>
      <c r="E10" s="1046"/>
      <c r="F10" s="1047"/>
      <c r="G10" s="1001"/>
      <c r="H10" s="1017"/>
      <c r="I10" s="1017"/>
      <c r="J10" s="1017"/>
      <c r="K10" s="1042"/>
      <c r="L10" s="1042"/>
      <c r="M10" s="1017"/>
      <c r="N10" s="1048"/>
      <c r="O10" s="1049"/>
      <c r="P10" s="1042"/>
      <c r="Q10" s="1042"/>
      <c r="R10" s="1050"/>
      <c r="S10" s="1050"/>
      <c r="T10" s="1017"/>
      <c r="U10" s="1017"/>
      <c r="V10" s="1017"/>
      <c r="W10" s="1001"/>
      <c r="X10" s="1001"/>
      <c r="Y10" s="1010"/>
      <c r="Z10" s="1001"/>
      <c r="AA10" s="1051"/>
      <c r="AB10" s="1051"/>
      <c r="AC10" s="1023"/>
      <c r="AD10" s="1001"/>
      <c r="AE10" s="1051"/>
      <c r="AF10" s="1052"/>
      <c r="AG10" s="1001"/>
      <c r="AH10" s="1044"/>
      <c r="AI10" s="1033"/>
      <c r="AJ10" s="1033"/>
      <c r="AK10" s="1051"/>
      <c r="AM10" s="1001"/>
      <c r="AN10" s="1001"/>
      <c r="AO10" s="1001"/>
      <c r="AP10" s="1001"/>
      <c r="AQ10" s="1001"/>
      <c r="AR10" s="1001"/>
      <c r="AS10" s="1001"/>
      <c r="AT10" s="1001"/>
      <c r="AU10" s="1001"/>
      <c r="AV10" s="1001"/>
      <c r="AW10" s="1001"/>
      <c r="AX10" s="1001"/>
      <c r="AY10" s="1001"/>
      <c r="AZ10" s="1001"/>
      <c r="BA10" s="1001"/>
      <c r="BB10" s="1001"/>
      <c r="BC10" s="1001"/>
      <c r="BD10" s="1001"/>
      <c r="BE10" s="1024"/>
    </row>
    <row r="11" spans="1:58" ht="23.25" x14ac:dyDescent="0.25">
      <c r="A11" s="1001"/>
      <c r="B11" s="1001"/>
      <c r="C11" s="1001"/>
      <c r="D11" s="1010"/>
      <c r="E11" s="1046"/>
      <c r="F11" s="1047"/>
      <c r="G11" s="1001"/>
      <c r="H11" s="1017"/>
      <c r="I11" s="1017"/>
      <c r="J11" s="1017"/>
      <c r="K11" s="1017"/>
      <c r="L11" s="1017"/>
      <c r="M11" s="1017"/>
      <c r="N11" s="1042"/>
      <c r="O11" s="1049"/>
      <c r="P11" s="1050"/>
      <c r="Q11" s="1050"/>
      <c r="R11" s="1047"/>
      <c r="S11" s="1047"/>
      <c r="T11" s="1017"/>
      <c r="U11" s="1017"/>
      <c r="V11" s="1017"/>
      <c r="W11" s="1001"/>
      <c r="X11" s="1001"/>
      <c r="Y11" s="1010"/>
      <c r="Z11" s="1001"/>
      <c r="AA11" s="1023"/>
      <c r="AB11" s="1023"/>
      <c r="AC11" s="1011"/>
      <c r="AD11" s="1001"/>
      <c r="AE11" s="1051"/>
      <c r="AF11" s="1052"/>
      <c r="AG11" s="1001"/>
      <c r="AH11" s="1033"/>
      <c r="AI11" s="1033"/>
      <c r="AJ11" s="1033"/>
      <c r="AK11" s="1051"/>
      <c r="AM11" s="1001"/>
      <c r="AN11" s="1001"/>
      <c r="AO11" s="1001"/>
      <c r="AP11" s="1001"/>
      <c r="AQ11" s="1001"/>
      <c r="AR11" s="1001"/>
      <c r="AS11" s="1001"/>
      <c r="AT11" s="1001"/>
      <c r="AU11" s="1001"/>
      <c r="AV11" s="1001"/>
      <c r="AW11" s="1001"/>
      <c r="AX11" s="1001"/>
      <c r="AY11" s="1001"/>
      <c r="AZ11" s="1001"/>
      <c r="BA11" s="1001"/>
      <c r="BB11" s="1001"/>
      <c r="BC11" s="1001"/>
      <c r="BD11" s="1001"/>
      <c r="BE11" s="1034"/>
    </row>
    <row r="12" spans="1:58" ht="24" thickBot="1" x14ac:dyDescent="0.3">
      <c r="A12" s="1001"/>
      <c r="B12" s="1001"/>
      <c r="C12" s="1001"/>
      <c r="D12" s="1010"/>
      <c r="E12" s="1053"/>
      <c r="F12" s="1054"/>
      <c r="G12" s="1055"/>
      <c r="H12" s="1056"/>
      <c r="I12" s="1056"/>
      <c r="J12" s="1057"/>
      <c r="K12" s="1057"/>
      <c r="L12" s="1057"/>
      <c r="M12" s="1058"/>
      <c r="N12" s="1057"/>
      <c r="O12" s="1042"/>
      <c r="P12" s="1042"/>
      <c r="Q12" s="1046"/>
      <c r="R12" s="1046"/>
      <c r="S12" s="1046"/>
      <c r="T12" s="1046"/>
      <c r="U12" s="1046"/>
      <c r="V12" s="1059"/>
      <c r="W12" s="1060"/>
      <c r="X12" s="1060"/>
      <c r="Y12" s="1010"/>
      <c r="Z12" s="1001"/>
      <c r="AA12" s="1061"/>
      <c r="AB12" s="1001"/>
      <c r="AC12" s="1001"/>
      <c r="AD12" s="1001"/>
      <c r="AE12" s="1001"/>
      <c r="AF12" s="1010"/>
      <c r="AG12" s="1001"/>
      <c r="AH12" s="1033"/>
      <c r="AI12" s="1033"/>
      <c r="AJ12" s="1033"/>
      <c r="AK12" s="1001"/>
      <c r="AM12" s="1001"/>
      <c r="AN12" s="1001"/>
      <c r="AO12" s="1001"/>
      <c r="AP12" s="1001"/>
      <c r="AQ12" s="1001"/>
      <c r="AR12" s="1001"/>
      <c r="AS12" s="1001"/>
      <c r="AT12" s="1001"/>
      <c r="AU12" s="1001"/>
      <c r="AV12" s="1001"/>
      <c r="AW12" s="1001"/>
      <c r="AX12" s="1001"/>
      <c r="AY12" s="1001"/>
      <c r="AZ12" s="1001"/>
      <c r="BA12" s="1001"/>
      <c r="BB12" s="1001"/>
      <c r="BC12" s="1001"/>
      <c r="BD12" s="1001"/>
      <c r="BE12" s="1024"/>
    </row>
    <row r="13" spans="1:58" ht="23.25" x14ac:dyDescent="0.25">
      <c r="A13" s="1001"/>
      <c r="B13" s="1001"/>
      <c r="C13" s="1001"/>
      <c r="D13" s="1010"/>
      <c r="E13" s="1001"/>
      <c r="F13" s="1038"/>
      <c r="G13" s="1038"/>
      <c r="H13" s="1041"/>
      <c r="I13" s="1041"/>
      <c r="J13" s="1025"/>
      <c r="K13" s="1025"/>
      <c r="L13" s="1025"/>
      <c r="M13" s="1025"/>
      <c r="N13" s="1047"/>
      <c r="O13" s="1062"/>
      <c r="P13" s="1063"/>
      <c r="Q13" s="1064"/>
      <c r="R13" s="1025"/>
      <c r="S13" s="1025"/>
      <c r="T13" s="1025"/>
      <c r="U13" s="1025"/>
      <c r="V13" s="1017"/>
      <c r="W13" s="1001"/>
      <c r="X13" s="1001"/>
      <c r="Y13" s="1065"/>
      <c r="Z13" s="1001"/>
      <c r="AA13" s="1061"/>
      <c r="AB13" s="1001"/>
      <c r="AC13" s="1001"/>
      <c r="AD13" s="1001"/>
      <c r="AE13" s="1001"/>
      <c r="AF13" s="1010"/>
      <c r="AG13" s="1001"/>
      <c r="AH13" s="1033"/>
      <c r="AI13" s="1033"/>
      <c r="AJ13" s="1033"/>
      <c r="AK13" s="1001"/>
      <c r="AM13" s="1001"/>
      <c r="AN13" s="1001"/>
      <c r="AO13" s="1001"/>
      <c r="AP13" s="1001"/>
      <c r="AQ13" s="1001"/>
      <c r="AR13" s="1001"/>
      <c r="AS13" s="1001"/>
      <c r="AT13" s="1001"/>
      <c r="AU13" s="1001"/>
      <c r="AV13" s="1001"/>
      <c r="AW13" s="1001"/>
      <c r="AX13" s="1001"/>
      <c r="AY13" s="1001"/>
      <c r="AZ13" s="1001"/>
      <c r="BA13" s="1001"/>
      <c r="BB13" s="1001"/>
      <c r="BC13" s="1001"/>
      <c r="BD13" s="1001"/>
      <c r="BE13" s="1024"/>
    </row>
    <row r="14" spans="1:58" ht="16.5" thickBot="1" x14ac:dyDescent="0.3">
      <c r="A14" s="1001"/>
      <c r="B14" s="1001"/>
      <c r="C14" s="1001"/>
      <c r="D14" s="1052"/>
      <c r="E14" s="1042"/>
      <c r="F14" s="1041"/>
      <c r="G14" s="1066"/>
      <c r="H14" s="1042"/>
      <c r="I14" s="1042"/>
      <c r="J14" s="1042"/>
      <c r="K14" s="1042"/>
      <c r="L14" s="1042"/>
      <c r="M14" s="1042"/>
      <c r="N14" s="1047"/>
      <c r="O14" s="1067"/>
      <c r="P14" s="1068"/>
      <c r="Q14" s="1017"/>
      <c r="R14" s="1017"/>
      <c r="S14" s="1048"/>
      <c r="T14" s="1017"/>
      <c r="U14" s="1017"/>
      <c r="V14" s="1017"/>
      <c r="W14" s="1001"/>
      <c r="X14" s="1001"/>
      <c r="Y14" s="1069"/>
      <c r="Z14" s="1001"/>
      <c r="AA14" s="1061"/>
      <c r="AB14" s="1001"/>
      <c r="AC14" s="1001"/>
      <c r="AD14" s="1001"/>
      <c r="AE14" s="1001"/>
      <c r="AF14" s="1010"/>
      <c r="AG14" s="1001"/>
      <c r="AH14" s="1001"/>
      <c r="AI14" s="1001"/>
      <c r="AJ14" s="996"/>
      <c r="AK14" s="1001"/>
      <c r="AM14" s="1001"/>
      <c r="AN14" s="1001"/>
      <c r="AO14" s="1001"/>
      <c r="AP14" s="1001"/>
      <c r="AR14" s="1001"/>
      <c r="AS14" s="1001"/>
      <c r="AT14" s="1001"/>
      <c r="AU14" s="1001"/>
      <c r="AV14" s="1001"/>
      <c r="AW14" s="1001"/>
      <c r="AX14" s="1001"/>
      <c r="AY14" s="1001"/>
      <c r="AZ14" s="1001"/>
      <c r="BA14" s="1001"/>
      <c r="BB14" s="1001"/>
      <c r="BC14" s="1001"/>
      <c r="BD14" s="1001"/>
      <c r="BE14" s="1029"/>
    </row>
    <row r="15" spans="1:58" ht="15.75" x14ac:dyDescent="0.25">
      <c r="A15" s="1001"/>
      <c r="B15" s="1001"/>
      <c r="C15" s="1001"/>
      <c r="D15" s="1052"/>
      <c r="E15" s="1070"/>
      <c r="F15" s="1042"/>
      <c r="G15" s="1066"/>
      <c r="H15" s="1071"/>
      <c r="I15" s="1042"/>
      <c r="J15" s="1042"/>
      <c r="K15" s="1042"/>
      <c r="L15" s="1042"/>
      <c r="M15" s="1071"/>
      <c r="N15" s="1017"/>
      <c r="O15" s="1072"/>
      <c r="P15" s="1001"/>
      <c r="Q15" s="1017"/>
      <c r="R15" s="1017"/>
      <c r="S15" s="1017"/>
      <c r="T15" s="1017"/>
      <c r="U15" s="1017"/>
      <c r="V15" s="1017"/>
      <c r="W15" s="1001"/>
      <c r="X15" s="1001"/>
      <c r="Y15" s="1069"/>
      <c r="Z15" s="1001"/>
      <c r="AA15" s="1061"/>
      <c r="AB15" s="1001"/>
      <c r="AC15" s="1001"/>
      <c r="AD15" s="996"/>
      <c r="AE15" s="1001"/>
      <c r="AF15" s="1010"/>
      <c r="AG15" s="1001"/>
      <c r="AH15" s="1001"/>
      <c r="AI15" s="1001"/>
      <c r="AJ15" s="1001"/>
      <c r="AK15" s="1001"/>
      <c r="AM15" s="1001"/>
      <c r="AN15" s="1001"/>
      <c r="AO15" s="1001"/>
      <c r="AP15" s="1001"/>
      <c r="AR15" s="1001"/>
      <c r="AS15" s="1001"/>
      <c r="AT15" s="1001"/>
      <c r="AU15" s="1001"/>
      <c r="AV15" s="1001"/>
      <c r="AW15" s="1001"/>
      <c r="AX15" s="1001"/>
      <c r="AY15" s="1001"/>
      <c r="AZ15" s="1001"/>
      <c r="BA15" s="1001"/>
      <c r="BB15" s="1001"/>
      <c r="BC15" s="1001"/>
      <c r="BD15" s="1001"/>
      <c r="BE15" s="1029"/>
    </row>
    <row r="16" spans="1:58" ht="15.75" x14ac:dyDescent="0.25">
      <c r="A16" s="1001"/>
      <c r="B16" s="1001"/>
      <c r="C16" s="1001"/>
      <c r="D16" s="1052"/>
      <c r="E16" s="1070"/>
      <c r="F16" s="1042"/>
      <c r="G16" s="1066"/>
      <c r="H16" s="1071"/>
      <c r="I16" s="1017"/>
      <c r="J16" s="1030"/>
      <c r="K16" s="1030"/>
      <c r="L16" s="1073"/>
      <c r="M16" s="1030"/>
      <c r="N16" s="1042"/>
      <c r="O16" s="1001"/>
      <c r="Q16" s="1064"/>
      <c r="R16" s="1064"/>
      <c r="S16" s="1017"/>
      <c r="T16" s="1017"/>
      <c r="U16" s="1017"/>
      <c r="V16" s="1017"/>
      <c r="W16" s="1001"/>
      <c r="X16" s="1001"/>
      <c r="Y16" s="1069"/>
      <c r="Z16" s="1001"/>
      <c r="AA16" s="1061"/>
      <c r="AB16" s="1001"/>
      <c r="AC16" s="1001"/>
      <c r="AD16" s="996"/>
      <c r="AE16" s="1001"/>
      <c r="AF16" s="1010"/>
      <c r="AG16" s="1001"/>
      <c r="AH16" s="1001"/>
      <c r="AI16" s="1001"/>
      <c r="AJ16" s="1001"/>
      <c r="AK16" s="1001"/>
      <c r="AM16" s="1001"/>
      <c r="AN16" s="1001"/>
      <c r="AO16" s="1001"/>
      <c r="AP16" s="1001"/>
      <c r="AQ16" s="1001"/>
      <c r="AR16" s="1001"/>
      <c r="AS16" s="1001"/>
      <c r="AT16" s="1001"/>
      <c r="AU16" s="1001"/>
      <c r="AV16" s="1001"/>
      <c r="AW16" s="1001"/>
      <c r="AX16" s="1001"/>
      <c r="AY16" s="1001"/>
      <c r="AZ16" s="1001"/>
      <c r="BA16" s="1001"/>
      <c r="BB16" s="1001"/>
      <c r="BC16" s="1001"/>
      <c r="BD16" s="1001"/>
      <c r="BE16" s="1024"/>
    </row>
    <row r="17" spans="1:57" ht="15.75" x14ac:dyDescent="0.25">
      <c r="A17" s="1001"/>
      <c r="B17" s="1001"/>
      <c r="C17" s="1001"/>
      <c r="D17" s="1052"/>
      <c r="E17" s="1070"/>
      <c r="F17" s="1042"/>
      <c r="G17" s="1066"/>
      <c r="H17" s="1072"/>
      <c r="I17" s="1017"/>
      <c r="J17" s="1074"/>
      <c r="K17" s="1074"/>
      <c r="L17" s="1075"/>
      <c r="M17" s="1076"/>
      <c r="N17" s="1042"/>
      <c r="O17" s="1001"/>
      <c r="Q17" s="1075"/>
      <c r="R17" s="1075"/>
      <c r="S17" s="1017"/>
      <c r="T17" s="1017"/>
      <c r="U17" s="1017"/>
      <c r="V17" s="1017"/>
      <c r="W17" s="1001"/>
      <c r="X17" s="1001"/>
      <c r="Y17" s="1069"/>
      <c r="Z17" s="1001"/>
      <c r="AA17" s="1061"/>
      <c r="AB17" s="1001"/>
      <c r="AC17" s="1001"/>
      <c r="AD17" s="996"/>
      <c r="AE17" s="1001"/>
      <c r="AF17" s="1010"/>
      <c r="AG17" s="1001"/>
      <c r="AH17" s="1001"/>
      <c r="AI17" s="1001"/>
      <c r="AJ17" s="1001"/>
      <c r="AK17" s="1001"/>
      <c r="AL17" s="1001"/>
      <c r="AM17" s="1001"/>
      <c r="AN17" s="1001"/>
      <c r="AO17" s="1001"/>
      <c r="AP17" s="1001"/>
      <c r="AQ17" s="1001"/>
      <c r="AR17" s="1001"/>
      <c r="AS17" s="1001"/>
      <c r="AT17" s="1001"/>
      <c r="AU17" s="1001"/>
      <c r="AV17" s="1001"/>
      <c r="AW17" s="1001"/>
      <c r="AX17" s="1001"/>
      <c r="AY17" s="1001"/>
      <c r="AZ17" s="1001"/>
      <c r="BA17" s="1001"/>
      <c r="BB17" s="1001"/>
      <c r="BC17" s="1001"/>
      <c r="BD17" s="1001"/>
      <c r="BE17" s="1024"/>
    </row>
    <row r="18" spans="1:57" ht="15.75" x14ac:dyDescent="0.25">
      <c r="A18" s="1001"/>
      <c r="B18" s="1001"/>
      <c r="C18" s="1001"/>
      <c r="D18" s="1052"/>
      <c r="E18" s="1070"/>
      <c r="F18" s="1042"/>
      <c r="G18" s="1066"/>
      <c r="I18" s="1001"/>
      <c r="K18" s="1001"/>
      <c r="L18" s="1072"/>
      <c r="M18" s="1077"/>
      <c r="N18" s="1077"/>
      <c r="O18" s="1077"/>
      <c r="P18" s="1077"/>
      <c r="Q18" s="1078"/>
      <c r="R18" s="1078"/>
      <c r="S18" s="1078"/>
      <c r="T18" s="1001"/>
      <c r="U18" s="1001"/>
      <c r="V18" s="1001"/>
      <c r="W18" s="1001"/>
      <c r="X18" s="1001"/>
      <c r="Y18" s="1069"/>
      <c r="Z18" s="1051"/>
      <c r="AA18" s="1061"/>
      <c r="AB18" s="1001"/>
      <c r="AC18" s="1079"/>
      <c r="AD18" s="1001"/>
      <c r="AE18" s="1001"/>
      <c r="AF18" s="1010"/>
      <c r="AG18" s="1001"/>
      <c r="AH18" s="1001"/>
      <c r="AI18" s="1001"/>
      <c r="AJ18" s="1001"/>
      <c r="AK18" s="1001"/>
      <c r="AL18" s="1001"/>
      <c r="AM18" s="1001"/>
      <c r="AN18" s="1001"/>
      <c r="AO18" s="1001"/>
      <c r="AP18" s="1001"/>
      <c r="AQ18" s="1001"/>
      <c r="AR18" s="1001"/>
      <c r="AS18" s="1001"/>
      <c r="AT18" s="1001"/>
      <c r="AU18" s="1001"/>
      <c r="AV18" s="1001"/>
      <c r="AW18" s="1001"/>
      <c r="AX18" s="1001"/>
      <c r="AY18" s="1001"/>
      <c r="AZ18" s="1001"/>
      <c r="BA18" s="1001"/>
      <c r="BB18" s="1001"/>
      <c r="BC18" s="1001"/>
      <c r="BD18" s="1001"/>
      <c r="BE18" s="1024"/>
    </row>
    <row r="19" spans="1:57" ht="18.75" x14ac:dyDescent="0.3">
      <c r="A19" s="1020"/>
      <c r="B19" s="1020"/>
      <c r="C19" s="1020"/>
      <c r="D19" s="1021"/>
      <c r="E19" s="1070"/>
      <c r="F19" s="1042"/>
      <c r="G19" s="1042"/>
      <c r="H19" s="1080"/>
      <c r="I19" s="1080"/>
      <c r="J19" s="1080"/>
      <c r="K19" s="1080"/>
      <c r="L19" s="1080"/>
      <c r="M19" s="1081"/>
      <c r="N19" s="1081"/>
      <c r="O19" s="1081"/>
      <c r="Q19" s="1081"/>
      <c r="R19" s="1081"/>
      <c r="S19" s="1081"/>
      <c r="T19" s="1001"/>
      <c r="U19" s="1001"/>
      <c r="V19" s="1001"/>
      <c r="W19" s="1001"/>
      <c r="X19" s="1001"/>
      <c r="Y19" s="1069"/>
      <c r="Z19" s="1051"/>
      <c r="AA19" s="1061"/>
      <c r="AB19" s="1001"/>
      <c r="AC19" s="1001"/>
      <c r="AD19" s="1001"/>
      <c r="AE19" s="1001"/>
      <c r="AF19" s="1010"/>
      <c r="AG19" s="1001"/>
      <c r="AH19" s="1001"/>
      <c r="AI19" s="1001"/>
      <c r="AJ19" s="1001"/>
      <c r="AK19" s="1001"/>
      <c r="AL19" s="1001"/>
      <c r="AM19" s="1001"/>
      <c r="AN19" s="1001"/>
      <c r="AO19" s="1001"/>
      <c r="AP19" s="1001"/>
      <c r="AQ19" s="1001"/>
      <c r="AR19" s="1001"/>
      <c r="AS19" s="1001"/>
      <c r="AT19" s="1001"/>
      <c r="AU19" s="1001"/>
      <c r="AV19" s="1001"/>
      <c r="AW19" s="1001"/>
      <c r="AX19" s="1001"/>
      <c r="AY19" s="1001"/>
      <c r="AZ19" s="1001"/>
      <c r="BA19" s="1001"/>
      <c r="BB19" s="1001"/>
      <c r="BC19" s="1001"/>
      <c r="BD19" s="1001"/>
      <c r="BE19" s="1024"/>
    </row>
    <row r="20" spans="1:57" ht="20.25" x14ac:dyDescent="0.25">
      <c r="A20" s="1020"/>
      <c r="B20" s="1020"/>
      <c r="C20" s="1020"/>
      <c r="D20" s="1082"/>
      <c r="E20" s="1070"/>
      <c r="F20" s="1042"/>
      <c r="G20" s="1042"/>
      <c r="H20" s="1026"/>
      <c r="I20" s="1026"/>
      <c r="J20" s="1026"/>
      <c r="K20" s="1026"/>
      <c r="M20" s="1083"/>
      <c r="O20" s="1083"/>
      <c r="P20" s="1084"/>
      <c r="Q20" s="1083"/>
      <c r="R20" s="1083"/>
      <c r="S20" s="1083"/>
      <c r="T20" s="1078"/>
      <c r="V20" s="1001"/>
      <c r="W20" s="1001"/>
      <c r="X20" s="1001"/>
      <c r="Y20" s="1069"/>
      <c r="Z20" s="1051"/>
      <c r="AA20" s="1061"/>
      <c r="AB20" s="1001"/>
      <c r="AC20" s="1001"/>
      <c r="AD20" s="1001"/>
      <c r="AE20" s="1001"/>
      <c r="AF20" s="1010"/>
      <c r="AG20" s="1001"/>
      <c r="AH20" s="1001"/>
      <c r="AI20" s="1001"/>
      <c r="AJ20" s="1001"/>
      <c r="AK20" s="1001"/>
      <c r="AL20" s="1001"/>
      <c r="AM20" s="1085"/>
      <c r="AN20" s="1001"/>
      <c r="AO20" s="1001"/>
      <c r="AP20" s="1001"/>
      <c r="AQ20" s="1001"/>
      <c r="AR20" s="1001"/>
      <c r="AS20" s="1001"/>
      <c r="AT20" s="1001"/>
      <c r="AU20" s="1001"/>
      <c r="AV20" s="1001"/>
      <c r="AW20" s="1001"/>
      <c r="AX20" s="1001"/>
      <c r="AY20" s="1001"/>
      <c r="AZ20" s="1001"/>
      <c r="BA20" s="1001"/>
      <c r="BB20" s="1001"/>
      <c r="BC20" s="1001"/>
      <c r="BD20" s="1001"/>
      <c r="BE20" s="1024"/>
    </row>
    <row r="21" spans="1:57" ht="20.25" x14ac:dyDescent="0.25">
      <c r="A21" s="1020"/>
      <c r="B21" s="1020"/>
      <c r="C21" s="1020"/>
      <c r="D21" s="1021"/>
      <c r="E21" s="1042"/>
      <c r="F21" s="1042"/>
      <c r="G21" s="1042"/>
      <c r="H21" s="1018"/>
      <c r="I21" s="1086"/>
      <c r="J21" s="1086"/>
      <c r="K21" s="1086"/>
      <c r="L21" s="1083"/>
      <c r="M21" s="1086"/>
      <c r="N21" s="1083"/>
      <c r="O21" s="1086"/>
      <c r="P21" s="1087"/>
      <c r="Q21" s="1086"/>
      <c r="R21" s="1088"/>
      <c r="S21" s="1086"/>
      <c r="T21" s="1018"/>
      <c r="U21" s="1078"/>
      <c r="V21" s="1001"/>
      <c r="W21" s="1001"/>
      <c r="X21" s="1001"/>
      <c r="Y21" s="1069"/>
      <c r="Z21" s="1051"/>
      <c r="AA21" s="1061"/>
      <c r="AB21" s="1001"/>
      <c r="AC21" s="1001"/>
      <c r="AD21" s="1001"/>
      <c r="AE21" s="1001"/>
      <c r="AF21" s="1010"/>
      <c r="AG21" s="1089"/>
      <c r="AH21" s="1001"/>
      <c r="AI21" s="1001"/>
      <c r="AJ21" s="1001"/>
      <c r="AK21" s="1001"/>
      <c r="AL21" s="1001"/>
      <c r="AM21" s="1085"/>
      <c r="AN21" s="1001"/>
      <c r="AO21" s="1001"/>
      <c r="AP21" s="1001"/>
      <c r="AQ21" s="1001"/>
      <c r="AR21" s="1001"/>
      <c r="AS21" s="1001"/>
      <c r="AT21" s="1001"/>
      <c r="AU21" s="1001"/>
      <c r="AV21" s="1001"/>
      <c r="AW21" s="1001"/>
      <c r="AX21" s="1001"/>
      <c r="AY21" s="1001"/>
      <c r="AZ21" s="1001"/>
      <c r="BA21" s="1001"/>
      <c r="BB21" s="1001"/>
      <c r="BC21" s="1001"/>
      <c r="BD21" s="1001"/>
      <c r="BE21" s="1024"/>
    </row>
    <row r="22" spans="1:57" ht="26.25" x14ac:dyDescent="0.25">
      <c r="A22" s="1020"/>
      <c r="B22" s="1020"/>
      <c r="C22" s="1020"/>
      <c r="D22" s="1021"/>
      <c r="E22" s="1090"/>
      <c r="F22" s="1090"/>
      <c r="G22" s="1042"/>
      <c r="H22" s="1091"/>
      <c r="I22" s="1092">
        <v>3322008</v>
      </c>
      <c r="J22" s="1092">
        <v>3321444</v>
      </c>
      <c r="K22" s="1003">
        <v>3321443</v>
      </c>
      <c r="L22" s="1093"/>
      <c r="M22" s="1094">
        <v>3322032</v>
      </c>
      <c r="N22" s="1093"/>
      <c r="O22" s="1094">
        <v>3322007</v>
      </c>
      <c r="P22" s="1087"/>
      <c r="Q22" s="1095">
        <v>3320243</v>
      </c>
      <c r="R22" s="1096">
        <v>3320285</v>
      </c>
      <c r="S22" s="1096">
        <v>3320225</v>
      </c>
      <c r="T22" s="1097"/>
      <c r="U22" s="1078"/>
      <c r="V22" s="1001"/>
      <c r="W22" s="1001"/>
      <c r="X22" s="1001"/>
      <c r="Y22" s="1069"/>
      <c r="Z22" s="1051"/>
      <c r="AA22" s="1061"/>
      <c r="AB22" s="1001"/>
      <c r="AC22" s="1001"/>
      <c r="AD22" s="1001"/>
      <c r="AE22" s="1001"/>
      <c r="AF22" s="1010"/>
      <c r="AG22" s="1089"/>
      <c r="AH22" s="1001"/>
      <c r="AI22" s="1001"/>
      <c r="AJ22" s="1001"/>
      <c r="AK22" s="1001"/>
      <c r="AL22" s="1001"/>
      <c r="AM22" s="1001"/>
      <c r="AN22" s="1001"/>
      <c r="AO22" s="1098"/>
      <c r="AP22" s="1001"/>
      <c r="AQ22" s="1001"/>
      <c r="AR22" s="1001"/>
      <c r="AS22" s="1001"/>
      <c r="AT22" s="1001"/>
      <c r="AU22" s="1001"/>
      <c r="AV22" s="1001"/>
      <c r="AW22" s="1001"/>
      <c r="AX22" s="1001"/>
      <c r="AY22" s="1001"/>
      <c r="AZ22" s="1001"/>
      <c r="BA22" s="1001"/>
      <c r="BB22" s="1001"/>
      <c r="BC22" s="1001"/>
      <c r="BD22" s="1001"/>
      <c r="BE22" s="1024"/>
    </row>
    <row r="23" spans="1:57" ht="24" thickBot="1" x14ac:dyDescent="0.3">
      <c r="A23" s="1020"/>
      <c r="B23" s="1020"/>
      <c r="D23" s="1021"/>
      <c r="E23" s="1070"/>
      <c r="F23" s="1099"/>
      <c r="G23" s="1042"/>
      <c r="H23" s="1091"/>
      <c r="I23" s="1100">
        <v>3322029</v>
      </c>
      <c r="J23" s="1006">
        <v>3321441</v>
      </c>
      <c r="K23" s="1003">
        <v>3321440</v>
      </c>
      <c r="L23" s="1093"/>
      <c r="M23" s="1101">
        <v>3322021</v>
      </c>
      <c r="N23" s="1093"/>
      <c r="O23" s="1101">
        <v>3322017</v>
      </c>
      <c r="P23" s="1087"/>
      <c r="Q23" s="1102">
        <v>3320276</v>
      </c>
      <c r="R23" s="1095">
        <v>3320277</v>
      </c>
      <c r="S23" s="1096">
        <v>3320281</v>
      </c>
      <c r="T23" s="1103"/>
      <c r="U23" s="1078"/>
      <c r="V23" s="1001"/>
      <c r="W23" s="1001"/>
      <c r="X23" s="1001"/>
      <c r="Y23" s="1069"/>
      <c r="Z23" s="1001"/>
      <c r="AA23" s="1001"/>
      <c r="AB23" s="1001"/>
      <c r="AC23" s="1001"/>
      <c r="AD23" s="1001"/>
      <c r="AE23" s="1001"/>
      <c r="AF23" s="1010"/>
      <c r="AG23" s="1104"/>
      <c r="AH23" s="1060"/>
      <c r="AI23" s="1060"/>
      <c r="AJ23" s="1060"/>
      <c r="AK23" s="1060"/>
      <c r="AL23" s="1060"/>
      <c r="AM23" s="1060"/>
      <c r="AN23" s="1105"/>
      <c r="AO23" s="1060"/>
      <c r="AP23" s="1060"/>
      <c r="AQ23" s="1060"/>
      <c r="AR23" s="1060"/>
      <c r="AS23" s="1060"/>
      <c r="AT23" s="1060"/>
      <c r="AU23" s="1060"/>
      <c r="AV23" s="1060"/>
      <c r="AW23" s="1060"/>
      <c r="AX23" s="1060"/>
      <c r="AY23" s="1060"/>
      <c r="AZ23" s="1060"/>
      <c r="BA23" s="1060"/>
      <c r="BB23" s="1060"/>
      <c r="BC23" s="1001"/>
      <c r="BD23" s="1001"/>
      <c r="BE23" s="1024"/>
    </row>
    <row r="24" spans="1:57" ht="24" thickBot="1" x14ac:dyDescent="0.3">
      <c r="A24" s="1020"/>
      <c r="B24" s="1020"/>
      <c r="C24" s="1020"/>
      <c r="D24" s="1021"/>
      <c r="E24" s="1070"/>
      <c r="F24" s="1099"/>
      <c r="G24" s="1042"/>
      <c r="H24" s="1106"/>
      <c r="I24" s="1086"/>
      <c r="J24" s="1086"/>
      <c r="K24" s="1086"/>
      <c r="L24" s="1083"/>
      <c r="M24" s="1086"/>
      <c r="N24" s="1083"/>
      <c r="O24" s="1086"/>
      <c r="P24" s="1083"/>
      <c r="Q24" s="1086"/>
      <c r="R24" s="1088"/>
      <c r="S24" s="1086"/>
      <c r="T24" s="1083"/>
      <c r="V24" s="1001"/>
      <c r="W24" s="1001"/>
      <c r="X24" s="1001"/>
      <c r="Y24" s="1107"/>
      <c r="Z24" s="1001"/>
      <c r="AA24" s="1001"/>
      <c r="AB24" s="1001"/>
      <c r="AC24" s="1001"/>
      <c r="AD24" s="1001"/>
      <c r="AE24" s="1001"/>
      <c r="AF24" s="1108"/>
      <c r="AG24" s="1109"/>
      <c r="AH24" s="1110"/>
      <c r="AI24" s="1110"/>
      <c r="AJ24" s="1110"/>
      <c r="AK24" s="1110"/>
      <c r="AL24" s="1111"/>
      <c r="AM24" s="1041"/>
      <c r="AN24" s="1112"/>
      <c r="AO24" s="1041"/>
      <c r="AP24" s="1112"/>
      <c r="AQ24" s="1041"/>
      <c r="AR24" s="1112"/>
      <c r="AS24" s="1041"/>
      <c r="AT24" s="1001"/>
      <c r="AU24" s="1001"/>
      <c r="AV24" s="1001"/>
      <c r="AW24" s="1001"/>
      <c r="AX24" s="1001"/>
      <c r="AY24" s="1001"/>
      <c r="AZ24" s="1001"/>
      <c r="BA24" s="1001"/>
      <c r="BB24" s="1001"/>
      <c r="BC24" s="1113"/>
      <c r="BD24" s="1113"/>
      <c r="BE24" s="1024"/>
    </row>
    <row r="25" spans="1:57" ht="23.25" x14ac:dyDescent="0.25">
      <c r="A25" s="1020"/>
      <c r="B25" s="1020"/>
      <c r="C25" s="1020"/>
      <c r="D25" s="1021"/>
      <c r="E25" s="1070"/>
      <c r="F25" s="1099"/>
      <c r="G25" s="1042"/>
      <c r="H25" s="1026"/>
      <c r="I25" s="1026"/>
      <c r="J25" s="1026"/>
      <c r="K25" s="1026"/>
      <c r="M25" s="1083"/>
      <c r="O25" s="1083"/>
      <c r="P25" s="1084"/>
      <c r="Q25" s="1083"/>
      <c r="R25" s="1083"/>
      <c r="S25" s="1083"/>
      <c r="T25" s="1078"/>
      <c r="U25" s="1001"/>
      <c r="V25" s="1001"/>
      <c r="W25" s="1001"/>
      <c r="X25" s="1001"/>
      <c r="Y25" s="1065"/>
      <c r="Z25" s="996"/>
      <c r="AA25" s="996"/>
      <c r="AB25" s="996"/>
      <c r="AC25" s="996"/>
      <c r="AD25" s="996"/>
      <c r="AE25" s="996"/>
      <c r="AF25" s="1010"/>
      <c r="AG25" s="1114"/>
      <c r="AH25" s="1115"/>
      <c r="AI25" s="1115"/>
      <c r="AJ25" s="1115"/>
      <c r="AK25" s="1115"/>
      <c r="AL25" s="1116"/>
      <c r="AM25" s="1117"/>
      <c r="AN25" s="1118"/>
      <c r="AO25" s="1117"/>
      <c r="AP25" s="1118"/>
      <c r="AQ25" s="1117"/>
      <c r="AR25" s="1118"/>
      <c r="AS25" s="1017"/>
      <c r="AT25" s="1001"/>
      <c r="AU25" s="1001"/>
      <c r="AV25" s="1001"/>
      <c r="AW25" s="1001"/>
      <c r="AX25" s="1001"/>
      <c r="AY25" s="1001"/>
      <c r="AZ25" s="1001"/>
      <c r="BA25" s="1001"/>
      <c r="BB25" s="1001"/>
      <c r="BC25" s="1001"/>
      <c r="BD25" s="1001"/>
      <c r="BE25" s="1024"/>
    </row>
    <row r="26" spans="1:57" ht="23.25" x14ac:dyDescent="0.3">
      <c r="A26" s="1020"/>
      <c r="C26" s="1119"/>
      <c r="D26" s="1021"/>
      <c r="E26" s="1070"/>
      <c r="F26" s="1099"/>
      <c r="G26" s="1042"/>
      <c r="H26" s="1120"/>
      <c r="I26" s="1120"/>
      <c r="J26" s="1120"/>
      <c r="K26" s="1121"/>
      <c r="L26" s="1121"/>
      <c r="Q26" s="1084"/>
      <c r="R26" s="1084"/>
      <c r="S26" s="1122"/>
      <c r="T26" s="1038"/>
      <c r="U26" s="1001"/>
      <c r="V26" s="1001"/>
      <c r="W26" s="1001"/>
      <c r="X26" s="1001"/>
      <c r="Y26" s="1069"/>
      <c r="Z26" s="996"/>
      <c r="AA26" s="996"/>
      <c r="AB26" s="996"/>
      <c r="AC26" s="996"/>
      <c r="AD26" s="996"/>
      <c r="AE26" s="996"/>
      <c r="AF26" s="1010"/>
      <c r="AG26" s="1114"/>
      <c r="AH26" s="1115"/>
      <c r="AI26" s="1115"/>
      <c r="AJ26" s="1115"/>
      <c r="AK26" s="1115"/>
      <c r="AL26" s="1116"/>
      <c r="AM26" s="1016"/>
      <c r="AN26" s="1117"/>
      <c r="AO26" s="1041"/>
      <c r="AP26" s="1117"/>
      <c r="AQ26" s="1016"/>
      <c r="AR26" s="1117"/>
      <c r="AS26" s="1017"/>
      <c r="AT26" s="1001"/>
      <c r="AU26" s="1001"/>
      <c r="AV26" s="1001"/>
      <c r="AW26" s="1001"/>
      <c r="AX26" s="1001"/>
      <c r="AY26" s="1001"/>
      <c r="AZ26" s="1001"/>
      <c r="BA26" s="1001"/>
      <c r="BB26" s="1001"/>
      <c r="BC26" s="996"/>
      <c r="BD26" s="1001"/>
      <c r="BE26" s="1024"/>
    </row>
    <row r="27" spans="1:57" ht="18.75" x14ac:dyDescent="0.25">
      <c r="A27" s="1020"/>
      <c r="C27" s="1119"/>
      <c r="D27" s="1021"/>
      <c r="E27" s="1070"/>
      <c r="F27" s="1042"/>
      <c r="G27" s="1042"/>
      <c r="H27" s="1042"/>
      <c r="I27" s="1047"/>
      <c r="J27" s="1042"/>
      <c r="K27" s="1042"/>
      <c r="L27" s="1047"/>
      <c r="M27" s="1047"/>
      <c r="N27" s="1061"/>
      <c r="O27" s="1061"/>
      <c r="P27" s="1061"/>
      <c r="S27" s="1061"/>
      <c r="T27" s="1038"/>
      <c r="U27" s="1001"/>
      <c r="V27" s="1001"/>
      <c r="W27" s="1001"/>
      <c r="X27" s="1001"/>
      <c r="Y27" s="1069"/>
      <c r="Z27" s="996"/>
      <c r="AA27" s="996"/>
      <c r="AB27" s="996"/>
      <c r="AC27" s="996"/>
      <c r="AD27" s="996"/>
      <c r="AE27" s="996"/>
      <c r="AF27" s="1082"/>
      <c r="AG27" s="1114"/>
      <c r="AH27" s="1115"/>
      <c r="AI27" s="1115"/>
      <c r="AJ27" s="1115"/>
      <c r="AK27" s="1115"/>
      <c r="AL27" s="1116"/>
      <c r="AM27" s="1016"/>
      <c r="AN27" s="1123"/>
      <c r="AO27" s="1123"/>
      <c r="AP27" s="1123"/>
      <c r="AQ27" s="1123"/>
      <c r="AR27" s="1123"/>
      <c r="AS27" s="1017"/>
      <c r="AT27" s="1001"/>
      <c r="AU27" s="1001"/>
      <c r="AV27" s="1001"/>
      <c r="AW27" s="1001"/>
      <c r="AX27" s="1001"/>
      <c r="AY27" s="1001"/>
      <c r="AZ27" s="1001"/>
      <c r="BA27" s="1001"/>
      <c r="BB27" s="1001"/>
      <c r="BC27" s="996"/>
      <c r="BD27" s="1001"/>
      <c r="BE27" s="1024"/>
    </row>
    <row r="28" spans="1:57" ht="24" thickBot="1" x14ac:dyDescent="0.3">
      <c r="A28" s="1020"/>
      <c r="C28" s="1119"/>
      <c r="D28" s="1021"/>
      <c r="E28" s="1070"/>
      <c r="F28" s="1042"/>
      <c r="G28" s="1042"/>
      <c r="H28" s="1042"/>
      <c r="I28" s="1124"/>
      <c r="J28" s="1124"/>
      <c r="K28" s="1124"/>
      <c r="L28" s="1124"/>
      <c r="M28" s="1125"/>
      <c r="O28" s="1042"/>
      <c r="P28" s="1099"/>
      <c r="Q28" s="1126"/>
      <c r="R28" s="1126"/>
      <c r="S28" s="1126"/>
      <c r="T28" s="1099"/>
      <c r="U28" s="1127"/>
      <c r="V28" s="1017"/>
      <c r="W28" s="1001"/>
      <c r="X28" s="1001"/>
      <c r="Y28" s="1069"/>
      <c r="Z28" s="996"/>
      <c r="AA28" s="996"/>
      <c r="AB28" s="996"/>
      <c r="AC28" s="996"/>
      <c r="AD28" s="996"/>
      <c r="AE28" s="996"/>
      <c r="AF28" s="1010"/>
      <c r="AG28" s="1128"/>
      <c r="AH28" s="1129"/>
      <c r="AI28" s="1129"/>
      <c r="AJ28" s="1129"/>
      <c r="AK28" s="1129"/>
      <c r="AL28" s="1130"/>
      <c r="AM28" s="1131"/>
      <c r="AN28" s="1016"/>
      <c r="AO28" s="1016"/>
      <c r="AP28" s="1041"/>
      <c r="AQ28" s="1066"/>
      <c r="AR28" s="1017"/>
      <c r="AS28" s="1017"/>
      <c r="AV28" s="1042"/>
      <c r="AW28" s="1042"/>
      <c r="AX28" s="1042"/>
      <c r="AY28" s="1042"/>
      <c r="AZ28" s="1017"/>
      <c r="BA28" s="1017"/>
      <c r="BB28" s="1017"/>
      <c r="BC28" s="1048"/>
      <c r="BD28" s="1017"/>
      <c r="BE28" s="1024"/>
    </row>
    <row r="29" spans="1:57" ht="15.75" x14ac:dyDescent="0.25">
      <c r="A29" s="1020"/>
      <c r="B29" s="1020"/>
      <c r="C29" s="1020"/>
      <c r="D29" s="1021"/>
      <c r="E29" s="1070"/>
      <c r="F29" s="1132"/>
      <c r="G29" s="1042"/>
      <c r="H29" s="1042"/>
      <c r="I29" s="1070"/>
      <c r="J29" s="1070"/>
      <c r="K29" s="1070"/>
      <c r="L29" s="1070"/>
      <c r="M29" s="1042"/>
      <c r="O29" s="1042"/>
      <c r="P29" s="1070"/>
      <c r="Q29" s="1070"/>
      <c r="R29" s="1070"/>
      <c r="S29" s="1070"/>
      <c r="T29" s="1070"/>
      <c r="U29" s="1133"/>
      <c r="V29" s="1017"/>
      <c r="W29" s="1001"/>
      <c r="X29" s="1001"/>
      <c r="Y29" s="1069"/>
      <c r="Z29" s="996"/>
      <c r="AA29" s="996"/>
      <c r="AB29" s="996"/>
      <c r="AC29" s="996"/>
      <c r="AD29" s="996"/>
      <c r="AE29" s="996"/>
      <c r="AF29" s="1010"/>
      <c r="AG29" s="1017"/>
      <c r="AH29" s="1017"/>
      <c r="AI29" s="1042"/>
      <c r="AJ29" s="1017"/>
      <c r="AK29" s="1017"/>
      <c r="AL29" s="1017"/>
      <c r="AM29" s="1017"/>
      <c r="AN29" s="1016"/>
      <c r="AO29" s="1016"/>
      <c r="AP29" s="1066"/>
      <c r="AQ29" s="1066"/>
      <c r="AR29" s="1134"/>
      <c r="AS29" s="1134"/>
      <c r="AV29" s="1042"/>
      <c r="AW29" s="1042"/>
      <c r="AX29" s="1042"/>
      <c r="AY29" s="1042"/>
      <c r="AZ29" s="1042"/>
      <c r="BA29" s="1042"/>
      <c r="BB29" s="1042"/>
      <c r="BC29" s="1048"/>
      <c r="BD29" s="1017"/>
      <c r="BE29" s="1024"/>
    </row>
    <row r="30" spans="1:57" ht="15.75" x14ac:dyDescent="0.25">
      <c r="A30" s="1020"/>
      <c r="B30" s="1020"/>
      <c r="C30" s="1020"/>
      <c r="D30" s="1021"/>
      <c r="E30" s="1070"/>
      <c r="F30" s="1132"/>
      <c r="G30" s="1042"/>
      <c r="H30" s="1042"/>
      <c r="I30" s="1070"/>
      <c r="J30" s="1070"/>
      <c r="K30" s="1070"/>
      <c r="L30" s="1070"/>
      <c r="M30" s="1042"/>
      <c r="O30" s="1042"/>
      <c r="P30" s="1070"/>
      <c r="Q30" s="1070"/>
      <c r="R30" s="1070"/>
      <c r="S30" s="1070"/>
      <c r="T30" s="1070"/>
      <c r="U30" s="1017"/>
      <c r="V30" s="1017"/>
      <c r="W30" s="1001"/>
      <c r="X30" s="1001"/>
      <c r="Y30" s="1069"/>
      <c r="Z30" s="1001"/>
      <c r="AA30" s="1001"/>
      <c r="AB30" s="1001"/>
      <c r="AC30" s="1001"/>
      <c r="AD30" s="1001"/>
      <c r="AE30" s="1001"/>
      <c r="AF30" s="1010"/>
      <c r="AG30" s="1017"/>
      <c r="AH30" s="1041"/>
      <c r="AI30" s="1041"/>
      <c r="AJ30" s="1041"/>
      <c r="AK30" s="1017"/>
      <c r="AL30" s="1042"/>
      <c r="AM30" s="1042"/>
      <c r="AN30" s="1017"/>
      <c r="AO30" s="1041"/>
      <c r="AP30" s="1066"/>
      <c r="AQ30" s="1047"/>
      <c r="AR30" s="1135"/>
      <c r="AS30" s="1017"/>
      <c r="AV30" s="1042"/>
      <c r="AW30" s="1123"/>
      <c r="AX30" s="1123"/>
      <c r="AY30" s="1123"/>
      <c r="AZ30" s="1123"/>
      <c r="BA30" s="1123"/>
      <c r="BB30" s="1042"/>
      <c r="BC30" s="1048"/>
      <c r="BD30" s="1017"/>
      <c r="BE30" s="1024"/>
    </row>
    <row r="31" spans="1:57" ht="26.25" x14ac:dyDescent="0.25">
      <c r="A31" s="1020"/>
      <c r="B31" s="1020"/>
      <c r="C31" s="1020"/>
      <c r="D31" s="1021"/>
      <c r="E31" s="1136"/>
      <c r="F31" s="1090"/>
      <c r="G31" s="1042"/>
      <c r="H31" s="1042"/>
      <c r="I31" s="1124"/>
      <c r="J31" s="1124"/>
      <c r="K31" s="1124"/>
      <c r="L31" s="1124"/>
      <c r="M31" s="1042"/>
      <c r="O31" s="1042"/>
      <c r="P31" s="1099"/>
      <c r="Q31" s="1126"/>
      <c r="R31" s="1126"/>
      <c r="S31" s="1126"/>
      <c r="T31" s="1099"/>
      <c r="U31" s="1048"/>
      <c r="V31" s="1048"/>
      <c r="W31" s="1001"/>
      <c r="X31" s="1001"/>
      <c r="Y31" s="1069"/>
      <c r="Z31" s="1001"/>
      <c r="AA31" s="1001"/>
      <c r="AB31" s="996"/>
      <c r="AC31" s="996"/>
      <c r="AD31" s="996"/>
      <c r="AE31" s="996"/>
      <c r="AF31" s="1082"/>
      <c r="AG31" s="1137"/>
      <c r="AH31" s="1138"/>
      <c r="AI31" s="1139"/>
      <c r="AJ31" s="1112"/>
      <c r="AK31" s="1140"/>
      <c r="AL31" s="1141"/>
      <c r="AM31" s="1137"/>
      <c r="AN31" s="1138"/>
      <c r="AQ31" s="1138"/>
      <c r="AR31" s="1141"/>
      <c r="AS31" s="1042"/>
      <c r="AV31" s="1042"/>
      <c r="AW31" s="1117"/>
      <c r="AX31" s="1042"/>
      <c r="AY31" s="1117"/>
      <c r="AZ31" s="1042"/>
      <c r="BA31" s="1117"/>
      <c r="BB31" s="1142"/>
      <c r="BC31" s="1017"/>
      <c r="BD31" s="1017"/>
      <c r="BE31" s="1024"/>
    </row>
    <row r="32" spans="1:57" ht="15.75" x14ac:dyDescent="0.25">
      <c r="A32" s="1020"/>
      <c r="B32" s="1020"/>
      <c r="C32" s="1020"/>
      <c r="D32" s="1021"/>
      <c r="E32" s="1042"/>
      <c r="F32" s="1016"/>
      <c r="G32" s="1042"/>
      <c r="H32" s="1042"/>
      <c r="I32" s="1042"/>
      <c r="J32" s="1042"/>
      <c r="K32" s="1042"/>
      <c r="L32" s="1042"/>
      <c r="M32" s="1042"/>
      <c r="O32" s="1042"/>
      <c r="P32" s="1042"/>
      <c r="Q32" s="1042"/>
      <c r="R32" s="1042"/>
      <c r="S32" s="1047"/>
      <c r="T32" s="1017"/>
      <c r="U32" s="1048"/>
      <c r="V32" s="1017"/>
      <c r="W32" s="1001"/>
      <c r="X32" s="1001"/>
      <c r="Y32" s="1069"/>
      <c r="Z32" s="1001"/>
      <c r="AA32" s="1001"/>
      <c r="AB32" s="1001"/>
      <c r="AC32" s="1001"/>
      <c r="AD32" s="1001"/>
      <c r="AE32" s="1001"/>
      <c r="AF32" s="1010"/>
      <c r="AG32" s="1143"/>
      <c r="AH32" s="1144"/>
      <c r="AI32" s="1041"/>
      <c r="AJ32" s="1041"/>
      <c r="AK32" s="1117"/>
      <c r="AL32" s="1145"/>
      <c r="AM32" s="1146"/>
      <c r="AN32" s="1144"/>
      <c r="AO32" s="1041"/>
      <c r="AP32" s="1041"/>
      <c r="AQ32" s="1117"/>
      <c r="AR32" s="1147"/>
      <c r="AS32" s="1017"/>
      <c r="AV32" s="1117"/>
      <c r="AW32" s="1118"/>
      <c r="AX32" s="1117"/>
      <c r="AY32" s="1118"/>
      <c r="AZ32" s="1117"/>
      <c r="BA32" s="1118"/>
      <c r="BB32" s="1142"/>
      <c r="BC32" s="1017"/>
      <c r="BD32" s="1017"/>
      <c r="BE32" s="1024"/>
    </row>
    <row r="33" spans="1:57" ht="18" x14ac:dyDescent="0.25">
      <c r="A33" s="1020"/>
      <c r="B33" s="1020"/>
      <c r="C33" s="1020"/>
      <c r="D33" s="1021"/>
      <c r="F33" s="1148"/>
      <c r="H33" s="1042"/>
      <c r="I33" s="1042"/>
      <c r="J33" s="1042"/>
      <c r="K33" s="1042"/>
      <c r="L33" s="1042"/>
      <c r="M33" s="1042"/>
      <c r="O33" s="1042"/>
      <c r="P33" s="1042"/>
      <c r="Q33" s="1149"/>
      <c r="R33" s="1017"/>
      <c r="S33" s="1017"/>
      <c r="T33" s="1017"/>
      <c r="U33" s="1017"/>
      <c r="V33" s="1048"/>
      <c r="W33" s="1001"/>
      <c r="X33" s="1001"/>
      <c r="Y33" s="1069"/>
      <c r="Z33" s="1001"/>
      <c r="AA33" s="1001"/>
      <c r="AB33" s="1001"/>
      <c r="AC33" s="1001"/>
      <c r="AD33" s="1001"/>
      <c r="AE33" s="1001"/>
      <c r="AF33" s="1010"/>
      <c r="AG33" s="1150"/>
      <c r="AH33" s="1144"/>
      <c r="AI33" s="1117"/>
      <c r="AJ33" s="1117"/>
      <c r="AK33" s="1042"/>
      <c r="AL33" s="1151"/>
      <c r="AM33" s="1146"/>
      <c r="AN33" s="1146"/>
      <c r="AO33" s="1146"/>
      <c r="AP33" s="1146"/>
      <c r="AQ33" s="1146"/>
      <c r="AR33" s="1146"/>
      <c r="AT33" s="1001"/>
      <c r="AU33" s="1001"/>
      <c r="AV33" s="1041"/>
      <c r="AW33" s="1112"/>
      <c r="AX33" s="1041"/>
      <c r="AY33" s="1152"/>
      <c r="AZ33" s="1041"/>
      <c r="BA33" s="1139"/>
      <c r="BB33" s="1041"/>
      <c r="BC33" s="1017"/>
      <c r="BD33" s="1153"/>
      <c r="BE33" s="1154"/>
    </row>
    <row r="34" spans="1:57" ht="20.25" x14ac:dyDescent="0.25">
      <c r="A34" s="1020"/>
      <c r="B34" s="1020"/>
      <c r="C34" s="1020"/>
      <c r="D34" s="1021"/>
      <c r="E34" s="1042"/>
      <c r="F34" s="1042"/>
      <c r="G34" s="1016"/>
      <c r="H34" s="1042"/>
      <c r="I34" s="1042"/>
      <c r="J34" s="1042"/>
      <c r="K34" s="1047"/>
      <c r="L34" s="1155"/>
      <c r="M34" s="1026"/>
      <c r="N34" s="1026"/>
      <c r="O34" s="1026"/>
      <c r="P34" s="1061"/>
      <c r="Q34" s="1156"/>
      <c r="R34" s="1042"/>
      <c r="S34" s="1042"/>
      <c r="U34" s="1001"/>
      <c r="V34" s="1001"/>
      <c r="W34" s="1001"/>
      <c r="X34" s="1001"/>
      <c r="Y34" s="1069"/>
      <c r="Z34" s="1001"/>
      <c r="AA34" s="1001"/>
      <c r="AB34" s="1001"/>
      <c r="AC34" s="1001"/>
      <c r="AD34" s="1001"/>
      <c r="AE34" s="1001"/>
      <c r="AF34" s="1010"/>
      <c r="AG34" s="1150"/>
      <c r="AH34" s="1117"/>
      <c r="AI34" s="1041"/>
      <c r="AJ34" s="1041"/>
      <c r="AK34" s="1117"/>
      <c r="AL34" s="1151"/>
      <c r="AU34" s="1001"/>
      <c r="AV34" s="1041"/>
      <c r="AW34" s="1112"/>
      <c r="AX34" s="1041"/>
      <c r="AY34" s="1157"/>
      <c r="AZ34" s="1041"/>
      <c r="BA34" s="1112"/>
      <c r="BB34" s="1041"/>
      <c r="BC34" s="1017"/>
      <c r="BD34" s="1153"/>
      <c r="BE34" s="1154"/>
    </row>
    <row r="35" spans="1:57" ht="18" x14ac:dyDescent="0.25">
      <c r="A35" s="1020"/>
      <c r="B35" s="1001"/>
      <c r="C35" s="1001"/>
      <c r="D35" s="1010"/>
      <c r="E35" s="1042"/>
      <c r="F35" s="1042"/>
      <c r="G35" s="1127"/>
      <c r="H35" s="1158"/>
      <c r="I35" s="1158"/>
      <c r="J35" s="1158"/>
      <c r="K35" s="1042"/>
      <c r="L35" s="1018"/>
      <c r="M35" s="1159"/>
      <c r="N35" s="1159"/>
      <c r="O35" s="1159"/>
      <c r="P35" s="1026"/>
      <c r="Q35" s="1160"/>
      <c r="R35" s="1017"/>
      <c r="S35" s="1017"/>
      <c r="U35" s="1001"/>
      <c r="V35" s="996"/>
      <c r="W35" s="1001"/>
      <c r="X35" s="1001"/>
      <c r="Y35" s="1069"/>
      <c r="Z35" s="1089"/>
      <c r="AA35" s="1001"/>
      <c r="AB35" s="1001"/>
      <c r="AC35" s="1001"/>
      <c r="AD35" s="1001"/>
      <c r="AE35" s="1001"/>
      <c r="AF35" s="1010"/>
      <c r="AH35" s="1042"/>
      <c r="AI35" s="1042"/>
      <c r="AJ35" s="1042"/>
      <c r="AK35" s="1042"/>
      <c r="AL35" s="1042"/>
      <c r="AN35" s="1146"/>
      <c r="AO35" s="1018"/>
      <c r="AP35" s="1002"/>
      <c r="AQ35" s="1002"/>
      <c r="AR35" s="1026"/>
      <c r="AS35" s="1161"/>
      <c r="AT35" s="1001"/>
      <c r="AU35" s="1001"/>
      <c r="AV35" s="1117"/>
      <c r="AW35" s="1118"/>
      <c r="AX35" s="1117"/>
      <c r="AY35" s="1118"/>
      <c r="AZ35" s="1117"/>
      <c r="BA35" s="1118"/>
      <c r="BB35" s="1162"/>
      <c r="BC35" s="1017"/>
      <c r="BD35" s="1163"/>
      <c r="BE35" s="1154"/>
    </row>
    <row r="36" spans="1:57" ht="18.75" thickBot="1" x14ac:dyDescent="0.3">
      <c r="A36" s="1020"/>
      <c r="B36" s="1001"/>
      <c r="C36" s="1001"/>
      <c r="D36" s="1010"/>
      <c r="E36" s="1164"/>
      <c r="F36" s="1042"/>
      <c r="G36" s="1042"/>
      <c r="H36" s="1070"/>
      <c r="I36" s="1070"/>
      <c r="J36" s="1070"/>
      <c r="K36" s="1042"/>
      <c r="L36" s="1159"/>
      <c r="M36" s="1100">
        <v>112465</v>
      </c>
      <c r="N36" s="1092">
        <v>114929</v>
      </c>
      <c r="O36" s="1004">
        <v>114263</v>
      </c>
      <c r="P36" s="1159"/>
      <c r="Q36" s="1165"/>
      <c r="R36" s="1042"/>
      <c r="S36" s="1042"/>
      <c r="U36" s="1001"/>
      <c r="V36" s="996"/>
      <c r="W36" s="1001"/>
      <c r="X36" s="1001"/>
      <c r="Y36" s="1107"/>
      <c r="Z36" s="1166"/>
      <c r="AA36" s="1059"/>
      <c r="AB36" s="1059"/>
      <c r="AC36" s="1059"/>
      <c r="AD36" s="1059"/>
      <c r="AE36" s="1059"/>
      <c r="AF36" s="1167"/>
      <c r="AG36" s="1168"/>
      <c r="AH36" s="1144"/>
      <c r="AI36" s="1041"/>
      <c r="AJ36" s="1164"/>
      <c r="AK36" s="1164"/>
      <c r="AL36" s="1042"/>
      <c r="AN36" s="1169"/>
      <c r="AO36" s="1170"/>
      <c r="AP36" s="1171">
        <v>110846</v>
      </c>
      <c r="AQ36" s="1172">
        <v>113926</v>
      </c>
      <c r="AR36" s="1170"/>
      <c r="AS36" s="1173"/>
      <c r="AT36" s="1001"/>
      <c r="AU36" s="1001"/>
      <c r="AV36" s="1042"/>
      <c r="AW36" s="1117"/>
      <c r="AX36" s="1042"/>
      <c r="AY36" s="1117"/>
      <c r="AZ36" s="1042"/>
      <c r="BA36" s="1117"/>
      <c r="BB36" s="1042"/>
      <c r="BC36" s="1017"/>
      <c r="BD36" s="1163"/>
      <c r="BE36" s="1154"/>
    </row>
    <row r="37" spans="1:57" ht="18" x14ac:dyDescent="0.25">
      <c r="A37" s="1020"/>
      <c r="B37" s="1001"/>
      <c r="C37" s="1001"/>
      <c r="D37" s="1010"/>
      <c r="E37" s="1042"/>
      <c r="F37" s="1042"/>
      <c r="G37" s="1042"/>
      <c r="H37" s="1070"/>
      <c r="I37" s="1070"/>
      <c r="J37" s="1070"/>
      <c r="K37" s="1042"/>
      <c r="L37" s="1159"/>
      <c r="M37" s="1006">
        <v>109935</v>
      </c>
      <c r="N37" s="1005">
        <v>114779</v>
      </c>
      <c r="O37" s="1171">
        <v>114289</v>
      </c>
      <c r="P37" s="1159"/>
      <c r="Q37" s="1165"/>
      <c r="R37" s="1017"/>
      <c r="S37" s="1017"/>
      <c r="U37" s="1001"/>
      <c r="V37" s="996"/>
      <c r="W37" s="1001"/>
      <c r="X37" s="1001"/>
      <c r="Y37" s="1174"/>
      <c r="Z37" s="1056"/>
      <c r="AA37" s="1056"/>
      <c r="AB37" s="1056"/>
      <c r="AC37" s="1056"/>
      <c r="AD37" s="1017"/>
      <c r="AE37" s="1042"/>
      <c r="AF37" s="1175"/>
      <c r="AH37" s="1042"/>
      <c r="AI37" s="1042"/>
      <c r="AJ37" s="1164"/>
      <c r="AK37" s="1164"/>
      <c r="AL37" s="1042"/>
      <c r="AN37" s="1169"/>
      <c r="AO37" s="1170"/>
      <c r="AP37" s="1007">
        <v>114788</v>
      </c>
      <c r="AQ37" s="1176">
        <v>115238</v>
      </c>
      <c r="AR37" s="1170"/>
      <c r="AS37" s="1173"/>
      <c r="AT37" s="1001"/>
      <c r="AU37" s="1001"/>
      <c r="AV37" s="1042"/>
      <c r="AW37" s="1042"/>
      <c r="AX37" s="1042"/>
      <c r="AY37" s="1042"/>
      <c r="AZ37" s="1042"/>
      <c r="BA37" s="1042"/>
      <c r="BB37" s="1042"/>
      <c r="BC37" s="1017"/>
      <c r="BD37" s="1163"/>
      <c r="BE37" s="1154"/>
    </row>
    <row r="38" spans="1:57" ht="20.25" x14ac:dyDescent="0.25">
      <c r="A38" s="1020"/>
      <c r="B38" s="1001"/>
      <c r="C38" s="1001"/>
      <c r="D38" s="1010"/>
      <c r="E38" s="1164"/>
      <c r="F38" s="1042"/>
      <c r="G38" s="1177"/>
      <c r="H38" s="1158"/>
      <c r="I38" s="1158"/>
      <c r="J38" s="1158"/>
      <c r="K38" s="1139"/>
      <c r="L38" s="1026"/>
      <c r="M38" s="1159"/>
      <c r="N38" s="1159"/>
      <c r="O38" s="1159"/>
      <c r="P38" s="1026"/>
      <c r="Q38" s="1160"/>
      <c r="R38" s="1042"/>
      <c r="S38" s="1042"/>
      <c r="U38" s="1001"/>
      <c r="V38" s="996"/>
      <c r="W38" s="1001"/>
      <c r="X38" s="1178"/>
      <c r="Y38" s="1001"/>
      <c r="Z38" s="1179"/>
      <c r="AA38" s="1179"/>
      <c r="AB38" s="1017"/>
      <c r="AC38" s="1017"/>
      <c r="AD38" s="1017"/>
      <c r="AE38" s="1017"/>
      <c r="AF38" s="1001"/>
      <c r="AG38" s="1168"/>
      <c r="AH38" s="1042"/>
      <c r="AI38" s="1156"/>
      <c r="AJ38" s="1180"/>
      <c r="AK38" s="1180"/>
      <c r="AL38" s="1042"/>
      <c r="AN38" s="1169"/>
      <c r="AO38" s="1170"/>
      <c r="AP38" s="1171">
        <v>109937</v>
      </c>
      <c r="AQ38" s="1172">
        <v>109995</v>
      </c>
      <c r="AR38" s="1170"/>
      <c r="AS38" s="1173"/>
      <c r="AT38" s="1001"/>
      <c r="AU38" s="1001"/>
      <c r="BC38" s="1042"/>
      <c r="BD38" s="1153"/>
      <c r="BE38" s="1154"/>
    </row>
    <row r="39" spans="1:57" ht="20.25" x14ac:dyDescent="0.25">
      <c r="A39" s="1020"/>
      <c r="B39" s="1001"/>
      <c r="C39" s="1001"/>
      <c r="D39" s="1010"/>
      <c r="E39" s="1042"/>
      <c r="F39" s="1042"/>
      <c r="G39" s="1177"/>
      <c r="H39" s="1017"/>
      <c r="I39" s="1177"/>
      <c r="J39" s="1138"/>
      <c r="K39" s="1181"/>
      <c r="L39" s="1138"/>
      <c r="M39" s="1026"/>
      <c r="N39" s="1026"/>
      <c r="O39" s="1026"/>
      <c r="P39" s="1156"/>
      <c r="Q39" s="1156"/>
      <c r="R39" s="1042"/>
      <c r="S39" s="1042"/>
      <c r="T39" s="996"/>
      <c r="U39" s="996"/>
      <c r="V39" s="996"/>
      <c r="W39" s="1001"/>
      <c r="X39" s="1001"/>
      <c r="Y39" s="1001"/>
      <c r="Z39" s="1135"/>
      <c r="AA39" s="1135"/>
      <c r="AB39" s="1017"/>
      <c r="AC39" s="1017"/>
      <c r="AD39" s="1017"/>
      <c r="AE39" s="1017"/>
      <c r="AF39" s="1175"/>
      <c r="AG39" s="1168"/>
      <c r="AH39" s="1156"/>
      <c r="AI39" s="1160"/>
      <c r="AJ39" s="1151"/>
      <c r="AK39" s="1151"/>
      <c r="AL39" s="1042"/>
      <c r="AM39" s="1137"/>
      <c r="AN39" s="1169"/>
      <c r="AO39" s="1170"/>
      <c r="AP39" s="1007">
        <v>115235</v>
      </c>
      <c r="AQ39" s="1176">
        <v>106068</v>
      </c>
      <c r="AR39" s="1170"/>
      <c r="AS39" s="1173"/>
      <c r="AT39" s="1001"/>
      <c r="AU39" s="1001"/>
      <c r="BC39" s="1179"/>
      <c r="BD39" s="1153"/>
      <c r="BE39" s="1154"/>
    </row>
    <row r="40" spans="1:57" ht="21.75" thickBot="1" x14ac:dyDescent="0.4">
      <c r="A40" s="1020"/>
      <c r="B40" s="996"/>
      <c r="C40" s="1001"/>
      <c r="D40" s="1010"/>
      <c r="E40" s="1164"/>
      <c r="F40" s="1042"/>
      <c r="G40" s="1182"/>
      <c r="H40" s="1042"/>
      <c r="I40" s="1177"/>
      <c r="J40" s="1138"/>
      <c r="K40" s="1181"/>
      <c r="L40" s="1183"/>
      <c r="M40" s="1183"/>
      <c r="N40" s="1183"/>
      <c r="O40" s="1183"/>
      <c r="P40" s="1183"/>
      <c r="Q40" s="1183"/>
      <c r="R40" s="1048"/>
      <c r="S40" s="1048"/>
      <c r="T40" s="996"/>
      <c r="U40" s="996"/>
      <c r="V40" s="996"/>
      <c r="W40" s="1001"/>
      <c r="X40" s="1001"/>
      <c r="Y40" s="1001"/>
      <c r="Z40" s="1098"/>
      <c r="AA40" s="1184"/>
      <c r="AB40" s="1001"/>
      <c r="AC40" s="1001"/>
      <c r="AD40" s="996"/>
      <c r="AE40" s="1001"/>
      <c r="AF40" s="1001"/>
      <c r="AG40" s="1137"/>
      <c r="AH40" s="1042"/>
      <c r="AI40" s="1042"/>
      <c r="AJ40" s="1151"/>
      <c r="AK40" s="1151"/>
      <c r="AL40" s="1117"/>
      <c r="AM40" s="1156"/>
      <c r="AN40" s="1169"/>
      <c r="AO40" s="1088"/>
      <c r="AP40" s="1185">
        <v>3320239</v>
      </c>
      <c r="AQ40" s="1186">
        <v>3320274</v>
      </c>
      <c r="AR40" s="1088"/>
      <c r="AS40" s="1173"/>
      <c r="AT40" s="1187"/>
      <c r="AU40" s="1188"/>
      <c r="BC40" s="1017"/>
      <c r="BD40" s="1153"/>
      <c r="BE40" s="1154"/>
    </row>
    <row r="41" spans="1:57" ht="20.25" x14ac:dyDescent="0.3">
      <c r="A41" s="1020"/>
      <c r="B41" s="1001"/>
      <c r="C41" s="1001"/>
      <c r="D41" s="1010"/>
      <c r="E41" s="1042"/>
      <c r="F41" s="1048"/>
      <c r="G41" s="1048"/>
      <c r="H41" s="1048"/>
      <c r="I41" s="1177"/>
      <c r="J41" s="1138"/>
      <c r="K41" s="1181"/>
      <c r="L41" s="1042"/>
      <c r="M41" s="1042"/>
      <c r="N41" s="1048"/>
      <c r="O41" s="1048"/>
      <c r="P41" s="1048"/>
      <c r="Q41" s="1048"/>
      <c r="R41" s="1048"/>
      <c r="S41" s="1048"/>
      <c r="T41" s="996"/>
      <c r="U41" s="996"/>
      <c r="V41" s="996"/>
      <c r="W41" s="1001"/>
      <c r="X41" s="1001"/>
      <c r="Y41" s="1001"/>
      <c r="AA41" s="1189"/>
      <c r="AB41" s="1189"/>
      <c r="AC41" s="1189"/>
      <c r="AD41" s="1189"/>
      <c r="AE41" s="1001"/>
      <c r="AF41" s="1001"/>
      <c r="AG41" s="1168"/>
      <c r="AH41" s="1144"/>
      <c r="AI41" s="1160"/>
      <c r="AJ41" s="1160"/>
      <c r="AK41" s="1156"/>
      <c r="AL41" s="1042"/>
      <c r="AO41" s="1026"/>
      <c r="AP41" s="1088"/>
      <c r="AQ41" s="1088"/>
      <c r="AR41" s="1026"/>
      <c r="BC41" s="1190"/>
      <c r="BD41" s="1153"/>
      <c r="BE41" s="1154"/>
    </row>
    <row r="42" spans="1:57" ht="18.75" x14ac:dyDescent="0.3">
      <c r="A42" s="1020"/>
      <c r="B42" s="1001"/>
      <c r="C42" s="1001"/>
      <c r="D42" s="1010"/>
      <c r="E42" s="1164"/>
      <c r="F42" s="1048"/>
      <c r="G42" s="1048"/>
      <c r="H42" s="1048"/>
      <c r="I42" s="1048"/>
      <c r="J42" s="1048"/>
      <c r="K42" s="996"/>
      <c r="N42" s="996"/>
      <c r="O42" s="996"/>
      <c r="P42" s="996"/>
      <c r="Q42" s="996"/>
      <c r="R42" s="996"/>
      <c r="S42" s="996"/>
      <c r="T42" s="996"/>
      <c r="U42" s="996"/>
      <c r="V42" s="996"/>
      <c r="W42" s="1001"/>
      <c r="X42" s="1001"/>
      <c r="Y42" s="1001"/>
      <c r="Z42" s="1001"/>
      <c r="AA42" s="1001"/>
      <c r="AB42" s="1001"/>
      <c r="AC42" s="1001"/>
      <c r="AD42" s="1001"/>
      <c r="AE42" s="1001"/>
      <c r="AF42" s="1001"/>
      <c r="AG42" s="1168"/>
      <c r="AH42" s="1042"/>
      <c r="AI42" s="1191"/>
      <c r="AJ42" s="1191"/>
      <c r="AK42" s="1042"/>
      <c r="AL42" s="1042"/>
      <c r="AP42" s="1026"/>
      <c r="AQ42" s="1026"/>
      <c r="BB42" s="1001"/>
      <c r="BC42" s="1001"/>
      <c r="BD42" s="1010"/>
      <c r="BE42" s="1154"/>
    </row>
    <row r="43" spans="1:57" ht="16.5" thickBot="1" x14ac:dyDescent="0.3">
      <c r="A43" s="1020"/>
      <c r="B43" s="1001"/>
      <c r="C43" s="1001"/>
      <c r="D43" s="1010"/>
      <c r="E43" s="1042"/>
      <c r="F43" s="1048"/>
      <c r="G43" s="1066"/>
      <c r="H43" s="1048"/>
      <c r="I43" s="1048"/>
      <c r="J43" s="1048"/>
      <c r="K43" s="996"/>
      <c r="L43" s="996"/>
      <c r="M43" s="1048"/>
      <c r="N43" s="1048"/>
      <c r="O43" s="1048"/>
      <c r="P43" s="1048"/>
      <c r="Q43" s="1048"/>
      <c r="R43" s="1048"/>
      <c r="S43" s="996"/>
      <c r="T43" s="996"/>
      <c r="U43" s="1001"/>
      <c r="V43" s="1001"/>
      <c r="W43" s="1001"/>
      <c r="X43" s="1001"/>
      <c r="Y43" s="1001"/>
      <c r="Z43" s="1001"/>
      <c r="AA43" s="1001"/>
      <c r="AB43" s="1001"/>
      <c r="AC43" s="1001"/>
      <c r="AD43" s="1001"/>
      <c r="AE43" s="1001"/>
      <c r="AF43" s="1168"/>
      <c r="AG43" s="1168"/>
      <c r="AH43" s="1042"/>
      <c r="AI43" s="1042"/>
      <c r="AJ43" s="1042"/>
      <c r="AK43" s="1042"/>
      <c r="AN43" s="1117"/>
      <c r="AO43" s="1117"/>
      <c r="AP43" s="1117"/>
      <c r="AQ43" s="1117"/>
      <c r="BB43" s="1001"/>
      <c r="BC43" s="1001"/>
      <c r="BD43" s="1010"/>
      <c r="BE43" s="1154"/>
    </row>
    <row r="44" spans="1:57" ht="15.75" x14ac:dyDescent="0.25">
      <c r="A44" s="1020"/>
      <c r="B44" s="1001"/>
      <c r="C44" s="1001"/>
      <c r="D44" s="1010"/>
      <c r="E44" s="1192"/>
      <c r="F44" s="1193"/>
      <c r="G44" s="1193"/>
      <c r="H44" s="1193"/>
      <c r="I44" s="1193"/>
      <c r="J44" s="1194"/>
      <c r="K44" s="996"/>
      <c r="L44" s="996"/>
      <c r="M44" s="1048"/>
      <c r="N44" s="1048"/>
      <c r="O44" s="1048"/>
      <c r="P44" s="1048"/>
      <c r="Q44" s="1048"/>
      <c r="R44" s="1048"/>
      <c r="S44" s="996"/>
      <c r="T44" s="1048"/>
      <c r="U44" s="1017"/>
      <c r="V44" s="1017"/>
      <c r="W44" s="1017"/>
      <c r="X44" s="1017"/>
      <c r="Y44" s="1017"/>
      <c r="Z44" s="1017"/>
      <c r="AA44" s="1017"/>
      <c r="AB44" s="1017"/>
      <c r="AC44" s="1017"/>
      <c r="AD44" s="1017"/>
      <c r="AE44" s="1017"/>
      <c r="AF44" s="1066"/>
      <c r="AG44" s="1168"/>
      <c r="BB44" s="996"/>
      <c r="BC44" s="1001"/>
      <c r="BD44" s="1010"/>
      <c r="BE44" s="1154"/>
    </row>
    <row r="45" spans="1:57" ht="16.5" thickBot="1" x14ac:dyDescent="0.3">
      <c r="A45" s="1020"/>
      <c r="B45" s="1001"/>
      <c r="C45" s="1001"/>
      <c r="D45" s="1001"/>
      <c r="E45" s="1195"/>
      <c r="F45" s="1196"/>
      <c r="G45" s="1196"/>
      <c r="H45" s="1196"/>
      <c r="I45" s="1196"/>
      <c r="J45" s="1197"/>
      <c r="K45" s="1117"/>
      <c r="L45" s="1117"/>
      <c r="M45" s="1117"/>
      <c r="N45" s="1117"/>
      <c r="O45" s="1117"/>
      <c r="P45" s="1117"/>
      <c r="Q45" s="1117"/>
      <c r="R45" s="1117"/>
      <c r="S45" s="1117"/>
      <c r="T45" s="1048"/>
      <c r="U45" s="1017"/>
      <c r="V45" s="1017"/>
      <c r="W45" s="1017"/>
      <c r="X45" s="1017"/>
      <c r="Y45" s="1017"/>
      <c r="Z45" s="1017"/>
      <c r="AA45" s="1017"/>
      <c r="AB45" s="1017"/>
      <c r="AC45" s="1017"/>
      <c r="AD45" s="1017"/>
      <c r="AE45" s="1017"/>
      <c r="AF45" s="1153"/>
      <c r="AG45" s="1117"/>
      <c r="AL45" s="1117"/>
      <c r="AM45" s="1117"/>
      <c r="AR45" s="1117"/>
      <c r="AS45" s="1188"/>
      <c r="AT45" s="1188"/>
      <c r="AU45" s="1188"/>
      <c r="AV45" s="1188"/>
      <c r="AW45" s="1188"/>
      <c r="AX45" s="1188"/>
      <c r="AY45" s="1188"/>
      <c r="AZ45" s="1188"/>
      <c r="BA45" s="1001"/>
      <c r="BB45" s="996"/>
      <c r="BC45" s="1001"/>
      <c r="BD45" s="1010"/>
      <c r="BE45" s="1154"/>
    </row>
    <row r="46" spans="1:57" ht="34.5" thickBot="1" x14ac:dyDescent="0.3">
      <c r="A46" s="1020"/>
      <c r="B46" s="1001"/>
      <c r="C46" s="1001"/>
      <c r="D46" s="1001"/>
      <c r="E46" s="1198"/>
      <c r="F46" s="1199"/>
      <c r="G46" s="1199"/>
      <c r="H46" s="1199"/>
      <c r="I46" s="1199"/>
      <c r="J46" s="1200"/>
      <c r="K46" s="1201"/>
      <c r="L46" s="1201"/>
      <c r="M46" s="1202"/>
      <c r="N46" s="1202"/>
      <c r="O46" s="1202"/>
      <c r="P46" s="1202"/>
      <c r="Q46" s="1202"/>
      <c r="R46" s="1202"/>
      <c r="S46" s="1201"/>
      <c r="T46" s="1203"/>
      <c r="U46" s="1204"/>
      <c r="V46" s="1204"/>
      <c r="W46" s="1204"/>
      <c r="X46" s="1204"/>
      <c r="Y46" s="1205"/>
      <c r="Z46" s="1030"/>
      <c r="AA46" s="1059"/>
      <c r="AB46" s="1206"/>
      <c r="AC46" s="1059"/>
      <c r="AD46" s="1206"/>
      <c r="AE46" s="1059"/>
      <c r="AF46" s="1207"/>
      <c r="AG46" s="1001"/>
      <c r="AZ46" s="1051"/>
      <c r="BA46" s="1001"/>
      <c r="BB46" s="1001"/>
      <c r="BC46" s="1001"/>
      <c r="BD46" s="1208"/>
      <c r="BE46" s="1154"/>
    </row>
    <row r="47" spans="1:57" ht="15.75" x14ac:dyDescent="0.25">
      <c r="A47" s="1020"/>
      <c r="B47" s="1001"/>
      <c r="C47" s="1001"/>
      <c r="D47" s="1001"/>
      <c r="E47" s="996"/>
      <c r="F47" s="996"/>
      <c r="G47" s="1001"/>
      <c r="H47" s="1001"/>
      <c r="I47" s="1001"/>
      <c r="J47" s="1168"/>
      <c r="K47" s="1061"/>
      <c r="L47" s="1061"/>
      <c r="M47" s="1209"/>
      <c r="N47" s="1061"/>
      <c r="O47" s="1061"/>
      <c r="P47" s="1061"/>
      <c r="Q47" s="1061"/>
      <c r="R47" s="1061"/>
      <c r="S47" s="1061"/>
      <c r="T47" s="1042"/>
      <c r="U47" s="1042"/>
      <c r="V47" s="1042"/>
      <c r="W47" s="1042"/>
      <c r="X47" s="1042"/>
      <c r="Y47" s="1042"/>
      <c r="Z47" s="1017"/>
      <c r="AA47" s="1017"/>
      <c r="AB47" s="1017"/>
      <c r="AC47" s="1017"/>
      <c r="AD47" s="1017"/>
      <c r="AE47" s="1017"/>
      <c r="AF47" s="1210"/>
      <c r="AG47" s="1001"/>
      <c r="AM47" s="1211"/>
      <c r="AN47" s="1212"/>
      <c r="AO47" s="1211"/>
      <c r="AP47" s="1212"/>
      <c r="AQ47" s="1211"/>
      <c r="AR47" s="1212"/>
      <c r="AS47" s="1211"/>
      <c r="AT47" s="1212"/>
      <c r="AU47" s="1212"/>
      <c r="AZ47" s="1051"/>
      <c r="BA47" s="1001"/>
      <c r="BB47" s="1001"/>
      <c r="BC47" s="1001"/>
      <c r="BD47" s="1010"/>
      <c r="BE47" s="1154"/>
    </row>
    <row r="48" spans="1:57" x14ac:dyDescent="0.25">
      <c r="A48" s="1020"/>
      <c r="B48" s="1001"/>
      <c r="C48" s="1001"/>
      <c r="D48" s="1001"/>
      <c r="E48" s="996"/>
      <c r="F48" s="996"/>
      <c r="G48" s="996"/>
      <c r="H48" s="996"/>
      <c r="I48" s="996"/>
      <c r="J48" s="996"/>
      <c r="K48" s="996"/>
      <c r="L48" s="996"/>
      <c r="M48" s="996"/>
      <c r="N48" s="996"/>
      <c r="O48" s="996"/>
      <c r="P48" s="996"/>
      <c r="Q48" s="996"/>
      <c r="R48" s="996"/>
      <c r="S48" s="996"/>
      <c r="T48" s="996"/>
      <c r="U48" s="996"/>
      <c r="V48" s="996"/>
      <c r="W48" s="996"/>
      <c r="X48" s="996"/>
      <c r="Y48" s="996"/>
      <c r="Z48" s="1001"/>
      <c r="AA48" s="1001"/>
      <c r="AB48" s="1001"/>
      <c r="AC48" s="1001"/>
      <c r="AD48" s="1098"/>
      <c r="AE48" s="1001"/>
      <c r="AF48" s="1010"/>
      <c r="AG48" s="1001"/>
      <c r="AH48" s="1020"/>
      <c r="AL48" s="1001"/>
      <c r="AW48" s="1211"/>
      <c r="AX48" s="1211"/>
      <c r="AY48" s="1211"/>
      <c r="AZ48" s="1211"/>
      <c r="BA48" s="1211"/>
      <c r="BB48" s="1211"/>
      <c r="BC48" s="1211"/>
      <c r="BD48" s="1082"/>
      <c r="BE48" s="1154"/>
    </row>
    <row r="49" spans="1:58" ht="16.5" thickBot="1" x14ac:dyDescent="0.3">
      <c r="A49" s="1020"/>
      <c r="B49" s="1001"/>
      <c r="C49" s="1001"/>
      <c r="D49" s="1001"/>
      <c r="E49" s="1001"/>
      <c r="F49" s="1001"/>
      <c r="G49" s="1001"/>
      <c r="H49" s="1001"/>
      <c r="J49" s="1001"/>
      <c r="K49" s="1001"/>
      <c r="L49" s="1001"/>
      <c r="S49" s="1001"/>
      <c r="T49" s="1001"/>
      <c r="U49" s="1001"/>
      <c r="V49" s="1001"/>
      <c r="W49" s="1001"/>
      <c r="X49" s="1001"/>
      <c r="Y49" s="1001"/>
      <c r="Z49" s="1001"/>
      <c r="AA49" s="1001"/>
      <c r="AB49" s="1001"/>
      <c r="AC49" s="1001"/>
      <c r="AD49" s="1001"/>
      <c r="AE49" s="1001"/>
      <c r="AF49" s="1010"/>
      <c r="AG49" s="1001"/>
      <c r="AH49" s="1213"/>
      <c r="AI49" s="1213"/>
      <c r="AJ49" s="1213"/>
      <c r="AK49" s="1213"/>
      <c r="AL49" s="1213"/>
      <c r="AM49" s="1060"/>
      <c r="AN49" s="1060"/>
      <c r="AO49" s="1060"/>
      <c r="AP49" s="1060"/>
      <c r="AQ49" s="1060"/>
      <c r="AR49" s="1060"/>
      <c r="AS49" s="1060"/>
      <c r="AT49" s="1060"/>
      <c r="AU49" s="1060"/>
      <c r="AV49" s="1214"/>
      <c r="AW49" s="1214"/>
      <c r="AX49" s="1214"/>
      <c r="AY49" s="1214"/>
      <c r="AZ49" s="1214"/>
      <c r="BA49" s="1214"/>
      <c r="BB49" s="1214"/>
      <c r="BC49" s="1214"/>
      <c r="BD49" s="1215"/>
      <c r="BE49" s="1154"/>
    </row>
    <row r="50" spans="1:58" x14ac:dyDescent="0.25">
      <c r="A50" s="1216"/>
      <c r="B50" s="1217"/>
      <c r="D50" s="1061"/>
      <c r="E50" s="1061"/>
      <c r="F50" s="1061"/>
      <c r="G50" s="1061"/>
      <c r="H50" s="1061"/>
      <c r="J50" s="1061"/>
      <c r="K50" s="1061"/>
      <c r="L50" s="1061"/>
      <c r="M50" s="1209"/>
      <c r="N50" s="1061"/>
      <c r="O50" s="1061"/>
      <c r="P50" s="1061"/>
      <c r="Q50" s="1061"/>
      <c r="R50" s="1061"/>
      <c r="S50" s="1061"/>
      <c r="T50" s="1061"/>
      <c r="U50" s="1061"/>
      <c r="V50" s="1061"/>
      <c r="W50" s="1061"/>
      <c r="X50" s="1061"/>
      <c r="Y50" s="1061"/>
      <c r="Z50" s="1061"/>
      <c r="AA50" s="1061"/>
      <c r="AB50" s="1218"/>
      <c r="AC50" s="1218"/>
      <c r="AD50" s="1218"/>
      <c r="AE50" s="1218"/>
      <c r="AF50" s="1218"/>
      <c r="AG50" s="1219"/>
      <c r="AH50" s="1061"/>
      <c r="AI50" s="1061"/>
      <c r="AJ50" s="1061"/>
      <c r="AK50" s="1061"/>
      <c r="AL50" s="1061"/>
      <c r="AM50" s="1061"/>
      <c r="AN50" s="1061"/>
      <c r="AO50" s="1061"/>
      <c r="AP50" s="1061"/>
      <c r="AQ50" s="1061"/>
      <c r="AR50" s="1061"/>
      <c r="AS50" s="1061"/>
      <c r="AT50" s="1061"/>
      <c r="AU50" s="1061"/>
      <c r="AV50" s="1061"/>
      <c r="AW50" s="1061"/>
      <c r="AX50" s="1061"/>
      <c r="AY50" s="1061"/>
      <c r="AZ50" s="1061"/>
      <c r="BA50" s="1061"/>
      <c r="BB50" s="1061"/>
      <c r="BC50" s="1061"/>
      <c r="BD50" s="1061"/>
      <c r="BE50" s="1061"/>
      <c r="BF50" s="1061"/>
    </row>
    <row r="51" spans="1:58" x14ac:dyDescent="0.25">
      <c r="A51" s="1216"/>
      <c r="B51" s="1217"/>
      <c r="D51" s="1061"/>
      <c r="E51" s="1061"/>
      <c r="F51" s="1061"/>
      <c r="G51" s="1061"/>
      <c r="H51" s="1061"/>
      <c r="J51" s="1061"/>
      <c r="K51" s="1061"/>
      <c r="L51" s="1061"/>
      <c r="M51" s="1209"/>
      <c r="N51" s="1061"/>
      <c r="O51" s="1061"/>
      <c r="P51" s="1061"/>
      <c r="Q51" s="1061"/>
      <c r="R51" s="1061"/>
      <c r="S51" s="1061"/>
      <c r="T51" s="1061"/>
      <c r="U51" s="1061"/>
      <c r="V51" s="1061"/>
      <c r="W51" s="1061"/>
      <c r="X51" s="1061"/>
      <c r="Y51" s="1061"/>
      <c r="Z51" s="1061"/>
      <c r="AA51" s="1061"/>
      <c r="AB51" s="1218"/>
      <c r="AC51" s="1218"/>
      <c r="AD51" s="1218"/>
      <c r="AE51" s="1218"/>
      <c r="AF51" s="1218"/>
      <c r="AG51" s="1061"/>
      <c r="AH51" s="1061"/>
      <c r="AI51" s="1061"/>
      <c r="AJ51" s="1061"/>
      <c r="AK51" s="1061"/>
      <c r="AL51" s="1061"/>
      <c r="AM51" s="1061"/>
      <c r="AR51" s="1061"/>
      <c r="AS51" s="1061"/>
      <c r="AT51" s="1061"/>
      <c r="AU51" s="1061"/>
      <c r="AV51" s="1061"/>
      <c r="AW51" s="1061"/>
      <c r="AX51" s="1061"/>
      <c r="AY51" s="1061"/>
      <c r="AZ51" s="1061"/>
      <c r="BA51" s="1061"/>
      <c r="BB51" s="1061"/>
      <c r="BC51" s="1061"/>
      <c r="BD51" s="1061"/>
      <c r="BE51" s="1061"/>
      <c r="BF51" s="1061"/>
    </row>
    <row r="52" spans="1:58" x14ac:dyDescent="0.25">
      <c r="M52" s="1220"/>
    </row>
    <row r="53" spans="1:58" x14ac:dyDescent="0.25">
      <c r="M53" s="1220"/>
    </row>
    <row r="54" spans="1:58" x14ac:dyDescent="0.25">
      <c r="M54" s="1220"/>
    </row>
  </sheetData>
  <mergeCells count="18">
    <mergeCell ref="BB31:BB32"/>
    <mergeCell ref="AI42:AJ42"/>
    <mergeCell ref="A1:BD1"/>
    <mergeCell ref="A2:BD2"/>
    <mergeCell ref="A3:D5"/>
    <mergeCell ref="O13:P14"/>
    <mergeCell ref="Y13:Y24"/>
    <mergeCell ref="H19:L19"/>
    <mergeCell ref="E22:F22"/>
    <mergeCell ref="H22:H23"/>
    <mergeCell ref="AG24:AL28"/>
    <mergeCell ref="Y25:Y36"/>
    <mergeCell ref="E44:J46"/>
    <mergeCell ref="T46:Y46"/>
    <mergeCell ref="AN27:AR27"/>
    <mergeCell ref="AR29:AS29"/>
    <mergeCell ref="AW30:BA30"/>
    <mergeCell ref="E31:F31"/>
  </mergeCells>
  <phoneticPr fontId="0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2">
    <tabColor theme="3" tint="0.39997558519241921"/>
  </sheetPr>
  <dimension ref="A1:BF446"/>
  <sheetViews>
    <sheetView topLeftCell="A2" zoomScale="40" zoomScaleNormal="40" workbookViewId="0">
      <selection activeCell="R21" sqref="R21"/>
    </sheetView>
  </sheetViews>
  <sheetFormatPr baseColWidth="10" defaultColWidth="16.7109375" defaultRowHeight="15" x14ac:dyDescent="0.25"/>
  <sheetData>
    <row r="1" spans="1:58" ht="34.5" thickBot="1" x14ac:dyDescent="0.3">
      <c r="A1" s="743" t="s">
        <v>2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4"/>
      <c r="U1" s="744"/>
      <c r="V1" s="744"/>
      <c r="W1" s="744"/>
      <c r="X1" s="744"/>
      <c r="Y1" s="744"/>
      <c r="Z1" s="744"/>
      <c r="AA1" s="744"/>
      <c r="AB1" s="744"/>
      <c r="AC1" s="744"/>
      <c r="AD1" s="744"/>
      <c r="AE1" s="744"/>
      <c r="AF1" s="744"/>
      <c r="AG1" s="744"/>
      <c r="AH1" s="744"/>
      <c r="AI1" s="744"/>
      <c r="AJ1" s="744"/>
      <c r="AK1" s="744"/>
      <c r="AL1" s="744"/>
      <c r="AM1" s="744"/>
      <c r="AN1" s="744"/>
      <c r="AO1" s="744"/>
      <c r="AP1" s="744"/>
      <c r="AQ1" s="744"/>
      <c r="AR1" s="744"/>
      <c r="AS1" s="744"/>
      <c r="AT1" s="744"/>
      <c r="AU1" s="744"/>
      <c r="AV1" s="744"/>
      <c r="AW1" s="744"/>
      <c r="AX1" s="744"/>
      <c r="AY1" s="744"/>
      <c r="AZ1" s="744"/>
      <c r="BA1" s="744"/>
      <c r="BB1" s="744"/>
      <c r="BC1" s="744"/>
      <c r="BD1" s="745"/>
      <c r="BE1" s="1"/>
      <c r="BF1" s="1"/>
    </row>
    <row r="2" spans="1:58" ht="30" thickBot="1" x14ac:dyDescent="0.3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6"/>
      <c r="U2" s="746"/>
      <c r="V2" s="746"/>
      <c r="W2" s="746"/>
      <c r="X2" s="746"/>
      <c r="Y2" s="746"/>
      <c r="Z2" s="746"/>
      <c r="AA2" s="746"/>
      <c r="AB2" s="746"/>
      <c r="AC2" s="746"/>
      <c r="AD2" s="746"/>
      <c r="AE2" s="746"/>
      <c r="AF2" s="746"/>
      <c r="AG2" s="746"/>
      <c r="AH2" s="746"/>
      <c r="AI2" s="746"/>
      <c r="AJ2" s="746"/>
      <c r="AK2" s="746"/>
      <c r="AL2" s="746"/>
      <c r="AM2" s="746"/>
      <c r="AN2" s="746"/>
      <c r="AO2" s="746"/>
      <c r="AP2" s="746"/>
      <c r="AQ2" s="746"/>
      <c r="AR2" s="746"/>
      <c r="AS2" s="746"/>
      <c r="AT2" s="746"/>
      <c r="AU2" s="746"/>
      <c r="AV2" s="746"/>
      <c r="AW2" s="746"/>
      <c r="AX2" s="746"/>
      <c r="AY2" s="746"/>
      <c r="AZ2" s="746"/>
      <c r="BA2" s="746"/>
      <c r="BB2" s="746"/>
      <c r="BC2" s="746"/>
      <c r="BD2" s="746"/>
      <c r="BE2" s="1"/>
      <c r="BF2" s="1"/>
    </row>
    <row r="3" spans="1:58" ht="22.5" customHeight="1" x14ac:dyDescent="0.3">
      <c r="A3" s="747"/>
      <c r="B3" s="747"/>
      <c r="C3" s="747"/>
      <c r="D3" s="748"/>
      <c r="E3" s="1"/>
      <c r="F3" s="3"/>
      <c r="G3" s="3"/>
      <c r="H3" s="3"/>
      <c r="I3" s="4"/>
      <c r="J3" s="5" t="s">
        <v>3</v>
      </c>
      <c r="K3" s="6" t="s">
        <v>4</v>
      </c>
      <c r="L3" s="7" t="s">
        <v>5</v>
      </c>
      <c r="M3" s="8" t="s">
        <v>6</v>
      </c>
      <c r="N3" s="9" t="s">
        <v>7</v>
      </c>
      <c r="O3" s="10" t="s">
        <v>8</v>
      </c>
      <c r="P3" s="11" t="s">
        <v>9</v>
      </c>
      <c r="Q3" s="4"/>
      <c r="R3" s="3"/>
      <c r="S3" s="3"/>
      <c r="T3" s="3"/>
      <c r="U3" s="3"/>
      <c r="V3" s="3"/>
      <c r="W3" s="3"/>
      <c r="X3" s="3"/>
      <c r="Y3" s="12"/>
      <c r="Z3" s="3"/>
      <c r="AA3" s="13"/>
      <c r="AB3" s="3"/>
      <c r="AC3" s="3"/>
      <c r="AD3" s="3"/>
      <c r="AE3" s="3"/>
      <c r="AF3" s="12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5"/>
    </row>
    <row r="4" spans="1:58" ht="15.75" x14ac:dyDescent="0.25">
      <c r="A4" s="749"/>
      <c r="B4" s="749"/>
      <c r="C4" s="749"/>
      <c r="D4" s="750"/>
      <c r="E4" s="16"/>
      <c r="F4" s="3"/>
      <c r="H4" s="3"/>
      <c r="I4" s="17" t="s">
        <v>10</v>
      </c>
      <c r="J4" s="18" t="s">
        <v>11</v>
      </c>
      <c r="K4" s="18" t="s">
        <v>11</v>
      </c>
      <c r="L4" s="18" t="s">
        <v>11</v>
      </c>
      <c r="M4" s="18" t="s">
        <v>11</v>
      </c>
      <c r="N4" s="18" t="s">
        <v>11</v>
      </c>
      <c r="O4" s="18" t="s">
        <v>11</v>
      </c>
      <c r="P4" s="18" t="s">
        <v>11</v>
      </c>
      <c r="Q4" s="17"/>
      <c r="R4" s="3"/>
      <c r="S4" s="3"/>
      <c r="T4" s="3"/>
      <c r="U4" s="3"/>
      <c r="V4" s="3"/>
      <c r="W4" s="3"/>
      <c r="X4" s="3"/>
      <c r="Y4" s="12"/>
      <c r="Z4" s="3"/>
      <c r="AA4" s="3"/>
      <c r="AB4" s="3"/>
      <c r="AC4" s="3"/>
      <c r="AD4" s="19"/>
      <c r="AE4" s="19"/>
      <c r="AF4" s="20"/>
      <c r="AG4" s="19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21"/>
      <c r="AU4" s="21"/>
      <c r="AV4" s="21"/>
      <c r="AW4" s="21"/>
      <c r="AX4" s="21"/>
      <c r="AY4" s="21"/>
      <c r="AZ4" s="22"/>
      <c r="BA4" s="22"/>
      <c r="BB4" s="22"/>
      <c r="BC4" s="22"/>
      <c r="BD4" s="22"/>
      <c r="BE4" s="23"/>
    </row>
    <row r="5" spans="1:58" ht="23.25" x14ac:dyDescent="0.25">
      <c r="A5" s="749"/>
      <c r="B5" s="749"/>
      <c r="C5" s="749"/>
      <c r="D5" s="750"/>
      <c r="E5" s="24" t="s">
        <v>12</v>
      </c>
      <c r="F5" s="3"/>
      <c r="G5" s="3"/>
      <c r="H5" s="3"/>
      <c r="I5" s="3"/>
      <c r="J5" s="25">
        <v>1</v>
      </c>
      <c r="K5" s="25">
        <v>2</v>
      </c>
      <c r="L5" s="25">
        <v>3</v>
      </c>
      <c r="M5" s="25">
        <v>4</v>
      </c>
      <c r="N5" s="25">
        <v>5</v>
      </c>
      <c r="O5" s="25">
        <v>6</v>
      </c>
      <c r="P5" s="25">
        <v>7</v>
      </c>
      <c r="Q5" s="26"/>
      <c r="R5" s="26"/>
      <c r="S5" s="3"/>
      <c r="T5" s="3"/>
      <c r="U5" s="3"/>
      <c r="V5" s="3"/>
      <c r="W5" s="3"/>
      <c r="X5" s="3"/>
      <c r="Y5" s="12"/>
      <c r="Z5" s="3"/>
      <c r="AA5" s="3"/>
      <c r="AB5" s="3"/>
      <c r="AC5" s="19"/>
      <c r="AD5" s="19"/>
      <c r="AE5" s="3"/>
      <c r="AF5" s="12"/>
      <c r="AG5" s="3"/>
      <c r="AH5" s="27"/>
      <c r="AI5" s="1"/>
      <c r="AJ5" s="1"/>
      <c r="AK5" s="3"/>
      <c r="AM5" s="3"/>
      <c r="AN5" s="3"/>
      <c r="AO5" s="3"/>
      <c r="AP5" s="3"/>
      <c r="AQ5" s="3"/>
      <c r="AR5" s="3"/>
      <c r="AS5" s="3"/>
      <c r="AT5" s="21"/>
      <c r="AU5" s="21"/>
      <c r="AV5" s="21"/>
      <c r="AW5" s="21"/>
      <c r="AX5" s="21"/>
      <c r="AY5" s="21"/>
      <c r="AZ5" s="22"/>
      <c r="BA5" s="22"/>
      <c r="BB5" s="22"/>
      <c r="BC5" s="22"/>
      <c r="BD5" s="22"/>
      <c r="BE5" s="28"/>
    </row>
    <row r="6" spans="1:58" ht="23.25" x14ac:dyDescent="0.25">
      <c r="A6" s="3"/>
      <c r="B6" s="3"/>
      <c r="C6" s="3"/>
      <c r="D6" s="12"/>
      <c r="E6" s="29" t="s">
        <v>13</v>
      </c>
      <c r="F6" s="3"/>
      <c r="G6" s="3"/>
      <c r="H6" s="3"/>
      <c r="I6" s="3"/>
      <c r="J6" s="3"/>
      <c r="K6" s="3"/>
      <c r="N6" s="30"/>
      <c r="O6" s="3"/>
      <c r="P6" s="3"/>
      <c r="Q6" s="3"/>
      <c r="R6" s="3"/>
      <c r="S6" s="3"/>
      <c r="T6" s="3"/>
      <c r="U6" s="3"/>
      <c r="V6" s="3"/>
      <c r="W6" s="3"/>
      <c r="X6" s="3"/>
      <c r="Y6" s="12"/>
      <c r="Z6" s="3"/>
      <c r="AA6" s="3"/>
      <c r="AB6" s="3"/>
      <c r="AC6" s="31"/>
      <c r="AD6" s="3"/>
      <c r="AE6" s="3"/>
      <c r="AF6" s="12"/>
      <c r="AG6" s="3"/>
      <c r="AH6" s="1"/>
      <c r="AI6" s="32"/>
      <c r="AJ6" s="32"/>
      <c r="AK6" s="3"/>
      <c r="AM6" s="3"/>
      <c r="AN6" s="3"/>
      <c r="AO6" s="3"/>
      <c r="AP6" s="3"/>
      <c r="AQ6" s="3"/>
      <c r="AR6" s="3"/>
      <c r="AS6" s="3"/>
      <c r="AT6" s="21"/>
      <c r="AU6" s="21"/>
      <c r="AV6" s="21"/>
      <c r="AW6" s="21"/>
      <c r="AX6" s="21"/>
      <c r="AY6" s="21"/>
      <c r="AZ6" s="22"/>
      <c r="BA6" s="22"/>
      <c r="BB6" s="22"/>
      <c r="BC6" s="22"/>
      <c r="BD6" s="22"/>
      <c r="BE6" s="33"/>
    </row>
    <row r="7" spans="1:58" ht="23.25" x14ac:dyDescent="0.25">
      <c r="A7" s="3"/>
      <c r="B7" s="3"/>
      <c r="C7" s="3"/>
      <c r="D7" s="12"/>
      <c r="E7" s="34" t="s">
        <v>14</v>
      </c>
      <c r="F7" s="3"/>
      <c r="G7" s="3"/>
      <c r="H7" s="3"/>
      <c r="I7" s="3"/>
      <c r="J7" s="3"/>
      <c r="K7" s="3"/>
      <c r="M7" s="3"/>
      <c r="N7" s="30"/>
      <c r="O7" s="35"/>
      <c r="P7" s="30"/>
      <c r="Q7" s="30"/>
      <c r="R7" s="30"/>
      <c r="S7" s="30"/>
      <c r="T7" s="36"/>
      <c r="U7" s="3"/>
      <c r="V7" s="36"/>
      <c r="W7" s="3"/>
      <c r="X7" s="3"/>
      <c r="Y7" s="12"/>
      <c r="Z7" s="3"/>
      <c r="AA7" s="3"/>
      <c r="AB7" s="3"/>
      <c r="AC7" s="37"/>
      <c r="AD7" s="3"/>
      <c r="AE7" s="3"/>
      <c r="AF7" s="12"/>
      <c r="AG7" s="3"/>
      <c r="AH7" s="32"/>
      <c r="AI7" s="1"/>
      <c r="AJ7" s="38"/>
      <c r="AK7" s="3"/>
      <c r="AM7" s="3"/>
      <c r="AN7" s="3"/>
      <c r="AO7" s="3"/>
      <c r="AP7" s="3"/>
      <c r="AQ7" s="3"/>
      <c r="AR7" s="3"/>
      <c r="AS7" s="3"/>
      <c r="AT7" s="21"/>
      <c r="AU7" s="21"/>
      <c r="AV7" s="21"/>
      <c r="AW7" s="21"/>
      <c r="AX7" s="21"/>
      <c r="AY7" s="21"/>
      <c r="AZ7" s="22"/>
      <c r="BA7" s="22"/>
      <c r="BB7" s="22"/>
      <c r="BC7" s="22"/>
      <c r="BD7" s="22"/>
      <c r="BE7" s="28"/>
    </row>
    <row r="8" spans="1:58" ht="23.25" x14ac:dyDescent="0.25">
      <c r="A8" s="3"/>
      <c r="B8" s="3"/>
      <c r="C8" s="3"/>
      <c r="D8" s="12"/>
      <c r="E8" s="39"/>
      <c r="F8" s="3"/>
      <c r="G8" s="3"/>
      <c r="H8" s="3"/>
      <c r="I8" s="3"/>
      <c r="J8" s="3"/>
      <c r="K8" s="3"/>
      <c r="L8" s="3"/>
      <c r="M8" s="3"/>
      <c r="P8" s="30"/>
      <c r="Q8" s="30"/>
      <c r="R8" s="26"/>
      <c r="S8" s="3"/>
      <c r="T8" s="36"/>
      <c r="U8" s="3"/>
      <c r="V8" s="36"/>
      <c r="W8" s="3"/>
      <c r="X8" s="3"/>
      <c r="Y8" s="12"/>
      <c r="Z8" s="3"/>
      <c r="AA8" s="3"/>
      <c r="AB8" s="3"/>
      <c r="AC8" s="37"/>
      <c r="AD8" s="3"/>
      <c r="AE8" s="3"/>
      <c r="AF8" s="12"/>
      <c r="AG8" s="3"/>
      <c r="AH8" s="32"/>
      <c r="AI8" s="1"/>
      <c r="AJ8" s="38"/>
      <c r="AK8" s="3"/>
      <c r="AM8" s="3"/>
      <c r="AN8" s="3"/>
      <c r="AO8" s="3"/>
      <c r="AP8" s="3"/>
      <c r="AQ8" s="3"/>
      <c r="AR8" s="3"/>
      <c r="AS8" s="3"/>
      <c r="AT8" s="21"/>
      <c r="AU8" s="21"/>
      <c r="AV8" s="21"/>
      <c r="AW8" s="21"/>
      <c r="AX8" s="21"/>
      <c r="AY8" s="21"/>
      <c r="AZ8" s="22"/>
      <c r="BA8" s="22"/>
      <c r="BB8" s="22"/>
      <c r="BC8" s="22"/>
      <c r="BD8" s="22"/>
      <c r="BE8" s="40"/>
    </row>
    <row r="9" spans="1:58" ht="23.25" x14ac:dyDescent="0.25">
      <c r="A9" s="3"/>
      <c r="B9" s="3"/>
      <c r="C9" s="3"/>
      <c r="D9" s="12"/>
      <c r="E9" s="39"/>
      <c r="F9" s="37"/>
      <c r="G9" s="3"/>
      <c r="H9" s="3"/>
      <c r="I9" s="3"/>
      <c r="J9" s="3"/>
      <c r="M9" s="3"/>
      <c r="R9" s="3"/>
      <c r="S9" s="3"/>
      <c r="T9" s="36"/>
      <c r="U9" s="3"/>
      <c r="V9" s="36"/>
      <c r="W9" s="3"/>
      <c r="X9" s="3"/>
      <c r="Y9" s="12"/>
      <c r="Z9" s="3"/>
      <c r="AA9" s="3"/>
      <c r="AB9" s="3"/>
      <c r="AC9" s="31"/>
      <c r="AD9" s="3"/>
      <c r="AE9" s="3"/>
      <c r="AF9" s="12"/>
      <c r="AG9" s="3"/>
      <c r="AH9" s="41"/>
      <c r="AI9" s="42"/>
      <c r="AJ9" s="32"/>
      <c r="AK9" s="3"/>
      <c r="AM9" s="3"/>
      <c r="AN9" s="3"/>
      <c r="AO9" s="3"/>
      <c r="AP9" s="3"/>
      <c r="AQ9" s="3"/>
      <c r="AR9" s="3"/>
      <c r="AS9" s="3"/>
      <c r="AT9" s="21"/>
      <c r="AU9" s="21"/>
      <c r="AV9" s="21"/>
      <c r="AW9" s="21"/>
      <c r="AX9" s="21"/>
      <c r="AY9" s="21"/>
      <c r="AZ9" s="22"/>
      <c r="BA9" s="22"/>
      <c r="BB9" s="22"/>
      <c r="BC9" s="22"/>
      <c r="BD9" s="22"/>
      <c r="BE9" s="43"/>
    </row>
    <row r="10" spans="1:58" ht="23.25" x14ac:dyDescent="0.25">
      <c r="A10" s="3"/>
      <c r="B10" s="3"/>
      <c r="C10" s="3"/>
      <c r="D10" s="12"/>
      <c r="E10" s="44" t="s">
        <v>15</v>
      </c>
      <c r="F10" s="45"/>
      <c r="G10" s="3"/>
      <c r="H10" s="3"/>
      <c r="I10" s="3"/>
      <c r="J10" s="3"/>
      <c r="M10" s="3"/>
      <c r="N10" s="1"/>
      <c r="O10" s="35"/>
      <c r="R10" s="30"/>
      <c r="S10" s="30"/>
      <c r="T10" s="3"/>
      <c r="U10" s="3"/>
      <c r="V10" s="3"/>
      <c r="W10" s="3"/>
      <c r="X10" s="3"/>
      <c r="Y10" s="12"/>
      <c r="Z10" s="3"/>
      <c r="AA10" s="46"/>
      <c r="AB10" s="46"/>
      <c r="AC10" s="47"/>
      <c r="AD10" s="3"/>
      <c r="AE10" s="46"/>
      <c r="AF10" s="48"/>
      <c r="AG10" s="3"/>
      <c r="AH10" s="41"/>
      <c r="AI10" s="42"/>
      <c r="AJ10" s="32"/>
      <c r="AK10" s="46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23"/>
    </row>
    <row r="11" spans="1:58" ht="23.25" x14ac:dyDescent="0.25">
      <c r="A11" s="3"/>
      <c r="B11" s="3"/>
      <c r="C11" s="3"/>
      <c r="D11" s="12"/>
      <c r="E11" s="44" t="s">
        <v>15</v>
      </c>
      <c r="F11" s="45"/>
      <c r="G11" s="3"/>
      <c r="H11" s="3"/>
      <c r="I11" s="3"/>
      <c r="J11" s="3"/>
      <c r="K11" s="3"/>
      <c r="L11" s="3"/>
      <c r="M11" s="3"/>
      <c r="O11" s="35"/>
      <c r="P11" s="30"/>
      <c r="Q11" s="30"/>
      <c r="R11" s="45"/>
      <c r="S11" s="45"/>
      <c r="T11" s="3"/>
      <c r="U11" s="3"/>
      <c r="V11" s="3"/>
      <c r="W11" s="3"/>
      <c r="X11" s="3"/>
      <c r="Y11" s="12"/>
      <c r="Z11" s="3"/>
      <c r="AA11" s="47"/>
      <c r="AB11" s="47"/>
      <c r="AC11" s="13"/>
      <c r="AD11" s="3"/>
      <c r="AE11" s="46"/>
      <c r="AF11" s="48"/>
      <c r="AG11" s="3"/>
      <c r="AH11" s="32"/>
      <c r="AI11" s="32"/>
      <c r="AJ11" s="38"/>
      <c r="AK11" s="46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3"/>
    </row>
    <row r="12" spans="1:58" ht="24" thickBot="1" x14ac:dyDescent="0.3">
      <c r="A12" s="3"/>
      <c r="B12" s="3"/>
      <c r="C12" s="3"/>
      <c r="D12" s="12"/>
      <c r="E12" s="49"/>
      <c r="F12" s="50"/>
      <c r="G12" s="51"/>
      <c r="H12" s="52" t="s">
        <v>16</v>
      </c>
      <c r="I12" s="52" t="s">
        <v>16</v>
      </c>
      <c r="J12" s="50"/>
      <c r="K12" s="50"/>
      <c r="L12" s="50"/>
      <c r="M12" s="53"/>
      <c r="N12" s="50"/>
      <c r="Q12" s="44" t="s">
        <v>15</v>
      </c>
      <c r="R12" s="44" t="s">
        <v>15</v>
      </c>
      <c r="S12" s="44" t="s">
        <v>15</v>
      </c>
      <c r="T12" s="44" t="s">
        <v>15</v>
      </c>
      <c r="U12" s="44" t="s">
        <v>15</v>
      </c>
      <c r="V12" s="54"/>
      <c r="W12" s="54"/>
      <c r="X12" s="54"/>
      <c r="Y12" s="12"/>
      <c r="Z12" s="3"/>
      <c r="AA12" s="45"/>
      <c r="AB12" s="3"/>
      <c r="AC12" s="3"/>
      <c r="AD12" s="3"/>
      <c r="AE12" s="3"/>
      <c r="AF12" s="12"/>
      <c r="AG12" s="3"/>
      <c r="AH12" s="32"/>
      <c r="AI12" s="42"/>
      <c r="AJ12" s="32"/>
      <c r="AK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23"/>
    </row>
    <row r="13" spans="1:58" ht="23.25" x14ac:dyDescent="0.25">
      <c r="A13" s="3"/>
      <c r="B13" s="3"/>
      <c r="C13" s="3"/>
      <c r="D13" s="12"/>
      <c r="E13" s="3"/>
      <c r="F13" s="37"/>
      <c r="G13" s="37"/>
      <c r="H13" s="37"/>
      <c r="I13" s="37"/>
      <c r="J13" s="24" t="s">
        <v>12</v>
      </c>
      <c r="K13" s="24" t="s">
        <v>12</v>
      </c>
      <c r="L13" s="24" t="s">
        <v>12</v>
      </c>
      <c r="M13" s="24" t="s">
        <v>12</v>
      </c>
      <c r="N13" s="45"/>
      <c r="O13" s="977" t="s">
        <v>17</v>
      </c>
      <c r="P13" s="978"/>
      <c r="Q13" s="55" t="s">
        <v>12</v>
      </c>
      <c r="R13" s="24" t="s">
        <v>12</v>
      </c>
      <c r="S13" s="24" t="s">
        <v>12</v>
      </c>
      <c r="T13" s="24" t="s">
        <v>12</v>
      </c>
      <c r="U13" s="24" t="s">
        <v>12</v>
      </c>
      <c r="V13" s="3"/>
      <c r="W13" s="3"/>
      <c r="X13" s="3"/>
      <c r="Y13" s="981"/>
      <c r="Z13" s="3"/>
      <c r="AA13" s="45"/>
      <c r="AB13" s="3"/>
      <c r="AC13" s="3"/>
      <c r="AD13" s="3"/>
      <c r="AE13" s="3"/>
      <c r="AF13" s="12"/>
      <c r="AG13" s="3"/>
      <c r="AH13" s="32"/>
      <c r="AI13" s="42"/>
      <c r="AJ13" s="32"/>
      <c r="AK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23"/>
    </row>
    <row r="14" spans="1:58" ht="16.5" thickBot="1" x14ac:dyDescent="0.3">
      <c r="A14" s="3"/>
      <c r="B14" s="3"/>
      <c r="C14" s="3"/>
      <c r="D14" s="48"/>
      <c r="E14" s="56"/>
      <c r="F14" s="37"/>
      <c r="G14" s="57"/>
      <c r="N14" s="45"/>
      <c r="O14" s="979"/>
      <c r="P14" s="980"/>
      <c r="Q14" s="3"/>
      <c r="R14" s="3"/>
      <c r="S14" s="1"/>
      <c r="T14" s="3"/>
      <c r="U14" s="3"/>
      <c r="V14" s="3"/>
      <c r="W14" s="3"/>
      <c r="X14" s="3"/>
      <c r="Y14" s="982"/>
      <c r="Z14" s="3"/>
      <c r="AA14" s="45"/>
      <c r="AB14" s="3"/>
      <c r="AC14" s="3"/>
      <c r="AD14" s="3"/>
      <c r="AE14" s="3"/>
      <c r="AF14" s="12"/>
      <c r="AG14" s="3"/>
      <c r="AH14" s="3"/>
      <c r="AI14" s="3"/>
      <c r="AJ14" s="1"/>
      <c r="AK14" s="3"/>
      <c r="AM14" s="3"/>
      <c r="AN14" s="3"/>
      <c r="AO14" s="3"/>
      <c r="AP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28"/>
    </row>
    <row r="15" spans="1:58" ht="15.75" x14ac:dyDescent="0.25">
      <c r="A15" s="3"/>
      <c r="B15" s="3"/>
      <c r="C15" s="3"/>
      <c r="D15" s="48"/>
      <c r="E15" s="58" t="s">
        <v>18</v>
      </c>
      <c r="F15" s="56"/>
      <c r="G15" s="57"/>
      <c r="H15" s="59"/>
      <c r="M15" s="59"/>
      <c r="N15" s="3"/>
      <c r="O15" s="59"/>
      <c r="P15" s="3"/>
      <c r="Q15" s="3"/>
      <c r="R15" s="3"/>
      <c r="S15" s="3"/>
      <c r="T15" s="3"/>
      <c r="U15" s="3"/>
      <c r="V15" s="3"/>
      <c r="W15" s="3"/>
      <c r="X15" s="3"/>
      <c r="Y15" s="982"/>
      <c r="Z15" s="3"/>
      <c r="AA15" s="45"/>
      <c r="AB15" s="3"/>
      <c r="AC15" s="3"/>
      <c r="AD15" s="1"/>
      <c r="AE15" s="3"/>
      <c r="AF15" s="12"/>
      <c r="AG15" s="3"/>
      <c r="AH15" s="3"/>
      <c r="AI15" s="3"/>
      <c r="AJ15" s="3"/>
      <c r="AK15" s="3"/>
      <c r="AM15" s="3"/>
      <c r="AN15" s="3"/>
      <c r="AO15" s="3"/>
      <c r="AP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28"/>
    </row>
    <row r="16" spans="1:58" ht="15.75" x14ac:dyDescent="0.25">
      <c r="A16" s="3"/>
      <c r="B16" s="3"/>
      <c r="C16" s="3"/>
      <c r="D16" s="48"/>
      <c r="E16" s="58" t="s">
        <v>18</v>
      </c>
      <c r="F16" s="56"/>
      <c r="G16" s="57"/>
      <c r="H16" s="59"/>
      <c r="I16" s="3"/>
      <c r="J16" s="29" t="s">
        <v>13</v>
      </c>
      <c r="K16" s="29" t="s">
        <v>13</v>
      </c>
      <c r="L16" s="60" t="s">
        <v>19</v>
      </c>
      <c r="M16" s="29" t="s">
        <v>20</v>
      </c>
      <c r="O16" s="3"/>
      <c r="Q16" s="55" t="s">
        <v>12</v>
      </c>
      <c r="R16" s="55" t="s">
        <v>12</v>
      </c>
      <c r="S16" s="3"/>
      <c r="T16" s="3"/>
      <c r="U16" s="3"/>
      <c r="V16" s="3"/>
      <c r="W16" s="3"/>
      <c r="X16" s="3"/>
      <c r="Y16" s="982"/>
      <c r="Z16" s="3"/>
      <c r="AA16" s="45"/>
      <c r="AB16" s="3"/>
      <c r="AC16" s="3"/>
      <c r="AD16" s="1"/>
      <c r="AE16" s="3"/>
      <c r="AF16" s="12"/>
      <c r="AG16" s="3"/>
      <c r="AH16" s="3"/>
      <c r="AI16" s="3"/>
      <c r="AJ16" s="3"/>
      <c r="AK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23"/>
    </row>
    <row r="17" spans="1:57" ht="15.75" x14ac:dyDescent="0.25">
      <c r="A17" s="3"/>
      <c r="B17" s="3"/>
      <c r="C17" s="3"/>
      <c r="D17" s="48"/>
      <c r="E17" s="58" t="s">
        <v>18</v>
      </c>
      <c r="F17" s="56"/>
      <c r="G17" s="57"/>
      <c r="H17" s="59"/>
      <c r="I17" s="3"/>
      <c r="J17" s="61" t="s">
        <v>13</v>
      </c>
      <c r="K17" s="61" t="s">
        <v>13</v>
      </c>
      <c r="L17" s="62" t="s">
        <v>14</v>
      </c>
      <c r="M17" s="63" t="s">
        <v>19</v>
      </c>
      <c r="O17" s="3"/>
      <c r="Q17" s="62" t="s">
        <v>14</v>
      </c>
      <c r="R17" s="62" t="s">
        <v>14</v>
      </c>
      <c r="S17" s="3"/>
      <c r="T17" s="3"/>
      <c r="U17" s="3"/>
      <c r="V17" s="3"/>
      <c r="W17" s="3"/>
      <c r="X17" s="3"/>
      <c r="Y17" s="982"/>
      <c r="Z17" s="3"/>
      <c r="AA17" s="45"/>
      <c r="AB17" s="3"/>
      <c r="AC17" s="3"/>
      <c r="AD17" s="1"/>
      <c r="AE17" s="3"/>
      <c r="AF17" s="12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23"/>
    </row>
    <row r="18" spans="1:57" ht="15.75" x14ac:dyDescent="0.25">
      <c r="A18" s="3"/>
      <c r="B18" s="3"/>
      <c r="C18" s="3"/>
      <c r="D18" s="48"/>
      <c r="E18" s="58" t="s">
        <v>18</v>
      </c>
      <c r="F18" s="56"/>
      <c r="G18" s="57"/>
      <c r="I18" s="3"/>
      <c r="K18" s="3"/>
      <c r="L18" s="59"/>
      <c r="M18" s="64"/>
      <c r="N18" s="64"/>
      <c r="O18" s="64"/>
      <c r="P18" s="64"/>
      <c r="Q18" s="65"/>
      <c r="R18" s="65"/>
      <c r="S18" s="65"/>
      <c r="T18" s="3"/>
      <c r="U18" s="3"/>
      <c r="V18" s="3"/>
      <c r="W18" s="3"/>
      <c r="X18" s="3"/>
      <c r="Y18" s="982"/>
      <c r="Z18" s="46" t="s">
        <v>21</v>
      </c>
      <c r="AA18" s="45"/>
      <c r="AB18" s="3"/>
      <c r="AC18" s="66"/>
      <c r="AD18" s="3"/>
      <c r="AE18" s="3"/>
      <c r="AF18" s="12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23"/>
    </row>
    <row r="19" spans="1:57" ht="18.75" x14ac:dyDescent="0.3">
      <c r="A19" s="19"/>
      <c r="B19" s="19"/>
      <c r="C19" s="19"/>
      <c r="D19" s="20"/>
      <c r="E19" s="58" t="s">
        <v>18</v>
      </c>
      <c r="F19" s="56"/>
      <c r="H19" s="758" t="s">
        <v>22</v>
      </c>
      <c r="I19" s="758"/>
      <c r="J19" s="758"/>
      <c r="K19" s="758"/>
      <c r="L19" s="758"/>
      <c r="M19" s="67"/>
      <c r="N19" s="67" t="s">
        <v>23</v>
      </c>
      <c r="O19" s="67"/>
      <c r="Q19" s="67"/>
      <c r="R19" s="67" t="s">
        <v>22</v>
      </c>
      <c r="S19" s="67"/>
      <c r="T19" s="3"/>
      <c r="U19" s="3"/>
      <c r="V19" s="3"/>
      <c r="W19" s="3"/>
      <c r="X19" s="3"/>
      <c r="Y19" s="982"/>
      <c r="Z19" s="46" t="s">
        <v>21</v>
      </c>
      <c r="AA19" s="45"/>
      <c r="AB19" s="3"/>
      <c r="AC19" s="3"/>
      <c r="AD19" s="3"/>
      <c r="AE19" s="3"/>
      <c r="AF19" s="12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23"/>
    </row>
    <row r="20" spans="1:57" ht="20.25" x14ac:dyDescent="0.25">
      <c r="A20" s="19"/>
      <c r="B20" s="19"/>
      <c r="C20" s="19"/>
      <c r="D20" s="68"/>
      <c r="E20" s="58" t="s">
        <v>18</v>
      </c>
      <c r="F20" s="56"/>
      <c r="H20" s="25"/>
      <c r="I20" s="25"/>
      <c r="J20" s="25"/>
      <c r="K20" s="25"/>
      <c r="M20" s="69">
        <v>1</v>
      </c>
      <c r="O20" s="69">
        <v>2</v>
      </c>
      <c r="P20" s="70"/>
      <c r="Q20" s="69">
        <v>3</v>
      </c>
      <c r="R20" s="69">
        <v>4</v>
      </c>
      <c r="S20" s="69">
        <v>5</v>
      </c>
      <c r="T20" s="65"/>
      <c r="V20" s="3"/>
      <c r="W20" s="3"/>
      <c r="X20" s="3"/>
      <c r="Y20" s="982"/>
      <c r="Z20" s="46" t="s">
        <v>21</v>
      </c>
      <c r="AA20" s="45"/>
      <c r="AB20" s="3"/>
      <c r="AC20" s="3"/>
      <c r="AD20" s="3"/>
      <c r="AE20" s="3"/>
      <c r="AF20" s="12"/>
      <c r="AG20" s="3"/>
      <c r="AH20" s="3"/>
      <c r="AI20" s="3"/>
      <c r="AJ20" s="3"/>
      <c r="AK20" s="3"/>
      <c r="AL20" s="3"/>
      <c r="AM20" s="71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23"/>
    </row>
    <row r="21" spans="1:57" ht="20.25" x14ac:dyDescent="0.25">
      <c r="A21" s="19"/>
      <c r="B21" s="19"/>
      <c r="C21" s="19"/>
      <c r="D21" s="20"/>
      <c r="E21" s="56"/>
      <c r="H21" s="17" t="s">
        <v>24</v>
      </c>
      <c r="I21" s="72" t="s">
        <v>25</v>
      </c>
      <c r="J21" s="72" t="s">
        <v>25</v>
      </c>
      <c r="K21" s="72" t="s">
        <v>25</v>
      </c>
      <c r="L21" s="69"/>
      <c r="M21" s="72" t="s">
        <v>25</v>
      </c>
      <c r="N21" s="69"/>
      <c r="O21" s="72" t="s">
        <v>25</v>
      </c>
      <c r="P21" s="73"/>
      <c r="Q21" s="72" t="s">
        <v>25</v>
      </c>
      <c r="R21" s="74" t="s">
        <v>25</v>
      </c>
      <c r="S21" s="72" t="s">
        <v>25</v>
      </c>
      <c r="T21" s="17" t="s">
        <v>26</v>
      </c>
      <c r="U21" s="65"/>
      <c r="V21" s="3"/>
      <c r="W21" s="3"/>
      <c r="X21" s="3"/>
      <c r="Y21" s="982"/>
      <c r="Z21" s="46"/>
      <c r="AA21" s="45"/>
      <c r="AB21" s="3"/>
      <c r="AC21" s="3"/>
      <c r="AD21" s="3"/>
      <c r="AE21" s="3"/>
      <c r="AF21" s="12"/>
      <c r="AG21" s="75"/>
      <c r="AH21" s="3"/>
      <c r="AI21" s="3"/>
      <c r="AJ21" s="3"/>
      <c r="AK21" s="3"/>
      <c r="AL21" s="3"/>
      <c r="AM21" s="71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23"/>
    </row>
    <row r="22" spans="1:57" ht="26.25" x14ac:dyDescent="0.25">
      <c r="A22" s="19"/>
      <c r="B22" s="19"/>
      <c r="C22" s="19"/>
      <c r="D22" s="20"/>
      <c r="E22" s="976" t="s">
        <v>27</v>
      </c>
      <c r="F22" s="976"/>
      <c r="H22" s="759" t="s">
        <v>28</v>
      </c>
      <c r="I22" s="77" t="s">
        <v>29</v>
      </c>
      <c r="J22" s="77" t="s">
        <v>29</v>
      </c>
      <c r="K22" s="5" t="s">
        <v>3</v>
      </c>
      <c r="L22" s="78"/>
      <c r="M22" s="79" t="s">
        <v>30</v>
      </c>
      <c r="N22" s="78"/>
      <c r="O22" s="79" t="s">
        <v>30</v>
      </c>
      <c r="P22" s="73"/>
      <c r="Q22" s="80" t="s">
        <v>31</v>
      </c>
      <c r="R22" s="81" t="s">
        <v>32</v>
      </c>
      <c r="S22" s="81" t="s">
        <v>32</v>
      </c>
      <c r="T22" s="82" t="s">
        <v>33</v>
      </c>
      <c r="U22" s="65"/>
      <c r="V22" s="3"/>
      <c r="W22" s="3"/>
      <c r="X22" s="3"/>
      <c r="Y22" s="982"/>
      <c r="Z22" s="46"/>
      <c r="AA22" s="45"/>
      <c r="AB22" s="3"/>
      <c r="AC22" s="3"/>
      <c r="AD22" s="3"/>
      <c r="AE22" s="3"/>
      <c r="AF22" s="12"/>
      <c r="AG22" s="75"/>
      <c r="AH22" s="3"/>
      <c r="AI22" s="3"/>
      <c r="AJ22" s="3"/>
      <c r="AK22" s="3"/>
      <c r="AL22" s="3"/>
      <c r="AM22" s="3"/>
      <c r="AN22" s="3"/>
      <c r="AO22" s="8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23"/>
    </row>
    <row r="23" spans="1:57" ht="24" thickBot="1" x14ac:dyDescent="0.3">
      <c r="A23" s="19"/>
      <c r="B23" s="19"/>
      <c r="D23" s="20"/>
      <c r="E23" s="58" t="s">
        <v>18</v>
      </c>
      <c r="F23" s="84"/>
      <c r="H23" s="759"/>
      <c r="I23" s="85" t="s">
        <v>34</v>
      </c>
      <c r="J23" s="8" t="s">
        <v>6</v>
      </c>
      <c r="K23" s="5" t="s">
        <v>3</v>
      </c>
      <c r="L23" s="78"/>
      <c r="M23" s="86" t="s">
        <v>35</v>
      </c>
      <c r="N23" s="78"/>
      <c r="O23" s="86" t="s">
        <v>35</v>
      </c>
      <c r="P23" s="73"/>
      <c r="Q23" s="87" t="s">
        <v>36</v>
      </c>
      <c r="R23" s="80" t="s">
        <v>31</v>
      </c>
      <c r="S23" s="81" t="s">
        <v>32</v>
      </c>
      <c r="T23" s="76"/>
      <c r="U23" s="65"/>
      <c r="V23" s="3"/>
      <c r="W23" s="3"/>
      <c r="X23" s="3"/>
      <c r="Y23" s="982"/>
      <c r="Z23" s="3"/>
      <c r="AA23" s="3"/>
      <c r="AB23" s="3"/>
      <c r="AC23" s="3"/>
      <c r="AD23" s="3"/>
      <c r="AE23" s="3"/>
      <c r="AF23" s="12"/>
      <c r="AG23" s="88"/>
      <c r="AH23" s="54"/>
      <c r="AI23" s="54"/>
      <c r="AJ23" s="54"/>
      <c r="AK23" s="54"/>
      <c r="AL23" s="54"/>
      <c r="AM23" s="54"/>
      <c r="AN23" s="89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3"/>
      <c r="BD23" s="3"/>
      <c r="BE23" s="23"/>
    </row>
    <row r="24" spans="1:57" ht="24" thickBot="1" x14ac:dyDescent="0.3">
      <c r="A24" s="19"/>
      <c r="B24" s="19"/>
      <c r="C24" s="19"/>
      <c r="D24" s="20"/>
      <c r="E24" s="58" t="s">
        <v>18</v>
      </c>
      <c r="F24" s="84"/>
      <c r="H24" s="90"/>
      <c r="I24" s="72" t="s">
        <v>25</v>
      </c>
      <c r="J24" s="72" t="s">
        <v>25</v>
      </c>
      <c r="K24" s="72" t="s">
        <v>25</v>
      </c>
      <c r="L24" s="69"/>
      <c r="M24" s="72" t="s">
        <v>25</v>
      </c>
      <c r="N24" s="69"/>
      <c r="O24" s="72" t="s">
        <v>25</v>
      </c>
      <c r="P24" s="69"/>
      <c r="Q24" s="72" t="s">
        <v>25</v>
      </c>
      <c r="R24" s="74" t="s">
        <v>25</v>
      </c>
      <c r="S24" s="72" t="s">
        <v>25</v>
      </c>
      <c r="T24" s="69"/>
      <c r="V24" s="3"/>
      <c r="W24" s="3"/>
      <c r="X24" s="3"/>
      <c r="Y24" s="983"/>
      <c r="Z24" s="3"/>
      <c r="AA24" s="3"/>
      <c r="AB24" s="3"/>
      <c r="AC24" s="3"/>
      <c r="AD24" s="3"/>
      <c r="AE24" s="3"/>
      <c r="AF24" s="91"/>
      <c r="AG24" s="984" t="s">
        <v>37</v>
      </c>
      <c r="AH24" s="985"/>
      <c r="AI24" s="985"/>
      <c r="AJ24" s="985"/>
      <c r="AK24" s="985"/>
      <c r="AL24" s="986"/>
      <c r="AM24" s="92"/>
      <c r="AN24" s="93"/>
      <c r="AO24" s="92"/>
      <c r="AP24" s="93"/>
      <c r="AQ24" s="92"/>
      <c r="AR24" s="93"/>
      <c r="AS24" s="92"/>
      <c r="AT24" s="3"/>
      <c r="AU24" s="3"/>
      <c r="AV24" s="3"/>
      <c r="AW24" s="3"/>
      <c r="AX24" s="3"/>
      <c r="AY24" s="3"/>
      <c r="AZ24" s="3"/>
      <c r="BA24" s="3"/>
      <c r="BB24" s="3"/>
      <c r="BC24" s="94"/>
      <c r="BD24" s="94"/>
      <c r="BE24" s="23"/>
    </row>
    <row r="25" spans="1:57" ht="23.25" x14ac:dyDescent="0.25">
      <c r="A25" s="19"/>
      <c r="B25" s="19"/>
      <c r="C25" s="19"/>
      <c r="D25" s="20"/>
      <c r="E25" s="58" t="s">
        <v>18</v>
      </c>
      <c r="F25" s="95"/>
      <c r="H25" s="25"/>
      <c r="I25" s="25"/>
      <c r="J25" s="25"/>
      <c r="K25" s="25"/>
      <c r="M25" s="69">
        <v>8</v>
      </c>
      <c r="O25" s="69">
        <v>7</v>
      </c>
      <c r="P25" s="70"/>
      <c r="Q25" s="69">
        <v>8</v>
      </c>
      <c r="R25" s="69">
        <v>7</v>
      </c>
      <c r="S25" s="69">
        <v>6</v>
      </c>
      <c r="T25" s="65"/>
      <c r="U25" s="3"/>
      <c r="V25" s="3"/>
      <c r="W25" s="3"/>
      <c r="X25" s="3"/>
      <c r="Y25" s="981" t="s">
        <v>38</v>
      </c>
      <c r="Z25" s="1"/>
      <c r="AA25" s="1"/>
      <c r="AB25" s="1"/>
      <c r="AC25" s="1"/>
      <c r="AD25" s="1"/>
      <c r="AE25" s="1"/>
      <c r="AF25" s="12"/>
      <c r="AG25" s="987"/>
      <c r="AH25" s="988"/>
      <c r="AI25" s="988"/>
      <c r="AJ25" s="988"/>
      <c r="AK25" s="988"/>
      <c r="AL25" s="989"/>
      <c r="AM25" s="96"/>
      <c r="AN25" s="97"/>
      <c r="AO25" s="96"/>
      <c r="AP25" s="97"/>
      <c r="AQ25" s="96"/>
      <c r="AR25" s="97"/>
      <c r="AS25" s="98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23"/>
    </row>
    <row r="26" spans="1:57" ht="23.25" x14ac:dyDescent="0.3">
      <c r="A26" s="19"/>
      <c r="C26" s="99"/>
      <c r="D26" s="20"/>
      <c r="E26" s="58" t="s">
        <v>18</v>
      </c>
      <c r="F26" s="95"/>
      <c r="H26" s="100"/>
      <c r="I26" s="100"/>
      <c r="J26" s="100"/>
      <c r="K26" s="101"/>
      <c r="L26" s="101"/>
      <c r="Q26" s="70"/>
      <c r="R26" s="70"/>
      <c r="S26" s="102"/>
      <c r="T26" s="37"/>
      <c r="U26" s="3"/>
      <c r="V26" s="3"/>
      <c r="W26" s="3"/>
      <c r="X26" s="3"/>
      <c r="Y26" s="982"/>
      <c r="Z26" s="1"/>
      <c r="AA26" s="1"/>
      <c r="AB26" s="1"/>
      <c r="AC26" s="1"/>
      <c r="AD26" s="1"/>
      <c r="AE26" s="1"/>
      <c r="AF26" s="12"/>
      <c r="AG26" s="987"/>
      <c r="AH26" s="988"/>
      <c r="AI26" s="988"/>
      <c r="AJ26" s="988"/>
      <c r="AK26" s="988"/>
      <c r="AL26" s="989"/>
      <c r="AM26" s="103"/>
      <c r="AN26" s="96"/>
      <c r="AO26" s="92"/>
      <c r="AP26" s="96"/>
      <c r="AQ26" s="103"/>
      <c r="AR26" s="96"/>
      <c r="AS26" s="98"/>
      <c r="AT26" s="3"/>
      <c r="AU26" s="3"/>
      <c r="AV26" s="3"/>
      <c r="AW26" s="3"/>
      <c r="AX26" s="3"/>
      <c r="AY26" s="3"/>
      <c r="AZ26" s="3"/>
      <c r="BA26" s="3"/>
      <c r="BB26" s="3"/>
      <c r="BC26" s="1"/>
      <c r="BD26" s="3"/>
      <c r="BE26" s="23"/>
    </row>
    <row r="27" spans="1:57" ht="18.75" x14ac:dyDescent="0.25">
      <c r="A27" s="19"/>
      <c r="C27" s="99"/>
      <c r="D27" s="20"/>
      <c r="E27" s="58" t="s">
        <v>18</v>
      </c>
      <c r="F27" s="104"/>
      <c r="I27" s="45"/>
      <c r="L27" s="45"/>
      <c r="M27" s="45"/>
      <c r="N27" s="45"/>
      <c r="O27" s="45"/>
      <c r="P27" s="45"/>
      <c r="S27" s="45"/>
      <c r="T27" s="37"/>
      <c r="U27" s="3"/>
      <c r="V27" s="3"/>
      <c r="W27" s="3"/>
      <c r="X27" s="3"/>
      <c r="Y27" s="982"/>
      <c r="Z27" s="1"/>
      <c r="AA27" s="1"/>
      <c r="AB27" s="1"/>
      <c r="AC27" s="1"/>
      <c r="AD27" s="1"/>
      <c r="AE27" s="1"/>
      <c r="AF27" s="68"/>
      <c r="AG27" s="987"/>
      <c r="AH27" s="988"/>
      <c r="AI27" s="988"/>
      <c r="AJ27" s="988"/>
      <c r="AK27" s="988"/>
      <c r="AL27" s="989"/>
      <c r="AM27" s="103"/>
      <c r="AN27" s="737"/>
      <c r="AO27" s="737"/>
      <c r="AP27" s="737"/>
      <c r="AQ27" s="737"/>
      <c r="AR27" s="737"/>
      <c r="AS27" s="98"/>
      <c r="AT27" s="3"/>
      <c r="AU27" s="3"/>
      <c r="AV27" s="3"/>
      <c r="AW27" s="3"/>
      <c r="AX27" s="3"/>
      <c r="AY27" s="3"/>
      <c r="AZ27" s="3"/>
      <c r="BA27" s="3"/>
      <c r="BB27" s="3"/>
      <c r="BC27" s="1"/>
      <c r="BD27" s="3"/>
      <c r="BE27" s="23"/>
    </row>
    <row r="28" spans="1:57" ht="24" thickBot="1" x14ac:dyDescent="0.3">
      <c r="A28" s="19"/>
      <c r="C28" s="99"/>
      <c r="D28" s="20"/>
      <c r="E28" s="58" t="s">
        <v>18</v>
      </c>
      <c r="F28" s="104"/>
      <c r="I28" s="105" t="s">
        <v>39</v>
      </c>
      <c r="J28" s="105" t="s">
        <v>39</v>
      </c>
      <c r="K28" s="105" t="s">
        <v>39</v>
      </c>
      <c r="L28" s="105" t="s">
        <v>39</v>
      </c>
      <c r="M28" s="106" t="s">
        <v>40</v>
      </c>
      <c r="P28" s="95" t="s">
        <v>41</v>
      </c>
      <c r="Q28" s="107" t="s">
        <v>42</v>
      </c>
      <c r="R28" s="107" t="s">
        <v>42</v>
      </c>
      <c r="S28" s="107" t="s">
        <v>42</v>
      </c>
      <c r="T28" s="95" t="s">
        <v>41</v>
      </c>
      <c r="U28" s="108" t="s">
        <v>43</v>
      </c>
      <c r="V28" s="3"/>
      <c r="W28" s="3"/>
      <c r="X28" s="3"/>
      <c r="Y28" s="982"/>
      <c r="Z28" s="1"/>
      <c r="AA28" s="1"/>
      <c r="AB28" s="1"/>
      <c r="AC28" s="1"/>
      <c r="AD28" s="1"/>
      <c r="AE28" s="1"/>
      <c r="AF28" s="12"/>
      <c r="AG28" s="990"/>
      <c r="AH28" s="991"/>
      <c r="AI28" s="991"/>
      <c r="AJ28" s="991"/>
      <c r="AK28" s="991"/>
      <c r="AL28" s="992"/>
      <c r="AM28" s="109"/>
      <c r="AN28" s="103"/>
      <c r="AO28" s="103"/>
      <c r="AP28" s="92"/>
      <c r="AQ28" s="110"/>
      <c r="AR28" s="98"/>
      <c r="AS28" s="98"/>
      <c r="AV28" s="111"/>
      <c r="AW28" s="111"/>
      <c r="AX28" s="111"/>
      <c r="AY28" s="111"/>
      <c r="AZ28" s="98"/>
      <c r="BA28" s="98"/>
      <c r="BB28" s="98"/>
      <c r="BC28" s="1"/>
      <c r="BD28" s="3"/>
      <c r="BE28" s="23"/>
    </row>
    <row r="29" spans="1:57" ht="15.75" x14ac:dyDescent="0.25">
      <c r="A29" s="19"/>
      <c r="B29" s="19"/>
      <c r="C29" s="19"/>
      <c r="D29" s="20"/>
      <c r="E29" s="58" t="s">
        <v>18</v>
      </c>
      <c r="F29" s="112"/>
      <c r="I29" s="58" t="s">
        <v>18</v>
      </c>
      <c r="J29" s="58" t="s">
        <v>18</v>
      </c>
      <c r="K29" s="58" t="s">
        <v>18</v>
      </c>
      <c r="L29" s="58" t="s">
        <v>18</v>
      </c>
      <c r="P29" s="58" t="s">
        <v>18</v>
      </c>
      <c r="Q29" s="58" t="s">
        <v>18</v>
      </c>
      <c r="R29" s="58" t="s">
        <v>18</v>
      </c>
      <c r="S29" s="58" t="s">
        <v>18</v>
      </c>
      <c r="T29" s="58" t="s">
        <v>18</v>
      </c>
      <c r="U29" s="66"/>
      <c r="V29" s="3"/>
      <c r="W29" s="3"/>
      <c r="X29" s="3"/>
      <c r="Y29" s="982"/>
      <c r="Z29" s="1"/>
      <c r="AA29" s="1"/>
      <c r="AB29" s="1"/>
      <c r="AC29" s="1"/>
      <c r="AD29" s="1"/>
      <c r="AE29" s="1"/>
      <c r="AF29" s="12"/>
      <c r="AG29" s="3"/>
      <c r="AH29" s="3"/>
      <c r="AJ29" s="3"/>
      <c r="AK29" s="3"/>
      <c r="AL29" s="3"/>
      <c r="AM29" s="3"/>
      <c r="AN29" s="103"/>
      <c r="AO29" s="103"/>
      <c r="AP29" s="110"/>
      <c r="AQ29" s="110"/>
      <c r="AR29" s="738"/>
      <c r="AS29" s="738"/>
      <c r="AV29" s="111"/>
      <c r="AW29" s="111"/>
      <c r="AX29" s="111"/>
      <c r="AY29" s="111"/>
      <c r="AZ29" s="111"/>
      <c r="BA29" s="111"/>
      <c r="BB29" s="111"/>
      <c r="BC29" s="1"/>
      <c r="BD29" s="3"/>
      <c r="BE29" s="23"/>
    </row>
    <row r="30" spans="1:57" ht="15.75" x14ac:dyDescent="0.25">
      <c r="A30" s="19"/>
      <c r="B30" s="19"/>
      <c r="C30" s="19"/>
      <c r="D30" s="20"/>
      <c r="E30" s="58" t="s">
        <v>18</v>
      </c>
      <c r="F30" s="112"/>
      <c r="I30" s="58" t="s">
        <v>18</v>
      </c>
      <c r="J30" s="58" t="s">
        <v>18</v>
      </c>
      <c r="K30" s="58" t="s">
        <v>18</v>
      </c>
      <c r="L30" s="58" t="s">
        <v>18</v>
      </c>
      <c r="P30" s="58" t="s">
        <v>18</v>
      </c>
      <c r="Q30" s="58" t="s">
        <v>18</v>
      </c>
      <c r="R30" s="58" t="s">
        <v>18</v>
      </c>
      <c r="S30" s="58" t="s">
        <v>18</v>
      </c>
      <c r="T30" s="58" t="s">
        <v>18</v>
      </c>
      <c r="U30" s="3"/>
      <c r="V30" s="3"/>
      <c r="W30" s="3"/>
      <c r="X30" s="3"/>
      <c r="Y30" s="982"/>
      <c r="Z30" s="3"/>
      <c r="AA30" s="3"/>
      <c r="AB30" s="3"/>
      <c r="AC30" s="3"/>
      <c r="AD30" s="3"/>
      <c r="AE30" s="3"/>
      <c r="AF30" s="12"/>
      <c r="AG30" s="98"/>
      <c r="AH30" s="92"/>
      <c r="AI30" s="92"/>
      <c r="AJ30" s="92"/>
      <c r="AK30" s="98"/>
      <c r="AL30" s="111"/>
      <c r="AM30" s="111"/>
      <c r="AN30" s="98"/>
      <c r="AO30" s="92"/>
      <c r="AP30" s="110"/>
      <c r="AQ30" s="113"/>
      <c r="AR30" s="114"/>
      <c r="AS30" s="98"/>
      <c r="AV30" s="111"/>
      <c r="AW30" s="737"/>
      <c r="AX30" s="737"/>
      <c r="AY30" s="737"/>
      <c r="AZ30" s="737"/>
      <c r="BA30" s="737"/>
      <c r="BB30" s="111"/>
      <c r="BC30" s="1"/>
      <c r="BD30" s="3"/>
      <c r="BE30" s="23"/>
    </row>
    <row r="31" spans="1:57" ht="26.25" x14ac:dyDescent="0.25">
      <c r="A31" s="19"/>
      <c r="B31" s="19"/>
      <c r="C31" s="19"/>
      <c r="D31" s="20"/>
      <c r="E31" s="975" t="s">
        <v>44</v>
      </c>
      <c r="F31" s="976"/>
      <c r="I31" s="105" t="s">
        <v>39</v>
      </c>
      <c r="J31" s="105" t="s">
        <v>39</v>
      </c>
      <c r="K31" s="105" t="s">
        <v>39</v>
      </c>
      <c r="L31" s="105" t="s">
        <v>39</v>
      </c>
      <c r="P31" s="95" t="s">
        <v>41</v>
      </c>
      <c r="Q31" s="107" t="s">
        <v>42</v>
      </c>
      <c r="R31" s="107" t="s">
        <v>42</v>
      </c>
      <c r="S31" s="107" t="s">
        <v>42</v>
      </c>
      <c r="T31" s="95" t="s">
        <v>41</v>
      </c>
      <c r="U31" s="1"/>
      <c r="V31" s="1"/>
      <c r="W31" s="3"/>
      <c r="X31" s="3"/>
      <c r="Y31" s="982"/>
      <c r="Z31" s="3"/>
      <c r="AA31" s="3"/>
      <c r="AB31" s="1"/>
      <c r="AC31" s="1"/>
      <c r="AD31" s="1"/>
      <c r="AE31" s="1"/>
      <c r="AF31" s="68"/>
      <c r="AG31" s="115"/>
      <c r="AH31" s="116"/>
      <c r="AI31" s="117"/>
      <c r="AJ31" s="93"/>
      <c r="AK31" s="118"/>
      <c r="AL31" s="119"/>
      <c r="AM31" s="115"/>
      <c r="AN31" s="116"/>
      <c r="AQ31" s="116"/>
      <c r="AR31" s="119"/>
      <c r="AS31" s="111"/>
      <c r="AV31" s="111"/>
      <c r="AW31" s="96"/>
      <c r="AX31" s="111"/>
      <c r="AY31" s="96"/>
      <c r="AZ31" s="111"/>
      <c r="BA31" s="96"/>
      <c r="BB31" s="741"/>
      <c r="BC31" s="3"/>
      <c r="BD31" s="3"/>
      <c r="BE31" s="23"/>
    </row>
    <row r="32" spans="1:57" ht="15.75" x14ac:dyDescent="0.25">
      <c r="A32" s="19"/>
      <c r="B32" s="19"/>
      <c r="C32" s="19"/>
      <c r="D32" s="20"/>
      <c r="F32" s="16"/>
      <c r="S32" s="45"/>
      <c r="T32" s="3"/>
      <c r="U32" s="1"/>
      <c r="V32" s="3"/>
      <c r="W32" s="3"/>
      <c r="X32" s="3"/>
      <c r="Y32" s="982"/>
      <c r="Z32" s="3"/>
      <c r="AA32" s="3"/>
      <c r="AB32" s="3"/>
      <c r="AC32" s="3"/>
      <c r="AD32" s="3"/>
      <c r="AE32" s="3"/>
      <c r="AF32" s="12"/>
      <c r="AG32" s="120"/>
      <c r="AH32" s="121"/>
      <c r="AI32" s="92"/>
      <c r="AJ32" s="92"/>
      <c r="AK32" s="96"/>
      <c r="AL32" s="122"/>
      <c r="AM32" s="123"/>
      <c r="AN32" s="121"/>
      <c r="AO32" s="92"/>
      <c r="AP32" s="92"/>
      <c r="AQ32" s="96"/>
      <c r="AR32" s="124"/>
      <c r="AS32" s="98"/>
      <c r="AV32" s="96"/>
      <c r="AW32" s="97"/>
      <c r="AX32" s="96"/>
      <c r="AY32" s="97"/>
      <c r="AZ32" s="96"/>
      <c r="BA32" s="97"/>
      <c r="BB32" s="741"/>
      <c r="BC32" s="3"/>
      <c r="BD32" s="3"/>
      <c r="BE32" s="23"/>
    </row>
    <row r="33" spans="1:57" ht="18" x14ac:dyDescent="0.25">
      <c r="A33" s="19"/>
      <c r="B33" s="19"/>
      <c r="C33" s="19"/>
      <c r="D33" s="20"/>
      <c r="F33" s="16"/>
      <c r="Q33" s="125"/>
      <c r="R33" s="98"/>
      <c r="S33" s="98"/>
      <c r="T33" s="3"/>
      <c r="U33" s="3"/>
      <c r="V33" s="1"/>
      <c r="W33" s="3"/>
      <c r="X33" s="3"/>
      <c r="Y33" s="982"/>
      <c r="Z33" s="3"/>
      <c r="AA33" s="3"/>
      <c r="AB33" s="3"/>
      <c r="AC33" s="3"/>
      <c r="AD33" s="3"/>
      <c r="AE33" s="3"/>
      <c r="AF33" s="12"/>
      <c r="AG33" s="126"/>
      <c r="AH33" s="121"/>
      <c r="AI33" s="96"/>
      <c r="AJ33" s="96"/>
      <c r="AK33" s="111"/>
      <c r="AL33" s="122"/>
      <c r="AM33" s="123"/>
      <c r="AN33" s="123"/>
      <c r="AO33" s="123"/>
      <c r="AP33" s="123"/>
      <c r="AQ33" s="123"/>
      <c r="AR33" s="123"/>
      <c r="AT33" s="3"/>
      <c r="AU33" s="3"/>
      <c r="AV33" s="92"/>
      <c r="AW33" s="93"/>
      <c r="AX33" s="92"/>
      <c r="AY33" s="127"/>
      <c r="AZ33" s="92"/>
      <c r="BA33" s="117"/>
      <c r="BB33" s="92"/>
      <c r="BC33" s="3"/>
      <c r="BD33" s="12"/>
      <c r="BE33" s="128"/>
    </row>
    <row r="34" spans="1:57" ht="20.25" x14ac:dyDescent="0.25">
      <c r="A34" s="19"/>
      <c r="B34" s="19"/>
      <c r="C34" s="19"/>
      <c r="D34" s="20"/>
      <c r="E34" t="s">
        <v>45</v>
      </c>
      <c r="G34" s="16"/>
      <c r="K34" s="45"/>
      <c r="L34" s="129"/>
      <c r="M34" s="25">
        <v>1</v>
      </c>
      <c r="N34" s="25">
        <v>2</v>
      </c>
      <c r="O34" s="25">
        <v>3</v>
      </c>
      <c r="P34" s="45"/>
      <c r="Q34" s="130"/>
      <c r="R34" s="111"/>
      <c r="S34" s="111"/>
      <c r="U34" s="3"/>
      <c r="V34" s="3"/>
      <c r="W34" s="3"/>
      <c r="X34" s="3"/>
      <c r="Y34" s="982"/>
      <c r="Z34" s="3"/>
      <c r="AA34" s="3"/>
      <c r="AB34" s="3"/>
      <c r="AC34" s="3"/>
      <c r="AD34" s="3"/>
      <c r="AE34" s="3"/>
      <c r="AF34" s="12"/>
      <c r="AG34" s="126"/>
      <c r="AH34" s="96"/>
      <c r="AI34" s="92"/>
      <c r="AJ34" s="92"/>
      <c r="AK34" s="96"/>
      <c r="AL34" s="122"/>
      <c r="AU34" s="3"/>
      <c r="AV34" s="92"/>
      <c r="AW34" s="93"/>
      <c r="AX34" s="92"/>
      <c r="AY34" s="131"/>
      <c r="AZ34" s="92"/>
      <c r="BA34" s="93"/>
      <c r="BB34" s="92"/>
      <c r="BC34" s="3"/>
      <c r="BD34" s="12"/>
      <c r="BE34" s="128"/>
    </row>
    <row r="35" spans="1:57" ht="18" x14ac:dyDescent="0.25">
      <c r="A35" s="19"/>
      <c r="B35" s="3"/>
      <c r="C35" s="3"/>
      <c r="D35" s="12"/>
      <c r="G35" s="108" t="s">
        <v>46</v>
      </c>
      <c r="H35" s="132" t="s">
        <v>42</v>
      </c>
      <c r="I35" s="132" t="s">
        <v>42</v>
      </c>
      <c r="J35" s="132" t="s">
        <v>42</v>
      </c>
      <c r="K35" s="111"/>
      <c r="L35" s="17" t="s">
        <v>47</v>
      </c>
      <c r="M35" s="133" t="s">
        <v>48</v>
      </c>
      <c r="N35" s="133" t="s">
        <v>48</v>
      </c>
      <c r="O35" s="133" t="s">
        <v>48</v>
      </c>
      <c r="P35" s="25"/>
      <c r="Q35" s="134"/>
      <c r="R35" s="98"/>
      <c r="S35" s="98"/>
      <c r="U35" s="3"/>
      <c r="V35" s="1"/>
      <c r="W35" s="3"/>
      <c r="X35" s="3"/>
      <c r="Y35" s="982"/>
      <c r="Z35" s="75"/>
      <c r="AA35" s="3"/>
      <c r="AB35" s="3"/>
      <c r="AC35" s="3"/>
      <c r="AD35" s="3"/>
      <c r="AE35" s="3"/>
      <c r="AF35" s="12"/>
      <c r="AH35" s="111"/>
      <c r="AI35" s="111"/>
      <c r="AJ35" s="111"/>
      <c r="AK35" s="111"/>
      <c r="AN35" s="123"/>
      <c r="AO35" s="17" t="s">
        <v>49</v>
      </c>
      <c r="AP35" s="4"/>
      <c r="AQ35" s="4"/>
      <c r="AR35" s="25"/>
      <c r="AS35" s="135"/>
      <c r="AT35" s="3"/>
      <c r="AU35" s="3"/>
      <c r="AV35" s="96"/>
      <c r="AW35" s="97"/>
      <c r="AX35" s="96"/>
      <c r="AY35" s="97"/>
      <c r="AZ35" s="96"/>
      <c r="BA35" s="97"/>
      <c r="BB35" s="136"/>
      <c r="BC35" s="3"/>
      <c r="BD35" s="137" t="s">
        <v>50</v>
      </c>
      <c r="BE35" s="128"/>
    </row>
    <row r="36" spans="1:57" ht="18.75" thickBot="1" x14ac:dyDescent="0.3">
      <c r="A36" s="19"/>
      <c r="B36" s="3"/>
      <c r="C36" s="3"/>
      <c r="D36" s="12"/>
      <c r="E36" s="138" t="s">
        <v>51</v>
      </c>
      <c r="G36" s="139"/>
      <c r="H36" s="58" t="s">
        <v>18</v>
      </c>
      <c r="I36" s="58" t="s">
        <v>18</v>
      </c>
      <c r="J36" s="58" t="s">
        <v>18</v>
      </c>
      <c r="K36" s="139"/>
      <c r="L36" s="133"/>
      <c r="M36" s="85" t="s">
        <v>34</v>
      </c>
      <c r="N36" s="77" t="s">
        <v>29</v>
      </c>
      <c r="O36" s="6" t="s">
        <v>4</v>
      </c>
      <c r="P36" s="133"/>
      <c r="Q36" s="140"/>
      <c r="R36" s="111"/>
      <c r="S36" s="111"/>
      <c r="U36" s="3"/>
      <c r="V36" s="1"/>
      <c r="W36" s="3"/>
      <c r="X36" s="3"/>
      <c r="Y36" s="983"/>
      <c r="Z36" s="88"/>
      <c r="AA36" s="54"/>
      <c r="AB36" s="54"/>
      <c r="AC36" s="54"/>
      <c r="AD36" s="54"/>
      <c r="AE36" s="54"/>
      <c r="AF36" s="141"/>
      <c r="AG36" s="57"/>
      <c r="AH36" s="121"/>
      <c r="AI36" s="92"/>
      <c r="AJ36" s="142" t="s">
        <v>52</v>
      </c>
      <c r="AK36" s="142" t="s">
        <v>52</v>
      </c>
      <c r="AN36" s="143">
        <v>1</v>
      </c>
      <c r="AO36" s="144" t="s">
        <v>48</v>
      </c>
      <c r="AP36" s="145" t="s">
        <v>53</v>
      </c>
      <c r="AQ36" s="146" t="s">
        <v>54</v>
      </c>
      <c r="AR36" s="144" t="s">
        <v>11</v>
      </c>
      <c r="AS36" s="147">
        <v>10</v>
      </c>
      <c r="AT36" s="3"/>
      <c r="AU36" s="3"/>
      <c r="AV36" s="111"/>
      <c r="AW36" s="96"/>
      <c r="AX36" s="111"/>
      <c r="AY36" s="96"/>
      <c r="AZ36" s="111"/>
      <c r="BA36" s="96"/>
      <c r="BB36" s="111"/>
      <c r="BC36" s="3"/>
      <c r="BD36" s="137" t="s">
        <v>55</v>
      </c>
      <c r="BE36" s="128"/>
    </row>
    <row r="37" spans="1:57" ht="18" x14ac:dyDescent="0.25">
      <c r="A37" s="19"/>
      <c r="B37" s="3"/>
      <c r="C37" s="3"/>
      <c r="D37" s="12"/>
      <c r="G37" s="139"/>
      <c r="H37" s="58" t="s">
        <v>18</v>
      </c>
      <c r="I37" s="58" t="s">
        <v>18</v>
      </c>
      <c r="J37" s="58" t="s">
        <v>18</v>
      </c>
      <c r="K37" s="139"/>
      <c r="L37" s="133"/>
      <c r="M37" s="8" t="s">
        <v>6</v>
      </c>
      <c r="N37" s="7" t="s">
        <v>5</v>
      </c>
      <c r="O37" s="145" t="s">
        <v>53</v>
      </c>
      <c r="P37" s="133"/>
      <c r="Q37" s="140"/>
      <c r="R37" s="98"/>
      <c r="S37" s="98"/>
      <c r="U37" s="3"/>
      <c r="V37" s="1"/>
      <c r="W37" s="3"/>
      <c r="X37" s="3"/>
      <c r="Y37" s="148"/>
      <c r="Z37" s="52" t="s">
        <v>16</v>
      </c>
      <c r="AA37" s="52" t="s">
        <v>16</v>
      </c>
      <c r="AB37" s="52" t="s">
        <v>16</v>
      </c>
      <c r="AC37" s="52" t="s">
        <v>16</v>
      </c>
      <c r="AD37" s="3"/>
      <c r="AF37" s="149"/>
      <c r="AH37" s="111"/>
      <c r="AI37" s="111"/>
      <c r="AJ37" s="138" t="s">
        <v>51</v>
      </c>
      <c r="AK37" s="138" t="s">
        <v>51</v>
      </c>
      <c r="AN37" s="143">
        <v>2</v>
      </c>
      <c r="AO37" s="144" t="s">
        <v>48</v>
      </c>
      <c r="AP37" s="9" t="s">
        <v>7</v>
      </c>
      <c r="AQ37" s="150" t="s">
        <v>56</v>
      </c>
      <c r="AR37" s="144" t="s">
        <v>11</v>
      </c>
      <c r="AS37" s="147">
        <v>9</v>
      </c>
      <c r="AT37" s="3"/>
      <c r="AU37" s="3"/>
      <c r="AV37" s="111"/>
      <c r="AW37" s="111"/>
      <c r="AX37" s="111"/>
      <c r="AY37" s="111"/>
      <c r="AZ37" s="111"/>
      <c r="BA37" s="111"/>
      <c r="BB37" s="111"/>
      <c r="BC37" s="3"/>
      <c r="BD37" s="137" t="s">
        <v>57</v>
      </c>
      <c r="BE37" s="128"/>
    </row>
    <row r="38" spans="1:57" ht="20.25" x14ac:dyDescent="0.25">
      <c r="A38" s="19"/>
      <c r="B38" s="3"/>
      <c r="C38" s="3"/>
      <c r="D38" s="12"/>
      <c r="E38" s="138" t="s">
        <v>51</v>
      </c>
      <c r="G38" s="151"/>
      <c r="H38" s="132" t="s">
        <v>42</v>
      </c>
      <c r="I38" s="132" t="s">
        <v>42</v>
      </c>
      <c r="J38" s="132" t="s">
        <v>42</v>
      </c>
      <c r="K38" s="117"/>
      <c r="L38" s="25"/>
      <c r="M38" s="133" t="s">
        <v>48</v>
      </c>
      <c r="N38" s="133" t="s">
        <v>48</v>
      </c>
      <c r="O38" s="133" t="s">
        <v>48</v>
      </c>
      <c r="P38" s="25"/>
      <c r="Q38" s="134"/>
      <c r="R38" s="111"/>
      <c r="S38" s="111"/>
      <c r="U38" s="3"/>
      <c r="V38" s="1"/>
      <c r="W38" s="3"/>
      <c r="X38" s="148"/>
      <c r="Y38" s="3"/>
      <c r="Z38" s="47"/>
      <c r="AA38" s="47"/>
      <c r="AB38" s="3"/>
      <c r="AC38" s="3"/>
      <c r="AD38" s="3"/>
      <c r="AE38" s="3"/>
      <c r="AF38" s="3"/>
      <c r="AG38" s="57"/>
      <c r="AH38" s="111"/>
      <c r="AI38" s="130"/>
      <c r="AJ38" s="152" t="s">
        <v>58</v>
      </c>
      <c r="AK38" s="152" t="s">
        <v>58</v>
      </c>
      <c r="AN38" s="143">
        <v>3</v>
      </c>
      <c r="AO38" s="144" t="s">
        <v>48</v>
      </c>
      <c r="AP38" s="145" t="s">
        <v>53</v>
      </c>
      <c r="AQ38" s="146" t="s">
        <v>54</v>
      </c>
      <c r="AR38" s="144" t="s">
        <v>11</v>
      </c>
      <c r="AS38" s="147">
        <v>8</v>
      </c>
      <c r="AT38" s="3"/>
      <c r="AU38" s="3"/>
      <c r="BD38" s="12"/>
      <c r="BE38" s="128"/>
    </row>
    <row r="39" spans="1:57" ht="20.25" x14ac:dyDescent="0.25">
      <c r="A39" s="19"/>
      <c r="B39" s="3"/>
      <c r="C39" s="3"/>
      <c r="D39" s="12"/>
      <c r="G39" s="151"/>
      <c r="H39" s="98"/>
      <c r="I39" s="151"/>
      <c r="J39" s="116"/>
      <c r="K39" s="153"/>
      <c r="L39" s="116"/>
      <c r="M39" s="25">
        <v>4</v>
      </c>
      <c r="N39" s="25">
        <v>5</v>
      </c>
      <c r="O39" s="25">
        <v>6</v>
      </c>
      <c r="P39" s="130"/>
      <c r="Q39" s="130"/>
      <c r="R39" s="111"/>
      <c r="S39" s="111"/>
      <c r="T39" s="1"/>
      <c r="U39" s="1"/>
      <c r="V39" s="1"/>
      <c r="W39" s="3"/>
      <c r="X39" s="3"/>
      <c r="Y39" s="3"/>
      <c r="Z39" s="83"/>
      <c r="AA39" s="83"/>
      <c r="AB39" s="3"/>
      <c r="AC39" s="3"/>
      <c r="AD39" s="3"/>
      <c r="AE39" s="3"/>
      <c r="AF39" s="149"/>
      <c r="AG39" s="57"/>
      <c r="AH39" s="130"/>
      <c r="AI39" s="134"/>
      <c r="AJ39" s="122"/>
      <c r="AK39" s="122"/>
      <c r="AM39" s="115"/>
      <c r="AN39" s="143">
        <v>4</v>
      </c>
      <c r="AO39" s="144" t="s">
        <v>48</v>
      </c>
      <c r="AP39" s="9" t="s">
        <v>7</v>
      </c>
      <c r="AQ39" s="150" t="s">
        <v>56</v>
      </c>
      <c r="AR39" s="144" t="s">
        <v>11</v>
      </c>
      <c r="AS39" s="147">
        <v>7</v>
      </c>
      <c r="AT39" s="3"/>
      <c r="AU39" s="3"/>
      <c r="BC39" s="47"/>
      <c r="BD39" s="12"/>
      <c r="BE39" s="128"/>
    </row>
    <row r="40" spans="1:57" ht="21.75" thickBot="1" x14ac:dyDescent="0.4">
      <c r="A40" s="19"/>
      <c r="B40" s="1"/>
      <c r="C40" s="3"/>
      <c r="D40" s="12"/>
      <c r="E40" s="138" t="s">
        <v>51</v>
      </c>
      <c r="G40" s="154"/>
      <c r="I40" s="151"/>
      <c r="J40" s="116"/>
      <c r="K40" s="153"/>
      <c r="L40" s="155"/>
      <c r="M40" s="155"/>
      <c r="N40" s="155"/>
      <c r="O40" s="155"/>
      <c r="P40" s="155"/>
      <c r="Q40" s="155"/>
      <c r="R40" s="156"/>
      <c r="S40" s="156"/>
      <c r="T40" s="1"/>
      <c r="U40" s="1"/>
      <c r="V40" s="1"/>
      <c r="W40" s="3"/>
      <c r="X40" s="3"/>
      <c r="Y40" s="3"/>
      <c r="Z40" s="83"/>
      <c r="AA40" s="157"/>
      <c r="AB40" s="3"/>
      <c r="AC40" s="3"/>
      <c r="AD40" s="1"/>
      <c r="AE40" s="3"/>
      <c r="AF40" s="3"/>
      <c r="AG40" s="115"/>
      <c r="AH40" s="111"/>
      <c r="AI40" s="111"/>
      <c r="AJ40" s="122"/>
      <c r="AK40" s="122"/>
      <c r="AL40" s="96"/>
      <c r="AM40" s="130"/>
      <c r="AN40" s="143">
        <v>5</v>
      </c>
      <c r="AO40" s="74" t="s">
        <v>25</v>
      </c>
      <c r="AP40" s="158" t="s">
        <v>29</v>
      </c>
      <c r="AQ40" s="159" t="s">
        <v>34</v>
      </c>
      <c r="AR40" s="74" t="s">
        <v>25</v>
      </c>
      <c r="AS40" s="147">
        <v>6</v>
      </c>
      <c r="AT40" s="160"/>
      <c r="AU40" s="161"/>
      <c r="BC40" s="3"/>
      <c r="BD40" s="12"/>
      <c r="BE40" s="128"/>
    </row>
    <row r="41" spans="1:57" ht="20.25" x14ac:dyDescent="0.3">
      <c r="A41" s="19"/>
      <c r="B41" s="3"/>
      <c r="C41" s="3"/>
      <c r="D41" s="12"/>
      <c r="F41" s="1"/>
      <c r="G41" s="156"/>
      <c r="H41" s="156"/>
      <c r="I41" s="151"/>
      <c r="J41" s="116"/>
      <c r="K41" s="153"/>
      <c r="L41" s="111"/>
      <c r="M41" s="111"/>
      <c r="N41" s="156"/>
      <c r="O41" s="156"/>
      <c r="P41" s="156"/>
      <c r="Q41" s="156"/>
      <c r="R41" s="156"/>
      <c r="S41" s="156"/>
      <c r="T41" s="1"/>
      <c r="U41" s="1"/>
      <c r="V41" s="1"/>
      <c r="W41" s="3"/>
      <c r="X41" s="3"/>
      <c r="Y41" s="3"/>
      <c r="AA41" s="162"/>
      <c r="AB41" s="162"/>
      <c r="AC41" s="162"/>
      <c r="AD41" s="162"/>
      <c r="AE41" s="3"/>
      <c r="AF41" s="3"/>
      <c r="AG41" s="57"/>
      <c r="AH41" s="121"/>
      <c r="AI41" s="134"/>
      <c r="AJ41" s="134"/>
      <c r="AK41" s="130"/>
      <c r="AO41" s="25"/>
      <c r="AP41" s="74"/>
      <c r="AQ41" s="74"/>
      <c r="AR41" s="25"/>
      <c r="BC41" s="46"/>
      <c r="BD41" s="12"/>
      <c r="BE41" s="128"/>
    </row>
    <row r="42" spans="1:57" ht="18.75" x14ac:dyDescent="0.3">
      <c r="A42" s="19"/>
      <c r="B42" s="3"/>
      <c r="C42" s="3"/>
      <c r="D42" s="12"/>
      <c r="E42" s="138" t="s">
        <v>51</v>
      </c>
      <c r="F42" s="1"/>
      <c r="G42" s="1"/>
      <c r="H42" s="1"/>
      <c r="I42" s="1"/>
      <c r="J42" s="1"/>
      <c r="K42" s="1"/>
      <c r="N42" s="1"/>
      <c r="O42" s="1"/>
      <c r="P42" s="1"/>
      <c r="Q42" s="1"/>
      <c r="R42" s="1"/>
      <c r="S42" s="1"/>
      <c r="T42" s="1"/>
      <c r="U42" s="1"/>
      <c r="V42" s="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57"/>
      <c r="AH42" s="111"/>
      <c r="AI42" s="742"/>
      <c r="AJ42" s="742"/>
      <c r="AK42" s="111"/>
      <c r="AP42" s="25"/>
      <c r="AQ42" s="25"/>
      <c r="BB42" s="3"/>
      <c r="BC42" s="3"/>
      <c r="BD42" s="12"/>
      <c r="BE42" s="128"/>
    </row>
    <row r="43" spans="1:57" ht="16.5" thickBot="1" x14ac:dyDescent="0.3">
      <c r="A43" s="19"/>
      <c r="B43" s="3"/>
      <c r="C43" s="3"/>
      <c r="D43" s="12"/>
      <c r="F43" s="1"/>
      <c r="G43" s="5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57"/>
      <c r="AG43" s="57"/>
      <c r="AH43" s="111"/>
      <c r="AI43" s="111"/>
      <c r="AJ43" s="111"/>
      <c r="AK43" s="111"/>
      <c r="AN43" s="96"/>
      <c r="AO43" s="96"/>
      <c r="AP43" s="96"/>
      <c r="AQ43" s="96"/>
      <c r="BB43" s="3"/>
      <c r="BC43" s="3"/>
      <c r="BD43" s="12"/>
      <c r="BE43" s="128"/>
    </row>
    <row r="44" spans="1:57" ht="15.75" x14ac:dyDescent="0.25">
      <c r="A44" s="19"/>
      <c r="B44" s="3"/>
      <c r="C44" s="3"/>
      <c r="D44" s="12"/>
      <c r="E44" s="956" t="s">
        <v>59</v>
      </c>
      <c r="F44" s="957"/>
      <c r="G44" s="957"/>
      <c r="H44" s="957"/>
      <c r="I44" s="957"/>
      <c r="J44" s="958"/>
      <c r="K44" s="1"/>
      <c r="L44" s="1"/>
      <c r="M44" s="1"/>
      <c r="N44" s="1"/>
      <c r="O44" s="1"/>
      <c r="P44" s="1"/>
      <c r="Q44" s="1"/>
      <c r="R44" s="1"/>
      <c r="S44" s="1"/>
      <c r="T44" s="1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7"/>
      <c r="AG44" s="57"/>
      <c r="BB44" s="1"/>
      <c r="BC44" s="3"/>
      <c r="BD44" s="12"/>
      <c r="BE44" s="128"/>
    </row>
    <row r="45" spans="1:57" ht="16.5" thickBot="1" x14ac:dyDescent="0.3">
      <c r="A45" s="19"/>
      <c r="B45" s="3"/>
      <c r="C45" s="3"/>
      <c r="D45" s="3"/>
      <c r="E45" s="959"/>
      <c r="F45" s="960"/>
      <c r="G45" s="960"/>
      <c r="H45" s="960"/>
      <c r="I45" s="960"/>
      <c r="J45" s="961"/>
      <c r="K45" s="96"/>
      <c r="L45" s="96"/>
      <c r="M45" s="96"/>
      <c r="N45" s="96"/>
      <c r="O45" s="96"/>
      <c r="P45" s="96"/>
      <c r="Q45" s="96"/>
      <c r="R45" s="96"/>
      <c r="S45" s="96"/>
      <c r="T45" s="1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163"/>
      <c r="AG45" s="96"/>
      <c r="AL45" s="96"/>
      <c r="AM45" s="96"/>
      <c r="AR45" s="96"/>
      <c r="AS45" s="161"/>
      <c r="AT45" s="161"/>
      <c r="AU45" s="161"/>
      <c r="AV45" s="161"/>
      <c r="AW45" s="161"/>
      <c r="AX45" s="161"/>
      <c r="AY45" s="161"/>
      <c r="AZ45" s="161"/>
      <c r="BA45" s="3"/>
      <c r="BB45" s="1"/>
      <c r="BC45" s="3"/>
      <c r="BD45" s="12"/>
      <c r="BE45" s="128"/>
    </row>
    <row r="46" spans="1:57" ht="34.5" thickBot="1" x14ac:dyDescent="0.3">
      <c r="A46" s="19"/>
      <c r="B46" s="3"/>
      <c r="C46" s="3"/>
      <c r="D46" s="3"/>
      <c r="E46" s="962"/>
      <c r="F46" s="963"/>
      <c r="G46" s="963"/>
      <c r="H46" s="963"/>
      <c r="I46" s="963"/>
      <c r="J46" s="964"/>
      <c r="K46" s="164"/>
      <c r="L46" s="164"/>
      <c r="M46" s="165" t="s">
        <v>60</v>
      </c>
      <c r="N46" s="165" t="s">
        <v>60</v>
      </c>
      <c r="O46" s="165" t="s">
        <v>60</v>
      </c>
      <c r="P46" s="165" t="s">
        <v>60</v>
      </c>
      <c r="Q46" s="165" t="s">
        <v>60</v>
      </c>
      <c r="R46" s="165" t="s">
        <v>60</v>
      </c>
      <c r="S46" s="164"/>
      <c r="T46" s="965" t="s">
        <v>61</v>
      </c>
      <c r="U46" s="966"/>
      <c r="V46" s="966"/>
      <c r="W46" s="966"/>
      <c r="X46" s="966"/>
      <c r="Y46" s="967"/>
      <c r="Z46" s="29" t="s">
        <v>20</v>
      </c>
      <c r="AA46" s="54"/>
      <c r="AB46" s="166" t="s">
        <v>14</v>
      </c>
      <c r="AC46" s="54"/>
      <c r="AD46" s="166" t="s">
        <v>14</v>
      </c>
      <c r="AE46" s="54"/>
      <c r="AF46" s="167"/>
      <c r="AG46" s="3"/>
      <c r="AZ46" s="46"/>
      <c r="BA46" s="3"/>
      <c r="BB46" s="3"/>
      <c r="BC46" s="3"/>
      <c r="BD46" s="168"/>
      <c r="BE46" s="128"/>
    </row>
    <row r="47" spans="1:57" ht="15.75" x14ac:dyDescent="0.25">
      <c r="A47" s="19"/>
      <c r="B47" s="3"/>
      <c r="C47" s="3"/>
      <c r="D47" s="3"/>
      <c r="E47" s="1"/>
      <c r="F47" s="1"/>
      <c r="G47" s="3"/>
      <c r="H47" s="3"/>
      <c r="I47" s="3"/>
      <c r="J47" s="57"/>
      <c r="K47" s="45"/>
      <c r="L47" s="45"/>
      <c r="M47" s="169"/>
      <c r="N47" s="45"/>
      <c r="O47" s="45"/>
      <c r="P47" s="45"/>
      <c r="Q47" s="45"/>
      <c r="R47" s="45"/>
      <c r="S47" s="45"/>
      <c r="Z47" s="3"/>
      <c r="AA47" s="3"/>
      <c r="AB47" s="3"/>
      <c r="AC47" s="3"/>
      <c r="AD47" s="3"/>
      <c r="AE47" s="3"/>
      <c r="AF47" s="170"/>
      <c r="AG47" s="3"/>
      <c r="AM47" s="171"/>
      <c r="AN47" s="172"/>
      <c r="AO47" s="171"/>
      <c r="AP47" s="172"/>
      <c r="AQ47" s="171"/>
      <c r="AR47" s="172"/>
      <c r="AS47" s="171"/>
      <c r="AT47" s="172"/>
      <c r="AU47" s="172"/>
      <c r="AZ47" s="46"/>
      <c r="BA47" s="3"/>
      <c r="BB47" s="3"/>
      <c r="BC47" s="3"/>
      <c r="BD47" s="12"/>
      <c r="BE47" s="128"/>
    </row>
    <row r="48" spans="1:57" x14ac:dyDescent="0.25">
      <c r="A48" s="19"/>
      <c r="B48" s="3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  <c r="AA48" s="3"/>
      <c r="AB48" s="3"/>
      <c r="AC48" s="3"/>
      <c r="AD48" s="83"/>
      <c r="AE48" s="3"/>
      <c r="AF48" s="12"/>
      <c r="AG48" s="3"/>
      <c r="AH48" s="19"/>
      <c r="AL48" s="3"/>
      <c r="AW48" s="171"/>
      <c r="AX48" s="171"/>
      <c r="AY48" s="171"/>
      <c r="AZ48" s="171"/>
      <c r="BA48" s="171"/>
      <c r="BB48" s="171"/>
      <c r="BC48" s="171"/>
      <c r="BD48" s="68"/>
      <c r="BE48" s="128"/>
    </row>
    <row r="49" spans="1:58" ht="16.5" thickBot="1" x14ac:dyDescent="0.3">
      <c r="A49" s="19"/>
      <c r="B49" s="3"/>
      <c r="C49" s="3"/>
      <c r="D49" s="3"/>
      <c r="E49" s="3"/>
      <c r="F49" s="3"/>
      <c r="G49" s="3"/>
      <c r="H49" s="3"/>
      <c r="J49" s="3"/>
      <c r="K49" s="3"/>
      <c r="L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12"/>
      <c r="AG49" s="3"/>
      <c r="AH49" s="173"/>
      <c r="AI49" s="173"/>
      <c r="AJ49" s="173"/>
      <c r="AK49" s="173"/>
      <c r="AL49" s="173"/>
      <c r="AM49" s="54"/>
      <c r="AN49" s="54"/>
      <c r="AO49" s="54"/>
      <c r="AP49" s="54"/>
      <c r="AQ49" s="54"/>
      <c r="AR49" s="54"/>
      <c r="AS49" s="54"/>
      <c r="AT49" s="54"/>
      <c r="AU49" s="54"/>
      <c r="AV49" s="174"/>
      <c r="AW49" s="174"/>
      <c r="AX49" s="174"/>
      <c r="AY49" s="174"/>
      <c r="AZ49" s="174"/>
      <c r="BA49" s="174"/>
      <c r="BB49" s="174"/>
      <c r="BC49" s="174"/>
      <c r="BD49" s="167"/>
      <c r="BE49" s="128"/>
    </row>
    <row r="50" spans="1:58" x14ac:dyDescent="0.25">
      <c r="A50" s="175"/>
      <c r="B50" s="176"/>
      <c r="D50" s="45"/>
      <c r="E50" s="45"/>
      <c r="F50" s="45"/>
      <c r="G50" s="45"/>
      <c r="H50" s="45"/>
      <c r="J50" s="45"/>
      <c r="K50" s="45"/>
      <c r="L50" s="45"/>
      <c r="M50" s="169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177"/>
      <c r="AC50" s="177"/>
      <c r="AD50" s="177"/>
      <c r="AE50" s="177"/>
      <c r="AF50" s="177"/>
      <c r="AG50" s="178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</row>
    <row r="51" spans="1:58" x14ac:dyDescent="0.25">
      <c r="A51" s="175"/>
      <c r="B51" s="176"/>
      <c r="D51" s="45"/>
      <c r="E51" s="45"/>
      <c r="F51" s="45"/>
      <c r="G51" s="45"/>
      <c r="H51" s="45"/>
      <c r="J51" s="45"/>
      <c r="K51" s="45"/>
      <c r="L51" s="45"/>
      <c r="M51" s="169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177"/>
      <c r="AC51" s="177"/>
      <c r="AD51" s="177"/>
      <c r="AE51" s="177"/>
      <c r="AF51" s="177"/>
      <c r="AG51" s="45"/>
      <c r="AH51" s="45"/>
      <c r="AI51" s="45"/>
      <c r="AJ51" s="45"/>
      <c r="AK51" s="45"/>
      <c r="AL51" s="45"/>
      <c r="AM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</row>
    <row r="52" spans="1:58" x14ac:dyDescent="0.25">
      <c r="M52" s="179"/>
    </row>
    <row r="53" spans="1:58" x14ac:dyDescent="0.25">
      <c r="M53" s="179"/>
    </row>
    <row r="54" spans="1:58" x14ac:dyDescent="0.25">
      <c r="M54" s="179"/>
    </row>
    <row r="59" spans="1:58" x14ac:dyDescent="0.25">
      <c r="M59" s="179"/>
    </row>
    <row r="60" spans="1:58" x14ac:dyDescent="0.25">
      <c r="M60" s="179"/>
    </row>
    <row r="61" spans="1:58" ht="15.75" thickBot="1" x14ac:dyDescent="0.3">
      <c r="M61" s="179"/>
    </row>
    <row r="62" spans="1:58" ht="29.25" thickBot="1" x14ac:dyDescent="0.3">
      <c r="A62" s="968" t="s">
        <v>62</v>
      </c>
      <c r="B62" s="969"/>
      <c r="C62" s="969"/>
      <c r="D62" s="969"/>
      <c r="E62" s="969"/>
      <c r="F62" s="969"/>
      <c r="G62" s="969"/>
      <c r="H62" s="969"/>
      <c r="I62" s="970"/>
      <c r="J62" s="971">
        <f>IFERROR(SUM(AE79:AE195)+G64,"")</f>
        <v>133</v>
      </c>
      <c r="K62" s="972"/>
      <c r="L62" s="972"/>
      <c r="M62" s="973"/>
      <c r="Q62" s="974" t="s">
        <v>63</v>
      </c>
      <c r="R62" s="974"/>
      <c r="S62" s="974"/>
      <c r="T62" s="974"/>
      <c r="W62" s="974" t="s">
        <v>64</v>
      </c>
      <c r="X62" s="974"/>
      <c r="Y62" s="974"/>
      <c r="Z62" s="974"/>
      <c r="AB62" s="180"/>
      <c r="AC62" s="180"/>
      <c r="AD62" s="180"/>
      <c r="AE62" s="180"/>
      <c r="AF62" s="180"/>
      <c r="AG62" s="180"/>
    </row>
    <row r="63" spans="1:58" ht="24" thickBot="1" x14ac:dyDescent="0.35">
      <c r="A63" s="181" t="s">
        <v>65</v>
      </c>
      <c r="B63" s="182"/>
      <c r="C63" s="182"/>
      <c r="D63" s="182"/>
      <c r="E63" s="182"/>
      <c r="F63" s="182"/>
      <c r="G63" s="182"/>
      <c r="H63" s="182"/>
      <c r="I63" s="182"/>
      <c r="J63" s="182"/>
      <c r="K63" s="182"/>
      <c r="L63" s="182"/>
      <c r="M63" s="183"/>
      <c r="Q63" s="946" t="s">
        <v>66</v>
      </c>
      <c r="R63" s="946"/>
      <c r="S63" s="946" t="s">
        <v>67</v>
      </c>
      <c r="T63" s="946"/>
      <c r="W63" s="946" t="s">
        <v>66</v>
      </c>
      <c r="X63" s="946"/>
      <c r="Y63" s="946" t="s">
        <v>67</v>
      </c>
      <c r="Z63" s="946"/>
      <c r="AB63" s="184"/>
      <c r="AC63" s="184"/>
      <c r="AD63" s="184"/>
      <c r="AE63" s="184"/>
      <c r="AF63" s="184"/>
      <c r="AG63" s="184"/>
    </row>
    <row r="64" spans="1:58" ht="24" thickBot="1" x14ac:dyDescent="0.35">
      <c r="A64" s="947" t="s">
        <v>68</v>
      </c>
      <c r="B64" s="948"/>
      <c r="C64" s="948"/>
      <c r="D64" s="948"/>
      <c r="E64" s="948"/>
      <c r="F64" s="949"/>
      <c r="G64" s="950">
        <f>I79+V79</f>
        <v>39</v>
      </c>
      <c r="H64" s="951"/>
      <c r="I64" s="952"/>
      <c r="Q64" s="953"/>
      <c r="R64" s="953"/>
      <c r="S64" s="954"/>
      <c r="T64" s="954"/>
      <c r="W64" s="955">
        <v>45097</v>
      </c>
      <c r="X64" s="955"/>
      <c r="Y64" s="954" t="s">
        <v>69</v>
      </c>
      <c r="Z64" s="954"/>
      <c r="AB64" s="184"/>
      <c r="AC64" s="184"/>
      <c r="AD64" s="184"/>
      <c r="AE64" s="184"/>
      <c r="AF64" s="184"/>
      <c r="AG64" s="184"/>
    </row>
    <row r="65" spans="1:58" ht="24" thickBot="1" x14ac:dyDescent="0.4">
      <c r="A65" s="185"/>
      <c r="B65" s="185"/>
      <c r="C65" s="185"/>
      <c r="D65" s="185"/>
      <c r="E65" s="185"/>
      <c r="F65" s="185"/>
      <c r="G65" s="185"/>
      <c r="H65" s="185"/>
      <c r="I65" s="185"/>
      <c r="Q65" s="186"/>
      <c r="R65" s="187" t="s">
        <v>70</v>
      </c>
      <c r="S65" s="188" t="s">
        <v>71</v>
      </c>
      <c r="T65" s="188" t="s">
        <v>72</v>
      </c>
      <c r="U65" s="939" t="s">
        <v>73</v>
      </c>
      <c r="V65" s="940"/>
      <c r="W65" s="189" t="s">
        <v>74</v>
      </c>
      <c r="X65" s="187" t="s">
        <v>70</v>
      </c>
      <c r="Y65" s="188" t="s">
        <v>71</v>
      </c>
      <c r="Z65" s="188" t="s">
        <v>72</v>
      </c>
      <c r="AF65" s="190"/>
      <c r="AG65" s="190"/>
    </row>
    <row r="66" spans="1:58" ht="22.5" thickTop="1" thickBot="1" x14ac:dyDescent="0.3">
      <c r="A66" s="941" t="s">
        <v>75</v>
      </c>
      <c r="B66" s="942"/>
      <c r="C66" s="942"/>
      <c r="D66" s="942"/>
      <c r="E66" s="191">
        <f>I75+V75</f>
        <v>11</v>
      </c>
      <c r="F66" s="185"/>
      <c r="G66" s="185"/>
      <c r="H66" s="185"/>
      <c r="I66" s="185"/>
      <c r="Q66" s="192" t="s">
        <v>76</v>
      </c>
      <c r="R66" s="193"/>
      <c r="S66" s="193"/>
      <c r="T66" s="193"/>
      <c r="W66" s="192" t="s">
        <v>76</v>
      </c>
      <c r="X66" s="193" t="str">
        <f>IF(ISBLANK(W65)," ",IFERROR(VLOOKUP("TOTAL",#REF!,13,0),""))</f>
        <v/>
      </c>
      <c r="Y66" s="193" t="str">
        <f>IF(ISBLANK(W65)," ",IFERROR(VLOOKUP("TOTAL F POWER",#REF!,13,0),""))</f>
        <v/>
      </c>
      <c r="Z66" s="193" t="str">
        <f>IF(ISBLANK(W65)," ",IFERROR(VLOOKUP("TOTAL SIN F POWER",#REF!,13,0),""))</f>
        <v/>
      </c>
      <c r="AF66" s="194"/>
      <c r="AG66" s="194"/>
    </row>
    <row r="67" spans="1:58" ht="23.25" thickTop="1" thickBot="1" x14ac:dyDescent="0.3">
      <c r="A67" s="941" t="s">
        <v>77</v>
      </c>
      <c r="B67" s="942"/>
      <c r="C67" s="942"/>
      <c r="D67" s="942"/>
      <c r="E67" s="191">
        <f>I76+V76</f>
        <v>28</v>
      </c>
      <c r="F67" s="185"/>
      <c r="G67" s="185"/>
      <c r="H67" s="185"/>
      <c r="I67" s="195"/>
      <c r="Q67" s="196" t="s">
        <v>78</v>
      </c>
      <c r="R67" s="197"/>
      <c r="S67" s="197"/>
      <c r="T67" s="197"/>
      <c r="W67" s="196" t="s">
        <v>78</v>
      </c>
      <c r="X67" s="198" t="str">
        <f>IF(ISBLANK(W65)," ",IFERROR(VLOOKUP("TOTAL",#REF!,4,0),""))</f>
        <v/>
      </c>
      <c r="Y67" s="198" t="str">
        <f>IF(ISBLANK(W65)," ",IFERROR(VLOOKUP("TOTAL F POWER",#REF!,4,0),""))</f>
        <v/>
      </c>
      <c r="Z67" s="198" t="str">
        <f>IF(ISBLANK(W65)," ",IFERROR(VLOOKUP("TOTAL SIN F POWER",#REF!,4,0),""))</f>
        <v/>
      </c>
      <c r="AF67" s="194"/>
      <c r="AG67" s="194"/>
    </row>
    <row r="68" spans="1:58" ht="47.25" thickBot="1" x14ac:dyDescent="0.3">
      <c r="F68" s="199"/>
      <c r="G68" s="185"/>
      <c r="H68" s="185"/>
      <c r="I68" s="185"/>
      <c r="Q68" s="200" t="s">
        <v>79</v>
      </c>
      <c r="R68" s="201"/>
      <c r="S68" s="201"/>
      <c r="T68" s="201"/>
      <c r="W68" s="200" t="s">
        <v>79</v>
      </c>
      <c r="X68" s="201" t="str">
        <f>IF(ISBLANK(W65)," ",IFERROR(VLOOKUP("TOTAL",#REF!,14,0),""))</f>
        <v/>
      </c>
      <c r="Y68" s="201" t="str">
        <f>IF(ISBLANK(W65)," ",IFERROR(VLOOKUP("TOTAL F POWER",#REF!,14,0),""))</f>
        <v/>
      </c>
      <c r="Z68" s="201" t="str">
        <f>IF(ISBLANK(W65)," ",IFERROR(VLOOKUP("TOTAL SIN F POWER",#REF!,14,0),""))</f>
        <v/>
      </c>
      <c r="AF68" s="202"/>
      <c r="AG68" s="202"/>
    </row>
    <row r="69" spans="1:58" ht="21.75" thickBot="1" x14ac:dyDescent="0.3">
      <c r="A69" s="943" t="s">
        <v>80</v>
      </c>
      <c r="B69" s="944"/>
      <c r="C69" s="944"/>
      <c r="D69" s="945"/>
      <c r="E69" s="203">
        <f>K179+X179</f>
        <v>27</v>
      </c>
      <c r="F69" s="185"/>
      <c r="G69" s="185"/>
      <c r="H69" s="185"/>
      <c r="I69" s="185"/>
      <c r="Q69" s="204" t="s">
        <v>81</v>
      </c>
      <c r="R69" s="205"/>
      <c r="S69" s="205"/>
      <c r="T69" s="205"/>
      <c r="W69" s="204" t="s">
        <v>81</v>
      </c>
      <c r="X69" s="206" t="str">
        <f>IF(ISBLANK(W65)," ",IFERROR(VLOOKUP("TOTAL",#REF!,11,0),""))</f>
        <v/>
      </c>
      <c r="Y69" s="206" t="str">
        <f>IF(ISBLANK(W65)," ",IFERROR(VLOOKUP("TOTAL F POWER",#REF!,11,0),""))</f>
        <v/>
      </c>
      <c r="Z69" s="206" t="str">
        <f>IF(ISBLANK(W65)," ",IFERROR(VLOOKUP("TOTAL SIN F POWER",#REF!,11,0),""))</f>
        <v/>
      </c>
    </row>
    <row r="70" spans="1:58" ht="21.75" thickBot="1" x14ac:dyDescent="0.3">
      <c r="A70" s="943" t="s">
        <v>82</v>
      </c>
      <c r="B70" s="944"/>
      <c r="C70" s="944"/>
      <c r="D70" s="945"/>
      <c r="E70" s="207">
        <f>L179+Y179</f>
        <v>4</v>
      </c>
      <c r="F70" s="185"/>
      <c r="G70" s="185"/>
      <c r="H70" s="185"/>
      <c r="I70" s="185"/>
      <c r="Q70" s="208" t="s">
        <v>83</v>
      </c>
      <c r="R70" s="209"/>
      <c r="S70" s="209"/>
      <c r="T70" s="209"/>
      <c r="W70" s="208" t="s">
        <v>83</v>
      </c>
      <c r="X70" s="210" t="str">
        <f>IF(ISBLANK(W65)," ",IFERROR(VLOOKUP("TOTAL",#REF!,15,0),""))</f>
        <v/>
      </c>
      <c r="Y70" s="210" t="str">
        <f>IF(ISBLANK(W65)," ",IFERROR(VLOOKUP("TOTAL F POWER",#REF!,15,0),""))</f>
        <v/>
      </c>
      <c r="Z70" s="210" t="str">
        <f>IF(ISBLANK(W65)," ",IFERROR(VLOOKUP("TOTAL SIN F POWER",#REF!,15,0),""))</f>
        <v/>
      </c>
    </row>
    <row r="71" spans="1:58" ht="30.75" thickBot="1" x14ac:dyDescent="0.3">
      <c r="A71" s="943" t="s">
        <v>84</v>
      </c>
      <c r="B71" s="944"/>
      <c r="C71" s="944"/>
      <c r="D71" s="945"/>
      <c r="E71" s="211">
        <f>J179+W179</f>
        <v>18</v>
      </c>
      <c r="Q71" s="212" t="s">
        <v>85</v>
      </c>
      <c r="R71" s="213"/>
      <c r="S71" s="213"/>
      <c r="T71" s="213"/>
      <c r="W71" s="212" t="s">
        <v>85</v>
      </c>
      <c r="X71" s="214" t="str">
        <f>IF(ISBLANK(W65)," ",IFERROR(VLOOKUP("TOTAL",#REF!,16,0),""))</f>
        <v/>
      </c>
      <c r="Y71" s="214" t="str">
        <f>IF(ISBLANK(W65)," ",IFERROR(VLOOKUP("TOTAL F POWER",#REF!,16,0),""))</f>
        <v/>
      </c>
      <c r="Z71" s="214" t="str">
        <f>IF(ISBLANK(W65)," ",IFERROR(VLOOKUP("TOTAL SIN F POWER",#REF!,16,0),""))</f>
        <v/>
      </c>
    </row>
    <row r="74" spans="1:58" ht="47.25" thickBot="1" x14ac:dyDescent="0.75">
      <c r="A74" s="929" t="s">
        <v>86</v>
      </c>
      <c r="B74" s="930"/>
      <c r="C74" s="930"/>
      <c r="D74" s="930"/>
      <c r="E74" s="930"/>
      <c r="F74" s="930"/>
      <c r="G74" s="930"/>
      <c r="H74" s="930"/>
      <c r="I74" s="930"/>
      <c r="J74" s="930"/>
      <c r="K74" s="930"/>
      <c r="L74" s="930"/>
      <c r="M74" s="930"/>
      <c r="N74" s="930"/>
      <c r="O74" s="930"/>
      <c r="P74" s="930"/>
      <c r="Q74" s="930"/>
      <c r="R74" s="930"/>
      <c r="S74" s="930"/>
      <c r="T74" s="930"/>
      <c r="U74" s="930"/>
      <c r="V74" s="930"/>
      <c r="W74" s="930"/>
      <c r="X74" s="930"/>
      <c r="Y74" s="930"/>
      <c r="Z74" s="930"/>
      <c r="AA74" s="183"/>
    </row>
    <row r="75" spans="1:58" ht="27.75" thickTop="1" thickBot="1" x14ac:dyDescent="0.45">
      <c r="D75" s="917" t="s">
        <v>87</v>
      </c>
      <c r="E75" s="918"/>
      <c r="F75" s="918"/>
      <c r="G75" s="919"/>
      <c r="H75" s="919"/>
      <c r="I75" s="931">
        <f>COUNTIF($E$13:$AX$49,"25C")</f>
        <v>4</v>
      </c>
      <c r="J75" s="932"/>
      <c r="M75" s="179"/>
      <c r="Q75" s="917" t="s">
        <v>88</v>
      </c>
      <c r="R75" s="918"/>
      <c r="S75" s="918"/>
      <c r="T75" s="919"/>
      <c r="U75" s="919"/>
      <c r="V75" s="931">
        <f>COUNTIF($E$3:$Y$12,"25C")</f>
        <v>7</v>
      </c>
      <c r="W75" s="932"/>
      <c r="AA75" s="215"/>
      <c r="AB75" s="216"/>
      <c r="AC75" s="933" t="s">
        <v>89</v>
      </c>
      <c r="AD75" s="934"/>
      <c r="AE75" s="934"/>
      <c r="AF75" s="935"/>
      <c r="AG75" s="216"/>
      <c r="AI75" s="217"/>
      <c r="AJ75" s="218"/>
      <c r="AK75" s="218"/>
      <c r="AL75" s="218"/>
      <c r="AM75" s="218"/>
      <c r="AN75" s="218"/>
      <c r="AO75" s="218"/>
      <c r="AP75" s="218"/>
      <c r="AQ75" s="218"/>
      <c r="AR75" s="218"/>
      <c r="AS75" s="218"/>
      <c r="AT75" s="218"/>
      <c r="AU75" s="218"/>
      <c r="AV75" s="218"/>
      <c r="AW75" s="218"/>
      <c r="AX75" s="218"/>
      <c r="AY75" s="218"/>
      <c r="AZ75" s="218"/>
      <c r="BA75" s="219"/>
    </row>
    <row r="76" spans="1:58" ht="22.5" thickTop="1" thickBot="1" x14ac:dyDescent="0.4">
      <c r="D76" s="917" t="s">
        <v>90</v>
      </c>
      <c r="E76" s="918"/>
      <c r="F76" s="918"/>
      <c r="G76" s="919"/>
      <c r="H76" s="919"/>
      <c r="I76" s="931">
        <f>COUNTIF($E$13:$AX$49,"50C")</f>
        <v>28</v>
      </c>
      <c r="J76" s="932"/>
      <c r="M76" s="179"/>
      <c r="Q76" s="917" t="s">
        <v>91</v>
      </c>
      <c r="R76" s="918"/>
      <c r="S76" s="918"/>
      <c r="T76" s="919"/>
      <c r="U76" s="919"/>
      <c r="V76" s="931">
        <f>COUNTIF($E$3:$Y$12,"50C")</f>
        <v>0</v>
      </c>
      <c r="W76" s="932"/>
      <c r="AA76" s="215"/>
      <c r="AC76" s="936"/>
      <c r="AD76" s="937"/>
      <c r="AE76" s="937"/>
      <c r="AF76" s="938"/>
      <c r="AH76" s="220"/>
      <c r="AI76" s="924" t="s">
        <v>92</v>
      </c>
      <c r="AJ76" s="925"/>
      <c r="AK76" s="925"/>
      <c r="AL76" s="925"/>
      <c r="AM76" s="925"/>
      <c r="AN76" s="926"/>
      <c r="AO76" s="221" t="s">
        <v>70</v>
      </c>
      <c r="AP76" s="222"/>
      <c r="AQ76" s="220"/>
      <c r="AR76" s="790" t="s">
        <v>93</v>
      </c>
      <c r="AS76" s="791"/>
      <c r="AT76" s="791"/>
      <c r="AU76" s="791"/>
      <c r="AV76" s="791"/>
      <c r="AW76" s="775"/>
      <c r="AX76" s="221" t="s">
        <v>70</v>
      </c>
      <c r="AY76" s="222"/>
      <c r="AZ76" s="220"/>
      <c r="BA76" s="223"/>
    </row>
    <row r="77" spans="1:58" ht="27" thickBot="1" x14ac:dyDescent="0.45">
      <c r="A77" s="182"/>
      <c r="B77" s="182"/>
      <c r="C77" s="182"/>
      <c r="D77" s="917" t="s">
        <v>94</v>
      </c>
      <c r="E77" s="918"/>
      <c r="F77" s="918"/>
      <c r="G77" s="919"/>
      <c r="H77" s="920"/>
      <c r="I77" s="921">
        <f>G103</f>
        <v>13</v>
      </c>
      <c r="J77" s="922"/>
      <c r="K77" s="182"/>
      <c r="L77" s="171"/>
      <c r="M77" s="215"/>
      <c r="N77" s="215"/>
      <c r="O77" s="224"/>
      <c r="P77" s="224"/>
      <c r="Q77" s="917" t="s">
        <v>95</v>
      </c>
      <c r="R77" s="918"/>
      <c r="S77" s="918"/>
      <c r="T77" s="918"/>
      <c r="U77" s="923"/>
      <c r="V77" s="921">
        <f>T103</f>
        <v>4</v>
      </c>
      <c r="W77" s="922"/>
      <c r="X77" s="224"/>
      <c r="Y77" s="224"/>
      <c r="Z77" s="225"/>
      <c r="AA77" s="215"/>
      <c r="AC77" s="927" t="s">
        <v>96</v>
      </c>
      <c r="AD77" s="928"/>
      <c r="AE77" s="226" t="s">
        <v>97</v>
      </c>
      <c r="AF77" s="227" t="s">
        <v>98</v>
      </c>
      <c r="AH77" s="220"/>
      <c r="AI77" s="776" t="s">
        <v>99</v>
      </c>
      <c r="AJ77" s="777"/>
      <c r="AK77" s="777"/>
      <c r="AL77" s="777"/>
      <c r="AM77" s="777"/>
      <c r="AN77" s="228" t="s">
        <v>100</v>
      </c>
      <c r="AO77" s="229">
        <f t="shared" ref="AO77:AO140" si="0">COUNTIF($A$1:$GO$54,AN77)</f>
        <v>0</v>
      </c>
      <c r="AP77" s="230"/>
      <c r="AQ77" s="220"/>
      <c r="AR77" s="787" t="s">
        <v>101</v>
      </c>
      <c r="AS77" s="788"/>
      <c r="AT77" s="788"/>
      <c r="AU77" s="788"/>
      <c r="AV77" s="788"/>
      <c r="AW77" s="233" t="s">
        <v>102</v>
      </c>
      <c r="AX77" s="229">
        <f t="shared" ref="AX77:AX117" si="1">COUNTIF($A$1:$GO$54,AW77)</f>
        <v>0</v>
      </c>
      <c r="AY77" s="234"/>
      <c r="AZ77" s="220"/>
      <c r="BA77" s="223"/>
      <c r="BC77" s="235"/>
      <c r="BD77" s="235"/>
      <c r="BE77" s="235"/>
      <c r="BF77" s="235"/>
    </row>
    <row r="78" spans="1:58" ht="21.75" thickBot="1" x14ac:dyDescent="0.4">
      <c r="C78" s="236" t="b">
        <v>0</v>
      </c>
      <c r="D78" s="917" t="s">
        <v>103</v>
      </c>
      <c r="E78" s="918"/>
      <c r="F78" s="918"/>
      <c r="G78" s="919"/>
      <c r="H78" s="920"/>
      <c r="I78" s="921">
        <f>G127</f>
        <v>0</v>
      </c>
      <c r="J78" s="922"/>
      <c r="M78" s="179"/>
      <c r="Q78" s="917" t="s">
        <v>104</v>
      </c>
      <c r="R78" s="918"/>
      <c r="S78" s="918"/>
      <c r="T78" s="918"/>
      <c r="U78" s="923"/>
      <c r="V78" s="921">
        <f>T127</f>
        <v>0</v>
      </c>
      <c r="W78" s="922"/>
      <c r="AA78" s="236"/>
      <c r="AC78" s="907" t="s">
        <v>105</v>
      </c>
      <c r="AD78" s="908"/>
      <c r="AE78" s="908"/>
      <c r="AF78" s="908"/>
      <c r="AH78" s="220"/>
      <c r="AI78" s="776" t="s">
        <v>106</v>
      </c>
      <c r="AJ78" s="777"/>
      <c r="AK78" s="777"/>
      <c r="AL78" s="777"/>
      <c r="AM78" s="777"/>
      <c r="AN78" s="237" t="s">
        <v>107</v>
      </c>
      <c r="AO78" s="229">
        <f t="shared" si="0"/>
        <v>0</v>
      </c>
      <c r="AP78" s="230"/>
      <c r="AQ78" s="220"/>
      <c r="AR78" s="787" t="s">
        <v>108</v>
      </c>
      <c r="AS78" s="788"/>
      <c r="AT78" s="788"/>
      <c r="AU78" s="788"/>
      <c r="AV78" s="788"/>
      <c r="AW78" s="238" t="s">
        <v>109</v>
      </c>
      <c r="AX78" s="229">
        <f t="shared" si="1"/>
        <v>0</v>
      </c>
      <c r="AY78" s="239"/>
      <c r="AZ78" s="220"/>
      <c r="BA78" s="223"/>
      <c r="BC78" s="240"/>
      <c r="BD78" s="240"/>
      <c r="BE78" s="241"/>
      <c r="BF78" s="241"/>
    </row>
    <row r="79" spans="1:58" ht="21.75" thickBot="1" x14ac:dyDescent="0.4">
      <c r="C79" s="236" t="b">
        <v>0</v>
      </c>
      <c r="D79" s="912" t="s">
        <v>110</v>
      </c>
      <c r="E79" s="913"/>
      <c r="F79" s="913"/>
      <c r="G79" s="913"/>
      <c r="H79" s="914"/>
      <c r="I79" s="915">
        <f>G179</f>
        <v>32</v>
      </c>
      <c r="J79" s="916"/>
      <c r="M79" s="179"/>
      <c r="Q79" s="912" t="s">
        <v>111</v>
      </c>
      <c r="R79" s="913"/>
      <c r="S79" s="913"/>
      <c r="T79" s="913"/>
      <c r="U79" s="914"/>
      <c r="V79" s="915">
        <f>T179</f>
        <v>7</v>
      </c>
      <c r="W79" s="916"/>
      <c r="AA79" s="179"/>
      <c r="AC79" s="242" t="s">
        <v>92</v>
      </c>
      <c r="AD79" s="243" t="s">
        <v>92</v>
      </c>
      <c r="AE79" s="244">
        <f>AO153</f>
        <v>27</v>
      </c>
      <c r="AF79" s="245" t="str">
        <f>IFERROR(AE79/$J$4,"")</f>
        <v/>
      </c>
      <c r="AH79" s="220"/>
      <c r="AI79" s="776" t="s">
        <v>112</v>
      </c>
      <c r="AJ79" s="777"/>
      <c r="AK79" s="777"/>
      <c r="AL79" s="777"/>
      <c r="AM79" s="777"/>
      <c r="AN79" s="246" t="s">
        <v>113</v>
      </c>
      <c r="AO79" s="229">
        <f t="shared" si="0"/>
        <v>0</v>
      </c>
      <c r="AP79" s="230"/>
      <c r="AQ79" s="220"/>
      <c r="AR79" s="787" t="s">
        <v>114</v>
      </c>
      <c r="AS79" s="788"/>
      <c r="AT79" s="788"/>
      <c r="AU79" s="788"/>
      <c r="AV79" s="788"/>
      <c r="AW79" s="247" t="s">
        <v>115</v>
      </c>
      <c r="AX79" s="229">
        <f t="shared" si="1"/>
        <v>0</v>
      </c>
      <c r="AY79" s="239"/>
      <c r="AZ79" s="220"/>
      <c r="BA79" s="223"/>
      <c r="BC79" s="240"/>
      <c r="BD79" s="240"/>
      <c r="BE79" s="241"/>
      <c r="BF79" s="241"/>
    </row>
    <row r="80" spans="1:58" ht="21" x14ac:dyDescent="0.35">
      <c r="A80" s="111"/>
      <c r="B80" s="111"/>
      <c r="C80" s="248"/>
      <c r="D80" s="249"/>
      <c r="E80" s="249"/>
      <c r="F80" s="249"/>
      <c r="G80" s="249"/>
      <c r="H80" s="249"/>
      <c r="I80" s="250"/>
      <c r="J80" s="250"/>
      <c r="K80" s="111"/>
      <c r="L80" s="111"/>
      <c r="M80" s="251"/>
      <c r="N80" s="111"/>
      <c r="O80" s="111"/>
      <c r="P80" s="111"/>
      <c r="Q80" s="249"/>
      <c r="R80" s="249"/>
      <c r="S80" s="249"/>
      <c r="T80" s="249"/>
      <c r="U80" s="249"/>
      <c r="V80" s="250"/>
      <c r="W80" s="250"/>
      <c r="X80" s="111"/>
      <c r="Y80" s="111"/>
      <c r="Z80" s="111"/>
      <c r="AA80" s="236"/>
      <c r="AC80" s="242" t="s">
        <v>116</v>
      </c>
      <c r="AD80" s="252" t="s">
        <v>117</v>
      </c>
      <c r="AE80" s="244">
        <f>AX252</f>
        <v>0</v>
      </c>
      <c r="AF80" s="245" t="str">
        <f t="shared" ref="AF80:AF101" si="2">IFERROR(AE80/$J$4,"")</f>
        <v/>
      </c>
      <c r="AH80" s="220"/>
      <c r="AI80" s="776" t="s">
        <v>118</v>
      </c>
      <c r="AJ80" s="777"/>
      <c r="AK80" s="777"/>
      <c r="AL80" s="777"/>
      <c r="AM80" s="777"/>
      <c r="AN80" s="253" t="s">
        <v>119</v>
      </c>
      <c r="AO80" s="229">
        <f t="shared" si="0"/>
        <v>0</v>
      </c>
      <c r="AP80" s="230"/>
      <c r="AQ80" s="220"/>
      <c r="AR80" s="787" t="s">
        <v>120</v>
      </c>
      <c r="AS80" s="788"/>
      <c r="AT80" s="788"/>
      <c r="AU80" s="788"/>
      <c r="AV80" s="788"/>
      <c r="AW80" s="254" t="s">
        <v>121</v>
      </c>
      <c r="AX80" s="229">
        <f t="shared" si="1"/>
        <v>0</v>
      </c>
      <c r="AY80" s="239"/>
      <c r="AZ80" s="220"/>
      <c r="BA80" s="223"/>
      <c r="BC80" s="255"/>
      <c r="BD80" s="255"/>
      <c r="BE80" s="256"/>
      <c r="BF80" s="256"/>
    </row>
    <row r="81" spans="1:58" ht="18.75" thickBot="1" x14ac:dyDescent="0.3">
      <c r="A81" s="909" t="s">
        <v>122</v>
      </c>
      <c r="B81" s="910"/>
      <c r="C81" s="910"/>
      <c r="D81" s="910"/>
      <c r="E81" s="910"/>
      <c r="F81" s="910"/>
      <c r="G81" s="910"/>
      <c r="H81" s="910"/>
      <c r="I81" s="911"/>
      <c r="J81" s="257" t="s">
        <v>123</v>
      </c>
      <c r="K81" s="257" t="s">
        <v>124</v>
      </c>
      <c r="L81" s="257" t="s">
        <v>125</v>
      </c>
      <c r="M81" s="236"/>
      <c r="N81" s="909" t="s">
        <v>122</v>
      </c>
      <c r="O81" s="910"/>
      <c r="P81" s="910"/>
      <c r="Q81" s="910"/>
      <c r="R81" s="910"/>
      <c r="S81" s="910"/>
      <c r="T81" s="910"/>
      <c r="U81" s="910"/>
      <c r="V81" s="911"/>
      <c r="W81" s="258" t="s">
        <v>123</v>
      </c>
      <c r="X81" s="258" t="s">
        <v>124</v>
      </c>
      <c r="Y81" s="258" t="s">
        <v>125</v>
      </c>
      <c r="Z81" s="258" t="s">
        <v>126</v>
      </c>
      <c r="AA81" s="236"/>
      <c r="AC81" s="242" t="s">
        <v>127</v>
      </c>
      <c r="AD81" s="259" t="s">
        <v>128</v>
      </c>
      <c r="AE81" s="244">
        <f>AO186</f>
        <v>0</v>
      </c>
      <c r="AF81" s="245" t="str">
        <f t="shared" si="2"/>
        <v/>
      </c>
      <c r="AH81" s="220"/>
      <c r="AI81" s="776" t="s">
        <v>129</v>
      </c>
      <c r="AJ81" s="777"/>
      <c r="AK81" s="777"/>
      <c r="AL81" s="777"/>
      <c r="AM81" s="777"/>
      <c r="AN81" s="260" t="s">
        <v>130</v>
      </c>
      <c r="AO81" s="229">
        <f t="shared" si="0"/>
        <v>0</v>
      </c>
      <c r="AP81" s="230"/>
      <c r="AQ81" s="220"/>
      <c r="AR81" s="787" t="s">
        <v>131</v>
      </c>
      <c r="AS81" s="788"/>
      <c r="AT81" s="788"/>
      <c r="AU81" s="788"/>
      <c r="AV81" s="788"/>
      <c r="AW81" s="254" t="s">
        <v>132</v>
      </c>
      <c r="AX81" s="229">
        <f t="shared" si="1"/>
        <v>0</v>
      </c>
      <c r="AY81" s="239"/>
      <c r="AZ81" s="220"/>
      <c r="BA81" s="223"/>
      <c r="BC81" s="240"/>
      <c r="BD81" s="240"/>
      <c r="BE81" s="261"/>
      <c r="BF81" s="261"/>
    </row>
    <row r="82" spans="1:58" ht="18.75" thickBot="1" x14ac:dyDescent="0.3">
      <c r="A82" s="858" t="s">
        <v>133</v>
      </c>
      <c r="B82" s="859"/>
      <c r="C82" s="860"/>
      <c r="D82" s="262" t="s">
        <v>3</v>
      </c>
      <c r="E82" s="263"/>
      <c r="F82" s="264" t="s">
        <v>134</v>
      </c>
      <c r="G82" s="806">
        <f t="shared" ref="G82:G102" si="3">COUNTIF($E$13:$AX$49,F82)</f>
        <v>0</v>
      </c>
      <c r="H82" s="807"/>
      <c r="I82" s="808"/>
      <c r="J82" s="265">
        <v>0</v>
      </c>
      <c r="K82" s="266">
        <v>0</v>
      </c>
      <c r="L82" s="267">
        <f>G82-K82-J82</f>
        <v>0</v>
      </c>
      <c r="M82" s="236"/>
      <c r="N82" s="858" t="s">
        <v>133</v>
      </c>
      <c r="O82" s="859"/>
      <c r="P82" s="860"/>
      <c r="Q82" s="262" t="s">
        <v>3</v>
      </c>
      <c r="R82" s="263"/>
      <c r="S82" s="264" t="s">
        <v>134</v>
      </c>
      <c r="T82" s="809">
        <f t="shared" ref="T82:T102" si="4">COUNTIF($E$3:$Y$12,S82)</f>
        <v>0</v>
      </c>
      <c r="U82" s="809"/>
      <c r="V82" s="809"/>
      <c r="W82" s="265">
        <v>0</v>
      </c>
      <c r="X82" s="266">
        <v>0</v>
      </c>
      <c r="Y82" s="267">
        <f t="shared" ref="Y82:Y102" si="5">T82-X82-W82</f>
        <v>0</v>
      </c>
      <c r="Z82" s="268">
        <f t="shared" ref="Z82:Z146" si="6">T82+G82</f>
        <v>0</v>
      </c>
      <c r="AA82" s="236"/>
      <c r="AC82" s="242" t="s">
        <v>135</v>
      </c>
      <c r="AD82" s="269" t="s">
        <v>136</v>
      </c>
      <c r="AE82" s="244">
        <f>AX229</f>
        <v>0</v>
      </c>
      <c r="AF82" s="245" t="str">
        <f t="shared" si="2"/>
        <v/>
      </c>
      <c r="AH82" s="220"/>
      <c r="AI82" s="776" t="s">
        <v>137</v>
      </c>
      <c r="AJ82" s="777"/>
      <c r="AK82" s="777"/>
      <c r="AL82" s="777"/>
      <c r="AM82" s="777"/>
      <c r="AN82" s="270" t="s">
        <v>138</v>
      </c>
      <c r="AO82" s="229">
        <f t="shared" si="0"/>
        <v>0</v>
      </c>
      <c r="AP82" s="230"/>
      <c r="AQ82" s="220"/>
      <c r="AR82" s="787" t="s">
        <v>139</v>
      </c>
      <c r="AS82" s="788"/>
      <c r="AT82" s="788"/>
      <c r="AU82" s="788"/>
      <c r="AV82" s="788"/>
      <c r="AW82" s="271" t="s">
        <v>140</v>
      </c>
      <c r="AX82" s="229">
        <f t="shared" si="1"/>
        <v>0</v>
      </c>
      <c r="AY82" s="239"/>
      <c r="AZ82" s="220"/>
      <c r="BA82" s="223"/>
      <c r="BC82" s="240"/>
      <c r="BD82" s="240"/>
      <c r="BE82" s="240"/>
      <c r="BF82" s="240"/>
    </row>
    <row r="83" spans="1:58" ht="18.75" thickBot="1" x14ac:dyDescent="0.3">
      <c r="A83" s="858" t="s">
        <v>141</v>
      </c>
      <c r="B83" s="859"/>
      <c r="C83" s="860"/>
      <c r="D83" s="262"/>
      <c r="E83" s="263" t="s">
        <v>142</v>
      </c>
      <c r="F83" s="272" t="s">
        <v>3</v>
      </c>
      <c r="G83" s="806">
        <f t="shared" si="3"/>
        <v>2</v>
      </c>
      <c r="H83" s="807"/>
      <c r="I83" s="808"/>
      <c r="J83" s="265">
        <v>2</v>
      </c>
      <c r="K83" s="266">
        <v>0</v>
      </c>
      <c r="L83" s="267">
        <f t="shared" ref="L83:L102" si="7">G83-K83-J83</f>
        <v>0</v>
      </c>
      <c r="M83" s="236"/>
      <c r="N83" s="858" t="s">
        <v>141</v>
      </c>
      <c r="O83" s="859"/>
      <c r="P83" s="860"/>
      <c r="Q83" s="262"/>
      <c r="R83" s="263" t="s">
        <v>142</v>
      </c>
      <c r="S83" s="272" t="s">
        <v>3</v>
      </c>
      <c r="T83" s="809">
        <f t="shared" si="4"/>
        <v>1</v>
      </c>
      <c r="U83" s="809"/>
      <c r="V83" s="809"/>
      <c r="W83" s="265">
        <v>0</v>
      </c>
      <c r="X83" s="266">
        <v>1</v>
      </c>
      <c r="Y83" s="267">
        <f t="shared" si="5"/>
        <v>0</v>
      </c>
      <c r="Z83" s="268">
        <f t="shared" si="6"/>
        <v>3</v>
      </c>
      <c r="AA83" s="236"/>
      <c r="AC83" s="242" t="s">
        <v>143</v>
      </c>
      <c r="AD83" s="273" t="s">
        <v>143</v>
      </c>
      <c r="AE83" s="244">
        <f>AX174</f>
        <v>0</v>
      </c>
      <c r="AF83" s="245" t="str">
        <f t="shared" si="2"/>
        <v/>
      </c>
      <c r="AH83" s="220"/>
      <c r="AI83" s="776" t="s">
        <v>144</v>
      </c>
      <c r="AJ83" s="777"/>
      <c r="AK83" s="777"/>
      <c r="AL83" s="777"/>
      <c r="AM83" s="777"/>
      <c r="AN83" s="274" t="s">
        <v>145</v>
      </c>
      <c r="AO83" s="229">
        <f t="shared" si="0"/>
        <v>0</v>
      </c>
      <c r="AP83" s="230"/>
      <c r="AQ83" s="220"/>
      <c r="AR83" s="787" t="s">
        <v>146</v>
      </c>
      <c r="AS83" s="788"/>
      <c r="AT83" s="788"/>
      <c r="AU83" s="788"/>
      <c r="AV83" s="788"/>
      <c r="AW83" s="275" t="s">
        <v>147</v>
      </c>
      <c r="AX83" s="229">
        <f t="shared" si="1"/>
        <v>0</v>
      </c>
      <c r="AY83" s="239"/>
      <c r="AZ83" s="220"/>
      <c r="BA83" s="223"/>
      <c r="BC83" s="240"/>
      <c r="BD83" s="240"/>
      <c r="BE83" s="241"/>
      <c r="BF83" s="241"/>
    </row>
    <row r="84" spans="1:58" ht="18.75" thickBot="1" x14ac:dyDescent="0.3">
      <c r="A84" s="858" t="s">
        <v>148</v>
      </c>
      <c r="B84" s="859"/>
      <c r="C84" s="860"/>
      <c r="D84" s="262"/>
      <c r="E84" s="263" t="s">
        <v>142</v>
      </c>
      <c r="F84" s="276" t="s">
        <v>6</v>
      </c>
      <c r="G84" s="806">
        <f t="shared" si="3"/>
        <v>2</v>
      </c>
      <c r="H84" s="807"/>
      <c r="I84" s="808"/>
      <c r="J84" s="265">
        <v>1</v>
      </c>
      <c r="K84" s="266">
        <v>1</v>
      </c>
      <c r="L84" s="267">
        <f t="shared" si="7"/>
        <v>0</v>
      </c>
      <c r="M84" s="236"/>
      <c r="N84" s="858" t="s">
        <v>148</v>
      </c>
      <c r="O84" s="859"/>
      <c r="P84" s="860"/>
      <c r="Q84" s="262"/>
      <c r="R84" s="263" t="s">
        <v>142</v>
      </c>
      <c r="S84" s="276" t="s">
        <v>6</v>
      </c>
      <c r="T84" s="809">
        <f t="shared" si="4"/>
        <v>1</v>
      </c>
      <c r="U84" s="809"/>
      <c r="V84" s="809"/>
      <c r="W84" s="265">
        <v>0</v>
      </c>
      <c r="X84" s="266">
        <v>1</v>
      </c>
      <c r="Y84" s="267">
        <f t="shared" si="5"/>
        <v>0</v>
      </c>
      <c r="Z84" s="268">
        <f t="shared" si="6"/>
        <v>3</v>
      </c>
      <c r="AA84" s="236"/>
      <c r="AC84" s="242" t="s">
        <v>149</v>
      </c>
      <c r="AD84" s="277" t="s">
        <v>149</v>
      </c>
      <c r="AE84" s="244">
        <f>AO192</f>
        <v>0</v>
      </c>
      <c r="AF84" s="245" t="str">
        <f t="shared" si="2"/>
        <v/>
      </c>
      <c r="AH84" s="220"/>
      <c r="AI84" s="776" t="s">
        <v>150</v>
      </c>
      <c r="AJ84" s="777"/>
      <c r="AK84" s="777"/>
      <c r="AL84" s="777"/>
      <c r="AM84" s="777"/>
      <c r="AN84" s="278" t="s">
        <v>151</v>
      </c>
      <c r="AO84" s="229">
        <f t="shared" si="0"/>
        <v>0</v>
      </c>
      <c r="AP84" s="230"/>
      <c r="AQ84" s="220"/>
      <c r="AR84" s="787" t="s">
        <v>152</v>
      </c>
      <c r="AS84" s="788"/>
      <c r="AT84" s="788"/>
      <c r="AU84" s="788"/>
      <c r="AV84" s="788"/>
      <c r="AW84" s="279" t="s">
        <v>153</v>
      </c>
      <c r="AX84" s="229">
        <f t="shared" si="1"/>
        <v>0</v>
      </c>
      <c r="AY84" s="239"/>
      <c r="AZ84" s="220"/>
      <c r="BA84" s="223"/>
      <c r="BC84" s="255"/>
      <c r="BD84" s="255"/>
      <c r="BE84" s="280"/>
      <c r="BF84" s="280"/>
    </row>
    <row r="85" spans="1:58" ht="18.75" thickBot="1" x14ac:dyDescent="0.3">
      <c r="A85" s="858" t="s">
        <v>154</v>
      </c>
      <c r="B85" s="859"/>
      <c r="C85" s="860"/>
      <c r="D85" s="262" t="s">
        <v>155</v>
      </c>
      <c r="E85" s="263" t="s">
        <v>142</v>
      </c>
      <c r="F85" s="281" t="s">
        <v>156</v>
      </c>
      <c r="G85" s="806">
        <f t="shared" si="3"/>
        <v>0</v>
      </c>
      <c r="H85" s="807"/>
      <c r="I85" s="808"/>
      <c r="J85" s="265">
        <v>0</v>
      </c>
      <c r="K85" s="266">
        <v>0</v>
      </c>
      <c r="L85" s="267">
        <f t="shared" si="7"/>
        <v>0</v>
      </c>
      <c r="M85" s="236"/>
      <c r="N85" s="858" t="s">
        <v>154</v>
      </c>
      <c r="O85" s="859"/>
      <c r="P85" s="860"/>
      <c r="Q85" s="262" t="s">
        <v>155</v>
      </c>
      <c r="R85" s="263" t="s">
        <v>142</v>
      </c>
      <c r="S85" s="281" t="s">
        <v>156</v>
      </c>
      <c r="T85" s="809">
        <f t="shared" si="4"/>
        <v>0</v>
      </c>
      <c r="U85" s="809"/>
      <c r="V85" s="809"/>
      <c r="W85" s="265">
        <v>0</v>
      </c>
      <c r="X85" s="266">
        <v>0</v>
      </c>
      <c r="Y85" s="267">
        <f t="shared" si="5"/>
        <v>0</v>
      </c>
      <c r="Z85" s="268">
        <f t="shared" si="6"/>
        <v>0</v>
      </c>
      <c r="AA85" s="236"/>
      <c r="AC85" s="242" t="s">
        <v>157</v>
      </c>
      <c r="AD85" s="282" t="s">
        <v>158</v>
      </c>
      <c r="AE85" s="244">
        <f>AO203</f>
        <v>0</v>
      </c>
      <c r="AF85" s="245" t="str">
        <f t="shared" si="2"/>
        <v/>
      </c>
      <c r="AH85" s="220"/>
      <c r="AI85" s="776" t="s">
        <v>159</v>
      </c>
      <c r="AJ85" s="777"/>
      <c r="AK85" s="777"/>
      <c r="AL85" s="777"/>
      <c r="AM85" s="777"/>
      <c r="AN85" s="29" t="s">
        <v>20</v>
      </c>
      <c r="AO85" s="229">
        <f t="shared" si="0"/>
        <v>2</v>
      </c>
      <c r="AP85" s="230"/>
      <c r="AQ85" s="220"/>
      <c r="AR85" s="787" t="s">
        <v>160</v>
      </c>
      <c r="AS85" s="788"/>
      <c r="AT85" s="788"/>
      <c r="AU85" s="788"/>
      <c r="AV85" s="788"/>
      <c r="AW85" s="283" t="s">
        <v>161</v>
      </c>
      <c r="AX85" s="229">
        <f t="shared" si="1"/>
        <v>0</v>
      </c>
      <c r="AY85" s="239"/>
      <c r="AZ85" s="220"/>
      <c r="BA85" s="223"/>
    </row>
    <row r="86" spans="1:58" ht="18.75" thickBot="1" x14ac:dyDescent="0.3">
      <c r="A86" s="858" t="s">
        <v>162</v>
      </c>
      <c r="B86" s="859"/>
      <c r="C86" s="860"/>
      <c r="D86" s="262"/>
      <c r="E86" s="263" t="s">
        <v>142</v>
      </c>
      <c r="F86" s="284" t="s">
        <v>34</v>
      </c>
      <c r="G86" s="806">
        <f t="shared" si="3"/>
        <v>3</v>
      </c>
      <c r="H86" s="807"/>
      <c r="I86" s="808"/>
      <c r="J86" s="265">
        <v>2</v>
      </c>
      <c r="K86" s="266">
        <v>1</v>
      </c>
      <c r="L86" s="267">
        <f t="shared" si="7"/>
        <v>0</v>
      </c>
      <c r="M86" s="236"/>
      <c r="N86" s="858" t="s">
        <v>162</v>
      </c>
      <c r="O86" s="859"/>
      <c r="P86" s="860"/>
      <c r="Q86" s="262"/>
      <c r="R86" s="263" t="s">
        <v>142</v>
      </c>
      <c r="S86" s="284" t="s">
        <v>34</v>
      </c>
      <c r="T86" s="809">
        <f t="shared" si="4"/>
        <v>0</v>
      </c>
      <c r="U86" s="809"/>
      <c r="V86" s="809"/>
      <c r="W86" s="265">
        <v>0</v>
      </c>
      <c r="X86" s="266">
        <v>0</v>
      </c>
      <c r="Y86" s="267">
        <f t="shared" si="5"/>
        <v>0</v>
      </c>
      <c r="Z86" s="268">
        <f t="shared" si="6"/>
        <v>3</v>
      </c>
      <c r="AA86" s="236" t="b">
        <f>IFERROR(T88&gt;0.5,FALSE)</f>
        <v>0</v>
      </c>
      <c r="AC86" s="242" t="s">
        <v>163</v>
      </c>
      <c r="AD86" s="285" t="s">
        <v>164</v>
      </c>
      <c r="AE86" s="244">
        <f>AO259</f>
        <v>0</v>
      </c>
      <c r="AF86" s="245" t="str">
        <f t="shared" si="2"/>
        <v/>
      </c>
      <c r="AH86" s="220"/>
      <c r="AI86" s="776" t="s">
        <v>165</v>
      </c>
      <c r="AJ86" s="777"/>
      <c r="AK86" s="777"/>
      <c r="AL86" s="777"/>
      <c r="AM86" s="777"/>
      <c r="AN86" s="286" t="s">
        <v>166</v>
      </c>
      <c r="AO86" s="229">
        <f t="shared" si="0"/>
        <v>0</v>
      </c>
      <c r="AP86" s="230"/>
      <c r="AQ86" s="220"/>
      <c r="AR86" s="787" t="s">
        <v>167</v>
      </c>
      <c r="AS86" s="788"/>
      <c r="AT86" s="788"/>
      <c r="AU86" s="788"/>
      <c r="AV86" s="788"/>
      <c r="AW86" s="287" t="s">
        <v>168</v>
      </c>
      <c r="AX86" s="229">
        <f t="shared" si="1"/>
        <v>0</v>
      </c>
      <c r="AY86" s="239"/>
      <c r="AZ86" s="220"/>
      <c r="BA86" s="223"/>
    </row>
    <row r="87" spans="1:58" ht="18.75" thickBot="1" x14ac:dyDescent="0.3">
      <c r="A87" s="858" t="s">
        <v>169</v>
      </c>
      <c r="B87" s="859"/>
      <c r="C87" s="860"/>
      <c r="D87" s="262" t="s">
        <v>170</v>
      </c>
      <c r="E87" s="263" t="s">
        <v>142</v>
      </c>
      <c r="F87" s="288" t="s">
        <v>171</v>
      </c>
      <c r="G87" s="806">
        <f t="shared" si="3"/>
        <v>0</v>
      </c>
      <c r="H87" s="807"/>
      <c r="I87" s="808"/>
      <c r="J87" s="265">
        <v>0</v>
      </c>
      <c r="K87" s="266">
        <v>0</v>
      </c>
      <c r="L87" s="267">
        <f t="shared" si="7"/>
        <v>0</v>
      </c>
      <c r="M87" s="236"/>
      <c r="N87" s="858" t="s">
        <v>169</v>
      </c>
      <c r="O87" s="859"/>
      <c r="P87" s="860"/>
      <c r="Q87" s="262" t="s">
        <v>170</v>
      </c>
      <c r="R87" s="263" t="s">
        <v>142</v>
      </c>
      <c r="S87" s="288" t="s">
        <v>171</v>
      </c>
      <c r="T87" s="809">
        <f t="shared" si="4"/>
        <v>0</v>
      </c>
      <c r="U87" s="809"/>
      <c r="V87" s="809"/>
      <c r="W87" s="265">
        <v>0</v>
      </c>
      <c r="X87" s="266">
        <v>0</v>
      </c>
      <c r="Y87" s="267">
        <f t="shared" si="5"/>
        <v>0</v>
      </c>
      <c r="Z87" s="268">
        <f t="shared" si="6"/>
        <v>0</v>
      </c>
      <c r="AA87" s="236" t="b">
        <f>IFERROR(T89&gt;0.5,FALSE)</f>
        <v>0</v>
      </c>
      <c r="AC87" s="242" t="s">
        <v>172</v>
      </c>
      <c r="AD87" s="289" t="s">
        <v>173</v>
      </c>
      <c r="AE87" s="244">
        <f>AO223</f>
        <v>0</v>
      </c>
      <c r="AF87" s="245" t="str">
        <f t="shared" si="2"/>
        <v/>
      </c>
      <c r="AH87" s="220"/>
      <c r="AI87" s="776" t="s">
        <v>174</v>
      </c>
      <c r="AJ87" s="777"/>
      <c r="AK87" s="777"/>
      <c r="AL87" s="777"/>
      <c r="AM87" s="777"/>
      <c r="AN87" s="290" t="s">
        <v>175</v>
      </c>
      <c r="AO87" s="229">
        <f t="shared" si="0"/>
        <v>0</v>
      </c>
      <c r="AP87" s="230"/>
      <c r="AQ87" s="220"/>
      <c r="AR87" s="787" t="s">
        <v>176</v>
      </c>
      <c r="AS87" s="788"/>
      <c r="AT87" s="788"/>
      <c r="AU87" s="788"/>
      <c r="AV87" s="788"/>
      <c r="AW87" s="291" t="s">
        <v>177</v>
      </c>
      <c r="AX87" s="229">
        <f t="shared" si="1"/>
        <v>0</v>
      </c>
      <c r="AY87" s="239"/>
      <c r="AZ87" s="220"/>
      <c r="BA87" s="223"/>
    </row>
    <row r="88" spans="1:58" ht="18.75" thickBot="1" x14ac:dyDescent="0.3">
      <c r="A88" s="858" t="s">
        <v>178</v>
      </c>
      <c r="B88" s="859"/>
      <c r="C88" s="860"/>
      <c r="D88" s="262"/>
      <c r="E88" s="263" t="s">
        <v>142</v>
      </c>
      <c r="F88" s="292" t="s">
        <v>29</v>
      </c>
      <c r="G88" s="806">
        <f t="shared" si="3"/>
        <v>4</v>
      </c>
      <c r="H88" s="807"/>
      <c r="I88" s="808"/>
      <c r="J88" s="265">
        <v>3</v>
      </c>
      <c r="K88" s="266">
        <v>1</v>
      </c>
      <c r="L88" s="267">
        <f t="shared" si="7"/>
        <v>0</v>
      </c>
      <c r="M88" s="236"/>
      <c r="N88" s="858" t="s">
        <v>178</v>
      </c>
      <c r="O88" s="859"/>
      <c r="P88" s="860"/>
      <c r="Q88" s="262"/>
      <c r="R88" s="263" t="s">
        <v>142</v>
      </c>
      <c r="S88" s="292" t="s">
        <v>29</v>
      </c>
      <c r="T88" s="809">
        <f t="shared" si="4"/>
        <v>0</v>
      </c>
      <c r="U88" s="809"/>
      <c r="V88" s="809"/>
      <c r="W88" s="265">
        <v>0</v>
      </c>
      <c r="X88" s="266">
        <v>0</v>
      </c>
      <c r="Y88" s="267">
        <f t="shared" si="5"/>
        <v>0</v>
      </c>
      <c r="Z88" s="268">
        <f t="shared" si="6"/>
        <v>4</v>
      </c>
      <c r="AA88" s="236"/>
      <c r="AC88" s="242" t="s">
        <v>179</v>
      </c>
      <c r="AD88" s="293" t="s">
        <v>180</v>
      </c>
      <c r="AE88" s="244">
        <f>AX215</f>
        <v>0</v>
      </c>
      <c r="AF88" s="245" t="str">
        <f t="shared" si="2"/>
        <v/>
      </c>
      <c r="AH88" s="220"/>
      <c r="AI88" s="776" t="s">
        <v>181</v>
      </c>
      <c r="AJ88" s="777"/>
      <c r="AK88" s="777"/>
      <c r="AL88" s="777"/>
      <c r="AM88" s="777"/>
      <c r="AN88" s="294" t="s">
        <v>182</v>
      </c>
      <c r="AO88" s="229">
        <f t="shared" si="0"/>
        <v>0</v>
      </c>
      <c r="AP88" s="230"/>
      <c r="AQ88" s="220"/>
      <c r="AR88" s="787" t="s">
        <v>183</v>
      </c>
      <c r="AS88" s="788"/>
      <c r="AT88" s="788"/>
      <c r="AU88" s="788"/>
      <c r="AV88" s="788"/>
      <c r="AW88" s="295" t="s">
        <v>184</v>
      </c>
      <c r="AX88" s="229">
        <f t="shared" si="1"/>
        <v>0</v>
      </c>
      <c r="AY88" s="239"/>
      <c r="AZ88" s="220"/>
      <c r="BA88" s="223"/>
    </row>
    <row r="89" spans="1:58" ht="18.75" thickBot="1" x14ac:dyDescent="0.3">
      <c r="A89" s="858" t="s">
        <v>185</v>
      </c>
      <c r="B89" s="859"/>
      <c r="C89" s="860"/>
      <c r="D89" s="262"/>
      <c r="E89" s="263"/>
      <c r="F89" s="296" t="s">
        <v>186</v>
      </c>
      <c r="G89" s="806">
        <f t="shared" si="3"/>
        <v>0</v>
      </c>
      <c r="H89" s="807"/>
      <c r="I89" s="808"/>
      <c r="J89" s="265">
        <v>0</v>
      </c>
      <c r="K89" s="266">
        <v>0</v>
      </c>
      <c r="L89" s="267">
        <f t="shared" si="7"/>
        <v>0</v>
      </c>
      <c r="M89" s="236"/>
      <c r="N89" s="858" t="s">
        <v>185</v>
      </c>
      <c r="O89" s="859"/>
      <c r="P89" s="860"/>
      <c r="Q89" s="262"/>
      <c r="R89" s="263"/>
      <c r="S89" s="296" t="s">
        <v>186</v>
      </c>
      <c r="T89" s="809">
        <f t="shared" si="4"/>
        <v>0</v>
      </c>
      <c r="U89" s="809"/>
      <c r="V89" s="809"/>
      <c r="W89" s="265">
        <v>0</v>
      </c>
      <c r="X89" s="266">
        <v>0</v>
      </c>
      <c r="Y89" s="267">
        <f t="shared" si="5"/>
        <v>0</v>
      </c>
      <c r="Z89" s="268">
        <f t="shared" si="6"/>
        <v>0</v>
      </c>
      <c r="AA89" s="236"/>
      <c r="AC89" s="242" t="s">
        <v>187</v>
      </c>
      <c r="AD89" s="297" t="s">
        <v>187</v>
      </c>
      <c r="AE89" s="244">
        <f>AX220</f>
        <v>0</v>
      </c>
      <c r="AF89" s="245" t="str">
        <f t="shared" si="2"/>
        <v/>
      </c>
      <c r="AH89" s="220"/>
      <c r="AI89" s="776" t="s">
        <v>188</v>
      </c>
      <c r="AJ89" s="777"/>
      <c r="AK89" s="777"/>
      <c r="AL89" s="777"/>
      <c r="AM89" s="777"/>
      <c r="AN89" s="294" t="s">
        <v>189</v>
      </c>
      <c r="AO89" s="229">
        <f t="shared" si="0"/>
        <v>0</v>
      </c>
      <c r="AP89" s="230"/>
      <c r="AQ89" s="220"/>
      <c r="AR89" s="787" t="s">
        <v>190</v>
      </c>
      <c r="AS89" s="788"/>
      <c r="AT89" s="788"/>
      <c r="AU89" s="788"/>
      <c r="AV89" s="788"/>
      <c r="AW89" s="298" t="s">
        <v>191</v>
      </c>
      <c r="AX89" s="229">
        <f t="shared" si="1"/>
        <v>0</v>
      </c>
      <c r="AY89" s="239"/>
      <c r="AZ89" s="220"/>
      <c r="BA89" s="223"/>
    </row>
    <row r="90" spans="1:58" ht="18.75" thickBot="1" x14ac:dyDescent="0.3">
      <c r="A90" s="858" t="s">
        <v>192</v>
      </c>
      <c r="B90" s="859"/>
      <c r="C90" s="860"/>
      <c r="D90" s="262"/>
      <c r="E90" s="263"/>
      <c r="F90" s="299" t="s">
        <v>193</v>
      </c>
      <c r="G90" s="806">
        <f t="shared" si="3"/>
        <v>0</v>
      </c>
      <c r="H90" s="807"/>
      <c r="I90" s="808"/>
      <c r="J90" s="265">
        <v>0</v>
      </c>
      <c r="K90" s="266">
        <v>0</v>
      </c>
      <c r="L90" s="267">
        <f t="shared" si="7"/>
        <v>0</v>
      </c>
      <c r="M90" s="236"/>
      <c r="N90" s="858" t="s">
        <v>192</v>
      </c>
      <c r="O90" s="859"/>
      <c r="P90" s="860"/>
      <c r="Q90" s="262"/>
      <c r="R90" s="263"/>
      <c r="S90" s="299" t="s">
        <v>193</v>
      </c>
      <c r="T90" s="809">
        <f t="shared" si="4"/>
        <v>0</v>
      </c>
      <c r="U90" s="809"/>
      <c r="V90" s="809"/>
      <c r="W90" s="265">
        <v>0</v>
      </c>
      <c r="X90" s="266">
        <v>0</v>
      </c>
      <c r="Y90" s="267">
        <f t="shared" si="5"/>
        <v>0</v>
      </c>
      <c r="Z90" s="268">
        <f t="shared" si="6"/>
        <v>0</v>
      </c>
      <c r="AA90" s="236"/>
      <c r="AC90" s="300" t="s">
        <v>194</v>
      </c>
      <c r="AD90" s="301" t="s">
        <v>195</v>
      </c>
      <c r="AE90" s="244">
        <f>AX233</f>
        <v>0</v>
      </c>
      <c r="AF90" s="245" t="str">
        <f t="shared" si="2"/>
        <v/>
      </c>
      <c r="AH90" s="220"/>
      <c r="AI90" s="776" t="s">
        <v>196</v>
      </c>
      <c r="AJ90" s="777"/>
      <c r="AK90" s="777"/>
      <c r="AL90" s="777"/>
      <c r="AM90" s="777"/>
      <c r="AN90" s="302" t="s">
        <v>197</v>
      </c>
      <c r="AO90" s="229">
        <f t="shared" si="0"/>
        <v>0</v>
      </c>
      <c r="AP90" s="230"/>
      <c r="AQ90" s="220"/>
      <c r="AR90" s="787" t="s">
        <v>198</v>
      </c>
      <c r="AS90" s="788"/>
      <c r="AT90" s="788"/>
      <c r="AU90" s="788"/>
      <c r="AV90" s="788"/>
      <c r="AW90" s="303" t="s">
        <v>199</v>
      </c>
      <c r="AX90" s="229">
        <f t="shared" si="1"/>
        <v>0</v>
      </c>
      <c r="AY90" s="239"/>
      <c r="AZ90" s="220"/>
      <c r="BA90" s="223"/>
    </row>
    <row r="91" spans="1:58" ht="18" x14ac:dyDescent="0.25">
      <c r="A91" s="858" t="s">
        <v>200</v>
      </c>
      <c r="B91" s="859"/>
      <c r="C91" s="860"/>
      <c r="D91" s="262"/>
      <c r="E91" s="263" t="s">
        <v>142</v>
      </c>
      <c r="F91" s="304" t="s">
        <v>201</v>
      </c>
      <c r="G91" s="806">
        <f t="shared" si="3"/>
        <v>0</v>
      </c>
      <c r="H91" s="807"/>
      <c r="I91" s="808"/>
      <c r="J91" s="265">
        <v>0</v>
      </c>
      <c r="K91" s="266">
        <v>0</v>
      </c>
      <c r="L91" s="267">
        <f t="shared" si="7"/>
        <v>0</v>
      </c>
      <c r="M91" s="236"/>
      <c r="N91" s="858" t="s">
        <v>200</v>
      </c>
      <c r="O91" s="859"/>
      <c r="P91" s="860"/>
      <c r="Q91" s="262"/>
      <c r="R91" s="263" t="s">
        <v>142</v>
      </c>
      <c r="S91" s="304" t="s">
        <v>201</v>
      </c>
      <c r="T91" s="809">
        <f t="shared" si="4"/>
        <v>0</v>
      </c>
      <c r="U91" s="809"/>
      <c r="V91" s="809"/>
      <c r="W91" s="265">
        <v>0</v>
      </c>
      <c r="X91" s="266">
        <v>0</v>
      </c>
      <c r="Y91" s="267">
        <f t="shared" si="5"/>
        <v>0</v>
      </c>
      <c r="Z91" s="268">
        <f t="shared" si="6"/>
        <v>0</v>
      </c>
      <c r="AA91" s="236"/>
      <c r="AC91" s="300" t="s">
        <v>202</v>
      </c>
      <c r="AD91" s="305" t="s">
        <v>203</v>
      </c>
      <c r="AE91" s="244" t="s">
        <v>204</v>
      </c>
      <c r="AF91" s="245" t="str">
        <f t="shared" si="2"/>
        <v/>
      </c>
      <c r="AH91" s="220"/>
      <c r="AI91" s="776" t="s">
        <v>205</v>
      </c>
      <c r="AJ91" s="777"/>
      <c r="AK91" s="777"/>
      <c r="AL91" s="777"/>
      <c r="AM91" s="777"/>
      <c r="AN91" s="306" t="s">
        <v>206</v>
      </c>
      <c r="AO91" s="229">
        <f t="shared" si="0"/>
        <v>0</v>
      </c>
      <c r="AP91" s="230"/>
      <c r="AQ91" s="220"/>
      <c r="AR91" s="787" t="s">
        <v>207</v>
      </c>
      <c r="AS91" s="788"/>
      <c r="AT91" s="788"/>
      <c r="AU91" s="788"/>
      <c r="AV91" s="788"/>
      <c r="AW91" s="307" t="s">
        <v>208</v>
      </c>
      <c r="AX91" s="229">
        <f t="shared" si="1"/>
        <v>0</v>
      </c>
      <c r="AY91" s="239"/>
      <c r="AZ91" s="220"/>
      <c r="BA91" s="223"/>
    </row>
    <row r="92" spans="1:58" ht="18.75" thickBot="1" x14ac:dyDescent="0.3">
      <c r="A92" s="858" t="s">
        <v>209</v>
      </c>
      <c r="B92" s="859"/>
      <c r="C92" s="860"/>
      <c r="D92" s="262"/>
      <c r="E92" s="263" t="s">
        <v>142</v>
      </c>
      <c r="F92" s="308" t="s">
        <v>210</v>
      </c>
      <c r="G92" s="806">
        <f t="shared" si="3"/>
        <v>0</v>
      </c>
      <c r="H92" s="807"/>
      <c r="I92" s="808"/>
      <c r="J92" s="265">
        <v>0</v>
      </c>
      <c r="K92" s="266">
        <v>0</v>
      </c>
      <c r="L92" s="267">
        <f t="shared" si="7"/>
        <v>0</v>
      </c>
      <c r="M92" s="236"/>
      <c r="N92" s="858" t="s">
        <v>209</v>
      </c>
      <c r="O92" s="859"/>
      <c r="P92" s="860"/>
      <c r="Q92" s="262"/>
      <c r="R92" s="263" t="s">
        <v>142</v>
      </c>
      <c r="S92" s="308" t="s">
        <v>210</v>
      </c>
      <c r="T92" s="809">
        <f t="shared" si="4"/>
        <v>0</v>
      </c>
      <c r="U92" s="809"/>
      <c r="V92" s="809"/>
      <c r="W92" s="265">
        <v>0</v>
      </c>
      <c r="X92" s="266">
        <v>0</v>
      </c>
      <c r="Y92" s="267">
        <f t="shared" si="5"/>
        <v>0</v>
      </c>
      <c r="Z92" s="268">
        <f t="shared" si="6"/>
        <v>0</v>
      </c>
      <c r="AA92" s="236"/>
      <c r="AC92" s="300" t="s">
        <v>211</v>
      </c>
      <c r="AD92" s="309" t="s">
        <v>212</v>
      </c>
      <c r="AE92" s="244">
        <f>AX237</f>
        <v>0</v>
      </c>
      <c r="AF92" s="245" t="str">
        <f t="shared" si="2"/>
        <v/>
      </c>
      <c r="AH92" s="220"/>
      <c r="AI92" s="776" t="s">
        <v>213</v>
      </c>
      <c r="AJ92" s="777"/>
      <c r="AK92" s="777"/>
      <c r="AL92" s="777"/>
      <c r="AM92" s="777"/>
      <c r="AN92" s="310" t="s">
        <v>214</v>
      </c>
      <c r="AO92" s="229">
        <f t="shared" si="0"/>
        <v>0</v>
      </c>
      <c r="AP92" s="230"/>
      <c r="AQ92" s="220"/>
      <c r="AR92" s="787" t="s">
        <v>215</v>
      </c>
      <c r="AS92" s="788"/>
      <c r="AT92" s="788"/>
      <c r="AU92" s="788"/>
      <c r="AV92" s="788"/>
      <c r="AW92" s="311" t="s">
        <v>216</v>
      </c>
      <c r="AX92" s="229">
        <f t="shared" si="1"/>
        <v>0</v>
      </c>
      <c r="AY92" s="239"/>
      <c r="AZ92" s="220"/>
      <c r="BA92" s="223"/>
    </row>
    <row r="93" spans="1:58" ht="18.75" thickBot="1" x14ac:dyDescent="0.3">
      <c r="A93" s="858" t="s">
        <v>217</v>
      </c>
      <c r="B93" s="859"/>
      <c r="C93" s="860"/>
      <c r="D93" s="262"/>
      <c r="E93" s="263"/>
      <c r="F93" s="312" t="s">
        <v>218</v>
      </c>
      <c r="G93" s="806">
        <f t="shared" si="3"/>
        <v>0</v>
      </c>
      <c r="H93" s="807"/>
      <c r="I93" s="808"/>
      <c r="J93" s="265">
        <v>0</v>
      </c>
      <c r="K93" s="266">
        <v>0</v>
      </c>
      <c r="L93" s="267">
        <f t="shared" si="7"/>
        <v>0</v>
      </c>
      <c r="M93" s="236"/>
      <c r="N93" s="858" t="s">
        <v>217</v>
      </c>
      <c r="O93" s="859"/>
      <c r="P93" s="860"/>
      <c r="Q93" s="262"/>
      <c r="R93" s="263"/>
      <c r="S93" s="312" t="s">
        <v>218</v>
      </c>
      <c r="T93" s="809">
        <f t="shared" si="4"/>
        <v>0</v>
      </c>
      <c r="U93" s="809"/>
      <c r="V93" s="809"/>
      <c r="W93" s="265">
        <v>0</v>
      </c>
      <c r="X93" s="266">
        <v>0</v>
      </c>
      <c r="Y93" s="267">
        <f t="shared" si="5"/>
        <v>0</v>
      </c>
      <c r="Z93" s="268">
        <f t="shared" si="6"/>
        <v>0</v>
      </c>
      <c r="AA93" s="236"/>
      <c r="AC93" s="300" t="s">
        <v>219</v>
      </c>
      <c r="AD93" s="313" t="s">
        <v>220</v>
      </c>
      <c r="AE93" s="244">
        <f>AO241</f>
        <v>0</v>
      </c>
      <c r="AF93" s="245" t="str">
        <f t="shared" si="2"/>
        <v/>
      </c>
      <c r="AH93" s="220"/>
      <c r="AI93" s="776" t="s">
        <v>221</v>
      </c>
      <c r="AJ93" s="777"/>
      <c r="AK93" s="777"/>
      <c r="AL93" s="777"/>
      <c r="AM93" s="777"/>
      <c r="AN93" s="314" t="s">
        <v>222</v>
      </c>
      <c r="AO93" s="229">
        <f t="shared" si="0"/>
        <v>0</v>
      </c>
      <c r="AP93" s="230"/>
      <c r="AQ93" s="220"/>
      <c r="AR93" s="787" t="s">
        <v>223</v>
      </c>
      <c r="AS93" s="788"/>
      <c r="AT93" s="788"/>
      <c r="AU93" s="788"/>
      <c r="AV93" s="788"/>
      <c r="AW93" s="315" t="s">
        <v>224</v>
      </c>
      <c r="AX93" s="229">
        <f t="shared" si="1"/>
        <v>0</v>
      </c>
      <c r="AY93" s="239"/>
      <c r="AZ93" s="220"/>
      <c r="BA93" s="223"/>
    </row>
    <row r="94" spans="1:58" ht="18.75" thickBot="1" x14ac:dyDescent="0.3">
      <c r="A94" s="858" t="s">
        <v>225</v>
      </c>
      <c r="B94" s="859"/>
      <c r="C94" s="860"/>
      <c r="D94" s="262"/>
      <c r="E94" s="263" t="s">
        <v>142</v>
      </c>
      <c r="F94" s="316" t="s">
        <v>226</v>
      </c>
      <c r="G94" s="806">
        <f t="shared" si="3"/>
        <v>0</v>
      </c>
      <c r="H94" s="807"/>
      <c r="I94" s="808"/>
      <c r="J94" s="265">
        <v>0</v>
      </c>
      <c r="K94" s="266">
        <v>0</v>
      </c>
      <c r="L94" s="267">
        <f t="shared" si="7"/>
        <v>0</v>
      </c>
      <c r="M94" s="236"/>
      <c r="N94" s="858" t="s">
        <v>225</v>
      </c>
      <c r="O94" s="859"/>
      <c r="P94" s="860"/>
      <c r="Q94" s="262"/>
      <c r="R94" s="263" t="s">
        <v>142</v>
      </c>
      <c r="S94" s="316" t="s">
        <v>226</v>
      </c>
      <c r="T94" s="809">
        <f t="shared" si="4"/>
        <v>0</v>
      </c>
      <c r="U94" s="809"/>
      <c r="V94" s="809"/>
      <c r="W94" s="265">
        <v>0</v>
      </c>
      <c r="X94" s="266">
        <v>0</v>
      </c>
      <c r="Y94" s="267">
        <f t="shared" si="5"/>
        <v>0</v>
      </c>
      <c r="Z94" s="268">
        <f t="shared" si="6"/>
        <v>0</v>
      </c>
      <c r="AA94" s="236"/>
      <c r="AC94" s="300" t="s">
        <v>93</v>
      </c>
      <c r="AD94" s="317" t="s">
        <v>227</v>
      </c>
      <c r="AE94" s="244">
        <f>AX118</f>
        <v>0</v>
      </c>
      <c r="AF94" s="245" t="str">
        <f t="shared" si="2"/>
        <v/>
      </c>
      <c r="AH94" s="220"/>
      <c r="AI94" s="776" t="s">
        <v>228</v>
      </c>
      <c r="AJ94" s="777"/>
      <c r="AK94" s="777"/>
      <c r="AL94" s="777"/>
      <c r="AM94" s="777"/>
      <c r="AN94" s="318" t="s">
        <v>229</v>
      </c>
      <c r="AO94" s="229">
        <f t="shared" si="0"/>
        <v>0</v>
      </c>
      <c r="AP94" s="230"/>
      <c r="AQ94" s="220"/>
      <c r="AR94" s="787" t="s">
        <v>230</v>
      </c>
      <c r="AS94" s="788"/>
      <c r="AT94" s="788"/>
      <c r="AU94" s="788"/>
      <c r="AV94" s="788"/>
      <c r="AW94" s="315" t="s">
        <v>231</v>
      </c>
      <c r="AX94" s="229">
        <f t="shared" si="1"/>
        <v>0</v>
      </c>
      <c r="AY94" s="239"/>
      <c r="AZ94" s="220"/>
      <c r="BA94" s="223"/>
    </row>
    <row r="95" spans="1:58" ht="18" x14ac:dyDescent="0.25">
      <c r="A95" s="858" t="s">
        <v>232</v>
      </c>
      <c r="B95" s="859"/>
      <c r="C95" s="860"/>
      <c r="D95" s="262"/>
      <c r="E95" s="263"/>
      <c r="F95" s="319" t="s">
        <v>233</v>
      </c>
      <c r="G95" s="806">
        <f t="shared" si="3"/>
        <v>0</v>
      </c>
      <c r="H95" s="807"/>
      <c r="I95" s="808"/>
      <c r="J95" s="265">
        <v>0</v>
      </c>
      <c r="K95" s="266">
        <v>0</v>
      </c>
      <c r="L95" s="267">
        <f t="shared" si="7"/>
        <v>0</v>
      </c>
      <c r="M95" s="236"/>
      <c r="N95" s="858" t="s">
        <v>232</v>
      </c>
      <c r="O95" s="859"/>
      <c r="P95" s="860"/>
      <c r="Q95" s="262"/>
      <c r="R95" s="263"/>
      <c r="S95" s="319" t="s">
        <v>233</v>
      </c>
      <c r="T95" s="809">
        <f t="shared" si="4"/>
        <v>0</v>
      </c>
      <c r="U95" s="809"/>
      <c r="V95" s="809"/>
      <c r="W95" s="265">
        <v>0</v>
      </c>
      <c r="X95" s="266">
        <v>0</v>
      </c>
      <c r="Y95" s="267">
        <f t="shared" si="5"/>
        <v>0</v>
      </c>
      <c r="Z95" s="268">
        <f t="shared" si="6"/>
        <v>0</v>
      </c>
      <c r="AA95" s="236"/>
      <c r="AC95" s="320" t="s">
        <v>234</v>
      </c>
      <c r="AD95" s="321" t="s">
        <v>235</v>
      </c>
      <c r="AE95" s="244">
        <f t="shared" ref="AE95" si="8">COUNTIF($P$1:$Q$1,AD95)</f>
        <v>0</v>
      </c>
      <c r="AF95" s="245" t="str">
        <f t="shared" si="2"/>
        <v/>
      </c>
      <c r="AH95" s="220"/>
      <c r="AI95" s="776" t="s">
        <v>236</v>
      </c>
      <c r="AJ95" s="777"/>
      <c r="AK95" s="777"/>
      <c r="AL95" s="777"/>
      <c r="AM95" s="777"/>
      <c r="AN95" s="322" t="s">
        <v>237</v>
      </c>
      <c r="AO95" s="229">
        <f t="shared" si="0"/>
        <v>0</v>
      </c>
      <c r="AP95" s="230"/>
      <c r="AQ95" s="220"/>
      <c r="AR95" s="787" t="s">
        <v>238</v>
      </c>
      <c r="AS95" s="788"/>
      <c r="AT95" s="788"/>
      <c r="AU95" s="788"/>
      <c r="AV95" s="788"/>
      <c r="AW95" s="323" t="s">
        <v>239</v>
      </c>
      <c r="AX95" s="229">
        <f t="shared" si="1"/>
        <v>0</v>
      </c>
      <c r="AY95" s="239"/>
      <c r="AZ95" s="220"/>
      <c r="BA95" s="223"/>
      <c r="BB95" s="220"/>
      <c r="BC95" s="220"/>
      <c r="BD95" s="220"/>
      <c r="BE95" s="220"/>
      <c r="BF95" s="220"/>
    </row>
    <row r="96" spans="1:58" ht="18.75" thickBot="1" x14ac:dyDescent="0.3">
      <c r="A96" s="858" t="s">
        <v>240</v>
      </c>
      <c r="B96" s="859"/>
      <c r="C96" s="860"/>
      <c r="D96" s="262"/>
      <c r="E96" s="263"/>
      <c r="F96" s="324" t="s">
        <v>241</v>
      </c>
      <c r="G96" s="806">
        <f t="shared" si="3"/>
        <v>0</v>
      </c>
      <c r="H96" s="807"/>
      <c r="I96" s="808"/>
      <c r="J96" s="265">
        <v>0</v>
      </c>
      <c r="K96" s="266">
        <v>0</v>
      </c>
      <c r="L96" s="267">
        <f t="shared" si="7"/>
        <v>0</v>
      </c>
      <c r="M96" s="236"/>
      <c r="N96" s="858" t="s">
        <v>240</v>
      </c>
      <c r="O96" s="859"/>
      <c r="P96" s="860"/>
      <c r="Q96" s="262"/>
      <c r="R96" s="263"/>
      <c r="S96" s="324" t="s">
        <v>241</v>
      </c>
      <c r="T96" s="809">
        <f t="shared" si="4"/>
        <v>0</v>
      </c>
      <c r="U96" s="809"/>
      <c r="V96" s="809"/>
      <c r="W96" s="265">
        <v>0</v>
      </c>
      <c r="X96" s="266">
        <v>0</v>
      </c>
      <c r="Y96" s="267">
        <f t="shared" si="5"/>
        <v>0</v>
      </c>
      <c r="Z96" s="268">
        <f t="shared" si="6"/>
        <v>0</v>
      </c>
      <c r="AA96" s="236"/>
      <c r="AC96" s="300" t="s">
        <v>242</v>
      </c>
      <c r="AD96" s="325" t="s">
        <v>243</v>
      </c>
      <c r="AE96" s="244">
        <f>COUNTIF($P$1:$Q$1,AD96)</f>
        <v>0</v>
      </c>
      <c r="AF96" s="245" t="str">
        <f t="shared" si="2"/>
        <v/>
      </c>
      <c r="AH96" s="220"/>
      <c r="AI96" s="776" t="s">
        <v>244</v>
      </c>
      <c r="AJ96" s="777"/>
      <c r="AK96" s="777"/>
      <c r="AL96" s="777"/>
      <c r="AM96" s="777"/>
      <c r="AN96" s="326" t="s">
        <v>245</v>
      </c>
      <c r="AO96" s="229">
        <f t="shared" si="0"/>
        <v>0</v>
      </c>
      <c r="AP96" s="230"/>
      <c r="AQ96" s="220"/>
      <c r="AR96" s="787" t="s">
        <v>246</v>
      </c>
      <c r="AS96" s="788"/>
      <c r="AT96" s="788"/>
      <c r="AU96" s="788"/>
      <c r="AV96" s="788"/>
      <c r="AW96" s="327" t="s">
        <v>247</v>
      </c>
      <c r="AX96" s="229">
        <f t="shared" si="1"/>
        <v>0</v>
      </c>
      <c r="AY96" s="239"/>
      <c r="AZ96" s="220"/>
      <c r="BA96" s="223"/>
      <c r="BB96" s="220"/>
      <c r="BC96" s="220"/>
      <c r="BD96" s="220"/>
      <c r="BE96" s="220"/>
      <c r="BF96" s="220"/>
    </row>
    <row r="97" spans="1:53" ht="18.75" thickBot="1" x14ac:dyDescent="0.3">
      <c r="A97" s="858" t="s">
        <v>248</v>
      </c>
      <c r="B97" s="859"/>
      <c r="C97" s="860"/>
      <c r="D97" s="262"/>
      <c r="E97" s="263"/>
      <c r="F97" s="328" t="s">
        <v>249</v>
      </c>
      <c r="G97" s="806">
        <f t="shared" si="3"/>
        <v>0</v>
      </c>
      <c r="H97" s="807"/>
      <c r="I97" s="808"/>
      <c r="J97" s="265">
        <v>0</v>
      </c>
      <c r="K97" s="266">
        <v>0</v>
      </c>
      <c r="L97" s="267">
        <f t="shared" si="7"/>
        <v>0</v>
      </c>
      <c r="M97" s="236"/>
      <c r="N97" s="858" t="s">
        <v>248</v>
      </c>
      <c r="O97" s="859"/>
      <c r="P97" s="860"/>
      <c r="Q97" s="262"/>
      <c r="R97" s="263"/>
      <c r="S97" s="328" t="s">
        <v>249</v>
      </c>
      <c r="T97" s="809">
        <f t="shared" si="4"/>
        <v>0</v>
      </c>
      <c r="U97" s="809"/>
      <c r="V97" s="809"/>
      <c r="W97" s="265">
        <v>0</v>
      </c>
      <c r="X97" s="266">
        <v>0</v>
      </c>
      <c r="Y97" s="267">
        <f t="shared" si="5"/>
        <v>0</v>
      </c>
      <c r="Z97" s="268">
        <f t="shared" si="6"/>
        <v>0</v>
      </c>
      <c r="AA97" s="236"/>
      <c r="AC97" s="300" t="s">
        <v>250</v>
      </c>
      <c r="AD97" s="329" t="s">
        <v>251</v>
      </c>
      <c r="AE97" s="244">
        <f>AO254</f>
        <v>0</v>
      </c>
      <c r="AF97" s="245" t="str">
        <f t="shared" si="2"/>
        <v/>
      </c>
      <c r="AH97" s="220"/>
      <c r="AI97" s="776" t="s">
        <v>252</v>
      </c>
      <c r="AJ97" s="777"/>
      <c r="AK97" s="777"/>
      <c r="AL97" s="777"/>
      <c r="AM97" s="777"/>
      <c r="AN97" s="330" t="s">
        <v>253</v>
      </c>
      <c r="AO97" s="229">
        <f t="shared" si="0"/>
        <v>0</v>
      </c>
      <c r="AP97" s="230"/>
      <c r="AQ97" s="220"/>
      <c r="AR97" s="787" t="s">
        <v>254</v>
      </c>
      <c r="AS97" s="788"/>
      <c r="AT97" s="788"/>
      <c r="AU97" s="788"/>
      <c r="AV97" s="788"/>
      <c r="AW97" s="331" t="s">
        <v>255</v>
      </c>
      <c r="AX97" s="229">
        <f t="shared" si="1"/>
        <v>0</v>
      </c>
      <c r="AY97" s="239"/>
      <c r="AZ97" s="220"/>
      <c r="BA97" s="223"/>
    </row>
    <row r="98" spans="1:53" ht="18.75" thickBot="1" x14ac:dyDescent="0.3">
      <c r="A98" s="858" t="s">
        <v>256</v>
      </c>
      <c r="B98" s="859"/>
      <c r="C98" s="860"/>
      <c r="D98" s="262"/>
      <c r="E98" s="263" t="s">
        <v>142</v>
      </c>
      <c r="F98" s="332" t="s">
        <v>4</v>
      </c>
      <c r="G98" s="806">
        <f t="shared" si="3"/>
        <v>1</v>
      </c>
      <c r="H98" s="807"/>
      <c r="I98" s="808"/>
      <c r="J98" s="265">
        <v>0</v>
      </c>
      <c r="K98" s="266">
        <v>1</v>
      </c>
      <c r="L98" s="267">
        <f t="shared" si="7"/>
        <v>0</v>
      </c>
      <c r="M98" s="236"/>
      <c r="N98" s="858" t="s">
        <v>256</v>
      </c>
      <c r="O98" s="859"/>
      <c r="P98" s="860"/>
      <c r="Q98" s="262"/>
      <c r="R98" s="263" t="s">
        <v>142</v>
      </c>
      <c r="S98" s="332" t="s">
        <v>4</v>
      </c>
      <c r="T98" s="809">
        <f t="shared" si="4"/>
        <v>1</v>
      </c>
      <c r="U98" s="809"/>
      <c r="V98" s="809"/>
      <c r="W98" s="265">
        <v>0</v>
      </c>
      <c r="X98" s="266">
        <v>1</v>
      </c>
      <c r="Y98" s="267">
        <f t="shared" si="5"/>
        <v>0</v>
      </c>
      <c r="Z98" s="268">
        <f t="shared" si="6"/>
        <v>2</v>
      </c>
      <c r="AA98" s="236"/>
      <c r="AC98" s="300" t="s">
        <v>257</v>
      </c>
      <c r="AD98" s="333" t="s">
        <v>258</v>
      </c>
      <c r="AE98" s="244">
        <f>AX245</f>
        <v>0</v>
      </c>
      <c r="AF98" s="245" t="str">
        <f t="shared" si="2"/>
        <v/>
      </c>
      <c r="AH98" s="220"/>
      <c r="AI98" s="776" t="s">
        <v>259</v>
      </c>
      <c r="AJ98" s="777"/>
      <c r="AK98" s="777"/>
      <c r="AL98" s="777"/>
      <c r="AM98" s="777"/>
      <c r="AN98" s="334" t="s">
        <v>260</v>
      </c>
      <c r="AO98" s="229">
        <f t="shared" si="0"/>
        <v>0</v>
      </c>
      <c r="AP98" s="230"/>
      <c r="AQ98" s="220"/>
      <c r="AR98" s="787" t="s">
        <v>261</v>
      </c>
      <c r="AS98" s="788"/>
      <c r="AT98" s="788"/>
      <c r="AU98" s="788"/>
      <c r="AV98" s="788"/>
      <c r="AW98" s="291" t="s">
        <v>262</v>
      </c>
      <c r="AX98" s="229">
        <f t="shared" si="1"/>
        <v>0</v>
      </c>
      <c r="AY98" s="239"/>
      <c r="AZ98" s="220"/>
      <c r="BA98" s="223"/>
    </row>
    <row r="99" spans="1:53" ht="18.75" thickBot="1" x14ac:dyDescent="0.3">
      <c r="A99" s="858" t="s">
        <v>263</v>
      </c>
      <c r="B99" s="859"/>
      <c r="C99" s="860"/>
      <c r="D99" s="262"/>
      <c r="E99" s="263"/>
      <c r="F99" s="335" t="s">
        <v>264</v>
      </c>
      <c r="G99" s="806">
        <f t="shared" si="3"/>
        <v>0</v>
      </c>
      <c r="H99" s="807"/>
      <c r="I99" s="808"/>
      <c r="J99" s="265">
        <v>0</v>
      </c>
      <c r="K99" s="266">
        <v>0</v>
      </c>
      <c r="L99" s="267">
        <f t="shared" si="7"/>
        <v>0</v>
      </c>
      <c r="M99" s="236"/>
      <c r="N99" s="858" t="s">
        <v>263</v>
      </c>
      <c r="O99" s="859"/>
      <c r="P99" s="860"/>
      <c r="Q99" s="262"/>
      <c r="R99" s="263"/>
      <c r="S99" s="335" t="s">
        <v>264</v>
      </c>
      <c r="T99" s="809">
        <f t="shared" si="4"/>
        <v>0</v>
      </c>
      <c r="U99" s="809"/>
      <c r="V99" s="809"/>
      <c r="W99" s="265">
        <v>0</v>
      </c>
      <c r="X99" s="266">
        <v>0</v>
      </c>
      <c r="Y99" s="267">
        <f t="shared" si="5"/>
        <v>0</v>
      </c>
      <c r="Z99" s="268">
        <f t="shared" si="6"/>
        <v>0</v>
      </c>
      <c r="AA99" s="236"/>
      <c r="AC99" s="300" t="s">
        <v>265</v>
      </c>
      <c r="AD99" s="336" t="s">
        <v>266</v>
      </c>
      <c r="AE99" s="244">
        <f>AO236</f>
        <v>0</v>
      </c>
      <c r="AF99" s="245" t="str">
        <f t="shared" si="2"/>
        <v/>
      </c>
      <c r="AH99" s="220"/>
      <c r="AI99" s="776" t="s">
        <v>267</v>
      </c>
      <c r="AJ99" s="777"/>
      <c r="AK99" s="777"/>
      <c r="AL99" s="777"/>
      <c r="AM99" s="777"/>
      <c r="AN99" s="326" t="s">
        <v>268</v>
      </c>
      <c r="AO99" s="229">
        <f t="shared" si="0"/>
        <v>0</v>
      </c>
      <c r="AP99" s="230"/>
      <c r="AQ99" s="220"/>
      <c r="AR99" s="787" t="s">
        <v>269</v>
      </c>
      <c r="AS99" s="788"/>
      <c r="AT99" s="788"/>
      <c r="AU99" s="788"/>
      <c r="AV99" s="788"/>
      <c r="AW99" s="337" t="s">
        <v>270</v>
      </c>
      <c r="AX99" s="229">
        <f t="shared" si="1"/>
        <v>0</v>
      </c>
      <c r="AY99" s="239"/>
      <c r="AZ99" s="220"/>
      <c r="BA99" s="223"/>
    </row>
    <row r="100" spans="1:53" ht="18.75" thickBot="1" x14ac:dyDescent="0.3">
      <c r="A100" s="858" t="s">
        <v>271</v>
      </c>
      <c r="B100" s="859"/>
      <c r="C100" s="860"/>
      <c r="D100" s="262" t="s">
        <v>34</v>
      </c>
      <c r="E100" s="263"/>
      <c r="F100" s="338" t="s">
        <v>272</v>
      </c>
      <c r="G100" s="806">
        <f t="shared" si="3"/>
        <v>0</v>
      </c>
      <c r="H100" s="807"/>
      <c r="I100" s="808"/>
      <c r="J100" s="265">
        <v>0</v>
      </c>
      <c r="K100" s="266">
        <v>0</v>
      </c>
      <c r="L100" s="267">
        <f t="shared" si="7"/>
        <v>0</v>
      </c>
      <c r="M100" s="236"/>
      <c r="N100" s="858" t="s">
        <v>271</v>
      </c>
      <c r="O100" s="859"/>
      <c r="P100" s="860"/>
      <c r="Q100" s="262" t="s">
        <v>34</v>
      </c>
      <c r="R100" s="263"/>
      <c r="S100" s="338" t="s">
        <v>272</v>
      </c>
      <c r="T100" s="809">
        <f t="shared" si="4"/>
        <v>0</v>
      </c>
      <c r="U100" s="809"/>
      <c r="V100" s="809"/>
      <c r="W100" s="265">
        <v>0</v>
      </c>
      <c r="X100" s="266">
        <v>0</v>
      </c>
      <c r="Y100" s="267">
        <f t="shared" si="5"/>
        <v>0</v>
      </c>
      <c r="Z100" s="268">
        <f t="shared" si="6"/>
        <v>0</v>
      </c>
      <c r="AA100" s="236"/>
      <c r="AC100" s="320" t="s">
        <v>273</v>
      </c>
      <c r="AD100" s="339" t="s">
        <v>274</v>
      </c>
      <c r="AE100" s="244">
        <f>AX241</f>
        <v>0</v>
      </c>
      <c r="AF100" s="245" t="str">
        <f t="shared" si="2"/>
        <v/>
      </c>
      <c r="AH100" s="220"/>
      <c r="AI100" s="776" t="s">
        <v>275</v>
      </c>
      <c r="AJ100" s="777"/>
      <c r="AK100" s="777"/>
      <c r="AL100" s="777"/>
      <c r="AM100" s="777"/>
      <c r="AN100" s="340" t="s">
        <v>276</v>
      </c>
      <c r="AO100" s="229">
        <f t="shared" si="0"/>
        <v>0</v>
      </c>
      <c r="AP100" s="230"/>
      <c r="AQ100" s="220"/>
      <c r="AR100" s="787" t="s">
        <v>277</v>
      </c>
      <c r="AS100" s="788"/>
      <c r="AT100" s="788"/>
      <c r="AU100" s="788"/>
      <c r="AV100" s="788"/>
      <c r="AW100" s="341" t="s">
        <v>278</v>
      </c>
      <c r="AX100" s="229">
        <f t="shared" si="1"/>
        <v>0</v>
      </c>
      <c r="AY100" s="239"/>
      <c r="AZ100" s="220"/>
      <c r="BA100" s="223"/>
    </row>
    <row r="101" spans="1:53" ht="18.75" thickBot="1" x14ac:dyDescent="0.3">
      <c r="A101" s="858" t="s">
        <v>279</v>
      </c>
      <c r="B101" s="859"/>
      <c r="C101" s="860"/>
      <c r="D101" s="262"/>
      <c r="E101" s="263" t="s">
        <v>142</v>
      </c>
      <c r="F101" s="342" t="s">
        <v>5</v>
      </c>
      <c r="G101" s="806">
        <f t="shared" si="3"/>
        <v>1</v>
      </c>
      <c r="H101" s="807"/>
      <c r="I101" s="808"/>
      <c r="J101" s="265">
        <v>0</v>
      </c>
      <c r="K101" s="266">
        <v>1</v>
      </c>
      <c r="L101" s="267">
        <f t="shared" si="7"/>
        <v>0</v>
      </c>
      <c r="M101" s="236"/>
      <c r="N101" s="858" t="s">
        <v>279</v>
      </c>
      <c r="O101" s="859"/>
      <c r="P101" s="860"/>
      <c r="Q101" s="262"/>
      <c r="R101" s="263" t="s">
        <v>142</v>
      </c>
      <c r="S101" s="342" t="s">
        <v>5</v>
      </c>
      <c r="T101" s="809">
        <f t="shared" si="4"/>
        <v>1</v>
      </c>
      <c r="U101" s="809"/>
      <c r="V101" s="809"/>
      <c r="W101" s="265">
        <v>0</v>
      </c>
      <c r="X101" s="266">
        <v>1</v>
      </c>
      <c r="Y101" s="267">
        <f t="shared" si="5"/>
        <v>0</v>
      </c>
      <c r="Z101" s="268">
        <f t="shared" si="6"/>
        <v>2</v>
      </c>
      <c r="AA101" s="236"/>
      <c r="AC101" s="300" t="s">
        <v>280</v>
      </c>
      <c r="AD101" s="336" t="s">
        <v>281</v>
      </c>
      <c r="AE101" s="244">
        <f>COUNTIF($A$1:$GO$54,AD101)</f>
        <v>0</v>
      </c>
      <c r="AF101" s="245" t="str">
        <f t="shared" si="2"/>
        <v/>
      </c>
      <c r="AH101" s="220"/>
      <c r="AI101" s="776" t="s">
        <v>282</v>
      </c>
      <c r="AJ101" s="777"/>
      <c r="AK101" s="777"/>
      <c r="AL101" s="777"/>
      <c r="AM101" s="777"/>
      <c r="AN101" s="343" t="s">
        <v>283</v>
      </c>
      <c r="AO101" s="229">
        <f t="shared" si="0"/>
        <v>0</v>
      </c>
      <c r="AP101" s="230"/>
      <c r="AQ101" s="220"/>
      <c r="AR101" s="787" t="s">
        <v>284</v>
      </c>
      <c r="AS101" s="788"/>
      <c r="AT101" s="788"/>
      <c r="AU101" s="788"/>
      <c r="AV101" s="788"/>
      <c r="AW101" s="344" t="s">
        <v>285</v>
      </c>
      <c r="AX101" s="229">
        <f t="shared" si="1"/>
        <v>0</v>
      </c>
      <c r="AY101" s="239"/>
      <c r="AZ101" s="220"/>
      <c r="BA101" s="223"/>
    </row>
    <row r="102" spans="1:53" ht="18.75" thickBot="1" x14ac:dyDescent="0.3">
      <c r="A102" s="858" t="s">
        <v>286</v>
      </c>
      <c r="B102" s="859"/>
      <c r="C102" s="860"/>
      <c r="D102" s="262" t="s">
        <v>29</v>
      </c>
      <c r="E102" s="263" t="s">
        <v>142</v>
      </c>
      <c r="F102" s="345" t="s">
        <v>287</v>
      </c>
      <c r="G102" s="806">
        <f t="shared" si="3"/>
        <v>0</v>
      </c>
      <c r="H102" s="807"/>
      <c r="I102" s="808"/>
      <c r="J102" s="265">
        <v>0</v>
      </c>
      <c r="K102" s="266">
        <v>0</v>
      </c>
      <c r="L102" s="267">
        <f t="shared" si="7"/>
        <v>0</v>
      </c>
      <c r="M102" s="236"/>
      <c r="N102" s="858" t="s">
        <v>286</v>
      </c>
      <c r="O102" s="859"/>
      <c r="P102" s="860"/>
      <c r="Q102" s="262" t="s">
        <v>29</v>
      </c>
      <c r="R102" s="263" t="s">
        <v>142</v>
      </c>
      <c r="S102" s="345" t="s">
        <v>287</v>
      </c>
      <c r="T102" s="806">
        <f t="shared" si="4"/>
        <v>0</v>
      </c>
      <c r="U102" s="807"/>
      <c r="V102" s="808"/>
      <c r="W102" s="265">
        <v>0</v>
      </c>
      <c r="X102" s="266">
        <v>0</v>
      </c>
      <c r="Y102" s="267">
        <f t="shared" si="5"/>
        <v>0</v>
      </c>
      <c r="Z102" s="268">
        <f t="shared" si="6"/>
        <v>0</v>
      </c>
      <c r="AA102" s="236"/>
      <c r="AC102" s="907" t="s">
        <v>288</v>
      </c>
      <c r="AD102" s="908"/>
      <c r="AE102" s="908"/>
      <c r="AF102" s="908"/>
      <c r="AH102" s="220"/>
      <c r="AI102" s="776" t="s">
        <v>289</v>
      </c>
      <c r="AJ102" s="777"/>
      <c r="AK102" s="777"/>
      <c r="AL102" s="777"/>
      <c r="AM102" s="777"/>
      <c r="AN102" s="346" t="s">
        <v>290</v>
      </c>
      <c r="AO102" s="229">
        <f t="shared" si="0"/>
        <v>0</v>
      </c>
      <c r="AP102" s="230"/>
      <c r="AQ102" s="220"/>
      <c r="AR102" s="787" t="s">
        <v>291</v>
      </c>
      <c r="AS102" s="788"/>
      <c r="AT102" s="788"/>
      <c r="AU102" s="788"/>
      <c r="AV102" s="788"/>
      <c r="AW102" s="347" t="s">
        <v>292</v>
      </c>
      <c r="AX102" s="229">
        <f t="shared" si="1"/>
        <v>0</v>
      </c>
      <c r="AY102" s="239"/>
      <c r="AZ102" s="220"/>
      <c r="BA102" s="348"/>
    </row>
    <row r="103" spans="1:53" ht="18" x14ac:dyDescent="0.25">
      <c r="A103" s="904" t="s">
        <v>70</v>
      </c>
      <c r="B103" s="905"/>
      <c r="C103" s="905"/>
      <c r="D103" s="905"/>
      <c r="E103" s="905"/>
      <c r="F103" s="349"/>
      <c r="G103" s="906">
        <f>SUM(G82:I102)</f>
        <v>13</v>
      </c>
      <c r="H103" s="906"/>
      <c r="I103" s="906"/>
      <c r="J103" s="350">
        <f>SUM(J82:J102)</f>
        <v>8</v>
      </c>
      <c r="K103" s="351">
        <f>SUM(K82:K102)</f>
        <v>5</v>
      </c>
      <c r="L103" s="267">
        <f>SUM(L82:L102)</f>
        <v>0</v>
      </c>
      <c r="M103" s="236"/>
      <c r="N103" s="881" t="s">
        <v>70</v>
      </c>
      <c r="O103" s="882"/>
      <c r="P103" s="882"/>
      <c r="Q103" s="882"/>
      <c r="R103" s="882"/>
      <c r="S103" s="352"/>
      <c r="T103" s="880">
        <f>SUM(T82:V102)</f>
        <v>4</v>
      </c>
      <c r="U103" s="880"/>
      <c r="V103" s="880"/>
      <c r="W103" s="350">
        <f>SUM(W82:W102)</f>
        <v>0</v>
      </c>
      <c r="X103" s="351">
        <f>SUM(X82:X102)</f>
        <v>4</v>
      </c>
      <c r="Y103" s="267">
        <f>SUM(Y82:Y102)</f>
        <v>0</v>
      </c>
      <c r="Z103" s="268">
        <f t="shared" si="6"/>
        <v>17</v>
      </c>
      <c r="AA103" s="236"/>
      <c r="AC103" s="353" t="s">
        <v>293</v>
      </c>
      <c r="AD103" s="142" t="s">
        <v>52</v>
      </c>
      <c r="AE103" s="244">
        <f t="shared" ref="AE103:AE166" si="9">COUNTIF($A$1:$GO$54,AD103)</f>
        <v>2</v>
      </c>
      <c r="AF103" s="245" t="str">
        <f>IFERROR(AE103/$J$4,"")</f>
        <v/>
      </c>
      <c r="AH103" s="220"/>
      <c r="AI103" s="776" t="s">
        <v>294</v>
      </c>
      <c r="AJ103" s="777"/>
      <c r="AK103" s="777"/>
      <c r="AL103" s="777"/>
      <c r="AM103" s="777"/>
      <c r="AN103" s="166" t="s">
        <v>14</v>
      </c>
      <c r="AO103" s="229">
        <f t="shared" si="0"/>
        <v>6</v>
      </c>
      <c r="AP103" s="230"/>
      <c r="AQ103" s="220"/>
      <c r="AR103" s="787" t="s">
        <v>295</v>
      </c>
      <c r="AS103" s="788"/>
      <c r="AT103" s="788"/>
      <c r="AU103" s="788"/>
      <c r="AV103" s="788"/>
      <c r="AW103" s="354" t="s">
        <v>296</v>
      </c>
      <c r="AX103" s="229">
        <f t="shared" si="1"/>
        <v>0</v>
      </c>
      <c r="AY103" s="239"/>
      <c r="AZ103" s="220"/>
      <c r="BA103" s="348"/>
    </row>
    <row r="104" spans="1:53" ht="18" x14ac:dyDescent="0.25">
      <c r="A104" s="901" t="s">
        <v>297</v>
      </c>
      <c r="B104" s="902"/>
      <c r="C104" s="902"/>
      <c r="D104" s="902"/>
      <c r="E104" s="902"/>
      <c r="F104" s="902"/>
      <c r="G104" s="902"/>
      <c r="H104" s="902"/>
      <c r="I104" s="903"/>
      <c r="J104" s="257" t="s">
        <v>123</v>
      </c>
      <c r="K104" s="257" t="s">
        <v>124</v>
      </c>
      <c r="L104" s="257" t="s">
        <v>125</v>
      </c>
      <c r="M104" s="236"/>
      <c r="N104" s="901" t="s">
        <v>297</v>
      </c>
      <c r="O104" s="902"/>
      <c r="P104" s="902"/>
      <c r="Q104" s="902"/>
      <c r="R104" s="902"/>
      <c r="S104" s="902"/>
      <c r="T104" s="902"/>
      <c r="U104" s="902"/>
      <c r="V104" s="903"/>
      <c r="W104" s="258" t="s">
        <v>123</v>
      </c>
      <c r="X104" s="258" t="s">
        <v>124</v>
      </c>
      <c r="Y104" s="258" t="s">
        <v>125</v>
      </c>
      <c r="Z104" s="355"/>
      <c r="AA104" s="236"/>
      <c r="AC104" s="353" t="s">
        <v>298</v>
      </c>
      <c r="AD104" s="356" t="s">
        <v>299</v>
      </c>
      <c r="AE104" s="244">
        <f t="shared" si="9"/>
        <v>0</v>
      </c>
      <c r="AF104" s="245" t="str">
        <f t="shared" ref="AF104:AF167" si="10">IFERROR(AE104/$J$4,"")</f>
        <v/>
      </c>
      <c r="AH104" s="220"/>
      <c r="AI104" s="776" t="s">
        <v>300</v>
      </c>
      <c r="AJ104" s="777"/>
      <c r="AK104" s="777"/>
      <c r="AL104" s="777"/>
      <c r="AM104" s="777"/>
      <c r="AN104" s="357" t="s">
        <v>301</v>
      </c>
      <c r="AO104" s="229">
        <f t="shared" si="0"/>
        <v>0</v>
      </c>
      <c r="AP104" s="230"/>
      <c r="AQ104" s="220"/>
      <c r="AR104" s="787" t="s">
        <v>302</v>
      </c>
      <c r="AS104" s="788"/>
      <c r="AT104" s="788"/>
      <c r="AU104" s="788"/>
      <c r="AV104" s="788"/>
      <c r="AW104" s="358" t="s">
        <v>303</v>
      </c>
      <c r="AX104" s="229">
        <f t="shared" si="1"/>
        <v>0</v>
      </c>
      <c r="AY104" s="239"/>
      <c r="AZ104" s="220"/>
      <c r="BA104" s="223"/>
    </row>
    <row r="105" spans="1:53" ht="18" x14ac:dyDescent="0.25">
      <c r="A105" s="896" t="s">
        <v>304</v>
      </c>
      <c r="B105" s="897"/>
      <c r="C105" s="898"/>
      <c r="D105" s="359"/>
      <c r="E105" s="360" t="s">
        <v>142</v>
      </c>
      <c r="F105" s="361" t="s">
        <v>7</v>
      </c>
      <c r="G105" s="899">
        <f t="shared" ref="G105:G122" si="11">COUNTIF($E$13:$AX$49,F105)</f>
        <v>2</v>
      </c>
      <c r="H105" s="866"/>
      <c r="I105" s="867"/>
      <c r="J105" s="265">
        <v>0</v>
      </c>
      <c r="K105" s="266">
        <v>2</v>
      </c>
      <c r="L105" s="267">
        <f t="shared" ref="L105:L122" si="12">G105-K105-J105</f>
        <v>0</v>
      </c>
      <c r="M105" s="236"/>
      <c r="N105" s="896" t="s">
        <v>304</v>
      </c>
      <c r="O105" s="897"/>
      <c r="P105" s="898"/>
      <c r="Q105" s="359"/>
      <c r="R105" s="360" t="s">
        <v>142</v>
      </c>
      <c r="S105" s="361" t="s">
        <v>7</v>
      </c>
      <c r="T105" s="809">
        <f t="shared" ref="T105:T122" si="13">COUNTIF($E$3:$Y$12,S105)</f>
        <v>1</v>
      </c>
      <c r="U105" s="809"/>
      <c r="V105" s="809"/>
      <c r="W105" s="265">
        <v>0</v>
      </c>
      <c r="X105" s="266">
        <v>1</v>
      </c>
      <c r="Y105" s="267">
        <f t="shared" ref="Y105:Y122" si="14">T105-X105-W105</f>
        <v>0</v>
      </c>
      <c r="Z105" s="268">
        <f t="shared" ref="Z105:Z123" si="15">T105+G105</f>
        <v>3</v>
      </c>
      <c r="AA105" s="236"/>
      <c r="AC105" s="353" t="s">
        <v>305</v>
      </c>
      <c r="AD105" s="362" t="s">
        <v>306</v>
      </c>
      <c r="AE105" s="244">
        <f t="shared" si="9"/>
        <v>0</v>
      </c>
      <c r="AF105" s="245" t="str">
        <f t="shared" si="10"/>
        <v/>
      </c>
      <c r="AH105" s="220"/>
      <c r="AI105" s="776" t="s">
        <v>307</v>
      </c>
      <c r="AJ105" s="777"/>
      <c r="AK105" s="777"/>
      <c r="AL105" s="777"/>
      <c r="AM105" s="777"/>
      <c r="AN105" s="363" t="s">
        <v>308</v>
      </c>
      <c r="AO105" s="229">
        <f t="shared" si="0"/>
        <v>0</v>
      </c>
      <c r="AP105" s="230"/>
      <c r="AQ105" s="220"/>
      <c r="AR105" s="787" t="s">
        <v>309</v>
      </c>
      <c r="AS105" s="788"/>
      <c r="AT105" s="788"/>
      <c r="AU105" s="788"/>
      <c r="AV105" s="788"/>
      <c r="AW105" s="364" t="s">
        <v>310</v>
      </c>
      <c r="AX105" s="229">
        <f t="shared" si="1"/>
        <v>0</v>
      </c>
      <c r="AY105" s="239"/>
      <c r="AZ105" s="220"/>
      <c r="BA105" s="223"/>
    </row>
    <row r="106" spans="1:53" ht="18.75" thickBot="1" x14ac:dyDescent="0.3">
      <c r="A106" s="890" t="s">
        <v>311</v>
      </c>
      <c r="B106" s="891"/>
      <c r="C106" s="892"/>
      <c r="D106" s="262" t="s">
        <v>312</v>
      </c>
      <c r="E106" s="365"/>
      <c r="F106" s="366" t="s">
        <v>313</v>
      </c>
      <c r="G106" s="806">
        <f t="shared" si="11"/>
        <v>0</v>
      </c>
      <c r="H106" s="807"/>
      <c r="I106" s="808"/>
      <c r="J106" s="265">
        <v>0</v>
      </c>
      <c r="K106" s="266">
        <v>0</v>
      </c>
      <c r="L106" s="267">
        <f t="shared" si="12"/>
        <v>0</v>
      </c>
      <c r="M106" s="236"/>
      <c r="N106" s="890" t="s">
        <v>311</v>
      </c>
      <c r="O106" s="891"/>
      <c r="P106" s="892"/>
      <c r="Q106" s="262" t="s">
        <v>312</v>
      </c>
      <c r="R106" s="263"/>
      <c r="S106" s="367" t="s">
        <v>313</v>
      </c>
      <c r="T106" s="809">
        <f t="shared" si="13"/>
        <v>0</v>
      </c>
      <c r="U106" s="809"/>
      <c r="V106" s="809"/>
      <c r="W106" s="265">
        <v>0</v>
      </c>
      <c r="X106" s="266">
        <v>0</v>
      </c>
      <c r="Y106" s="267">
        <f t="shared" si="14"/>
        <v>0</v>
      </c>
      <c r="Z106" s="268">
        <f t="shared" si="15"/>
        <v>0</v>
      </c>
      <c r="AA106" s="236"/>
      <c r="AC106" s="353" t="s">
        <v>314</v>
      </c>
      <c r="AD106" s="368" t="s">
        <v>315</v>
      </c>
      <c r="AE106" s="244">
        <f t="shared" si="9"/>
        <v>0</v>
      </c>
      <c r="AF106" s="245" t="str">
        <f t="shared" si="10"/>
        <v/>
      </c>
      <c r="AH106" s="220"/>
      <c r="AI106" s="776" t="s">
        <v>316</v>
      </c>
      <c r="AJ106" s="777"/>
      <c r="AK106" s="777"/>
      <c r="AL106" s="777"/>
      <c r="AM106" s="777"/>
      <c r="AN106" s="369" t="s">
        <v>317</v>
      </c>
      <c r="AO106" s="229">
        <f t="shared" si="0"/>
        <v>0</v>
      </c>
      <c r="AP106" s="230"/>
      <c r="AQ106" s="220"/>
      <c r="AR106" s="787" t="s">
        <v>318</v>
      </c>
      <c r="AS106" s="788"/>
      <c r="AT106" s="788"/>
      <c r="AU106" s="788"/>
      <c r="AV106" s="788"/>
      <c r="AW106" s="364" t="s">
        <v>319</v>
      </c>
      <c r="AX106" s="229">
        <f t="shared" si="1"/>
        <v>0</v>
      </c>
      <c r="AY106" s="239"/>
      <c r="AZ106" s="220"/>
      <c r="BA106" s="223"/>
    </row>
    <row r="107" spans="1:53" ht="18" x14ac:dyDescent="0.25">
      <c r="A107" s="890" t="s">
        <v>320</v>
      </c>
      <c r="B107" s="891"/>
      <c r="C107" s="892"/>
      <c r="D107" s="262"/>
      <c r="E107" s="263"/>
      <c r="F107" s="370" t="s">
        <v>321</v>
      </c>
      <c r="G107" s="806">
        <f t="shared" si="11"/>
        <v>0</v>
      </c>
      <c r="H107" s="807"/>
      <c r="I107" s="808"/>
      <c r="J107" s="265">
        <v>0</v>
      </c>
      <c r="K107" s="266">
        <v>0</v>
      </c>
      <c r="L107" s="267">
        <f t="shared" si="12"/>
        <v>0</v>
      </c>
      <c r="M107" s="236"/>
      <c r="N107" s="890" t="s">
        <v>320</v>
      </c>
      <c r="O107" s="891"/>
      <c r="P107" s="892"/>
      <c r="Q107" s="262"/>
      <c r="R107" s="263"/>
      <c r="S107" s="370" t="s">
        <v>321</v>
      </c>
      <c r="T107" s="809">
        <f t="shared" si="13"/>
        <v>0</v>
      </c>
      <c r="U107" s="809"/>
      <c r="V107" s="809"/>
      <c r="W107" s="265">
        <v>0</v>
      </c>
      <c r="X107" s="266">
        <v>0</v>
      </c>
      <c r="Y107" s="267">
        <f t="shared" si="14"/>
        <v>0</v>
      </c>
      <c r="Z107" s="268">
        <f t="shared" si="15"/>
        <v>0</v>
      </c>
      <c r="AA107" s="236"/>
      <c r="AC107" s="353" t="s">
        <v>234</v>
      </c>
      <c r="AD107" s="321" t="s">
        <v>234</v>
      </c>
      <c r="AE107" s="244">
        <f t="shared" si="9"/>
        <v>0</v>
      </c>
      <c r="AF107" s="245" t="str">
        <f t="shared" si="10"/>
        <v/>
      </c>
      <c r="AH107" s="220"/>
      <c r="AI107" s="776" t="s">
        <v>322</v>
      </c>
      <c r="AJ107" s="777"/>
      <c r="AK107" s="777"/>
      <c r="AL107" s="777"/>
      <c r="AM107" s="777"/>
      <c r="AN107" s="330" t="s">
        <v>323</v>
      </c>
      <c r="AO107" s="229">
        <f t="shared" si="0"/>
        <v>0</v>
      </c>
      <c r="AP107" s="230"/>
      <c r="AQ107" s="220"/>
      <c r="AR107" s="787" t="s">
        <v>324</v>
      </c>
      <c r="AS107" s="788"/>
      <c r="AT107" s="788"/>
      <c r="AU107" s="788"/>
      <c r="AV107" s="788"/>
      <c r="AW107" s="371" t="s">
        <v>325</v>
      </c>
      <c r="AX107" s="229">
        <f t="shared" si="1"/>
        <v>0</v>
      </c>
      <c r="AY107" s="239"/>
      <c r="AZ107" s="220"/>
      <c r="BA107" s="223"/>
    </row>
    <row r="108" spans="1:53" ht="18.75" thickBot="1" x14ac:dyDescent="0.3">
      <c r="A108" s="890" t="s">
        <v>326</v>
      </c>
      <c r="B108" s="891"/>
      <c r="C108" s="892"/>
      <c r="D108" s="262"/>
      <c r="E108" s="263"/>
      <c r="F108" s="372" t="s">
        <v>327</v>
      </c>
      <c r="G108" s="806">
        <f t="shared" si="11"/>
        <v>0</v>
      </c>
      <c r="H108" s="807"/>
      <c r="I108" s="808"/>
      <c r="J108" s="265">
        <v>0</v>
      </c>
      <c r="K108" s="266">
        <v>0</v>
      </c>
      <c r="L108" s="267">
        <f t="shared" si="12"/>
        <v>0</v>
      </c>
      <c r="M108" s="236"/>
      <c r="N108" s="890" t="s">
        <v>326</v>
      </c>
      <c r="O108" s="891"/>
      <c r="P108" s="892"/>
      <c r="Q108" s="262"/>
      <c r="R108" s="263"/>
      <c r="S108" s="372" t="s">
        <v>327</v>
      </c>
      <c r="T108" s="809">
        <f t="shared" si="13"/>
        <v>0</v>
      </c>
      <c r="U108" s="809"/>
      <c r="V108" s="809"/>
      <c r="W108" s="265">
        <v>0</v>
      </c>
      <c r="X108" s="266">
        <v>0</v>
      </c>
      <c r="Y108" s="267">
        <f t="shared" si="14"/>
        <v>0</v>
      </c>
      <c r="Z108" s="268">
        <f t="shared" si="15"/>
        <v>0</v>
      </c>
      <c r="AA108" s="236"/>
      <c r="AC108" s="353" t="s">
        <v>328</v>
      </c>
      <c r="AD108" s="373" t="s">
        <v>329</v>
      </c>
      <c r="AE108" s="244">
        <f t="shared" si="9"/>
        <v>0</v>
      </c>
      <c r="AF108" s="245" t="str">
        <f t="shared" si="10"/>
        <v/>
      </c>
      <c r="AH108" s="220"/>
      <c r="AI108" s="776" t="s">
        <v>330</v>
      </c>
      <c r="AJ108" s="777"/>
      <c r="AK108" s="777"/>
      <c r="AL108" s="777"/>
      <c r="AM108" s="777"/>
      <c r="AN108" s="374" t="s">
        <v>331</v>
      </c>
      <c r="AO108" s="229">
        <f t="shared" si="0"/>
        <v>0</v>
      </c>
      <c r="AP108" s="230"/>
      <c r="AQ108" s="220"/>
      <c r="AR108" s="787" t="s">
        <v>332</v>
      </c>
      <c r="AS108" s="788"/>
      <c r="AT108" s="788"/>
      <c r="AU108" s="788"/>
      <c r="AV108" s="788"/>
      <c r="AW108" s="375" t="s">
        <v>333</v>
      </c>
      <c r="AX108" s="229">
        <f t="shared" si="1"/>
        <v>0</v>
      </c>
      <c r="AY108" s="239"/>
      <c r="AZ108" s="220"/>
      <c r="BA108" s="223"/>
    </row>
    <row r="109" spans="1:53" ht="18.75" thickBot="1" x14ac:dyDescent="0.3">
      <c r="A109" s="890" t="s">
        <v>334</v>
      </c>
      <c r="B109" s="891"/>
      <c r="C109" s="892"/>
      <c r="D109" s="262"/>
      <c r="E109" s="263" t="s">
        <v>142</v>
      </c>
      <c r="F109" s="376" t="s">
        <v>312</v>
      </c>
      <c r="G109" s="806">
        <f t="shared" si="11"/>
        <v>0</v>
      </c>
      <c r="H109" s="807"/>
      <c r="I109" s="808"/>
      <c r="J109" s="265">
        <v>0</v>
      </c>
      <c r="K109" s="266">
        <v>0</v>
      </c>
      <c r="L109" s="267">
        <f t="shared" si="12"/>
        <v>0</v>
      </c>
      <c r="M109" s="236"/>
      <c r="N109" s="890" t="s">
        <v>334</v>
      </c>
      <c r="O109" s="891"/>
      <c r="P109" s="892"/>
      <c r="Q109" s="262"/>
      <c r="R109" s="263" t="s">
        <v>142</v>
      </c>
      <c r="S109" s="376" t="s">
        <v>312</v>
      </c>
      <c r="T109" s="809">
        <f t="shared" si="13"/>
        <v>0</v>
      </c>
      <c r="U109" s="809"/>
      <c r="V109" s="809"/>
      <c r="W109" s="265">
        <v>0</v>
      </c>
      <c r="X109" s="266">
        <v>0</v>
      </c>
      <c r="Y109" s="267">
        <f t="shared" si="14"/>
        <v>0</v>
      </c>
      <c r="Z109" s="268">
        <f t="shared" si="15"/>
        <v>0</v>
      </c>
      <c r="AA109" s="236"/>
      <c r="AC109" s="353" t="s">
        <v>335</v>
      </c>
      <c r="AD109" s="377" t="s">
        <v>336</v>
      </c>
      <c r="AE109" s="244">
        <f t="shared" si="9"/>
        <v>0</v>
      </c>
      <c r="AF109" s="245" t="str">
        <f t="shared" si="10"/>
        <v/>
      </c>
      <c r="AH109" s="220"/>
      <c r="AI109" s="776" t="s">
        <v>337</v>
      </c>
      <c r="AJ109" s="777"/>
      <c r="AK109" s="777"/>
      <c r="AL109" s="777"/>
      <c r="AM109" s="777"/>
      <c r="AN109" s="378" t="s">
        <v>338</v>
      </c>
      <c r="AO109" s="229">
        <f t="shared" si="0"/>
        <v>0</v>
      </c>
      <c r="AP109" s="230"/>
      <c r="AQ109" s="220"/>
      <c r="AR109" s="787" t="s">
        <v>339</v>
      </c>
      <c r="AS109" s="788"/>
      <c r="AT109" s="788"/>
      <c r="AU109" s="788"/>
      <c r="AV109" s="788"/>
      <c r="AW109" s="379" t="s">
        <v>340</v>
      </c>
      <c r="AX109" s="229">
        <f t="shared" si="1"/>
        <v>0</v>
      </c>
      <c r="AY109" s="239"/>
      <c r="AZ109" s="220"/>
      <c r="BA109" s="223"/>
    </row>
    <row r="110" spans="1:53" ht="18.75" thickBot="1" x14ac:dyDescent="0.3">
      <c r="A110" s="890" t="s">
        <v>341</v>
      </c>
      <c r="B110" s="891"/>
      <c r="C110" s="892"/>
      <c r="D110" s="262"/>
      <c r="E110" s="263"/>
      <c r="F110" s="380" t="s">
        <v>342</v>
      </c>
      <c r="G110" s="806">
        <f t="shared" si="11"/>
        <v>0</v>
      </c>
      <c r="H110" s="807"/>
      <c r="I110" s="808"/>
      <c r="J110" s="265">
        <v>0</v>
      </c>
      <c r="K110" s="266">
        <v>0</v>
      </c>
      <c r="L110" s="267">
        <f t="shared" si="12"/>
        <v>0</v>
      </c>
      <c r="M110" s="236"/>
      <c r="N110" s="890" t="s">
        <v>341</v>
      </c>
      <c r="O110" s="891"/>
      <c r="P110" s="892"/>
      <c r="Q110" s="262"/>
      <c r="R110" s="263"/>
      <c r="S110" s="380" t="s">
        <v>342</v>
      </c>
      <c r="T110" s="809">
        <f t="shared" si="13"/>
        <v>0</v>
      </c>
      <c r="U110" s="809"/>
      <c r="V110" s="809"/>
      <c r="W110" s="265">
        <v>0</v>
      </c>
      <c r="X110" s="266">
        <v>0</v>
      </c>
      <c r="Y110" s="267">
        <f t="shared" si="14"/>
        <v>0</v>
      </c>
      <c r="Z110" s="268">
        <f t="shared" si="15"/>
        <v>0</v>
      </c>
      <c r="AA110" s="236"/>
      <c r="AC110" s="353" t="s">
        <v>343</v>
      </c>
      <c r="AD110" s="381" t="s">
        <v>343</v>
      </c>
      <c r="AE110" s="244">
        <f t="shared" si="9"/>
        <v>0</v>
      </c>
      <c r="AF110" s="245" t="str">
        <f t="shared" si="10"/>
        <v/>
      </c>
      <c r="AH110" s="220"/>
      <c r="AI110" s="776" t="s">
        <v>344</v>
      </c>
      <c r="AJ110" s="777"/>
      <c r="AK110" s="777"/>
      <c r="AL110" s="777"/>
      <c r="AM110" s="777"/>
      <c r="AN110" s="382" t="s">
        <v>345</v>
      </c>
      <c r="AO110" s="229">
        <f t="shared" si="0"/>
        <v>0</v>
      </c>
      <c r="AP110" s="230"/>
      <c r="AQ110" s="220"/>
      <c r="AR110" s="787" t="s">
        <v>346</v>
      </c>
      <c r="AS110" s="788"/>
      <c r="AT110" s="788"/>
      <c r="AU110" s="788"/>
      <c r="AV110" s="788"/>
      <c r="AW110" s="383" t="s">
        <v>347</v>
      </c>
      <c r="AX110" s="229">
        <f t="shared" si="1"/>
        <v>0</v>
      </c>
      <c r="AY110" s="384"/>
      <c r="AZ110" s="220"/>
      <c r="BA110" s="223"/>
    </row>
    <row r="111" spans="1:53" ht="18" x14ac:dyDescent="0.25">
      <c r="A111" s="890" t="s">
        <v>348</v>
      </c>
      <c r="B111" s="891"/>
      <c r="C111" s="892"/>
      <c r="D111" s="262"/>
      <c r="E111" s="263"/>
      <c r="F111" s="385" t="s">
        <v>349</v>
      </c>
      <c r="G111" s="806">
        <f t="shared" si="11"/>
        <v>0</v>
      </c>
      <c r="H111" s="807"/>
      <c r="I111" s="808"/>
      <c r="J111" s="265">
        <v>0</v>
      </c>
      <c r="K111" s="266">
        <v>0</v>
      </c>
      <c r="L111" s="267">
        <f t="shared" si="12"/>
        <v>0</v>
      </c>
      <c r="M111" s="236"/>
      <c r="N111" s="890" t="s">
        <v>348</v>
      </c>
      <c r="O111" s="891"/>
      <c r="P111" s="892"/>
      <c r="Q111" s="262"/>
      <c r="R111" s="263"/>
      <c r="S111" s="385" t="s">
        <v>349</v>
      </c>
      <c r="T111" s="809">
        <f t="shared" si="13"/>
        <v>0</v>
      </c>
      <c r="U111" s="809"/>
      <c r="V111" s="809"/>
      <c r="W111" s="265">
        <v>0</v>
      </c>
      <c r="X111" s="266">
        <v>0</v>
      </c>
      <c r="Y111" s="267">
        <f t="shared" si="14"/>
        <v>0</v>
      </c>
      <c r="Z111" s="268">
        <f t="shared" si="15"/>
        <v>0</v>
      </c>
      <c r="AA111" s="236"/>
      <c r="AC111" s="353" t="s">
        <v>350</v>
      </c>
      <c r="AD111" s="138" t="s">
        <v>51</v>
      </c>
      <c r="AE111" s="244">
        <f t="shared" si="9"/>
        <v>6</v>
      </c>
      <c r="AF111" s="245" t="str">
        <f t="shared" si="10"/>
        <v/>
      </c>
      <c r="AH111" s="220"/>
      <c r="AI111" s="776" t="s">
        <v>351</v>
      </c>
      <c r="AJ111" s="777"/>
      <c r="AK111" s="777"/>
      <c r="AL111" s="777"/>
      <c r="AM111" s="777"/>
      <c r="AN111" s="386" t="s">
        <v>352</v>
      </c>
      <c r="AO111" s="229">
        <f t="shared" si="0"/>
        <v>0</v>
      </c>
      <c r="AP111" s="230"/>
      <c r="AQ111" s="220"/>
      <c r="AR111" s="787" t="s">
        <v>353</v>
      </c>
      <c r="AS111" s="788"/>
      <c r="AT111" s="788"/>
      <c r="AU111" s="788"/>
      <c r="AV111" s="788"/>
      <c r="AW111" s="387" t="s">
        <v>354</v>
      </c>
      <c r="AX111" s="229">
        <f t="shared" si="1"/>
        <v>0</v>
      </c>
      <c r="AY111" s="384"/>
      <c r="AZ111" s="220"/>
      <c r="BA111" s="223"/>
    </row>
    <row r="112" spans="1:53" ht="18.75" thickBot="1" x14ac:dyDescent="0.3">
      <c r="A112" s="890" t="s">
        <v>355</v>
      </c>
      <c r="B112" s="891"/>
      <c r="C112" s="892"/>
      <c r="D112" s="262"/>
      <c r="E112" s="263"/>
      <c r="F112" s="388" t="s">
        <v>356</v>
      </c>
      <c r="G112" s="806">
        <f t="shared" si="11"/>
        <v>0</v>
      </c>
      <c r="H112" s="807"/>
      <c r="I112" s="808"/>
      <c r="J112" s="265">
        <v>0</v>
      </c>
      <c r="K112" s="266">
        <v>0</v>
      </c>
      <c r="L112" s="267">
        <f t="shared" si="12"/>
        <v>0</v>
      </c>
      <c r="M112" s="236"/>
      <c r="N112" s="890" t="s">
        <v>355</v>
      </c>
      <c r="O112" s="891"/>
      <c r="P112" s="892"/>
      <c r="Q112" s="262"/>
      <c r="R112" s="263"/>
      <c r="S112" s="389" t="s">
        <v>356</v>
      </c>
      <c r="T112" s="809">
        <f t="shared" si="13"/>
        <v>0</v>
      </c>
      <c r="U112" s="809"/>
      <c r="V112" s="809"/>
      <c r="W112" s="265">
        <v>0</v>
      </c>
      <c r="X112" s="266">
        <v>0</v>
      </c>
      <c r="Y112" s="267">
        <f t="shared" si="14"/>
        <v>0</v>
      </c>
      <c r="Z112" s="268">
        <f t="shared" si="15"/>
        <v>0</v>
      </c>
      <c r="AA112" s="236"/>
      <c r="AC112" s="353" t="s">
        <v>357</v>
      </c>
      <c r="AD112" s="390" t="s">
        <v>358</v>
      </c>
      <c r="AE112" s="244">
        <f t="shared" si="9"/>
        <v>0</v>
      </c>
      <c r="AF112" s="245" t="str">
        <f t="shared" si="10"/>
        <v/>
      </c>
      <c r="AH112" s="220"/>
      <c r="AI112" s="776" t="s">
        <v>359</v>
      </c>
      <c r="AJ112" s="777"/>
      <c r="AK112" s="777"/>
      <c r="AL112" s="777"/>
      <c r="AM112" s="777"/>
      <c r="AN112" s="271" t="s">
        <v>360</v>
      </c>
      <c r="AO112" s="229">
        <f t="shared" si="0"/>
        <v>0</v>
      </c>
      <c r="AP112" s="230"/>
      <c r="AQ112" s="220"/>
      <c r="AR112" s="787" t="s">
        <v>361</v>
      </c>
      <c r="AS112" s="788"/>
      <c r="AT112" s="788"/>
      <c r="AU112" s="788"/>
      <c r="AV112" s="788"/>
      <c r="AW112" s="391" t="s">
        <v>362</v>
      </c>
      <c r="AX112" s="229">
        <f t="shared" si="1"/>
        <v>0</v>
      </c>
      <c r="AY112" s="239"/>
      <c r="AZ112" s="220"/>
      <c r="BA112" s="223"/>
    </row>
    <row r="113" spans="1:58" ht="18" x14ac:dyDescent="0.25">
      <c r="A113" s="890" t="s">
        <v>363</v>
      </c>
      <c r="B113" s="891"/>
      <c r="C113" s="892"/>
      <c r="D113" s="262"/>
      <c r="E113" s="263"/>
      <c r="F113" s="392" t="s">
        <v>364</v>
      </c>
      <c r="G113" s="806">
        <f t="shared" si="11"/>
        <v>0</v>
      </c>
      <c r="H113" s="807"/>
      <c r="I113" s="808"/>
      <c r="J113" s="393"/>
      <c r="K113" s="394"/>
      <c r="L113" s="267"/>
      <c r="M113" s="236"/>
      <c r="N113" s="890" t="s">
        <v>363</v>
      </c>
      <c r="O113" s="891"/>
      <c r="P113" s="892"/>
      <c r="Q113" s="262"/>
      <c r="R113" s="263"/>
      <c r="S113" s="392" t="s">
        <v>364</v>
      </c>
      <c r="T113" s="809">
        <f t="shared" si="13"/>
        <v>0</v>
      </c>
      <c r="U113" s="809"/>
      <c r="V113" s="809"/>
      <c r="W113" s="265">
        <v>0</v>
      </c>
      <c r="X113" s="266">
        <v>0</v>
      </c>
      <c r="Y113" s="267">
        <f t="shared" si="14"/>
        <v>0</v>
      </c>
      <c r="Z113" s="268">
        <f t="shared" si="15"/>
        <v>0</v>
      </c>
      <c r="AA113" s="236"/>
      <c r="AC113" s="353" t="s">
        <v>365</v>
      </c>
      <c r="AD113" s="395" t="s">
        <v>365</v>
      </c>
      <c r="AE113" s="244">
        <f t="shared" si="9"/>
        <v>0</v>
      </c>
      <c r="AF113" s="245" t="str">
        <f t="shared" si="10"/>
        <v/>
      </c>
      <c r="AH113" s="220"/>
      <c r="AI113" s="776" t="s">
        <v>366</v>
      </c>
      <c r="AJ113" s="777"/>
      <c r="AK113" s="777"/>
      <c r="AL113" s="777"/>
      <c r="AM113" s="777"/>
      <c r="AN113" s="378" t="s">
        <v>367</v>
      </c>
      <c r="AO113" s="229">
        <f t="shared" si="0"/>
        <v>0</v>
      </c>
      <c r="AP113" s="230"/>
      <c r="AQ113" s="220"/>
      <c r="AR113" s="787" t="s">
        <v>368</v>
      </c>
      <c r="AS113" s="788"/>
      <c r="AT113" s="788"/>
      <c r="AU113" s="788"/>
      <c r="AV113" s="788"/>
      <c r="AW113" s="396" t="s">
        <v>369</v>
      </c>
      <c r="AX113" s="229">
        <f t="shared" si="1"/>
        <v>0</v>
      </c>
      <c r="AY113" s="239"/>
      <c r="AZ113" s="220"/>
      <c r="BA113" s="223"/>
      <c r="BC113" s="220"/>
      <c r="BD113" s="220"/>
      <c r="BE113" s="220"/>
      <c r="BF113" s="220"/>
    </row>
    <row r="114" spans="1:58" ht="18.75" thickBot="1" x14ac:dyDescent="0.3">
      <c r="A114" s="890" t="s">
        <v>370</v>
      </c>
      <c r="B114" s="891"/>
      <c r="C114" s="892"/>
      <c r="D114" s="262"/>
      <c r="E114" s="263"/>
      <c r="F114" s="397" t="s">
        <v>370</v>
      </c>
      <c r="G114" s="806">
        <f t="shared" si="11"/>
        <v>0</v>
      </c>
      <c r="H114" s="807"/>
      <c r="I114" s="808"/>
      <c r="J114" s="265">
        <v>0</v>
      </c>
      <c r="K114" s="266">
        <v>0</v>
      </c>
      <c r="L114" s="267">
        <f t="shared" si="12"/>
        <v>0</v>
      </c>
      <c r="M114" s="236"/>
      <c r="N114" s="890" t="s">
        <v>370</v>
      </c>
      <c r="O114" s="891"/>
      <c r="P114" s="892"/>
      <c r="Q114" s="262"/>
      <c r="R114" s="263"/>
      <c r="S114" s="398" t="s">
        <v>370</v>
      </c>
      <c r="T114" s="809">
        <f t="shared" si="13"/>
        <v>0</v>
      </c>
      <c r="U114" s="809"/>
      <c r="V114" s="809"/>
      <c r="W114" s="265">
        <v>0</v>
      </c>
      <c r="X114" s="266">
        <v>0</v>
      </c>
      <c r="Y114" s="267">
        <f t="shared" si="14"/>
        <v>0</v>
      </c>
      <c r="Z114" s="268">
        <f t="shared" si="15"/>
        <v>0</v>
      </c>
      <c r="AA114" s="236"/>
      <c r="AC114" s="353" t="s">
        <v>371</v>
      </c>
      <c r="AD114" s="228" t="s">
        <v>372</v>
      </c>
      <c r="AE114" s="244">
        <f t="shared" si="9"/>
        <v>0</v>
      </c>
      <c r="AF114" s="245" t="str">
        <f t="shared" si="10"/>
        <v/>
      </c>
      <c r="AH114" s="220"/>
      <c r="AI114" s="776" t="s">
        <v>373</v>
      </c>
      <c r="AJ114" s="777"/>
      <c r="AK114" s="777"/>
      <c r="AL114" s="777"/>
      <c r="AM114" s="777"/>
      <c r="AN114" s="334" t="s">
        <v>374</v>
      </c>
      <c r="AO114" s="229">
        <f t="shared" si="0"/>
        <v>0</v>
      </c>
      <c r="AP114" s="230"/>
      <c r="AQ114" s="220"/>
      <c r="AR114" s="231" t="s">
        <v>375</v>
      </c>
      <c r="AS114" s="232"/>
      <c r="AT114" s="232"/>
      <c r="AU114" s="232"/>
      <c r="AV114" s="232"/>
      <c r="AW114" s="399" t="s">
        <v>376</v>
      </c>
      <c r="AX114" s="229">
        <f t="shared" si="1"/>
        <v>0</v>
      </c>
      <c r="AY114" s="384"/>
      <c r="AZ114" s="220"/>
      <c r="BA114" s="223"/>
      <c r="BB114" s="220"/>
      <c r="BC114" s="220"/>
      <c r="BD114" s="220"/>
      <c r="BE114" s="220"/>
      <c r="BF114" s="220"/>
    </row>
    <row r="115" spans="1:58" ht="18" x14ac:dyDescent="0.25">
      <c r="A115" s="890" t="s">
        <v>377</v>
      </c>
      <c r="B115" s="891"/>
      <c r="C115" s="892"/>
      <c r="D115" s="262"/>
      <c r="E115" s="263"/>
      <c r="F115" s="400" t="s">
        <v>378</v>
      </c>
      <c r="G115" s="806">
        <f t="shared" si="11"/>
        <v>0</v>
      </c>
      <c r="H115" s="807"/>
      <c r="I115" s="808"/>
      <c r="J115" s="265">
        <v>0</v>
      </c>
      <c r="K115" s="266">
        <v>0</v>
      </c>
      <c r="L115" s="267">
        <f t="shared" si="12"/>
        <v>0</v>
      </c>
      <c r="M115" s="236"/>
      <c r="N115" s="890" t="s">
        <v>377</v>
      </c>
      <c r="O115" s="891"/>
      <c r="P115" s="892"/>
      <c r="Q115" s="262"/>
      <c r="R115" s="263"/>
      <c r="S115" s="400" t="s">
        <v>378</v>
      </c>
      <c r="T115" s="809">
        <f t="shared" si="13"/>
        <v>0</v>
      </c>
      <c r="U115" s="809"/>
      <c r="V115" s="809"/>
      <c r="W115" s="265">
        <v>0</v>
      </c>
      <c r="X115" s="266">
        <v>0</v>
      </c>
      <c r="Y115" s="267">
        <f t="shared" si="14"/>
        <v>0</v>
      </c>
      <c r="Z115" s="268">
        <f t="shared" si="15"/>
        <v>0</v>
      </c>
      <c r="AA115" s="236"/>
      <c r="AC115" s="353" t="s">
        <v>379</v>
      </c>
      <c r="AD115" s="165" t="s">
        <v>60</v>
      </c>
      <c r="AE115" s="244">
        <f t="shared" si="9"/>
        <v>6</v>
      </c>
      <c r="AF115" s="245" t="str">
        <f t="shared" si="10"/>
        <v/>
      </c>
      <c r="AH115" s="220"/>
      <c r="AI115" s="776" t="s">
        <v>380</v>
      </c>
      <c r="AJ115" s="777"/>
      <c r="AK115" s="777"/>
      <c r="AL115" s="777"/>
      <c r="AM115" s="777"/>
      <c r="AN115" s="378" t="s">
        <v>381</v>
      </c>
      <c r="AO115" s="229">
        <f t="shared" si="0"/>
        <v>0</v>
      </c>
      <c r="AP115" s="230"/>
      <c r="AQ115" s="220"/>
      <c r="AR115" s="231" t="s">
        <v>382</v>
      </c>
      <c r="AS115" s="232"/>
      <c r="AT115" s="232"/>
      <c r="AU115" s="232"/>
      <c r="AV115" s="232"/>
      <c r="AW115" s="315" t="s">
        <v>383</v>
      </c>
      <c r="AX115" s="229">
        <f t="shared" si="1"/>
        <v>0</v>
      </c>
      <c r="AY115" s="384"/>
      <c r="AZ115" s="220"/>
      <c r="BA115" s="223"/>
      <c r="BB115" s="220"/>
      <c r="BC115" s="220"/>
      <c r="BD115" s="220"/>
      <c r="BE115" s="220"/>
      <c r="BF115" s="220"/>
    </row>
    <row r="116" spans="1:58" ht="18.75" thickBot="1" x14ac:dyDescent="0.3">
      <c r="A116" s="858" t="s">
        <v>384</v>
      </c>
      <c r="B116" s="859"/>
      <c r="C116" s="860"/>
      <c r="D116" s="262"/>
      <c r="E116" s="263" t="s">
        <v>142</v>
      </c>
      <c r="F116" s="401" t="s">
        <v>385</v>
      </c>
      <c r="G116" s="806">
        <f t="shared" si="11"/>
        <v>0</v>
      </c>
      <c r="H116" s="807"/>
      <c r="I116" s="808"/>
      <c r="J116" s="265">
        <v>0</v>
      </c>
      <c r="K116" s="266">
        <v>0</v>
      </c>
      <c r="L116" s="267">
        <f t="shared" si="12"/>
        <v>0</v>
      </c>
      <c r="M116" s="236"/>
      <c r="N116" s="858" t="s">
        <v>384</v>
      </c>
      <c r="O116" s="859"/>
      <c r="P116" s="860"/>
      <c r="Q116" s="262"/>
      <c r="R116" s="263" t="s">
        <v>142</v>
      </c>
      <c r="S116" s="401" t="s">
        <v>385</v>
      </c>
      <c r="T116" s="809">
        <f t="shared" si="13"/>
        <v>0</v>
      </c>
      <c r="U116" s="809"/>
      <c r="V116" s="809"/>
      <c r="W116" s="265">
        <v>0</v>
      </c>
      <c r="X116" s="266">
        <v>0</v>
      </c>
      <c r="Y116" s="267">
        <f t="shared" si="14"/>
        <v>0</v>
      </c>
      <c r="Z116" s="268">
        <f t="shared" si="15"/>
        <v>0</v>
      </c>
      <c r="AA116" s="236"/>
      <c r="AC116" s="353" t="s">
        <v>386</v>
      </c>
      <c r="AD116" s="356" t="s">
        <v>387</v>
      </c>
      <c r="AE116" s="244">
        <f t="shared" si="9"/>
        <v>0</v>
      </c>
      <c r="AF116" s="245" t="str">
        <f t="shared" si="10"/>
        <v/>
      </c>
      <c r="AH116" s="220"/>
      <c r="AI116" s="776" t="s">
        <v>388</v>
      </c>
      <c r="AJ116" s="777"/>
      <c r="AK116" s="777"/>
      <c r="AL116" s="777"/>
      <c r="AM116" s="777"/>
      <c r="AN116" s="402" t="s">
        <v>389</v>
      </c>
      <c r="AO116" s="229">
        <f t="shared" si="0"/>
        <v>0</v>
      </c>
      <c r="AP116" s="230"/>
      <c r="AQ116" s="220"/>
      <c r="AR116" s="827" t="s">
        <v>390</v>
      </c>
      <c r="AS116" s="828"/>
      <c r="AT116" s="828"/>
      <c r="AU116" s="828"/>
      <c r="AV116" s="900"/>
      <c r="AW116" s="403" t="s">
        <v>391</v>
      </c>
      <c r="AX116" s="229">
        <f t="shared" si="1"/>
        <v>0</v>
      </c>
      <c r="AY116" s="239"/>
      <c r="AZ116" s="220"/>
      <c r="BA116" s="223"/>
      <c r="BB116" s="220"/>
      <c r="BC116" s="220"/>
      <c r="BD116" s="220"/>
      <c r="BE116" s="220"/>
      <c r="BF116" s="220"/>
    </row>
    <row r="117" spans="1:58" ht="18.75" thickBot="1" x14ac:dyDescent="0.3">
      <c r="A117" s="890" t="s">
        <v>392</v>
      </c>
      <c r="B117" s="891"/>
      <c r="C117" s="892"/>
      <c r="D117" s="262"/>
      <c r="E117" s="263" t="s">
        <v>142</v>
      </c>
      <c r="F117" s="404" t="s">
        <v>393</v>
      </c>
      <c r="G117" s="806">
        <f t="shared" si="11"/>
        <v>0</v>
      </c>
      <c r="H117" s="807"/>
      <c r="I117" s="808"/>
      <c r="J117" s="265">
        <v>0</v>
      </c>
      <c r="K117" s="266">
        <v>0</v>
      </c>
      <c r="L117" s="267">
        <f t="shared" si="12"/>
        <v>0</v>
      </c>
      <c r="M117" s="236"/>
      <c r="N117" s="890" t="s">
        <v>392</v>
      </c>
      <c r="O117" s="891"/>
      <c r="P117" s="892"/>
      <c r="Q117" s="262"/>
      <c r="R117" s="263" t="s">
        <v>142</v>
      </c>
      <c r="S117" s="404" t="s">
        <v>393</v>
      </c>
      <c r="T117" s="809">
        <f t="shared" si="13"/>
        <v>0</v>
      </c>
      <c r="U117" s="809"/>
      <c r="V117" s="809"/>
      <c r="W117" s="265">
        <v>0</v>
      </c>
      <c r="X117" s="266">
        <v>0</v>
      </c>
      <c r="Y117" s="267">
        <f t="shared" si="14"/>
        <v>0</v>
      </c>
      <c r="Z117" s="268">
        <f t="shared" si="15"/>
        <v>0</v>
      </c>
      <c r="AA117" s="236"/>
      <c r="AC117" s="353" t="s">
        <v>394</v>
      </c>
      <c r="AD117" s="405" t="s">
        <v>395</v>
      </c>
      <c r="AE117" s="244">
        <f t="shared" si="9"/>
        <v>0</v>
      </c>
      <c r="AF117" s="245" t="str">
        <f t="shared" si="10"/>
        <v/>
      </c>
      <c r="AH117" s="220"/>
      <c r="AI117" s="776" t="s">
        <v>396</v>
      </c>
      <c r="AJ117" s="777"/>
      <c r="AK117" s="777"/>
      <c r="AL117" s="777"/>
      <c r="AM117" s="777"/>
      <c r="AN117" s="378" t="s">
        <v>397</v>
      </c>
      <c r="AO117" s="229">
        <f t="shared" si="0"/>
        <v>0</v>
      </c>
      <c r="AP117" s="230"/>
      <c r="AQ117" s="220"/>
      <c r="AR117" s="795" t="s">
        <v>398</v>
      </c>
      <c r="AS117" s="796"/>
      <c r="AT117" s="796"/>
      <c r="AU117" s="796"/>
      <c r="AV117" s="796"/>
      <c r="AW117" s="406" t="s">
        <v>399</v>
      </c>
      <c r="AX117" s="229">
        <f t="shared" si="1"/>
        <v>0</v>
      </c>
      <c r="AY117" s="407"/>
      <c r="AZ117" s="220"/>
      <c r="BA117" s="223"/>
      <c r="BB117" s="220"/>
      <c r="BC117" s="220"/>
      <c r="BD117" s="220"/>
      <c r="BE117" s="220"/>
      <c r="BF117" s="220"/>
    </row>
    <row r="118" spans="1:58" ht="18.75" thickBot="1" x14ac:dyDescent="0.3">
      <c r="A118" s="890" t="s">
        <v>400</v>
      </c>
      <c r="B118" s="891"/>
      <c r="C118" s="892"/>
      <c r="D118" s="262" t="s">
        <v>7</v>
      </c>
      <c r="E118" s="263" t="s">
        <v>142</v>
      </c>
      <c r="F118" s="408" t="s">
        <v>401</v>
      </c>
      <c r="G118" s="806">
        <f t="shared" si="11"/>
        <v>0</v>
      </c>
      <c r="H118" s="807"/>
      <c r="I118" s="808"/>
      <c r="J118" s="265">
        <v>0</v>
      </c>
      <c r="K118" s="266">
        <v>0</v>
      </c>
      <c r="L118" s="267">
        <f t="shared" si="12"/>
        <v>0</v>
      </c>
      <c r="M118" s="236"/>
      <c r="N118" s="890" t="s">
        <v>400</v>
      </c>
      <c r="O118" s="891"/>
      <c r="P118" s="892"/>
      <c r="Q118" s="262" t="s">
        <v>7</v>
      </c>
      <c r="R118" s="263" t="s">
        <v>142</v>
      </c>
      <c r="S118" s="408" t="s">
        <v>401</v>
      </c>
      <c r="T118" s="809">
        <f t="shared" si="13"/>
        <v>0</v>
      </c>
      <c r="U118" s="809"/>
      <c r="V118" s="809"/>
      <c r="W118" s="265">
        <v>0</v>
      </c>
      <c r="X118" s="266">
        <v>0</v>
      </c>
      <c r="Y118" s="267">
        <f t="shared" si="14"/>
        <v>0</v>
      </c>
      <c r="Z118" s="268">
        <f t="shared" si="15"/>
        <v>0</v>
      </c>
      <c r="AA118" s="236"/>
      <c r="AC118" s="353" t="s">
        <v>402</v>
      </c>
      <c r="AD118" s="305" t="s">
        <v>403</v>
      </c>
      <c r="AE118" s="244">
        <f t="shared" si="9"/>
        <v>0</v>
      </c>
      <c r="AF118" s="245" t="str">
        <f t="shared" si="10"/>
        <v/>
      </c>
      <c r="AH118" s="220"/>
      <c r="AI118" s="776" t="s">
        <v>404</v>
      </c>
      <c r="AJ118" s="777"/>
      <c r="AK118" s="777"/>
      <c r="AL118" s="777"/>
      <c r="AM118" s="777"/>
      <c r="AN118" s="409" t="s">
        <v>405</v>
      </c>
      <c r="AO118" s="229">
        <f t="shared" si="0"/>
        <v>0</v>
      </c>
      <c r="AP118" s="230"/>
      <c r="AQ118" s="220"/>
      <c r="AR118" s="831" t="s">
        <v>406</v>
      </c>
      <c r="AS118" s="832"/>
      <c r="AT118" s="832"/>
      <c r="AU118" s="832"/>
      <c r="AV118" s="833"/>
      <c r="AW118" s="410"/>
      <c r="AX118" s="411">
        <f>SUM(AX77:AX117)</f>
        <v>0</v>
      </c>
      <c r="AY118" s="220"/>
      <c r="AZ118" s="220"/>
      <c r="BA118" s="223"/>
      <c r="BB118" s="220"/>
      <c r="BC118" s="220"/>
      <c r="BD118" s="220"/>
      <c r="BE118" s="220"/>
      <c r="BF118" s="220"/>
    </row>
    <row r="119" spans="1:58" ht="18.75" thickBot="1" x14ac:dyDescent="0.3">
      <c r="A119" s="890" t="s">
        <v>407</v>
      </c>
      <c r="B119" s="891"/>
      <c r="C119" s="892"/>
      <c r="D119" s="262"/>
      <c r="E119" s="263" t="s">
        <v>142</v>
      </c>
      <c r="F119" s="412" t="s">
        <v>408</v>
      </c>
      <c r="G119" s="806">
        <f t="shared" si="11"/>
        <v>0</v>
      </c>
      <c r="H119" s="807"/>
      <c r="I119" s="808"/>
      <c r="J119" s="265">
        <v>0</v>
      </c>
      <c r="K119" s="266">
        <v>0</v>
      </c>
      <c r="L119" s="267">
        <f t="shared" si="12"/>
        <v>0</v>
      </c>
      <c r="M119" s="236"/>
      <c r="N119" s="890" t="s">
        <v>407</v>
      </c>
      <c r="O119" s="891"/>
      <c r="P119" s="892"/>
      <c r="Q119" s="262"/>
      <c r="R119" s="263" t="s">
        <v>142</v>
      </c>
      <c r="S119" s="412" t="s">
        <v>408</v>
      </c>
      <c r="T119" s="809">
        <f t="shared" si="13"/>
        <v>0</v>
      </c>
      <c r="U119" s="809"/>
      <c r="V119" s="809"/>
      <c r="W119" s="265">
        <v>0</v>
      </c>
      <c r="X119" s="266">
        <v>0</v>
      </c>
      <c r="Y119" s="267">
        <f t="shared" si="14"/>
        <v>0</v>
      </c>
      <c r="Z119" s="268">
        <f t="shared" si="15"/>
        <v>0</v>
      </c>
      <c r="AA119" s="236"/>
      <c r="AC119" s="353" t="s">
        <v>194</v>
      </c>
      <c r="AD119" s="413" t="s">
        <v>409</v>
      </c>
      <c r="AE119" s="244">
        <f t="shared" si="9"/>
        <v>0</v>
      </c>
      <c r="AF119" s="245" t="str">
        <f t="shared" si="10"/>
        <v/>
      </c>
      <c r="AH119" s="220"/>
      <c r="AI119" s="776" t="s">
        <v>410</v>
      </c>
      <c r="AJ119" s="777"/>
      <c r="AK119" s="777"/>
      <c r="AL119" s="777"/>
      <c r="AM119" s="777"/>
      <c r="AN119" s="414" t="s">
        <v>411</v>
      </c>
      <c r="AO119" s="229">
        <f t="shared" si="0"/>
        <v>0</v>
      </c>
      <c r="AP119" s="230"/>
      <c r="AQ119" s="220"/>
      <c r="AR119" s="220"/>
      <c r="AS119" s="220"/>
      <c r="AT119" s="220"/>
      <c r="AU119" s="220"/>
      <c r="AV119" s="220"/>
      <c r="AW119" s="220"/>
      <c r="AX119" s="220"/>
      <c r="AY119" s="220"/>
      <c r="AZ119" s="220"/>
      <c r="BA119" s="223"/>
      <c r="BB119" s="220"/>
      <c r="BC119" s="220"/>
      <c r="BD119" s="220"/>
      <c r="BE119" s="220"/>
      <c r="BF119" s="220"/>
    </row>
    <row r="120" spans="1:58" ht="18.75" thickBot="1" x14ac:dyDescent="0.3">
      <c r="A120" s="890" t="s">
        <v>412</v>
      </c>
      <c r="B120" s="891"/>
      <c r="C120" s="892"/>
      <c r="D120" s="262"/>
      <c r="E120" s="263" t="s">
        <v>142</v>
      </c>
      <c r="F120" s="415" t="s">
        <v>413</v>
      </c>
      <c r="G120" s="806">
        <f t="shared" si="11"/>
        <v>0</v>
      </c>
      <c r="H120" s="807"/>
      <c r="I120" s="808"/>
      <c r="J120" s="265">
        <v>0</v>
      </c>
      <c r="K120" s="266">
        <v>0</v>
      </c>
      <c r="L120" s="267">
        <f t="shared" si="12"/>
        <v>0</v>
      </c>
      <c r="M120" s="236"/>
      <c r="N120" s="890" t="s">
        <v>412</v>
      </c>
      <c r="O120" s="891"/>
      <c r="P120" s="892"/>
      <c r="Q120" s="262"/>
      <c r="R120" s="263" t="s">
        <v>142</v>
      </c>
      <c r="S120" s="415" t="s">
        <v>413</v>
      </c>
      <c r="T120" s="809">
        <f t="shared" si="13"/>
        <v>0</v>
      </c>
      <c r="U120" s="809"/>
      <c r="V120" s="809"/>
      <c r="W120" s="265">
        <v>0</v>
      </c>
      <c r="X120" s="266">
        <v>0</v>
      </c>
      <c r="Y120" s="267">
        <f t="shared" si="14"/>
        <v>0</v>
      </c>
      <c r="Z120" s="268">
        <f t="shared" si="15"/>
        <v>0</v>
      </c>
      <c r="AA120" s="236"/>
      <c r="AC120" s="353" t="s">
        <v>414</v>
      </c>
      <c r="AD120" s="416" t="s">
        <v>415</v>
      </c>
      <c r="AE120" s="244">
        <f t="shared" si="9"/>
        <v>0</v>
      </c>
      <c r="AF120" s="245" t="str">
        <f t="shared" si="10"/>
        <v/>
      </c>
      <c r="AH120" s="220"/>
      <c r="AI120" s="776" t="s">
        <v>416</v>
      </c>
      <c r="AJ120" s="777"/>
      <c r="AK120" s="777"/>
      <c r="AL120" s="777"/>
      <c r="AM120" s="777"/>
      <c r="AN120" s="414" t="s">
        <v>417</v>
      </c>
      <c r="AO120" s="229">
        <f t="shared" si="0"/>
        <v>0</v>
      </c>
      <c r="AP120" s="230"/>
      <c r="AQ120" s="220"/>
      <c r="AR120" s="790" t="s">
        <v>143</v>
      </c>
      <c r="AS120" s="791"/>
      <c r="AT120" s="791"/>
      <c r="AU120" s="791"/>
      <c r="AV120" s="791"/>
      <c r="AW120" s="775"/>
      <c r="AX120" s="221" t="s">
        <v>70</v>
      </c>
      <c r="AY120" s="222"/>
      <c r="AZ120" s="220"/>
      <c r="BA120" s="223"/>
      <c r="BB120" s="220"/>
      <c r="BC120" s="220"/>
      <c r="BD120" s="220"/>
      <c r="BE120" s="220"/>
      <c r="BF120" s="220"/>
    </row>
    <row r="121" spans="1:58" ht="19.5" thickBot="1" x14ac:dyDescent="0.3">
      <c r="A121" s="890" t="s">
        <v>418</v>
      </c>
      <c r="B121" s="891"/>
      <c r="C121" s="892"/>
      <c r="D121" s="262"/>
      <c r="E121" s="263" t="s">
        <v>142</v>
      </c>
      <c r="F121" s="417" t="s">
        <v>419</v>
      </c>
      <c r="G121" s="806">
        <f t="shared" si="11"/>
        <v>0</v>
      </c>
      <c r="H121" s="807"/>
      <c r="I121" s="808"/>
      <c r="J121" s="265">
        <v>0</v>
      </c>
      <c r="K121" s="266">
        <v>0</v>
      </c>
      <c r="L121" s="267">
        <f t="shared" si="12"/>
        <v>0</v>
      </c>
      <c r="M121" s="236"/>
      <c r="N121" s="890" t="s">
        <v>418</v>
      </c>
      <c r="O121" s="891"/>
      <c r="P121" s="892"/>
      <c r="Q121" s="262"/>
      <c r="R121" s="263" t="s">
        <v>142</v>
      </c>
      <c r="S121" s="417" t="s">
        <v>419</v>
      </c>
      <c r="T121" s="809">
        <f t="shared" si="13"/>
        <v>0</v>
      </c>
      <c r="U121" s="809"/>
      <c r="V121" s="809"/>
      <c r="W121" s="265">
        <v>0</v>
      </c>
      <c r="X121" s="266">
        <v>0</v>
      </c>
      <c r="Y121" s="267">
        <f t="shared" si="14"/>
        <v>0</v>
      </c>
      <c r="Z121" s="268">
        <f t="shared" si="15"/>
        <v>0</v>
      </c>
      <c r="AA121" s="236"/>
      <c r="AC121" s="418" t="s">
        <v>18</v>
      </c>
      <c r="AD121" s="419" t="s">
        <v>18</v>
      </c>
      <c r="AE121" s="244">
        <f t="shared" si="9"/>
        <v>38</v>
      </c>
      <c r="AF121" s="245" t="str">
        <f t="shared" si="10"/>
        <v/>
      </c>
      <c r="AH121" s="220"/>
      <c r="AI121" s="776" t="s">
        <v>420</v>
      </c>
      <c r="AJ121" s="777"/>
      <c r="AK121" s="777"/>
      <c r="AL121" s="777"/>
      <c r="AM121" s="777"/>
      <c r="AN121" s="420" t="s">
        <v>421</v>
      </c>
      <c r="AO121" s="229">
        <f t="shared" si="0"/>
        <v>0</v>
      </c>
      <c r="AP121" s="230"/>
      <c r="AQ121" s="220"/>
      <c r="AR121" s="834" t="s">
        <v>422</v>
      </c>
      <c r="AS121" s="835"/>
      <c r="AT121" s="835"/>
      <c r="AU121" s="835"/>
      <c r="AV121" s="835"/>
      <c r="AW121" s="421" t="s">
        <v>423</v>
      </c>
      <c r="AX121" s="229">
        <f t="shared" ref="AX121:AX173" si="16">COUNTIF($A$1:$GO$54,AW121)</f>
        <v>0</v>
      </c>
      <c r="AY121" s="422"/>
      <c r="AZ121" s="220"/>
      <c r="BA121" s="223"/>
      <c r="BB121" s="220"/>
    </row>
    <row r="122" spans="1:58" ht="18.75" x14ac:dyDescent="0.25">
      <c r="A122" s="890" t="s">
        <v>424</v>
      </c>
      <c r="B122" s="891"/>
      <c r="C122" s="892"/>
      <c r="D122" s="423"/>
      <c r="E122" s="365"/>
      <c r="F122" s="424" t="s">
        <v>425</v>
      </c>
      <c r="G122" s="806">
        <f t="shared" si="11"/>
        <v>0</v>
      </c>
      <c r="H122" s="807"/>
      <c r="I122" s="808"/>
      <c r="J122" s="265">
        <v>0</v>
      </c>
      <c r="K122" s="266">
        <v>0</v>
      </c>
      <c r="L122" s="267">
        <f t="shared" si="12"/>
        <v>0</v>
      </c>
      <c r="M122" s="236"/>
      <c r="N122" s="890" t="s">
        <v>424</v>
      </c>
      <c r="O122" s="891"/>
      <c r="P122" s="892"/>
      <c r="Q122" s="425"/>
      <c r="R122" s="426"/>
      <c r="S122" s="424" t="s">
        <v>425</v>
      </c>
      <c r="T122" s="809">
        <f t="shared" si="13"/>
        <v>0</v>
      </c>
      <c r="U122" s="809"/>
      <c r="V122" s="809"/>
      <c r="W122" s="265">
        <v>0</v>
      </c>
      <c r="X122" s="266">
        <v>0</v>
      </c>
      <c r="Y122" s="267">
        <f t="shared" si="14"/>
        <v>0</v>
      </c>
      <c r="Z122" s="268">
        <f t="shared" si="15"/>
        <v>0</v>
      </c>
      <c r="AA122" s="236"/>
      <c r="AC122" s="353" t="s">
        <v>426</v>
      </c>
      <c r="AD122" s="233" t="s">
        <v>427</v>
      </c>
      <c r="AE122" s="244">
        <f t="shared" si="9"/>
        <v>0</v>
      </c>
      <c r="AF122" s="245" t="str">
        <f t="shared" si="10"/>
        <v/>
      </c>
      <c r="AH122" s="220"/>
      <c r="AI122" s="776" t="s">
        <v>428</v>
      </c>
      <c r="AJ122" s="777"/>
      <c r="AK122" s="777"/>
      <c r="AL122" s="777"/>
      <c r="AM122" s="777"/>
      <c r="AN122" s="322" t="s">
        <v>429</v>
      </c>
      <c r="AO122" s="229">
        <f t="shared" si="0"/>
        <v>0</v>
      </c>
      <c r="AP122" s="230"/>
      <c r="AQ122" s="220"/>
      <c r="AR122" s="834" t="s">
        <v>430</v>
      </c>
      <c r="AS122" s="835"/>
      <c r="AT122" s="835"/>
      <c r="AU122" s="835"/>
      <c r="AV122" s="835"/>
      <c r="AW122" s="427" t="s">
        <v>431</v>
      </c>
      <c r="AX122" s="229">
        <f t="shared" si="16"/>
        <v>0</v>
      </c>
      <c r="AY122" s="422"/>
      <c r="AZ122" s="220"/>
      <c r="BA122" s="223"/>
      <c r="BB122" s="220"/>
    </row>
    <row r="123" spans="1:58" ht="18" x14ac:dyDescent="0.25">
      <c r="A123" s="852" t="s">
        <v>70</v>
      </c>
      <c r="B123" s="853"/>
      <c r="C123" s="853"/>
      <c r="D123" s="853"/>
      <c r="E123" s="853"/>
      <c r="F123" s="428"/>
      <c r="G123" s="880">
        <f>SUM(G105:I122)</f>
        <v>2</v>
      </c>
      <c r="H123" s="880"/>
      <c r="I123" s="880"/>
      <c r="J123" s="350">
        <f>SUM(J105:J122)</f>
        <v>0</v>
      </c>
      <c r="K123" s="351">
        <f>SUM(K105:K122)</f>
        <v>2</v>
      </c>
      <c r="L123" s="267">
        <f>SUM(L105:L122)</f>
        <v>0</v>
      </c>
      <c r="M123" s="236"/>
      <c r="N123" s="881" t="s">
        <v>70</v>
      </c>
      <c r="O123" s="882"/>
      <c r="P123" s="882"/>
      <c r="Q123" s="882"/>
      <c r="R123" s="882"/>
      <c r="S123" s="429"/>
      <c r="T123" s="883">
        <f>SUM(T105:V122)</f>
        <v>1</v>
      </c>
      <c r="U123" s="883"/>
      <c r="V123" s="883"/>
      <c r="W123" s="350">
        <f>SUM(W105:W122)</f>
        <v>0</v>
      </c>
      <c r="X123" s="351">
        <f>SUM(X105:X122)</f>
        <v>1</v>
      </c>
      <c r="Y123" s="267">
        <f>SUM(Y105:Y122)</f>
        <v>0</v>
      </c>
      <c r="Z123" s="268">
        <f t="shared" si="15"/>
        <v>3</v>
      </c>
      <c r="AA123" s="236"/>
      <c r="AC123" s="353" t="s">
        <v>432</v>
      </c>
      <c r="AD123" s="430" t="s">
        <v>433</v>
      </c>
      <c r="AE123" s="244">
        <f t="shared" si="9"/>
        <v>0</v>
      </c>
      <c r="AF123" s="245" t="str">
        <f t="shared" si="10"/>
        <v/>
      </c>
      <c r="AH123" s="220"/>
      <c r="AI123" s="776" t="s">
        <v>434</v>
      </c>
      <c r="AJ123" s="777"/>
      <c r="AK123" s="777"/>
      <c r="AL123" s="777"/>
      <c r="AM123" s="777"/>
      <c r="AN123" s="431" t="s">
        <v>435</v>
      </c>
      <c r="AO123" s="229">
        <f t="shared" si="0"/>
        <v>0</v>
      </c>
      <c r="AP123" s="230"/>
      <c r="AQ123" s="220"/>
      <c r="AR123" s="834" t="s">
        <v>436</v>
      </c>
      <c r="AS123" s="835"/>
      <c r="AT123" s="835"/>
      <c r="AU123" s="835"/>
      <c r="AV123" s="835"/>
      <c r="AW123" s="427" t="s">
        <v>437</v>
      </c>
      <c r="AX123" s="229">
        <f t="shared" si="16"/>
        <v>0</v>
      </c>
      <c r="AY123" s="422"/>
      <c r="AZ123" s="220"/>
      <c r="BA123" s="223"/>
      <c r="BB123" s="220"/>
    </row>
    <row r="124" spans="1:58" ht="18.75" x14ac:dyDescent="0.25">
      <c r="A124" s="893" t="s">
        <v>438</v>
      </c>
      <c r="B124" s="894"/>
      <c r="C124" s="894"/>
      <c r="D124" s="894"/>
      <c r="E124" s="894"/>
      <c r="F124" s="894"/>
      <c r="G124" s="894"/>
      <c r="H124" s="894"/>
      <c r="I124" s="895"/>
      <c r="J124" s="257" t="s">
        <v>123</v>
      </c>
      <c r="K124" s="257" t="s">
        <v>124</v>
      </c>
      <c r="L124" s="257" t="s">
        <v>125</v>
      </c>
      <c r="M124" s="236"/>
      <c r="N124" s="893" t="s">
        <v>438</v>
      </c>
      <c r="O124" s="894"/>
      <c r="P124" s="894"/>
      <c r="Q124" s="894"/>
      <c r="R124" s="894"/>
      <c r="S124" s="894"/>
      <c r="T124" s="894"/>
      <c r="U124" s="894"/>
      <c r="V124" s="895"/>
      <c r="W124" s="258" t="s">
        <v>123</v>
      </c>
      <c r="X124" s="258" t="s">
        <v>124</v>
      </c>
      <c r="Y124" s="258" t="s">
        <v>125</v>
      </c>
      <c r="Z124" s="355"/>
      <c r="AA124" s="236"/>
      <c r="AC124" s="353" t="s">
        <v>439</v>
      </c>
      <c r="AD124" s="432" t="s">
        <v>440</v>
      </c>
      <c r="AE124" s="244">
        <f t="shared" si="9"/>
        <v>0</v>
      </c>
      <c r="AF124" s="245" t="str">
        <f t="shared" si="10"/>
        <v/>
      </c>
      <c r="AH124" s="220"/>
      <c r="AI124" s="776" t="s">
        <v>441</v>
      </c>
      <c r="AJ124" s="777"/>
      <c r="AK124" s="777"/>
      <c r="AL124" s="777"/>
      <c r="AM124" s="777"/>
      <c r="AN124" s="378" t="s">
        <v>12</v>
      </c>
      <c r="AO124" s="229">
        <f t="shared" si="0"/>
        <v>12</v>
      </c>
      <c r="AP124" s="230"/>
      <c r="AQ124" s="220"/>
      <c r="AR124" s="834" t="s">
        <v>442</v>
      </c>
      <c r="AS124" s="835"/>
      <c r="AT124" s="835"/>
      <c r="AU124" s="835"/>
      <c r="AV124" s="835"/>
      <c r="AW124" s="433" t="s">
        <v>443</v>
      </c>
      <c r="AX124" s="229">
        <f t="shared" si="16"/>
        <v>0</v>
      </c>
      <c r="AY124" s="422"/>
      <c r="AZ124" s="220"/>
      <c r="BA124" s="223"/>
    </row>
    <row r="125" spans="1:58" ht="18.75" thickBot="1" x14ac:dyDescent="0.3">
      <c r="A125" s="896" t="s">
        <v>444</v>
      </c>
      <c r="B125" s="897"/>
      <c r="C125" s="898"/>
      <c r="D125" s="359"/>
      <c r="E125" s="360"/>
      <c r="F125" s="276" t="s">
        <v>445</v>
      </c>
      <c r="G125" s="899">
        <f>COUNTIF($E$13:$AX$49,F125)</f>
        <v>0</v>
      </c>
      <c r="H125" s="866"/>
      <c r="I125" s="867"/>
      <c r="J125" s="265">
        <v>0</v>
      </c>
      <c r="K125" s="266">
        <v>0</v>
      </c>
      <c r="L125" s="267">
        <f t="shared" ref="L125:L126" si="17">G125-K125-J125</f>
        <v>0</v>
      </c>
      <c r="M125" s="236"/>
      <c r="N125" s="896" t="s">
        <v>444</v>
      </c>
      <c r="O125" s="897"/>
      <c r="P125" s="898"/>
      <c r="Q125" s="359"/>
      <c r="R125" s="360"/>
      <c r="S125" s="276" t="s">
        <v>445</v>
      </c>
      <c r="T125" s="809">
        <f>COUNTIF($E$3:$Y$12,S125)</f>
        <v>0</v>
      </c>
      <c r="U125" s="809"/>
      <c r="V125" s="809"/>
      <c r="W125" s="265">
        <v>0</v>
      </c>
      <c r="X125" s="266">
        <v>0</v>
      </c>
      <c r="Y125" s="267">
        <f t="shared" ref="Y125:Y126" si="18">T125-X125-W125</f>
        <v>0</v>
      </c>
      <c r="Z125" s="268">
        <f t="shared" ref="Z125:Z127" si="19">T125+G125</f>
        <v>0</v>
      </c>
      <c r="AA125" s="236"/>
      <c r="AC125" s="353" t="s">
        <v>446</v>
      </c>
      <c r="AD125" s="434" t="s">
        <v>447</v>
      </c>
      <c r="AE125" s="244">
        <f t="shared" si="9"/>
        <v>0</v>
      </c>
      <c r="AF125" s="245" t="str">
        <f t="shared" si="10"/>
        <v/>
      </c>
      <c r="AH125" s="220"/>
      <c r="AI125" s="776" t="s">
        <v>448</v>
      </c>
      <c r="AJ125" s="777"/>
      <c r="AK125" s="777"/>
      <c r="AL125" s="777"/>
      <c r="AM125" s="777"/>
      <c r="AN125" s="435" t="s">
        <v>449</v>
      </c>
      <c r="AO125" s="229">
        <f t="shared" si="0"/>
        <v>0</v>
      </c>
      <c r="AP125" s="230"/>
      <c r="AQ125" s="220"/>
      <c r="AR125" s="834" t="s">
        <v>450</v>
      </c>
      <c r="AS125" s="835"/>
      <c r="AT125" s="835"/>
      <c r="AU125" s="835"/>
      <c r="AV125" s="835"/>
      <c r="AW125" s="323" t="s">
        <v>451</v>
      </c>
      <c r="AX125" s="229">
        <f t="shared" si="16"/>
        <v>0</v>
      </c>
      <c r="AY125" s="422"/>
      <c r="AZ125" s="220"/>
      <c r="BA125" s="223"/>
    </row>
    <row r="126" spans="1:58" ht="19.5" thickBot="1" x14ac:dyDescent="0.3">
      <c r="A126" s="890" t="s">
        <v>452</v>
      </c>
      <c r="B126" s="891"/>
      <c r="C126" s="892"/>
      <c r="D126" s="262"/>
      <c r="E126" s="263"/>
      <c r="F126" s="376" t="s">
        <v>453</v>
      </c>
      <c r="G126" s="806">
        <f>COUNTIF($E$13:$AX$49,F126)</f>
        <v>0</v>
      </c>
      <c r="H126" s="807"/>
      <c r="I126" s="808"/>
      <c r="J126" s="265">
        <v>0</v>
      </c>
      <c r="K126" s="266">
        <v>0</v>
      </c>
      <c r="L126" s="267">
        <f t="shared" si="17"/>
        <v>0</v>
      </c>
      <c r="M126" s="236"/>
      <c r="N126" s="890" t="s">
        <v>452</v>
      </c>
      <c r="O126" s="891"/>
      <c r="P126" s="892"/>
      <c r="Q126" s="262"/>
      <c r="R126" s="263"/>
      <c r="S126" s="376" t="s">
        <v>453</v>
      </c>
      <c r="T126" s="809">
        <f>COUNTIF($E$3:$Y$12,S126)</f>
        <v>0</v>
      </c>
      <c r="U126" s="809"/>
      <c r="V126" s="809"/>
      <c r="W126" s="265">
        <v>0</v>
      </c>
      <c r="X126" s="266">
        <v>0</v>
      </c>
      <c r="Y126" s="267">
        <f t="shared" si="18"/>
        <v>0</v>
      </c>
      <c r="Z126" s="268">
        <f t="shared" si="19"/>
        <v>0</v>
      </c>
      <c r="AA126" s="236"/>
      <c r="AC126" s="353" t="s">
        <v>454</v>
      </c>
      <c r="AD126" s="436" t="s">
        <v>454</v>
      </c>
      <c r="AE126" s="244">
        <f t="shared" si="9"/>
        <v>0</v>
      </c>
      <c r="AF126" s="245" t="str">
        <f t="shared" si="10"/>
        <v/>
      </c>
      <c r="AH126" s="220"/>
      <c r="AI126" s="776" t="s">
        <v>455</v>
      </c>
      <c r="AJ126" s="777"/>
      <c r="AK126" s="777"/>
      <c r="AL126" s="777"/>
      <c r="AM126" s="777"/>
      <c r="AN126" s="437" t="s">
        <v>456</v>
      </c>
      <c r="AO126" s="229">
        <f t="shared" si="0"/>
        <v>0</v>
      </c>
      <c r="AP126" s="230"/>
      <c r="AQ126" s="220"/>
      <c r="AR126" s="834" t="s">
        <v>457</v>
      </c>
      <c r="AS126" s="835"/>
      <c r="AT126" s="835"/>
      <c r="AU126" s="835"/>
      <c r="AV126" s="835"/>
      <c r="AW126" s="323" t="s">
        <v>458</v>
      </c>
      <c r="AX126" s="229">
        <f t="shared" si="16"/>
        <v>0</v>
      </c>
      <c r="AY126" s="422"/>
      <c r="AZ126" s="220"/>
      <c r="BA126" s="223"/>
    </row>
    <row r="127" spans="1:58" ht="18.75" x14ac:dyDescent="0.25">
      <c r="A127" s="852" t="s">
        <v>70</v>
      </c>
      <c r="B127" s="853"/>
      <c r="C127" s="853"/>
      <c r="D127" s="853"/>
      <c r="E127" s="853"/>
      <c r="F127" s="428"/>
      <c r="G127" s="880">
        <f>SUM(G125:I126)</f>
        <v>0</v>
      </c>
      <c r="H127" s="880"/>
      <c r="I127" s="880"/>
      <c r="J127" s="350">
        <f>SUM(J125:J126)</f>
        <v>0</v>
      </c>
      <c r="K127" s="351">
        <f>SUM(K125:K126)</f>
        <v>0</v>
      </c>
      <c r="L127" s="267">
        <f>SUM(L125:L126)</f>
        <v>0</v>
      </c>
      <c r="M127" s="236"/>
      <c r="N127" s="881" t="s">
        <v>70</v>
      </c>
      <c r="O127" s="882"/>
      <c r="P127" s="882"/>
      <c r="Q127" s="882"/>
      <c r="R127" s="882"/>
      <c r="S127" s="429"/>
      <c r="T127" s="883">
        <f>SUM(T125:V126)</f>
        <v>0</v>
      </c>
      <c r="U127" s="883"/>
      <c r="V127" s="883"/>
      <c r="W127" s="350">
        <f>SUM(W125:W126)</f>
        <v>0</v>
      </c>
      <c r="X127" s="351">
        <f>SUM(X125:X126)</f>
        <v>0</v>
      </c>
      <c r="Y127" s="267">
        <f>SUM(Y125:Y126)</f>
        <v>0</v>
      </c>
      <c r="Z127" s="268">
        <f t="shared" si="19"/>
        <v>0</v>
      </c>
      <c r="AA127" s="236"/>
      <c r="AC127" s="353" t="s">
        <v>459</v>
      </c>
      <c r="AD127" s="438" t="s">
        <v>460</v>
      </c>
      <c r="AE127" s="244">
        <f t="shared" si="9"/>
        <v>0</v>
      </c>
      <c r="AF127" s="245" t="str">
        <f t="shared" si="10"/>
        <v/>
      </c>
      <c r="AH127" s="220"/>
      <c r="AI127" s="776" t="s">
        <v>461</v>
      </c>
      <c r="AJ127" s="777"/>
      <c r="AK127" s="777"/>
      <c r="AL127" s="777"/>
      <c r="AM127" s="777"/>
      <c r="AN127" s="439" t="s">
        <v>462</v>
      </c>
      <c r="AO127" s="229">
        <f t="shared" si="0"/>
        <v>0</v>
      </c>
      <c r="AP127" s="230"/>
      <c r="AQ127" s="220"/>
      <c r="AR127" s="834" t="s">
        <v>463</v>
      </c>
      <c r="AS127" s="835"/>
      <c r="AT127" s="835"/>
      <c r="AU127" s="835"/>
      <c r="AV127" s="835"/>
      <c r="AW127" s="323" t="s">
        <v>464</v>
      </c>
      <c r="AX127" s="229">
        <f t="shared" si="16"/>
        <v>0</v>
      </c>
      <c r="AY127" s="440"/>
      <c r="AZ127" s="220"/>
      <c r="BA127" s="223"/>
    </row>
    <row r="128" spans="1:58" ht="18.75" x14ac:dyDescent="0.25">
      <c r="A128" s="884" t="s">
        <v>465</v>
      </c>
      <c r="B128" s="885"/>
      <c r="C128" s="885"/>
      <c r="D128" s="885"/>
      <c r="E128" s="885"/>
      <c r="F128" s="885"/>
      <c r="G128" s="885"/>
      <c r="H128" s="885"/>
      <c r="I128" s="886"/>
      <c r="J128" s="257" t="s">
        <v>123</v>
      </c>
      <c r="K128" s="257" t="s">
        <v>124</v>
      </c>
      <c r="L128" s="257" t="s">
        <v>125</v>
      </c>
      <c r="M128" s="236"/>
      <c r="N128" s="884" t="s">
        <v>465</v>
      </c>
      <c r="O128" s="885"/>
      <c r="P128" s="885"/>
      <c r="Q128" s="885"/>
      <c r="R128" s="885"/>
      <c r="S128" s="885"/>
      <c r="T128" s="885"/>
      <c r="U128" s="885"/>
      <c r="V128" s="886"/>
      <c r="W128" s="258" t="s">
        <v>123</v>
      </c>
      <c r="X128" s="258" t="s">
        <v>124</v>
      </c>
      <c r="Y128" s="258" t="s">
        <v>125</v>
      </c>
      <c r="Z128" s="355"/>
      <c r="AA128" s="236"/>
      <c r="AC128" s="353" t="s">
        <v>466</v>
      </c>
      <c r="AD128" s="441" t="s">
        <v>467</v>
      </c>
      <c r="AE128" s="244">
        <f t="shared" si="9"/>
        <v>0</v>
      </c>
      <c r="AF128" s="245" t="str">
        <f t="shared" si="10"/>
        <v/>
      </c>
      <c r="AH128" s="220"/>
      <c r="AI128" s="776" t="s">
        <v>468</v>
      </c>
      <c r="AJ128" s="777"/>
      <c r="AK128" s="777"/>
      <c r="AL128" s="777"/>
      <c r="AM128" s="777"/>
      <c r="AN128" s="442" t="s">
        <v>468</v>
      </c>
      <c r="AO128" s="229">
        <f t="shared" si="0"/>
        <v>0</v>
      </c>
      <c r="AP128" s="230"/>
      <c r="AQ128" s="220"/>
      <c r="AR128" s="834" t="s">
        <v>469</v>
      </c>
      <c r="AS128" s="835"/>
      <c r="AT128" s="835"/>
      <c r="AU128" s="835"/>
      <c r="AV128" s="835"/>
      <c r="AW128" s="443" t="s">
        <v>470</v>
      </c>
      <c r="AX128" s="229">
        <f t="shared" si="16"/>
        <v>0</v>
      </c>
      <c r="AY128" s="440"/>
      <c r="AZ128" s="220"/>
      <c r="BA128" s="223"/>
    </row>
    <row r="129" spans="1:53" ht="19.5" thickBot="1" x14ac:dyDescent="0.3">
      <c r="A129" s="858" t="s">
        <v>471</v>
      </c>
      <c r="B129" s="859"/>
      <c r="C129" s="860"/>
      <c r="D129" s="262" t="s">
        <v>472</v>
      </c>
      <c r="E129" s="263" t="s">
        <v>142</v>
      </c>
      <c r="F129" s="444" t="s">
        <v>473</v>
      </c>
      <c r="G129" s="887">
        <f t="shared" ref="G129:G145" si="20">COUNTIF($E$13:$AX$49,F129)</f>
        <v>0</v>
      </c>
      <c r="H129" s="888"/>
      <c r="I129" s="889"/>
      <c r="J129" s="265">
        <v>0</v>
      </c>
      <c r="K129" s="266">
        <v>0</v>
      </c>
      <c r="L129" s="267">
        <f t="shared" ref="L129:L145" si="21">G129-K129-J129</f>
        <v>0</v>
      </c>
      <c r="M129" s="236"/>
      <c r="N129" s="858" t="s">
        <v>471</v>
      </c>
      <c r="O129" s="859"/>
      <c r="P129" s="860"/>
      <c r="Q129" s="262" t="s">
        <v>472</v>
      </c>
      <c r="R129" s="263" t="s">
        <v>142</v>
      </c>
      <c r="S129" s="444" t="s">
        <v>473</v>
      </c>
      <c r="T129" s="809">
        <f t="shared" ref="T129:T145" si="22">COUNTIF($E$3:$Y$12,S129)</f>
        <v>0</v>
      </c>
      <c r="U129" s="809"/>
      <c r="V129" s="809"/>
      <c r="W129" s="265">
        <v>0</v>
      </c>
      <c r="X129" s="266">
        <v>0</v>
      </c>
      <c r="Y129" s="267">
        <f t="shared" ref="Y129:Y145" si="23">T129-X129-W129</f>
        <v>0</v>
      </c>
      <c r="Z129" s="268">
        <f t="shared" si="6"/>
        <v>0</v>
      </c>
      <c r="AA129" s="236" t="b">
        <f>IFERROR(#REF!&gt;0.5,FALSE)</f>
        <v>0</v>
      </c>
      <c r="AC129" s="353" t="s">
        <v>474</v>
      </c>
      <c r="AD129" s="445" t="s">
        <v>475</v>
      </c>
      <c r="AE129" s="244">
        <f t="shared" si="9"/>
        <v>0</v>
      </c>
      <c r="AF129" s="245" t="str">
        <f t="shared" si="10"/>
        <v/>
      </c>
      <c r="AH129" s="220"/>
      <c r="AI129" s="776" t="s">
        <v>476</v>
      </c>
      <c r="AJ129" s="777"/>
      <c r="AK129" s="777"/>
      <c r="AL129" s="777"/>
      <c r="AM129" s="777"/>
      <c r="AN129" s="446" t="s">
        <v>477</v>
      </c>
      <c r="AO129" s="229">
        <f t="shared" si="0"/>
        <v>0</v>
      </c>
      <c r="AP129" s="230"/>
      <c r="AQ129" s="220"/>
      <c r="AR129" s="834" t="s">
        <v>478</v>
      </c>
      <c r="AS129" s="835"/>
      <c r="AT129" s="835"/>
      <c r="AU129" s="835"/>
      <c r="AV129" s="835"/>
      <c r="AW129" s="443" t="s">
        <v>479</v>
      </c>
      <c r="AX129" s="229">
        <f t="shared" si="16"/>
        <v>0</v>
      </c>
      <c r="AY129" s="440"/>
      <c r="AZ129" s="220"/>
      <c r="BA129" s="223"/>
    </row>
    <row r="130" spans="1:53" ht="18" x14ac:dyDescent="0.25">
      <c r="A130" s="858" t="s">
        <v>480</v>
      </c>
      <c r="B130" s="859"/>
      <c r="C130" s="860"/>
      <c r="D130" s="262"/>
      <c r="E130" s="263"/>
      <c r="F130" s="447" t="s">
        <v>481</v>
      </c>
      <c r="G130" s="807">
        <f t="shared" si="20"/>
        <v>0</v>
      </c>
      <c r="H130" s="807"/>
      <c r="I130" s="808"/>
      <c r="J130" s="265">
        <v>0</v>
      </c>
      <c r="K130" s="266">
        <v>0</v>
      </c>
      <c r="L130" s="267">
        <f t="shared" si="21"/>
        <v>0</v>
      </c>
      <c r="M130" s="236"/>
      <c r="N130" s="858" t="s">
        <v>480</v>
      </c>
      <c r="O130" s="859"/>
      <c r="P130" s="860"/>
      <c r="Q130" s="262"/>
      <c r="R130" s="263"/>
      <c r="S130" s="447" t="s">
        <v>481</v>
      </c>
      <c r="T130" s="808">
        <f t="shared" si="22"/>
        <v>0</v>
      </c>
      <c r="U130" s="809"/>
      <c r="V130" s="809"/>
      <c r="W130" s="265">
        <v>0</v>
      </c>
      <c r="X130" s="266">
        <v>0</v>
      </c>
      <c r="Y130" s="267">
        <f t="shared" si="23"/>
        <v>0</v>
      </c>
      <c r="Z130" s="268">
        <f t="shared" si="6"/>
        <v>0</v>
      </c>
      <c r="AA130" s="236"/>
      <c r="AC130" s="320" t="s">
        <v>482</v>
      </c>
      <c r="AD130" s="448" t="s">
        <v>483</v>
      </c>
      <c r="AE130" s="244">
        <f t="shared" si="9"/>
        <v>0</v>
      </c>
      <c r="AF130" s="245" t="str">
        <f t="shared" si="10"/>
        <v/>
      </c>
      <c r="AH130" s="220"/>
      <c r="AI130" s="776" t="s">
        <v>484</v>
      </c>
      <c r="AJ130" s="777"/>
      <c r="AK130" s="777"/>
      <c r="AL130" s="777"/>
      <c r="AM130" s="777"/>
      <c r="AN130" s="449" t="s">
        <v>485</v>
      </c>
      <c r="AO130" s="229">
        <f t="shared" si="0"/>
        <v>0</v>
      </c>
      <c r="AP130" s="230"/>
      <c r="AQ130" s="220"/>
      <c r="AR130" s="834" t="s">
        <v>486</v>
      </c>
      <c r="AS130" s="835"/>
      <c r="AT130" s="835"/>
      <c r="AU130" s="835"/>
      <c r="AV130" s="835"/>
      <c r="AW130" s="450" t="s">
        <v>487</v>
      </c>
      <c r="AX130" s="229">
        <f t="shared" si="16"/>
        <v>0</v>
      </c>
      <c r="AY130" s="440"/>
      <c r="AZ130" s="220"/>
      <c r="BA130" s="223"/>
    </row>
    <row r="131" spans="1:53" ht="19.5" thickBot="1" x14ac:dyDescent="0.3">
      <c r="A131" s="858" t="s">
        <v>488</v>
      </c>
      <c r="B131" s="859"/>
      <c r="C131" s="860"/>
      <c r="D131" s="262"/>
      <c r="E131" s="263"/>
      <c r="F131" s="451" t="s">
        <v>8</v>
      </c>
      <c r="G131" s="807">
        <f t="shared" si="20"/>
        <v>0</v>
      </c>
      <c r="H131" s="807"/>
      <c r="I131" s="808"/>
      <c r="J131" s="265">
        <v>0</v>
      </c>
      <c r="K131" s="266">
        <v>0</v>
      </c>
      <c r="L131" s="267">
        <f t="shared" si="21"/>
        <v>0</v>
      </c>
      <c r="M131" s="236"/>
      <c r="N131" s="858" t="s">
        <v>488</v>
      </c>
      <c r="O131" s="859"/>
      <c r="P131" s="860"/>
      <c r="Q131" s="262"/>
      <c r="R131" s="263"/>
      <c r="S131" s="451" t="s">
        <v>8</v>
      </c>
      <c r="T131" s="808">
        <f t="shared" si="22"/>
        <v>1</v>
      </c>
      <c r="U131" s="809"/>
      <c r="V131" s="809"/>
      <c r="W131" s="265">
        <v>0</v>
      </c>
      <c r="X131" s="266">
        <v>1</v>
      </c>
      <c r="Y131" s="267">
        <f t="shared" si="23"/>
        <v>0</v>
      </c>
      <c r="Z131" s="268">
        <f t="shared" si="6"/>
        <v>1</v>
      </c>
      <c r="AA131" s="236"/>
      <c r="AC131" s="353" t="s">
        <v>489</v>
      </c>
      <c r="AD131" s="452" t="s">
        <v>490</v>
      </c>
      <c r="AE131" s="244">
        <f t="shared" si="9"/>
        <v>0</v>
      </c>
      <c r="AF131" s="245" t="str">
        <f t="shared" si="10"/>
        <v/>
      </c>
      <c r="AH131" s="220"/>
      <c r="AI131" s="776" t="s">
        <v>491</v>
      </c>
      <c r="AJ131" s="777"/>
      <c r="AK131" s="777"/>
      <c r="AL131" s="777"/>
      <c r="AM131" s="777"/>
      <c r="AN131" s="453" t="s">
        <v>492</v>
      </c>
      <c r="AO131" s="229">
        <f t="shared" si="0"/>
        <v>0</v>
      </c>
      <c r="AP131" s="454"/>
      <c r="AQ131" s="220"/>
      <c r="AR131" s="834" t="s">
        <v>493</v>
      </c>
      <c r="AS131" s="835"/>
      <c r="AT131" s="835"/>
      <c r="AU131" s="835"/>
      <c r="AV131" s="835"/>
      <c r="AW131" s="443" t="s">
        <v>494</v>
      </c>
      <c r="AX131" s="229">
        <f t="shared" si="16"/>
        <v>0</v>
      </c>
      <c r="AY131" s="422"/>
      <c r="AZ131" s="220"/>
      <c r="BA131" s="223"/>
    </row>
    <row r="132" spans="1:53" ht="19.5" thickBot="1" x14ac:dyDescent="0.3">
      <c r="A132" s="858" t="s">
        <v>495</v>
      </c>
      <c r="B132" s="859"/>
      <c r="C132" s="860"/>
      <c r="D132" s="262" t="s">
        <v>8</v>
      </c>
      <c r="E132" s="263"/>
      <c r="F132" s="455" t="s">
        <v>496</v>
      </c>
      <c r="G132" s="807">
        <f t="shared" si="20"/>
        <v>0</v>
      </c>
      <c r="H132" s="807"/>
      <c r="I132" s="808"/>
      <c r="J132" s="265">
        <v>0</v>
      </c>
      <c r="K132" s="266">
        <v>0</v>
      </c>
      <c r="L132" s="267">
        <f t="shared" si="21"/>
        <v>0</v>
      </c>
      <c r="M132" s="236"/>
      <c r="N132" s="858" t="s">
        <v>495</v>
      </c>
      <c r="O132" s="859"/>
      <c r="P132" s="860"/>
      <c r="Q132" s="262" t="s">
        <v>8</v>
      </c>
      <c r="R132" s="263"/>
      <c r="S132" s="455" t="s">
        <v>496</v>
      </c>
      <c r="T132" s="808">
        <f t="shared" si="22"/>
        <v>0</v>
      </c>
      <c r="U132" s="809"/>
      <c r="V132" s="809"/>
      <c r="W132" s="265">
        <v>0</v>
      </c>
      <c r="X132" s="266">
        <v>0</v>
      </c>
      <c r="Y132" s="267">
        <f t="shared" si="23"/>
        <v>0</v>
      </c>
      <c r="Z132" s="268">
        <f t="shared" si="6"/>
        <v>0</v>
      </c>
      <c r="AA132" s="236"/>
      <c r="AC132" s="353" t="s">
        <v>497</v>
      </c>
      <c r="AD132" s="456" t="s">
        <v>498</v>
      </c>
      <c r="AE132" s="244">
        <f t="shared" si="9"/>
        <v>0</v>
      </c>
      <c r="AF132" s="245" t="str">
        <f t="shared" si="10"/>
        <v/>
      </c>
      <c r="AH132" s="220"/>
      <c r="AI132" s="776" t="s">
        <v>499</v>
      </c>
      <c r="AJ132" s="777"/>
      <c r="AK132" s="777"/>
      <c r="AL132" s="777"/>
      <c r="AM132" s="777"/>
      <c r="AN132" s="356" t="s">
        <v>500</v>
      </c>
      <c r="AO132" s="229">
        <f t="shared" si="0"/>
        <v>0</v>
      </c>
      <c r="AP132" s="230"/>
      <c r="AQ132" s="220"/>
      <c r="AR132" s="834" t="s">
        <v>501</v>
      </c>
      <c r="AS132" s="835"/>
      <c r="AT132" s="835"/>
      <c r="AU132" s="835"/>
      <c r="AV132" s="835"/>
      <c r="AW132" s="457" t="s">
        <v>502</v>
      </c>
      <c r="AX132" s="229">
        <f t="shared" si="16"/>
        <v>0</v>
      </c>
      <c r="AY132" s="422"/>
      <c r="AZ132" s="220"/>
      <c r="BA132" s="348"/>
    </row>
    <row r="133" spans="1:53" ht="19.5" thickBot="1" x14ac:dyDescent="0.3">
      <c r="A133" s="858" t="s">
        <v>503</v>
      </c>
      <c r="B133" s="859"/>
      <c r="C133" s="860"/>
      <c r="D133" s="262"/>
      <c r="E133" s="263"/>
      <c r="F133" s="458" t="s">
        <v>504</v>
      </c>
      <c r="G133" s="807">
        <f t="shared" si="20"/>
        <v>0</v>
      </c>
      <c r="H133" s="807"/>
      <c r="I133" s="808"/>
      <c r="J133" s="265">
        <v>0</v>
      </c>
      <c r="K133" s="266">
        <v>0</v>
      </c>
      <c r="L133" s="267">
        <f t="shared" si="21"/>
        <v>0</v>
      </c>
      <c r="M133" s="236"/>
      <c r="N133" s="858" t="s">
        <v>503</v>
      </c>
      <c r="O133" s="859"/>
      <c r="P133" s="860"/>
      <c r="Q133" s="262"/>
      <c r="R133" s="263"/>
      <c r="S133" s="458" t="s">
        <v>504</v>
      </c>
      <c r="T133" s="808">
        <f t="shared" si="22"/>
        <v>0</v>
      </c>
      <c r="U133" s="809"/>
      <c r="V133" s="809"/>
      <c r="W133" s="265">
        <v>0</v>
      </c>
      <c r="X133" s="266">
        <v>0</v>
      </c>
      <c r="Y133" s="267">
        <f t="shared" si="23"/>
        <v>0</v>
      </c>
      <c r="Z133" s="268">
        <f t="shared" si="6"/>
        <v>0</v>
      </c>
      <c r="AC133" s="353" t="s">
        <v>58</v>
      </c>
      <c r="AD133" s="152" t="s">
        <v>58</v>
      </c>
      <c r="AE133" s="244">
        <f t="shared" si="9"/>
        <v>2</v>
      </c>
      <c r="AF133" s="245" t="str">
        <f t="shared" si="10"/>
        <v/>
      </c>
      <c r="AH133" s="220"/>
      <c r="AI133" s="776" t="s">
        <v>505</v>
      </c>
      <c r="AJ133" s="777"/>
      <c r="AK133" s="777"/>
      <c r="AL133" s="777"/>
      <c r="AM133" s="777"/>
      <c r="AN133" s="446" t="s">
        <v>506</v>
      </c>
      <c r="AO133" s="229">
        <f t="shared" si="0"/>
        <v>0</v>
      </c>
      <c r="AP133" s="230"/>
      <c r="AQ133" s="220"/>
      <c r="AR133" s="834" t="s">
        <v>507</v>
      </c>
      <c r="AS133" s="835"/>
      <c r="AT133" s="835"/>
      <c r="AU133" s="835"/>
      <c r="AV133" s="835"/>
      <c r="AW133" s="459" t="s">
        <v>508</v>
      </c>
      <c r="AX133" s="229">
        <f t="shared" si="16"/>
        <v>0</v>
      </c>
      <c r="AY133" s="422"/>
      <c r="AZ133" s="220"/>
      <c r="BA133" s="348"/>
    </row>
    <row r="134" spans="1:53" ht="18.75" x14ac:dyDescent="0.25">
      <c r="A134" s="858" t="s">
        <v>509</v>
      </c>
      <c r="B134" s="859"/>
      <c r="C134" s="860"/>
      <c r="D134" s="262"/>
      <c r="E134" s="263"/>
      <c r="F134" s="460" t="s">
        <v>510</v>
      </c>
      <c r="G134" s="806">
        <f t="shared" si="20"/>
        <v>0</v>
      </c>
      <c r="H134" s="807"/>
      <c r="I134" s="808"/>
      <c r="J134" s="265">
        <v>0</v>
      </c>
      <c r="K134" s="266">
        <v>0</v>
      </c>
      <c r="L134" s="267">
        <f t="shared" si="21"/>
        <v>0</v>
      </c>
      <c r="M134" s="236"/>
      <c r="N134" s="858" t="s">
        <v>509</v>
      </c>
      <c r="O134" s="859"/>
      <c r="P134" s="860"/>
      <c r="Q134" s="262"/>
      <c r="R134" s="263"/>
      <c r="S134" s="460" t="s">
        <v>510</v>
      </c>
      <c r="T134" s="809">
        <f t="shared" si="22"/>
        <v>0</v>
      </c>
      <c r="U134" s="809"/>
      <c r="V134" s="809"/>
      <c r="W134" s="265">
        <v>0</v>
      </c>
      <c r="X134" s="266">
        <v>0</v>
      </c>
      <c r="Y134" s="267">
        <f t="shared" si="23"/>
        <v>0</v>
      </c>
      <c r="Z134" s="268">
        <f t="shared" si="6"/>
        <v>0</v>
      </c>
      <c r="AC134" s="353" t="s">
        <v>511</v>
      </c>
      <c r="AD134" s="461" t="s">
        <v>512</v>
      </c>
      <c r="AE134" s="244">
        <f t="shared" si="9"/>
        <v>0</v>
      </c>
      <c r="AF134" s="245" t="str">
        <f t="shared" si="10"/>
        <v/>
      </c>
      <c r="AH134" s="220"/>
      <c r="AI134" s="776" t="s">
        <v>513</v>
      </c>
      <c r="AJ134" s="777"/>
      <c r="AK134" s="777"/>
      <c r="AL134" s="777"/>
      <c r="AM134" s="777"/>
      <c r="AN134" s="462" t="s">
        <v>514</v>
      </c>
      <c r="AO134" s="229">
        <f t="shared" si="0"/>
        <v>0</v>
      </c>
      <c r="AP134" s="230"/>
      <c r="AQ134" s="220"/>
      <c r="AR134" s="834" t="s">
        <v>515</v>
      </c>
      <c r="AS134" s="835"/>
      <c r="AT134" s="835"/>
      <c r="AU134" s="835"/>
      <c r="AV134" s="835"/>
      <c r="AW134" s="463" t="s">
        <v>516</v>
      </c>
      <c r="AX134" s="229">
        <f t="shared" si="16"/>
        <v>0</v>
      </c>
      <c r="AY134" s="422"/>
      <c r="AZ134" s="220"/>
      <c r="BA134" s="348"/>
    </row>
    <row r="135" spans="1:53" ht="18.75" x14ac:dyDescent="0.25">
      <c r="A135" s="858" t="s">
        <v>517</v>
      </c>
      <c r="B135" s="859"/>
      <c r="C135" s="860"/>
      <c r="D135" s="262"/>
      <c r="E135" s="263" t="s">
        <v>142</v>
      </c>
      <c r="F135" s="292" t="s">
        <v>518</v>
      </c>
      <c r="G135" s="806">
        <f t="shared" si="20"/>
        <v>0</v>
      </c>
      <c r="H135" s="807"/>
      <c r="I135" s="808"/>
      <c r="J135" s="265">
        <v>0</v>
      </c>
      <c r="K135" s="266">
        <v>0</v>
      </c>
      <c r="L135" s="267">
        <f t="shared" si="21"/>
        <v>0</v>
      </c>
      <c r="M135" s="236"/>
      <c r="N135" s="858" t="s">
        <v>517</v>
      </c>
      <c r="O135" s="859"/>
      <c r="P135" s="860"/>
      <c r="Q135" s="262"/>
      <c r="R135" s="263" t="s">
        <v>142</v>
      </c>
      <c r="S135" s="292" t="s">
        <v>518</v>
      </c>
      <c r="T135" s="809">
        <f t="shared" si="22"/>
        <v>0</v>
      </c>
      <c r="U135" s="809"/>
      <c r="V135" s="809"/>
      <c r="W135" s="265">
        <v>0</v>
      </c>
      <c r="X135" s="266">
        <v>0</v>
      </c>
      <c r="Y135" s="267">
        <f t="shared" si="23"/>
        <v>0</v>
      </c>
      <c r="Z135" s="268">
        <f t="shared" si="6"/>
        <v>0</v>
      </c>
      <c r="AC135" s="353" t="s">
        <v>519</v>
      </c>
      <c r="AD135" s="464" t="s">
        <v>520</v>
      </c>
      <c r="AE135" s="244">
        <f t="shared" si="9"/>
        <v>0</v>
      </c>
      <c r="AF135" s="245" t="str">
        <f t="shared" si="10"/>
        <v/>
      </c>
      <c r="AH135" s="220"/>
      <c r="AI135" s="776" t="s">
        <v>521</v>
      </c>
      <c r="AJ135" s="777"/>
      <c r="AK135" s="777"/>
      <c r="AL135" s="777"/>
      <c r="AM135" s="777"/>
      <c r="AN135" s="378" t="s">
        <v>522</v>
      </c>
      <c r="AO135" s="229">
        <f t="shared" si="0"/>
        <v>0</v>
      </c>
      <c r="AP135" s="230"/>
      <c r="AQ135" s="220"/>
      <c r="AR135" s="834" t="s">
        <v>523</v>
      </c>
      <c r="AS135" s="835"/>
      <c r="AT135" s="835"/>
      <c r="AU135" s="835"/>
      <c r="AV135" s="835"/>
      <c r="AW135" s="465" t="s">
        <v>524</v>
      </c>
      <c r="AX135" s="229">
        <f t="shared" si="16"/>
        <v>0</v>
      </c>
      <c r="AY135" s="422"/>
      <c r="AZ135" s="220"/>
      <c r="BA135" s="348"/>
    </row>
    <row r="136" spans="1:53" ht="18.75" x14ac:dyDescent="0.25">
      <c r="A136" s="858" t="s">
        <v>525</v>
      </c>
      <c r="B136" s="859"/>
      <c r="C136" s="860"/>
      <c r="D136" s="262"/>
      <c r="E136" s="263"/>
      <c r="F136" s="466" t="s">
        <v>54</v>
      </c>
      <c r="G136" s="806">
        <f t="shared" si="20"/>
        <v>2</v>
      </c>
      <c r="H136" s="807"/>
      <c r="I136" s="808"/>
      <c r="J136" s="265">
        <v>0</v>
      </c>
      <c r="K136" s="266">
        <v>2</v>
      </c>
      <c r="L136" s="267">
        <f t="shared" si="21"/>
        <v>0</v>
      </c>
      <c r="M136" s="236"/>
      <c r="N136" s="858" t="s">
        <v>525</v>
      </c>
      <c r="O136" s="859"/>
      <c r="P136" s="860"/>
      <c r="Q136" s="262"/>
      <c r="R136" s="263"/>
      <c r="S136" s="466" t="s">
        <v>54</v>
      </c>
      <c r="T136" s="809">
        <f t="shared" si="22"/>
        <v>0</v>
      </c>
      <c r="U136" s="809"/>
      <c r="V136" s="809"/>
      <c r="W136" s="265">
        <v>0</v>
      </c>
      <c r="X136" s="266">
        <v>0</v>
      </c>
      <c r="Y136" s="267">
        <f t="shared" si="23"/>
        <v>0</v>
      </c>
      <c r="Z136" s="268">
        <f t="shared" si="6"/>
        <v>2</v>
      </c>
      <c r="AC136" s="353" t="s">
        <v>526</v>
      </c>
      <c r="AD136" s="467" t="s">
        <v>527</v>
      </c>
      <c r="AE136" s="244">
        <f t="shared" si="9"/>
        <v>0</v>
      </c>
      <c r="AF136" s="245" t="str">
        <f t="shared" si="10"/>
        <v/>
      </c>
      <c r="AH136" s="220"/>
      <c r="AI136" s="776" t="s">
        <v>528</v>
      </c>
      <c r="AJ136" s="777"/>
      <c r="AK136" s="777"/>
      <c r="AL136" s="777"/>
      <c r="AM136" s="777"/>
      <c r="AN136" s="468" t="s">
        <v>529</v>
      </c>
      <c r="AO136" s="229">
        <f t="shared" si="0"/>
        <v>0</v>
      </c>
      <c r="AP136" s="230"/>
      <c r="AQ136" s="220"/>
      <c r="AR136" s="834" t="s">
        <v>530</v>
      </c>
      <c r="AS136" s="835"/>
      <c r="AT136" s="835"/>
      <c r="AU136" s="835"/>
      <c r="AV136" s="835"/>
      <c r="AW136" s="469" t="s">
        <v>531</v>
      </c>
      <c r="AX136" s="229">
        <f t="shared" si="16"/>
        <v>0</v>
      </c>
      <c r="AY136" s="440"/>
      <c r="AZ136" s="220"/>
      <c r="BA136" s="223"/>
    </row>
    <row r="137" spans="1:53" ht="18" x14ac:dyDescent="0.25">
      <c r="A137" s="858" t="s">
        <v>532</v>
      </c>
      <c r="B137" s="859"/>
      <c r="C137" s="860"/>
      <c r="D137" s="262"/>
      <c r="E137" s="263"/>
      <c r="F137" s="470" t="s">
        <v>56</v>
      </c>
      <c r="G137" s="806">
        <f t="shared" si="20"/>
        <v>2</v>
      </c>
      <c r="H137" s="807"/>
      <c r="I137" s="808"/>
      <c r="J137" s="265">
        <v>0</v>
      </c>
      <c r="K137" s="266">
        <v>2</v>
      </c>
      <c r="L137" s="267">
        <f t="shared" si="21"/>
        <v>0</v>
      </c>
      <c r="M137" s="236"/>
      <c r="N137" s="858" t="s">
        <v>532</v>
      </c>
      <c r="O137" s="859"/>
      <c r="P137" s="860"/>
      <c r="Q137" s="262"/>
      <c r="R137" s="263"/>
      <c r="S137" s="470" t="s">
        <v>56</v>
      </c>
      <c r="T137" s="809">
        <f t="shared" si="22"/>
        <v>0</v>
      </c>
      <c r="U137" s="809"/>
      <c r="V137" s="809"/>
      <c r="W137" s="265">
        <v>0</v>
      </c>
      <c r="X137" s="266">
        <v>0</v>
      </c>
      <c r="Y137" s="267">
        <f t="shared" si="23"/>
        <v>0</v>
      </c>
      <c r="Z137" s="268">
        <f t="shared" si="6"/>
        <v>2</v>
      </c>
      <c r="AC137" s="353" t="s">
        <v>533</v>
      </c>
      <c r="AD137" s="467" t="s">
        <v>534</v>
      </c>
      <c r="AE137" s="244">
        <f t="shared" si="9"/>
        <v>0</v>
      </c>
      <c r="AF137" s="245" t="str">
        <f t="shared" si="10"/>
        <v/>
      </c>
      <c r="AH137" s="220"/>
      <c r="AI137" s="776" t="s">
        <v>535</v>
      </c>
      <c r="AJ137" s="777"/>
      <c r="AK137" s="777"/>
      <c r="AL137" s="777"/>
      <c r="AM137" s="777"/>
      <c r="AN137" s="471" t="s">
        <v>536</v>
      </c>
      <c r="AO137" s="229">
        <f t="shared" si="0"/>
        <v>0</v>
      </c>
      <c r="AP137" s="230"/>
      <c r="AQ137" s="220"/>
      <c r="AR137" s="834" t="s">
        <v>537</v>
      </c>
      <c r="AS137" s="835"/>
      <c r="AT137" s="835"/>
      <c r="AU137" s="835"/>
      <c r="AV137" s="835"/>
      <c r="AW137" s="472" t="s">
        <v>538</v>
      </c>
      <c r="AX137" s="229">
        <f t="shared" si="16"/>
        <v>0</v>
      </c>
      <c r="AY137" s="422"/>
      <c r="AZ137" s="220"/>
      <c r="BA137" s="223"/>
    </row>
    <row r="138" spans="1:53" ht="19.5" thickBot="1" x14ac:dyDescent="0.3">
      <c r="A138" s="858" t="s">
        <v>539</v>
      </c>
      <c r="B138" s="859"/>
      <c r="C138" s="860"/>
      <c r="D138" s="262"/>
      <c r="E138" s="263"/>
      <c r="F138" s="455" t="s">
        <v>9</v>
      </c>
      <c r="G138" s="806">
        <f t="shared" si="20"/>
        <v>0</v>
      </c>
      <c r="H138" s="807"/>
      <c r="I138" s="808"/>
      <c r="J138" s="265">
        <v>0</v>
      </c>
      <c r="K138" s="266">
        <v>0</v>
      </c>
      <c r="L138" s="267">
        <f t="shared" si="21"/>
        <v>0</v>
      </c>
      <c r="M138" s="236"/>
      <c r="N138" s="858" t="s">
        <v>539</v>
      </c>
      <c r="O138" s="859"/>
      <c r="P138" s="860"/>
      <c r="Q138" s="262"/>
      <c r="R138" s="263"/>
      <c r="S138" s="455" t="s">
        <v>9</v>
      </c>
      <c r="T138" s="809">
        <f t="shared" si="22"/>
        <v>1</v>
      </c>
      <c r="U138" s="809"/>
      <c r="V138" s="809"/>
      <c r="W138" s="265">
        <v>0</v>
      </c>
      <c r="X138" s="266">
        <v>1</v>
      </c>
      <c r="Y138" s="267">
        <f t="shared" si="23"/>
        <v>0</v>
      </c>
      <c r="Z138" s="268">
        <f t="shared" si="6"/>
        <v>1</v>
      </c>
      <c r="AC138" s="353" t="s">
        <v>540</v>
      </c>
      <c r="AD138" s="473" t="s">
        <v>541</v>
      </c>
      <c r="AE138" s="244">
        <f t="shared" si="9"/>
        <v>0</v>
      </c>
      <c r="AF138" s="245" t="str">
        <f t="shared" si="10"/>
        <v/>
      </c>
      <c r="AH138" s="220"/>
      <c r="AI138" s="776" t="s">
        <v>542</v>
      </c>
      <c r="AJ138" s="777"/>
      <c r="AK138" s="777"/>
      <c r="AL138" s="777"/>
      <c r="AM138" s="777"/>
      <c r="AN138" s="474" t="s">
        <v>543</v>
      </c>
      <c r="AO138" s="229">
        <f t="shared" si="0"/>
        <v>0</v>
      </c>
      <c r="AP138" s="230"/>
      <c r="AQ138" s="220"/>
      <c r="AR138" s="834" t="s">
        <v>544</v>
      </c>
      <c r="AS138" s="835"/>
      <c r="AT138" s="835"/>
      <c r="AU138" s="835"/>
      <c r="AV138" s="835"/>
      <c r="AW138" s="475" t="s">
        <v>545</v>
      </c>
      <c r="AX138" s="229">
        <f t="shared" si="16"/>
        <v>0</v>
      </c>
      <c r="AY138" s="422"/>
      <c r="AZ138" s="220"/>
      <c r="BA138" s="348"/>
    </row>
    <row r="139" spans="1:53" ht="18.75" thickBot="1" x14ac:dyDescent="0.3">
      <c r="A139" s="858" t="s">
        <v>546</v>
      </c>
      <c r="B139" s="859"/>
      <c r="C139" s="860"/>
      <c r="D139" s="262"/>
      <c r="E139" s="263"/>
      <c r="F139" s="476" t="s">
        <v>547</v>
      </c>
      <c r="G139" s="806">
        <f t="shared" si="20"/>
        <v>0</v>
      </c>
      <c r="H139" s="807"/>
      <c r="I139" s="808"/>
      <c r="J139" s="265">
        <v>0</v>
      </c>
      <c r="K139" s="266">
        <v>0</v>
      </c>
      <c r="L139" s="267">
        <f t="shared" si="21"/>
        <v>0</v>
      </c>
      <c r="M139" s="236"/>
      <c r="N139" s="858" t="s">
        <v>546</v>
      </c>
      <c r="O139" s="859"/>
      <c r="P139" s="860"/>
      <c r="Q139" s="262"/>
      <c r="R139" s="263"/>
      <c r="S139" s="476" t="s">
        <v>547</v>
      </c>
      <c r="T139" s="809">
        <f t="shared" si="22"/>
        <v>0</v>
      </c>
      <c r="U139" s="809"/>
      <c r="V139" s="809"/>
      <c r="W139" s="265">
        <v>0</v>
      </c>
      <c r="X139" s="266">
        <v>0</v>
      </c>
      <c r="Y139" s="267">
        <f t="shared" si="23"/>
        <v>0</v>
      </c>
      <c r="Z139" s="268">
        <f t="shared" si="6"/>
        <v>0</v>
      </c>
      <c r="AC139" s="353" t="s">
        <v>548</v>
      </c>
      <c r="AD139" s="477" t="s">
        <v>549</v>
      </c>
      <c r="AE139" s="244">
        <f t="shared" si="9"/>
        <v>0</v>
      </c>
      <c r="AF139" s="245" t="str">
        <f t="shared" si="10"/>
        <v/>
      </c>
      <c r="AH139" s="220"/>
      <c r="AI139" s="776" t="s">
        <v>550</v>
      </c>
      <c r="AJ139" s="777"/>
      <c r="AK139" s="777"/>
      <c r="AL139" s="777"/>
      <c r="AM139" s="777"/>
      <c r="AN139" s="478" t="s">
        <v>551</v>
      </c>
      <c r="AO139" s="229">
        <f t="shared" si="0"/>
        <v>0</v>
      </c>
      <c r="AP139" s="230"/>
      <c r="AQ139" s="220"/>
      <c r="AR139" s="834" t="s">
        <v>552</v>
      </c>
      <c r="AS139" s="835"/>
      <c r="AT139" s="835"/>
      <c r="AU139" s="835"/>
      <c r="AV139" s="835"/>
      <c r="AW139" s="475" t="s">
        <v>553</v>
      </c>
      <c r="AX139" s="229">
        <f t="shared" si="16"/>
        <v>0</v>
      </c>
      <c r="AY139" s="422"/>
      <c r="AZ139" s="220"/>
      <c r="BA139" s="348"/>
    </row>
    <row r="140" spans="1:53" ht="19.5" thickBot="1" x14ac:dyDescent="0.3">
      <c r="A140" s="858" t="s">
        <v>554</v>
      </c>
      <c r="B140" s="859"/>
      <c r="C140" s="860"/>
      <c r="D140" s="262" t="s">
        <v>555</v>
      </c>
      <c r="E140" s="263"/>
      <c r="F140" s="455" t="s">
        <v>556</v>
      </c>
      <c r="G140" s="806">
        <f t="shared" si="20"/>
        <v>0</v>
      </c>
      <c r="H140" s="807"/>
      <c r="I140" s="808"/>
      <c r="J140" s="265">
        <v>0</v>
      </c>
      <c r="K140" s="266">
        <v>0</v>
      </c>
      <c r="L140" s="267">
        <f t="shared" si="21"/>
        <v>0</v>
      </c>
      <c r="M140" s="236"/>
      <c r="N140" s="858" t="s">
        <v>554</v>
      </c>
      <c r="O140" s="859"/>
      <c r="P140" s="860"/>
      <c r="Q140" s="262" t="s">
        <v>555</v>
      </c>
      <c r="R140" s="263"/>
      <c r="S140" s="455" t="s">
        <v>556</v>
      </c>
      <c r="T140" s="809">
        <f t="shared" si="22"/>
        <v>0</v>
      </c>
      <c r="U140" s="809"/>
      <c r="V140" s="809"/>
      <c r="W140" s="265">
        <v>0</v>
      </c>
      <c r="X140" s="266">
        <v>0</v>
      </c>
      <c r="Y140" s="267">
        <f t="shared" si="23"/>
        <v>0</v>
      </c>
      <c r="Z140" s="268">
        <f t="shared" si="6"/>
        <v>0</v>
      </c>
      <c r="AC140" s="353" t="s">
        <v>557</v>
      </c>
      <c r="AD140" s="477" t="s">
        <v>558</v>
      </c>
      <c r="AE140" s="244">
        <f t="shared" si="9"/>
        <v>0</v>
      </c>
      <c r="AF140" s="245" t="str">
        <f t="shared" si="10"/>
        <v/>
      </c>
      <c r="AH140" s="220"/>
      <c r="AI140" s="776" t="s">
        <v>559</v>
      </c>
      <c r="AJ140" s="777"/>
      <c r="AK140" s="777"/>
      <c r="AL140" s="777"/>
      <c r="AM140" s="777"/>
      <c r="AN140" s="479" t="s">
        <v>560</v>
      </c>
      <c r="AO140" s="229">
        <f t="shared" si="0"/>
        <v>0</v>
      </c>
      <c r="AP140" s="230"/>
      <c r="AQ140" s="220"/>
      <c r="AR140" s="834" t="s">
        <v>561</v>
      </c>
      <c r="AS140" s="835"/>
      <c r="AT140" s="835"/>
      <c r="AU140" s="835"/>
      <c r="AV140" s="835"/>
      <c r="AW140" s="480" t="s">
        <v>562</v>
      </c>
      <c r="AX140" s="229">
        <f t="shared" si="16"/>
        <v>0</v>
      </c>
      <c r="AY140" s="422"/>
      <c r="AZ140" s="220"/>
      <c r="BA140" s="348"/>
    </row>
    <row r="141" spans="1:53" ht="19.5" thickBot="1" x14ac:dyDescent="0.3">
      <c r="A141" s="858" t="s">
        <v>563</v>
      </c>
      <c r="B141" s="859"/>
      <c r="C141" s="860"/>
      <c r="D141" s="262"/>
      <c r="E141" s="263" t="s">
        <v>142</v>
      </c>
      <c r="F141" s="481" t="s">
        <v>53</v>
      </c>
      <c r="G141" s="806">
        <f t="shared" si="20"/>
        <v>3</v>
      </c>
      <c r="H141" s="807"/>
      <c r="I141" s="808"/>
      <c r="J141" s="265">
        <v>0</v>
      </c>
      <c r="K141" s="266">
        <v>3</v>
      </c>
      <c r="L141" s="267">
        <f t="shared" si="21"/>
        <v>0</v>
      </c>
      <c r="M141" s="236"/>
      <c r="N141" s="858" t="s">
        <v>563</v>
      </c>
      <c r="O141" s="859"/>
      <c r="P141" s="860"/>
      <c r="Q141" s="262"/>
      <c r="R141" s="263" t="s">
        <v>142</v>
      </c>
      <c r="S141" s="481" t="s">
        <v>53</v>
      </c>
      <c r="T141" s="809">
        <f t="shared" si="22"/>
        <v>0</v>
      </c>
      <c r="U141" s="809"/>
      <c r="V141" s="809"/>
      <c r="W141" s="265">
        <v>0</v>
      </c>
      <c r="X141" s="266">
        <v>0</v>
      </c>
      <c r="Y141" s="267">
        <f t="shared" si="23"/>
        <v>0</v>
      </c>
      <c r="Z141" s="268">
        <f t="shared" si="6"/>
        <v>3</v>
      </c>
      <c r="AC141" s="353" t="s">
        <v>564</v>
      </c>
      <c r="AD141" s="482" t="s">
        <v>565</v>
      </c>
      <c r="AE141" s="244">
        <f t="shared" si="9"/>
        <v>0</v>
      </c>
      <c r="AF141" s="245" t="str">
        <f t="shared" si="10"/>
        <v/>
      </c>
      <c r="AH141" s="220"/>
      <c r="AI141" s="776" t="s">
        <v>566</v>
      </c>
      <c r="AJ141" s="777"/>
      <c r="AK141" s="777"/>
      <c r="AL141" s="777"/>
      <c r="AM141" s="782"/>
      <c r="AN141" s="414" t="s">
        <v>567</v>
      </c>
      <c r="AO141" s="229">
        <f t="shared" ref="AO141:AO152" si="24">COUNTIF($A$1:$GO$54,AN141)</f>
        <v>0</v>
      </c>
      <c r="AP141" s="230"/>
      <c r="AQ141" s="220"/>
      <c r="AR141" s="834" t="s">
        <v>568</v>
      </c>
      <c r="AS141" s="835"/>
      <c r="AT141" s="835"/>
      <c r="AU141" s="835"/>
      <c r="AV141" s="835"/>
      <c r="AW141" s="483" t="s">
        <v>569</v>
      </c>
      <c r="AX141" s="229">
        <f t="shared" si="16"/>
        <v>0</v>
      </c>
      <c r="AY141" s="422"/>
      <c r="AZ141" s="220"/>
      <c r="BA141" s="348"/>
    </row>
    <row r="142" spans="1:53" ht="18.75" x14ac:dyDescent="0.25">
      <c r="A142" s="858" t="s">
        <v>570</v>
      </c>
      <c r="B142" s="859"/>
      <c r="C142" s="860"/>
      <c r="D142" s="262"/>
      <c r="E142" s="263"/>
      <c r="F142" s="484" t="s">
        <v>555</v>
      </c>
      <c r="G142" s="806">
        <f t="shared" si="20"/>
        <v>0</v>
      </c>
      <c r="H142" s="807"/>
      <c r="I142" s="808"/>
      <c r="J142" s="265">
        <v>0</v>
      </c>
      <c r="K142" s="266">
        <v>0</v>
      </c>
      <c r="L142" s="267">
        <f t="shared" si="21"/>
        <v>0</v>
      </c>
      <c r="M142" s="236"/>
      <c r="N142" s="858" t="s">
        <v>570</v>
      </c>
      <c r="O142" s="859"/>
      <c r="P142" s="860"/>
      <c r="Q142" s="262"/>
      <c r="R142" s="263"/>
      <c r="S142" s="484" t="s">
        <v>555</v>
      </c>
      <c r="T142" s="809">
        <f t="shared" si="22"/>
        <v>0</v>
      </c>
      <c r="U142" s="809"/>
      <c r="V142" s="809"/>
      <c r="W142" s="265">
        <v>0</v>
      </c>
      <c r="X142" s="266">
        <v>0</v>
      </c>
      <c r="Y142" s="267">
        <f t="shared" si="23"/>
        <v>0</v>
      </c>
      <c r="Z142" s="268">
        <f t="shared" si="6"/>
        <v>0</v>
      </c>
      <c r="AC142" s="353" t="s">
        <v>571</v>
      </c>
      <c r="AD142" s="485" t="s">
        <v>572</v>
      </c>
      <c r="AE142" s="244">
        <f t="shared" si="9"/>
        <v>0</v>
      </c>
      <c r="AF142" s="245" t="str">
        <f t="shared" si="10"/>
        <v/>
      </c>
      <c r="AH142" s="220"/>
      <c r="AI142" s="776" t="s">
        <v>573</v>
      </c>
      <c r="AJ142" s="777"/>
      <c r="AK142" s="777"/>
      <c r="AL142" s="777"/>
      <c r="AM142" s="777"/>
      <c r="AN142" s="29" t="s">
        <v>574</v>
      </c>
      <c r="AO142" s="229">
        <f t="shared" si="24"/>
        <v>0</v>
      </c>
      <c r="AP142" s="230"/>
      <c r="AQ142" s="220"/>
      <c r="AR142" s="834" t="s">
        <v>575</v>
      </c>
      <c r="AS142" s="835"/>
      <c r="AT142" s="835"/>
      <c r="AU142" s="835"/>
      <c r="AV142" s="835"/>
      <c r="AW142" s="483" t="s">
        <v>576</v>
      </c>
      <c r="AX142" s="229">
        <f t="shared" si="16"/>
        <v>0</v>
      </c>
      <c r="AY142" s="422"/>
      <c r="AZ142" s="220"/>
      <c r="BA142" s="348"/>
    </row>
    <row r="143" spans="1:53" ht="18" x14ac:dyDescent="0.25">
      <c r="A143" s="858" t="s">
        <v>577</v>
      </c>
      <c r="B143" s="859"/>
      <c r="C143" s="860"/>
      <c r="D143" s="262"/>
      <c r="E143" s="263"/>
      <c r="F143" s="486" t="s">
        <v>578</v>
      </c>
      <c r="G143" s="806">
        <f t="shared" si="20"/>
        <v>0</v>
      </c>
      <c r="H143" s="807"/>
      <c r="I143" s="808"/>
      <c r="J143" s="265">
        <v>0</v>
      </c>
      <c r="K143" s="266">
        <v>0</v>
      </c>
      <c r="L143" s="267">
        <f t="shared" si="21"/>
        <v>0</v>
      </c>
      <c r="M143" s="236"/>
      <c r="N143" s="858" t="s">
        <v>577</v>
      </c>
      <c r="O143" s="859"/>
      <c r="P143" s="860"/>
      <c r="Q143" s="262"/>
      <c r="R143" s="263"/>
      <c r="S143" s="486" t="s">
        <v>578</v>
      </c>
      <c r="T143" s="809">
        <f t="shared" si="22"/>
        <v>0</v>
      </c>
      <c r="U143" s="809"/>
      <c r="V143" s="809"/>
      <c r="W143" s="265">
        <v>0</v>
      </c>
      <c r="X143" s="266">
        <v>0</v>
      </c>
      <c r="Y143" s="267">
        <f t="shared" si="23"/>
        <v>0</v>
      </c>
      <c r="Z143" s="268">
        <f t="shared" si="6"/>
        <v>0</v>
      </c>
      <c r="AC143" s="353" t="s">
        <v>579</v>
      </c>
      <c r="AD143" s="487" t="s">
        <v>580</v>
      </c>
      <c r="AE143" s="244">
        <f t="shared" si="9"/>
        <v>0</v>
      </c>
      <c r="AF143" s="245" t="str">
        <f t="shared" si="10"/>
        <v/>
      </c>
      <c r="AH143" s="220"/>
      <c r="AI143" s="776" t="s">
        <v>581</v>
      </c>
      <c r="AJ143" s="777"/>
      <c r="AK143" s="777"/>
      <c r="AL143" s="777"/>
      <c r="AM143" s="777"/>
      <c r="AN143" s="488" t="s">
        <v>582</v>
      </c>
      <c r="AO143" s="229">
        <f t="shared" si="24"/>
        <v>0</v>
      </c>
      <c r="AP143" s="230"/>
      <c r="AQ143" s="220"/>
      <c r="AR143" s="834" t="s">
        <v>583</v>
      </c>
      <c r="AS143" s="835"/>
      <c r="AT143" s="835"/>
      <c r="AU143" s="835"/>
      <c r="AV143" s="835"/>
      <c r="AW143" s="489" t="s">
        <v>584</v>
      </c>
      <c r="AX143" s="229">
        <f t="shared" si="16"/>
        <v>0</v>
      </c>
      <c r="AY143" s="422"/>
      <c r="AZ143" s="220"/>
      <c r="BA143" s="348"/>
    </row>
    <row r="144" spans="1:53" ht="18" x14ac:dyDescent="0.25">
      <c r="A144" s="858" t="s">
        <v>585</v>
      </c>
      <c r="B144" s="859"/>
      <c r="C144" s="860"/>
      <c r="D144" s="262"/>
      <c r="E144" s="263"/>
      <c r="F144" s="490" t="s">
        <v>586</v>
      </c>
      <c r="G144" s="806">
        <f t="shared" si="20"/>
        <v>0</v>
      </c>
      <c r="H144" s="807"/>
      <c r="I144" s="808"/>
      <c r="J144" s="265">
        <v>0</v>
      </c>
      <c r="K144" s="266">
        <v>0</v>
      </c>
      <c r="L144" s="267">
        <f t="shared" si="21"/>
        <v>0</v>
      </c>
      <c r="M144" s="236"/>
      <c r="N144" s="858" t="s">
        <v>585</v>
      </c>
      <c r="O144" s="859"/>
      <c r="P144" s="860"/>
      <c r="Q144" s="262"/>
      <c r="R144" s="263"/>
      <c r="S144" s="490" t="s">
        <v>586</v>
      </c>
      <c r="T144" s="809">
        <f t="shared" si="22"/>
        <v>0</v>
      </c>
      <c r="U144" s="809"/>
      <c r="V144" s="809"/>
      <c r="W144" s="265">
        <v>0</v>
      </c>
      <c r="X144" s="266">
        <v>0</v>
      </c>
      <c r="Y144" s="267">
        <f t="shared" si="23"/>
        <v>0</v>
      </c>
      <c r="Z144" s="268">
        <f t="shared" si="6"/>
        <v>0</v>
      </c>
      <c r="AC144" s="353" t="s">
        <v>15</v>
      </c>
      <c r="AD144" s="491" t="s">
        <v>15</v>
      </c>
      <c r="AE144" s="244">
        <f t="shared" si="9"/>
        <v>7</v>
      </c>
      <c r="AF144" s="245" t="str">
        <f t="shared" si="10"/>
        <v/>
      </c>
      <c r="AH144" s="220"/>
      <c r="AI144" s="776" t="s">
        <v>587</v>
      </c>
      <c r="AJ144" s="777"/>
      <c r="AK144" s="777"/>
      <c r="AL144" s="777"/>
      <c r="AM144" s="777"/>
      <c r="AN144" s="492" t="s">
        <v>588</v>
      </c>
      <c r="AO144" s="229">
        <f t="shared" si="24"/>
        <v>0</v>
      </c>
      <c r="AP144" s="230"/>
      <c r="AQ144" s="220"/>
      <c r="AR144" s="834" t="s">
        <v>589</v>
      </c>
      <c r="AS144" s="835"/>
      <c r="AT144" s="835"/>
      <c r="AU144" s="835"/>
      <c r="AV144" s="835"/>
      <c r="AW144" s="427" t="s">
        <v>590</v>
      </c>
      <c r="AX144" s="229">
        <f t="shared" si="16"/>
        <v>0</v>
      </c>
      <c r="AY144" s="422"/>
      <c r="AZ144" s="220"/>
      <c r="BA144" s="348"/>
    </row>
    <row r="145" spans="1:53" ht="19.5" thickBot="1" x14ac:dyDescent="0.3">
      <c r="A145" s="858" t="s">
        <v>591</v>
      </c>
      <c r="B145" s="859"/>
      <c r="C145" s="860"/>
      <c r="D145" s="262" t="s">
        <v>586</v>
      </c>
      <c r="E145" s="263" t="s">
        <v>142</v>
      </c>
      <c r="F145" s="493" t="s">
        <v>592</v>
      </c>
      <c r="G145" s="806">
        <f t="shared" si="20"/>
        <v>0</v>
      </c>
      <c r="H145" s="807"/>
      <c r="I145" s="808"/>
      <c r="J145" s="265">
        <v>0</v>
      </c>
      <c r="K145" s="266">
        <v>0</v>
      </c>
      <c r="L145" s="267">
        <f t="shared" si="21"/>
        <v>0</v>
      </c>
      <c r="M145" s="236"/>
      <c r="N145" s="858" t="s">
        <v>591</v>
      </c>
      <c r="O145" s="859"/>
      <c r="P145" s="860"/>
      <c r="Q145" s="262" t="s">
        <v>586</v>
      </c>
      <c r="R145" s="263" t="s">
        <v>142</v>
      </c>
      <c r="S145" s="493" t="s">
        <v>592</v>
      </c>
      <c r="T145" s="809">
        <f t="shared" si="22"/>
        <v>0</v>
      </c>
      <c r="U145" s="809"/>
      <c r="V145" s="809"/>
      <c r="W145" s="265">
        <v>0</v>
      </c>
      <c r="X145" s="266">
        <v>0</v>
      </c>
      <c r="Y145" s="267">
        <f t="shared" si="23"/>
        <v>0</v>
      </c>
      <c r="Z145" s="268">
        <f t="shared" si="6"/>
        <v>0</v>
      </c>
      <c r="AC145" s="353" t="s">
        <v>593</v>
      </c>
      <c r="AD145" s="494" t="s">
        <v>594</v>
      </c>
      <c r="AE145" s="244">
        <f t="shared" si="9"/>
        <v>0</v>
      </c>
      <c r="AF145" s="245" t="str">
        <f t="shared" si="10"/>
        <v/>
      </c>
      <c r="AH145" s="220"/>
      <c r="AI145" s="776" t="s">
        <v>595</v>
      </c>
      <c r="AJ145" s="777"/>
      <c r="AK145" s="777"/>
      <c r="AL145" s="777"/>
      <c r="AM145" s="777"/>
      <c r="AN145" s="29" t="s">
        <v>596</v>
      </c>
      <c r="AO145" s="229">
        <f t="shared" si="24"/>
        <v>0</v>
      </c>
      <c r="AP145" s="230"/>
      <c r="AQ145" s="220"/>
      <c r="AR145" s="834" t="s">
        <v>597</v>
      </c>
      <c r="AS145" s="835"/>
      <c r="AT145" s="835"/>
      <c r="AU145" s="835"/>
      <c r="AV145" s="835"/>
      <c r="AW145" s="247" t="s">
        <v>598</v>
      </c>
      <c r="AX145" s="229">
        <f t="shared" si="16"/>
        <v>0</v>
      </c>
      <c r="AY145" s="422"/>
      <c r="AZ145" s="220"/>
      <c r="BA145" s="348"/>
    </row>
    <row r="146" spans="1:53" ht="18.75" x14ac:dyDescent="0.25">
      <c r="A146" s="852" t="s">
        <v>70</v>
      </c>
      <c r="B146" s="853"/>
      <c r="C146" s="853"/>
      <c r="D146" s="853"/>
      <c r="E146" s="853"/>
      <c r="F146" s="428"/>
      <c r="G146" s="880">
        <f>SUM(G129:I145)</f>
        <v>7</v>
      </c>
      <c r="H146" s="880"/>
      <c r="I146" s="880"/>
      <c r="J146" s="350">
        <f>SUM(J129:J145)</f>
        <v>0</v>
      </c>
      <c r="K146" s="351">
        <f>SUM(K129:K145)</f>
        <v>7</v>
      </c>
      <c r="L146" s="267">
        <f>SUM(L129:L145)</f>
        <v>0</v>
      </c>
      <c r="M146" s="236"/>
      <c r="N146" s="881" t="s">
        <v>70</v>
      </c>
      <c r="O146" s="882"/>
      <c r="P146" s="882"/>
      <c r="Q146" s="882"/>
      <c r="R146" s="882"/>
      <c r="S146" s="429"/>
      <c r="T146" s="883">
        <f>SUM(T129:V145)</f>
        <v>2</v>
      </c>
      <c r="U146" s="883"/>
      <c r="V146" s="883"/>
      <c r="W146" s="350">
        <f>SUM(W129:W145)</f>
        <v>0</v>
      </c>
      <c r="X146" s="351">
        <f>SUM(X129:X145)</f>
        <v>2</v>
      </c>
      <c r="Y146" s="267">
        <f>SUM(Y129:Y145)</f>
        <v>0</v>
      </c>
      <c r="Z146" s="268">
        <f t="shared" si="6"/>
        <v>9</v>
      </c>
      <c r="AC146" s="353" t="s">
        <v>599</v>
      </c>
      <c r="AD146" s="495" t="s">
        <v>600</v>
      </c>
      <c r="AE146" s="244">
        <f t="shared" si="9"/>
        <v>0</v>
      </c>
      <c r="AF146" s="245" t="str">
        <f t="shared" si="10"/>
        <v/>
      </c>
      <c r="AH146" s="220"/>
      <c r="AI146" s="776" t="s">
        <v>601</v>
      </c>
      <c r="AJ146" s="777"/>
      <c r="AK146" s="777"/>
      <c r="AL146" s="777"/>
      <c r="AM146" s="777"/>
      <c r="AN146" s="60" t="s">
        <v>19</v>
      </c>
      <c r="AO146" s="229">
        <f t="shared" si="24"/>
        <v>2</v>
      </c>
      <c r="AP146" s="230"/>
      <c r="AQ146" s="220"/>
      <c r="AR146" s="834" t="s">
        <v>602</v>
      </c>
      <c r="AS146" s="835"/>
      <c r="AT146" s="835"/>
      <c r="AU146" s="835"/>
      <c r="AV146" s="835"/>
      <c r="AW146" s="247" t="s">
        <v>603</v>
      </c>
      <c r="AX146" s="229">
        <f t="shared" si="16"/>
        <v>0</v>
      </c>
      <c r="AY146" s="422"/>
      <c r="AZ146" s="220"/>
      <c r="BA146" s="348"/>
    </row>
    <row r="147" spans="1:53" ht="18" x14ac:dyDescent="0.25">
      <c r="A147" s="496"/>
      <c r="B147" s="496"/>
      <c r="C147" s="496"/>
      <c r="D147" s="496"/>
      <c r="E147" s="496"/>
      <c r="F147" s="497"/>
      <c r="J147" s="498"/>
      <c r="K147" s="498"/>
      <c r="M147" s="179"/>
      <c r="N147" s="496"/>
      <c r="O147" s="496"/>
      <c r="P147" s="496"/>
      <c r="Q147" s="496"/>
      <c r="R147" s="496"/>
      <c r="S147" s="497"/>
      <c r="W147" s="498"/>
      <c r="X147" s="498"/>
      <c r="AC147" s="320" t="s">
        <v>604</v>
      </c>
      <c r="AD147" s="339" t="s">
        <v>605</v>
      </c>
      <c r="AE147" s="244">
        <f t="shared" si="9"/>
        <v>0</v>
      </c>
      <c r="AF147" s="245" t="str">
        <f t="shared" si="10"/>
        <v/>
      </c>
      <c r="AH147" s="220"/>
      <c r="AI147" s="776" t="s">
        <v>606</v>
      </c>
      <c r="AJ147" s="777"/>
      <c r="AK147" s="777"/>
      <c r="AL147" s="777"/>
      <c r="AM147" s="777"/>
      <c r="AN147" s="29" t="s">
        <v>13</v>
      </c>
      <c r="AO147" s="229">
        <f t="shared" si="24"/>
        <v>5</v>
      </c>
      <c r="AP147" s="230"/>
      <c r="AQ147" s="220"/>
      <c r="AR147" s="834" t="s">
        <v>607</v>
      </c>
      <c r="AS147" s="835"/>
      <c r="AT147" s="835"/>
      <c r="AU147" s="835"/>
      <c r="AV147" s="835"/>
      <c r="AW147" s="315" t="s">
        <v>608</v>
      </c>
      <c r="AX147" s="229">
        <f t="shared" si="16"/>
        <v>0</v>
      </c>
      <c r="AY147" s="422"/>
      <c r="AZ147" s="220"/>
      <c r="BA147" s="348"/>
    </row>
    <row r="148" spans="1:53" ht="18" x14ac:dyDescent="0.25">
      <c r="A148" s="496"/>
      <c r="B148" s="496"/>
      <c r="C148" s="496"/>
      <c r="D148" s="496"/>
      <c r="E148" s="496"/>
      <c r="F148" s="497"/>
      <c r="J148" s="498"/>
      <c r="K148" s="498"/>
      <c r="M148" s="179"/>
      <c r="N148" s="496"/>
      <c r="O148" s="496"/>
      <c r="P148" s="496"/>
      <c r="Q148" s="496"/>
      <c r="R148" s="496"/>
      <c r="S148" s="497"/>
      <c r="W148" s="498"/>
      <c r="X148" s="498"/>
      <c r="AC148" s="353" t="s">
        <v>609</v>
      </c>
      <c r="AD148" s="339" t="s">
        <v>610</v>
      </c>
      <c r="AE148" s="244">
        <f t="shared" si="9"/>
        <v>0</v>
      </c>
      <c r="AF148" s="245" t="str">
        <f t="shared" si="10"/>
        <v/>
      </c>
      <c r="AH148" s="220"/>
      <c r="AI148" s="776" t="s">
        <v>611</v>
      </c>
      <c r="AJ148" s="777"/>
      <c r="AK148" s="777"/>
      <c r="AL148" s="777"/>
      <c r="AM148" s="777"/>
      <c r="AN148" s="488" t="s">
        <v>612</v>
      </c>
      <c r="AO148" s="229">
        <f t="shared" si="24"/>
        <v>0</v>
      </c>
      <c r="AP148" s="230"/>
      <c r="AQ148" s="220"/>
      <c r="AR148" s="834" t="s">
        <v>613</v>
      </c>
      <c r="AS148" s="835"/>
      <c r="AT148" s="835"/>
      <c r="AU148" s="835"/>
      <c r="AV148" s="835"/>
      <c r="AW148" s="499" t="s">
        <v>614</v>
      </c>
      <c r="AX148" s="229">
        <f t="shared" si="16"/>
        <v>0</v>
      </c>
      <c r="AY148" s="422"/>
      <c r="AZ148" s="220"/>
      <c r="BA148" s="348"/>
    </row>
    <row r="149" spans="1:53" ht="18.75" x14ac:dyDescent="0.25">
      <c r="A149" s="877" t="s">
        <v>615</v>
      </c>
      <c r="B149" s="878"/>
      <c r="C149" s="878"/>
      <c r="D149" s="878"/>
      <c r="E149" s="879"/>
      <c r="F149" s="500"/>
      <c r="G149" s="866"/>
      <c r="H149" s="866"/>
      <c r="I149" s="867"/>
      <c r="J149" s="501" t="s">
        <v>123</v>
      </c>
      <c r="K149" s="502" t="s">
        <v>124</v>
      </c>
      <c r="L149" s="501" t="s">
        <v>125</v>
      </c>
      <c r="M149" s="179"/>
      <c r="N149" s="877" t="s">
        <v>615</v>
      </c>
      <c r="O149" s="878"/>
      <c r="P149" s="878"/>
      <c r="Q149" s="878"/>
      <c r="R149" s="879"/>
      <c r="S149" s="500"/>
      <c r="T149" s="866"/>
      <c r="U149" s="866"/>
      <c r="V149" s="867"/>
      <c r="W149" s="501" t="s">
        <v>123</v>
      </c>
      <c r="X149" s="502" t="s">
        <v>124</v>
      </c>
      <c r="Y149" s="501" t="s">
        <v>125</v>
      </c>
      <c r="AC149" s="353" t="s">
        <v>616</v>
      </c>
      <c r="AD149" s="339" t="s">
        <v>617</v>
      </c>
      <c r="AE149" s="244">
        <f t="shared" si="9"/>
        <v>0</v>
      </c>
      <c r="AF149" s="245" t="str">
        <f t="shared" si="10"/>
        <v/>
      </c>
      <c r="AH149" s="220"/>
      <c r="AI149" s="776" t="s">
        <v>618</v>
      </c>
      <c r="AJ149" s="777"/>
      <c r="AK149" s="777"/>
      <c r="AL149" s="777"/>
      <c r="AM149" s="777"/>
      <c r="AN149" s="492" t="s">
        <v>619</v>
      </c>
      <c r="AO149" s="229">
        <f t="shared" si="24"/>
        <v>0</v>
      </c>
      <c r="AP149" s="230"/>
      <c r="AQ149" s="220"/>
      <c r="AR149" s="834" t="s">
        <v>620</v>
      </c>
      <c r="AS149" s="835"/>
      <c r="AT149" s="835"/>
      <c r="AU149" s="835"/>
      <c r="AV149" s="835"/>
      <c r="AW149" s="499" t="s">
        <v>621</v>
      </c>
      <c r="AX149" s="229">
        <f t="shared" si="16"/>
        <v>0</v>
      </c>
      <c r="AY149" s="440"/>
      <c r="AZ149" s="220"/>
      <c r="BA149" s="348"/>
    </row>
    <row r="150" spans="1:53" ht="18" x14ac:dyDescent="0.25">
      <c r="A150" s="858" t="s">
        <v>622</v>
      </c>
      <c r="B150" s="859"/>
      <c r="C150" s="860"/>
      <c r="D150" s="861"/>
      <c r="E150" s="862"/>
      <c r="F150" s="503" t="s">
        <v>35</v>
      </c>
      <c r="G150" s="806">
        <f>COUNTIF($E$13:$AX$49,F150)</f>
        <v>2</v>
      </c>
      <c r="H150" s="807"/>
      <c r="I150" s="808"/>
      <c r="J150" s="265">
        <v>2</v>
      </c>
      <c r="K150" s="266">
        <v>0</v>
      </c>
      <c r="L150" s="267">
        <f t="shared" ref="L150:L153" si="25">G150-K150-J150</f>
        <v>0</v>
      </c>
      <c r="M150" s="179"/>
      <c r="N150" s="858" t="s">
        <v>622</v>
      </c>
      <c r="O150" s="859"/>
      <c r="P150" s="860"/>
      <c r="Q150" s="861"/>
      <c r="R150" s="862"/>
      <c r="S150" s="503" t="s">
        <v>35</v>
      </c>
      <c r="T150" s="809">
        <f>COUNTIF($E$3:$Y$12,S150)</f>
        <v>0</v>
      </c>
      <c r="U150" s="809"/>
      <c r="V150" s="809"/>
      <c r="W150" s="265">
        <v>0</v>
      </c>
      <c r="X150" s="266">
        <v>0</v>
      </c>
      <c r="Y150" s="267">
        <f t="shared" ref="Y150:Y153" si="26">T150-X150-W150</f>
        <v>0</v>
      </c>
      <c r="Z150" s="268">
        <f t="shared" ref="Z150:Z154" si="27">T150+G150</f>
        <v>2</v>
      </c>
      <c r="AC150" s="353" t="s">
        <v>623</v>
      </c>
      <c r="AD150" s="504" t="s">
        <v>624</v>
      </c>
      <c r="AE150" s="244">
        <f t="shared" si="9"/>
        <v>0</v>
      </c>
      <c r="AF150" s="245" t="str">
        <f t="shared" si="10"/>
        <v/>
      </c>
      <c r="AH150" s="220"/>
      <c r="AI150" s="776" t="s">
        <v>625</v>
      </c>
      <c r="AJ150" s="777"/>
      <c r="AK150" s="777"/>
      <c r="AL150" s="777"/>
      <c r="AM150" s="777"/>
      <c r="AN150" s="505" t="s">
        <v>626</v>
      </c>
      <c r="AO150" s="229">
        <f t="shared" si="24"/>
        <v>0</v>
      </c>
      <c r="AP150" s="230"/>
      <c r="AQ150" s="220"/>
      <c r="AR150" s="834" t="s">
        <v>627</v>
      </c>
      <c r="AS150" s="835"/>
      <c r="AT150" s="835"/>
      <c r="AU150" s="835"/>
      <c r="AV150" s="835"/>
      <c r="AW150" s="499" t="s">
        <v>628</v>
      </c>
      <c r="AX150" s="229">
        <f t="shared" si="16"/>
        <v>0</v>
      </c>
      <c r="AY150" s="440"/>
      <c r="AZ150" s="220"/>
      <c r="BA150" s="223"/>
    </row>
    <row r="151" spans="1:53" ht="18.75" x14ac:dyDescent="0.25">
      <c r="A151" s="858" t="s">
        <v>629</v>
      </c>
      <c r="B151" s="859"/>
      <c r="C151" s="860"/>
      <c r="D151" s="861"/>
      <c r="E151" s="862"/>
      <c r="F151" s="79" t="s">
        <v>30</v>
      </c>
      <c r="G151" s="806">
        <f>COUNTIF($E$13:$AX$49,F151)</f>
        <v>2</v>
      </c>
      <c r="H151" s="807"/>
      <c r="I151" s="808"/>
      <c r="J151" s="265">
        <v>2</v>
      </c>
      <c r="K151" s="266">
        <v>0</v>
      </c>
      <c r="L151" s="267">
        <f t="shared" si="25"/>
        <v>0</v>
      </c>
      <c r="M151" s="179"/>
      <c r="N151" s="858" t="s">
        <v>629</v>
      </c>
      <c r="O151" s="859"/>
      <c r="P151" s="860"/>
      <c r="Q151" s="861"/>
      <c r="R151" s="862"/>
      <c r="S151" s="79" t="s">
        <v>30</v>
      </c>
      <c r="T151" s="809">
        <f>COUNTIF($E$3:$Y$12,S151)</f>
        <v>0</v>
      </c>
      <c r="U151" s="809"/>
      <c r="V151" s="809"/>
      <c r="W151" s="265">
        <v>0</v>
      </c>
      <c r="X151" s="266">
        <v>0</v>
      </c>
      <c r="Y151" s="267">
        <f t="shared" si="26"/>
        <v>0</v>
      </c>
      <c r="Z151" s="268">
        <f t="shared" si="27"/>
        <v>2</v>
      </c>
      <c r="AC151" s="353" t="s">
        <v>630</v>
      </c>
      <c r="AD151" s="506" t="s">
        <v>630</v>
      </c>
      <c r="AE151" s="244">
        <f t="shared" si="9"/>
        <v>0</v>
      </c>
      <c r="AF151" s="245" t="str">
        <f t="shared" si="10"/>
        <v/>
      </c>
      <c r="AH151" s="220"/>
      <c r="AI151" s="776" t="s">
        <v>631</v>
      </c>
      <c r="AJ151" s="777"/>
      <c r="AK151" s="777"/>
      <c r="AL151" s="777"/>
      <c r="AM151" s="777"/>
      <c r="AN151" s="507" t="s">
        <v>632</v>
      </c>
      <c r="AO151" s="229">
        <f t="shared" si="24"/>
        <v>0</v>
      </c>
      <c r="AP151" s="230"/>
      <c r="AQ151" s="220"/>
      <c r="AR151" s="834" t="s">
        <v>633</v>
      </c>
      <c r="AS151" s="835"/>
      <c r="AT151" s="835"/>
      <c r="AU151" s="835"/>
      <c r="AV151" s="835"/>
      <c r="AW151" s="508" t="s">
        <v>634</v>
      </c>
      <c r="AX151" s="229">
        <f t="shared" si="16"/>
        <v>0</v>
      </c>
      <c r="AY151" s="440"/>
      <c r="BA151" s="223"/>
    </row>
    <row r="152" spans="1:53" ht="18" x14ac:dyDescent="0.25">
      <c r="A152" s="858" t="s">
        <v>635</v>
      </c>
      <c r="B152" s="859"/>
      <c r="C152" s="860"/>
      <c r="D152" s="861"/>
      <c r="E152" s="862"/>
      <c r="F152" s="509" t="s">
        <v>636</v>
      </c>
      <c r="G152" s="806">
        <f>COUNTIF($E$13:$AX$49,F152)</f>
        <v>0</v>
      </c>
      <c r="H152" s="807"/>
      <c r="I152" s="808"/>
      <c r="J152" s="265">
        <v>0</v>
      </c>
      <c r="K152" s="266">
        <v>0</v>
      </c>
      <c r="L152" s="267">
        <f t="shared" si="25"/>
        <v>0</v>
      </c>
      <c r="M152" s="179"/>
      <c r="N152" s="858" t="s">
        <v>635</v>
      </c>
      <c r="O152" s="859"/>
      <c r="P152" s="860"/>
      <c r="Q152" s="861"/>
      <c r="R152" s="862"/>
      <c r="S152" s="509" t="s">
        <v>636</v>
      </c>
      <c r="T152" s="809">
        <f>COUNTIF($E$3:$Y$12,S152)</f>
        <v>0</v>
      </c>
      <c r="U152" s="809"/>
      <c r="V152" s="809"/>
      <c r="W152" s="265">
        <v>0</v>
      </c>
      <c r="X152" s="266">
        <v>0</v>
      </c>
      <c r="Y152" s="267">
        <f t="shared" si="26"/>
        <v>0</v>
      </c>
      <c r="Z152" s="268">
        <f t="shared" si="27"/>
        <v>0</v>
      </c>
      <c r="AC152" s="353" t="s">
        <v>637</v>
      </c>
      <c r="AD152" s="285" t="s">
        <v>638</v>
      </c>
      <c r="AE152" s="244">
        <f t="shared" si="9"/>
        <v>0</v>
      </c>
      <c r="AF152" s="245" t="str">
        <f t="shared" si="10"/>
        <v/>
      </c>
      <c r="AH152" s="220"/>
      <c r="AI152" s="776" t="s">
        <v>639</v>
      </c>
      <c r="AJ152" s="777"/>
      <c r="AK152" s="777"/>
      <c r="AL152" s="777"/>
      <c r="AM152" s="777"/>
      <c r="AN152" s="510" t="s">
        <v>640</v>
      </c>
      <c r="AO152" s="229">
        <f t="shared" si="24"/>
        <v>0</v>
      </c>
      <c r="AP152" s="230"/>
      <c r="AQ152" s="220"/>
      <c r="AR152" s="834" t="s">
        <v>641</v>
      </c>
      <c r="AS152" s="835"/>
      <c r="AT152" s="835"/>
      <c r="AU152" s="835"/>
      <c r="AV152" s="835"/>
      <c r="AW152" s="511" t="s">
        <v>642</v>
      </c>
      <c r="AX152" s="229">
        <f t="shared" si="16"/>
        <v>0</v>
      </c>
      <c r="AY152" s="440"/>
      <c r="BA152" s="223"/>
    </row>
    <row r="153" spans="1:53" ht="18.75" thickBot="1" x14ac:dyDescent="0.3">
      <c r="A153" s="858" t="s">
        <v>643</v>
      </c>
      <c r="B153" s="859"/>
      <c r="C153" s="860"/>
      <c r="D153" s="861"/>
      <c r="E153" s="862"/>
      <c r="F153" s="512" t="s">
        <v>644</v>
      </c>
      <c r="G153" s="806">
        <f>COUNTIF($E$13:$AX$49,F153)</f>
        <v>0</v>
      </c>
      <c r="H153" s="807"/>
      <c r="I153" s="808"/>
      <c r="J153" s="265">
        <v>0</v>
      </c>
      <c r="K153" s="266">
        <v>0</v>
      </c>
      <c r="L153" s="267">
        <f t="shared" si="25"/>
        <v>0</v>
      </c>
      <c r="M153" s="179"/>
      <c r="N153" s="858" t="s">
        <v>643</v>
      </c>
      <c r="O153" s="859"/>
      <c r="P153" s="860"/>
      <c r="Q153" s="861"/>
      <c r="R153" s="862"/>
      <c r="S153" s="512" t="s">
        <v>644</v>
      </c>
      <c r="T153" s="809">
        <f>COUNTIF($E$3:$Y$12,S153)</f>
        <v>0</v>
      </c>
      <c r="U153" s="809"/>
      <c r="V153" s="809"/>
      <c r="W153" s="265">
        <v>0</v>
      </c>
      <c r="X153" s="266">
        <v>0</v>
      </c>
      <c r="Y153" s="267">
        <f t="shared" si="26"/>
        <v>0</v>
      </c>
      <c r="Z153" s="268">
        <f t="shared" si="27"/>
        <v>0</v>
      </c>
      <c r="AC153" s="353" t="s">
        <v>645</v>
      </c>
      <c r="AD153" s="513" t="s">
        <v>646</v>
      </c>
      <c r="AE153" s="244">
        <f t="shared" si="9"/>
        <v>0</v>
      </c>
      <c r="AF153" s="245" t="str">
        <f t="shared" si="10"/>
        <v/>
      </c>
      <c r="AH153" s="220"/>
      <c r="AI153" s="876" t="s">
        <v>647</v>
      </c>
      <c r="AJ153" s="832"/>
      <c r="AK153" s="832"/>
      <c r="AL153" s="832"/>
      <c r="AM153" s="833"/>
      <c r="AN153" s="514"/>
      <c r="AO153" s="411">
        <f>SUM(AO77:AO151)</f>
        <v>27</v>
      </c>
      <c r="AQ153" s="220"/>
      <c r="AR153" s="834" t="s">
        <v>648</v>
      </c>
      <c r="AS153" s="835"/>
      <c r="AT153" s="835"/>
      <c r="AU153" s="835"/>
      <c r="AV153" s="835"/>
      <c r="AW153" s="379" t="s">
        <v>649</v>
      </c>
      <c r="AX153" s="229">
        <f t="shared" si="16"/>
        <v>0</v>
      </c>
      <c r="AY153" s="440"/>
      <c r="BA153" s="223"/>
    </row>
    <row r="154" spans="1:53" ht="20.25" thickBot="1" x14ac:dyDescent="0.35">
      <c r="A154" s="856" t="s">
        <v>650</v>
      </c>
      <c r="B154" s="856"/>
      <c r="C154" s="856"/>
      <c r="D154" s="856"/>
      <c r="E154" s="856"/>
      <c r="F154" s="497"/>
      <c r="G154" s="857">
        <f>SUM(G150:I153)</f>
        <v>4</v>
      </c>
      <c r="H154" s="857"/>
      <c r="I154" s="857"/>
      <c r="J154" s="515">
        <f t="shared" ref="J154:L154" si="28">SUM(J150:J153)</f>
        <v>4</v>
      </c>
      <c r="K154" s="516">
        <f t="shared" si="28"/>
        <v>0</v>
      </c>
      <c r="L154" s="517">
        <f t="shared" si="28"/>
        <v>0</v>
      </c>
      <c r="M154" s="179"/>
      <c r="N154" s="856" t="s">
        <v>650</v>
      </c>
      <c r="O154" s="856"/>
      <c r="P154" s="856"/>
      <c r="Q154" s="856"/>
      <c r="R154" s="856"/>
      <c r="S154" s="497"/>
      <c r="T154" s="857">
        <f>SUM(T150:V153)</f>
        <v>0</v>
      </c>
      <c r="U154" s="857"/>
      <c r="V154" s="857"/>
      <c r="W154" s="515">
        <f t="shared" ref="W154:Y154" si="29">SUM(W150:W153)</f>
        <v>0</v>
      </c>
      <c r="X154" s="516">
        <f t="shared" si="29"/>
        <v>0</v>
      </c>
      <c r="Y154" s="517">
        <f t="shared" si="29"/>
        <v>0</v>
      </c>
      <c r="Z154" s="268">
        <f t="shared" si="27"/>
        <v>4</v>
      </c>
      <c r="AC154" s="353" t="s">
        <v>651</v>
      </c>
      <c r="AD154" s="518" t="s">
        <v>652</v>
      </c>
      <c r="AE154" s="244">
        <f t="shared" si="9"/>
        <v>0</v>
      </c>
      <c r="AF154" s="245" t="str">
        <f t="shared" si="10"/>
        <v/>
      </c>
      <c r="AH154" s="220"/>
      <c r="AI154" s="874" t="s">
        <v>653</v>
      </c>
      <c r="AJ154" s="875"/>
      <c r="AK154" s="875"/>
      <c r="AL154" s="875"/>
      <c r="AM154" s="875"/>
      <c r="AN154" s="519" t="s">
        <v>654</v>
      </c>
      <c r="AO154" s="229">
        <f>COUNTIF($P$1:$Q$1,"O-FUT")</f>
        <v>0</v>
      </c>
      <c r="AQ154" s="220"/>
      <c r="AR154" s="834" t="s">
        <v>655</v>
      </c>
      <c r="AS154" s="835"/>
      <c r="AT154" s="835"/>
      <c r="AU154" s="835"/>
      <c r="AV154" s="835"/>
      <c r="AW154" s="303" t="s">
        <v>656</v>
      </c>
      <c r="AX154" s="229">
        <f t="shared" si="16"/>
        <v>0</v>
      </c>
      <c r="AY154" s="440"/>
      <c r="BA154" s="223"/>
    </row>
    <row r="155" spans="1:53" ht="18.75" x14ac:dyDescent="0.25">
      <c r="A155" s="496"/>
      <c r="B155" s="496"/>
      <c r="C155" s="496"/>
      <c r="D155" s="496"/>
      <c r="E155" s="496"/>
      <c r="F155" s="497"/>
      <c r="J155" s="498"/>
      <c r="K155" s="498"/>
      <c r="M155" s="179"/>
      <c r="N155" s="496"/>
      <c r="O155" s="496"/>
      <c r="P155" s="496"/>
      <c r="Q155" s="496"/>
      <c r="R155" s="496"/>
      <c r="S155" s="497"/>
      <c r="W155" s="498"/>
      <c r="X155" s="498"/>
      <c r="AA155" s="236"/>
      <c r="AC155" s="353" t="s">
        <v>657</v>
      </c>
      <c r="AD155" s="520" t="s">
        <v>658</v>
      </c>
      <c r="AE155" s="244">
        <f t="shared" si="9"/>
        <v>0</v>
      </c>
      <c r="AF155" s="245" t="str">
        <f t="shared" si="10"/>
        <v/>
      </c>
      <c r="AH155" s="220"/>
      <c r="AI155" s="521"/>
      <c r="AJ155" s="522"/>
      <c r="AK155" s="522"/>
      <c r="AL155" s="522"/>
      <c r="AM155" s="522"/>
      <c r="AQ155" s="220"/>
      <c r="AR155" s="834" t="s">
        <v>659</v>
      </c>
      <c r="AS155" s="835"/>
      <c r="AT155" s="835"/>
      <c r="AU155" s="835"/>
      <c r="AV155" s="835"/>
      <c r="AW155" s="303" t="s">
        <v>660</v>
      </c>
      <c r="AX155" s="229">
        <f t="shared" si="16"/>
        <v>0</v>
      </c>
      <c r="AY155" s="440"/>
      <c r="BA155" s="223"/>
    </row>
    <row r="156" spans="1:53" ht="18" x14ac:dyDescent="0.25">
      <c r="A156" s="496"/>
      <c r="B156" s="496"/>
      <c r="C156" s="496"/>
      <c r="D156" s="496"/>
      <c r="E156" s="496"/>
      <c r="F156" s="497"/>
      <c r="J156" s="498"/>
      <c r="K156" s="498"/>
      <c r="M156" s="179"/>
      <c r="N156" s="496"/>
      <c r="O156" s="496"/>
      <c r="P156" s="496"/>
      <c r="Q156" s="496"/>
      <c r="R156" s="496"/>
      <c r="S156" s="497"/>
      <c r="W156" s="498"/>
      <c r="X156" s="498"/>
      <c r="AA156" s="236"/>
      <c r="AC156" s="353" t="s">
        <v>661</v>
      </c>
      <c r="AD156" s="523" t="s">
        <v>662</v>
      </c>
      <c r="AE156" s="244">
        <f t="shared" si="9"/>
        <v>0</v>
      </c>
      <c r="AF156" s="245" t="str">
        <f t="shared" si="10"/>
        <v/>
      </c>
      <c r="AH156" s="220"/>
      <c r="AI156" s="798" t="s">
        <v>127</v>
      </c>
      <c r="AJ156" s="791"/>
      <c r="AK156" s="791"/>
      <c r="AL156" s="791"/>
      <c r="AM156" s="791"/>
      <c r="AN156" s="775"/>
      <c r="AO156" s="221" t="s">
        <v>70</v>
      </c>
      <c r="AP156" s="524"/>
      <c r="AQ156" s="220"/>
      <c r="AR156" s="834" t="s">
        <v>663</v>
      </c>
      <c r="AS156" s="835"/>
      <c r="AT156" s="835"/>
      <c r="AU156" s="835"/>
      <c r="AV156" s="835"/>
      <c r="AW156" s="307" t="s">
        <v>664</v>
      </c>
      <c r="AX156" s="229">
        <f t="shared" si="16"/>
        <v>0</v>
      </c>
      <c r="AY156" s="440"/>
      <c r="BA156" s="223"/>
    </row>
    <row r="157" spans="1:53" ht="18.75" x14ac:dyDescent="0.25">
      <c r="A157" s="871" t="s">
        <v>665</v>
      </c>
      <c r="B157" s="872"/>
      <c r="C157" s="872"/>
      <c r="D157" s="872"/>
      <c r="E157" s="873"/>
      <c r="F157" s="500"/>
      <c r="G157" s="866"/>
      <c r="H157" s="866"/>
      <c r="I157" s="867"/>
      <c r="J157" s="501" t="s">
        <v>123</v>
      </c>
      <c r="K157" s="502" t="s">
        <v>124</v>
      </c>
      <c r="L157" s="501" t="s">
        <v>125</v>
      </c>
      <c r="M157" s="179"/>
      <c r="N157" s="871" t="s">
        <v>665</v>
      </c>
      <c r="O157" s="872"/>
      <c r="P157" s="872"/>
      <c r="Q157" s="872"/>
      <c r="R157" s="873"/>
      <c r="S157" s="500"/>
      <c r="T157" s="866"/>
      <c r="U157" s="866"/>
      <c r="V157" s="867"/>
      <c r="W157" s="501" t="s">
        <v>123</v>
      </c>
      <c r="X157" s="502" t="s">
        <v>124</v>
      </c>
      <c r="Y157" s="501" t="s">
        <v>125</v>
      </c>
      <c r="AA157" s="236"/>
      <c r="AC157" s="353" t="s">
        <v>666</v>
      </c>
      <c r="AD157" s="513" t="s">
        <v>667</v>
      </c>
      <c r="AE157" s="244">
        <f t="shared" si="9"/>
        <v>0</v>
      </c>
      <c r="AF157" s="245" t="str">
        <f t="shared" si="10"/>
        <v/>
      </c>
      <c r="AH157" s="220"/>
      <c r="AI157" s="795" t="s">
        <v>668</v>
      </c>
      <c r="AJ157" s="796"/>
      <c r="AK157" s="796"/>
      <c r="AL157" s="796"/>
      <c r="AM157" s="796"/>
      <c r="AN157" s="525" t="s">
        <v>669</v>
      </c>
      <c r="AO157" s="229">
        <f t="shared" ref="AO157:AO185" si="30">COUNTIF($A$1:$GO$54,AN157)</f>
        <v>0</v>
      </c>
      <c r="AP157" s="526"/>
      <c r="AQ157" s="220"/>
      <c r="AR157" s="834" t="s">
        <v>670</v>
      </c>
      <c r="AS157" s="835"/>
      <c r="AT157" s="835"/>
      <c r="AU157" s="835"/>
      <c r="AV157" s="835"/>
      <c r="AW157" s="375" t="s">
        <v>671</v>
      </c>
      <c r="AX157" s="229">
        <f t="shared" si="16"/>
        <v>0</v>
      </c>
      <c r="AY157" s="440"/>
      <c r="BA157" s="223"/>
    </row>
    <row r="158" spans="1:53" ht="18.75" x14ac:dyDescent="0.25">
      <c r="A158" s="858" t="s">
        <v>672</v>
      </c>
      <c r="B158" s="859"/>
      <c r="C158" s="860"/>
      <c r="D158" s="861"/>
      <c r="E158" s="862"/>
      <c r="F158" s="527" t="s">
        <v>673</v>
      </c>
      <c r="G158" s="806">
        <f>COUNTIF($E$13:$AX$49,F158)</f>
        <v>0</v>
      </c>
      <c r="H158" s="807"/>
      <c r="I158" s="808"/>
      <c r="J158" s="265">
        <v>0</v>
      </c>
      <c r="K158" s="266">
        <v>0</v>
      </c>
      <c r="L158" s="267">
        <f t="shared" ref="L158:L160" si="31">G158-K158-J158</f>
        <v>0</v>
      </c>
      <c r="M158" s="179"/>
      <c r="N158" s="858" t="s">
        <v>672</v>
      </c>
      <c r="O158" s="859"/>
      <c r="P158" s="860"/>
      <c r="Q158" s="861"/>
      <c r="R158" s="862"/>
      <c r="S158" s="527" t="s">
        <v>673</v>
      </c>
      <c r="T158" s="809">
        <f>COUNTIF($E$3:$Y$12,S158)</f>
        <v>0</v>
      </c>
      <c r="U158" s="809"/>
      <c r="V158" s="809"/>
      <c r="W158" s="265">
        <v>0</v>
      </c>
      <c r="X158" s="266">
        <v>0</v>
      </c>
      <c r="Y158" s="267">
        <f t="shared" ref="Y158:Y160" si="32">T158-X158-W158</f>
        <v>0</v>
      </c>
      <c r="Z158" s="268">
        <f t="shared" ref="Z158:Z161" si="33">T158+G158</f>
        <v>0</v>
      </c>
      <c r="AA158" s="236"/>
      <c r="AC158" s="353" t="s">
        <v>674</v>
      </c>
      <c r="AD158" s="528" t="s">
        <v>675</v>
      </c>
      <c r="AE158" s="244">
        <f t="shared" si="9"/>
        <v>0</v>
      </c>
      <c r="AF158" s="245" t="str">
        <f t="shared" si="10"/>
        <v/>
      </c>
      <c r="AH158" s="220"/>
      <c r="AI158" s="795" t="s">
        <v>676</v>
      </c>
      <c r="AJ158" s="796"/>
      <c r="AK158" s="796"/>
      <c r="AL158" s="796"/>
      <c r="AM158" s="796"/>
      <c r="AN158" s="529" t="s">
        <v>677</v>
      </c>
      <c r="AO158" s="229">
        <f t="shared" si="30"/>
        <v>0</v>
      </c>
      <c r="AP158" s="526"/>
      <c r="AQ158" s="220"/>
      <c r="AR158" s="834" t="s">
        <v>678</v>
      </c>
      <c r="AS158" s="835"/>
      <c r="AT158" s="835"/>
      <c r="AU158" s="835"/>
      <c r="AV158" s="835"/>
      <c r="AW158" s="375" t="s">
        <v>679</v>
      </c>
      <c r="AX158" s="229">
        <f t="shared" si="16"/>
        <v>0</v>
      </c>
      <c r="AY158" s="440"/>
      <c r="BA158" s="223"/>
    </row>
    <row r="159" spans="1:53" ht="18.75" x14ac:dyDescent="0.25">
      <c r="A159" s="858" t="s">
        <v>680</v>
      </c>
      <c r="B159" s="859"/>
      <c r="C159" s="860"/>
      <c r="D159" s="861"/>
      <c r="E159" s="862"/>
      <c r="F159" s="530" t="s">
        <v>681</v>
      </c>
      <c r="G159" s="806">
        <f>COUNTIF($E$13:$AX$49,F159)</f>
        <v>0</v>
      </c>
      <c r="H159" s="807"/>
      <c r="I159" s="808"/>
      <c r="J159" s="265">
        <v>0</v>
      </c>
      <c r="K159" s="266">
        <v>0</v>
      </c>
      <c r="L159" s="267">
        <f t="shared" si="31"/>
        <v>0</v>
      </c>
      <c r="M159" s="179"/>
      <c r="N159" s="858" t="s">
        <v>680</v>
      </c>
      <c r="O159" s="859"/>
      <c r="P159" s="860"/>
      <c r="Q159" s="861"/>
      <c r="R159" s="862"/>
      <c r="S159" s="530" t="s">
        <v>681</v>
      </c>
      <c r="T159" s="809">
        <f>COUNTIF($E$3:$Y$12,S159)</f>
        <v>0</v>
      </c>
      <c r="U159" s="809"/>
      <c r="V159" s="809"/>
      <c r="W159" s="265">
        <v>0</v>
      </c>
      <c r="X159" s="266">
        <v>0</v>
      </c>
      <c r="Y159" s="267">
        <f t="shared" si="32"/>
        <v>0</v>
      </c>
      <c r="Z159" s="268">
        <f t="shared" si="33"/>
        <v>0</v>
      </c>
      <c r="AA159" s="236"/>
      <c r="AC159" s="353" t="s">
        <v>682</v>
      </c>
      <c r="AD159" s="531" t="s">
        <v>683</v>
      </c>
      <c r="AE159" s="244">
        <f t="shared" si="9"/>
        <v>0</v>
      </c>
      <c r="AF159" s="245" t="str">
        <f t="shared" si="10"/>
        <v/>
      </c>
      <c r="AH159" s="220"/>
      <c r="AI159" s="795" t="s">
        <v>684</v>
      </c>
      <c r="AJ159" s="796"/>
      <c r="AK159" s="796"/>
      <c r="AL159" s="796"/>
      <c r="AM159" s="796"/>
      <c r="AN159" s="532" t="s">
        <v>685</v>
      </c>
      <c r="AO159" s="229">
        <f t="shared" si="30"/>
        <v>0</v>
      </c>
      <c r="AP159" s="526"/>
      <c r="AQ159" s="220"/>
      <c r="AR159" s="834" t="s">
        <v>686</v>
      </c>
      <c r="AS159" s="835"/>
      <c r="AT159" s="835"/>
      <c r="AU159" s="835"/>
      <c r="AV159" s="835"/>
      <c r="AW159" s="375" t="s">
        <v>687</v>
      </c>
      <c r="AX159" s="229">
        <f t="shared" si="16"/>
        <v>0</v>
      </c>
      <c r="AY159" s="440"/>
      <c r="BA159" s="223"/>
    </row>
    <row r="160" spans="1:53" ht="18" x14ac:dyDescent="0.25">
      <c r="A160" s="858" t="s">
        <v>688</v>
      </c>
      <c r="B160" s="859"/>
      <c r="C160" s="860"/>
      <c r="D160" s="861"/>
      <c r="E160" s="862"/>
      <c r="F160" s="533" t="s">
        <v>689</v>
      </c>
      <c r="G160" s="806">
        <f>COUNTIF($E$13:$AX$49,F160)</f>
        <v>0</v>
      </c>
      <c r="H160" s="807"/>
      <c r="I160" s="808"/>
      <c r="J160" s="265">
        <v>0</v>
      </c>
      <c r="K160" s="266">
        <v>0</v>
      </c>
      <c r="L160" s="267">
        <f t="shared" si="31"/>
        <v>0</v>
      </c>
      <c r="M160" s="179"/>
      <c r="N160" s="858" t="s">
        <v>688</v>
      </c>
      <c r="O160" s="859"/>
      <c r="P160" s="860"/>
      <c r="Q160" s="861"/>
      <c r="R160" s="862"/>
      <c r="S160" s="533" t="s">
        <v>689</v>
      </c>
      <c r="T160" s="809">
        <f>COUNTIF($E$3:$Y$12,S160)</f>
        <v>0</v>
      </c>
      <c r="U160" s="809"/>
      <c r="V160" s="809"/>
      <c r="W160" s="265">
        <v>0</v>
      </c>
      <c r="X160" s="266">
        <v>0</v>
      </c>
      <c r="Y160" s="267">
        <f t="shared" si="32"/>
        <v>0</v>
      </c>
      <c r="Z160" s="268">
        <f t="shared" si="33"/>
        <v>0</v>
      </c>
      <c r="AA160" s="236"/>
      <c r="AC160" s="353" t="s">
        <v>690</v>
      </c>
      <c r="AD160" s="534" t="s">
        <v>691</v>
      </c>
      <c r="AE160" s="244">
        <f t="shared" si="9"/>
        <v>0</v>
      </c>
      <c r="AF160" s="245" t="str">
        <f t="shared" si="10"/>
        <v/>
      </c>
      <c r="AH160" s="220"/>
      <c r="AI160" s="795" t="s">
        <v>692</v>
      </c>
      <c r="AJ160" s="796"/>
      <c r="AK160" s="796"/>
      <c r="AL160" s="796"/>
      <c r="AM160" s="796"/>
      <c r="AN160" s="535" t="s">
        <v>693</v>
      </c>
      <c r="AO160" s="229">
        <f t="shared" si="30"/>
        <v>0</v>
      </c>
      <c r="AP160" s="526"/>
      <c r="AQ160" s="220"/>
      <c r="AR160" s="834" t="s">
        <v>694</v>
      </c>
      <c r="AS160" s="835"/>
      <c r="AT160" s="835"/>
      <c r="AU160" s="835"/>
      <c r="AV160" s="835"/>
      <c r="AW160" s="371" t="s">
        <v>695</v>
      </c>
      <c r="AX160" s="229">
        <f t="shared" si="16"/>
        <v>0</v>
      </c>
      <c r="AY160" s="440"/>
      <c r="BA160" s="223"/>
    </row>
    <row r="161" spans="1:58" ht="18.75" x14ac:dyDescent="0.25">
      <c r="A161" s="856" t="s">
        <v>696</v>
      </c>
      <c r="B161" s="856"/>
      <c r="C161" s="856"/>
      <c r="D161" s="856"/>
      <c r="E161" s="856"/>
      <c r="F161" s="497"/>
      <c r="G161" s="857">
        <f t="shared" ref="G161:L161" si="34">SUM(G158:I160)</f>
        <v>0</v>
      </c>
      <c r="H161" s="857"/>
      <c r="I161" s="857"/>
      <c r="J161" s="515">
        <f t="shared" si="34"/>
        <v>0</v>
      </c>
      <c r="K161" s="516">
        <f t="shared" si="34"/>
        <v>0</v>
      </c>
      <c r="L161" s="267">
        <f t="shared" si="34"/>
        <v>0</v>
      </c>
      <c r="M161" s="179"/>
      <c r="N161" s="856" t="s">
        <v>696</v>
      </c>
      <c r="O161" s="856"/>
      <c r="P161" s="856"/>
      <c r="Q161" s="856"/>
      <c r="R161" s="856"/>
      <c r="S161" s="497"/>
      <c r="T161" s="857">
        <f t="shared" ref="T161" si="35">SUM(T158:V160)</f>
        <v>0</v>
      </c>
      <c r="U161" s="857"/>
      <c r="V161" s="857"/>
      <c r="W161" s="515">
        <f t="shared" ref="W161:X161" si="36">SUM(W158:Y160)</f>
        <v>0</v>
      </c>
      <c r="X161" s="516">
        <f t="shared" si="36"/>
        <v>0</v>
      </c>
      <c r="Y161" s="267">
        <f>SUM(Y154:AA156)</f>
        <v>4</v>
      </c>
      <c r="Z161" s="268">
        <f t="shared" si="33"/>
        <v>0</v>
      </c>
      <c r="AA161" s="236" t="b">
        <f>IFERROR(#REF!&gt;0.5,FALSE)</f>
        <v>0</v>
      </c>
      <c r="AC161" s="353" t="s">
        <v>697</v>
      </c>
      <c r="AD161" s="536" t="s">
        <v>698</v>
      </c>
      <c r="AE161" s="244">
        <f t="shared" si="9"/>
        <v>0</v>
      </c>
      <c r="AF161" s="245" t="str">
        <f t="shared" si="10"/>
        <v/>
      </c>
      <c r="AH161" s="220"/>
      <c r="AI161" s="795" t="s">
        <v>699</v>
      </c>
      <c r="AJ161" s="796"/>
      <c r="AK161" s="796"/>
      <c r="AL161" s="796"/>
      <c r="AM161" s="796"/>
      <c r="AN161" s="537" t="s">
        <v>700</v>
      </c>
      <c r="AO161" s="229">
        <f t="shared" si="30"/>
        <v>0</v>
      </c>
      <c r="AP161" s="526"/>
      <c r="AQ161" s="220"/>
      <c r="AR161" s="834" t="s">
        <v>701</v>
      </c>
      <c r="AS161" s="835"/>
      <c r="AT161" s="835"/>
      <c r="AU161" s="835"/>
      <c r="AV161" s="835"/>
      <c r="AW161" s="371" t="s">
        <v>702</v>
      </c>
      <c r="AX161" s="229">
        <f t="shared" si="16"/>
        <v>0</v>
      </c>
      <c r="AY161" s="440"/>
      <c r="BA161" s="223"/>
    </row>
    <row r="162" spans="1:58" ht="18" x14ac:dyDescent="0.25">
      <c r="A162" s="496"/>
      <c r="B162" s="496"/>
      <c r="C162" s="496"/>
      <c r="D162" s="496"/>
      <c r="E162" s="496"/>
      <c r="F162" s="497"/>
      <c r="J162" s="498"/>
      <c r="K162" s="498"/>
      <c r="M162" s="179"/>
      <c r="N162" s="496"/>
      <c r="O162" s="496"/>
      <c r="P162" s="496"/>
      <c r="Q162" s="496"/>
      <c r="R162" s="496"/>
      <c r="S162" s="497"/>
      <c r="W162" s="498"/>
      <c r="X162" s="498"/>
      <c r="AA162" s="236"/>
      <c r="AC162" s="353" t="s">
        <v>703</v>
      </c>
      <c r="AD162" s="536" t="s">
        <v>703</v>
      </c>
      <c r="AE162" s="244">
        <f t="shared" si="9"/>
        <v>0</v>
      </c>
      <c r="AF162" s="245" t="str">
        <f t="shared" si="10"/>
        <v/>
      </c>
      <c r="AH162" s="220"/>
      <c r="AI162" s="795" t="s">
        <v>704</v>
      </c>
      <c r="AJ162" s="796"/>
      <c r="AK162" s="796"/>
      <c r="AL162" s="796"/>
      <c r="AM162" s="796"/>
      <c r="AN162" s="538" t="s">
        <v>705</v>
      </c>
      <c r="AO162" s="229">
        <f t="shared" si="30"/>
        <v>0</v>
      </c>
      <c r="AP162" s="526"/>
      <c r="AQ162" s="220"/>
      <c r="AR162" s="834" t="s">
        <v>706</v>
      </c>
      <c r="AS162" s="835"/>
      <c r="AT162" s="835"/>
      <c r="AU162" s="835"/>
      <c r="AV162" s="835"/>
      <c r="AW162" s="233" t="s">
        <v>707</v>
      </c>
      <c r="AX162" s="229">
        <f t="shared" si="16"/>
        <v>0</v>
      </c>
      <c r="AY162" s="440"/>
      <c r="BA162" s="223"/>
    </row>
    <row r="163" spans="1:58" ht="18.75" x14ac:dyDescent="0.25">
      <c r="A163" s="496"/>
      <c r="B163" s="496"/>
      <c r="C163" s="496"/>
      <c r="D163" s="496"/>
      <c r="E163" s="496"/>
      <c r="F163" s="497"/>
      <c r="J163" s="498"/>
      <c r="K163" s="498"/>
      <c r="M163" s="179"/>
      <c r="N163" s="496"/>
      <c r="O163" s="496"/>
      <c r="P163" s="496"/>
      <c r="Q163" s="496"/>
      <c r="R163" s="496"/>
      <c r="S163" s="497"/>
      <c r="W163" s="498"/>
      <c r="X163" s="498"/>
      <c r="AA163" s="236"/>
      <c r="AC163" s="353" t="s">
        <v>135</v>
      </c>
      <c r="AD163" s="539" t="s">
        <v>708</v>
      </c>
      <c r="AE163" s="244">
        <f t="shared" si="9"/>
        <v>0</v>
      </c>
      <c r="AF163" s="245" t="str">
        <f t="shared" si="10"/>
        <v/>
      </c>
      <c r="AH163" s="220"/>
      <c r="AI163" s="795" t="s">
        <v>709</v>
      </c>
      <c r="AJ163" s="796"/>
      <c r="AK163" s="796"/>
      <c r="AL163" s="796"/>
      <c r="AM163" s="796"/>
      <c r="AN163" s="303" t="s">
        <v>710</v>
      </c>
      <c r="AO163" s="229">
        <f t="shared" si="30"/>
        <v>0</v>
      </c>
      <c r="AP163" s="526"/>
      <c r="AQ163" s="220"/>
      <c r="AR163" s="834" t="s">
        <v>711</v>
      </c>
      <c r="AS163" s="835"/>
      <c r="AT163" s="835"/>
      <c r="AU163" s="835"/>
      <c r="AV163" s="835"/>
      <c r="AW163" s="540" t="s">
        <v>712</v>
      </c>
      <c r="AX163" s="229">
        <f t="shared" si="16"/>
        <v>0</v>
      </c>
      <c r="AY163" s="440"/>
      <c r="BA163" s="223"/>
      <c r="BC163" s="541"/>
      <c r="BD163" s="541"/>
      <c r="BE163" s="541"/>
      <c r="BF163" s="541"/>
    </row>
    <row r="164" spans="1:58" ht="18" x14ac:dyDescent="0.25">
      <c r="A164" s="868" t="s">
        <v>713</v>
      </c>
      <c r="B164" s="869"/>
      <c r="C164" s="869"/>
      <c r="D164" s="869"/>
      <c r="E164" s="870"/>
      <c r="F164" s="500"/>
      <c r="G164" s="866"/>
      <c r="H164" s="866"/>
      <c r="I164" s="867"/>
      <c r="J164" s="501" t="s">
        <v>123</v>
      </c>
      <c r="K164" s="502" t="s">
        <v>124</v>
      </c>
      <c r="L164" s="501" t="s">
        <v>125</v>
      </c>
      <c r="M164" s="179"/>
      <c r="N164" s="868" t="s">
        <v>713</v>
      </c>
      <c r="O164" s="869"/>
      <c r="P164" s="869"/>
      <c r="Q164" s="869"/>
      <c r="R164" s="870"/>
      <c r="S164" s="500"/>
      <c r="T164" s="866"/>
      <c r="U164" s="866"/>
      <c r="V164" s="867"/>
      <c r="W164" s="501" t="s">
        <v>123</v>
      </c>
      <c r="X164" s="502" t="s">
        <v>124</v>
      </c>
      <c r="Y164" s="501" t="s">
        <v>125</v>
      </c>
      <c r="AA164" s="236"/>
      <c r="AC164" s="353" t="s">
        <v>714</v>
      </c>
      <c r="AD164" s="52" t="s">
        <v>16</v>
      </c>
      <c r="AE164" s="244">
        <f t="shared" si="9"/>
        <v>6</v>
      </c>
      <c r="AF164" s="245" t="str">
        <f t="shared" si="10"/>
        <v/>
      </c>
      <c r="AH164" s="220"/>
      <c r="AI164" s="795" t="s">
        <v>715</v>
      </c>
      <c r="AJ164" s="796"/>
      <c r="AK164" s="796"/>
      <c r="AL164" s="796"/>
      <c r="AM164" s="796"/>
      <c r="AN164" s="233" t="s">
        <v>716</v>
      </c>
      <c r="AO164" s="229">
        <f t="shared" si="30"/>
        <v>0</v>
      </c>
      <c r="AP164" s="526"/>
      <c r="AQ164" s="220"/>
      <c r="AR164" s="834" t="s">
        <v>717</v>
      </c>
      <c r="AS164" s="835"/>
      <c r="AT164" s="835"/>
      <c r="AU164" s="835"/>
      <c r="AV164" s="835"/>
      <c r="AW164" s="542" t="s">
        <v>718</v>
      </c>
      <c r="AX164" s="229">
        <f t="shared" si="16"/>
        <v>0</v>
      </c>
      <c r="AY164" s="440"/>
      <c r="BA164" s="223"/>
      <c r="BC164" s="543"/>
      <c r="BD164" s="543"/>
      <c r="BE164" s="543"/>
      <c r="BF164" s="543"/>
    </row>
    <row r="165" spans="1:58" ht="18" x14ac:dyDescent="0.25">
      <c r="A165" s="858" t="s">
        <v>719</v>
      </c>
      <c r="B165" s="859"/>
      <c r="C165" s="860"/>
      <c r="D165" s="861"/>
      <c r="E165" s="862"/>
      <c r="F165" s="544" t="s">
        <v>720</v>
      </c>
      <c r="G165" s="806">
        <f>COUNTIF($E$13:$AX$49,F165)</f>
        <v>0</v>
      </c>
      <c r="H165" s="807"/>
      <c r="I165" s="808"/>
      <c r="J165" s="265">
        <v>0</v>
      </c>
      <c r="K165" s="266">
        <v>0</v>
      </c>
      <c r="L165" s="267">
        <f t="shared" ref="L165:L168" si="37">G165-K165-J165</f>
        <v>0</v>
      </c>
      <c r="M165" s="179"/>
      <c r="N165" s="858" t="s">
        <v>719</v>
      </c>
      <c r="O165" s="859"/>
      <c r="P165" s="860"/>
      <c r="Q165" s="861"/>
      <c r="R165" s="862"/>
      <c r="S165" s="544" t="s">
        <v>720</v>
      </c>
      <c r="T165" s="809">
        <f>COUNTIF($E$3:$Y$12,S165)</f>
        <v>0</v>
      </c>
      <c r="U165" s="809"/>
      <c r="V165" s="809"/>
      <c r="W165" s="265">
        <v>0</v>
      </c>
      <c r="X165" s="266">
        <v>0</v>
      </c>
      <c r="Y165" s="267">
        <f t="shared" ref="Y165:Y168" si="38">T165-X165-W165</f>
        <v>0</v>
      </c>
      <c r="Z165" s="268">
        <f t="shared" ref="Z165:Z169" si="39">T165+G165</f>
        <v>0</v>
      </c>
      <c r="AA165" s="236"/>
      <c r="AC165" s="353" t="s">
        <v>721</v>
      </c>
      <c r="AD165" s="545" t="s">
        <v>722</v>
      </c>
      <c r="AE165" s="244">
        <f t="shared" si="9"/>
        <v>0</v>
      </c>
      <c r="AF165" s="245" t="str">
        <f t="shared" si="10"/>
        <v/>
      </c>
      <c r="AH165" s="220"/>
      <c r="AI165" s="795" t="s">
        <v>723</v>
      </c>
      <c r="AJ165" s="796"/>
      <c r="AK165" s="796"/>
      <c r="AL165" s="796"/>
      <c r="AM165" s="796"/>
      <c r="AN165" s="371" t="s">
        <v>724</v>
      </c>
      <c r="AO165" s="229">
        <f t="shared" si="30"/>
        <v>0</v>
      </c>
      <c r="AP165" s="526"/>
      <c r="AQ165" s="220"/>
      <c r="AR165" s="834" t="s">
        <v>725</v>
      </c>
      <c r="AS165" s="835"/>
      <c r="AT165" s="835"/>
      <c r="AU165" s="835"/>
      <c r="AV165" s="835"/>
      <c r="AW165" s="546" t="s">
        <v>726</v>
      </c>
      <c r="AX165" s="229">
        <f t="shared" si="16"/>
        <v>0</v>
      </c>
      <c r="AY165" s="440"/>
      <c r="BA165" s="223"/>
      <c r="BC165" s="541"/>
      <c r="BD165" s="541"/>
      <c r="BE165" s="541"/>
      <c r="BF165" s="541"/>
    </row>
    <row r="166" spans="1:58" ht="18" x14ac:dyDescent="0.25">
      <c r="A166" s="858" t="s">
        <v>727</v>
      </c>
      <c r="B166" s="859"/>
      <c r="C166" s="860"/>
      <c r="D166" s="861"/>
      <c r="E166" s="862"/>
      <c r="F166" s="547" t="s">
        <v>728</v>
      </c>
      <c r="G166" s="806">
        <f>COUNTIF($E$13:$AX$49,F166)</f>
        <v>0</v>
      </c>
      <c r="H166" s="807"/>
      <c r="I166" s="808"/>
      <c r="J166" s="265">
        <v>0</v>
      </c>
      <c r="K166" s="266">
        <v>0</v>
      </c>
      <c r="L166" s="267">
        <f t="shared" si="37"/>
        <v>0</v>
      </c>
      <c r="M166" s="179"/>
      <c r="N166" s="858" t="s">
        <v>727</v>
      </c>
      <c r="O166" s="859"/>
      <c r="P166" s="860"/>
      <c r="Q166" s="861"/>
      <c r="R166" s="862"/>
      <c r="S166" s="547" t="s">
        <v>728</v>
      </c>
      <c r="T166" s="809">
        <f>COUNTIF($E$3:$Y$12,S166)</f>
        <v>0</v>
      </c>
      <c r="U166" s="809"/>
      <c r="V166" s="809"/>
      <c r="W166" s="265">
        <v>0</v>
      </c>
      <c r="X166" s="266">
        <v>0</v>
      </c>
      <c r="Y166" s="267">
        <f t="shared" si="38"/>
        <v>0</v>
      </c>
      <c r="Z166" s="268">
        <f t="shared" si="39"/>
        <v>0</v>
      </c>
      <c r="AA166" s="236"/>
      <c r="AC166" s="353" t="s">
        <v>729</v>
      </c>
      <c r="AD166" s="548" t="s">
        <v>730</v>
      </c>
      <c r="AE166" s="244">
        <f t="shared" si="9"/>
        <v>0</v>
      </c>
      <c r="AF166" s="245" t="str">
        <f t="shared" si="10"/>
        <v/>
      </c>
      <c r="AH166" s="220"/>
      <c r="AI166" s="795" t="s">
        <v>731</v>
      </c>
      <c r="AJ166" s="796"/>
      <c r="AK166" s="796"/>
      <c r="AL166" s="796"/>
      <c r="AM166" s="796"/>
      <c r="AN166" s="371" t="s">
        <v>0</v>
      </c>
      <c r="AO166" s="229">
        <f t="shared" si="30"/>
        <v>0</v>
      </c>
      <c r="AP166" s="526"/>
      <c r="AQ166" s="220"/>
      <c r="AR166" s="834" t="s">
        <v>732</v>
      </c>
      <c r="AS166" s="835"/>
      <c r="AT166" s="835"/>
      <c r="AU166" s="835"/>
      <c r="AV166" s="835"/>
      <c r="AW166" s="546" t="s">
        <v>733</v>
      </c>
      <c r="AX166" s="229">
        <f t="shared" si="16"/>
        <v>0</v>
      </c>
      <c r="AY166" s="440"/>
      <c r="BA166" s="223"/>
      <c r="BC166" s="549"/>
      <c r="BD166" s="549"/>
      <c r="BE166" s="549"/>
      <c r="BF166" s="549"/>
    </row>
    <row r="167" spans="1:58" ht="18" x14ac:dyDescent="0.25">
      <c r="A167" s="858" t="s">
        <v>734</v>
      </c>
      <c r="B167" s="859"/>
      <c r="C167" s="860"/>
      <c r="D167" s="861"/>
      <c r="E167" s="862"/>
      <c r="F167" s="550" t="s">
        <v>735</v>
      </c>
      <c r="G167" s="806">
        <f>COUNTIF($E$13:$AX$49,F167)</f>
        <v>0</v>
      </c>
      <c r="H167" s="807"/>
      <c r="I167" s="808"/>
      <c r="J167" s="265">
        <v>0</v>
      </c>
      <c r="K167" s="266">
        <v>0</v>
      </c>
      <c r="L167" s="267">
        <f t="shared" si="37"/>
        <v>0</v>
      </c>
      <c r="M167" s="179"/>
      <c r="N167" s="858" t="s">
        <v>734</v>
      </c>
      <c r="O167" s="859"/>
      <c r="P167" s="860"/>
      <c r="Q167" s="861"/>
      <c r="R167" s="862"/>
      <c r="S167" s="550" t="s">
        <v>735</v>
      </c>
      <c r="T167" s="809">
        <f>COUNTIF($E$3:$Y$12,S167)</f>
        <v>0</v>
      </c>
      <c r="U167" s="809"/>
      <c r="V167" s="809"/>
      <c r="W167" s="265">
        <v>0</v>
      </c>
      <c r="X167" s="266">
        <v>0</v>
      </c>
      <c r="Y167" s="267">
        <f t="shared" si="38"/>
        <v>0</v>
      </c>
      <c r="Z167" s="268">
        <f t="shared" si="39"/>
        <v>0</v>
      </c>
      <c r="AA167" s="236"/>
      <c r="AC167" s="353" t="s">
        <v>736</v>
      </c>
      <c r="AD167" s="548" t="s">
        <v>737</v>
      </c>
      <c r="AE167" s="244">
        <f t="shared" ref="AE167:AE175" si="40">COUNTIF($A$1:$GO$54,AD167)</f>
        <v>0</v>
      </c>
      <c r="AF167" s="245" t="str">
        <f t="shared" si="10"/>
        <v/>
      </c>
      <c r="AH167" s="220"/>
      <c r="AI167" s="795" t="s">
        <v>738</v>
      </c>
      <c r="AJ167" s="796"/>
      <c r="AK167" s="796"/>
      <c r="AL167" s="796"/>
      <c r="AM167" s="796"/>
      <c r="AN167" s="551" t="s">
        <v>739</v>
      </c>
      <c r="AO167" s="229">
        <f t="shared" si="30"/>
        <v>0</v>
      </c>
      <c r="AP167" s="526"/>
      <c r="AQ167" s="220"/>
      <c r="AR167" s="834" t="s">
        <v>740</v>
      </c>
      <c r="AS167" s="835"/>
      <c r="AT167" s="835"/>
      <c r="AU167" s="835"/>
      <c r="AV167" s="835"/>
      <c r="AW167" s="552" t="s">
        <v>741</v>
      </c>
      <c r="AX167" s="229">
        <f t="shared" si="16"/>
        <v>0</v>
      </c>
      <c r="AY167" s="440"/>
      <c r="BA167" s="223"/>
    </row>
    <row r="168" spans="1:58" ht="18.75" x14ac:dyDescent="0.25">
      <c r="A168" s="858" t="s">
        <v>742</v>
      </c>
      <c r="B168" s="859"/>
      <c r="C168" s="860"/>
      <c r="D168" s="861"/>
      <c r="E168" s="862"/>
      <c r="F168" s="553" t="s">
        <v>743</v>
      </c>
      <c r="G168" s="806">
        <f>COUNTIF($E$13:$AX$49,F168)</f>
        <v>0</v>
      </c>
      <c r="H168" s="807"/>
      <c r="I168" s="808"/>
      <c r="J168" s="265">
        <v>0</v>
      </c>
      <c r="K168" s="266">
        <v>0</v>
      </c>
      <c r="L168" s="267">
        <f t="shared" si="37"/>
        <v>0</v>
      </c>
      <c r="M168" s="179"/>
      <c r="N168" s="858" t="s">
        <v>742</v>
      </c>
      <c r="O168" s="859"/>
      <c r="P168" s="860"/>
      <c r="Q168" s="861"/>
      <c r="R168" s="862"/>
      <c r="S168" s="553" t="s">
        <v>743</v>
      </c>
      <c r="T168" s="809">
        <f>COUNTIF($E$3:$Y$12,S168)</f>
        <v>0</v>
      </c>
      <c r="U168" s="809"/>
      <c r="V168" s="809"/>
      <c r="W168" s="265">
        <v>0</v>
      </c>
      <c r="X168" s="266">
        <v>0</v>
      </c>
      <c r="Y168" s="267">
        <f t="shared" si="38"/>
        <v>0</v>
      </c>
      <c r="Z168" s="268">
        <f t="shared" si="39"/>
        <v>0</v>
      </c>
      <c r="AA168" s="236"/>
      <c r="AC168" s="353" t="s">
        <v>744</v>
      </c>
      <c r="AD168" s="554" t="s">
        <v>745</v>
      </c>
      <c r="AE168" s="244">
        <f t="shared" si="40"/>
        <v>0</v>
      </c>
      <c r="AF168" s="245" t="str">
        <f t="shared" ref="AF168:AF175" si="41">IFERROR(AE168/$J$4,"")</f>
        <v/>
      </c>
      <c r="AH168" s="220"/>
      <c r="AI168" s="795" t="s">
        <v>746</v>
      </c>
      <c r="AJ168" s="796"/>
      <c r="AK168" s="796"/>
      <c r="AL168" s="796"/>
      <c r="AM168" s="796"/>
      <c r="AN168" s="247" t="s">
        <v>747</v>
      </c>
      <c r="AO168" s="229">
        <f t="shared" si="30"/>
        <v>0</v>
      </c>
      <c r="AP168" s="526"/>
      <c r="AQ168" s="220"/>
      <c r="AR168" s="834" t="s">
        <v>748</v>
      </c>
      <c r="AS168" s="835"/>
      <c r="AT168" s="835"/>
      <c r="AU168" s="835"/>
      <c r="AV168" s="835"/>
      <c r="AW168" s="555" t="s">
        <v>749</v>
      </c>
      <c r="AX168" s="229">
        <f t="shared" si="16"/>
        <v>0</v>
      </c>
      <c r="AY168" s="440"/>
      <c r="BA168" s="223"/>
      <c r="BC168" s="541"/>
      <c r="BD168" s="541"/>
      <c r="BE168" s="541"/>
      <c r="BF168" s="541"/>
    </row>
    <row r="169" spans="1:58" ht="18" x14ac:dyDescent="0.25">
      <c r="A169" s="856" t="s">
        <v>750</v>
      </c>
      <c r="B169" s="856"/>
      <c r="C169" s="856"/>
      <c r="D169" s="856"/>
      <c r="E169" s="856"/>
      <c r="F169" s="497"/>
      <c r="G169" s="857">
        <f>SUM(G165:I168)</f>
        <v>0</v>
      </c>
      <c r="H169" s="857"/>
      <c r="I169" s="857"/>
      <c r="J169" s="515">
        <f t="shared" ref="J169:L169" si="42">SUM(J165:J168)</f>
        <v>0</v>
      </c>
      <c r="K169" s="516">
        <f t="shared" si="42"/>
        <v>0</v>
      </c>
      <c r="L169" s="517">
        <f t="shared" si="42"/>
        <v>0</v>
      </c>
      <c r="M169" s="179"/>
      <c r="N169" s="856" t="s">
        <v>750</v>
      </c>
      <c r="O169" s="856"/>
      <c r="P169" s="856"/>
      <c r="Q169" s="856"/>
      <c r="R169" s="856"/>
      <c r="S169" s="497"/>
      <c r="T169" s="857">
        <f>SUM(T165:V168)</f>
        <v>0</v>
      </c>
      <c r="U169" s="857"/>
      <c r="V169" s="857"/>
      <c r="W169" s="515">
        <f t="shared" ref="W169:Y169" si="43">SUM(W165:W168)</f>
        <v>0</v>
      </c>
      <c r="X169" s="516">
        <f t="shared" si="43"/>
        <v>0</v>
      </c>
      <c r="Y169" s="517">
        <f t="shared" si="43"/>
        <v>0</v>
      </c>
      <c r="Z169" s="268">
        <f t="shared" si="39"/>
        <v>0</v>
      </c>
      <c r="AA169" s="236"/>
      <c r="AC169" s="353" t="s">
        <v>751</v>
      </c>
      <c r="AD169" s="523" t="s">
        <v>752</v>
      </c>
      <c r="AE169" s="244">
        <f t="shared" si="40"/>
        <v>0</v>
      </c>
      <c r="AF169" s="245" t="str">
        <f t="shared" si="41"/>
        <v/>
      </c>
      <c r="AI169" s="795" t="s">
        <v>753</v>
      </c>
      <c r="AJ169" s="796"/>
      <c r="AK169" s="796"/>
      <c r="AL169" s="796"/>
      <c r="AM169" s="796"/>
      <c r="AN169" s="323" t="s">
        <v>754</v>
      </c>
      <c r="AO169" s="229">
        <f t="shared" si="30"/>
        <v>0</v>
      </c>
      <c r="AP169" s="526"/>
      <c r="AQ169" s="220"/>
      <c r="AR169" s="834" t="s">
        <v>755</v>
      </c>
      <c r="AS169" s="835"/>
      <c r="AT169" s="835"/>
      <c r="AU169" s="835"/>
      <c r="AV169" s="835"/>
      <c r="AW169" s="556" t="s">
        <v>756</v>
      </c>
      <c r="AX169" s="229">
        <f t="shared" si="16"/>
        <v>0</v>
      </c>
      <c r="AY169" s="440"/>
      <c r="BA169" s="223"/>
      <c r="BC169" s="543"/>
      <c r="BD169" s="543"/>
      <c r="BE169" s="543"/>
      <c r="BF169" s="543"/>
    </row>
    <row r="170" spans="1:58" ht="18.75" x14ac:dyDescent="0.25">
      <c r="A170" s="496"/>
      <c r="B170" s="496"/>
      <c r="C170" s="496"/>
      <c r="D170" s="496"/>
      <c r="E170" s="496"/>
      <c r="F170" s="497"/>
      <c r="J170" s="498"/>
      <c r="K170" s="498"/>
      <c r="M170" s="179"/>
      <c r="N170" s="496"/>
      <c r="O170" s="496"/>
      <c r="P170" s="496"/>
      <c r="Q170" s="496"/>
      <c r="R170" s="496"/>
      <c r="S170" s="497"/>
      <c r="W170" s="498"/>
      <c r="X170" s="498"/>
      <c r="AA170" s="236"/>
      <c r="AC170" s="353" t="s">
        <v>757</v>
      </c>
      <c r="AD170" s="545" t="s">
        <v>758</v>
      </c>
      <c r="AE170" s="244">
        <f t="shared" si="40"/>
        <v>0</v>
      </c>
      <c r="AF170" s="245" t="str">
        <f t="shared" si="41"/>
        <v/>
      </c>
      <c r="AI170" s="795" t="s">
        <v>759</v>
      </c>
      <c r="AJ170" s="796"/>
      <c r="AK170" s="796"/>
      <c r="AL170" s="796"/>
      <c r="AM170" s="796"/>
      <c r="AN170" s="379" t="s">
        <v>760</v>
      </c>
      <c r="AO170" s="229">
        <f t="shared" si="30"/>
        <v>0</v>
      </c>
      <c r="AP170" s="526"/>
      <c r="AQ170" s="220"/>
      <c r="AR170" s="834" t="s">
        <v>761</v>
      </c>
      <c r="AS170" s="835"/>
      <c r="AT170" s="835"/>
      <c r="AU170" s="835"/>
      <c r="AV170" s="835"/>
      <c r="AW170" s="557" t="s">
        <v>762</v>
      </c>
      <c r="AX170" s="229">
        <f t="shared" si="16"/>
        <v>0</v>
      </c>
      <c r="AY170" s="440"/>
      <c r="BA170" s="223"/>
      <c r="BC170" s="541"/>
      <c r="BD170" s="541"/>
      <c r="BE170" s="541"/>
      <c r="BF170" s="541"/>
    </row>
    <row r="171" spans="1:58" ht="18.75" x14ac:dyDescent="0.25">
      <c r="A171" s="496"/>
      <c r="B171" s="496"/>
      <c r="C171" s="496"/>
      <c r="D171" s="496"/>
      <c r="E171" s="496"/>
      <c r="F171" s="497"/>
      <c r="J171" s="498"/>
      <c r="K171" s="498"/>
      <c r="M171" s="179"/>
      <c r="N171" s="496"/>
      <c r="O171" s="496"/>
      <c r="P171" s="496"/>
      <c r="Q171" s="496"/>
      <c r="R171" s="496"/>
      <c r="S171" s="497"/>
      <c r="W171" s="498"/>
      <c r="X171" s="498"/>
      <c r="AA171" s="236"/>
      <c r="AC171" s="353" t="s">
        <v>763</v>
      </c>
      <c r="AD171" s="558" t="s">
        <v>764</v>
      </c>
      <c r="AE171" s="244">
        <f t="shared" si="40"/>
        <v>0</v>
      </c>
      <c r="AF171" s="245" t="str">
        <f t="shared" si="41"/>
        <v/>
      </c>
      <c r="AI171" s="795" t="s">
        <v>765</v>
      </c>
      <c r="AJ171" s="796"/>
      <c r="AK171" s="796"/>
      <c r="AL171" s="796"/>
      <c r="AM171" s="796"/>
      <c r="AN171" s="375" t="s">
        <v>766</v>
      </c>
      <c r="AO171" s="229">
        <f t="shared" si="30"/>
        <v>0</v>
      </c>
      <c r="AP171" s="526"/>
      <c r="AQ171" s="220"/>
      <c r="AR171" s="834" t="s">
        <v>767</v>
      </c>
      <c r="AS171" s="835"/>
      <c r="AT171" s="835"/>
      <c r="AU171" s="835"/>
      <c r="AV171" s="835"/>
      <c r="AW171" s="559" t="s">
        <v>768</v>
      </c>
      <c r="AX171" s="229">
        <f t="shared" si="16"/>
        <v>0</v>
      </c>
      <c r="AY171" s="440"/>
      <c r="BA171" s="223"/>
      <c r="BC171" s="549"/>
      <c r="BD171" s="549"/>
      <c r="BE171" s="549"/>
      <c r="BF171" s="549"/>
    </row>
    <row r="172" spans="1:58" ht="18" x14ac:dyDescent="0.25">
      <c r="A172" s="863" t="s">
        <v>769</v>
      </c>
      <c r="B172" s="864"/>
      <c r="C172" s="864"/>
      <c r="D172" s="864"/>
      <c r="E172" s="865"/>
      <c r="F172" s="500"/>
      <c r="G172" s="866"/>
      <c r="H172" s="866"/>
      <c r="I172" s="867"/>
      <c r="J172" s="501" t="s">
        <v>123</v>
      </c>
      <c r="K172" s="502" t="s">
        <v>124</v>
      </c>
      <c r="L172" s="501" t="s">
        <v>125</v>
      </c>
      <c r="M172" s="179"/>
      <c r="N172" s="863" t="s">
        <v>769</v>
      </c>
      <c r="O172" s="864"/>
      <c r="P172" s="864"/>
      <c r="Q172" s="864"/>
      <c r="R172" s="865"/>
      <c r="S172" s="500"/>
      <c r="T172" s="866"/>
      <c r="U172" s="866"/>
      <c r="V172" s="867"/>
      <c r="W172" s="501" t="s">
        <v>123</v>
      </c>
      <c r="X172" s="502" t="s">
        <v>124</v>
      </c>
      <c r="Y172" s="501" t="s">
        <v>125</v>
      </c>
      <c r="AA172" s="236"/>
      <c r="AC172" s="353" t="s">
        <v>770</v>
      </c>
      <c r="AD172" s="560" t="s">
        <v>770</v>
      </c>
      <c r="AE172" s="244">
        <f t="shared" si="40"/>
        <v>0</v>
      </c>
      <c r="AF172" s="245" t="str">
        <f t="shared" si="41"/>
        <v/>
      </c>
      <c r="AI172" s="795" t="s">
        <v>771</v>
      </c>
      <c r="AJ172" s="796"/>
      <c r="AK172" s="796"/>
      <c r="AL172" s="796"/>
      <c r="AM172" s="796"/>
      <c r="AN172" s="387" t="s">
        <v>772</v>
      </c>
      <c r="AO172" s="229">
        <f t="shared" si="30"/>
        <v>0</v>
      </c>
      <c r="AP172" s="526"/>
      <c r="AQ172" s="220"/>
      <c r="AR172" s="834" t="s">
        <v>773</v>
      </c>
      <c r="AS172" s="835"/>
      <c r="AT172" s="835"/>
      <c r="AU172" s="835"/>
      <c r="AV172" s="835"/>
      <c r="AW172" s="387" t="s">
        <v>774</v>
      </c>
      <c r="AX172" s="229">
        <f t="shared" si="16"/>
        <v>0</v>
      </c>
      <c r="AY172" s="440"/>
      <c r="BA172" s="223"/>
    </row>
    <row r="173" spans="1:58" ht="18" x14ac:dyDescent="0.25">
      <c r="A173" s="858" t="s">
        <v>775</v>
      </c>
      <c r="B173" s="859"/>
      <c r="C173" s="860"/>
      <c r="D173" s="861"/>
      <c r="E173" s="862"/>
      <c r="F173" s="561" t="s">
        <v>31</v>
      </c>
      <c r="G173" s="806">
        <f>COUNTIF($E$13:$AX$49,F173)</f>
        <v>2</v>
      </c>
      <c r="H173" s="807"/>
      <c r="I173" s="808"/>
      <c r="J173" s="265">
        <v>2</v>
      </c>
      <c r="K173" s="266">
        <v>0</v>
      </c>
      <c r="L173" s="267">
        <f t="shared" ref="L173:L175" si="44">G173-K173-J173</f>
        <v>0</v>
      </c>
      <c r="M173" s="179"/>
      <c r="N173" s="858" t="s">
        <v>775</v>
      </c>
      <c r="O173" s="859"/>
      <c r="P173" s="860"/>
      <c r="Q173" s="861"/>
      <c r="R173" s="862"/>
      <c r="S173" s="561" t="s">
        <v>31</v>
      </c>
      <c r="T173" s="809">
        <f>COUNTIF($E$3:$Y$12,S173)</f>
        <v>0</v>
      </c>
      <c r="U173" s="809"/>
      <c r="V173" s="809"/>
      <c r="W173" s="265">
        <v>0</v>
      </c>
      <c r="X173" s="266">
        <v>0</v>
      </c>
      <c r="Y173" s="267">
        <f t="shared" ref="Y173:Y175" si="45">T173-X173-W173</f>
        <v>0</v>
      </c>
      <c r="Z173" s="268">
        <f t="shared" ref="Z173:Z176" si="46">T173+G173</f>
        <v>2</v>
      </c>
      <c r="AA173" s="236"/>
      <c r="AC173" s="353" t="s">
        <v>776</v>
      </c>
      <c r="AD173" s="289" t="s">
        <v>777</v>
      </c>
      <c r="AE173" s="244">
        <f t="shared" si="40"/>
        <v>0</v>
      </c>
      <c r="AF173" s="245" t="str">
        <f t="shared" si="41"/>
        <v/>
      </c>
      <c r="AI173" s="795" t="s">
        <v>778</v>
      </c>
      <c r="AJ173" s="796"/>
      <c r="AK173" s="796"/>
      <c r="AL173" s="796"/>
      <c r="AM173" s="796"/>
      <c r="AN173" s="540" t="s">
        <v>779</v>
      </c>
      <c r="AO173" s="229">
        <f t="shared" si="30"/>
        <v>0</v>
      </c>
      <c r="AP173" s="526"/>
      <c r="AQ173" s="220"/>
      <c r="AR173" s="834" t="s">
        <v>780</v>
      </c>
      <c r="AS173" s="835"/>
      <c r="AT173" s="835"/>
      <c r="AU173" s="835"/>
      <c r="AV173" s="835"/>
      <c r="AW173" s="562" t="s">
        <v>781</v>
      </c>
      <c r="AX173" s="229">
        <f t="shared" si="16"/>
        <v>0</v>
      </c>
      <c r="AY173" s="440"/>
      <c r="BA173" s="223"/>
      <c r="BC173" s="541"/>
      <c r="BD173" s="541"/>
      <c r="BE173" s="541"/>
      <c r="BF173" s="541"/>
    </row>
    <row r="174" spans="1:58" ht="18" x14ac:dyDescent="0.25">
      <c r="A174" s="858" t="s">
        <v>782</v>
      </c>
      <c r="B174" s="859"/>
      <c r="C174" s="860"/>
      <c r="D174" s="861"/>
      <c r="E174" s="862"/>
      <c r="F174" s="563" t="s">
        <v>36</v>
      </c>
      <c r="G174" s="806">
        <f>COUNTIF($E$13:$AX$49,F174)</f>
        <v>1</v>
      </c>
      <c r="H174" s="807"/>
      <c r="I174" s="808"/>
      <c r="J174" s="265">
        <v>1</v>
      </c>
      <c r="K174" s="266">
        <v>0</v>
      </c>
      <c r="L174" s="267">
        <f t="shared" si="44"/>
        <v>0</v>
      </c>
      <c r="M174" s="179"/>
      <c r="N174" s="858" t="s">
        <v>782</v>
      </c>
      <c r="O174" s="859"/>
      <c r="P174" s="860"/>
      <c r="Q174" s="861"/>
      <c r="R174" s="862"/>
      <c r="S174" s="563" t="s">
        <v>36</v>
      </c>
      <c r="T174" s="809">
        <f>COUNTIF($E$3:$Y$12,S174)</f>
        <v>0</v>
      </c>
      <c r="U174" s="809"/>
      <c r="V174" s="809"/>
      <c r="W174" s="265">
        <v>0</v>
      </c>
      <c r="X174" s="266">
        <v>0</v>
      </c>
      <c r="Y174" s="267">
        <f t="shared" si="45"/>
        <v>0</v>
      </c>
      <c r="Z174" s="268">
        <f t="shared" si="46"/>
        <v>1</v>
      </c>
      <c r="AA174" s="236"/>
      <c r="AC174" s="353" t="s">
        <v>783</v>
      </c>
      <c r="AD174" s="473" t="s">
        <v>784</v>
      </c>
      <c r="AE174" s="244">
        <f t="shared" si="40"/>
        <v>0</v>
      </c>
      <c r="AF174" s="245" t="str">
        <f t="shared" si="41"/>
        <v/>
      </c>
      <c r="AI174" s="795" t="s">
        <v>785</v>
      </c>
      <c r="AJ174" s="796"/>
      <c r="AK174" s="796"/>
      <c r="AL174" s="796"/>
      <c r="AM174" s="796"/>
      <c r="AN174" s="564" t="s">
        <v>786</v>
      </c>
      <c r="AO174" s="229">
        <f t="shared" si="30"/>
        <v>0</v>
      </c>
      <c r="AP174" s="526"/>
      <c r="AQ174" s="220"/>
      <c r="AR174" s="831" t="s">
        <v>787</v>
      </c>
      <c r="AS174" s="832"/>
      <c r="AT174" s="832"/>
      <c r="AU174" s="832"/>
      <c r="AV174" s="833"/>
      <c r="AW174" s="410"/>
      <c r="AX174" s="411">
        <f>SUM(AX121:AX173)</f>
        <v>0</v>
      </c>
      <c r="AY174" s="220"/>
      <c r="BA174" s="223"/>
      <c r="BC174" s="543"/>
      <c r="BD174" s="543"/>
      <c r="BE174" s="543"/>
      <c r="BF174" s="543"/>
    </row>
    <row r="175" spans="1:58" ht="18" x14ac:dyDescent="0.25">
      <c r="A175" s="858" t="s">
        <v>788</v>
      </c>
      <c r="B175" s="859"/>
      <c r="C175" s="860"/>
      <c r="D175" s="861"/>
      <c r="E175" s="862"/>
      <c r="F175" s="81" t="s">
        <v>32</v>
      </c>
      <c r="G175" s="806">
        <f>COUNTIF($E$13:$AX$49,F175)</f>
        <v>3</v>
      </c>
      <c r="H175" s="807"/>
      <c r="I175" s="808"/>
      <c r="J175" s="265">
        <v>3</v>
      </c>
      <c r="K175" s="266">
        <v>0</v>
      </c>
      <c r="L175" s="267">
        <f t="shared" si="44"/>
        <v>0</v>
      </c>
      <c r="M175" s="179"/>
      <c r="N175" s="858" t="s">
        <v>788</v>
      </c>
      <c r="O175" s="859"/>
      <c r="P175" s="860"/>
      <c r="Q175" s="861"/>
      <c r="R175" s="862"/>
      <c r="S175" s="81" t="s">
        <v>32</v>
      </c>
      <c r="T175" s="809">
        <f>COUNTIF($E$3:$Y$12,S175)</f>
        <v>0</v>
      </c>
      <c r="U175" s="809"/>
      <c r="V175" s="809"/>
      <c r="W175" s="265">
        <v>0</v>
      </c>
      <c r="X175" s="266">
        <v>0</v>
      </c>
      <c r="Y175" s="267">
        <f t="shared" si="45"/>
        <v>0</v>
      </c>
      <c r="Z175" s="268">
        <f t="shared" si="46"/>
        <v>3</v>
      </c>
      <c r="AA175" s="236"/>
      <c r="AC175" s="353" t="s">
        <v>789</v>
      </c>
      <c r="AD175" s="565" t="s">
        <v>790</v>
      </c>
      <c r="AE175" s="244">
        <f t="shared" si="40"/>
        <v>0</v>
      </c>
      <c r="AF175" s="245" t="str">
        <f t="shared" si="41"/>
        <v/>
      </c>
      <c r="AI175" s="795" t="s">
        <v>791</v>
      </c>
      <c r="AJ175" s="796"/>
      <c r="AK175" s="796"/>
      <c r="AL175" s="796"/>
      <c r="AM175" s="796"/>
      <c r="AN175" s="566" t="s">
        <v>792</v>
      </c>
      <c r="AO175" s="229">
        <f t="shared" si="30"/>
        <v>0</v>
      </c>
      <c r="AP175" s="526"/>
      <c r="AQ175" s="220"/>
      <c r="AR175" s="220"/>
      <c r="AS175" s="220"/>
      <c r="AT175" s="220"/>
      <c r="AU175" s="220"/>
      <c r="AV175" s="220"/>
      <c r="AW175" s="220"/>
      <c r="AX175" s="220"/>
      <c r="AY175" s="220"/>
      <c r="BA175" s="223"/>
      <c r="BC175" s="541"/>
      <c r="BD175" s="541"/>
      <c r="BE175" s="541"/>
      <c r="BF175" s="541"/>
    </row>
    <row r="176" spans="1:58" ht="18" x14ac:dyDescent="0.25">
      <c r="A176" s="855" t="s">
        <v>793</v>
      </c>
      <c r="B176" s="856"/>
      <c r="C176" s="856"/>
      <c r="D176" s="856"/>
      <c r="E176" s="856"/>
      <c r="F176" s="497"/>
      <c r="G176" s="857">
        <f t="shared" ref="G176" si="47">SUM(G173:I175)</f>
        <v>6</v>
      </c>
      <c r="H176" s="857"/>
      <c r="I176" s="857"/>
      <c r="J176" s="515">
        <f t="shared" ref="J176:L176" si="48">SUM(J173:L175)</f>
        <v>6</v>
      </c>
      <c r="K176" s="516">
        <f t="shared" si="48"/>
        <v>0</v>
      </c>
      <c r="L176" s="267">
        <f t="shared" si="48"/>
        <v>0</v>
      </c>
      <c r="M176" s="179"/>
      <c r="N176" s="855" t="s">
        <v>793</v>
      </c>
      <c r="O176" s="856"/>
      <c r="P176" s="856"/>
      <c r="Q176" s="856"/>
      <c r="R176" s="856"/>
      <c r="S176" s="497"/>
      <c r="T176" s="857">
        <f t="shared" ref="T176" si="49">SUM(T173:V175)</f>
        <v>0</v>
      </c>
      <c r="U176" s="857"/>
      <c r="V176" s="857"/>
      <c r="W176" s="515">
        <f t="shared" ref="W176:X176" si="50">SUM(W173:Y175)</f>
        <v>0</v>
      </c>
      <c r="X176" s="516">
        <f t="shared" si="50"/>
        <v>6</v>
      </c>
      <c r="Y176" s="267">
        <f>SUM(Y169:AA171)</f>
        <v>0</v>
      </c>
      <c r="Z176" s="268">
        <f t="shared" si="46"/>
        <v>6</v>
      </c>
      <c r="AA176" s="236"/>
      <c r="AI176" s="795" t="s">
        <v>794</v>
      </c>
      <c r="AJ176" s="796"/>
      <c r="AK176" s="796"/>
      <c r="AL176" s="796"/>
      <c r="AM176" s="796"/>
      <c r="AN176" s="475" t="s">
        <v>795</v>
      </c>
      <c r="AO176" s="229">
        <f t="shared" si="30"/>
        <v>0</v>
      </c>
      <c r="AP176" s="526"/>
      <c r="AQ176" s="220"/>
      <c r="AR176" s="790" t="s">
        <v>179</v>
      </c>
      <c r="AS176" s="791"/>
      <c r="AT176" s="791"/>
      <c r="AU176" s="791"/>
      <c r="AV176" s="791"/>
      <c r="AW176" s="775"/>
      <c r="AX176" s="221" t="s">
        <v>70</v>
      </c>
      <c r="AY176" s="222"/>
      <c r="BA176" s="223"/>
      <c r="BC176" s="549"/>
      <c r="BD176" s="549"/>
      <c r="BE176" s="549"/>
      <c r="BF176" s="549"/>
    </row>
    <row r="177" spans="1:58" ht="16.5" x14ac:dyDescent="0.25">
      <c r="M177" s="179"/>
      <c r="AA177" s="236"/>
      <c r="AI177" s="795" t="s">
        <v>796</v>
      </c>
      <c r="AJ177" s="796"/>
      <c r="AK177" s="796"/>
      <c r="AL177" s="796"/>
      <c r="AM177" s="796"/>
      <c r="AN177" s="567" t="s">
        <v>797</v>
      </c>
      <c r="AO177" s="229">
        <f t="shared" si="30"/>
        <v>0</v>
      </c>
      <c r="AP177" s="526"/>
      <c r="AQ177" s="220"/>
      <c r="AR177" s="834" t="s">
        <v>798</v>
      </c>
      <c r="AS177" s="835"/>
      <c r="AT177" s="835"/>
      <c r="AU177" s="835"/>
      <c r="AV177" s="835"/>
      <c r="AW177" s="568" t="s">
        <v>799</v>
      </c>
      <c r="AX177" s="229">
        <f t="shared" ref="AX177:AX214" si="51">COUNTIF($A$1:$GO$54,AW177)</f>
        <v>0</v>
      </c>
      <c r="AY177" s="569"/>
      <c r="BA177" s="223"/>
    </row>
    <row r="178" spans="1:58" ht="18" x14ac:dyDescent="0.25">
      <c r="M178" s="179"/>
      <c r="AA178" s="236"/>
      <c r="AI178" s="795" t="s">
        <v>800</v>
      </c>
      <c r="AJ178" s="796"/>
      <c r="AK178" s="796"/>
      <c r="AL178" s="796"/>
      <c r="AM178" s="796"/>
      <c r="AN178" s="567" t="s">
        <v>801</v>
      </c>
      <c r="AO178" s="229">
        <f t="shared" si="30"/>
        <v>0</v>
      </c>
      <c r="AP178" s="526"/>
      <c r="AQ178" s="220"/>
      <c r="AR178" s="834" t="s">
        <v>802</v>
      </c>
      <c r="AS178" s="835"/>
      <c r="AT178" s="835"/>
      <c r="AU178" s="835"/>
      <c r="AV178" s="835"/>
      <c r="AW178" s="323" t="s">
        <v>803</v>
      </c>
      <c r="AX178" s="229">
        <f t="shared" si="51"/>
        <v>0</v>
      </c>
      <c r="AY178" s="569"/>
      <c r="BA178" s="223"/>
      <c r="BC178" s="541"/>
      <c r="BD178" s="541"/>
      <c r="BE178" s="541"/>
      <c r="BF178" s="541"/>
    </row>
    <row r="179" spans="1:58" ht="18.75" x14ac:dyDescent="0.25">
      <c r="A179" s="852" t="s">
        <v>804</v>
      </c>
      <c r="B179" s="853"/>
      <c r="C179" s="853"/>
      <c r="D179" s="853"/>
      <c r="E179" s="853"/>
      <c r="F179" s="352"/>
      <c r="G179" s="854">
        <f>G146+G103+G127+G176+G169+G161+G154+G123</f>
        <v>32</v>
      </c>
      <c r="H179" s="854"/>
      <c r="I179" s="854"/>
      <c r="J179" s="570">
        <f>J146+J103+J127+J176+J169+J161+J154+J123</f>
        <v>18</v>
      </c>
      <c r="K179" s="351">
        <f>K146+K103+K127+K176+K169+K161+K154+K123</f>
        <v>14</v>
      </c>
      <c r="L179" s="267">
        <f>L146+L103+L127+L176+L169+L161+L154+L123</f>
        <v>0</v>
      </c>
      <c r="M179" s="236"/>
      <c r="N179" s="852" t="s">
        <v>804</v>
      </c>
      <c r="O179" s="853"/>
      <c r="P179" s="853"/>
      <c r="Q179" s="853"/>
      <c r="R179" s="853"/>
      <c r="S179" s="352"/>
      <c r="T179" s="854">
        <f>T146+T103+T127+T176+T169+T161+T154+T123</f>
        <v>7</v>
      </c>
      <c r="U179" s="854"/>
      <c r="V179" s="854"/>
      <c r="W179" s="570">
        <f>W146+W103+W127+W176+W169+W161+W154+W123</f>
        <v>0</v>
      </c>
      <c r="X179" s="351">
        <f>X146+X103+X127+X176+X169+X161+X154+X123</f>
        <v>13</v>
      </c>
      <c r="Y179" s="267">
        <f>Y146+Y103+Y127+Y176+Y169+Y161+Y154+Y123</f>
        <v>4</v>
      </c>
      <c r="Z179" s="268">
        <f>T179+G179</f>
        <v>39</v>
      </c>
      <c r="AA179" s="236"/>
      <c r="AI179" s="795" t="s">
        <v>805</v>
      </c>
      <c r="AJ179" s="796"/>
      <c r="AK179" s="796"/>
      <c r="AL179" s="796"/>
      <c r="AM179" s="796"/>
      <c r="AN179" s="571" t="s">
        <v>806</v>
      </c>
      <c r="AO179" s="229">
        <f t="shared" si="30"/>
        <v>0</v>
      </c>
      <c r="AP179" s="526"/>
      <c r="AQ179" s="220"/>
      <c r="AR179" s="834" t="s">
        <v>807</v>
      </c>
      <c r="AS179" s="835"/>
      <c r="AT179" s="835"/>
      <c r="AU179" s="835"/>
      <c r="AV179" s="835"/>
      <c r="AW179" s="572" t="s">
        <v>808</v>
      </c>
      <c r="AX179" s="229">
        <f t="shared" si="51"/>
        <v>0</v>
      </c>
      <c r="AY179" s="569"/>
      <c r="BA179" s="223"/>
      <c r="BB179" s="573"/>
      <c r="BC179" s="541"/>
      <c r="BD179" s="541"/>
      <c r="BE179" s="541"/>
      <c r="BF179" s="541"/>
    </row>
    <row r="180" spans="1:58" ht="16.5" x14ac:dyDescent="0.25">
      <c r="M180" s="179"/>
      <c r="AA180" s="236"/>
      <c r="AI180" s="795" t="s">
        <v>809</v>
      </c>
      <c r="AJ180" s="796"/>
      <c r="AK180" s="796"/>
      <c r="AL180" s="796"/>
      <c r="AM180" s="796"/>
      <c r="AN180" s="574" t="s">
        <v>810</v>
      </c>
      <c r="AO180" s="229">
        <f t="shared" si="30"/>
        <v>0</v>
      </c>
      <c r="AP180" s="526"/>
      <c r="AQ180" s="220"/>
      <c r="AR180" s="834" t="s">
        <v>811</v>
      </c>
      <c r="AS180" s="835"/>
      <c r="AT180" s="835"/>
      <c r="AU180" s="835"/>
      <c r="AV180" s="835"/>
      <c r="AW180" s="575" t="s">
        <v>812</v>
      </c>
      <c r="AX180" s="229">
        <f t="shared" si="51"/>
        <v>0</v>
      </c>
      <c r="AY180" s="569"/>
      <c r="BA180" s="223"/>
      <c r="BB180" s="2"/>
      <c r="BC180" s="549"/>
      <c r="BD180" s="549"/>
      <c r="BE180" s="549"/>
      <c r="BF180" s="549"/>
    </row>
    <row r="181" spans="1:58" ht="18" x14ac:dyDescent="0.25">
      <c r="M181" s="179"/>
      <c r="AA181" s="236"/>
      <c r="AI181" s="795" t="s">
        <v>813</v>
      </c>
      <c r="AJ181" s="796"/>
      <c r="AK181" s="796"/>
      <c r="AL181" s="796"/>
      <c r="AM181" s="796"/>
      <c r="AN181" s="307" t="s">
        <v>813</v>
      </c>
      <c r="AO181" s="229">
        <f t="shared" si="30"/>
        <v>0</v>
      </c>
      <c r="AP181" s="526"/>
      <c r="AQ181" s="220"/>
      <c r="AR181" s="834" t="s">
        <v>814</v>
      </c>
      <c r="AS181" s="835"/>
      <c r="AT181" s="835"/>
      <c r="AU181" s="835"/>
      <c r="AV181" s="835"/>
      <c r="AW181" s="576" t="s">
        <v>815</v>
      </c>
      <c r="AX181" s="229">
        <f t="shared" si="51"/>
        <v>0</v>
      </c>
      <c r="AY181" s="569"/>
      <c r="BA181" s="223"/>
      <c r="BB181" s="573"/>
    </row>
    <row r="182" spans="1:58" ht="18" x14ac:dyDescent="0.25">
      <c r="M182" s="179"/>
      <c r="AA182" s="236"/>
      <c r="AI182" s="795" t="s">
        <v>816</v>
      </c>
      <c r="AJ182" s="796"/>
      <c r="AK182" s="796"/>
      <c r="AL182" s="796"/>
      <c r="AM182" s="796"/>
      <c r="AN182" s="577" t="s">
        <v>817</v>
      </c>
      <c r="AO182" s="229">
        <f t="shared" si="30"/>
        <v>0</v>
      </c>
      <c r="AP182" s="526"/>
      <c r="AQ182" s="220"/>
      <c r="AR182" s="834" t="s">
        <v>818</v>
      </c>
      <c r="AS182" s="835"/>
      <c r="AT182" s="835"/>
      <c r="AU182" s="835"/>
      <c r="AV182" s="835"/>
      <c r="AW182" s="578" t="s">
        <v>819</v>
      </c>
      <c r="AX182" s="229">
        <f t="shared" si="51"/>
        <v>0</v>
      </c>
      <c r="AY182" s="569"/>
      <c r="BA182" s="223"/>
      <c r="BB182" s="573"/>
      <c r="BC182" s="541"/>
      <c r="BD182" s="541"/>
      <c r="BE182" s="541"/>
      <c r="BF182" s="541"/>
    </row>
    <row r="183" spans="1:58" ht="16.5" x14ac:dyDescent="0.25">
      <c r="A183" s="851" t="s">
        <v>820</v>
      </c>
      <c r="B183" s="851"/>
      <c r="C183" s="851"/>
      <c r="D183" s="851"/>
      <c r="E183" s="851"/>
      <c r="F183" s="851"/>
      <c r="G183" s="851"/>
      <c r="H183" s="851"/>
      <c r="I183" s="851"/>
      <c r="J183" s="851"/>
      <c r="K183" s="851"/>
      <c r="L183" s="851"/>
      <c r="M183" s="851"/>
      <c r="N183" s="851"/>
      <c r="O183" s="851"/>
      <c r="P183" s="851"/>
      <c r="Q183" s="851"/>
      <c r="R183" s="851"/>
      <c r="S183" s="851"/>
      <c r="T183" s="851"/>
      <c r="U183" s="851"/>
      <c r="V183" s="851"/>
      <c r="W183" s="851"/>
      <c r="X183" s="851"/>
      <c r="Y183" s="851"/>
      <c r="Z183" s="851"/>
      <c r="AA183" s="236"/>
      <c r="AI183" s="795" t="s">
        <v>821</v>
      </c>
      <c r="AJ183" s="796"/>
      <c r="AK183" s="796"/>
      <c r="AL183" s="796"/>
      <c r="AM183" s="796"/>
      <c r="AN183" s="579" t="s">
        <v>822</v>
      </c>
      <c r="AO183" s="229">
        <f t="shared" si="30"/>
        <v>0</v>
      </c>
      <c r="AP183" s="526"/>
      <c r="AQ183" s="220"/>
      <c r="AR183" s="834" t="s">
        <v>823</v>
      </c>
      <c r="AS183" s="835"/>
      <c r="AT183" s="835"/>
      <c r="AU183" s="835"/>
      <c r="AV183" s="835"/>
      <c r="AW183" s="578" t="s">
        <v>824</v>
      </c>
      <c r="AX183" s="229">
        <f t="shared" si="51"/>
        <v>0</v>
      </c>
      <c r="AY183" s="569"/>
      <c r="BA183" s="223"/>
      <c r="BC183" s="543"/>
      <c r="BD183" s="543"/>
      <c r="BE183" s="543"/>
      <c r="BF183" s="543"/>
    </row>
    <row r="184" spans="1:58" ht="18" x14ac:dyDescent="0.25">
      <c r="A184" s="851"/>
      <c r="B184" s="851"/>
      <c r="C184" s="851"/>
      <c r="D184" s="851"/>
      <c r="E184" s="851"/>
      <c r="F184" s="851"/>
      <c r="G184" s="851"/>
      <c r="H184" s="851"/>
      <c r="I184" s="851"/>
      <c r="J184" s="851"/>
      <c r="K184" s="851"/>
      <c r="L184" s="851"/>
      <c r="M184" s="851"/>
      <c r="N184" s="851"/>
      <c r="O184" s="851"/>
      <c r="P184" s="851"/>
      <c r="Q184" s="851"/>
      <c r="R184" s="851"/>
      <c r="S184" s="851"/>
      <c r="T184" s="851"/>
      <c r="U184" s="851"/>
      <c r="V184" s="851"/>
      <c r="W184" s="851"/>
      <c r="X184" s="851"/>
      <c r="Y184" s="851"/>
      <c r="Z184" s="851"/>
      <c r="AA184" s="236" t="b">
        <f>IFERROR(#REF!&gt;0.5,FALSE)</f>
        <v>0</v>
      </c>
      <c r="AI184" s="795" t="s">
        <v>825</v>
      </c>
      <c r="AJ184" s="796"/>
      <c r="AK184" s="796"/>
      <c r="AL184" s="796"/>
      <c r="AM184" s="796"/>
      <c r="AN184" s="580" t="s">
        <v>826</v>
      </c>
      <c r="AO184" s="229">
        <f t="shared" si="30"/>
        <v>0</v>
      </c>
      <c r="AP184" s="526"/>
      <c r="AQ184" s="220"/>
      <c r="AR184" s="834" t="s">
        <v>827</v>
      </c>
      <c r="AS184" s="835"/>
      <c r="AT184" s="835"/>
      <c r="AU184" s="835"/>
      <c r="AV184" s="835"/>
      <c r="AW184" s="578" t="s">
        <v>828</v>
      </c>
      <c r="AX184" s="229">
        <f t="shared" si="51"/>
        <v>0</v>
      </c>
      <c r="AY184" s="569"/>
      <c r="BA184" s="223"/>
      <c r="BB184" s="573"/>
      <c r="BC184" s="541"/>
      <c r="BD184" s="541"/>
      <c r="BE184" s="541"/>
      <c r="BF184" s="541"/>
    </row>
    <row r="185" spans="1:58" ht="17.25" thickBot="1" x14ac:dyDescent="0.3">
      <c r="AA185" s="236" t="b">
        <f>IFERROR(#REF!&gt;0.5,FALSE)</f>
        <v>0</v>
      </c>
      <c r="AI185" s="795" t="s">
        <v>829</v>
      </c>
      <c r="AJ185" s="796"/>
      <c r="AK185" s="796"/>
      <c r="AL185" s="796"/>
      <c r="AM185" s="796"/>
      <c r="AN185" s="581" t="s">
        <v>830</v>
      </c>
      <c r="AO185" s="229">
        <f t="shared" si="30"/>
        <v>0</v>
      </c>
      <c r="AP185" s="526"/>
      <c r="AQ185" s="220"/>
      <c r="AR185" s="834" t="s">
        <v>831</v>
      </c>
      <c r="AS185" s="835"/>
      <c r="AT185" s="835"/>
      <c r="AU185" s="835"/>
      <c r="AV185" s="835"/>
      <c r="AW185" s="582" t="s">
        <v>832</v>
      </c>
      <c r="AX185" s="229">
        <f t="shared" si="51"/>
        <v>0</v>
      </c>
      <c r="AY185" s="569"/>
      <c r="BA185" s="223"/>
      <c r="BB185" s="2"/>
      <c r="BC185" s="549"/>
      <c r="BD185" s="549"/>
      <c r="BE185" s="549"/>
      <c r="BF185" s="549"/>
    </row>
    <row r="186" spans="1:58" ht="27.75" thickBot="1" x14ac:dyDescent="0.3">
      <c r="A186" s="843" t="s">
        <v>833</v>
      </c>
      <c r="B186" s="844"/>
      <c r="C186" s="844"/>
      <c r="D186" s="844"/>
      <c r="E186" s="844"/>
      <c r="F186" s="844"/>
      <c r="G186" s="845"/>
      <c r="H186" s="583">
        <f>F188+S188</f>
        <v>1</v>
      </c>
      <c r="AA186" s="236"/>
      <c r="AI186" s="779" t="s">
        <v>834</v>
      </c>
      <c r="AJ186" s="780"/>
      <c r="AK186" s="780"/>
      <c r="AL186" s="780"/>
      <c r="AM186" s="781"/>
      <c r="AN186" s="410"/>
      <c r="AO186" s="411">
        <f>SUM(AO157:AO185)</f>
        <v>0</v>
      </c>
      <c r="AP186" s="220"/>
      <c r="AQ186" s="220"/>
      <c r="AR186" s="834" t="s">
        <v>835</v>
      </c>
      <c r="AS186" s="835"/>
      <c r="AT186" s="835"/>
      <c r="AU186" s="835"/>
      <c r="AV186" s="835"/>
      <c r="AW186" s="303" t="s">
        <v>836</v>
      </c>
      <c r="AX186" s="229">
        <f t="shared" si="51"/>
        <v>0</v>
      </c>
      <c r="AY186" s="569"/>
      <c r="BA186" s="223"/>
      <c r="BB186" s="573"/>
    </row>
    <row r="187" spans="1:58" ht="18.75" thickBot="1" x14ac:dyDescent="0.3">
      <c r="AA187" s="236"/>
      <c r="AI187" s="584"/>
      <c r="AJ187" s="220"/>
      <c r="AK187" s="220"/>
      <c r="AL187" s="220"/>
      <c r="AM187" s="220"/>
      <c r="AN187" s="220"/>
      <c r="AO187" s="220"/>
      <c r="AP187" s="220"/>
      <c r="AQ187" s="220"/>
      <c r="AR187" s="834" t="s">
        <v>837</v>
      </c>
      <c r="AS187" s="835"/>
      <c r="AT187" s="835"/>
      <c r="AU187" s="835"/>
      <c r="AV187" s="835"/>
      <c r="AW187" s="585" t="s">
        <v>838</v>
      </c>
      <c r="AX187" s="229">
        <f t="shared" si="51"/>
        <v>0</v>
      </c>
      <c r="AY187" s="586"/>
      <c r="BA187" s="223"/>
      <c r="BB187" s="573"/>
      <c r="BC187" s="541"/>
      <c r="BD187" s="541"/>
      <c r="BE187" s="541"/>
      <c r="BF187" s="541"/>
    </row>
    <row r="188" spans="1:58" ht="24" thickBot="1" x14ac:dyDescent="0.4">
      <c r="A188" s="846" t="s">
        <v>839</v>
      </c>
      <c r="B188" s="847"/>
      <c r="C188" s="847"/>
      <c r="D188" s="847"/>
      <c r="E188" s="848"/>
      <c r="F188" s="849">
        <f>SUM(G197,G210,G218,G222,G226)</f>
        <v>1</v>
      </c>
      <c r="G188" s="850"/>
      <c r="N188" s="846" t="s">
        <v>804</v>
      </c>
      <c r="O188" s="847"/>
      <c r="P188" s="847"/>
      <c r="Q188" s="847"/>
      <c r="R188" s="848"/>
      <c r="S188" s="849">
        <f>SUM(T197,T210,T218,T222,T226)</f>
        <v>0</v>
      </c>
      <c r="T188" s="850"/>
      <c r="AA188" s="236"/>
      <c r="AI188" s="584"/>
      <c r="AJ188" s="220"/>
      <c r="AK188" s="220"/>
      <c r="AL188" s="220"/>
      <c r="AM188" s="220"/>
      <c r="AN188" s="220"/>
      <c r="AO188" s="220"/>
      <c r="AQ188" s="220"/>
      <c r="AR188" s="834" t="s">
        <v>840</v>
      </c>
      <c r="AS188" s="835"/>
      <c r="AT188" s="835"/>
      <c r="AU188" s="835"/>
      <c r="AV188" s="835"/>
      <c r="AW188" s="587" t="s">
        <v>841</v>
      </c>
      <c r="AX188" s="229">
        <f t="shared" si="51"/>
        <v>0</v>
      </c>
      <c r="AY188" s="586"/>
      <c r="BA188" s="223"/>
      <c r="BC188" s="543"/>
      <c r="BD188" s="543"/>
      <c r="BE188" s="543"/>
      <c r="BF188" s="543"/>
    </row>
    <row r="189" spans="1:58" ht="21.75" thickBot="1" x14ac:dyDescent="0.4">
      <c r="A189" s="588"/>
      <c r="B189" s="589"/>
      <c r="C189" s="589"/>
      <c r="D189" s="589"/>
      <c r="E189" s="590"/>
      <c r="F189" s="590"/>
      <c r="G189" s="590"/>
      <c r="Q189" s="590"/>
      <c r="AA189" s="236"/>
      <c r="AI189" s="798" t="s">
        <v>149</v>
      </c>
      <c r="AJ189" s="791"/>
      <c r="AK189" s="791"/>
      <c r="AL189" s="791"/>
      <c r="AM189" s="791"/>
      <c r="AN189" s="792"/>
      <c r="AO189" s="221" t="s">
        <v>70</v>
      </c>
      <c r="AP189" s="222"/>
      <c r="AQ189" s="220"/>
      <c r="AR189" s="840" t="s">
        <v>842</v>
      </c>
      <c r="AS189" s="841"/>
      <c r="AT189" s="841"/>
      <c r="AU189" s="841"/>
      <c r="AV189" s="841"/>
      <c r="AW189" s="591" t="s">
        <v>843</v>
      </c>
      <c r="AX189" s="229">
        <f t="shared" si="51"/>
        <v>0</v>
      </c>
      <c r="AY189" s="586"/>
      <c r="BA189" s="223"/>
      <c r="BC189" s="541"/>
      <c r="BD189" s="541"/>
      <c r="BE189" s="541"/>
      <c r="BF189" s="541"/>
    </row>
    <row r="190" spans="1:58" ht="18.75" thickBot="1" x14ac:dyDescent="0.3">
      <c r="A190" s="810" t="s">
        <v>844</v>
      </c>
      <c r="B190" s="811"/>
      <c r="C190" s="811"/>
      <c r="D190" s="811"/>
      <c r="E190" s="812"/>
      <c r="G190" s="842"/>
      <c r="H190" s="842"/>
      <c r="I190" s="842"/>
      <c r="N190" s="810" t="s">
        <v>844</v>
      </c>
      <c r="O190" s="811"/>
      <c r="P190" s="811"/>
      <c r="Q190" s="811"/>
      <c r="R190" s="812"/>
      <c r="T190" s="842"/>
      <c r="U190" s="842"/>
      <c r="V190" s="842"/>
      <c r="AA190" s="236"/>
      <c r="AI190" s="795" t="s">
        <v>845</v>
      </c>
      <c r="AJ190" s="796"/>
      <c r="AK190" s="796"/>
      <c r="AL190" s="796"/>
      <c r="AM190" s="797"/>
      <c r="AN190" s="592" t="s">
        <v>846</v>
      </c>
      <c r="AO190" s="229">
        <f>COUNTIF($A$1:$GO$54,AN190)</f>
        <v>0</v>
      </c>
      <c r="AP190" s="593"/>
      <c r="AQ190" s="220"/>
      <c r="AR190" s="834" t="s">
        <v>847</v>
      </c>
      <c r="AS190" s="835"/>
      <c r="AT190" s="835"/>
      <c r="AU190" s="835"/>
      <c r="AV190" s="835"/>
      <c r="AW190" s="511" t="s">
        <v>848</v>
      </c>
      <c r="AX190" s="229">
        <f t="shared" si="51"/>
        <v>0</v>
      </c>
      <c r="AY190" s="586"/>
      <c r="BA190" s="223"/>
      <c r="BB190" s="573"/>
      <c r="BC190" s="549"/>
      <c r="BD190" s="549"/>
      <c r="BE190" s="549"/>
      <c r="BF190" s="549"/>
    </row>
    <row r="191" spans="1:58" ht="18.75" x14ac:dyDescent="0.25">
      <c r="A191" s="837" t="s">
        <v>849</v>
      </c>
      <c r="B191" s="837"/>
      <c r="C191" s="837"/>
      <c r="D191" s="837"/>
      <c r="E191" s="837"/>
      <c r="F191" s="82" t="s">
        <v>850</v>
      </c>
      <c r="G191" s="806">
        <f t="shared" ref="G191:G196" si="52">COUNTIF($E$13:$AX$49,F191)</f>
        <v>0</v>
      </c>
      <c r="H191" s="807"/>
      <c r="I191" s="808"/>
      <c r="N191" s="837" t="s">
        <v>849</v>
      </c>
      <c r="O191" s="837"/>
      <c r="P191" s="837"/>
      <c r="Q191" s="837"/>
      <c r="R191" s="837"/>
      <c r="S191" s="82" t="s">
        <v>850</v>
      </c>
      <c r="T191" s="809">
        <f t="shared" ref="T191:T196" si="53">COUNTIF($E$3:$Y$12,S191)</f>
        <v>0</v>
      </c>
      <c r="U191" s="809"/>
      <c r="V191" s="809"/>
      <c r="AA191" s="236"/>
      <c r="AI191" s="795" t="s">
        <v>851</v>
      </c>
      <c r="AJ191" s="796"/>
      <c r="AK191" s="796"/>
      <c r="AL191" s="796"/>
      <c r="AM191" s="797"/>
      <c r="AN191" s="594" t="s">
        <v>852</v>
      </c>
      <c r="AO191" s="229">
        <f>COUNTIF($A$1:$GO$54,AN191)</f>
        <v>0</v>
      </c>
      <c r="AP191" s="593"/>
      <c r="AQ191" s="220"/>
      <c r="AR191" s="834" t="s">
        <v>853</v>
      </c>
      <c r="AS191" s="835"/>
      <c r="AT191" s="835"/>
      <c r="AU191" s="835"/>
      <c r="AV191" s="835"/>
      <c r="AW191" s="595" t="s">
        <v>854</v>
      </c>
      <c r="AX191" s="229">
        <f t="shared" si="51"/>
        <v>0</v>
      </c>
      <c r="AY191" s="586"/>
      <c r="BA191" s="223"/>
      <c r="BB191" s="2"/>
    </row>
    <row r="192" spans="1:58" ht="18.75" x14ac:dyDescent="0.25">
      <c r="A192" s="805" t="s">
        <v>855</v>
      </c>
      <c r="B192" s="805"/>
      <c r="C192" s="805"/>
      <c r="D192" s="805"/>
      <c r="E192" s="805"/>
      <c r="F192" s="82" t="s">
        <v>856</v>
      </c>
      <c r="G192" s="806">
        <f t="shared" si="52"/>
        <v>0</v>
      </c>
      <c r="H192" s="807"/>
      <c r="I192" s="808"/>
      <c r="N192" s="805" t="s">
        <v>855</v>
      </c>
      <c r="O192" s="805"/>
      <c r="P192" s="805"/>
      <c r="Q192" s="805"/>
      <c r="R192" s="805"/>
      <c r="S192" s="82" t="s">
        <v>856</v>
      </c>
      <c r="T192" s="809">
        <f t="shared" si="53"/>
        <v>0</v>
      </c>
      <c r="U192" s="809"/>
      <c r="V192" s="809"/>
      <c r="AA192" s="236" t="b">
        <f>IFERROR(#REF!&gt;0.5,FALSE)</f>
        <v>0</v>
      </c>
      <c r="AI192" s="779" t="s">
        <v>857</v>
      </c>
      <c r="AJ192" s="780"/>
      <c r="AK192" s="780"/>
      <c r="AL192" s="780"/>
      <c r="AM192" s="781"/>
      <c r="AN192" s="410"/>
      <c r="AO192" s="411">
        <f>SUM(AO190:AO191)</f>
        <v>0</v>
      </c>
      <c r="AP192" s="220"/>
      <c r="AQ192" s="220"/>
      <c r="AR192" s="834" t="s">
        <v>858</v>
      </c>
      <c r="AS192" s="835"/>
      <c r="AT192" s="835"/>
      <c r="AU192" s="835"/>
      <c r="AV192" s="835"/>
      <c r="AW192" s="596" t="s">
        <v>859</v>
      </c>
      <c r="AX192" s="229">
        <f t="shared" si="51"/>
        <v>0</v>
      </c>
      <c r="AY192" s="586"/>
      <c r="BA192" s="223"/>
      <c r="BB192" s="573"/>
      <c r="BC192" s="541"/>
      <c r="BD192" s="541"/>
      <c r="BE192" s="541"/>
      <c r="BF192" s="541"/>
    </row>
    <row r="193" spans="1:58" ht="18.75" x14ac:dyDescent="0.25">
      <c r="A193" s="805" t="s">
        <v>860</v>
      </c>
      <c r="B193" s="805"/>
      <c r="C193" s="805"/>
      <c r="D193" s="805"/>
      <c r="E193" s="805"/>
      <c r="F193" s="82" t="s">
        <v>861</v>
      </c>
      <c r="G193" s="806">
        <f t="shared" si="52"/>
        <v>0</v>
      </c>
      <c r="H193" s="807"/>
      <c r="I193" s="808"/>
      <c r="N193" s="805" t="s">
        <v>860</v>
      </c>
      <c r="O193" s="805"/>
      <c r="P193" s="805"/>
      <c r="Q193" s="805"/>
      <c r="R193" s="805"/>
      <c r="S193" s="82" t="s">
        <v>861</v>
      </c>
      <c r="T193" s="809">
        <f t="shared" si="53"/>
        <v>0</v>
      </c>
      <c r="U193" s="809"/>
      <c r="V193" s="809"/>
      <c r="AA193" s="236" t="b">
        <f>IFERROR(#REF!&gt;0.5,FALSE)</f>
        <v>0</v>
      </c>
      <c r="AI193" s="584"/>
      <c r="AJ193" s="220"/>
      <c r="AK193" s="220"/>
      <c r="AL193" s="220"/>
      <c r="AM193" s="220"/>
      <c r="AN193" s="220"/>
      <c r="AO193" s="220"/>
      <c r="AP193" s="220"/>
      <c r="AQ193" s="220"/>
      <c r="AR193" s="834" t="s">
        <v>862</v>
      </c>
      <c r="AS193" s="835"/>
      <c r="AT193" s="835"/>
      <c r="AU193" s="835"/>
      <c r="AV193" s="835"/>
      <c r="AW193" s="307" t="s">
        <v>863</v>
      </c>
      <c r="AX193" s="229">
        <f t="shared" si="51"/>
        <v>0</v>
      </c>
      <c r="AY193" s="586"/>
      <c r="BA193" s="223"/>
      <c r="BC193" s="543"/>
      <c r="BD193" s="543"/>
      <c r="BE193" s="543"/>
      <c r="BF193" s="543"/>
    </row>
    <row r="194" spans="1:58" ht="18.75" x14ac:dyDescent="0.25">
      <c r="A194" s="805" t="s">
        <v>864</v>
      </c>
      <c r="B194" s="805"/>
      <c r="C194" s="805"/>
      <c r="D194" s="805"/>
      <c r="E194" s="805"/>
      <c r="F194" s="82" t="s">
        <v>865</v>
      </c>
      <c r="G194" s="806">
        <f t="shared" si="52"/>
        <v>0</v>
      </c>
      <c r="H194" s="807"/>
      <c r="I194" s="808"/>
      <c r="N194" s="805" t="s">
        <v>864</v>
      </c>
      <c r="O194" s="805"/>
      <c r="P194" s="805"/>
      <c r="Q194" s="805"/>
      <c r="R194" s="805"/>
      <c r="S194" s="82" t="s">
        <v>865</v>
      </c>
      <c r="T194" s="809">
        <f t="shared" si="53"/>
        <v>0</v>
      </c>
      <c r="U194" s="809"/>
      <c r="V194" s="809"/>
      <c r="AA194" s="236"/>
      <c r="AI194" s="584"/>
      <c r="AJ194" s="220"/>
      <c r="AK194" s="220"/>
      <c r="AL194" s="220"/>
      <c r="AM194" s="220"/>
      <c r="AN194" s="220"/>
      <c r="AO194" s="220"/>
      <c r="AP194" s="220"/>
      <c r="AQ194" s="220"/>
      <c r="AR194" s="834" t="s">
        <v>866</v>
      </c>
      <c r="AS194" s="835"/>
      <c r="AT194" s="835"/>
      <c r="AU194" s="835"/>
      <c r="AV194" s="835"/>
      <c r="AW194" s="233" t="s">
        <v>867</v>
      </c>
      <c r="AX194" s="229">
        <f t="shared" si="51"/>
        <v>0</v>
      </c>
      <c r="AY194" s="586"/>
      <c r="BA194" s="223"/>
      <c r="BB194" s="573"/>
      <c r="BC194" s="541"/>
      <c r="BD194" s="541"/>
      <c r="BE194" s="541"/>
      <c r="BF194" s="541"/>
    </row>
    <row r="195" spans="1:58" ht="18.75" x14ac:dyDescent="0.25">
      <c r="A195" s="805" t="s">
        <v>868</v>
      </c>
      <c r="B195" s="805"/>
      <c r="C195" s="805"/>
      <c r="D195" s="805"/>
      <c r="E195" s="805"/>
      <c r="F195" s="82" t="s">
        <v>33</v>
      </c>
      <c r="G195" s="806">
        <f t="shared" si="52"/>
        <v>1</v>
      </c>
      <c r="H195" s="807"/>
      <c r="I195" s="808"/>
      <c r="N195" s="805" t="s">
        <v>868</v>
      </c>
      <c r="O195" s="805"/>
      <c r="P195" s="805"/>
      <c r="Q195" s="805"/>
      <c r="R195" s="805"/>
      <c r="S195" s="82" t="s">
        <v>33</v>
      </c>
      <c r="T195" s="809">
        <f t="shared" si="53"/>
        <v>0</v>
      </c>
      <c r="U195" s="809"/>
      <c r="V195" s="809"/>
      <c r="AA195" s="236"/>
      <c r="AI195" s="773" t="s">
        <v>869</v>
      </c>
      <c r="AJ195" s="774"/>
      <c r="AK195" s="774"/>
      <c r="AL195" s="774"/>
      <c r="AM195" s="774"/>
      <c r="AN195" s="775"/>
      <c r="AO195" s="221" t="s">
        <v>70</v>
      </c>
      <c r="AP195" s="222"/>
      <c r="AR195" s="834" t="s">
        <v>870</v>
      </c>
      <c r="AS195" s="835"/>
      <c r="AT195" s="835"/>
      <c r="AU195" s="835"/>
      <c r="AV195" s="835"/>
      <c r="AW195" s="597" t="s">
        <v>871</v>
      </c>
      <c r="AX195" s="229">
        <f t="shared" si="51"/>
        <v>0</v>
      </c>
      <c r="AY195" s="586"/>
      <c r="BA195" s="223"/>
      <c r="BB195" s="2"/>
      <c r="BC195" s="549"/>
      <c r="BD195" s="549"/>
      <c r="BE195" s="549"/>
      <c r="BF195" s="549"/>
    </row>
    <row r="196" spans="1:58" ht="18.75" x14ac:dyDescent="0.25">
      <c r="A196" s="805" t="s">
        <v>872</v>
      </c>
      <c r="B196" s="805"/>
      <c r="C196" s="805"/>
      <c r="D196" s="805"/>
      <c r="E196" s="805"/>
      <c r="F196" s="82" t="s">
        <v>873</v>
      </c>
      <c r="G196" s="806">
        <f t="shared" si="52"/>
        <v>0</v>
      </c>
      <c r="H196" s="807"/>
      <c r="I196" s="808"/>
      <c r="N196" s="805" t="s">
        <v>872</v>
      </c>
      <c r="O196" s="805"/>
      <c r="P196" s="805"/>
      <c r="Q196" s="805"/>
      <c r="R196" s="805"/>
      <c r="S196" s="82" t="s">
        <v>873</v>
      </c>
      <c r="T196" s="809">
        <f t="shared" si="53"/>
        <v>0</v>
      </c>
      <c r="U196" s="809"/>
      <c r="V196" s="809"/>
      <c r="AA196" s="236"/>
      <c r="AH196" s="223"/>
      <c r="AI196" s="776" t="s">
        <v>874</v>
      </c>
      <c r="AJ196" s="777"/>
      <c r="AK196" s="777"/>
      <c r="AL196" s="777"/>
      <c r="AM196" s="777"/>
      <c r="AN196" s="303" t="s">
        <v>875</v>
      </c>
      <c r="AO196" s="229">
        <f t="shared" ref="AO196:AO202" si="54">COUNTIF($A$1:$GO$54,AN196)</f>
        <v>0</v>
      </c>
      <c r="AP196" s="598"/>
      <c r="AR196" s="834" t="s">
        <v>876</v>
      </c>
      <c r="AS196" s="835"/>
      <c r="AT196" s="835"/>
      <c r="AU196" s="835"/>
      <c r="AV196" s="835"/>
      <c r="AW196" s="599" t="s">
        <v>877</v>
      </c>
      <c r="AX196" s="229">
        <f t="shared" si="51"/>
        <v>0</v>
      </c>
      <c r="AY196" s="586"/>
      <c r="BA196" s="223"/>
      <c r="BB196" s="573"/>
    </row>
    <row r="197" spans="1:58" ht="19.5" thickBot="1" x14ac:dyDescent="0.3">
      <c r="A197" s="838" t="s">
        <v>70</v>
      </c>
      <c r="B197" s="839"/>
      <c r="C197" s="839"/>
      <c r="D197" s="839"/>
      <c r="E197" s="839"/>
      <c r="F197" s="600"/>
      <c r="G197" s="802">
        <f>SUM(G191:I196)</f>
        <v>1</v>
      </c>
      <c r="H197" s="803"/>
      <c r="I197" s="804"/>
      <c r="N197" s="838" t="s">
        <v>70</v>
      </c>
      <c r="O197" s="839"/>
      <c r="P197" s="839"/>
      <c r="Q197" s="839"/>
      <c r="R197" s="839"/>
      <c r="S197" s="600"/>
      <c r="T197" s="802">
        <f>SUM(T191:V196)</f>
        <v>0</v>
      </c>
      <c r="U197" s="803"/>
      <c r="V197" s="804"/>
      <c r="AA197" s="236" t="b">
        <f>IFERROR(#REF!&gt;0.5,FALSE)</f>
        <v>0</v>
      </c>
      <c r="AH197" s="601"/>
      <c r="AI197" s="776" t="s">
        <v>878</v>
      </c>
      <c r="AJ197" s="777"/>
      <c r="AK197" s="777"/>
      <c r="AL197" s="777"/>
      <c r="AM197" s="778"/>
      <c r="AN197" s="592" t="s">
        <v>879</v>
      </c>
      <c r="AO197" s="229">
        <f t="shared" si="54"/>
        <v>0</v>
      </c>
      <c r="AP197" s="602"/>
      <c r="AR197" s="834" t="s">
        <v>880</v>
      </c>
      <c r="AS197" s="835"/>
      <c r="AT197" s="835"/>
      <c r="AU197" s="835"/>
      <c r="AV197" s="835"/>
      <c r="AW197" s="603" t="s">
        <v>881</v>
      </c>
      <c r="AX197" s="229">
        <f t="shared" si="51"/>
        <v>0</v>
      </c>
      <c r="AY197" s="586"/>
      <c r="AZ197" s="220"/>
      <c r="BA197" s="223"/>
      <c r="BB197" s="573"/>
    </row>
    <row r="198" spans="1:58" ht="18.75" thickBot="1" x14ac:dyDescent="0.3">
      <c r="A198" s="810" t="s">
        <v>882</v>
      </c>
      <c r="B198" s="811"/>
      <c r="C198" s="811"/>
      <c r="D198" s="811"/>
      <c r="E198" s="812"/>
      <c r="F198" s="129"/>
      <c r="G198" s="129"/>
      <c r="H198" s="129"/>
      <c r="I198" s="129"/>
      <c r="N198" s="810" t="s">
        <v>882</v>
      </c>
      <c r="O198" s="811"/>
      <c r="P198" s="811"/>
      <c r="Q198" s="811"/>
      <c r="R198" s="812"/>
      <c r="S198" s="129"/>
      <c r="T198" s="129"/>
      <c r="U198" s="129"/>
      <c r="V198" s="129"/>
      <c r="AA198" s="236"/>
      <c r="AH198" s="601"/>
      <c r="AI198" s="776" t="s">
        <v>883</v>
      </c>
      <c r="AJ198" s="777"/>
      <c r="AK198" s="777"/>
      <c r="AL198" s="777"/>
      <c r="AM198" s="778"/>
      <c r="AN198" s="604" t="s">
        <v>884</v>
      </c>
      <c r="AO198" s="229">
        <f t="shared" si="54"/>
        <v>0</v>
      </c>
      <c r="AP198" s="602"/>
      <c r="AR198" s="834" t="s">
        <v>885</v>
      </c>
      <c r="AS198" s="835"/>
      <c r="AT198" s="835"/>
      <c r="AU198" s="835"/>
      <c r="AV198" s="835"/>
      <c r="AW198" s="605" t="s">
        <v>886</v>
      </c>
      <c r="AX198" s="229">
        <f t="shared" si="51"/>
        <v>0</v>
      </c>
      <c r="AY198" s="586"/>
      <c r="BA198" s="223"/>
    </row>
    <row r="199" spans="1:58" ht="18.75" x14ac:dyDescent="0.25">
      <c r="A199" s="837" t="s">
        <v>849</v>
      </c>
      <c r="B199" s="837"/>
      <c r="C199" s="837"/>
      <c r="D199" s="837"/>
      <c r="E199" s="837"/>
      <c r="F199" s="82" t="s">
        <v>887</v>
      </c>
      <c r="G199" s="806">
        <f t="shared" ref="G199:G209" si="55">COUNTIF($E$13:$AX$49,F199)</f>
        <v>0</v>
      </c>
      <c r="H199" s="807"/>
      <c r="I199" s="808"/>
      <c r="N199" s="837" t="s">
        <v>849</v>
      </c>
      <c r="O199" s="837"/>
      <c r="P199" s="837"/>
      <c r="Q199" s="837"/>
      <c r="R199" s="837"/>
      <c r="S199" s="82" t="s">
        <v>887</v>
      </c>
      <c r="T199" s="809">
        <f t="shared" ref="T199:T209" si="56">COUNTIF($E$3:$Y$12,S199)</f>
        <v>0</v>
      </c>
      <c r="U199" s="809"/>
      <c r="V199" s="809"/>
      <c r="AA199" s="236"/>
      <c r="AI199" s="776" t="s">
        <v>888</v>
      </c>
      <c r="AJ199" s="777"/>
      <c r="AK199" s="777"/>
      <c r="AL199" s="777"/>
      <c r="AM199" s="778"/>
      <c r="AN199" s="606" t="s">
        <v>889</v>
      </c>
      <c r="AO199" s="229">
        <f t="shared" si="54"/>
        <v>0</v>
      </c>
      <c r="AP199" s="602"/>
      <c r="AR199" s="834" t="s">
        <v>890</v>
      </c>
      <c r="AS199" s="835"/>
      <c r="AT199" s="835"/>
      <c r="AU199" s="835"/>
      <c r="AV199" s="835"/>
      <c r="AW199" s="607" t="s">
        <v>891</v>
      </c>
      <c r="AX199" s="229">
        <f t="shared" si="51"/>
        <v>0</v>
      </c>
      <c r="AY199" s="586"/>
      <c r="BA199" s="223"/>
      <c r="BB199" s="573"/>
    </row>
    <row r="200" spans="1:58" ht="18" x14ac:dyDescent="0.25">
      <c r="A200" s="805" t="s">
        <v>855</v>
      </c>
      <c r="B200" s="805"/>
      <c r="C200" s="805"/>
      <c r="D200" s="805"/>
      <c r="E200" s="805"/>
      <c r="F200" s="82" t="s">
        <v>892</v>
      </c>
      <c r="G200" s="806">
        <f t="shared" si="55"/>
        <v>0</v>
      </c>
      <c r="H200" s="807"/>
      <c r="I200" s="808"/>
      <c r="N200" s="805" t="s">
        <v>855</v>
      </c>
      <c r="O200" s="805"/>
      <c r="P200" s="805"/>
      <c r="Q200" s="805"/>
      <c r="R200" s="805"/>
      <c r="S200" s="82" t="s">
        <v>892</v>
      </c>
      <c r="T200" s="809">
        <f t="shared" si="56"/>
        <v>0</v>
      </c>
      <c r="U200" s="809"/>
      <c r="V200" s="809"/>
      <c r="AA200" s="236"/>
      <c r="AI200" s="776" t="s">
        <v>893</v>
      </c>
      <c r="AJ200" s="777"/>
      <c r="AK200" s="777"/>
      <c r="AL200" s="777"/>
      <c r="AM200" s="778"/>
      <c r="AN200" s="608" t="s">
        <v>894</v>
      </c>
      <c r="AO200" s="229">
        <f t="shared" si="54"/>
        <v>0</v>
      </c>
      <c r="AP200" s="602"/>
      <c r="AR200" s="834" t="s">
        <v>895</v>
      </c>
      <c r="AS200" s="835"/>
      <c r="AT200" s="835"/>
      <c r="AU200" s="835"/>
      <c r="AV200" s="835"/>
      <c r="AW200" s="609" t="s">
        <v>896</v>
      </c>
      <c r="AX200" s="229">
        <f t="shared" si="51"/>
        <v>0</v>
      </c>
      <c r="AY200" s="586"/>
      <c r="BA200" s="223"/>
      <c r="BB200" s="610"/>
    </row>
    <row r="201" spans="1:58" ht="18.75" x14ac:dyDescent="0.25">
      <c r="A201" s="805" t="s">
        <v>860</v>
      </c>
      <c r="B201" s="805"/>
      <c r="C201" s="805"/>
      <c r="D201" s="805"/>
      <c r="E201" s="805"/>
      <c r="F201" s="82" t="s">
        <v>897</v>
      </c>
      <c r="G201" s="806">
        <f t="shared" si="55"/>
        <v>0</v>
      </c>
      <c r="H201" s="807"/>
      <c r="I201" s="808"/>
      <c r="N201" s="805" t="s">
        <v>860</v>
      </c>
      <c r="O201" s="805"/>
      <c r="P201" s="805"/>
      <c r="Q201" s="805"/>
      <c r="R201" s="805"/>
      <c r="S201" s="82" t="s">
        <v>897</v>
      </c>
      <c r="T201" s="809">
        <f t="shared" si="56"/>
        <v>0</v>
      </c>
      <c r="U201" s="809"/>
      <c r="V201" s="809"/>
      <c r="AA201" s="236"/>
      <c r="AI201" s="776" t="s">
        <v>898</v>
      </c>
      <c r="AJ201" s="777"/>
      <c r="AK201" s="777"/>
      <c r="AL201" s="777"/>
      <c r="AM201" s="778"/>
      <c r="AN201" s="611" t="s">
        <v>899</v>
      </c>
      <c r="AO201" s="229">
        <f t="shared" si="54"/>
        <v>0</v>
      </c>
      <c r="AP201" s="602"/>
      <c r="AR201" s="834" t="s">
        <v>900</v>
      </c>
      <c r="AS201" s="835"/>
      <c r="AT201" s="835"/>
      <c r="AU201" s="835"/>
      <c r="AV201" s="835"/>
      <c r="AW201" s="609" t="s">
        <v>901</v>
      </c>
      <c r="AX201" s="229">
        <f t="shared" si="51"/>
        <v>0</v>
      </c>
      <c r="AY201" s="586"/>
      <c r="BA201" s="223"/>
      <c r="BB201" s="573"/>
    </row>
    <row r="202" spans="1:58" ht="18.75" x14ac:dyDescent="0.25">
      <c r="A202" s="805" t="s">
        <v>902</v>
      </c>
      <c r="B202" s="805"/>
      <c r="C202" s="805"/>
      <c r="D202" s="805"/>
      <c r="E202" s="805"/>
      <c r="F202" s="82" t="s">
        <v>903</v>
      </c>
      <c r="G202" s="806">
        <f t="shared" si="55"/>
        <v>0</v>
      </c>
      <c r="H202" s="807"/>
      <c r="I202" s="808"/>
      <c r="N202" s="805" t="s">
        <v>902</v>
      </c>
      <c r="O202" s="805"/>
      <c r="P202" s="805"/>
      <c r="Q202" s="805"/>
      <c r="R202" s="805"/>
      <c r="S202" s="82" t="s">
        <v>903</v>
      </c>
      <c r="T202" s="809">
        <f t="shared" si="56"/>
        <v>0</v>
      </c>
      <c r="U202" s="809"/>
      <c r="V202" s="809"/>
      <c r="AA202" s="236"/>
      <c r="AI202" s="776" t="s">
        <v>904</v>
      </c>
      <c r="AJ202" s="777"/>
      <c r="AK202" s="777"/>
      <c r="AL202" s="777"/>
      <c r="AM202" s="778"/>
      <c r="AN202" s="323" t="s">
        <v>905</v>
      </c>
      <c r="AO202" s="229">
        <f t="shared" si="54"/>
        <v>0</v>
      </c>
      <c r="AP202" s="602"/>
      <c r="AR202" s="834" t="s">
        <v>906</v>
      </c>
      <c r="AS202" s="835"/>
      <c r="AT202" s="835"/>
      <c r="AU202" s="835"/>
      <c r="AV202" s="835"/>
      <c r="AW202" s="609" t="s">
        <v>907</v>
      </c>
      <c r="AX202" s="229">
        <f t="shared" si="51"/>
        <v>0</v>
      </c>
      <c r="AY202" s="586"/>
      <c r="BA202" s="223"/>
      <c r="BB202" s="573"/>
    </row>
    <row r="203" spans="1:58" ht="18" x14ac:dyDescent="0.25">
      <c r="A203" s="805" t="s">
        <v>864</v>
      </c>
      <c r="B203" s="805"/>
      <c r="C203" s="805"/>
      <c r="D203" s="805"/>
      <c r="E203" s="805"/>
      <c r="F203" s="82" t="s">
        <v>908</v>
      </c>
      <c r="G203" s="806">
        <f t="shared" si="55"/>
        <v>0</v>
      </c>
      <c r="H203" s="807"/>
      <c r="I203" s="808"/>
      <c r="N203" s="805" t="s">
        <v>864</v>
      </c>
      <c r="O203" s="805"/>
      <c r="P203" s="805"/>
      <c r="Q203" s="805"/>
      <c r="R203" s="805"/>
      <c r="S203" s="82" t="s">
        <v>908</v>
      </c>
      <c r="T203" s="809">
        <f t="shared" si="56"/>
        <v>0</v>
      </c>
      <c r="U203" s="809"/>
      <c r="V203" s="809"/>
      <c r="AA203" s="236"/>
      <c r="AI203" s="779" t="s">
        <v>909</v>
      </c>
      <c r="AJ203" s="780"/>
      <c r="AK203" s="780"/>
      <c r="AL203" s="780"/>
      <c r="AM203" s="781"/>
      <c r="AN203" s="410"/>
      <c r="AO203" s="411">
        <f>SUM(AO196:AO202)</f>
        <v>0</v>
      </c>
      <c r="AP203" s="220"/>
      <c r="AR203" s="834" t="s">
        <v>910</v>
      </c>
      <c r="AS203" s="835"/>
      <c r="AT203" s="835"/>
      <c r="AU203" s="835"/>
      <c r="AV203" s="835"/>
      <c r="AW203" s="612" t="s">
        <v>911</v>
      </c>
      <c r="AX203" s="229">
        <f t="shared" si="51"/>
        <v>0</v>
      </c>
      <c r="AY203" s="586"/>
      <c r="BA203" s="223"/>
    </row>
    <row r="204" spans="1:58" ht="18" x14ac:dyDescent="0.25">
      <c r="A204" s="805" t="s">
        <v>912</v>
      </c>
      <c r="B204" s="805"/>
      <c r="C204" s="805"/>
      <c r="D204" s="805"/>
      <c r="E204" s="805"/>
      <c r="F204" s="82" t="s">
        <v>913</v>
      </c>
      <c r="G204" s="806">
        <f t="shared" si="55"/>
        <v>0</v>
      </c>
      <c r="H204" s="807"/>
      <c r="I204" s="808"/>
      <c r="N204" s="805" t="s">
        <v>912</v>
      </c>
      <c r="O204" s="805"/>
      <c r="P204" s="805"/>
      <c r="Q204" s="805"/>
      <c r="R204" s="805"/>
      <c r="S204" s="82" t="s">
        <v>913</v>
      </c>
      <c r="T204" s="809">
        <f t="shared" si="56"/>
        <v>0</v>
      </c>
      <c r="U204" s="809"/>
      <c r="V204" s="809"/>
      <c r="AA204" s="236"/>
      <c r="AI204" s="584"/>
      <c r="AJ204" s="220"/>
      <c r="AK204" s="220"/>
      <c r="AL204" s="220"/>
      <c r="AM204" s="220"/>
      <c r="AN204" s="220"/>
      <c r="AO204" s="220"/>
      <c r="AP204" s="220"/>
      <c r="AR204" s="834" t="s">
        <v>914</v>
      </c>
      <c r="AS204" s="835"/>
      <c r="AT204" s="835"/>
      <c r="AU204" s="835"/>
      <c r="AV204" s="835"/>
      <c r="AW204" s="613" t="s">
        <v>915</v>
      </c>
      <c r="AX204" s="229">
        <f t="shared" si="51"/>
        <v>0</v>
      </c>
      <c r="AY204" s="586"/>
      <c r="BA204" s="223"/>
      <c r="BB204" s="573"/>
    </row>
    <row r="205" spans="1:58" ht="18" x14ac:dyDescent="0.25">
      <c r="A205" s="805" t="s">
        <v>916</v>
      </c>
      <c r="B205" s="805"/>
      <c r="C205" s="805"/>
      <c r="D205" s="805"/>
      <c r="E205" s="805"/>
      <c r="F205" s="82" t="s">
        <v>917</v>
      </c>
      <c r="G205" s="806">
        <f t="shared" si="55"/>
        <v>0</v>
      </c>
      <c r="H205" s="807"/>
      <c r="I205" s="808"/>
      <c r="N205" s="805" t="s">
        <v>916</v>
      </c>
      <c r="O205" s="805"/>
      <c r="P205" s="805"/>
      <c r="Q205" s="805"/>
      <c r="R205" s="805"/>
      <c r="S205" s="82" t="s">
        <v>917</v>
      </c>
      <c r="T205" s="809">
        <f t="shared" si="56"/>
        <v>0</v>
      </c>
      <c r="U205" s="809"/>
      <c r="V205" s="809"/>
      <c r="AA205" s="236"/>
      <c r="AI205" s="614"/>
      <c r="AQ205" s="220"/>
      <c r="AR205" s="795" t="s">
        <v>918</v>
      </c>
      <c r="AS205" s="796"/>
      <c r="AT205" s="796"/>
      <c r="AU205" s="796"/>
      <c r="AV205" s="796"/>
      <c r="AW205" s="615" t="s">
        <v>918</v>
      </c>
      <c r="AX205" s="229">
        <f t="shared" si="51"/>
        <v>0</v>
      </c>
      <c r="AY205" s="586"/>
      <c r="BA205" s="223"/>
      <c r="BB205" s="616"/>
    </row>
    <row r="206" spans="1:58" ht="18.75" x14ac:dyDescent="0.25">
      <c r="A206" s="805" t="s">
        <v>919</v>
      </c>
      <c r="B206" s="805"/>
      <c r="C206" s="805"/>
      <c r="D206" s="805"/>
      <c r="E206" s="805"/>
      <c r="F206" s="82" t="s">
        <v>920</v>
      </c>
      <c r="G206" s="806">
        <f t="shared" si="55"/>
        <v>0</v>
      </c>
      <c r="H206" s="807"/>
      <c r="I206" s="808"/>
      <c r="N206" s="805" t="s">
        <v>919</v>
      </c>
      <c r="O206" s="805"/>
      <c r="P206" s="805"/>
      <c r="Q206" s="805"/>
      <c r="R206" s="805"/>
      <c r="S206" s="82" t="s">
        <v>920</v>
      </c>
      <c r="T206" s="809">
        <f t="shared" si="56"/>
        <v>0</v>
      </c>
      <c r="U206" s="809"/>
      <c r="V206" s="809"/>
      <c r="AA206" s="236"/>
      <c r="AI206" s="798" t="s">
        <v>172</v>
      </c>
      <c r="AJ206" s="791"/>
      <c r="AK206" s="791"/>
      <c r="AL206" s="791"/>
      <c r="AM206" s="791"/>
      <c r="AN206" s="792"/>
      <c r="AO206" s="221" t="s">
        <v>70</v>
      </c>
      <c r="AP206" s="222"/>
      <c r="AQ206" s="617"/>
      <c r="AR206" s="834" t="s">
        <v>921</v>
      </c>
      <c r="AS206" s="835"/>
      <c r="AT206" s="835"/>
      <c r="AU206" s="835"/>
      <c r="AV206" s="835"/>
      <c r="AW206" s="371" t="s">
        <v>922</v>
      </c>
      <c r="AX206" s="229">
        <f t="shared" si="51"/>
        <v>0</v>
      </c>
      <c r="AY206" s="586"/>
      <c r="BA206" s="223"/>
      <c r="BB206" s="573"/>
    </row>
    <row r="207" spans="1:58" ht="18" x14ac:dyDescent="0.25">
      <c r="A207" s="805" t="s">
        <v>923</v>
      </c>
      <c r="B207" s="805"/>
      <c r="C207" s="805"/>
      <c r="D207" s="805"/>
      <c r="E207" s="805"/>
      <c r="F207" s="82" t="s">
        <v>924</v>
      </c>
      <c r="G207" s="806">
        <f t="shared" si="55"/>
        <v>0</v>
      </c>
      <c r="H207" s="807"/>
      <c r="I207" s="808"/>
      <c r="N207" s="805" t="s">
        <v>923</v>
      </c>
      <c r="O207" s="805"/>
      <c r="P207" s="805"/>
      <c r="Q207" s="805"/>
      <c r="R207" s="805"/>
      <c r="S207" s="82" t="s">
        <v>924</v>
      </c>
      <c r="T207" s="809">
        <f t="shared" si="56"/>
        <v>0</v>
      </c>
      <c r="U207" s="809"/>
      <c r="V207" s="809"/>
      <c r="AA207" s="236"/>
      <c r="AI207" s="813" t="s">
        <v>925</v>
      </c>
      <c r="AJ207" s="814"/>
      <c r="AK207" s="814"/>
      <c r="AL207" s="814"/>
      <c r="AM207" s="815"/>
      <c r="AN207" s="618" t="s">
        <v>926</v>
      </c>
      <c r="AO207" s="229">
        <f t="shared" ref="AO207:AO222" si="57">COUNTIF($A$1:$GO$54,AN207)</f>
        <v>0</v>
      </c>
      <c r="AP207" s="619"/>
      <c r="AR207" s="834" t="s">
        <v>927</v>
      </c>
      <c r="AS207" s="835"/>
      <c r="AT207" s="835"/>
      <c r="AU207" s="835"/>
      <c r="AV207" s="835"/>
      <c r="AW207" s="450" t="s">
        <v>928</v>
      </c>
      <c r="AX207" s="229">
        <f t="shared" si="51"/>
        <v>0</v>
      </c>
      <c r="AY207" s="586"/>
      <c r="BA207" s="223"/>
      <c r="BB207" s="573"/>
    </row>
    <row r="208" spans="1:58" ht="18" x14ac:dyDescent="0.25">
      <c r="A208" s="805" t="s">
        <v>929</v>
      </c>
      <c r="B208" s="805"/>
      <c r="C208" s="805"/>
      <c r="D208" s="805"/>
      <c r="E208" s="805"/>
      <c r="F208" s="82" t="s">
        <v>930</v>
      </c>
      <c r="G208" s="806">
        <f t="shared" si="55"/>
        <v>0</v>
      </c>
      <c r="H208" s="807"/>
      <c r="I208" s="808"/>
      <c r="N208" s="805" t="s">
        <v>929</v>
      </c>
      <c r="O208" s="805"/>
      <c r="P208" s="805"/>
      <c r="Q208" s="805"/>
      <c r="R208" s="805"/>
      <c r="S208" s="82" t="s">
        <v>930</v>
      </c>
      <c r="T208" s="809">
        <f t="shared" si="56"/>
        <v>0</v>
      </c>
      <c r="U208" s="809"/>
      <c r="V208" s="809"/>
      <c r="AA208" s="236"/>
      <c r="AI208" s="813" t="s">
        <v>931</v>
      </c>
      <c r="AJ208" s="814"/>
      <c r="AK208" s="814"/>
      <c r="AL208" s="814"/>
      <c r="AM208" s="815"/>
      <c r="AN208" s="618" t="s">
        <v>931</v>
      </c>
      <c r="AO208" s="229">
        <f t="shared" si="57"/>
        <v>0</v>
      </c>
      <c r="AP208" s="620"/>
      <c r="AR208" s="834" t="s">
        <v>932</v>
      </c>
      <c r="AS208" s="835"/>
      <c r="AT208" s="835"/>
      <c r="AU208" s="835"/>
      <c r="AV208" s="835"/>
      <c r="AW208" s="597" t="s">
        <v>933</v>
      </c>
      <c r="AX208" s="229">
        <f t="shared" si="51"/>
        <v>0</v>
      </c>
      <c r="AY208" s="586"/>
      <c r="BA208" s="223"/>
    </row>
    <row r="209" spans="1:54" ht="18" x14ac:dyDescent="0.25">
      <c r="A209" s="805" t="s">
        <v>934</v>
      </c>
      <c r="B209" s="805"/>
      <c r="C209" s="805"/>
      <c r="D209" s="805"/>
      <c r="E209" s="805"/>
      <c r="F209" s="82" t="s">
        <v>935</v>
      </c>
      <c r="G209" s="806">
        <f t="shared" si="55"/>
        <v>0</v>
      </c>
      <c r="H209" s="807"/>
      <c r="I209" s="808"/>
      <c r="N209" s="805" t="s">
        <v>934</v>
      </c>
      <c r="O209" s="805"/>
      <c r="P209" s="805"/>
      <c r="Q209" s="805"/>
      <c r="R209" s="805"/>
      <c r="S209" s="82" t="s">
        <v>935</v>
      </c>
      <c r="T209" s="809">
        <f t="shared" si="56"/>
        <v>0</v>
      </c>
      <c r="U209" s="809"/>
      <c r="V209" s="809"/>
      <c r="AA209" s="236"/>
      <c r="AI209" s="813" t="s">
        <v>936</v>
      </c>
      <c r="AJ209" s="814"/>
      <c r="AK209" s="814"/>
      <c r="AL209" s="814"/>
      <c r="AM209" s="815"/>
      <c r="AN209" s="618" t="s">
        <v>937</v>
      </c>
      <c r="AO209" s="229">
        <f t="shared" si="57"/>
        <v>0</v>
      </c>
      <c r="AP209" s="620"/>
      <c r="AQ209" s="220"/>
      <c r="AR209" s="834" t="s">
        <v>938</v>
      </c>
      <c r="AS209" s="835"/>
      <c r="AT209" s="835"/>
      <c r="AU209" s="835"/>
      <c r="AV209" s="835"/>
      <c r="AW209" s="621" t="s">
        <v>939</v>
      </c>
      <c r="AX209" s="229">
        <f t="shared" si="51"/>
        <v>0</v>
      </c>
      <c r="AY209" s="586"/>
      <c r="BA209" s="223"/>
      <c r="BB209" s="573"/>
    </row>
    <row r="210" spans="1:54" ht="19.5" thickBot="1" x14ac:dyDescent="0.3">
      <c r="A210" s="836" t="s">
        <v>70</v>
      </c>
      <c r="B210" s="836"/>
      <c r="C210" s="836"/>
      <c r="D210" s="836"/>
      <c r="E210" s="836"/>
      <c r="F210" s="600"/>
      <c r="G210" s="802">
        <f>SUM(G199:I209)</f>
        <v>0</v>
      </c>
      <c r="H210" s="803"/>
      <c r="I210" s="804"/>
      <c r="N210" s="836" t="s">
        <v>70</v>
      </c>
      <c r="O210" s="836"/>
      <c r="P210" s="836"/>
      <c r="Q210" s="836"/>
      <c r="R210" s="836"/>
      <c r="S210" s="600"/>
      <c r="T210" s="802">
        <f>SUM(T199:V209)</f>
        <v>0</v>
      </c>
      <c r="U210" s="803"/>
      <c r="V210" s="804"/>
      <c r="AA210" s="236"/>
      <c r="AI210" s="813" t="s">
        <v>940</v>
      </c>
      <c r="AJ210" s="814"/>
      <c r="AK210" s="814"/>
      <c r="AL210" s="814"/>
      <c r="AM210" s="815"/>
      <c r="AN210" s="618" t="s">
        <v>941</v>
      </c>
      <c r="AO210" s="229">
        <f t="shared" si="57"/>
        <v>0</v>
      </c>
      <c r="AP210" s="620"/>
      <c r="AQ210" s="220"/>
      <c r="AR210" s="834" t="s">
        <v>942</v>
      </c>
      <c r="AS210" s="835"/>
      <c r="AT210" s="835"/>
      <c r="AU210" s="835"/>
      <c r="AV210" s="835"/>
      <c r="AW210" s="622" t="s">
        <v>943</v>
      </c>
      <c r="AX210" s="229">
        <f t="shared" si="51"/>
        <v>0</v>
      </c>
      <c r="AY210" s="586"/>
      <c r="BA210" s="223"/>
      <c r="BB210" s="623"/>
    </row>
    <row r="211" spans="1:54" ht="18.75" thickBot="1" x14ac:dyDescent="0.3">
      <c r="A211" s="810" t="s">
        <v>1</v>
      </c>
      <c r="B211" s="811"/>
      <c r="C211" s="811"/>
      <c r="D211" s="811"/>
      <c r="E211" s="812"/>
      <c r="F211" s="129"/>
      <c r="G211" s="129"/>
      <c r="H211" s="129"/>
      <c r="I211" s="129"/>
      <c r="N211" s="810" t="s">
        <v>1</v>
      </c>
      <c r="O211" s="811"/>
      <c r="P211" s="811"/>
      <c r="Q211" s="811"/>
      <c r="R211" s="812"/>
      <c r="S211" s="129"/>
      <c r="T211" s="129"/>
      <c r="U211" s="129"/>
      <c r="V211" s="129"/>
      <c r="AA211" s="236"/>
      <c r="AI211" s="813" t="s">
        <v>944</v>
      </c>
      <c r="AJ211" s="814"/>
      <c r="AK211" s="814"/>
      <c r="AL211" s="814"/>
      <c r="AM211" s="815"/>
      <c r="AN211" s="618" t="s">
        <v>945</v>
      </c>
      <c r="AO211" s="229">
        <f t="shared" si="57"/>
        <v>0</v>
      </c>
      <c r="AP211" s="620"/>
      <c r="AQ211" s="220"/>
      <c r="AR211" s="834" t="s">
        <v>946</v>
      </c>
      <c r="AS211" s="835"/>
      <c r="AT211" s="835"/>
      <c r="AU211" s="835"/>
      <c r="AV211" s="835"/>
      <c r="AW211" s="624" t="s">
        <v>947</v>
      </c>
      <c r="AX211" s="229">
        <f t="shared" si="51"/>
        <v>0</v>
      </c>
      <c r="AY211" s="586"/>
      <c r="BA211" s="223"/>
      <c r="BB211" s="573"/>
    </row>
    <row r="212" spans="1:54" ht="18.75" x14ac:dyDescent="0.25">
      <c r="A212" s="805" t="s">
        <v>849</v>
      </c>
      <c r="B212" s="805"/>
      <c r="C212" s="805"/>
      <c r="D212" s="805"/>
      <c r="E212" s="805"/>
      <c r="F212" s="82" t="s">
        <v>948</v>
      </c>
      <c r="G212" s="806">
        <f t="shared" ref="G212:G217" si="58">COUNTIF($E$13:$AX$49,F212)</f>
        <v>0</v>
      </c>
      <c r="H212" s="807"/>
      <c r="I212" s="808"/>
      <c r="N212" s="805" t="s">
        <v>849</v>
      </c>
      <c r="O212" s="805"/>
      <c r="P212" s="805"/>
      <c r="Q212" s="805"/>
      <c r="R212" s="805"/>
      <c r="S212" s="82" t="s">
        <v>948</v>
      </c>
      <c r="T212" s="809">
        <f t="shared" ref="T212:T217" si="59">COUNTIF($E$3:$Y$12,S212)</f>
        <v>0</v>
      </c>
      <c r="U212" s="809"/>
      <c r="V212" s="809"/>
      <c r="AA212" s="236"/>
      <c r="AI212" s="813" t="s">
        <v>949</v>
      </c>
      <c r="AJ212" s="814"/>
      <c r="AK212" s="814"/>
      <c r="AL212" s="814"/>
      <c r="AM212" s="815"/>
      <c r="AN212" s="618" t="s">
        <v>950</v>
      </c>
      <c r="AO212" s="229">
        <f t="shared" si="57"/>
        <v>0</v>
      </c>
      <c r="AP212" s="620"/>
      <c r="AQ212" s="220"/>
      <c r="AR212" s="834" t="s">
        <v>951</v>
      </c>
      <c r="AS212" s="835"/>
      <c r="AT212" s="835"/>
      <c r="AU212" s="835"/>
      <c r="AV212" s="835"/>
      <c r="AW212" s="625" t="s">
        <v>952</v>
      </c>
      <c r="AX212" s="229">
        <f t="shared" si="51"/>
        <v>0</v>
      </c>
      <c r="AY212" s="586"/>
      <c r="BA212" s="223"/>
      <c r="BB212" s="573"/>
    </row>
    <row r="213" spans="1:54" ht="18.75" x14ac:dyDescent="0.25">
      <c r="A213" s="805" t="s">
        <v>855</v>
      </c>
      <c r="B213" s="805"/>
      <c r="C213" s="805"/>
      <c r="D213" s="805"/>
      <c r="E213" s="805"/>
      <c r="F213" s="82" t="s">
        <v>953</v>
      </c>
      <c r="G213" s="806">
        <f t="shared" si="58"/>
        <v>0</v>
      </c>
      <c r="H213" s="807"/>
      <c r="I213" s="808"/>
      <c r="N213" s="805" t="s">
        <v>855</v>
      </c>
      <c r="O213" s="805"/>
      <c r="P213" s="805"/>
      <c r="Q213" s="805"/>
      <c r="R213" s="805"/>
      <c r="S213" s="82" t="s">
        <v>953</v>
      </c>
      <c r="T213" s="809">
        <f t="shared" si="59"/>
        <v>0</v>
      </c>
      <c r="U213" s="809"/>
      <c r="V213" s="809"/>
      <c r="AA213" s="179"/>
      <c r="AI213" s="813" t="s">
        <v>954</v>
      </c>
      <c r="AJ213" s="814"/>
      <c r="AK213" s="814"/>
      <c r="AL213" s="814"/>
      <c r="AM213" s="815"/>
      <c r="AN213" s="618" t="s">
        <v>955</v>
      </c>
      <c r="AO213" s="229">
        <f t="shared" si="57"/>
        <v>0</v>
      </c>
      <c r="AP213" s="620"/>
      <c r="AQ213" s="220"/>
      <c r="AR213" s="834" t="s">
        <v>956</v>
      </c>
      <c r="AS213" s="835"/>
      <c r="AT213" s="835"/>
      <c r="AU213" s="835"/>
      <c r="AV213" s="835"/>
      <c r="AW213" s="622" t="s">
        <v>957</v>
      </c>
      <c r="AX213" s="229">
        <f t="shared" si="51"/>
        <v>0</v>
      </c>
      <c r="AY213" s="586"/>
      <c r="BA213" s="223"/>
    </row>
    <row r="214" spans="1:54" ht="18.75" x14ac:dyDescent="0.25">
      <c r="A214" s="805" t="s">
        <v>860</v>
      </c>
      <c r="B214" s="805"/>
      <c r="C214" s="805"/>
      <c r="D214" s="805"/>
      <c r="E214" s="805"/>
      <c r="F214" s="82" t="s">
        <v>958</v>
      </c>
      <c r="G214" s="806">
        <f t="shared" si="58"/>
        <v>0</v>
      </c>
      <c r="H214" s="807"/>
      <c r="I214" s="808"/>
      <c r="N214" s="805" t="s">
        <v>860</v>
      </c>
      <c r="O214" s="805"/>
      <c r="P214" s="805"/>
      <c r="Q214" s="805"/>
      <c r="R214" s="805"/>
      <c r="S214" s="82" t="s">
        <v>958</v>
      </c>
      <c r="T214" s="809">
        <f t="shared" si="59"/>
        <v>0</v>
      </c>
      <c r="U214" s="809"/>
      <c r="V214" s="809"/>
      <c r="AI214" s="813" t="s">
        <v>959</v>
      </c>
      <c r="AJ214" s="814"/>
      <c r="AK214" s="814"/>
      <c r="AL214" s="814"/>
      <c r="AM214" s="815"/>
      <c r="AN214" s="618" t="s">
        <v>960</v>
      </c>
      <c r="AO214" s="229">
        <f t="shared" si="57"/>
        <v>0</v>
      </c>
      <c r="AP214" s="620"/>
      <c r="AQ214" s="220"/>
      <c r="AR214" s="834" t="s">
        <v>961</v>
      </c>
      <c r="AS214" s="835"/>
      <c r="AT214" s="835"/>
      <c r="AU214" s="835"/>
      <c r="AV214" s="835"/>
      <c r="AW214" s="626" t="s">
        <v>962</v>
      </c>
      <c r="AX214" s="229">
        <f t="shared" si="51"/>
        <v>0</v>
      </c>
      <c r="AY214" s="586"/>
      <c r="BA214" s="223"/>
    </row>
    <row r="215" spans="1:54" ht="18" x14ac:dyDescent="0.25">
      <c r="A215" s="805" t="s">
        <v>864</v>
      </c>
      <c r="B215" s="805"/>
      <c r="C215" s="805"/>
      <c r="D215" s="805"/>
      <c r="E215" s="805"/>
      <c r="F215" s="82" t="s">
        <v>963</v>
      </c>
      <c r="G215" s="806">
        <f t="shared" si="58"/>
        <v>0</v>
      </c>
      <c r="H215" s="807"/>
      <c r="I215" s="808"/>
      <c r="N215" s="805" t="s">
        <v>864</v>
      </c>
      <c r="O215" s="805"/>
      <c r="P215" s="805"/>
      <c r="Q215" s="805"/>
      <c r="R215" s="805"/>
      <c r="S215" s="82" t="s">
        <v>963</v>
      </c>
      <c r="T215" s="809">
        <f t="shared" si="59"/>
        <v>0</v>
      </c>
      <c r="U215" s="809"/>
      <c r="V215" s="809"/>
      <c r="AI215" s="813" t="s">
        <v>964</v>
      </c>
      <c r="AJ215" s="814"/>
      <c r="AK215" s="814"/>
      <c r="AL215" s="814"/>
      <c r="AM215" s="815"/>
      <c r="AN215" s="618" t="s">
        <v>965</v>
      </c>
      <c r="AO215" s="229">
        <f t="shared" si="57"/>
        <v>0</v>
      </c>
      <c r="AP215" s="620"/>
      <c r="AQ215" s="220"/>
      <c r="AR215" s="831" t="s">
        <v>966</v>
      </c>
      <c r="AS215" s="832"/>
      <c r="AT215" s="832"/>
      <c r="AU215" s="832"/>
      <c r="AV215" s="833"/>
      <c r="AW215" s="410"/>
      <c r="AX215" s="411">
        <f>SUM(AX177:AX214)</f>
        <v>0</v>
      </c>
      <c r="BA215" s="223"/>
    </row>
    <row r="216" spans="1:54" ht="18" x14ac:dyDescent="0.25">
      <c r="A216" s="805" t="s">
        <v>868</v>
      </c>
      <c r="B216" s="805"/>
      <c r="C216" s="805"/>
      <c r="D216" s="805"/>
      <c r="E216" s="805"/>
      <c r="F216" s="82" t="s">
        <v>967</v>
      </c>
      <c r="G216" s="806">
        <f t="shared" si="58"/>
        <v>0</v>
      </c>
      <c r="H216" s="807"/>
      <c r="I216" s="808"/>
      <c r="N216" s="805" t="s">
        <v>868</v>
      </c>
      <c r="O216" s="805"/>
      <c r="P216" s="805"/>
      <c r="Q216" s="805"/>
      <c r="R216" s="805"/>
      <c r="S216" s="82" t="s">
        <v>967</v>
      </c>
      <c r="T216" s="809">
        <f t="shared" si="59"/>
        <v>0</v>
      </c>
      <c r="U216" s="809"/>
      <c r="V216" s="809"/>
      <c r="AI216" s="813" t="s">
        <v>968</v>
      </c>
      <c r="AJ216" s="814"/>
      <c r="AK216" s="814"/>
      <c r="AL216" s="814"/>
      <c r="AM216" s="815"/>
      <c r="AN216" s="618" t="s">
        <v>969</v>
      </c>
      <c r="AO216" s="229">
        <f t="shared" si="57"/>
        <v>0</v>
      </c>
      <c r="AP216" s="620"/>
      <c r="AQ216" s="220"/>
      <c r="BA216" s="223"/>
    </row>
    <row r="217" spans="1:54" ht="18.75" thickBot="1" x14ac:dyDescent="0.3">
      <c r="A217" s="830" t="s">
        <v>872</v>
      </c>
      <c r="B217" s="830"/>
      <c r="C217" s="830"/>
      <c r="D217" s="830"/>
      <c r="E217" s="830"/>
      <c r="F217" s="82" t="s">
        <v>970</v>
      </c>
      <c r="G217" s="806">
        <f t="shared" si="58"/>
        <v>0</v>
      </c>
      <c r="H217" s="807"/>
      <c r="I217" s="808"/>
      <c r="N217" s="830" t="s">
        <v>872</v>
      </c>
      <c r="O217" s="830"/>
      <c r="P217" s="830"/>
      <c r="Q217" s="830"/>
      <c r="R217" s="830"/>
      <c r="S217" s="82" t="s">
        <v>970</v>
      </c>
      <c r="T217" s="809">
        <f t="shared" si="59"/>
        <v>0</v>
      </c>
      <c r="U217" s="809"/>
      <c r="V217" s="809"/>
      <c r="AI217" s="813" t="s">
        <v>971</v>
      </c>
      <c r="AJ217" s="814"/>
      <c r="AK217" s="814"/>
      <c r="AL217" s="814"/>
      <c r="AM217" s="815"/>
      <c r="AN217" s="618" t="s">
        <v>972</v>
      </c>
      <c r="AO217" s="229">
        <f t="shared" si="57"/>
        <v>0</v>
      </c>
      <c r="AP217" s="620"/>
      <c r="AQ217" s="220"/>
      <c r="AR217" s="790" t="s">
        <v>187</v>
      </c>
      <c r="AS217" s="791"/>
      <c r="AT217" s="791"/>
      <c r="AU217" s="791"/>
      <c r="AV217" s="791"/>
      <c r="AW217" s="792"/>
      <c r="AX217" s="221" t="s">
        <v>70</v>
      </c>
      <c r="AY217" s="222"/>
      <c r="BA217" s="223"/>
    </row>
    <row r="218" spans="1:54" ht="18.75" thickBot="1" x14ac:dyDescent="0.3">
      <c r="A218" s="825" t="s">
        <v>70</v>
      </c>
      <c r="B218" s="826"/>
      <c r="C218" s="826"/>
      <c r="D218" s="826"/>
      <c r="E218" s="826"/>
      <c r="F218" s="600"/>
      <c r="G218" s="802">
        <f>SUM(G212:I217)</f>
        <v>0</v>
      </c>
      <c r="H218" s="803"/>
      <c r="I218" s="804"/>
      <c r="N218" s="825" t="s">
        <v>70</v>
      </c>
      <c r="O218" s="826"/>
      <c r="P218" s="826"/>
      <c r="Q218" s="826"/>
      <c r="R218" s="826"/>
      <c r="S218" s="600"/>
      <c r="T218" s="802">
        <f>SUM(T212:V217)</f>
        <v>0</v>
      </c>
      <c r="U218" s="803"/>
      <c r="V218" s="804"/>
      <c r="AI218" s="813" t="s">
        <v>973</v>
      </c>
      <c r="AJ218" s="814"/>
      <c r="AK218" s="814"/>
      <c r="AL218" s="814"/>
      <c r="AM218" s="815"/>
      <c r="AN218" s="618" t="s">
        <v>973</v>
      </c>
      <c r="AO218" s="229">
        <f t="shared" si="57"/>
        <v>0</v>
      </c>
      <c r="AP218" s="620"/>
      <c r="AR218" s="827" t="s">
        <v>974</v>
      </c>
      <c r="AS218" s="828"/>
      <c r="AT218" s="828"/>
      <c r="AU218" s="828"/>
      <c r="AV218" s="829"/>
      <c r="AW218" s="627" t="s">
        <v>975</v>
      </c>
      <c r="AX218" s="229">
        <f>COUNTIF($A$1:$GO$54,AW218)</f>
        <v>0</v>
      </c>
      <c r="AY218" s="628"/>
      <c r="BA218" s="223"/>
    </row>
    <row r="219" spans="1:54" ht="18.75" thickBot="1" x14ac:dyDescent="0.3">
      <c r="A219" s="816" t="s">
        <v>976</v>
      </c>
      <c r="B219" s="817"/>
      <c r="C219" s="817"/>
      <c r="D219" s="817"/>
      <c r="E219" s="818"/>
      <c r="F219" s="129"/>
      <c r="G219" s="129"/>
      <c r="H219" s="129"/>
      <c r="I219" s="129"/>
      <c r="N219" s="816" t="s">
        <v>976</v>
      </c>
      <c r="O219" s="817"/>
      <c r="P219" s="817"/>
      <c r="Q219" s="817"/>
      <c r="R219" s="818"/>
      <c r="S219" s="129"/>
      <c r="T219" s="129"/>
      <c r="U219" s="129"/>
      <c r="V219" s="129"/>
      <c r="AI219" s="813" t="s">
        <v>977</v>
      </c>
      <c r="AJ219" s="814"/>
      <c r="AK219" s="814"/>
      <c r="AL219" s="814"/>
      <c r="AM219" s="815"/>
      <c r="AN219" s="618" t="s">
        <v>978</v>
      </c>
      <c r="AO219" s="229">
        <f t="shared" si="57"/>
        <v>0</v>
      </c>
      <c r="AP219" s="620"/>
      <c r="AR219" s="819" t="s">
        <v>979</v>
      </c>
      <c r="AS219" s="820"/>
      <c r="AT219" s="820"/>
      <c r="AU219" s="820"/>
      <c r="AV219" s="821"/>
      <c r="AW219" s="629" t="s">
        <v>980</v>
      </c>
      <c r="AX219" s="229">
        <f>COUNTIF($A$1:$GO$54,AW219)</f>
        <v>0</v>
      </c>
      <c r="AY219" s="628"/>
      <c r="BA219" s="223"/>
    </row>
    <row r="220" spans="1:54" ht="18" x14ac:dyDescent="0.25">
      <c r="A220" s="805" t="s">
        <v>849</v>
      </c>
      <c r="B220" s="805"/>
      <c r="C220" s="805"/>
      <c r="D220" s="805"/>
      <c r="E220" s="805"/>
      <c r="F220" s="82" t="s">
        <v>981</v>
      </c>
      <c r="G220" s="806">
        <f>COUNTIF($E$13:$AX$49,F220)</f>
        <v>0</v>
      </c>
      <c r="H220" s="807"/>
      <c r="I220" s="808"/>
      <c r="N220" s="805" t="s">
        <v>849</v>
      </c>
      <c r="O220" s="805"/>
      <c r="P220" s="805"/>
      <c r="Q220" s="805"/>
      <c r="R220" s="805"/>
      <c r="S220" s="82" t="s">
        <v>981</v>
      </c>
      <c r="T220" s="809">
        <f>COUNTIF($E$3:$Y$12,S220)</f>
        <v>0</v>
      </c>
      <c r="U220" s="809"/>
      <c r="V220" s="809"/>
      <c r="AI220" s="813" t="s">
        <v>982</v>
      </c>
      <c r="AJ220" s="814"/>
      <c r="AK220" s="814"/>
      <c r="AL220" s="814"/>
      <c r="AM220" s="815"/>
      <c r="AN220" s="618" t="s">
        <v>982</v>
      </c>
      <c r="AO220" s="229">
        <f t="shared" si="57"/>
        <v>0</v>
      </c>
      <c r="AP220" s="620"/>
      <c r="AR220" s="822" t="s">
        <v>983</v>
      </c>
      <c r="AS220" s="823"/>
      <c r="AT220" s="823"/>
      <c r="AU220" s="823"/>
      <c r="AV220" s="824"/>
      <c r="AW220" s="410"/>
      <c r="AX220" s="411">
        <f>SUM(AX218:AX219)</f>
        <v>0</v>
      </c>
      <c r="BA220" s="223"/>
    </row>
    <row r="221" spans="1:54" ht="18" x14ac:dyDescent="0.25">
      <c r="A221" s="805" t="s">
        <v>864</v>
      </c>
      <c r="B221" s="805"/>
      <c r="C221" s="805"/>
      <c r="D221" s="805"/>
      <c r="E221" s="805"/>
      <c r="F221" s="82" t="s">
        <v>984</v>
      </c>
      <c r="G221" s="806">
        <f>COUNTIF($E$13:$AX$49,F221)</f>
        <v>0</v>
      </c>
      <c r="H221" s="807"/>
      <c r="I221" s="808"/>
      <c r="N221" s="805" t="s">
        <v>864</v>
      </c>
      <c r="O221" s="805"/>
      <c r="P221" s="805"/>
      <c r="Q221" s="805"/>
      <c r="R221" s="805"/>
      <c r="S221" s="82" t="s">
        <v>984</v>
      </c>
      <c r="T221" s="809">
        <f>COUNTIF($E$3:$Y$12,S221)</f>
        <v>0</v>
      </c>
      <c r="U221" s="809"/>
      <c r="V221" s="809"/>
      <c r="AI221" s="813" t="s">
        <v>985</v>
      </c>
      <c r="AJ221" s="814"/>
      <c r="AK221" s="814"/>
      <c r="AL221" s="814"/>
      <c r="AM221" s="815"/>
      <c r="AN221" s="618" t="s">
        <v>986</v>
      </c>
      <c r="AO221" s="229">
        <f t="shared" si="57"/>
        <v>0</v>
      </c>
      <c r="AP221" s="620"/>
      <c r="AY221" s="220"/>
      <c r="BA221" s="223"/>
    </row>
    <row r="222" spans="1:54" ht="18.75" thickBot="1" x14ac:dyDescent="0.3">
      <c r="A222" s="799" t="s">
        <v>70</v>
      </c>
      <c r="B222" s="800"/>
      <c r="C222" s="800"/>
      <c r="D222" s="800"/>
      <c r="E222" s="801"/>
      <c r="F222" s="600"/>
      <c r="G222" s="802">
        <f>SUM(G220:I221)</f>
        <v>0</v>
      </c>
      <c r="H222" s="803"/>
      <c r="I222" s="804"/>
      <c r="N222" s="799" t="s">
        <v>70</v>
      </c>
      <c r="O222" s="800"/>
      <c r="P222" s="800"/>
      <c r="Q222" s="800"/>
      <c r="R222" s="801"/>
      <c r="S222" s="600"/>
      <c r="T222" s="802">
        <f>SUM(T220:V221)</f>
        <v>0</v>
      </c>
      <c r="U222" s="803"/>
      <c r="V222" s="804"/>
      <c r="AI222" s="813" t="s">
        <v>987</v>
      </c>
      <c r="AJ222" s="814"/>
      <c r="AK222" s="814"/>
      <c r="AL222" s="814"/>
      <c r="AM222" s="815"/>
      <c r="AN222" s="618" t="s">
        <v>988</v>
      </c>
      <c r="AO222" s="229">
        <f t="shared" si="57"/>
        <v>0</v>
      </c>
      <c r="AP222" s="620"/>
      <c r="AR222" s="790" t="s">
        <v>135</v>
      </c>
      <c r="AS222" s="791"/>
      <c r="AT222" s="791"/>
      <c r="AU222" s="791"/>
      <c r="AV222" s="791"/>
      <c r="AW222" s="792"/>
      <c r="AX222" s="221" t="s">
        <v>70</v>
      </c>
      <c r="AY222" s="222"/>
      <c r="BA222" s="223"/>
    </row>
    <row r="223" spans="1:54" ht="18.75" thickBot="1" x14ac:dyDescent="0.3">
      <c r="A223" s="810" t="s">
        <v>989</v>
      </c>
      <c r="B223" s="811"/>
      <c r="C223" s="811"/>
      <c r="D223" s="811"/>
      <c r="E223" s="812"/>
      <c r="F223" s="129"/>
      <c r="G223" s="129"/>
      <c r="H223" s="129"/>
      <c r="I223" s="129"/>
      <c r="N223" s="810" t="s">
        <v>989</v>
      </c>
      <c r="O223" s="811"/>
      <c r="P223" s="811"/>
      <c r="Q223" s="811"/>
      <c r="R223" s="812"/>
      <c r="S223" s="129"/>
      <c r="T223" s="129"/>
      <c r="U223" s="129"/>
      <c r="V223" s="129"/>
      <c r="AI223" s="779" t="s">
        <v>990</v>
      </c>
      <c r="AJ223" s="780"/>
      <c r="AK223" s="780"/>
      <c r="AL223" s="780"/>
      <c r="AM223" s="781"/>
      <c r="AN223" s="410"/>
      <c r="AO223" s="411">
        <f>SUM(AO207:AO222)</f>
        <v>0</v>
      </c>
      <c r="AR223" s="787" t="s">
        <v>991</v>
      </c>
      <c r="AS223" s="788"/>
      <c r="AT223" s="788"/>
      <c r="AU223" s="788"/>
      <c r="AV223" s="789"/>
      <c r="AW223" s="630" t="s">
        <v>992</v>
      </c>
      <c r="AX223" s="229">
        <f t="shared" ref="AX223:AX228" si="60">COUNTIF($A$1:$GO$54,AW223)</f>
        <v>0</v>
      </c>
      <c r="AY223" s="631"/>
      <c r="BA223" s="223"/>
    </row>
    <row r="224" spans="1:54" ht="18" x14ac:dyDescent="0.25">
      <c r="A224" s="805" t="s">
        <v>849</v>
      </c>
      <c r="B224" s="805"/>
      <c r="C224" s="805"/>
      <c r="D224" s="805"/>
      <c r="E224" s="805"/>
      <c r="F224" s="82" t="s">
        <v>993</v>
      </c>
      <c r="G224" s="806">
        <f>COUNTIF($E$13:$AX$49,F224)</f>
        <v>0</v>
      </c>
      <c r="H224" s="807"/>
      <c r="I224" s="808"/>
      <c r="N224" s="805" t="s">
        <v>849</v>
      </c>
      <c r="O224" s="805"/>
      <c r="P224" s="805"/>
      <c r="Q224" s="805"/>
      <c r="R224" s="805"/>
      <c r="S224" s="82" t="s">
        <v>993</v>
      </c>
      <c r="T224" s="809">
        <f>COUNTIF($E$3:$Y$12,S224)</f>
        <v>0</v>
      </c>
      <c r="U224" s="809"/>
      <c r="V224" s="809"/>
      <c r="AI224" s="614"/>
      <c r="AR224" s="787" t="s">
        <v>994</v>
      </c>
      <c r="AS224" s="788"/>
      <c r="AT224" s="788"/>
      <c r="AU224" s="788"/>
      <c r="AV224" s="789"/>
      <c r="AW224" s="632" t="s">
        <v>995</v>
      </c>
      <c r="AX224" s="229">
        <f t="shared" si="60"/>
        <v>0</v>
      </c>
      <c r="AY224" s="631"/>
      <c r="BA224" s="223"/>
    </row>
    <row r="225" spans="1:53" ht="18" x14ac:dyDescent="0.25">
      <c r="A225" s="805" t="s">
        <v>864</v>
      </c>
      <c r="B225" s="805"/>
      <c r="C225" s="805"/>
      <c r="D225" s="805"/>
      <c r="E225" s="805"/>
      <c r="F225" s="82" t="s">
        <v>996</v>
      </c>
      <c r="G225" s="806">
        <f>COUNTIF($E$13:$AX$49,F225)</f>
        <v>0</v>
      </c>
      <c r="H225" s="807"/>
      <c r="I225" s="808"/>
      <c r="N225" s="805" t="s">
        <v>864</v>
      </c>
      <c r="O225" s="805"/>
      <c r="P225" s="805"/>
      <c r="Q225" s="805"/>
      <c r="R225" s="805"/>
      <c r="S225" s="82" t="s">
        <v>996</v>
      </c>
      <c r="T225" s="809">
        <f>COUNTIF($E$3:$Y$12,S225)</f>
        <v>0</v>
      </c>
      <c r="U225" s="809"/>
      <c r="V225" s="809"/>
      <c r="AI225" s="798"/>
      <c r="AJ225" s="791"/>
      <c r="AK225" s="791"/>
      <c r="AL225" s="791"/>
      <c r="AM225" s="791"/>
      <c r="AN225" s="775"/>
      <c r="AO225" s="221"/>
      <c r="AP225" s="222"/>
      <c r="AR225" s="787" t="s">
        <v>997</v>
      </c>
      <c r="AS225" s="788"/>
      <c r="AT225" s="788"/>
      <c r="AU225" s="788"/>
      <c r="AV225" s="789"/>
      <c r="AW225" s="633" t="s">
        <v>998</v>
      </c>
      <c r="AX225" s="229">
        <f t="shared" si="60"/>
        <v>0</v>
      </c>
      <c r="AY225" s="631"/>
      <c r="BA225" s="223"/>
    </row>
    <row r="226" spans="1:53" ht="18.75" thickBot="1" x14ac:dyDescent="0.3">
      <c r="A226" s="799" t="s">
        <v>70</v>
      </c>
      <c r="B226" s="800"/>
      <c r="C226" s="800"/>
      <c r="D226" s="800"/>
      <c r="E226" s="801"/>
      <c r="F226" s="600"/>
      <c r="G226" s="802">
        <f>SUM(G224:I225)</f>
        <v>0</v>
      </c>
      <c r="H226" s="803"/>
      <c r="I226" s="804"/>
      <c r="N226" s="799" t="s">
        <v>70</v>
      </c>
      <c r="O226" s="800"/>
      <c r="P226" s="800"/>
      <c r="Q226" s="800"/>
      <c r="R226" s="801"/>
      <c r="S226" s="600"/>
      <c r="T226" s="802">
        <f>SUM(T224:V225)</f>
        <v>0</v>
      </c>
      <c r="U226" s="803"/>
      <c r="V226" s="804"/>
      <c r="AI226" s="795"/>
      <c r="AJ226" s="796"/>
      <c r="AK226" s="796"/>
      <c r="AL226" s="796"/>
      <c r="AM226" s="796"/>
      <c r="AN226" s="406"/>
      <c r="AO226" s="229"/>
      <c r="AP226" s="634"/>
      <c r="AR226" s="787" t="s">
        <v>999</v>
      </c>
      <c r="AS226" s="788"/>
      <c r="AT226" s="788"/>
      <c r="AU226" s="788"/>
      <c r="AV226" s="789"/>
      <c r="AW226" s="635" t="s">
        <v>1000</v>
      </c>
      <c r="AX226" s="229">
        <f t="shared" si="60"/>
        <v>0</v>
      </c>
      <c r="AY226" s="631"/>
      <c r="BA226" s="223"/>
    </row>
    <row r="227" spans="1:53" ht="15.75" x14ac:dyDescent="0.25">
      <c r="M227" s="179"/>
      <c r="AI227" s="779"/>
      <c r="AJ227" s="780"/>
      <c r="AK227" s="780"/>
      <c r="AL227" s="780"/>
      <c r="AM227" s="781"/>
      <c r="AN227" s="410"/>
      <c r="AO227" s="411"/>
      <c r="AR227" s="787" t="s">
        <v>1001</v>
      </c>
      <c r="AS227" s="788"/>
      <c r="AT227" s="788"/>
      <c r="AU227" s="788"/>
      <c r="AV227" s="789"/>
      <c r="AW227" s="636" t="s">
        <v>1002</v>
      </c>
      <c r="AX227" s="229">
        <f t="shared" si="60"/>
        <v>0</v>
      </c>
      <c r="AY227" s="631"/>
      <c r="BA227" s="223"/>
    </row>
    <row r="228" spans="1:53" ht="15.75" x14ac:dyDescent="0.25">
      <c r="M228" s="179"/>
      <c r="AI228" s="614"/>
      <c r="AR228" s="787" t="s">
        <v>1003</v>
      </c>
      <c r="AS228" s="788"/>
      <c r="AT228" s="788"/>
      <c r="AU228" s="788"/>
      <c r="AV228" s="789"/>
      <c r="AW228" s="637" t="s">
        <v>1004</v>
      </c>
      <c r="AX228" s="229">
        <f t="shared" si="60"/>
        <v>0</v>
      </c>
      <c r="AY228" s="631"/>
      <c r="BA228" s="223"/>
    </row>
    <row r="229" spans="1:53" ht="15.75" x14ac:dyDescent="0.25">
      <c r="M229" s="179"/>
      <c r="AI229" s="614"/>
      <c r="AR229" s="790" t="s">
        <v>1005</v>
      </c>
      <c r="AS229" s="791"/>
      <c r="AT229" s="791"/>
      <c r="AU229" s="791"/>
      <c r="AV229" s="792"/>
      <c r="AW229" s="410"/>
      <c r="AX229" s="411">
        <f>SUM(AX223:AX228)</f>
        <v>0</v>
      </c>
      <c r="BA229" s="223"/>
    </row>
    <row r="230" spans="1:53" ht="15.75" x14ac:dyDescent="0.25">
      <c r="M230" s="179"/>
      <c r="AI230" s="798" t="s">
        <v>703</v>
      </c>
      <c r="AJ230" s="791"/>
      <c r="AK230" s="791"/>
      <c r="AL230" s="791"/>
      <c r="AM230" s="791"/>
      <c r="AN230" s="792"/>
      <c r="AO230" s="221" t="s">
        <v>70</v>
      </c>
      <c r="AP230" s="222"/>
      <c r="BA230" s="223"/>
    </row>
    <row r="231" spans="1:53" ht="15.75" x14ac:dyDescent="0.25">
      <c r="M231" s="179"/>
      <c r="AI231" s="795" t="s">
        <v>1006</v>
      </c>
      <c r="AJ231" s="796"/>
      <c r="AK231" s="796"/>
      <c r="AL231" s="796"/>
      <c r="AM231" s="797"/>
      <c r="AN231" s="638" t="s">
        <v>1007</v>
      </c>
      <c r="AO231" s="229">
        <f>COUNTIF($A$1:$GO$54,AN231)</f>
        <v>0</v>
      </c>
      <c r="AP231" s="639"/>
      <c r="AR231" s="790" t="s">
        <v>194</v>
      </c>
      <c r="AS231" s="791"/>
      <c r="AT231" s="791"/>
      <c r="AU231" s="791"/>
      <c r="AV231" s="791"/>
      <c r="AW231" s="792"/>
      <c r="AX231" s="221" t="s">
        <v>70</v>
      </c>
      <c r="AY231" s="222"/>
      <c r="BA231" s="223"/>
    </row>
    <row r="232" spans="1:53" ht="15.75" x14ac:dyDescent="0.25">
      <c r="M232" s="179"/>
      <c r="AI232" s="795" t="s">
        <v>1008</v>
      </c>
      <c r="AJ232" s="796"/>
      <c r="AK232" s="796"/>
      <c r="AL232" s="796"/>
      <c r="AM232" s="797"/>
      <c r="AN232" s="640" t="s">
        <v>1009</v>
      </c>
      <c r="AO232" s="229">
        <f>COUNTIF($A$1:$GO$54,AN232)</f>
        <v>0</v>
      </c>
      <c r="AP232" s="641"/>
      <c r="AQ232" s="220"/>
      <c r="AR232" s="787" t="s">
        <v>1010</v>
      </c>
      <c r="AS232" s="788"/>
      <c r="AT232" s="788"/>
      <c r="AU232" s="788"/>
      <c r="AV232" s="789"/>
      <c r="AW232" s="642" t="s">
        <v>195</v>
      </c>
      <c r="AX232" s="229">
        <f>COUNTIF($A$1:$GO$54,AW232)</f>
        <v>0</v>
      </c>
      <c r="AY232" s="631"/>
      <c r="BA232" s="223"/>
    </row>
    <row r="233" spans="1:53" ht="15.75" x14ac:dyDescent="0.25">
      <c r="M233" s="179"/>
      <c r="AI233" s="795" t="s">
        <v>1011</v>
      </c>
      <c r="AJ233" s="796"/>
      <c r="AK233" s="796"/>
      <c r="AL233" s="796"/>
      <c r="AM233" s="797"/>
      <c r="AN233" s="643" t="s">
        <v>1012</v>
      </c>
      <c r="AO233" s="229">
        <f>COUNTIF($A$1:$GO$54,AN233)</f>
        <v>0</v>
      </c>
      <c r="AP233" s="641"/>
      <c r="AR233" s="790" t="s">
        <v>1013</v>
      </c>
      <c r="AS233" s="791"/>
      <c r="AT233" s="791"/>
      <c r="AU233" s="791"/>
      <c r="AV233" s="792"/>
      <c r="AW233" s="410"/>
      <c r="AX233" s="411">
        <f>SUM(AX232:AX232)</f>
        <v>0</v>
      </c>
      <c r="BA233" s="223"/>
    </row>
    <row r="234" spans="1:53" ht="15.75" x14ac:dyDescent="0.25">
      <c r="M234" s="179"/>
      <c r="AI234" s="795" t="s">
        <v>1014</v>
      </c>
      <c r="AJ234" s="796"/>
      <c r="AK234" s="796"/>
      <c r="AL234" s="796"/>
      <c r="AM234" s="797"/>
      <c r="AN234" s="644" t="s">
        <v>1015</v>
      </c>
      <c r="AO234" s="229">
        <f>COUNTIF($A$1:$GO$54,AN234)</f>
        <v>0</v>
      </c>
      <c r="AP234" s="641"/>
      <c r="AR234" s="220"/>
      <c r="AS234" s="220"/>
      <c r="AT234" s="220"/>
      <c r="AU234" s="220"/>
      <c r="AV234" s="220"/>
      <c r="AW234" s="220"/>
      <c r="AX234" s="220"/>
      <c r="AY234" s="220"/>
      <c r="BA234" s="223"/>
    </row>
    <row r="235" spans="1:53" ht="15.75" x14ac:dyDescent="0.25">
      <c r="M235" s="179"/>
      <c r="AI235" s="795" t="s">
        <v>1016</v>
      </c>
      <c r="AJ235" s="796"/>
      <c r="AK235" s="796"/>
      <c r="AL235" s="796"/>
      <c r="AM235" s="797"/>
      <c r="AN235" s="645" t="s">
        <v>1017</v>
      </c>
      <c r="AO235" s="229">
        <f>COUNTIF($A$1:$GO$54,AN235)</f>
        <v>0</v>
      </c>
      <c r="AP235" s="641"/>
      <c r="AR235" s="790" t="s">
        <v>211</v>
      </c>
      <c r="AS235" s="791"/>
      <c r="AT235" s="791"/>
      <c r="AU235" s="791"/>
      <c r="AV235" s="791"/>
      <c r="AW235" s="792"/>
      <c r="AX235" s="221" t="s">
        <v>70</v>
      </c>
      <c r="AY235" s="222"/>
      <c r="BA235" s="223"/>
    </row>
    <row r="236" spans="1:53" ht="18" x14ac:dyDescent="0.25">
      <c r="M236" s="179"/>
      <c r="AI236" s="779" t="s">
        <v>1018</v>
      </c>
      <c r="AJ236" s="780"/>
      <c r="AK236" s="780"/>
      <c r="AL236" s="780"/>
      <c r="AM236" s="781"/>
      <c r="AN236" s="410"/>
      <c r="AO236" s="411">
        <f>SUM(AO231:AO235)</f>
        <v>0</v>
      </c>
      <c r="AP236" s="220"/>
      <c r="AR236" s="794" t="s">
        <v>211</v>
      </c>
      <c r="AS236" s="788"/>
      <c r="AT236" s="788"/>
      <c r="AU236" s="788"/>
      <c r="AV236" s="789"/>
      <c r="AW236" s="646" t="s">
        <v>212</v>
      </c>
      <c r="AX236" s="229">
        <f>COUNTIF($A$1:$GO$54,AW236)</f>
        <v>0</v>
      </c>
      <c r="AY236" s="647"/>
      <c r="BA236" s="601"/>
    </row>
    <row r="237" spans="1:53" ht="18" x14ac:dyDescent="0.25">
      <c r="M237" s="179"/>
      <c r="AI237" s="614"/>
      <c r="AR237" s="790" t="s">
        <v>1019</v>
      </c>
      <c r="AS237" s="791"/>
      <c r="AT237" s="791"/>
      <c r="AU237" s="791"/>
      <c r="AV237" s="792"/>
      <c r="AW237" s="410"/>
      <c r="AX237" s="411">
        <f>SUM(AX236:AX236)</f>
        <v>0</v>
      </c>
      <c r="BA237" s="601"/>
    </row>
    <row r="238" spans="1:53" ht="18" x14ac:dyDescent="0.25">
      <c r="M238" s="179"/>
      <c r="AI238" s="773" t="s">
        <v>219</v>
      </c>
      <c r="AJ238" s="774"/>
      <c r="AK238" s="774"/>
      <c r="AL238" s="774"/>
      <c r="AM238" s="774"/>
      <c r="AN238" s="775"/>
      <c r="AO238" s="221" t="s">
        <v>70</v>
      </c>
      <c r="AP238" s="222"/>
      <c r="BA238" s="601"/>
    </row>
    <row r="239" spans="1:53" ht="18" x14ac:dyDescent="0.25">
      <c r="M239" s="179"/>
      <c r="AI239" s="776" t="s">
        <v>1020</v>
      </c>
      <c r="AJ239" s="777"/>
      <c r="AK239" s="777"/>
      <c r="AL239" s="777"/>
      <c r="AM239" s="777"/>
      <c r="AN239" s="648" t="s">
        <v>1021</v>
      </c>
      <c r="AO239" s="229">
        <f>COUNTIF($A$1:$GO$54,AN239)</f>
        <v>0</v>
      </c>
      <c r="AP239" s="649"/>
      <c r="AR239" s="790" t="s">
        <v>609</v>
      </c>
      <c r="AS239" s="791"/>
      <c r="AT239" s="791"/>
      <c r="AU239" s="791"/>
      <c r="AV239" s="791"/>
      <c r="AW239" s="792"/>
      <c r="AX239" s="221" t="s">
        <v>70</v>
      </c>
      <c r="AY239" s="222"/>
      <c r="BA239" s="601"/>
    </row>
    <row r="240" spans="1:53" ht="18" x14ac:dyDescent="0.25">
      <c r="M240" s="179"/>
      <c r="AA240" s="179"/>
      <c r="AI240" s="776" t="s">
        <v>1022</v>
      </c>
      <c r="AJ240" s="777"/>
      <c r="AK240" s="777"/>
      <c r="AL240" s="777"/>
      <c r="AM240" s="778"/>
      <c r="AN240" s="650" t="s">
        <v>1023</v>
      </c>
      <c r="AO240" s="229">
        <f>COUNTIF($A$1:$GO$54,AN240)</f>
        <v>0</v>
      </c>
      <c r="AP240" s="649"/>
      <c r="AR240" s="787" t="s">
        <v>609</v>
      </c>
      <c r="AS240" s="788"/>
      <c r="AT240" s="788"/>
      <c r="AU240" s="788"/>
      <c r="AV240" s="789"/>
      <c r="AW240" s="651" t="s">
        <v>1024</v>
      </c>
      <c r="AX240" s="229">
        <f>COUNTIF($A$1:$GO$54,AW240)</f>
        <v>0</v>
      </c>
      <c r="AY240" s="652"/>
      <c r="BA240" s="601"/>
    </row>
    <row r="241" spans="13:53" ht="18" x14ac:dyDescent="0.25">
      <c r="M241" s="179"/>
      <c r="AA241" s="179"/>
      <c r="AI241" s="779" t="s">
        <v>1025</v>
      </c>
      <c r="AJ241" s="780"/>
      <c r="AK241" s="780"/>
      <c r="AL241" s="780"/>
      <c r="AM241" s="781"/>
      <c r="AN241" s="410"/>
      <c r="AO241" s="411">
        <f>SUM(AO239:AO240)</f>
        <v>0</v>
      </c>
      <c r="AP241" s="220"/>
      <c r="AR241" s="790" t="s">
        <v>1026</v>
      </c>
      <c r="AS241" s="791"/>
      <c r="AT241" s="791"/>
      <c r="AU241" s="791"/>
      <c r="AV241" s="792"/>
      <c r="AW241" s="653"/>
      <c r="AX241" s="411">
        <f>SUM(AX240:AX240)</f>
        <v>0</v>
      </c>
      <c r="BA241" s="601"/>
    </row>
    <row r="242" spans="13:53" ht="18" x14ac:dyDescent="0.25">
      <c r="M242" s="179"/>
      <c r="AA242" s="179"/>
      <c r="AI242" s="614"/>
      <c r="BA242" s="601"/>
    </row>
    <row r="243" spans="13:53" ht="18" x14ac:dyDescent="0.25">
      <c r="M243" s="179"/>
      <c r="AA243" s="179"/>
      <c r="AI243" s="773" t="s">
        <v>454</v>
      </c>
      <c r="AJ243" s="774"/>
      <c r="AK243" s="774"/>
      <c r="AL243" s="774"/>
      <c r="AM243" s="774"/>
      <c r="AN243" s="775"/>
      <c r="AO243" s="221" t="s">
        <v>70</v>
      </c>
      <c r="AP243" s="222"/>
      <c r="AR243" s="790" t="s">
        <v>257</v>
      </c>
      <c r="AS243" s="791"/>
      <c r="AT243" s="791"/>
      <c r="AU243" s="791"/>
      <c r="AV243" s="791"/>
      <c r="AW243" s="792"/>
      <c r="AX243" s="221" t="s">
        <v>70</v>
      </c>
      <c r="AY243" s="222"/>
      <c r="BA243" s="601"/>
    </row>
    <row r="244" spans="13:53" ht="18" x14ac:dyDescent="0.25">
      <c r="M244" s="179"/>
      <c r="AA244" s="179"/>
      <c r="AI244" s="776" t="s">
        <v>1027</v>
      </c>
      <c r="AJ244" s="777"/>
      <c r="AK244" s="777"/>
      <c r="AL244" s="777"/>
      <c r="AM244" s="782"/>
      <c r="AN244" s="638" t="s">
        <v>1028</v>
      </c>
      <c r="AO244" s="229">
        <f t="shared" ref="AO244:AO253" si="61">COUNTIF($A$1:$GO$54,AN244)</f>
        <v>0</v>
      </c>
      <c r="AP244" s="654"/>
      <c r="AR244" s="787" t="s">
        <v>1029</v>
      </c>
      <c r="AS244" s="788"/>
      <c r="AT244" s="788"/>
      <c r="AU244" s="788"/>
      <c r="AV244" s="789"/>
      <c r="AW244" s="655" t="s">
        <v>1030</v>
      </c>
      <c r="AX244" s="229">
        <f>COUNTIF($A$1:$GO$54,AW244)</f>
        <v>0</v>
      </c>
      <c r="AY244" s="656"/>
      <c r="BA244" s="601"/>
    </row>
    <row r="245" spans="13:53" ht="18" x14ac:dyDescent="0.25">
      <c r="M245" s="179"/>
      <c r="AA245" s="179"/>
      <c r="AI245" s="776" t="s">
        <v>1031</v>
      </c>
      <c r="AJ245" s="777"/>
      <c r="AK245" s="777"/>
      <c r="AL245" s="777"/>
      <c r="AM245" s="782"/>
      <c r="AN245" s="657" t="s">
        <v>1032</v>
      </c>
      <c r="AO245" s="229">
        <f t="shared" si="61"/>
        <v>0</v>
      </c>
      <c r="AP245" s="654"/>
      <c r="AR245" s="790" t="s">
        <v>1033</v>
      </c>
      <c r="AS245" s="791"/>
      <c r="AT245" s="791"/>
      <c r="AU245" s="791"/>
      <c r="AV245" s="792"/>
      <c r="AW245" s="410"/>
      <c r="AX245" s="411">
        <f>SUM(AX244:AX244)</f>
        <v>0</v>
      </c>
      <c r="BA245" s="601"/>
    </row>
    <row r="246" spans="13:53" ht="18" x14ac:dyDescent="0.25">
      <c r="M246" s="179"/>
      <c r="AA246" s="179"/>
      <c r="AI246" s="776" t="s">
        <v>1034</v>
      </c>
      <c r="AJ246" s="777"/>
      <c r="AK246" s="777"/>
      <c r="AL246" s="777"/>
      <c r="AM246" s="782"/>
      <c r="AN246" s="658" t="s">
        <v>1035</v>
      </c>
      <c r="AO246" s="229">
        <f t="shared" si="61"/>
        <v>0</v>
      </c>
      <c r="AP246" s="654"/>
      <c r="BA246" s="601"/>
    </row>
    <row r="247" spans="13:53" ht="18" x14ac:dyDescent="0.25">
      <c r="M247" s="179"/>
      <c r="AA247" s="179"/>
      <c r="AI247" s="776" t="s">
        <v>1036</v>
      </c>
      <c r="AJ247" s="777"/>
      <c r="AK247" s="777"/>
      <c r="AL247" s="777"/>
      <c r="AM247" s="782"/>
      <c r="AN247" s="659" t="s">
        <v>1037</v>
      </c>
      <c r="AO247" s="229">
        <f t="shared" si="61"/>
        <v>0</v>
      </c>
      <c r="AP247" s="654"/>
      <c r="AR247" s="793" t="s">
        <v>116</v>
      </c>
      <c r="AS247" s="774"/>
      <c r="AT247" s="774"/>
      <c r="AU247" s="774"/>
      <c r="AV247" s="774"/>
      <c r="AW247" s="775"/>
      <c r="AX247" s="221" t="s">
        <v>70</v>
      </c>
      <c r="AY247" s="222"/>
      <c r="BA247" s="601"/>
    </row>
    <row r="248" spans="13:53" ht="18" x14ac:dyDescent="0.25">
      <c r="M248" s="179"/>
      <c r="AA248" s="179"/>
      <c r="AI248" s="776" t="s">
        <v>1038</v>
      </c>
      <c r="AJ248" s="777"/>
      <c r="AK248" s="777"/>
      <c r="AL248" s="777"/>
      <c r="AM248" s="782"/>
      <c r="AN248" s="660" t="s">
        <v>1039</v>
      </c>
      <c r="AO248" s="229">
        <f t="shared" si="61"/>
        <v>0</v>
      </c>
      <c r="AP248" s="654"/>
      <c r="AR248" s="783" t="s">
        <v>1040</v>
      </c>
      <c r="AS248" s="783"/>
      <c r="AT248" s="783"/>
      <c r="AU248" s="783"/>
      <c r="AV248" s="783"/>
      <c r="AW248" s="661" t="s">
        <v>1041</v>
      </c>
      <c r="AX248" s="229">
        <f>COUNTIF($A$1:$GO$54,AW248)</f>
        <v>0</v>
      </c>
      <c r="AY248" s="662"/>
      <c r="BA248" s="601"/>
    </row>
    <row r="249" spans="13:53" ht="18" x14ac:dyDescent="0.25">
      <c r="M249" s="179"/>
      <c r="AA249" s="179"/>
      <c r="AI249" s="776" t="s">
        <v>1042</v>
      </c>
      <c r="AJ249" s="777"/>
      <c r="AK249" s="777"/>
      <c r="AL249" s="777"/>
      <c r="AM249" s="782"/>
      <c r="AN249" s="663" t="s">
        <v>1043</v>
      </c>
      <c r="AO249" s="229">
        <f t="shared" si="61"/>
        <v>0</v>
      </c>
      <c r="AP249" s="654"/>
      <c r="AR249" s="783" t="s">
        <v>1044</v>
      </c>
      <c r="AS249" s="783"/>
      <c r="AT249" s="783"/>
      <c r="AU249" s="783"/>
      <c r="AV249" s="783"/>
      <c r="AW249" s="664" t="s">
        <v>1045</v>
      </c>
      <c r="AX249" s="229">
        <f>COUNTIF($A$1:$GO$54,AW249)</f>
        <v>0</v>
      </c>
      <c r="AY249" s="662"/>
      <c r="BA249" s="601"/>
    </row>
    <row r="250" spans="13:53" ht="18" x14ac:dyDescent="0.25">
      <c r="M250" s="179"/>
      <c r="AA250" s="179"/>
      <c r="AI250" s="776" t="s">
        <v>1046</v>
      </c>
      <c r="AJ250" s="777"/>
      <c r="AK250" s="777"/>
      <c r="AL250" s="777"/>
      <c r="AM250" s="782"/>
      <c r="AN250" s="665" t="s">
        <v>1047</v>
      </c>
      <c r="AO250" s="229">
        <f t="shared" si="61"/>
        <v>0</v>
      </c>
      <c r="AP250" s="654"/>
      <c r="AR250" s="783" t="s">
        <v>1048</v>
      </c>
      <c r="AS250" s="783"/>
      <c r="AT250" s="783"/>
      <c r="AU250" s="783"/>
      <c r="AV250" s="783"/>
      <c r="AW250" s="666" t="s">
        <v>1049</v>
      </c>
      <c r="AX250" s="229">
        <f>COUNTIF($A$1:$GO$54,AW250)</f>
        <v>0</v>
      </c>
      <c r="AY250" s="662"/>
      <c r="BA250" s="601"/>
    </row>
    <row r="251" spans="13:53" ht="18" x14ac:dyDescent="0.25">
      <c r="M251" s="179"/>
      <c r="AA251" s="179"/>
      <c r="AI251" s="776" t="s">
        <v>1050</v>
      </c>
      <c r="AJ251" s="777"/>
      <c r="AK251" s="777"/>
      <c r="AL251" s="777"/>
      <c r="AM251" s="782"/>
      <c r="AN251" s="667" t="s">
        <v>1051</v>
      </c>
      <c r="AO251" s="229">
        <f t="shared" si="61"/>
        <v>0</v>
      </c>
      <c r="AP251" s="654"/>
      <c r="AR251" s="783" t="s">
        <v>1052</v>
      </c>
      <c r="AS251" s="783"/>
      <c r="AT251" s="783"/>
      <c r="AU251" s="783"/>
      <c r="AV251" s="783"/>
      <c r="AW251" s="668" t="s">
        <v>1053</v>
      </c>
      <c r="AX251" s="229">
        <f>COUNTIF($A$1:$GO$54,AW251)</f>
        <v>0</v>
      </c>
      <c r="AY251" s="662"/>
      <c r="BA251" s="601"/>
    </row>
    <row r="252" spans="13:53" ht="18" x14ac:dyDescent="0.25">
      <c r="M252" s="179"/>
      <c r="AA252" s="179"/>
      <c r="AI252" s="776" t="s">
        <v>1054</v>
      </c>
      <c r="AJ252" s="777"/>
      <c r="AK252" s="777"/>
      <c r="AL252" s="777"/>
      <c r="AM252" s="782"/>
      <c r="AN252" s="669" t="s">
        <v>1055</v>
      </c>
      <c r="AO252" s="229">
        <f t="shared" si="61"/>
        <v>0</v>
      </c>
      <c r="AP252" s="654"/>
      <c r="AR252" s="784" t="s">
        <v>1056</v>
      </c>
      <c r="AS252" s="785"/>
      <c r="AT252" s="785"/>
      <c r="AU252" s="785"/>
      <c r="AV252" s="786"/>
      <c r="AW252" s="670"/>
      <c r="AX252" s="411">
        <f>SUM(AX248:AX251)</f>
        <v>0</v>
      </c>
      <c r="BA252" s="601"/>
    </row>
    <row r="253" spans="13:53" ht="18" x14ac:dyDescent="0.25">
      <c r="M253" s="179"/>
      <c r="AA253" s="179"/>
      <c r="AI253" s="776" t="s">
        <v>1057</v>
      </c>
      <c r="AJ253" s="777"/>
      <c r="AK253" s="777"/>
      <c r="AL253" s="777"/>
      <c r="AM253" s="782"/>
      <c r="AN253" s="671" t="s">
        <v>1058</v>
      </c>
      <c r="AO253" s="229">
        <f t="shared" si="61"/>
        <v>0</v>
      </c>
      <c r="AP253" s="654"/>
      <c r="BA253" s="601"/>
    </row>
    <row r="254" spans="13:53" ht="18" x14ac:dyDescent="0.25">
      <c r="M254" s="179"/>
      <c r="AA254" s="179"/>
      <c r="AI254" s="779" t="s">
        <v>1059</v>
      </c>
      <c r="AJ254" s="780"/>
      <c r="AK254" s="780"/>
      <c r="AL254" s="780"/>
      <c r="AM254" s="781"/>
      <c r="AN254" s="410"/>
      <c r="AO254" s="411">
        <f>SUM(AO244:AO253)</f>
        <v>0</v>
      </c>
      <c r="AP254" s="220"/>
      <c r="BA254" s="601"/>
    </row>
    <row r="255" spans="13:53" ht="18" x14ac:dyDescent="0.25">
      <c r="M255" s="179"/>
      <c r="AA255" s="179"/>
      <c r="AI255" s="614"/>
      <c r="BA255" s="601"/>
    </row>
    <row r="256" spans="13:53" ht="18" x14ac:dyDescent="0.25">
      <c r="M256" s="179"/>
      <c r="AA256" s="179"/>
      <c r="AI256" s="773" t="s">
        <v>163</v>
      </c>
      <c r="AJ256" s="774"/>
      <c r="AK256" s="774"/>
      <c r="AL256" s="774"/>
      <c r="AM256" s="774"/>
      <c r="AN256" s="775"/>
      <c r="AO256" s="221" t="s">
        <v>70</v>
      </c>
      <c r="AP256" s="222"/>
      <c r="BA256" s="601"/>
    </row>
    <row r="257" spans="13:53" ht="18" x14ac:dyDescent="0.25">
      <c r="M257" s="179"/>
      <c r="AA257" s="179"/>
      <c r="AI257" s="776" t="s">
        <v>1060</v>
      </c>
      <c r="AJ257" s="777"/>
      <c r="AK257" s="777"/>
      <c r="AL257" s="777"/>
      <c r="AM257" s="777"/>
      <c r="AN257" s="672" t="s">
        <v>1061</v>
      </c>
      <c r="AO257" s="229">
        <f>COUNTIF($A$1:$GO$54,AN257)</f>
        <v>0</v>
      </c>
      <c r="AP257" s="649"/>
      <c r="BA257" s="601"/>
    </row>
    <row r="258" spans="13:53" ht="18" x14ac:dyDescent="0.25">
      <c r="M258" s="179"/>
      <c r="AA258" s="179"/>
      <c r="AI258" s="776"/>
      <c r="AJ258" s="777"/>
      <c r="AK258" s="777"/>
      <c r="AL258" s="777"/>
      <c r="AM258" s="778"/>
      <c r="AN258" s="673"/>
      <c r="AO258" s="229"/>
      <c r="AP258" s="649"/>
      <c r="BA258" s="601"/>
    </row>
    <row r="259" spans="13:53" ht="18" x14ac:dyDescent="0.25">
      <c r="M259" s="179"/>
      <c r="AA259" s="179"/>
      <c r="AI259" s="779" t="s">
        <v>1062</v>
      </c>
      <c r="AJ259" s="780"/>
      <c r="AK259" s="780"/>
      <c r="AL259" s="780"/>
      <c r="AM259" s="781"/>
      <c r="AN259" s="410"/>
      <c r="AO259" s="411">
        <f>SUM(AO257:AO258)</f>
        <v>0</v>
      </c>
      <c r="AP259" s="220"/>
      <c r="BA259" s="601"/>
    </row>
    <row r="260" spans="13:53" ht="18" x14ac:dyDescent="0.25">
      <c r="M260" s="179"/>
      <c r="AA260" s="179"/>
      <c r="AI260" s="674"/>
      <c r="AJ260" s="675"/>
      <c r="AK260" s="675"/>
      <c r="AL260" s="675"/>
      <c r="AM260" s="675"/>
      <c r="AN260" s="676"/>
      <c r="AO260" s="677"/>
      <c r="AP260" s="220"/>
      <c r="BA260" s="601"/>
    </row>
    <row r="261" spans="13:53" ht="18" x14ac:dyDescent="0.25">
      <c r="M261" s="179"/>
      <c r="AA261" s="179"/>
      <c r="AI261" s="674"/>
      <c r="AJ261" s="675"/>
      <c r="AK261" s="675"/>
      <c r="AL261" s="675"/>
      <c r="AM261" s="675"/>
      <c r="AN261" s="676"/>
      <c r="AO261" s="677"/>
      <c r="AP261" s="220"/>
      <c r="BA261" s="601"/>
    </row>
    <row r="262" spans="13:53" ht="18" x14ac:dyDescent="0.25">
      <c r="M262" s="179"/>
      <c r="AA262" s="179"/>
      <c r="AI262" s="674"/>
      <c r="AJ262" s="675"/>
      <c r="AK262" s="675"/>
      <c r="AL262" s="675"/>
      <c r="AM262" s="675"/>
      <c r="AN262" s="676"/>
      <c r="AO262" s="677"/>
      <c r="AP262" s="220"/>
      <c r="BA262" s="601"/>
    </row>
    <row r="263" spans="13:53" ht="18" x14ac:dyDescent="0.25">
      <c r="M263" s="179"/>
      <c r="AA263" s="179"/>
      <c r="AI263" s="674"/>
      <c r="AJ263" s="675"/>
      <c r="AK263" s="675"/>
      <c r="AL263" s="675"/>
      <c r="AM263" s="675"/>
      <c r="AN263" s="676"/>
      <c r="AO263" s="677"/>
      <c r="AP263" s="220"/>
      <c r="BA263" s="601"/>
    </row>
    <row r="264" spans="13:53" ht="18" x14ac:dyDescent="0.25">
      <c r="M264" s="179"/>
      <c r="AA264" s="179"/>
      <c r="AI264" s="674"/>
      <c r="AJ264" s="675"/>
      <c r="AK264" s="675"/>
      <c r="AL264" s="675"/>
      <c r="AM264" s="675"/>
      <c r="AN264" s="676"/>
      <c r="AO264" s="677"/>
      <c r="AP264" s="220"/>
      <c r="BA264" s="601"/>
    </row>
    <row r="265" spans="13:53" ht="18" x14ac:dyDescent="0.25">
      <c r="M265" s="179"/>
      <c r="AA265" s="179"/>
      <c r="AI265" s="674"/>
      <c r="AJ265" s="675"/>
      <c r="AK265" s="675"/>
      <c r="AL265" s="675"/>
      <c r="AM265" s="675"/>
      <c r="AN265" s="676"/>
      <c r="AO265" s="677"/>
      <c r="AP265" s="220"/>
      <c r="BA265" s="601"/>
    </row>
    <row r="266" spans="13:53" ht="18" x14ac:dyDescent="0.25">
      <c r="M266" s="179"/>
      <c r="AA266" s="179"/>
      <c r="AI266" s="674"/>
      <c r="AJ266" s="675"/>
      <c r="AK266" s="675"/>
      <c r="AL266" s="675"/>
      <c r="AM266" s="675"/>
      <c r="AN266" s="676"/>
      <c r="AO266" s="677"/>
      <c r="AP266" s="220"/>
      <c r="BA266" s="601"/>
    </row>
    <row r="267" spans="13:53" ht="18" x14ac:dyDescent="0.25">
      <c r="M267" s="179"/>
      <c r="AA267" s="179"/>
      <c r="AI267" s="674"/>
      <c r="AJ267" s="675"/>
      <c r="AK267" s="675"/>
      <c r="AL267" s="675"/>
      <c r="AM267" s="675"/>
      <c r="AN267" s="676"/>
      <c r="AO267" s="677"/>
      <c r="AP267" s="220"/>
      <c r="BA267" s="601"/>
    </row>
    <row r="268" spans="13:53" ht="18" x14ac:dyDescent="0.25">
      <c r="M268" s="179"/>
      <c r="AA268" s="179"/>
      <c r="AI268" s="674"/>
      <c r="AJ268" s="675"/>
      <c r="AK268" s="675"/>
      <c r="AL268" s="675"/>
      <c r="AM268" s="675"/>
      <c r="AN268" s="676"/>
      <c r="AO268" s="677"/>
      <c r="AP268" s="220"/>
      <c r="BA268" s="601"/>
    </row>
    <row r="269" spans="13:53" ht="18" x14ac:dyDescent="0.25">
      <c r="M269" s="179"/>
      <c r="AA269" s="179"/>
      <c r="AI269" s="674"/>
      <c r="AJ269" s="675"/>
      <c r="AK269" s="675"/>
      <c r="AL269" s="675"/>
      <c r="AM269" s="675"/>
      <c r="AN269" s="676"/>
      <c r="AO269" s="677"/>
      <c r="AP269" s="220"/>
      <c r="BA269" s="601"/>
    </row>
    <row r="270" spans="13:53" ht="18" x14ac:dyDescent="0.25">
      <c r="M270" s="179"/>
      <c r="AA270" s="179"/>
      <c r="AI270" s="614"/>
      <c r="BA270" s="601"/>
    </row>
    <row r="271" spans="13:53" ht="15.75" thickBot="1" x14ac:dyDescent="0.3">
      <c r="M271" s="179"/>
      <c r="AA271" s="179"/>
      <c r="AI271" s="678"/>
      <c r="AJ271" s="679"/>
      <c r="AK271" s="679"/>
      <c r="AL271" s="679"/>
      <c r="AM271" s="679"/>
      <c r="AN271" s="679"/>
      <c r="AO271" s="679"/>
      <c r="AP271" s="679"/>
      <c r="AQ271" s="679"/>
      <c r="AR271" s="679"/>
      <c r="AS271" s="679"/>
      <c r="AT271" s="679"/>
      <c r="AU271" s="679"/>
      <c r="AV271" s="679"/>
      <c r="AW271" s="679"/>
      <c r="AX271" s="679"/>
      <c r="AY271" s="679"/>
      <c r="AZ271" s="679"/>
      <c r="BA271" s="680"/>
    </row>
    <row r="272" spans="13:53" x14ac:dyDescent="0.25">
      <c r="M272" s="179"/>
      <c r="AA272" s="179"/>
    </row>
    <row r="273" spans="13:53" x14ac:dyDescent="0.25">
      <c r="M273" s="179"/>
      <c r="AA273" s="179"/>
    </row>
    <row r="274" spans="13:53" x14ac:dyDescent="0.25">
      <c r="M274" s="179"/>
      <c r="AA274" s="179"/>
    </row>
    <row r="275" spans="13:53" x14ac:dyDescent="0.25">
      <c r="M275" s="179"/>
      <c r="AA275" s="179"/>
    </row>
    <row r="276" spans="13:53" x14ac:dyDescent="0.25">
      <c r="M276" s="179"/>
      <c r="AA276" s="179"/>
    </row>
    <row r="277" spans="13:53" ht="18" x14ac:dyDescent="0.25">
      <c r="M277" s="179"/>
      <c r="AA277" s="179"/>
      <c r="AZ277" s="573"/>
    </row>
    <row r="278" spans="13:53" ht="18" x14ac:dyDescent="0.25">
      <c r="M278" s="179"/>
      <c r="AA278" s="179"/>
      <c r="AI278" s="681"/>
      <c r="AJ278" s="681"/>
      <c r="AK278" s="681"/>
      <c r="AL278" s="681"/>
      <c r="AM278" s="681"/>
      <c r="AQ278" s="682"/>
    </row>
    <row r="279" spans="13:53" ht="18" x14ac:dyDescent="0.25">
      <c r="M279" s="179"/>
      <c r="AA279" s="179"/>
      <c r="AI279" s="771"/>
      <c r="AJ279" s="771"/>
      <c r="AK279" s="771"/>
      <c r="AL279" s="771"/>
      <c r="AM279" s="771"/>
      <c r="AN279" s="771"/>
      <c r="AO279" s="682"/>
      <c r="AP279" s="682"/>
      <c r="AQ279" s="426"/>
      <c r="BA279" s="573"/>
    </row>
    <row r="280" spans="13:53" ht="18" x14ac:dyDescent="0.25">
      <c r="M280" s="179"/>
      <c r="AA280" s="179"/>
      <c r="AI280" s="769"/>
      <c r="AJ280" s="769"/>
      <c r="AK280" s="769"/>
      <c r="AL280" s="769"/>
      <c r="AM280" s="769"/>
      <c r="AN280" s="2"/>
      <c r="AO280" s="426"/>
      <c r="AP280" s="426"/>
      <c r="AQ280" s="682"/>
      <c r="AZ280" s="573"/>
      <c r="BA280" s="682"/>
    </row>
    <row r="281" spans="13:53" ht="18" x14ac:dyDescent="0.25">
      <c r="M281" s="179"/>
      <c r="AA281" s="179"/>
      <c r="AI281" s="771"/>
      <c r="AJ281" s="771"/>
      <c r="AK281" s="771"/>
      <c r="AL281" s="771"/>
      <c r="AM281" s="771"/>
      <c r="AN281" s="771"/>
      <c r="AO281" s="682"/>
      <c r="AP281" s="682"/>
      <c r="AQ281" s="683"/>
      <c r="AZ281" s="682"/>
      <c r="BA281" s="573"/>
    </row>
    <row r="282" spans="13:53" ht="18" x14ac:dyDescent="0.25">
      <c r="M282" s="179"/>
      <c r="AA282" s="179"/>
      <c r="AI282" s="771"/>
      <c r="AJ282" s="771"/>
      <c r="AK282" s="771"/>
      <c r="AL282" s="771"/>
      <c r="AM282" s="771"/>
      <c r="AN282" s="771"/>
      <c r="AO282" s="683"/>
      <c r="AP282" s="683"/>
      <c r="AQ282" s="683"/>
      <c r="AZ282" s="573"/>
      <c r="BA282" s="573"/>
    </row>
    <row r="283" spans="13:53" ht="18" x14ac:dyDescent="0.25">
      <c r="M283" s="179"/>
      <c r="AA283" s="179"/>
      <c r="AI283" s="573"/>
      <c r="AJ283" s="573"/>
      <c r="AK283" s="573"/>
      <c r="AL283" s="573"/>
      <c r="AM283" s="573"/>
      <c r="AN283" s="573"/>
      <c r="AO283" s="683"/>
      <c r="AP283" s="683"/>
      <c r="AQ283" s="683"/>
      <c r="AZ283" s="573"/>
      <c r="BA283" s="573"/>
    </row>
    <row r="284" spans="13:53" ht="18" x14ac:dyDescent="0.25">
      <c r="M284" s="179"/>
      <c r="AA284" s="179"/>
      <c r="AI284" s="573"/>
      <c r="AJ284" s="573"/>
      <c r="AK284" s="573"/>
      <c r="AL284" s="573"/>
      <c r="AM284" s="573"/>
      <c r="AN284" s="573"/>
      <c r="AO284" s="683"/>
      <c r="AP284" s="683"/>
      <c r="AQ284" s="683"/>
      <c r="AZ284" s="573"/>
      <c r="BA284" s="573"/>
    </row>
    <row r="285" spans="13:53" ht="18" x14ac:dyDescent="0.25">
      <c r="M285" s="179"/>
      <c r="AA285" s="179"/>
      <c r="AI285" s="573"/>
      <c r="AJ285" s="573"/>
      <c r="AK285" s="573"/>
      <c r="AL285" s="573"/>
      <c r="AM285" s="573"/>
      <c r="AN285" s="573"/>
      <c r="AO285" s="683"/>
      <c r="AP285" s="683"/>
      <c r="AQ285" s="683"/>
      <c r="AZ285" s="573"/>
      <c r="BA285" s="573"/>
    </row>
    <row r="286" spans="13:53" ht="18" x14ac:dyDescent="0.25">
      <c r="M286" s="179"/>
      <c r="AA286" s="179"/>
      <c r="AI286" s="573"/>
      <c r="AJ286" s="573"/>
      <c r="AK286" s="573"/>
      <c r="AL286" s="573"/>
      <c r="AM286" s="573"/>
      <c r="AN286" s="573"/>
      <c r="AO286" s="683"/>
      <c r="AP286" s="683"/>
      <c r="AQ286" s="683"/>
      <c r="AZ286" s="573"/>
      <c r="BA286" s="573"/>
    </row>
    <row r="287" spans="13:53" ht="18" x14ac:dyDescent="0.25">
      <c r="M287" s="179"/>
      <c r="AA287" s="179"/>
      <c r="AI287" s="573"/>
      <c r="AJ287" s="573"/>
      <c r="AK287" s="573"/>
      <c r="AL287" s="573"/>
      <c r="AM287" s="573"/>
      <c r="AN287" s="573"/>
      <c r="AO287" s="683"/>
      <c r="AP287" s="683"/>
      <c r="AQ287" s="683"/>
      <c r="AZ287" s="573"/>
      <c r="BA287" s="573"/>
    </row>
    <row r="288" spans="13:53" ht="18" x14ac:dyDescent="0.25">
      <c r="M288" s="179"/>
      <c r="AA288" s="179"/>
      <c r="AI288" s="573"/>
      <c r="AJ288" s="573"/>
      <c r="AK288" s="573"/>
      <c r="AL288" s="573"/>
      <c r="AM288" s="573"/>
      <c r="AN288" s="573"/>
      <c r="AO288" s="683"/>
      <c r="AP288" s="683"/>
      <c r="AQ288" s="683"/>
      <c r="AZ288" s="573"/>
      <c r="BA288" s="573"/>
    </row>
    <row r="289" spans="13:53" ht="18" x14ac:dyDescent="0.25">
      <c r="M289" s="179"/>
      <c r="AA289" s="179"/>
      <c r="AI289" s="573"/>
      <c r="AJ289" s="573"/>
      <c r="AK289" s="573"/>
      <c r="AL289" s="573"/>
      <c r="AM289" s="573"/>
      <c r="AN289" s="573"/>
      <c r="AO289" s="683"/>
      <c r="AP289" s="683"/>
      <c r="AQ289" s="683"/>
      <c r="AZ289" s="573"/>
      <c r="BA289" s="573"/>
    </row>
    <row r="290" spans="13:53" ht="18" x14ac:dyDescent="0.25">
      <c r="M290" s="179"/>
      <c r="AA290" s="179"/>
      <c r="AI290" s="573"/>
      <c r="AJ290" s="573"/>
      <c r="AK290" s="573"/>
      <c r="AL290" s="573"/>
      <c r="AM290" s="573"/>
      <c r="AN290" s="573"/>
      <c r="AO290" s="683"/>
      <c r="AP290" s="683"/>
      <c r="AQ290" s="683"/>
      <c r="AZ290" s="573"/>
      <c r="BA290" s="573"/>
    </row>
    <row r="291" spans="13:53" ht="18" x14ac:dyDescent="0.25">
      <c r="M291" s="179"/>
      <c r="AA291" s="179"/>
      <c r="AI291" s="573"/>
      <c r="AJ291" s="573"/>
      <c r="AK291" s="573"/>
      <c r="AL291" s="573"/>
      <c r="AM291" s="573"/>
      <c r="AN291" s="573"/>
      <c r="AO291" s="683"/>
      <c r="AP291" s="683"/>
      <c r="AQ291" s="683"/>
      <c r="AZ291" s="573"/>
      <c r="BA291" s="573"/>
    </row>
    <row r="292" spans="13:53" ht="18" x14ac:dyDescent="0.25">
      <c r="M292" s="179"/>
      <c r="AA292" s="179"/>
      <c r="AI292" s="573"/>
      <c r="AJ292" s="573"/>
      <c r="AK292" s="573"/>
      <c r="AL292" s="573"/>
      <c r="AM292" s="573"/>
      <c r="AN292" s="573"/>
      <c r="AO292" s="683"/>
      <c r="AP292" s="683"/>
      <c r="AQ292" s="683"/>
      <c r="AZ292" s="573"/>
      <c r="BA292" s="573"/>
    </row>
    <row r="293" spans="13:53" ht="18" x14ac:dyDescent="0.25">
      <c r="M293" s="179"/>
      <c r="AA293" s="179"/>
      <c r="AI293" s="573"/>
      <c r="AJ293" s="573"/>
      <c r="AK293" s="573"/>
      <c r="AL293" s="573"/>
      <c r="AM293" s="573"/>
      <c r="AN293" s="573"/>
      <c r="AO293" s="683"/>
      <c r="AP293" s="683"/>
      <c r="AQ293" s="683"/>
      <c r="AZ293" s="573"/>
      <c r="BA293" s="573"/>
    </row>
    <row r="294" spans="13:53" ht="18" x14ac:dyDescent="0.25">
      <c r="M294" s="179"/>
      <c r="AA294" s="179"/>
      <c r="AI294" s="573"/>
      <c r="AJ294" s="573"/>
      <c r="AK294" s="573"/>
      <c r="AL294" s="573"/>
      <c r="AM294" s="573"/>
      <c r="AN294" s="573"/>
      <c r="AO294" s="683"/>
      <c r="AP294" s="683"/>
      <c r="AQ294" s="683"/>
      <c r="AZ294" s="573"/>
      <c r="BA294" s="573"/>
    </row>
    <row r="295" spans="13:53" ht="18" x14ac:dyDescent="0.25">
      <c r="M295" s="179"/>
      <c r="AA295" s="179"/>
      <c r="AI295" s="681"/>
      <c r="AJ295" s="681"/>
      <c r="AK295" s="681"/>
      <c r="AL295" s="681"/>
      <c r="AM295" s="681"/>
      <c r="AQ295" s="683"/>
      <c r="AZ295" s="573"/>
      <c r="BA295" s="573"/>
    </row>
    <row r="296" spans="13:53" ht="18" x14ac:dyDescent="0.25">
      <c r="M296" s="179"/>
      <c r="AA296" s="179"/>
      <c r="AI296" s="681"/>
      <c r="AJ296" s="681"/>
      <c r="AK296" s="681"/>
      <c r="AL296" s="681"/>
      <c r="AM296" s="681"/>
      <c r="AQ296" s="683"/>
      <c r="AZ296" s="573"/>
      <c r="BA296" s="573"/>
    </row>
    <row r="297" spans="13:53" ht="18" x14ac:dyDescent="0.25">
      <c r="M297" s="179"/>
      <c r="AA297" s="179"/>
      <c r="AI297" s="681"/>
      <c r="AJ297" s="681"/>
      <c r="AK297" s="681"/>
      <c r="AL297" s="681"/>
      <c r="AM297" s="681"/>
      <c r="AQ297" s="683"/>
      <c r="AZ297" s="573"/>
      <c r="BA297" s="573"/>
    </row>
    <row r="298" spans="13:53" ht="18" x14ac:dyDescent="0.25">
      <c r="M298" s="179"/>
      <c r="AA298" s="179"/>
      <c r="AI298" s="681"/>
      <c r="AJ298" s="681"/>
      <c r="AK298" s="681"/>
      <c r="AL298" s="681"/>
      <c r="AM298" s="681"/>
      <c r="AQ298" s="683"/>
      <c r="AZ298" s="573"/>
      <c r="BA298" s="573"/>
    </row>
    <row r="299" spans="13:53" ht="18" x14ac:dyDescent="0.25">
      <c r="M299" s="179"/>
      <c r="AA299" s="179"/>
      <c r="AI299" s="681"/>
      <c r="AJ299" s="681"/>
      <c r="AK299" s="681"/>
      <c r="AL299" s="681"/>
      <c r="AM299" s="681"/>
      <c r="AQ299" s="683"/>
      <c r="AZ299" s="573"/>
      <c r="BA299" s="573"/>
    </row>
    <row r="300" spans="13:53" ht="18" x14ac:dyDescent="0.25">
      <c r="M300" s="179"/>
      <c r="AA300" s="179"/>
      <c r="AI300" s="681"/>
      <c r="AJ300" s="681"/>
      <c r="AK300" s="681"/>
      <c r="AL300" s="681"/>
      <c r="AM300" s="681"/>
      <c r="AQ300" s="683"/>
      <c r="AZ300" s="573"/>
      <c r="BA300" s="573"/>
    </row>
    <row r="301" spans="13:53" ht="18" x14ac:dyDescent="0.25">
      <c r="M301" s="179"/>
      <c r="AA301" s="179"/>
      <c r="AI301" s="681"/>
      <c r="AJ301" s="681"/>
      <c r="AK301" s="681"/>
      <c r="AL301" s="681"/>
      <c r="AM301" s="681"/>
      <c r="AQ301" s="683"/>
      <c r="AZ301" s="573"/>
      <c r="BA301" s="573"/>
    </row>
    <row r="302" spans="13:53" ht="18" x14ac:dyDescent="0.25">
      <c r="M302" s="179"/>
      <c r="AA302" s="179"/>
      <c r="AI302" s="681"/>
      <c r="AJ302" s="681"/>
      <c r="AK302" s="681"/>
      <c r="AL302" s="681"/>
      <c r="AM302" s="681"/>
      <c r="AQ302" s="683"/>
      <c r="AZ302" s="573"/>
      <c r="BA302" s="573"/>
    </row>
    <row r="303" spans="13:53" ht="18" x14ac:dyDescent="0.25">
      <c r="M303" s="179"/>
      <c r="AA303" s="179"/>
      <c r="AI303" s="681"/>
      <c r="AJ303" s="681"/>
      <c r="AK303" s="681"/>
      <c r="AL303" s="681"/>
      <c r="AM303" s="681"/>
      <c r="AQ303" s="683"/>
      <c r="AZ303" s="573"/>
      <c r="BA303" s="573"/>
    </row>
    <row r="304" spans="13:53" ht="18" x14ac:dyDescent="0.25">
      <c r="M304" s="179"/>
      <c r="AA304" s="179"/>
      <c r="AI304" s="681"/>
      <c r="AJ304" s="681"/>
      <c r="AK304" s="681"/>
      <c r="AL304" s="681"/>
      <c r="AM304" s="681"/>
      <c r="AQ304" s="683"/>
      <c r="AZ304" s="573"/>
      <c r="BA304" s="573"/>
    </row>
    <row r="305" spans="13:53" ht="18" x14ac:dyDescent="0.25">
      <c r="M305" s="179"/>
      <c r="AA305" s="179"/>
      <c r="AI305" s="681"/>
      <c r="AJ305" s="681"/>
      <c r="AK305" s="681"/>
      <c r="AL305" s="681"/>
      <c r="AM305" s="681"/>
      <c r="AQ305" s="683"/>
      <c r="AZ305" s="573"/>
      <c r="BA305" s="573"/>
    </row>
    <row r="306" spans="13:53" ht="18" x14ac:dyDescent="0.25">
      <c r="M306" s="179"/>
      <c r="AA306" s="179"/>
      <c r="AI306" s="681"/>
      <c r="AJ306" s="681"/>
      <c r="AK306" s="681"/>
      <c r="AL306" s="681"/>
      <c r="AM306" s="681"/>
      <c r="AQ306" s="683"/>
      <c r="AZ306" s="573"/>
      <c r="BA306" s="573"/>
    </row>
    <row r="307" spans="13:53" ht="18" x14ac:dyDescent="0.25">
      <c r="M307" s="179"/>
      <c r="AA307" s="179"/>
      <c r="AI307" s="681"/>
      <c r="AJ307" s="681"/>
      <c r="AK307" s="681"/>
      <c r="AL307" s="681"/>
      <c r="AM307" s="681"/>
      <c r="AQ307" s="683"/>
      <c r="AZ307" s="573"/>
      <c r="BA307" s="573"/>
    </row>
    <row r="308" spans="13:53" ht="18" x14ac:dyDescent="0.25">
      <c r="M308" s="179"/>
      <c r="AA308" s="179"/>
      <c r="AI308" s="681"/>
      <c r="AJ308" s="681"/>
      <c r="AK308" s="681"/>
      <c r="AL308" s="681"/>
      <c r="AM308" s="681"/>
      <c r="AQ308" s="683"/>
      <c r="AZ308" s="573"/>
      <c r="BA308" s="573"/>
    </row>
    <row r="309" spans="13:53" ht="18" x14ac:dyDescent="0.25">
      <c r="M309" s="179"/>
      <c r="AI309" s="681"/>
      <c r="AJ309" s="681"/>
      <c r="AK309" s="681"/>
      <c r="AL309" s="681"/>
      <c r="AM309" s="681"/>
      <c r="AQ309" s="683"/>
      <c r="AZ309" s="573"/>
      <c r="BA309" s="573"/>
    </row>
    <row r="310" spans="13:53" ht="18" x14ac:dyDescent="0.25">
      <c r="M310" s="179"/>
      <c r="AI310" s="681"/>
      <c r="AJ310" s="681"/>
      <c r="AK310" s="681"/>
      <c r="AL310" s="681"/>
      <c r="AM310" s="681"/>
      <c r="AQ310" s="682"/>
      <c r="AZ310" s="573"/>
    </row>
    <row r="311" spans="13:53" ht="18" x14ac:dyDescent="0.25">
      <c r="M311" s="179"/>
      <c r="AI311" s="681"/>
      <c r="AJ311" s="681"/>
      <c r="AK311" s="681"/>
      <c r="AL311" s="681"/>
      <c r="AM311" s="681"/>
      <c r="AQ311" s="426"/>
      <c r="BA311" s="573"/>
    </row>
    <row r="312" spans="13:53" ht="18" x14ac:dyDescent="0.25">
      <c r="M312" s="179"/>
      <c r="AI312" s="769"/>
      <c r="AJ312" s="769"/>
      <c r="AK312" s="769"/>
      <c r="AL312" s="769"/>
      <c r="AM312" s="769"/>
      <c r="AN312" s="2"/>
      <c r="AO312" s="426"/>
      <c r="AP312" s="426"/>
      <c r="AQ312" s="426"/>
      <c r="AZ312" s="573"/>
      <c r="BA312" s="573"/>
    </row>
    <row r="313" spans="13:53" ht="18" x14ac:dyDescent="0.25">
      <c r="M313" s="179"/>
      <c r="AI313" s="682"/>
      <c r="AJ313" s="682"/>
      <c r="AK313" s="682"/>
      <c r="AL313" s="682"/>
      <c r="AM313" s="682"/>
      <c r="AN313" s="2"/>
      <c r="AO313" s="426"/>
      <c r="AP313" s="426"/>
      <c r="AQ313" s="426"/>
      <c r="AZ313" s="573"/>
      <c r="BA313" s="573"/>
    </row>
    <row r="314" spans="13:53" ht="18" x14ac:dyDescent="0.25">
      <c r="M314" s="179"/>
      <c r="AI314" s="682"/>
      <c r="AJ314" s="682"/>
      <c r="AK314" s="682"/>
      <c r="AL314" s="682"/>
      <c r="AM314" s="682"/>
      <c r="AN314" s="2"/>
      <c r="AO314" s="426"/>
      <c r="AP314" s="426"/>
      <c r="AQ314" s="682"/>
      <c r="AZ314" s="573"/>
      <c r="BA314" s="682"/>
    </row>
    <row r="315" spans="13:53" ht="18" x14ac:dyDescent="0.25">
      <c r="M315" s="179"/>
      <c r="AI315" s="682"/>
      <c r="AJ315" s="682"/>
      <c r="AK315" s="682"/>
      <c r="AL315" s="682"/>
      <c r="AM315" s="682"/>
      <c r="AN315" s="2"/>
      <c r="AO315" s="426"/>
      <c r="AP315" s="426"/>
      <c r="AQ315" s="683"/>
      <c r="AR315" s="683"/>
      <c r="AS315" s="683"/>
      <c r="AT315" s="683"/>
      <c r="AU315" s="683"/>
      <c r="AZ315" s="682"/>
      <c r="BA315" s="573"/>
    </row>
    <row r="316" spans="13:53" ht="18" x14ac:dyDescent="0.25">
      <c r="M316" s="179"/>
      <c r="AI316" s="771"/>
      <c r="AJ316" s="771"/>
      <c r="AK316" s="771"/>
      <c r="AL316" s="771"/>
      <c r="AM316" s="771"/>
      <c r="AN316" s="771"/>
      <c r="AO316" s="682"/>
      <c r="AP316" s="682"/>
      <c r="AW316" s="573"/>
      <c r="AX316" s="573"/>
      <c r="AY316" s="573"/>
      <c r="AZ316" s="573"/>
      <c r="BA316" s="573"/>
    </row>
    <row r="317" spans="13:53" ht="18" x14ac:dyDescent="0.25">
      <c r="M317" s="179"/>
      <c r="AI317" s="771"/>
      <c r="AJ317" s="771"/>
      <c r="AK317" s="771"/>
      <c r="AL317" s="771"/>
      <c r="AM317" s="771"/>
      <c r="AN317" s="771"/>
      <c r="AO317" s="683"/>
      <c r="AP317" s="683"/>
      <c r="AQ317" s="682"/>
      <c r="AW317" s="573"/>
      <c r="AX317" s="573"/>
      <c r="AY317" s="573"/>
      <c r="AZ317" s="573"/>
      <c r="BA317" s="573"/>
    </row>
    <row r="318" spans="13:53" ht="18" x14ac:dyDescent="0.25">
      <c r="M318" s="179"/>
      <c r="AQ318" s="682"/>
      <c r="AW318" s="573"/>
      <c r="AX318" s="573"/>
      <c r="AY318" s="573"/>
      <c r="AZ318" s="573"/>
    </row>
    <row r="319" spans="13:53" ht="18" x14ac:dyDescent="0.25">
      <c r="M319" s="179"/>
      <c r="AI319" s="771"/>
      <c r="AJ319" s="771"/>
      <c r="AK319" s="771"/>
      <c r="AL319" s="771"/>
      <c r="AM319" s="771"/>
      <c r="AN319" s="771"/>
      <c r="AO319" s="682"/>
      <c r="AP319" s="682"/>
      <c r="AQ319" s="682"/>
      <c r="AR319" s="682"/>
      <c r="AS319" s="682"/>
      <c r="AT319" s="682"/>
      <c r="AU319" s="682"/>
      <c r="AW319" s="682"/>
      <c r="AX319" s="682"/>
      <c r="AY319" s="682"/>
    </row>
    <row r="320" spans="13:53" ht="18" x14ac:dyDescent="0.25">
      <c r="M320" s="179"/>
      <c r="AI320" s="769"/>
      <c r="AJ320" s="769"/>
      <c r="AK320" s="769"/>
      <c r="AL320" s="769"/>
      <c r="AM320" s="769"/>
      <c r="AN320" s="2"/>
      <c r="AO320" s="426"/>
      <c r="AP320" s="426"/>
      <c r="AQ320" s="426"/>
      <c r="AR320" s="426"/>
      <c r="AS320" s="426"/>
      <c r="AT320" s="426"/>
      <c r="AU320" s="426"/>
      <c r="AW320" s="573"/>
      <c r="AX320" s="573"/>
      <c r="AY320" s="573"/>
      <c r="BA320" s="573"/>
    </row>
    <row r="321" spans="13:53" ht="18" x14ac:dyDescent="0.25">
      <c r="M321" s="179"/>
      <c r="AI321" s="682"/>
      <c r="AJ321" s="682"/>
      <c r="AK321" s="682"/>
      <c r="AL321" s="682"/>
      <c r="AM321" s="682"/>
      <c r="AN321" s="2"/>
      <c r="AO321" s="426"/>
      <c r="AP321" s="426"/>
      <c r="AQ321" s="426"/>
      <c r="AR321" s="426"/>
      <c r="AS321" s="426"/>
      <c r="AT321" s="426"/>
      <c r="AU321" s="426"/>
      <c r="AW321" s="573"/>
      <c r="AX321" s="573"/>
      <c r="AY321" s="573"/>
      <c r="AZ321" s="573"/>
      <c r="BA321" s="573"/>
    </row>
    <row r="322" spans="13:53" ht="18" x14ac:dyDescent="0.25">
      <c r="M322" s="179"/>
      <c r="AI322" s="682"/>
      <c r="AJ322" s="682"/>
      <c r="AK322" s="682"/>
      <c r="AL322" s="682"/>
      <c r="AM322" s="682"/>
      <c r="AN322" s="2"/>
      <c r="AO322" s="426"/>
      <c r="AP322" s="426"/>
      <c r="AQ322" s="426"/>
      <c r="AZ322" s="573"/>
      <c r="BA322" s="573"/>
    </row>
    <row r="323" spans="13:53" ht="18" x14ac:dyDescent="0.25">
      <c r="M323" s="179"/>
      <c r="AI323" s="682"/>
      <c r="AJ323" s="682"/>
      <c r="AK323" s="682"/>
      <c r="AL323" s="682"/>
      <c r="AM323" s="682"/>
      <c r="AN323" s="2"/>
      <c r="AO323" s="426"/>
      <c r="AP323" s="426"/>
      <c r="AQ323" s="426"/>
      <c r="AZ323" s="573"/>
      <c r="BA323" s="573"/>
    </row>
    <row r="324" spans="13:53" ht="18" x14ac:dyDescent="0.25">
      <c r="M324" s="179"/>
      <c r="AI324" s="682"/>
      <c r="AJ324" s="682"/>
      <c r="AK324" s="682"/>
      <c r="AL324" s="682"/>
      <c r="AM324" s="682"/>
      <c r="AN324" s="2"/>
      <c r="AO324" s="426"/>
      <c r="AP324" s="426"/>
      <c r="AQ324" s="426"/>
      <c r="AR324" s="683"/>
      <c r="AS324" s="683"/>
      <c r="AT324" s="683"/>
      <c r="AU324" s="683"/>
      <c r="AZ324" s="573"/>
      <c r="BA324" s="573"/>
    </row>
    <row r="325" spans="13:53" ht="18" x14ac:dyDescent="0.25">
      <c r="M325" s="179"/>
      <c r="AI325" s="682"/>
      <c r="AJ325" s="682"/>
      <c r="AK325" s="682"/>
      <c r="AL325" s="682"/>
      <c r="AM325" s="682"/>
      <c r="AN325" s="2"/>
      <c r="AO325" s="426"/>
      <c r="AP325" s="426"/>
      <c r="AR325" s="683"/>
      <c r="AS325" s="683"/>
      <c r="AT325" s="683"/>
      <c r="AU325" s="683"/>
      <c r="AZ325" s="573"/>
      <c r="BA325" s="573"/>
    </row>
    <row r="326" spans="13:53" ht="18" x14ac:dyDescent="0.25">
      <c r="M326" s="179"/>
      <c r="AI326" s="682"/>
      <c r="AJ326" s="682"/>
      <c r="AK326" s="682"/>
      <c r="AL326" s="682"/>
      <c r="AM326" s="682"/>
      <c r="AN326" s="2"/>
      <c r="AO326" s="426"/>
      <c r="AP326" s="426"/>
      <c r="AQ326" s="682"/>
      <c r="AR326" s="683"/>
      <c r="AS326" s="683"/>
      <c r="AT326" s="683"/>
      <c r="AU326" s="683"/>
      <c r="AZ326" s="573"/>
      <c r="BA326" s="573"/>
    </row>
    <row r="327" spans="13:53" ht="18" x14ac:dyDescent="0.25">
      <c r="M327" s="179"/>
      <c r="AQ327" s="682"/>
      <c r="AW327" s="573"/>
      <c r="AX327" s="573"/>
      <c r="AY327" s="573"/>
      <c r="AZ327" s="573"/>
    </row>
    <row r="328" spans="13:53" ht="18" x14ac:dyDescent="0.25">
      <c r="M328" s="179"/>
      <c r="AI328" s="771"/>
      <c r="AJ328" s="771"/>
      <c r="AK328" s="771"/>
      <c r="AL328" s="771"/>
      <c r="AM328" s="771"/>
      <c r="AN328" s="771"/>
      <c r="AO328" s="682"/>
      <c r="AP328" s="682"/>
      <c r="AQ328" s="426"/>
      <c r="AR328" s="682"/>
      <c r="AS328" s="682"/>
      <c r="AT328" s="682"/>
      <c r="AU328" s="682"/>
      <c r="AW328" s="682"/>
      <c r="AX328" s="682"/>
      <c r="AY328" s="682"/>
    </row>
    <row r="329" spans="13:53" ht="18" x14ac:dyDescent="0.25">
      <c r="M329" s="179"/>
      <c r="AI329" s="769"/>
      <c r="AJ329" s="769"/>
      <c r="AK329" s="769"/>
      <c r="AL329" s="769"/>
      <c r="AM329" s="769"/>
      <c r="AN329" s="2"/>
      <c r="AO329" s="426"/>
      <c r="AP329" s="426"/>
      <c r="AQ329" s="682"/>
      <c r="AR329" s="426"/>
      <c r="AS329" s="426"/>
      <c r="AT329" s="426"/>
      <c r="AU329" s="426"/>
      <c r="AW329" s="573"/>
      <c r="AX329" s="573"/>
      <c r="AY329" s="573"/>
    </row>
    <row r="330" spans="13:53" ht="18" x14ac:dyDescent="0.25">
      <c r="M330" s="179"/>
      <c r="AI330" s="771"/>
      <c r="AJ330" s="771"/>
      <c r="AK330" s="771"/>
      <c r="AL330" s="771"/>
      <c r="AM330" s="771"/>
      <c r="AN330" s="771"/>
      <c r="AO330" s="682"/>
      <c r="AP330" s="682"/>
      <c r="AQ330" s="683"/>
      <c r="AR330" s="682"/>
      <c r="AS330" s="682"/>
      <c r="AT330" s="682"/>
      <c r="AU330" s="682"/>
      <c r="AW330" s="573"/>
      <c r="AX330" s="573"/>
      <c r="AY330" s="573"/>
    </row>
    <row r="331" spans="13:53" ht="18" x14ac:dyDescent="0.25">
      <c r="M331" s="179"/>
      <c r="AI331" s="771"/>
      <c r="AJ331" s="771"/>
      <c r="AK331" s="771"/>
      <c r="AL331" s="771"/>
      <c r="AM331" s="771"/>
      <c r="AN331" s="771"/>
      <c r="AO331" s="683"/>
      <c r="AP331" s="683"/>
      <c r="AR331" s="682"/>
      <c r="AS331" s="682"/>
      <c r="AT331" s="682"/>
      <c r="AU331" s="682"/>
      <c r="AW331" s="573"/>
      <c r="AX331" s="573"/>
      <c r="AY331" s="573"/>
    </row>
    <row r="332" spans="13:53" ht="18" x14ac:dyDescent="0.25">
      <c r="M332" s="179"/>
      <c r="AI332" s="681"/>
      <c r="AJ332" s="681"/>
      <c r="AK332" s="681"/>
      <c r="AL332" s="681"/>
      <c r="AM332" s="681"/>
      <c r="AQ332" s="682"/>
      <c r="AR332" s="683"/>
      <c r="AS332" s="683"/>
      <c r="AT332" s="683"/>
      <c r="AU332" s="683"/>
    </row>
    <row r="333" spans="13:53" ht="18" x14ac:dyDescent="0.25">
      <c r="M333" s="179"/>
      <c r="AI333" s="771"/>
      <c r="AJ333" s="771"/>
      <c r="AK333" s="771"/>
      <c r="AL333" s="771"/>
      <c r="AM333" s="771"/>
      <c r="AN333" s="771"/>
      <c r="AO333" s="682"/>
      <c r="AP333" s="682"/>
      <c r="AQ333" s="426"/>
      <c r="AW333" s="573"/>
      <c r="AX333" s="573"/>
      <c r="AY333" s="573"/>
    </row>
    <row r="334" spans="13:53" ht="18" x14ac:dyDescent="0.25">
      <c r="M334" s="179"/>
      <c r="AI334" s="769"/>
      <c r="AJ334" s="769"/>
      <c r="AK334" s="769"/>
      <c r="AL334" s="769"/>
      <c r="AM334" s="769"/>
      <c r="AN334" s="2"/>
      <c r="AO334" s="426"/>
      <c r="AP334" s="426"/>
      <c r="AQ334" s="682"/>
      <c r="AR334" s="682"/>
      <c r="AS334" s="682"/>
      <c r="AT334" s="682"/>
      <c r="AU334" s="682"/>
      <c r="AW334" s="682"/>
      <c r="AX334" s="682"/>
      <c r="AY334" s="682"/>
    </row>
    <row r="335" spans="13:53" ht="18" x14ac:dyDescent="0.25">
      <c r="M335" s="179"/>
      <c r="AI335" s="771"/>
      <c r="AJ335" s="771"/>
      <c r="AK335" s="771"/>
      <c r="AL335" s="771"/>
      <c r="AM335" s="771"/>
      <c r="AN335" s="771"/>
      <c r="AO335" s="682"/>
      <c r="AP335" s="682"/>
      <c r="AQ335" s="683"/>
      <c r="AR335" s="426"/>
      <c r="AS335" s="426"/>
      <c r="AT335" s="426"/>
      <c r="AU335" s="426"/>
      <c r="AW335" s="573"/>
      <c r="AX335" s="573"/>
      <c r="AY335" s="573"/>
    </row>
    <row r="336" spans="13:53" ht="18" x14ac:dyDescent="0.25">
      <c r="M336" s="179"/>
      <c r="AI336" s="771"/>
      <c r="AJ336" s="771"/>
      <c r="AK336" s="771"/>
      <c r="AL336" s="771"/>
      <c r="AM336" s="771"/>
      <c r="AN336" s="771"/>
      <c r="AO336" s="683"/>
      <c r="AP336" s="683"/>
      <c r="AR336" s="682"/>
      <c r="AS336" s="682"/>
      <c r="AT336" s="682"/>
      <c r="AU336" s="682"/>
      <c r="AW336" s="573"/>
      <c r="AX336" s="573"/>
      <c r="AY336" s="573"/>
    </row>
    <row r="337" spans="13:47" ht="18" x14ac:dyDescent="0.25">
      <c r="M337" s="179"/>
      <c r="AK337" s="220"/>
      <c r="AQ337" s="682"/>
      <c r="AR337" s="683"/>
      <c r="AS337" s="683"/>
      <c r="AT337" s="683"/>
      <c r="AU337" s="683"/>
    </row>
    <row r="338" spans="13:47" ht="18" x14ac:dyDescent="0.25">
      <c r="M338" s="179"/>
      <c r="AI338" s="770"/>
      <c r="AJ338" s="770"/>
      <c r="AK338" s="770"/>
      <c r="AL338" s="770"/>
      <c r="AM338" s="770"/>
      <c r="AN338" s="770"/>
      <c r="AO338" s="682"/>
      <c r="AP338" s="682"/>
      <c r="AQ338" s="426"/>
    </row>
    <row r="339" spans="13:47" ht="18" x14ac:dyDescent="0.25">
      <c r="M339" s="179"/>
      <c r="AI339" s="772"/>
      <c r="AJ339" s="772"/>
      <c r="AK339" s="772"/>
      <c r="AL339" s="772"/>
      <c r="AM339" s="772"/>
      <c r="AN339" s="2"/>
      <c r="AO339" s="426"/>
      <c r="AP339" s="426"/>
      <c r="AQ339" s="682"/>
      <c r="AR339" s="682"/>
      <c r="AS339" s="682"/>
      <c r="AT339" s="682"/>
      <c r="AU339" s="682"/>
    </row>
    <row r="340" spans="13:47" ht="18" x14ac:dyDescent="0.25">
      <c r="M340" s="179"/>
      <c r="AI340" s="770"/>
      <c r="AJ340" s="770"/>
      <c r="AK340" s="770"/>
      <c r="AL340" s="770"/>
      <c r="AM340" s="770"/>
      <c r="AN340" s="770"/>
      <c r="AO340" s="682"/>
      <c r="AP340" s="682"/>
      <c r="AQ340" s="683"/>
      <c r="AR340" s="426"/>
      <c r="AS340" s="426"/>
      <c r="AT340" s="426"/>
      <c r="AU340" s="426"/>
    </row>
    <row r="341" spans="13:47" ht="18" x14ac:dyDescent="0.25">
      <c r="M341" s="179"/>
      <c r="AI341" s="770"/>
      <c r="AJ341" s="770"/>
      <c r="AK341" s="770"/>
      <c r="AL341" s="770"/>
      <c r="AM341" s="770"/>
      <c r="AN341" s="770"/>
      <c r="AO341" s="683"/>
      <c r="AP341" s="683"/>
      <c r="AR341" s="682"/>
      <c r="AS341" s="682"/>
      <c r="AT341" s="682"/>
      <c r="AU341" s="682"/>
    </row>
    <row r="342" spans="13:47" ht="18" x14ac:dyDescent="0.25">
      <c r="M342" s="179"/>
      <c r="AI342" s="681"/>
      <c r="AJ342" s="681"/>
      <c r="AK342" s="681"/>
      <c r="AL342" s="681"/>
      <c r="AM342" s="681"/>
      <c r="AQ342" s="682"/>
      <c r="AR342" s="683"/>
      <c r="AS342" s="683"/>
      <c r="AT342" s="683"/>
      <c r="AU342" s="683"/>
    </row>
    <row r="343" spans="13:47" ht="18" x14ac:dyDescent="0.25">
      <c r="M343" s="179"/>
      <c r="AI343" s="771"/>
      <c r="AJ343" s="771"/>
      <c r="AK343" s="771"/>
      <c r="AL343" s="771"/>
      <c r="AM343" s="771"/>
      <c r="AN343" s="771"/>
      <c r="AO343" s="682"/>
      <c r="AP343" s="682"/>
      <c r="AQ343" s="426"/>
    </row>
    <row r="344" spans="13:47" ht="18" x14ac:dyDescent="0.25">
      <c r="M344" s="179"/>
      <c r="AI344" s="769"/>
      <c r="AJ344" s="769"/>
      <c r="AK344" s="769"/>
      <c r="AL344" s="769"/>
      <c r="AM344" s="769"/>
      <c r="AN344" s="2"/>
      <c r="AO344" s="426"/>
      <c r="AP344" s="426"/>
      <c r="AQ344" s="682"/>
      <c r="AR344" s="682"/>
      <c r="AS344" s="682"/>
      <c r="AT344" s="682"/>
      <c r="AU344" s="682"/>
    </row>
    <row r="345" spans="13:47" ht="18" x14ac:dyDescent="0.25">
      <c r="M345" s="179"/>
      <c r="AI345" s="771"/>
      <c r="AJ345" s="771"/>
      <c r="AK345" s="771"/>
      <c r="AL345" s="771"/>
      <c r="AM345" s="771"/>
      <c r="AN345" s="771"/>
      <c r="AO345" s="682"/>
      <c r="AP345" s="682"/>
      <c r="AQ345" s="683"/>
      <c r="AR345" s="426"/>
      <c r="AS345" s="426"/>
      <c r="AT345" s="426"/>
      <c r="AU345" s="426"/>
    </row>
    <row r="346" spans="13:47" ht="18" x14ac:dyDescent="0.25">
      <c r="M346" s="179"/>
      <c r="AI346" s="771"/>
      <c r="AJ346" s="771"/>
      <c r="AK346" s="771"/>
      <c r="AL346" s="771"/>
      <c r="AM346" s="771"/>
      <c r="AN346" s="771"/>
      <c r="AO346" s="683"/>
      <c r="AP346" s="683"/>
      <c r="AR346" s="682"/>
      <c r="AS346" s="682"/>
      <c r="AT346" s="682"/>
      <c r="AU346" s="682"/>
    </row>
    <row r="347" spans="13:47" x14ac:dyDescent="0.25">
      <c r="M347" s="179"/>
      <c r="AR347" s="683"/>
      <c r="AS347" s="683"/>
      <c r="AT347" s="683"/>
      <c r="AU347" s="683"/>
    </row>
    <row r="348" spans="13:47" ht="18" x14ac:dyDescent="0.25">
      <c r="M348" s="179"/>
      <c r="AI348" s="681"/>
      <c r="AJ348" s="681"/>
      <c r="AK348" s="681"/>
      <c r="AL348" s="681"/>
      <c r="AM348" s="681"/>
      <c r="AQ348" s="682"/>
    </row>
    <row r="349" spans="13:47" ht="18" x14ac:dyDescent="0.25">
      <c r="M349" s="179"/>
      <c r="AI349" s="771"/>
      <c r="AJ349" s="771"/>
      <c r="AK349" s="771"/>
      <c r="AL349" s="771"/>
      <c r="AM349" s="771"/>
      <c r="AN349" s="771"/>
      <c r="AO349" s="682"/>
      <c r="AP349" s="682"/>
      <c r="AR349" s="682"/>
      <c r="AS349" s="682"/>
      <c r="AT349" s="682"/>
      <c r="AU349" s="682"/>
    </row>
    <row r="350" spans="13:47" ht="18" x14ac:dyDescent="0.25">
      <c r="M350" s="179"/>
      <c r="AI350" s="769"/>
      <c r="AJ350" s="769"/>
      <c r="AK350" s="769"/>
      <c r="AL350" s="769"/>
      <c r="AM350" s="769"/>
      <c r="AN350" s="2"/>
      <c r="AO350" s="426"/>
      <c r="AP350" s="426"/>
      <c r="AR350" s="426"/>
      <c r="AS350" s="426"/>
      <c r="AT350" s="426"/>
      <c r="AU350" s="426"/>
    </row>
    <row r="351" spans="13:47" x14ac:dyDescent="0.25">
      <c r="M351" s="179"/>
    </row>
    <row r="352" spans="13:47" x14ac:dyDescent="0.25">
      <c r="M352" s="179"/>
    </row>
    <row r="353" spans="13:13" x14ac:dyDescent="0.25">
      <c r="M353" s="179"/>
    </row>
    <row r="354" spans="13:13" x14ac:dyDescent="0.25">
      <c r="M354" s="179"/>
    </row>
    <row r="355" spans="13:13" x14ac:dyDescent="0.25">
      <c r="M355" s="179"/>
    </row>
    <row r="356" spans="13:13" x14ac:dyDescent="0.25">
      <c r="M356" s="179"/>
    </row>
    <row r="357" spans="13:13" x14ac:dyDescent="0.25">
      <c r="M357" s="179"/>
    </row>
    <row r="358" spans="13:13" x14ac:dyDescent="0.25">
      <c r="M358" s="179"/>
    </row>
    <row r="359" spans="13:13" x14ac:dyDescent="0.25">
      <c r="M359" s="179"/>
    </row>
    <row r="360" spans="13:13" x14ac:dyDescent="0.25">
      <c r="M360" s="179"/>
    </row>
    <row r="361" spans="13:13" x14ac:dyDescent="0.25">
      <c r="M361" s="179"/>
    </row>
    <row r="362" spans="13:13" x14ac:dyDescent="0.25">
      <c r="M362" s="179"/>
    </row>
    <row r="363" spans="13:13" x14ac:dyDescent="0.25">
      <c r="M363" s="179"/>
    </row>
    <row r="364" spans="13:13" x14ac:dyDescent="0.25">
      <c r="M364" s="179"/>
    </row>
    <row r="365" spans="13:13" x14ac:dyDescent="0.25">
      <c r="M365" s="179"/>
    </row>
    <row r="366" spans="13:13" x14ac:dyDescent="0.25">
      <c r="M366" s="179"/>
    </row>
    <row r="367" spans="13:13" x14ac:dyDescent="0.25">
      <c r="M367" s="179"/>
    </row>
    <row r="368" spans="13:13" x14ac:dyDescent="0.25">
      <c r="M368" s="179"/>
    </row>
    <row r="369" spans="13:13" x14ac:dyDescent="0.25">
      <c r="M369" s="179"/>
    </row>
    <row r="370" spans="13:13" x14ac:dyDescent="0.25">
      <c r="M370" s="179"/>
    </row>
    <row r="371" spans="13:13" x14ac:dyDescent="0.25">
      <c r="M371" s="179"/>
    </row>
    <row r="372" spans="13:13" x14ac:dyDescent="0.25">
      <c r="M372" s="179"/>
    </row>
    <row r="373" spans="13:13" x14ac:dyDescent="0.25">
      <c r="M373" s="179"/>
    </row>
    <row r="374" spans="13:13" x14ac:dyDescent="0.25">
      <c r="M374" s="179"/>
    </row>
    <row r="375" spans="13:13" x14ac:dyDescent="0.25">
      <c r="M375" s="179"/>
    </row>
    <row r="376" spans="13:13" x14ac:dyDescent="0.25">
      <c r="M376" s="179"/>
    </row>
    <row r="377" spans="13:13" x14ac:dyDescent="0.25">
      <c r="M377" s="179"/>
    </row>
    <row r="378" spans="13:13" x14ac:dyDescent="0.25">
      <c r="M378" s="179"/>
    </row>
    <row r="379" spans="13:13" x14ac:dyDescent="0.25">
      <c r="M379" s="179"/>
    </row>
    <row r="380" spans="13:13" x14ac:dyDescent="0.25">
      <c r="M380" s="179"/>
    </row>
    <row r="381" spans="13:13" x14ac:dyDescent="0.25">
      <c r="M381" s="179"/>
    </row>
    <row r="382" spans="13:13" x14ac:dyDescent="0.25">
      <c r="M382" s="179"/>
    </row>
    <row r="383" spans="13:13" x14ac:dyDescent="0.25">
      <c r="M383" s="179"/>
    </row>
    <row r="384" spans="13:13" x14ac:dyDescent="0.25">
      <c r="M384" s="179"/>
    </row>
    <row r="385" spans="13:13" x14ac:dyDescent="0.25">
      <c r="M385" s="179"/>
    </row>
    <row r="386" spans="13:13" x14ac:dyDescent="0.25">
      <c r="M386" s="179"/>
    </row>
    <row r="387" spans="13:13" x14ac:dyDescent="0.25">
      <c r="M387" s="179"/>
    </row>
    <row r="388" spans="13:13" x14ac:dyDescent="0.25">
      <c r="M388" s="179"/>
    </row>
    <row r="389" spans="13:13" x14ac:dyDescent="0.25">
      <c r="M389" s="179"/>
    </row>
    <row r="390" spans="13:13" x14ac:dyDescent="0.25">
      <c r="M390" s="179"/>
    </row>
    <row r="391" spans="13:13" x14ac:dyDescent="0.25">
      <c r="M391" s="179"/>
    </row>
    <row r="392" spans="13:13" x14ac:dyDescent="0.25">
      <c r="M392" s="179"/>
    </row>
    <row r="393" spans="13:13" x14ac:dyDescent="0.25">
      <c r="M393" s="179"/>
    </row>
    <row r="394" spans="13:13" x14ac:dyDescent="0.25">
      <c r="M394" s="179"/>
    </row>
    <row r="395" spans="13:13" x14ac:dyDescent="0.25">
      <c r="M395" s="179"/>
    </row>
    <row r="396" spans="13:13" x14ac:dyDescent="0.25">
      <c r="M396" s="179"/>
    </row>
    <row r="397" spans="13:13" x14ac:dyDescent="0.25">
      <c r="M397" s="179"/>
    </row>
    <row r="398" spans="13:13" x14ac:dyDescent="0.25">
      <c r="M398" s="179"/>
    </row>
    <row r="399" spans="13:13" x14ac:dyDescent="0.25">
      <c r="M399" s="179"/>
    </row>
    <row r="400" spans="13:13" x14ac:dyDescent="0.25">
      <c r="M400" s="179"/>
    </row>
    <row r="401" spans="13:13" x14ac:dyDescent="0.25">
      <c r="M401" s="179"/>
    </row>
    <row r="402" spans="13:13" x14ac:dyDescent="0.25">
      <c r="M402" s="179"/>
    </row>
    <row r="403" spans="13:13" x14ac:dyDescent="0.25">
      <c r="M403" s="179"/>
    </row>
    <row r="404" spans="13:13" x14ac:dyDescent="0.25">
      <c r="M404" s="179"/>
    </row>
    <row r="405" spans="13:13" x14ac:dyDescent="0.25">
      <c r="M405" s="179"/>
    </row>
    <row r="406" spans="13:13" x14ac:dyDescent="0.25">
      <c r="M406" s="179"/>
    </row>
    <row r="407" spans="13:13" x14ac:dyDescent="0.25">
      <c r="M407" s="179"/>
    </row>
    <row r="408" spans="13:13" x14ac:dyDescent="0.25">
      <c r="M408" s="179"/>
    </row>
    <row r="409" spans="13:13" x14ac:dyDescent="0.25">
      <c r="M409" s="179"/>
    </row>
    <row r="410" spans="13:13" x14ac:dyDescent="0.25">
      <c r="M410" s="179"/>
    </row>
    <row r="411" spans="13:13" x14ac:dyDescent="0.25">
      <c r="M411" s="179"/>
    </row>
    <row r="412" spans="13:13" x14ac:dyDescent="0.25">
      <c r="M412" s="179"/>
    </row>
    <row r="413" spans="13:13" x14ac:dyDescent="0.25">
      <c r="M413" s="179"/>
    </row>
    <row r="414" spans="13:13" x14ac:dyDescent="0.25">
      <c r="M414" s="179"/>
    </row>
    <row r="415" spans="13:13" x14ac:dyDescent="0.25">
      <c r="M415" s="179"/>
    </row>
    <row r="416" spans="13:13" x14ac:dyDescent="0.25">
      <c r="M416" s="179"/>
    </row>
    <row r="417" spans="13:13" x14ac:dyDescent="0.25">
      <c r="M417" s="179"/>
    </row>
    <row r="418" spans="13:13" x14ac:dyDescent="0.25">
      <c r="M418" s="179"/>
    </row>
    <row r="419" spans="13:13" x14ac:dyDescent="0.25">
      <c r="M419" s="179"/>
    </row>
    <row r="420" spans="13:13" x14ac:dyDescent="0.25">
      <c r="M420" s="179"/>
    </row>
    <row r="421" spans="13:13" x14ac:dyDescent="0.25">
      <c r="M421" s="179"/>
    </row>
    <row r="422" spans="13:13" x14ac:dyDescent="0.25">
      <c r="M422" s="179"/>
    </row>
    <row r="423" spans="13:13" x14ac:dyDescent="0.25">
      <c r="M423" s="179"/>
    </row>
    <row r="424" spans="13:13" x14ac:dyDescent="0.25">
      <c r="M424" s="179"/>
    </row>
    <row r="425" spans="13:13" x14ac:dyDescent="0.25">
      <c r="M425" s="179"/>
    </row>
    <row r="426" spans="13:13" x14ac:dyDescent="0.25">
      <c r="M426" s="179"/>
    </row>
    <row r="427" spans="13:13" x14ac:dyDescent="0.25">
      <c r="M427" s="179"/>
    </row>
    <row r="428" spans="13:13" x14ac:dyDescent="0.25">
      <c r="M428" s="179"/>
    </row>
    <row r="429" spans="13:13" x14ac:dyDescent="0.25">
      <c r="M429" s="179"/>
    </row>
    <row r="430" spans="13:13" x14ac:dyDescent="0.25">
      <c r="M430" s="179"/>
    </row>
    <row r="431" spans="13:13" x14ac:dyDescent="0.25">
      <c r="M431" s="179"/>
    </row>
    <row r="432" spans="13:13" x14ac:dyDescent="0.25">
      <c r="M432" s="179"/>
    </row>
    <row r="433" spans="13:58" x14ac:dyDescent="0.25">
      <c r="M433" s="179"/>
    </row>
    <row r="434" spans="13:58" x14ac:dyDescent="0.25">
      <c r="M434" s="179"/>
    </row>
    <row r="435" spans="13:58" x14ac:dyDescent="0.25">
      <c r="M435" s="179"/>
    </row>
    <row r="436" spans="13:58" x14ac:dyDescent="0.25">
      <c r="M436" s="179"/>
    </row>
    <row r="437" spans="13:58" x14ac:dyDescent="0.25">
      <c r="M437" s="179"/>
    </row>
    <row r="438" spans="13:58" x14ac:dyDescent="0.25">
      <c r="M438" s="179"/>
    </row>
    <row r="439" spans="13:58" x14ac:dyDescent="0.25">
      <c r="M439" s="179"/>
    </row>
    <row r="440" spans="13:58" x14ac:dyDescent="0.25">
      <c r="M440" s="179"/>
    </row>
    <row r="441" spans="13:58" x14ac:dyDescent="0.25">
      <c r="M441" s="179"/>
    </row>
    <row r="442" spans="13:58" x14ac:dyDescent="0.25">
      <c r="M442" s="179"/>
    </row>
    <row r="443" spans="13:58" x14ac:dyDescent="0.25">
      <c r="M443" s="179"/>
    </row>
    <row r="444" spans="13:58" x14ac:dyDescent="0.25">
      <c r="M444" s="179"/>
    </row>
    <row r="445" spans="13:58" x14ac:dyDescent="0.25">
      <c r="M445" s="179"/>
    </row>
    <row r="446" spans="13:58" x14ac:dyDescent="0.25">
      <c r="M446" s="179"/>
      <c r="BF446" s="684" t="s">
        <v>1063</v>
      </c>
    </row>
  </sheetData>
  <mergeCells count="949">
    <mergeCell ref="AN27:AR27"/>
    <mergeCell ref="AR29:AS29"/>
    <mergeCell ref="AW30:BA30"/>
    <mergeCell ref="E31:F31"/>
    <mergeCell ref="BB31:BB32"/>
    <mergeCell ref="AI42:AJ42"/>
    <mergeCell ref="A1:BD1"/>
    <mergeCell ref="A2:BD2"/>
    <mergeCell ref="A3:D5"/>
    <mergeCell ref="O13:P14"/>
    <mergeCell ref="Y13:Y24"/>
    <mergeCell ref="H19:L19"/>
    <mergeCell ref="E22:F22"/>
    <mergeCell ref="H22:H23"/>
    <mergeCell ref="AG24:AL28"/>
    <mergeCell ref="Y25:Y36"/>
    <mergeCell ref="Y63:Z63"/>
    <mergeCell ref="A64:F64"/>
    <mergeCell ref="G64:I64"/>
    <mergeCell ref="Q64:R64"/>
    <mergeCell ref="S64:T64"/>
    <mergeCell ref="W64:X64"/>
    <mergeCell ref="Y64:Z64"/>
    <mergeCell ref="E44:J46"/>
    <mergeCell ref="T46:Y46"/>
    <mergeCell ref="A62:I62"/>
    <mergeCell ref="J62:M62"/>
    <mergeCell ref="Q62:T62"/>
    <mergeCell ref="W62:Z62"/>
    <mergeCell ref="U65:V65"/>
    <mergeCell ref="A66:D66"/>
    <mergeCell ref="A67:D67"/>
    <mergeCell ref="A69:D69"/>
    <mergeCell ref="A70:D70"/>
    <mergeCell ref="A71:D71"/>
    <mergeCell ref="Q63:R63"/>
    <mergeCell ref="S63:T63"/>
    <mergeCell ref="W63:X63"/>
    <mergeCell ref="A74:Z74"/>
    <mergeCell ref="D75:H75"/>
    <mergeCell ref="I75:J75"/>
    <mergeCell ref="Q75:U75"/>
    <mergeCell ref="V75:W75"/>
    <mergeCell ref="AC75:AF76"/>
    <mergeCell ref="D76:H76"/>
    <mergeCell ref="I76:J76"/>
    <mergeCell ref="Q76:U76"/>
    <mergeCell ref="V76:W76"/>
    <mergeCell ref="AI76:AN76"/>
    <mergeCell ref="AR76:AW76"/>
    <mergeCell ref="D77:H77"/>
    <mergeCell ref="I77:J77"/>
    <mergeCell ref="Q77:U77"/>
    <mergeCell ref="V77:W77"/>
    <mergeCell ref="AC77:AD77"/>
    <mergeCell ref="AI77:AM77"/>
    <mergeCell ref="AR77:AV77"/>
    <mergeCell ref="AI80:AM80"/>
    <mergeCell ref="AR80:AV80"/>
    <mergeCell ref="A81:I81"/>
    <mergeCell ref="N81:V81"/>
    <mergeCell ref="AI81:AM81"/>
    <mergeCell ref="AR81:AV81"/>
    <mergeCell ref="AR78:AV78"/>
    <mergeCell ref="D79:H79"/>
    <mergeCell ref="I79:J79"/>
    <mergeCell ref="Q79:U79"/>
    <mergeCell ref="V79:W79"/>
    <mergeCell ref="AI79:AM79"/>
    <mergeCell ref="AR79:AV79"/>
    <mergeCell ref="D78:H78"/>
    <mergeCell ref="I78:J78"/>
    <mergeCell ref="Q78:U78"/>
    <mergeCell ref="V78:W78"/>
    <mergeCell ref="AC78:AF78"/>
    <mergeCell ref="AI78:AM78"/>
    <mergeCell ref="A83:C83"/>
    <mergeCell ref="G83:I83"/>
    <mergeCell ref="N83:P83"/>
    <mergeCell ref="T83:V83"/>
    <mergeCell ref="AI83:AM83"/>
    <mergeCell ref="AR83:AV83"/>
    <mergeCell ref="A82:C82"/>
    <mergeCell ref="G82:I82"/>
    <mergeCell ref="N82:P82"/>
    <mergeCell ref="T82:V82"/>
    <mergeCell ref="AI82:AM82"/>
    <mergeCell ref="AR82:AV82"/>
    <mergeCell ref="A85:C85"/>
    <mergeCell ref="G85:I85"/>
    <mergeCell ref="N85:P85"/>
    <mergeCell ref="T85:V85"/>
    <mergeCell ref="AI85:AM85"/>
    <mergeCell ref="AR85:AV85"/>
    <mergeCell ref="A84:C84"/>
    <mergeCell ref="G84:I84"/>
    <mergeCell ref="N84:P84"/>
    <mergeCell ref="T84:V84"/>
    <mergeCell ref="AI84:AM84"/>
    <mergeCell ref="AR84:AV84"/>
    <mergeCell ref="A87:C87"/>
    <mergeCell ref="G87:I87"/>
    <mergeCell ref="N87:P87"/>
    <mergeCell ref="T87:V87"/>
    <mergeCell ref="AI87:AM87"/>
    <mergeCell ref="AR87:AV87"/>
    <mergeCell ref="A86:C86"/>
    <mergeCell ref="G86:I86"/>
    <mergeCell ref="N86:P86"/>
    <mergeCell ref="T86:V86"/>
    <mergeCell ref="AI86:AM86"/>
    <mergeCell ref="AR86:AV86"/>
    <mergeCell ref="A89:C89"/>
    <mergeCell ref="G89:I89"/>
    <mergeCell ref="N89:P89"/>
    <mergeCell ref="T89:V89"/>
    <mergeCell ref="AI89:AM89"/>
    <mergeCell ref="AR89:AV89"/>
    <mergeCell ref="A88:C88"/>
    <mergeCell ref="G88:I88"/>
    <mergeCell ref="N88:P88"/>
    <mergeCell ref="T88:V88"/>
    <mergeCell ref="AI88:AM88"/>
    <mergeCell ref="AR88:AV88"/>
    <mergeCell ref="A91:C91"/>
    <mergeCell ref="G91:I91"/>
    <mergeCell ref="N91:P91"/>
    <mergeCell ref="T91:V91"/>
    <mergeCell ref="AI91:AM91"/>
    <mergeCell ref="AR91:AV91"/>
    <mergeCell ref="A90:C90"/>
    <mergeCell ref="G90:I90"/>
    <mergeCell ref="N90:P90"/>
    <mergeCell ref="T90:V90"/>
    <mergeCell ref="AI90:AM90"/>
    <mergeCell ref="AR90:AV90"/>
    <mergeCell ref="A93:C93"/>
    <mergeCell ref="G93:I93"/>
    <mergeCell ref="N93:P93"/>
    <mergeCell ref="T93:V93"/>
    <mergeCell ref="AI93:AM93"/>
    <mergeCell ref="AR93:AV93"/>
    <mergeCell ref="A92:C92"/>
    <mergeCell ref="G92:I92"/>
    <mergeCell ref="N92:P92"/>
    <mergeCell ref="T92:V92"/>
    <mergeCell ref="AI92:AM92"/>
    <mergeCell ref="AR92:AV92"/>
    <mergeCell ref="A95:C95"/>
    <mergeCell ref="G95:I95"/>
    <mergeCell ref="N95:P95"/>
    <mergeCell ref="T95:V95"/>
    <mergeCell ref="AI95:AM95"/>
    <mergeCell ref="AR95:AV95"/>
    <mergeCell ref="A94:C94"/>
    <mergeCell ref="G94:I94"/>
    <mergeCell ref="N94:P94"/>
    <mergeCell ref="T94:V94"/>
    <mergeCell ref="AI94:AM94"/>
    <mergeCell ref="AR94:AV94"/>
    <mergeCell ref="A97:C97"/>
    <mergeCell ref="G97:I97"/>
    <mergeCell ref="N97:P97"/>
    <mergeCell ref="T97:V97"/>
    <mergeCell ref="AI97:AM97"/>
    <mergeCell ref="AR97:AV97"/>
    <mergeCell ref="A96:C96"/>
    <mergeCell ref="G96:I96"/>
    <mergeCell ref="N96:P96"/>
    <mergeCell ref="T96:V96"/>
    <mergeCell ref="AI96:AM96"/>
    <mergeCell ref="AR96:AV96"/>
    <mergeCell ref="A99:C99"/>
    <mergeCell ref="G99:I99"/>
    <mergeCell ref="N99:P99"/>
    <mergeCell ref="T99:V99"/>
    <mergeCell ref="AI99:AM99"/>
    <mergeCell ref="AR99:AV99"/>
    <mergeCell ref="A98:C98"/>
    <mergeCell ref="G98:I98"/>
    <mergeCell ref="N98:P98"/>
    <mergeCell ref="T98:V98"/>
    <mergeCell ref="AI98:AM98"/>
    <mergeCell ref="AR98:AV98"/>
    <mergeCell ref="A101:C101"/>
    <mergeCell ref="G101:I101"/>
    <mergeCell ref="N101:P101"/>
    <mergeCell ref="T101:V101"/>
    <mergeCell ref="AI101:AM101"/>
    <mergeCell ref="AR101:AV101"/>
    <mergeCell ref="A100:C100"/>
    <mergeCell ref="G100:I100"/>
    <mergeCell ref="N100:P100"/>
    <mergeCell ref="T100:V100"/>
    <mergeCell ref="AI100:AM100"/>
    <mergeCell ref="AR100:AV100"/>
    <mergeCell ref="AR102:AV102"/>
    <mergeCell ref="A103:E103"/>
    <mergeCell ref="G103:I103"/>
    <mergeCell ref="N103:R103"/>
    <mergeCell ref="T103:V103"/>
    <mergeCell ref="AI103:AM103"/>
    <mergeCell ref="AR103:AV103"/>
    <mergeCell ref="A102:C102"/>
    <mergeCell ref="G102:I102"/>
    <mergeCell ref="N102:P102"/>
    <mergeCell ref="T102:V102"/>
    <mergeCell ref="AC102:AF102"/>
    <mergeCell ref="AI102:AM102"/>
    <mergeCell ref="A104:I104"/>
    <mergeCell ref="N104:V104"/>
    <mergeCell ref="AI104:AM104"/>
    <mergeCell ref="AR104:AV104"/>
    <mergeCell ref="A105:C105"/>
    <mergeCell ref="G105:I105"/>
    <mergeCell ref="N105:P105"/>
    <mergeCell ref="T105:V105"/>
    <mergeCell ref="AI105:AM105"/>
    <mergeCell ref="AR105:AV105"/>
    <mergeCell ref="A107:C107"/>
    <mergeCell ref="G107:I107"/>
    <mergeCell ref="N107:P107"/>
    <mergeCell ref="T107:V107"/>
    <mergeCell ref="AI107:AM107"/>
    <mergeCell ref="AR107:AV107"/>
    <mergeCell ref="A106:C106"/>
    <mergeCell ref="G106:I106"/>
    <mergeCell ref="N106:P106"/>
    <mergeCell ref="T106:V106"/>
    <mergeCell ref="AI106:AM106"/>
    <mergeCell ref="AR106:AV106"/>
    <mergeCell ref="A109:C109"/>
    <mergeCell ref="G109:I109"/>
    <mergeCell ref="N109:P109"/>
    <mergeCell ref="T109:V109"/>
    <mergeCell ref="AI109:AM109"/>
    <mergeCell ref="AR109:AV109"/>
    <mergeCell ref="A108:C108"/>
    <mergeCell ref="G108:I108"/>
    <mergeCell ref="N108:P108"/>
    <mergeCell ref="T108:V108"/>
    <mergeCell ref="AI108:AM108"/>
    <mergeCell ref="AR108:AV108"/>
    <mergeCell ref="A111:C111"/>
    <mergeCell ref="G111:I111"/>
    <mergeCell ref="N111:P111"/>
    <mergeCell ref="T111:V111"/>
    <mergeCell ref="AI111:AM111"/>
    <mergeCell ref="AR111:AV111"/>
    <mergeCell ref="A110:C110"/>
    <mergeCell ref="G110:I110"/>
    <mergeCell ref="N110:P110"/>
    <mergeCell ref="T110:V110"/>
    <mergeCell ref="AI110:AM110"/>
    <mergeCell ref="AR110:AV110"/>
    <mergeCell ref="A113:C113"/>
    <mergeCell ref="G113:I113"/>
    <mergeCell ref="N113:P113"/>
    <mergeCell ref="T113:V113"/>
    <mergeCell ref="AI113:AM113"/>
    <mergeCell ref="AR113:AV113"/>
    <mergeCell ref="A112:C112"/>
    <mergeCell ref="G112:I112"/>
    <mergeCell ref="N112:P112"/>
    <mergeCell ref="T112:V112"/>
    <mergeCell ref="AI112:AM112"/>
    <mergeCell ref="AR112:AV112"/>
    <mergeCell ref="A116:C116"/>
    <mergeCell ref="G116:I116"/>
    <mergeCell ref="N116:P116"/>
    <mergeCell ref="T116:V116"/>
    <mergeCell ref="AI116:AM116"/>
    <mergeCell ref="AR116:AV116"/>
    <mergeCell ref="A114:C114"/>
    <mergeCell ref="G114:I114"/>
    <mergeCell ref="N114:P114"/>
    <mergeCell ref="T114:V114"/>
    <mergeCell ref="AI114:AM114"/>
    <mergeCell ref="A115:C115"/>
    <mergeCell ref="G115:I115"/>
    <mergeCell ref="N115:P115"/>
    <mergeCell ref="T115:V115"/>
    <mergeCell ref="AI115:AM115"/>
    <mergeCell ref="A118:C118"/>
    <mergeCell ref="G118:I118"/>
    <mergeCell ref="N118:P118"/>
    <mergeCell ref="T118:V118"/>
    <mergeCell ref="AI118:AM118"/>
    <mergeCell ref="AR118:AV118"/>
    <mergeCell ref="A117:C117"/>
    <mergeCell ref="G117:I117"/>
    <mergeCell ref="N117:P117"/>
    <mergeCell ref="T117:V117"/>
    <mergeCell ref="AI117:AM117"/>
    <mergeCell ref="AR117:AV117"/>
    <mergeCell ref="AR120:AW120"/>
    <mergeCell ref="A121:C121"/>
    <mergeCell ref="G121:I121"/>
    <mergeCell ref="N121:P121"/>
    <mergeCell ref="T121:V121"/>
    <mergeCell ref="AI121:AM121"/>
    <mergeCell ref="AR121:AV121"/>
    <mergeCell ref="A119:C119"/>
    <mergeCell ref="G119:I119"/>
    <mergeCell ref="N119:P119"/>
    <mergeCell ref="T119:V119"/>
    <mergeCell ref="AI119:AM119"/>
    <mergeCell ref="A120:C120"/>
    <mergeCell ref="G120:I120"/>
    <mergeCell ref="N120:P120"/>
    <mergeCell ref="T120:V120"/>
    <mergeCell ref="AI120:AM120"/>
    <mergeCell ref="A123:E123"/>
    <mergeCell ref="G123:I123"/>
    <mergeCell ref="N123:R123"/>
    <mergeCell ref="T123:V123"/>
    <mergeCell ref="AI123:AM123"/>
    <mergeCell ref="AR123:AV123"/>
    <mergeCell ref="A122:C122"/>
    <mergeCell ref="G122:I122"/>
    <mergeCell ref="N122:P122"/>
    <mergeCell ref="T122:V122"/>
    <mergeCell ref="AI122:AM122"/>
    <mergeCell ref="AR122:AV122"/>
    <mergeCell ref="A124:I124"/>
    <mergeCell ref="N124:V124"/>
    <mergeCell ref="AI124:AM124"/>
    <mergeCell ref="AR124:AV124"/>
    <mergeCell ref="A125:C125"/>
    <mergeCell ref="G125:I125"/>
    <mergeCell ref="N125:P125"/>
    <mergeCell ref="T125:V125"/>
    <mergeCell ref="AI125:AM125"/>
    <mergeCell ref="AR125:AV125"/>
    <mergeCell ref="A127:E127"/>
    <mergeCell ref="G127:I127"/>
    <mergeCell ref="N127:R127"/>
    <mergeCell ref="T127:V127"/>
    <mergeCell ref="AI127:AM127"/>
    <mergeCell ref="AR127:AV127"/>
    <mergeCell ref="A126:C126"/>
    <mergeCell ref="G126:I126"/>
    <mergeCell ref="N126:P126"/>
    <mergeCell ref="T126:V126"/>
    <mergeCell ref="AI126:AM126"/>
    <mergeCell ref="AR126:AV126"/>
    <mergeCell ref="A130:C130"/>
    <mergeCell ref="G130:I130"/>
    <mergeCell ref="N130:P130"/>
    <mergeCell ref="T130:V130"/>
    <mergeCell ref="AI130:AM130"/>
    <mergeCell ref="AR130:AV130"/>
    <mergeCell ref="A128:I128"/>
    <mergeCell ref="N128:V128"/>
    <mergeCell ref="AI128:AM128"/>
    <mergeCell ref="AR128:AV128"/>
    <mergeCell ref="A129:C129"/>
    <mergeCell ref="G129:I129"/>
    <mergeCell ref="N129:P129"/>
    <mergeCell ref="T129:V129"/>
    <mergeCell ref="AI129:AM129"/>
    <mergeCell ref="AR129:AV129"/>
    <mergeCell ref="A132:C132"/>
    <mergeCell ref="G132:I132"/>
    <mergeCell ref="N132:P132"/>
    <mergeCell ref="T132:V132"/>
    <mergeCell ref="AI132:AM132"/>
    <mergeCell ref="AR132:AV132"/>
    <mergeCell ref="A131:C131"/>
    <mergeCell ref="G131:I131"/>
    <mergeCell ref="N131:P131"/>
    <mergeCell ref="T131:V131"/>
    <mergeCell ref="AI131:AM131"/>
    <mergeCell ref="AR131:AV131"/>
    <mergeCell ref="A134:C134"/>
    <mergeCell ref="G134:I134"/>
    <mergeCell ref="N134:P134"/>
    <mergeCell ref="T134:V134"/>
    <mergeCell ref="AI134:AM134"/>
    <mergeCell ref="AR134:AV134"/>
    <mergeCell ref="A133:C133"/>
    <mergeCell ref="G133:I133"/>
    <mergeCell ref="N133:P133"/>
    <mergeCell ref="T133:V133"/>
    <mergeCell ref="AI133:AM133"/>
    <mergeCell ref="AR133:AV133"/>
    <mergeCell ref="A136:C136"/>
    <mergeCell ref="G136:I136"/>
    <mergeCell ref="N136:P136"/>
    <mergeCell ref="T136:V136"/>
    <mergeCell ref="AI136:AM136"/>
    <mergeCell ref="AR136:AV136"/>
    <mergeCell ref="A135:C135"/>
    <mergeCell ref="G135:I135"/>
    <mergeCell ref="N135:P135"/>
    <mergeCell ref="T135:V135"/>
    <mergeCell ref="AI135:AM135"/>
    <mergeCell ref="AR135:AV135"/>
    <mergeCell ref="A138:C138"/>
    <mergeCell ref="G138:I138"/>
    <mergeCell ref="N138:P138"/>
    <mergeCell ref="T138:V138"/>
    <mergeCell ref="AI138:AM138"/>
    <mergeCell ref="AR138:AV138"/>
    <mergeCell ref="A137:C137"/>
    <mergeCell ref="G137:I137"/>
    <mergeCell ref="N137:P137"/>
    <mergeCell ref="T137:V137"/>
    <mergeCell ref="AI137:AM137"/>
    <mergeCell ref="AR137:AV137"/>
    <mergeCell ref="A140:C140"/>
    <mergeCell ref="G140:I140"/>
    <mergeCell ref="N140:P140"/>
    <mergeCell ref="T140:V140"/>
    <mergeCell ref="AI140:AM140"/>
    <mergeCell ref="AR140:AV140"/>
    <mergeCell ref="A139:C139"/>
    <mergeCell ref="G139:I139"/>
    <mergeCell ref="N139:P139"/>
    <mergeCell ref="T139:V139"/>
    <mergeCell ref="AI139:AM139"/>
    <mergeCell ref="AR139:AV139"/>
    <mergeCell ref="A142:C142"/>
    <mergeCell ref="G142:I142"/>
    <mergeCell ref="N142:P142"/>
    <mergeCell ref="T142:V142"/>
    <mergeCell ref="AI142:AM142"/>
    <mergeCell ref="AR142:AV142"/>
    <mergeCell ref="A141:C141"/>
    <mergeCell ref="G141:I141"/>
    <mergeCell ref="N141:P141"/>
    <mergeCell ref="T141:V141"/>
    <mergeCell ref="AI141:AM141"/>
    <mergeCell ref="AR141:AV141"/>
    <mergeCell ref="A144:C144"/>
    <mergeCell ref="G144:I144"/>
    <mergeCell ref="N144:P144"/>
    <mergeCell ref="T144:V144"/>
    <mergeCell ref="AI144:AM144"/>
    <mergeCell ref="AR144:AV144"/>
    <mergeCell ref="A143:C143"/>
    <mergeCell ref="G143:I143"/>
    <mergeCell ref="N143:P143"/>
    <mergeCell ref="T143:V143"/>
    <mergeCell ref="AI143:AM143"/>
    <mergeCell ref="AR143:AV143"/>
    <mergeCell ref="A146:E146"/>
    <mergeCell ref="G146:I146"/>
    <mergeCell ref="N146:R146"/>
    <mergeCell ref="T146:V146"/>
    <mergeCell ref="AI146:AM146"/>
    <mergeCell ref="AR146:AV146"/>
    <mergeCell ref="A145:C145"/>
    <mergeCell ref="G145:I145"/>
    <mergeCell ref="N145:P145"/>
    <mergeCell ref="T145:V145"/>
    <mergeCell ref="AI145:AM145"/>
    <mergeCell ref="AR145:AV145"/>
    <mergeCell ref="AI147:AM147"/>
    <mergeCell ref="AR147:AV147"/>
    <mergeCell ref="AI148:AM148"/>
    <mergeCell ref="AR148:AV148"/>
    <mergeCell ref="A149:E149"/>
    <mergeCell ref="G149:I149"/>
    <mergeCell ref="N149:R149"/>
    <mergeCell ref="T149:V149"/>
    <mergeCell ref="AI149:AM149"/>
    <mergeCell ref="AR149:AV149"/>
    <mergeCell ref="AI150:AM150"/>
    <mergeCell ref="AR150:AV150"/>
    <mergeCell ref="A151:C151"/>
    <mergeCell ref="D151:E151"/>
    <mergeCell ref="G151:I151"/>
    <mergeCell ref="N151:P151"/>
    <mergeCell ref="Q151:R151"/>
    <mergeCell ref="T151:V151"/>
    <mergeCell ref="AI151:AM151"/>
    <mergeCell ref="AR151:AV151"/>
    <mergeCell ref="A150:C150"/>
    <mergeCell ref="D150:E150"/>
    <mergeCell ref="G150:I150"/>
    <mergeCell ref="N150:P150"/>
    <mergeCell ref="Q150:R150"/>
    <mergeCell ref="T150:V150"/>
    <mergeCell ref="A154:E154"/>
    <mergeCell ref="G154:I154"/>
    <mergeCell ref="N154:R154"/>
    <mergeCell ref="T154:V154"/>
    <mergeCell ref="AI154:AM154"/>
    <mergeCell ref="AR154:AV154"/>
    <mergeCell ref="AI152:AM152"/>
    <mergeCell ref="AR152:AV152"/>
    <mergeCell ref="A153:C153"/>
    <mergeCell ref="D153:E153"/>
    <mergeCell ref="G153:I153"/>
    <mergeCell ref="N153:P153"/>
    <mergeCell ref="Q153:R153"/>
    <mergeCell ref="T153:V153"/>
    <mergeCell ref="AI153:AM153"/>
    <mergeCell ref="AR153:AV153"/>
    <mergeCell ref="A152:C152"/>
    <mergeCell ref="D152:E152"/>
    <mergeCell ref="G152:I152"/>
    <mergeCell ref="N152:P152"/>
    <mergeCell ref="Q152:R152"/>
    <mergeCell ref="T152:V152"/>
    <mergeCell ref="AR155:AV155"/>
    <mergeCell ref="AI156:AN156"/>
    <mergeCell ref="AR156:AV156"/>
    <mergeCell ref="A157:E157"/>
    <mergeCell ref="G157:I157"/>
    <mergeCell ref="N157:R157"/>
    <mergeCell ref="T157:V157"/>
    <mergeCell ref="AI157:AM157"/>
    <mergeCell ref="AR157:AV157"/>
    <mergeCell ref="AI158:AM158"/>
    <mergeCell ref="AR158:AV158"/>
    <mergeCell ref="A159:C159"/>
    <mergeCell ref="D159:E159"/>
    <mergeCell ref="G159:I159"/>
    <mergeCell ref="N159:P159"/>
    <mergeCell ref="Q159:R159"/>
    <mergeCell ref="T159:V159"/>
    <mergeCell ref="AI159:AM159"/>
    <mergeCell ref="AR159:AV159"/>
    <mergeCell ref="A158:C158"/>
    <mergeCell ref="D158:E158"/>
    <mergeCell ref="G158:I158"/>
    <mergeCell ref="N158:P158"/>
    <mergeCell ref="Q158:R158"/>
    <mergeCell ref="T158:V158"/>
    <mergeCell ref="AI160:AM160"/>
    <mergeCell ref="AR160:AV160"/>
    <mergeCell ref="A161:E161"/>
    <mergeCell ref="G161:I161"/>
    <mergeCell ref="N161:R161"/>
    <mergeCell ref="T161:V161"/>
    <mergeCell ref="AI161:AM161"/>
    <mergeCell ref="AR161:AV161"/>
    <mergeCell ref="A160:C160"/>
    <mergeCell ref="D160:E160"/>
    <mergeCell ref="G160:I160"/>
    <mergeCell ref="N160:P160"/>
    <mergeCell ref="Q160:R160"/>
    <mergeCell ref="T160:V160"/>
    <mergeCell ref="AI162:AM162"/>
    <mergeCell ref="AR162:AV162"/>
    <mergeCell ref="AI163:AM163"/>
    <mergeCell ref="AR163:AV163"/>
    <mergeCell ref="A164:E164"/>
    <mergeCell ref="G164:I164"/>
    <mergeCell ref="N164:R164"/>
    <mergeCell ref="T164:V164"/>
    <mergeCell ref="AI164:AM164"/>
    <mergeCell ref="AR164:AV164"/>
    <mergeCell ref="AI165:AM165"/>
    <mergeCell ref="AR165:AV165"/>
    <mergeCell ref="A166:C166"/>
    <mergeCell ref="D166:E166"/>
    <mergeCell ref="G166:I166"/>
    <mergeCell ref="N166:P166"/>
    <mergeCell ref="Q166:R166"/>
    <mergeCell ref="T166:V166"/>
    <mergeCell ref="AI166:AM166"/>
    <mergeCell ref="AR166:AV166"/>
    <mergeCell ref="A165:C165"/>
    <mergeCell ref="D165:E165"/>
    <mergeCell ref="G165:I165"/>
    <mergeCell ref="N165:P165"/>
    <mergeCell ref="Q165:R165"/>
    <mergeCell ref="T165:V165"/>
    <mergeCell ref="A169:E169"/>
    <mergeCell ref="G169:I169"/>
    <mergeCell ref="N169:R169"/>
    <mergeCell ref="T169:V169"/>
    <mergeCell ref="AI169:AM169"/>
    <mergeCell ref="AR169:AV169"/>
    <mergeCell ref="AI167:AM167"/>
    <mergeCell ref="AR167:AV167"/>
    <mergeCell ref="A168:C168"/>
    <mergeCell ref="D168:E168"/>
    <mergeCell ref="G168:I168"/>
    <mergeCell ref="N168:P168"/>
    <mergeCell ref="Q168:R168"/>
    <mergeCell ref="T168:V168"/>
    <mergeCell ref="AI168:AM168"/>
    <mergeCell ref="AR168:AV168"/>
    <mergeCell ref="A167:C167"/>
    <mergeCell ref="D167:E167"/>
    <mergeCell ref="G167:I167"/>
    <mergeCell ref="N167:P167"/>
    <mergeCell ref="Q167:R167"/>
    <mergeCell ref="T167:V167"/>
    <mergeCell ref="AI170:AM170"/>
    <mergeCell ref="AR170:AV170"/>
    <mergeCell ref="AI171:AM171"/>
    <mergeCell ref="AR171:AV171"/>
    <mergeCell ref="A172:E172"/>
    <mergeCell ref="G172:I172"/>
    <mergeCell ref="N172:R172"/>
    <mergeCell ref="T172:V172"/>
    <mergeCell ref="AI172:AM172"/>
    <mergeCell ref="AR172:AV172"/>
    <mergeCell ref="AI173:AM173"/>
    <mergeCell ref="AR173:AV173"/>
    <mergeCell ref="A174:C174"/>
    <mergeCell ref="D174:E174"/>
    <mergeCell ref="G174:I174"/>
    <mergeCell ref="N174:P174"/>
    <mergeCell ref="Q174:R174"/>
    <mergeCell ref="T174:V174"/>
    <mergeCell ref="AI174:AM174"/>
    <mergeCell ref="AR174:AV174"/>
    <mergeCell ref="A173:C173"/>
    <mergeCell ref="D173:E173"/>
    <mergeCell ref="G173:I173"/>
    <mergeCell ref="N173:P173"/>
    <mergeCell ref="Q173:R173"/>
    <mergeCell ref="T173:V173"/>
    <mergeCell ref="AI175:AM175"/>
    <mergeCell ref="A176:E176"/>
    <mergeCell ref="G176:I176"/>
    <mergeCell ref="N176:R176"/>
    <mergeCell ref="T176:V176"/>
    <mergeCell ref="AI176:AM176"/>
    <mergeCell ref="A175:C175"/>
    <mergeCell ref="D175:E175"/>
    <mergeCell ref="G175:I175"/>
    <mergeCell ref="N175:P175"/>
    <mergeCell ref="Q175:R175"/>
    <mergeCell ref="T175:V175"/>
    <mergeCell ref="AR176:AW176"/>
    <mergeCell ref="AI177:AM177"/>
    <mergeCell ref="AR177:AV177"/>
    <mergeCell ref="AI178:AM178"/>
    <mergeCell ref="AR178:AV178"/>
    <mergeCell ref="A179:E179"/>
    <mergeCell ref="G179:I179"/>
    <mergeCell ref="N179:R179"/>
    <mergeCell ref="T179:V179"/>
    <mergeCell ref="AI179:AM179"/>
    <mergeCell ref="A183:Z184"/>
    <mergeCell ref="AI183:AM183"/>
    <mergeCell ref="AR183:AV183"/>
    <mergeCell ref="AI184:AM184"/>
    <mergeCell ref="AR184:AV184"/>
    <mergeCell ref="AI185:AM185"/>
    <mergeCell ref="AR185:AV185"/>
    <mergeCell ref="AR179:AV179"/>
    <mergeCell ref="AI180:AM180"/>
    <mergeCell ref="AR180:AV180"/>
    <mergeCell ref="AI181:AM181"/>
    <mergeCell ref="AR181:AV181"/>
    <mergeCell ref="AI182:AM182"/>
    <mergeCell ref="AR182:AV182"/>
    <mergeCell ref="AI189:AN189"/>
    <mergeCell ref="AR189:AV189"/>
    <mergeCell ref="A190:E190"/>
    <mergeCell ref="G190:I190"/>
    <mergeCell ref="N190:R190"/>
    <mergeCell ref="T190:V190"/>
    <mergeCell ref="AI190:AM190"/>
    <mergeCell ref="AR190:AV190"/>
    <mergeCell ref="A186:G186"/>
    <mergeCell ref="AI186:AM186"/>
    <mergeCell ref="AR186:AV186"/>
    <mergeCell ref="AR187:AV187"/>
    <mergeCell ref="A188:E188"/>
    <mergeCell ref="F188:G188"/>
    <mergeCell ref="N188:R188"/>
    <mergeCell ref="S188:T188"/>
    <mergeCell ref="AR188:AV188"/>
    <mergeCell ref="A192:E192"/>
    <mergeCell ref="G192:I192"/>
    <mergeCell ref="N192:R192"/>
    <mergeCell ref="T192:V192"/>
    <mergeCell ref="AI192:AM192"/>
    <mergeCell ref="AR192:AV192"/>
    <mergeCell ref="A191:E191"/>
    <mergeCell ref="G191:I191"/>
    <mergeCell ref="N191:R191"/>
    <mergeCell ref="T191:V191"/>
    <mergeCell ref="AI191:AM191"/>
    <mergeCell ref="AR191:AV191"/>
    <mergeCell ref="A195:E195"/>
    <mergeCell ref="G195:I195"/>
    <mergeCell ref="N195:R195"/>
    <mergeCell ref="T195:V195"/>
    <mergeCell ref="AI195:AN195"/>
    <mergeCell ref="AR195:AV195"/>
    <mergeCell ref="A193:E193"/>
    <mergeCell ref="G193:I193"/>
    <mergeCell ref="N193:R193"/>
    <mergeCell ref="T193:V193"/>
    <mergeCell ref="AR193:AV193"/>
    <mergeCell ref="A194:E194"/>
    <mergeCell ref="G194:I194"/>
    <mergeCell ref="N194:R194"/>
    <mergeCell ref="T194:V194"/>
    <mergeCell ref="AR194:AV194"/>
    <mergeCell ref="A197:E197"/>
    <mergeCell ref="G197:I197"/>
    <mergeCell ref="N197:R197"/>
    <mergeCell ref="T197:V197"/>
    <mergeCell ref="AI197:AM197"/>
    <mergeCell ref="AR197:AV197"/>
    <mergeCell ref="A196:E196"/>
    <mergeCell ref="G196:I196"/>
    <mergeCell ref="N196:R196"/>
    <mergeCell ref="T196:V196"/>
    <mergeCell ref="AI196:AM196"/>
    <mergeCell ref="AR196:AV196"/>
    <mergeCell ref="A198:E198"/>
    <mergeCell ref="N198:R198"/>
    <mergeCell ref="AI198:AM198"/>
    <mergeCell ref="AR198:AV198"/>
    <mergeCell ref="A199:E199"/>
    <mergeCell ref="G199:I199"/>
    <mergeCell ref="N199:R199"/>
    <mergeCell ref="T199:V199"/>
    <mergeCell ref="AI199:AM199"/>
    <mergeCell ref="AR199:AV199"/>
    <mergeCell ref="A201:E201"/>
    <mergeCell ref="G201:I201"/>
    <mergeCell ref="N201:R201"/>
    <mergeCell ref="T201:V201"/>
    <mergeCell ref="AI201:AM201"/>
    <mergeCell ref="AR201:AV201"/>
    <mergeCell ref="A200:E200"/>
    <mergeCell ref="G200:I200"/>
    <mergeCell ref="N200:R200"/>
    <mergeCell ref="T200:V200"/>
    <mergeCell ref="AI200:AM200"/>
    <mergeCell ref="AR200:AV200"/>
    <mergeCell ref="A203:E203"/>
    <mergeCell ref="G203:I203"/>
    <mergeCell ref="N203:R203"/>
    <mergeCell ref="T203:V203"/>
    <mergeCell ref="AI203:AM203"/>
    <mergeCell ref="AR203:AV203"/>
    <mergeCell ref="A202:E202"/>
    <mergeCell ref="G202:I202"/>
    <mergeCell ref="N202:R202"/>
    <mergeCell ref="T202:V202"/>
    <mergeCell ref="AI202:AM202"/>
    <mergeCell ref="AR202:AV202"/>
    <mergeCell ref="A206:E206"/>
    <mergeCell ref="G206:I206"/>
    <mergeCell ref="N206:R206"/>
    <mergeCell ref="T206:V206"/>
    <mergeCell ref="AI206:AN206"/>
    <mergeCell ref="AR206:AV206"/>
    <mergeCell ref="A204:E204"/>
    <mergeCell ref="G204:I204"/>
    <mergeCell ref="N204:R204"/>
    <mergeCell ref="T204:V204"/>
    <mergeCell ref="AR204:AV204"/>
    <mergeCell ref="A205:E205"/>
    <mergeCell ref="G205:I205"/>
    <mergeCell ref="N205:R205"/>
    <mergeCell ref="T205:V205"/>
    <mergeCell ref="AR205:AV205"/>
    <mergeCell ref="A208:E208"/>
    <mergeCell ref="G208:I208"/>
    <mergeCell ref="N208:R208"/>
    <mergeCell ref="T208:V208"/>
    <mergeCell ref="AI208:AM208"/>
    <mergeCell ref="AR208:AV208"/>
    <mergeCell ref="A207:E207"/>
    <mergeCell ref="G207:I207"/>
    <mergeCell ref="N207:R207"/>
    <mergeCell ref="T207:V207"/>
    <mergeCell ref="AI207:AM207"/>
    <mergeCell ref="AR207:AV207"/>
    <mergeCell ref="A210:E210"/>
    <mergeCell ref="G210:I210"/>
    <mergeCell ref="N210:R210"/>
    <mergeCell ref="T210:V210"/>
    <mergeCell ref="AI210:AM210"/>
    <mergeCell ref="AR210:AV210"/>
    <mergeCell ref="A209:E209"/>
    <mergeCell ref="G209:I209"/>
    <mergeCell ref="N209:R209"/>
    <mergeCell ref="T209:V209"/>
    <mergeCell ref="AI209:AM209"/>
    <mergeCell ref="AR209:AV209"/>
    <mergeCell ref="A213:E213"/>
    <mergeCell ref="G213:I213"/>
    <mergeCell ref="N213:R213"/>
    <mergeCell ref="T213:V213"/>
    <mergeCell ref="AI213:AM213"/>
    <mergeCell ref="AR213:AV213"/>
    <mergeCell ref="A211:E211"/>
    <mergeCell ref="N211:R211"/>
    <mergeCell ref="AI211:AM211"/>
    <mergeCell ref="AR211:AV211"/>
    <mergeCell ref="A212:E212"/>
    <mergeCell ref="G212:I212"/>
    <mergeCell ref="N212:R212"/>
    <mergeCell ref="T212:V212"/>
    <mergeCell ref="AI212:AM212"/>
    <mergeCell ref="AR212:AV212"/>
    <mergeCell ref="A215:E215"/>
    <mergeCell ref="G215:I215"/>
    <mergeCell ref="N215:R215"/>
    <mergeCell ref="T215:V215"/>
    <mergeCell ref="AI215:AM215"/>
    <mergeCell ref="AR215:AV215"/>
    <mergeCell ref="A214:E214"/>
    <mergeCell ref="G214:I214"/>
    <mergeCell ref="N214:R214"/>
    <mergeCell ref="T214:V214"/>
    <mergeCell ref="AI214:AM214"/>
    <mergeCell ref="AR214:AV214"/>
    <mergeCell ref="AR217:AW217"/>
    <mergeCell ref="A218:E218"/>
    <mergeCell ref="G218:I218"/>
    <mergeCell ref="N218:R218"/>
    <mergeCell ref="T218:V218"/>
    <mergeCell ref="AI218:AM218"/>
    <mergeCell ref="AR218:AV218"/>
    <mergeCell ref="A216:E216"/>
    <mergeCell ref="G216:I216"/>
    <mergeCell ref="N216:R216"/>
    <mergeCell ref="T216:V216"/>
    <mergeCell ref="AI216:AM216"/>
    <mergeCell ref="A217:E217"/>
    <mergeCell ref="G217:I217"/>
    <mergeCell ref="N217:R217"/>
    <mergeCell ref="T217:V217"/>
    <mergeCell ref="AI217:AM217"/>
    <mergeCell ref="A219:E219"/>
    <mergeCell ref="N219:R219"/>
    <mergeCell ref="AI219:AM219"/>
    <mergeCell ref="AR219:AV219"/>
    <mergeCell ref="A220:E220"/>
    <mergeCell ref="G220:I220"/>
    <mergeCell ref="N220:R220"/>
    <mergeCell ref="T220:V220"/>
    <mergeCell ref="AI220:AM220"/>
    <mergeCell ref="AR220:AV220"/>
    <mergeCell ref="A221:E221"/>
    <mergeCell ref="G221:I221"/>
    <mergeCell ref="N221:R221"/>
    <mergeCell ref="T221:V221"/>
    <mergeCell ref="AI221:AM221"/>
    <mergeCell ref="A222:E222"/>
    <mergeCell ref="G222:I222"/>
    <mergeCell ref="N222:R222"/>
    <mergeCell ref="T222:V222"/>
    <mergeCell ref="AI222:AM222"/>
    <mergeCell ref="AR222:AW222"/>
    <mergeCell ref="A223:E223"/>
    <mergeCell ref="N223:R223"/>
    <mergeCell ref="AI223:AM223"/>
    <mergeCell ref="AR223:AV223"/>
    <mergeCell ref="A224:E224"/>
    <mergeCell ref="G224:I224"/>
    <mergeCell ref="N224:R224"/>
    <mergeCell ref="T224:V224"/>
    <mergeCell ref="AR224:AV224"/>
    <mergeCell ref="A226:E226"/>
    <mergeCell ref="G226:I226"/>
    <mergeCell ref="N226:R226"/>
    <mergeCell ref="T226:V226"/>
    <mergeCell ref="AI226:AM226"/>
    <mergeCell ref="AR226:AV226"/>
    <mergeCell ref="A225:E225"/>
    <mergeCell ref="G225:I225"/>
    <mergeCell ref="N225:R225"/>
    <mergeCell ref="T225:V225"/>
    <mergeCell ref="AI225:AN225"/>
    <mergeCell ref="AR225:AV225"/>
    <mergeCell ref="AI232:AM232"/>
    <mergeCell ref="AR232:AV232"/>
    <mergeCell ref="AI233:AM233"/>
    <mergeCell ref="AR233:AV233"/>
    <mergeCell ref="AI234:AM234"/>
    <mergeCell ref="AI235:AM235"/>
    <mergeCell ref="AR235:AW235"/>
    <mergeCell ref="AI227:AM227"/>
    <mergeCell ref="AR227:AV227"/>
    <mergeCell ref="AR228:AV228"/>
    <mergeCell ref="AR229:AV229"/>
    <mergeCell ref="AI230:AN230"/>
    <mergeCell ref="AI231:AM231"/>
    <mergeCell ref="AR231:AW231"/>
    <mergeCell ref="AI240:AM240"/>
    <mergeCell ref="AR240:AV240"/>
    <mergeCell ref="AI241:AM241"/>
    <mergeCell ref="AR241:AV241"/>
    <mergeCell ref="AI243:AN243"/>
    <mergeCell ref="AR243:AW243"/>
    <mergeCell ref="AI236:AM236"/>
    <mergeCell ref="AR236:AV236"/>
    <mergeCell ref="AR237:AV237"/>
    <mergeCell ref="AI238:AN238"/>
    <mergeCell ref="AI239:AM239"/>
    <mergeCell ref="AR239:AW239"/>
    <mergeCell ref="AI248:AM248"/>
    <mergeCell ref="AR248:AV248"/>
    <mergeCell ref="AI249:AM249"/>
    <mergeCell ref="AR249:AV249"/>
    <mergeCell ref="AI250:AM250"/>
    <mergeCell ref="AR250:AV250"/>
    <mergeCell ref="AI244:AM244"/>
    <mergeCell ref="AR244:AV244"/>
    <mergeCell ref="AI245:AM245"/>
    <mergeCell ref="AR245:AV245"/>
    <mergeCell ref="AI246:AM246"/>
    <mergeCell ref="AI247:AM247"/>
    <mergeCell ref="AR247:AW247"/>
    <mergeCell ref="AI256:AN256"/>
    <mergeCell ref="AI257:AM257"/>
    <mergeCell ref="AI258:AM258"/>
    <mergeCell ref="AI259:AM259"/>
    <mergeCell ref="AI279:AN279"/>
    <mergeCell ref="AI280:AM280"/>
    <mergeCell ref="AI251:AM251"/>
    <mergeCell ref="AR251:AV251"/>
    <mergeCell ref="AI252:AM252"/>
    <mergeCell ref="AR252:AV252"/>
    <mergeCell ref="AI253:AM253"/>
    <mergeCell ref="AI254:AM254"/>
    <mergeCell ref="AI320:AM320"/>
    <mergeCell ref="AI328:AN328"/>
    <mergeCell ref="AI329:AM329"/>
    <mergeCell ref="AI330:AN330"/>
    <mergeCell ref="AI331:AN331"/>
    <mergeCell ref="AI333:AN333"/>
    <mergeCell ref="AI281:AN281"/>
    <mergeCell ref="AI282:AN282"/>
    <mergeCell ref="AI312:AM312"/>
    <mergeCell ref="AI316:AN316"/>
    <mergeCell ref="AI317:AN317"/>
    <mergeCell ref="AI319:AN319"/>
    <mergeCell ref="AI350:AM350"/>
    <mergeCell ref="AI341:AN341"/>
    <mergeCell ref="AI343:AN343"/>
    <mergeCell ref="AI344:AM344"/>
    <mergeCell ref="AI345:AN345"/>
    <mergeCell ref="AI346:AN346"/>
    <mergeCell ref="AI349:AN349"/>
    <mergeCell ref="AI334:AM334"/>
    <mergeCell ref="AI335:AN335"/>
    <mergeCell ref="AI336:AN336"/>
    <mergeCell ref="AI338:AN338"/>
    <mergeCell ref="AI339:AM339"/>
    <mergeCell ref="AI340:AN340"/>
  </mergeCells>
  <phoneticPr fontId="0" type="noConversion"/>
  <conditionalFormatting sqref="A82:A102 A105:A115 N105:N115">
    <cfRule type="expression" dxfId="63" priority="59">
      <formula>IF(D82="DESC",1,0)</formula>
    </cfRule>
  </conditionalFormatting>
  <conditionalFormatting sqref="A125:A126">
    <cfRule type="expression" dxfId="62" priority="52">
      <formula>IF(D125="DESC",1,0)</formula>
    </cfRule>
  </conditionalFormatting>
  <conditionalFormatting sqref="A129:A145">
    <cfRule type="expression" dxfId="61" priority="55">
      <formula>IF(D129="DESC",1,0)</formula>
    </cfRule>
  </conditionalFormatting>
  <conditionalFormatting sqref="A191:A196">
    <cfRule type="expression" dxfId="60" priority="14">
      <formula>IF(#REF!="DESC",1,0)</formula>
    </cfRule>
  </conditionalFormatting>
  <conditionalFormatting sqref="A199:A209">
    <cfRule type="expression" dxfId="59" priority="6">
      <formula>IF(#REF!="DESC",1,0)</formula>
    </cfRule>
  </conditionalFormatting>
  <conditionalFormatting sqref="A212:A217">
    <cfRule type="expression" dxfId="58" priority="13">
      <formula>IF(#REF!="DESC",1,0)</formula>
    </cfRule>
  </conditionalFormatting>
  <conditionalFormatting sqref="A220:A221">
    <cfRule type="expression" dxfId="57" priority="12">
      <formula>IF(#REF!="DESC",1,0)</formula>
    </cfRule>
  </conditionalFormatting>
  <conditionalFormatting sqref="A224:A225">
    <cfRule type="expression" dxfId="56" priority="11">
      <formula>IF(#REF!="DESC",1,0)</formula>
    </cfRule>
  </conditionalFormatting>
  <conditionalFormatting sqref="A150:C153">
    <cfRule type="expression" dxfId="55" priority="25">
      <formula>IF(D150="DESC",1,0)</formula>
    </cfRule>
  </conditionalFormatting>
  <conditionalFormatting sqref="A158:C160">
    <cfRule type="expression" dxfId="54" priority="29">
      <formula>IF(D158="DESC",1,0)</formula>
    </cfRule>
  </conditionalFormatting>
  <conditionalFormatting sqref="A165:C168">
    <cfRule type="expression" dxfId="53" priority="27">
      <formula>IF(D165="DESC",1,0)</formula>
    </cfRule>
  </conditionalFormatting>
  <conditionalFormatting sqref="A173:C175">
    <cfRule type="expression" dxfId="52" priority="24">
      <formula>IF(D173="DESC",1,0)</formula>
    </cfRule>
  </conditionalFormatting>
  <conditionalFormatting sqref="A116:N121">
    <cfRule type="expression" dxfId="51" priority="53">
      <formula>IF(D116="DESC",1,0)</formula>
    </cfRule>
  </conditionalFormatting>
  <conditionalFormatting sqref="A122:P122">
    <cfRule type="expression" dxfId="50" priority="1">
      <formula>IF(D122="DESC",1,0)</formula>
    </cfRule>
  </conditionalFormatting>
  <conditionalFormatting sqref="F91">
    <cfRule type="expression" dxfId="49" priority="60">
      <formula>IF(D91="DESC",1,0)</formula>
    </cfRule>
  </conditionalFormatting>
  <conditionalFormatting sqref="F95">
    <cfRule type="expression" dxfId="48" priority="61">
      <formula>IF(D95="DESC",1,0)</formula>
    </cfRule>
  </conditionalFormatting>
  <conditionalFormatting sqref="F115">
    <cfRule type="expression" dxfId="47" priority="34">
      <formula>IF(D115="DESC",1,0)</formula>
    </cfRule>
  </conditionalFormatting>
  <conditionalFormatting sqref="F150:F153">
    <cfRule type="expression" dxfId="46" priority="26">
      <formula>IF(D150="DESC",1,0)</formula>
    </cfRule>
  </conditionalFormatting>
  <conditionalFormatting sqref="F158:F160">
    <cfRule type="expression" dxfId="45" priority="16">
      <formula>IF(D158="DESC",1,0)</formula>
    </cfRule>
  </conditionalFormatting>
  <conditionalFormatting sqref="F165:F168">
    <cfRule type="expression" dxfId="44" priority="28">
      <formula>IF(D165="DESC",1,0)</formula>
    </cfRule>
  </conditionalFormatting>
  <conditionalFormatting sqref="F173:F175">
    <cfRule type="expression" dxfId="43" priority="30">
      <formula>IF(D173="DESC",1,0)</formula>
    </cfRule>
  </conditionalFormatting>
  <conditionalFormatting sqref="G199:N209">
    <cfRule type="expression" dxfId="42" priority="5">
      <formula>IF(#REF!="DESC",1,0)</formula>
    </cfRule>
  </conditionalFormatting>
  <conditionalFormatting sqref="M107:M108">
    <cfRule type="expression" dxfId="41" priority="2">
      <formula>IF(P107="DESC",1,0)</formula>
    </cfRule>
  </conditionalFormatting>
  <conditionalFormatting sqref="M113">
    <cfRule type="expression" dxfId="40" priority="3">
      <formula>IF(P113="DESC",1,0)</formula>
    </cfRule>
  </conditionalFormatting>
  <conditionalFormatting sqref="N82:N102">
    <cfRule type="expression" dxfId="39" priority="56">
      <formula>IF(Q82="DESC",1,0)</formula>
    </cfRule>
  </conditionalFormatting>
  <conditionalFormatting sqref="N125:N126">
    <cfRule type="expression" dxfId="38" priority="51">
      <formula>IF(Q125="DESC",1,0)</formula>
    </cfRule>
  </conditionalFormatting>
  <conditionalFormatting sqref="N129:N145">
    <cfRule type="expression" dxfId="37" priority="54">
      <formula>IF(Q129="DESC",1,0)</formula>
    </cfRule>
  </conditionalFormatting>
  <conditionalFormatting sqref="N191:N196">
    <cfRule type="expression" dxfId="36" priority="10">
      <formula>IF(#REF!="DESC",1,0)</formula>
    </cfRule>
  </conditionalFormatting>
  <conditionalFormatting sqref="N212:N217">
    <cfRule type="expression" dxfId="35" priority="9">
      <formula>IF(#REF!="DESC",1,0)</formula>
    </cfRule>
  </conditionalFormatting>
  <conditionalFormatting sqref="N220:N221">
    <cfRule type="expression" dxfId="34" priority="8">
      <formula>IF(#REF!="DESC",1,0)</formula>
    </cfRule>
  </conditionalFormatting>
  <conditionalFormatting sqref="N224:N225">
    <cfRule type="expression" dxfId="33" priority="7">
      <formula>IF(#REF!="DESC",1,0)</formula>
    </cfRule>
  </conditionalFormatting>
  <conditionalFormatting sqref="N150:P153">
    <cfRule type="expression" dxfId="32" priority="19">
      <formula>IF(Q150="DESC",1,0)</formula>
    </cfRule>
  </conditionalFormatting>
  <conditionalFormatting sqref="N158:P160">
    <cfRule type="expression" dxfId="31" priority="22">
      <formula>IF(Q158="DESC",1,0)</formula>
    </cfRule>
  </conditionalFormatting>
  <conditionalFormatting sqref="N165:P168">
    <cfRule type="expression" dxfId="30" priority="21">
      <formula>IF(Q165="DESC",1,0)</formula>
    </cfRule>
  </conditionalFormatting>
  <conditionalFormatting sqref="N173:P175">
    <cfRule type="expression" dxfId="29" priority="18">
      <formula>IF(Q173="DESC",1,0)</formula>
    </cfRule>
  </conditionalFormatting>
  <conditionalFormatting sqref="S91">
    <cfRule type="expression" dxfId="28" priority="57">
      <formula>IF(Q91="DESC",1,0)</formula>
    </cfRule>
  </conditionalFormatting>
  <conditionalFormatting sqref="S95">
    <cfRule type="expression" dxfId="27" priority="58">
      <formula>IF(Q95="DESC",1,0)</formula>
    </cfRule>
  </conditionalFormatting>
  <conditionalFormatting sqref="S115">
    <cfRule type="expression" dxfId="26" priority="33">
      <formula>IF(Q115="DESC",1,0)</formula>
    </cfRule>
  </conditionalFormatting>
  <conditionalFormatting sqref="S122">
    <cfRule type="expression" dxfId="25" priority="4">
      <formula>IF(V122="DESC",1,0)</formula>
    </cfRule>
  </conditionalFormatting>
  <conditionalFormatting sqref="S150:S153">
    <cfRule type="expression" dxfId="24" priority="20">
      <formula>IF(Q150="DESC",1,0)</formula>
    </cfRule>
  </conditionalFormatting>
  <conditionalFormatting sqref="S158:S160">
    <cfRule type="expression" dxfId="23" priority="15">
      <formula>IF(Q158="DESC",1,0)</formula>
    </cfRule>
  </conditionalFormatting>
  <conditionalFormatting sqref="S165:S168">
    <cfRule type="expression" dxfId="22" priority="17">
      <formula>IF(Q165="DESC",1,0)</formula>
    </cfRule>
  </conditionalFormatting>
  <conditionalFormatting sqref="S173:S175">
    <cfRule type="expression" dxfId="21" priority="23">
      <formula>IF(Q173="DESC",1,0)</formula>
    </cfRule>
  </conditionalFormatting>
  <conditionalFormatting sqref="AD95">
    <cfRule type="duplicateValues" dxfId="20" priority="62"/>
  </conditionalFormatting>
  <conditionalFormatting sqref="AD100">
    <cfRule type="duplicateValues" dxfId="19" priority="36"/>
  </conditionalFormatting>
  <conditionalFormatting sqref="AD103:AD104 AD106 AD108:AD114 AD116:AD119">
    <cfRule type="duplicateValues" dxfId="18" priority="63"/>
  </conditionalFormatting>
  <conditionalFormatting sqref="AD105">
    <cfRule type="duplicateValues" dxfId="17" priority="48"/>
  </conditionalFormatting>
  <conditionalFormatting sqref="AD107">
    <cfRule type="duplicateValues" dxfId="16" priority="50"/>
  </conditionalFormatting>
  <conditionalFormatting sqref="AD115">
    <cfRule type="duplicateValues" dxfId="15" priority="49"/>
  </conditionalFormatting>
  <conditionalFormatting sqref="AD120">
    <cfRule type="duplicateValues" dxfId="14" priority="42"/>
  </conditionalFormatting>
  <conditionalFormatting sqref="AD121">
    <cfRule type="duplicateValues" dxfId="13" priority="35"/>
  </conditionalFormatting>
  <conditionalFormatting sqref="AD122 AD124:AD127 AD129 AD132:AD135 AD137:AD143 AD145:AD146 AD148:AD156 AD158:AD160 AD162:AD164 AD166:AD172">
    <cfRule type="duplicateValues" dxfId="12" priority="64"/>
  </conditionalFormatting>
  <conditionalFormatting sqref="AD123">
    <cfRule type="duplicateValues" dxfId="11" priority="41"/>
  </conditionalFormatting>
  <conditionalFormatting sqref="AD128">
    <cfRule type="duplicateValues" dxfId="10" priority="46"/>
  </conditionalFormatting>
  <conditionalFormatting sqref="AD130">
    <cfRule type="duplicateValues" dxfId="9" priority="32"/>
  </conditionalFormatting>
  <conditionalFormatting sqref="AD131">
    <cfRule type="duplicateValues" dxfId="8" priority="47"/>
  </conditionalFormatting>
  <conditionalFormatting sqref="AD136">
    <cfRule type="duplicateValues" dxfId="7" priority="39"/>
  </conditionalFormatting>
  <conditionalFormatting sqref="AD144">
    <cfRule type="duplicateValues" dxfId="6" priority="45"/>
  </conditionalFormatting>
  <conditionalFormatting sqref="AD147">
    <cfRule type="duplicateValues" dxfId="5" priority="31"/>
  </conditionalFormatting>
  <conditionalFormatting sqref="AD157">
    <cfRule type="duplicateValues" dxfId="4" priority="40"/>
  </conditionalFormatting>
  <conditionalFormatting sqref="AD161">
    <cfRule type="duplicateValues" dxfId="3" priority="44"/>
  </conditionalFormatting>
  <conditionalFormatting sqref="AD165">
    <cfRule type="duplicateValues" dxfId="2" priority="43"/>
  </conditionalFormatting>
  <conditionalFormatting sqref="AD174">
    <cfRule type="duplicateValues" dxfId="1" priority="38"/>
  </conditionalFormatting>
  <conditionalFormatting sqref="AD175">
    <cfRule type="duplicateValues" dxfId="0" priority="37"/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11">
    <tabColor theme="5"/>
  </sheetPr>
  <dimension ref="A1:BF54"/>
  <sheetViews>
    <sheetView zoomScale="60" zoomScaleNormal="60" workbookViewId="0">
      <selection sqref="A1:XFD1048576"/>
    </sheetView>
  </sheetViews>
  <sheetFormatPr baseColWidth="10" defaultColWidth="16.7109375" defaultRowHeight="15" x14ac:dyDescent="0.25"/>
  <cols>
    <col min="1" max="7" width="2" customWidth="1"/>
    <col min="22" max="39" width="1.7109375" customWidth="1"/>
    <col min="46" max="56" width="2" customWidth="1"/>
  </cols>
  <sheetData>
    <row r="1" spans="1:58" ht="34.5" thickBot="1" x14ac:dyDescent="0.3">
      <c r="A1" s="743" t="s">
        <v>2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4"/>
      <c r="U1" s="744"/>
      <c r="V1" s="744"/>
      <c r="W1" s="744"/>
      <c r="X1" s="744"/>
      <c r="Y1" s="744"/>
      <c r="Z1" s="744"/>
      <c r="AA1" s="744"/>
      <c r="AB1" s="744"/>
      <c r="AC1" s="744"/>
      <c r="AD1" s="744"/>
      <c r="AE1" s="744"/>
      <c r="AF1" s="744"/>
      <c r="AG1" s="744"/>
      <c r="AH1" s="744"/>
      <c r="AI1" s="744"/>
      <c r="AJ1" s="744"/>
      <c r="AK1" s="744"/>
      <c r="AL1" s="744"/>
      <c r="AM1" s="744"/>
      <c r="AN1" s="744"/>
      <c r="AO1" s="744"/>
      <c r="AP1" s="744"/>
      <c r="AQ1" s="744"/>
      <c r="AR1" s="744"/>
      <c r="AS1" s="744"/>
      <c r="AT1" s="744"/>
      <c r="AU1" s="744"/>
      <c r="AV1" s="744"/>
      <c r="AW1" s="744"/>
      <c r="AX1" s="744"/>
      <c r="AY1" s="744"/>
      <c r="AZ1" s="744"/>
      <c r="BA1" s="744"/>
      <c r="BB1" s="744"/>
      <c r="BC1" s="744"/>
      <c r="BD1" s="745"/>
      <c r="BE1" s="1"/>
      <c r="BF1" s="1"/>
    </row>
    <row r="2" spans="1:58" ht="30" thickBot="1" x14ac:dyDescent="0.3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6"/>
      <c r="U2" s="746"/>
      <c r="V2" s="746"/>
      <c r="W2" s="746"/>
      <c r="X2" s="746"/>
      <c r="Y2" s="746"/>
      <c r="Z2" s="746"/>
      <c r="AA2" s="746"/>
      <c r="AB2" s="746"/>
      <c r="AC2" s="746"/>
      <c r="AD2" s="746"/>
      <c r="AE2" s="746"/>
      <c r="AF2" s="746"/>
      <c r="AG2" s="746"/>
      <c r="AH2" s="746"/>
      <c r="AI2" s="746"/>
      <c r="AJ2" s="746"/>
      <c r="AK2" s="746"/>
      <c r="AL2" s="746"/>
      <c r="AM2" s="746"/>
      <c r="AN2" s="746"/>
      <c r="AO2" s="746"/>
      <c r="AP2" s="746"/>
      <c r="AQ2" s="746"/>
      <c r="AR2" s="746"/>
      <c r="AS2" s="746"/>
      <c r="AT2" s="746"/>
      <c r="AU2" s="746"/>
      <c r="AV2" s="746"/>
      <c r="AW2" s="746"/>
      <c r="AX2" s="746"/>
      <c r="AY2" s="746"/>
      <c r="AZ2" s="746"/>
      <c r="BA2" s="746"/>
      <c r="BB2" s="746"/>
      <c r="BC2" s="746"/>
      <c r="BD2" s="746"/>
      <c r="BE2" s="1"/>
      <c r="BF2" s="1"/>
    </row>
    <row r="3" spans="1:58" ht="22.5" customHeight="1" x14ac:dyDescent="0.3">
      <c r="A3" s="747"/>
      <c r="B3" s="747"/>
      <c r="C3" s="747"/>
      <c r="D3" s="748"/>
      <c r="E3" s="1"/>
      <c r="F3" s="3"/>
      <c r="G3" s="3"/>
      <c r="H3" s="3"/>
      <c r="I3" s="4"/>
      <c r="J3" s="5">
        <v>25</v>
      </c>
      <c r="K3" s="6">
        <v>25</v>
      </c>
      <c r="L3" s="7">
        <v>25</v>
      </c>
      <c r="M3" s="8">
        <v>25</v>
      </c>
      <c r="N3" s="9">
        <v>25</v>
      </c>
      <c r="O3" s="10">
        <v>25</v>
      </c>
      <c r="P3" s="11">
        <v>25</v>
      </c>
      <c r="Q3" s="4"/>
      <c r="R3" s="3"/>
      <c r="S3" s="3"/>
      <c r="T3" s="3"/>
      <c r="U3" s="3"/>
      <c r="V3" s="3"/>
      <c r="W3" s="3"/>
      <c r="X3" s="3"/>
      <c r="Y3" s="12"/>
      <c r="Z3" s="3"/>
      <c r="AA3" s="13"/>
      <c r="AB3" s="3"/>
      <c r="AC3" s="3"/>
      <c r="AD3" s="3"/>
      <c r="AE3" s="3"/>
      <c r="AF3" s="12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5"/>
    </row>
    <row r="4" spans="1:58" ht="15.75" x14ac:dyDescent="0.25">
      <c r="A4" s="749"/>
      <c r="B4" s="749"/>
      <c r="C4" s="749"/>
      <c r="D4" s="750"/>
      <c r="E4" s="103"/>
      <c r="F4" s="98"/>
      <c r="H4" s="3"/>
      <c r="I4" s="17" t="s">
        <v>10</v>
      </c>
      <c r="J4" s="18" t="s">
        <v>11</v>
      </c>
      <c r="K4" s="18" t="s">
        <v>11</v>
      </c>
      <c r="L4" s="18" t="s">
        <v>11</v>
      </c>
      <c r="M4" s="18" t="s">
        <v>11</v>
      </c>
      <c r="N4" s="18" t="s">
        <v>11</v>
      </c>
      <c r="O4" s="18" t="s">
        <v>11</v>
      </c>
      <c r="P4" s="18" t="s">
        <v>11</v>
      </c>
      <c r="Q4" s="17"/>
      <c r="R4" s="3"/>
      <c r="S4" s="3"/>
      <c r="T4" s="3"/>
      <c r="U4" s="3"/>
      <c r="V4" s="3"/>
      <c r="W4" s="3"/>
      <c r="X4" s="3"/>
      <c r="Y4" s="12"/>
      <c r="Z4" s="3"/>
      <c r="AA4" s="3"/>
      <c r="AB4" s="3"/>
      <c r="AC4" s="3"/>
      <c r="AD4" s="19"/>
      <c r="AE4" s="19"/>
      <c r="AF4" s="20"/>
      <c r="AG4" s="19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21"/>
      <c r="AU4" s="21"/>
      <c r="AV4" s="21"/>
      <c r="AW4" s="21"/>
      <c r="AX4" s="21"/>
      <c r="AY4" s="21"/>
      <c r="AZ4" s="22"/>
      <c r="BA4" s="22"/>
      <c r="BB4" s="22"/>
      <c r="BC4" s="22"/>
      <c r="BD4" s="22"/>
      <c r="BE4" s="23"/>
    </row>
    <row r="5" spans="1:58" ht="23.25" x14ac:dyDescent="0.25">
      <c r="A5" s="749"/>
      <c r="B5" s="749"/>
      <c r="C5" s="749"/>
      <c r="D5" s="750"/>
      <c r="E5" s="685"/>
      <c r="F5" s="98"/>
      <c r="G5" s="3"/>
      <c r="H5" s="3"/>
      <c r="I5" s="3"/>
      <c r="J5" s="25">
        <v>1</v>
      </c>
      <c r="K5" s="25">
        <v>2</v>
      </c>
      <c r="L5" s="25">
        <v>3</v>
      </c>
      <c r="M5" s="25">
        <v>4</v>
      </c>
      <c r="N5" s="25">
        <v>5</v>
      </c>
      <c r="O5" s="25">
        <v>6</v>
      </c>
      <c r="P5" s="25">
        <v>7</v>
      </c>
      <c r="Q5" s="26"/>
      <c r="R5" s="26"/>
      <c r="S5" s="3"/>
      <c r="T5" s="3"/>
      <c r="U5" s="3"/>
      <c r="V5" s="3"/>
      <c r="W5" s="3"/>
      <c r="X5" s="3"/>
      <c r="Y5" s="12"/>
      <c r="Z5" s="3"/>
      <c r="AA5" s="3"/>
      <c r="AB5" s="3"/>
      <c r="AC5" s="19"/>
      <c r="AD5" s="19"/>
      <c r="AE5" s="3"/>
      <c r="AF5" s="12"/>
      <c r="AG5" s="3"/>
      <c r="AH5" s="27"/>
      <c r="AI5" s="1"/>
      <c r="AJ5" s="1"/>
      <c r="AK5" s="3"/>
      <c r="AM5" s="3"/>
      <c r="AN5" s="3"/>
      <c r="AO5" s="3"/>
      <c r="AP5" s="3"/>
      <c r="AQ5" s="3"/>
      <c r="AR5" s="3"/>
      <c r="AS5" s="3"/>
      <c r="AT5" s="21"/>
      <c r="AU5" s="21"/>
      <c r="AV5" s="21"/>
      <c r="AW5" s="21"/>
      <c r="AX5" s="21"/>
      <c r="AY5" s="21"/>
      <c r="AZ5" s="22"/>
      <c r="BA5" s="22"/>
      <c r="BB5" s="22"/>
      <c r="BC5" s="22"/>
      <c r="BD5" s="22"/>
      <c r="BE5" s="28"/>
    </row>
    <row r="6" spans="1:58" ht="23.25" x14ac:dyDescent="0.25">
      <c r="A6" s="3"/>
      <c r="B6" s="3"/>
      <c r="C6" s="3"/>
      <c r="D6" s="12"/>
      <c r="E6" s="686"/>
      <c r="F6" s="98"/>
      <c r="G6" s="3"/>
      <c r="H6" s="3"/>
      <c r="I6" s="3"/>
      <c r="J6" s="3"/>
      <c r="K6" s="3"/>
      <c r="N6" s="30"/>
      <c r="O6" s="3"/>
      <c r="P6" s="3"/>
      <c r="Q6" s="3"/>
      <c r="R6" s="3"/>
      <c r="S6" s="3"/>
      <c r="T6" s="3"/>
      <c r="U6" s="3"/>
      <c r="V6" s="3"/>
      <c r="W6" s="3"/>
      <c r="X6" s="3"/>
      <c r="Y6" s="12"/>
      <c r="Z6" s="3"/>
      <c r="AA6" s="3"/>
      <c r="AB6" s="3"/>
      <c r="AC6" s="31"/>
      <c r="AD6" s="3"/>
      <c r="AE6" s="3"/>
      <c r="AF6" s="12"/>
      <c r="AG6" s="3"/>
      <c r="AH6" s="1"/>
      <c r="AI6" s="32"/>
      <c r="AJ6" s="32"/>
      <c r="AK6" s="3"/>
      <c r="AM6" s="3"/>
      <c r="AN6" s="3"/>
      <c r="AO6" s="3"/>
      <c r="AP6" s="3"/>
      <c r="AQ6" s="3"/>
      <c r="AR6" s="3"/>
      <c r="AS6" s="3"/>
      <c r="AT6" s="21"/>
      <c r="AU6" s="21"/>
      <c r="AV6" s="21"/>
      <c r="AW6" s="21"/>
      <c r="AX6" s="21"/>
      <c r="AY6" s="21"/>
      <c r="AZ6" s="22"/>
      <c r="BA6" s="22"/>
      <c r="BB6" s="22"/>
      <c r="BC6" s="22"/>
      <c r="BD6" s="22"/>
      <c r="BE6" s="33"/>
    </row>
    <row r="7" spans="1:58" ht="23.25" x14ac:dyDescent="0.25">
      <c r="A7" s="3"/>
      <c r="B7" s="3"/>
      <c r="C7" s="3"/>
      <c r="D7" s="12"/>
      <c r="E7" s="687"/>
      <c r="F7" s="98"/>
      <c r="G7" s="3"/>
      <c r="H7" s="3"/>
      <c r="I7" s="3"/>
      <c r="J7" s="3"/>
      <c r="K7" s="3"/>
      <c r="M7" s="3"/>
      <c r="N7" s="30"/>
      <c r="O7" s="35"/>
      <c r="P7" s="30"/>
      <c r="Q7" s="30"/>
      <c r="R7" s="30"/>
      <c r="S7" s="30"/>
      <c r="T7" s="36"/>
      <c r="U7" s="3"/>
      <c r="V7" s="36"/>
      <c r="W7" s="3"/>
      <c r="X7" s="3"/>
      <c r="Y7" s="12"/>
      <c r="Z7" s="3"/>
      <c r="AA7" s="3"/>
      <c r="AB7" s="3"/>
      <c r="AC7" s="37"/>
      <c r="AD7" s="3"/>
      <c r="AE7" s="3"/>
      <c r="AF7" s="12"/>
      <c r="AG7" s="3"/>
      <c r="AH7" s="32"/>
      <c r="AI7" s="1"/>
      <c r="AJ7" s="38"/>
      <c r="AK7" s="3"/>
      <c r="AM7" s="3"/>
      <c r="AN7" s="3"/>
      <c r="AO7" s="3"/>
      <c r="AP7" s="3"/>
      <c r="AQ7" s="3"/>
      <c r="AR7" s="3"/>
      <c r="AS7" s="3"/>
      <c r="AT7" s="21"/>
      <c r="AU7" s="21"/>
      <c r="AV7" s="21"/>
      <c r="AW7" s="21"/>
      <c r="AX7" s="21"/>
      <c r="AY7" s="21"/>
      <c r="AZ7" s="22"/>
      <c r="BA7" s="22"/>
      <c r="BB7" s="22"/>
      <c r="BC7" s="22"/>
      <c r="BD7" s="22"/>
      <c r="BE7" s="28"/>
    </row>
    <row r="8" spans="1:58" ht="23.25" x14ac:dyDescent="0.25">
      <c r="A8" s="3"/>
      <c r="B8" s="3"/>
      <c r="C8" s="3"/>
      <c r="D8" s="12"/>
      <c r="E8" s="688"/>
      <c r="F8" s="98"/>
      <c r="G8" s="3"/>
      <c r="H8" s="3"/>
      <c r="I8" s="3"/>
      <c r="J8" s="3"/>
      <c r="K8" s="3"/>
      <c r="L8" s="3"/>
      <c r="M8" s="3"/>
      <c r="P8" s="30"/>
      <c r="Q8" s="30"/>
      <c r="R8" s="26"/>
      <c r="S8" s="3"/>
      <c r="T8" s="36"/>
      <c r="U8" s="3"/>
      <c r="V8" s="36"/>
      <c r="W8" s="3"/>
      <c r="X8" s="3"/>
      <c r="Y8" s="12"/>
      <c r="Z8" s="3"/>
      <c r="AA8" s="3"/>
      <c r="AB8" s="3"/>
      <c r="AC8" s="37"/>
      <c r="AD8" s="3"/>
      <c r="AE8" s="3"/>
      <c r="AF8" s="12"/>
      <c r="AG8" s="3"/>
      <c r="AH8" s="32"/>
      <c r="AI8" s="1"/>
      <c r="AJ8" s="38"/>
      <c r="AK8" s="3"/>
      <c r="AM8" s="3"/>
      <c r="AN8" s="3"/>
      <c r="AO8" s="3"/>
      <c r="AP8" s="3"/>
      <c r="AQ8" s="3"/>
      <c r="AR8" s="3"/>
      <c r="AS8" s="3"/>
      <c r="AT8" s="21"/>
      <c r="AU8" s="21"/>
      <c r="AV8" s="21"/>
      <c r="AW8" s="21"/>
      <c r="AX8" s="21"/>
      <c r="AY8" s="21"/>
      <c r="AZ8" s="22"/>
      <c r="BA8" s="22"/>
      <c r="BB8" s="22"/>
      <c r="BC8" s="22"/>
      <c r="BD8" s="22"/>
      <c r="BE8" s="40"/>
    </row>
    <row r="9" spans="1:58" ht="23.25" x14ac:dyDescent="0.25">
      <c r="A9" s="3"/>
      <c r="B9" s="3"/>
      <c r="C9" s="3"/>
      <c r="D9" s="12"/>
      <c r="E9" s="688"/>
      <c r="F9" s="92"/>
      <c r="G9" s="3"/>
      <c r="H9" s="3"/>
      <c r="I9" s="3"/>
      <c r="J9" s="3"/>
      <c r="M9" s="3"/>
      <c r="Q9" s="111"/>
      <c r="R9" s="98"/>
      <c r="S9" s="98"/>
      <c r="T9" s="695"/>
      <c r="U9" s="98"/>
      <c r="V9" s="695"/>
      <c r="W9" s="3"/>
      <c r="X9" s="3"/>
      <c r="Y9" s="12"/>
      <c r="Z9" s="3"/>
      <c r="AA9" s="3"/>
      <c r="AB9" s="3"/>
      <c r="AC9" s="31"/>
      <c r="AD9" s="3"/>
      <c r="AE9" s="3"/>
      <c r="AF9" s="12"/>
      <c r="AG9" s="3"/>
      <c r="AH9" s="41"/>
      <c r="AI9" s="42"/>
      <c r="AJ9" s="32"/>
      <c r="AK9" s="3"/>
      <c r="AM9" s="3"/>
      <c r="AN9" s="3"/>
      <c r="AO9" s="3"/>
      <c r="AP9" s="3"/>
      <c r="AQ9" s="3"/>
      <c r="AR9" s="3"/>
      <c r="AS9" s="3"/>
      <c r="AT9" s="21"/>
      <c r="AU9" s="21"/>
      <c r="AV9" s="21"/>
      <c r="AW9" s="21"/>
      <c r="AX9" s="21"/>
      <c r="AY9" s="21"/>
      <c r="AZ9" s="22"/>
      <c r="BA9" s="22"/>
      <c r="BB9" s="22"/>
      <c r="BC9" s="22"/>
      <c r="BD9" s="22"/>
      <c r="BE9" s="43"/>
    </row>
    <row r="10" spans="1:58" ht="23.25" x14ac:dyDescent="0.25">
      <c r="A10" s="3"/>
      <c r="B10" s="3"/>
      <c r="C10" s="3"/>
      <c r="D10" s="12"/>
      <c r="E10" s="689"/>
      <c r="F10" s="113"/>
      <c r="G10" s="3"/>
      <c r="H10" s="98"/>
      <c r="I10" s="98"/>
      <c r="J10" s="98"/>
      <c r="K10" s="111"/>
      <c r="L10" s="111"/>
      <c r="M10" s="98"/>
      <c r="N10" s="156"/>
      <c r="O10" s="700"/>
      <c r="P10" s="111"/>
      <c r="Q10" s="111"/>
      <c r="R10" s="696"/>
      <c r="S10" s="696"/>
      <c r="T10" s="98"/>
      <c r="U10" s="98"/>
      <c r="V10" s="98"/>
      <c r="W10" s="3"/>
      <c r="X10" s="3"/>
      <c r="Y10" s="12"/>
      <c r="Z10" s="3"/>
      <c r="AA10" s="46"/>
      <c r="AB10" s="46"/>
      <c r="AC10" s="47"/>
      <c r="AD10" s="3"/>
      <c r="AE10" s="46"/>
      <c r="AF10" s="48"/>
      <c r="AG10" s="3"/>
      <c r="AH10" s="41"/>
      <c r="AI10" s="42"/>
      <c r="AJ10" s="32"/>
      <c r="AK10" s="46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23"/>
    </row>
    <row r="11" spans="1:58" ht="23.25" x14ac:dyDescent="0.25">
      <c r="A11" s="3"/>
      <c r="B11" s="3"/>
      <c r="C11" s="3"/>
      <c r="D11" s="12"/>
      <c r="E11" s="689"/>
      <c r="F11" s="113"/>
      <c r="G11" s="3"/>
      <c r="H11" s="98"/>
      <c r="I11" s="98"/>
      <c r="J11" s="98"/>
      <c r="K11" s="98"/>
      <c r="L11" s="98"/>
      <c r="M11" s="98"/>
      <c r="N11" s="111"/>
      <c r="O11" s="700"/>
      <c r="P11" s="696"/>
      <c r="Q11" s="696"/>
      <c r="R11" s="113"/>
      <c r="S11" s="113"/>
      <c r="T11" s="98"/>
      <c r="U11" s="98"/>
      <c r="V11" s="98"/>
      <c r="W11" s="3"/>
      <c r="X11" s="3"/>
      <c r="Y11" s="12"/>
      <c r="Z11" s="3"/>
      <c r="AA11" s="47"/>
      <c r="AB11" s="47"/>
      <c r="AC11" s="13"/>
      <c r="AD11" s="3"/>
      <c r="AE11" s="46"/>
      <c r="AF11" s="48"/>
      <c r="AG11" s="3"/>
      <c r="AH11" s="32"/>
      <c r="AI11" s="32"/>
      <c r="AJ11" s="38"/>
      <c r="AK11" s="46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3"/>
    </row>
    <row r="12" spans="1:58" ht="24" thickBot="1" x14ac:dyDescent="0.3">
      <c r="A12" s="3"/>
      <c r="B12" s="3"/>
      <c r="C12" s="3"/>
      <c r="D12" s="12"/>
      <c r="E12" s="49"/>
      <c r="F12" s="50"/>
      <c r="G12" s="51"/>
      <c r="H12" s="690"/>
      <c r="I12" s="690"/>
      <c r="J12" s="691"/>
      <c r="K12" s="691"/>
      <c r="L12" s="691"/>
      <c r="M12" s="692"/>
      <c r="N12" s="691"/>
      <c r="O12" s="111"/>
      <c r="P12" s="111"/>
      <c r="Q12" s="689"/>
      <c r="R12" s="689"/>
      <c r="S12" s="689"/>
      <c r="T12" s="689"/>
      <c r="U12" s="689"/>
      <c r="V12" s="697"/>
      <c r="W12" s="54"/>
      <c r="X12" s="54"/>
      <c r="Y12" s="12"/>
      <c r="Z12" s="3"/>
      <c r="AA12" s="45"/>
      <c r="AB12" s="3"/>
      <c r="AC12" s="3"/>
      <c r="AD12" s="3"/>
      <c r="AE12" s="3"/>
      <c r="AF12" s="12"/>
      <c r="AG12" s="3"/>
      <c r="AH12" s="32"/>
      <c r="AI12" s="42"/>
      <c r="AJ12" s="32"/>
      <c r="AK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23"/>
    </row>
    <row r="13" spans="1:58" ht="23.25" x14ac:dyDescent="0.25">
      <c r="A13" s="3"/>
      <c r="B13" s="3"/>
      <c r="C13" s="3"/>
      <c r="D13" s="12"/>
      <c r="E13" s="3"/>
      <c r="F13" s="37"/>
      <c r="G13" s="37"/>
      <c r="H13" s="92"/>
      <c r="I13" s="92"/>
      <c r="J13" s="685"/>
      <c r="K13" s="685"/>
      <c r="L13" s="685"/>
      <c r="M13" s="685"/>
      <c r="N13" s="113"/>
      <c r="O13" s="751"/>
      <c r="P13" s="752"/>
      <c r="Q13" s="698"/>
      <c r="R13" s="685"/>
      <c r="S13" s="685"/>
      <c r="T13" s="685"/>
      <c r="U13" s="685"/>
      <c r="V13" s="98"/>
      <c r="W13" s="3"/>
      <c r="X13" s="3"/>
      <c r="Y13" s="755"/>
      <c r="Z13" s="3"/>
      <c r="AA13" s="45"/>
      <c r="AB13" s="3"/>
      <c r="AC13" s="3"/>
      <c r="AD13" s="3"/>
      <c r="AE13" s="3"/>
      <c r="AF13" s="12"/>
      <c r="AG13" s="3"/>
      <c r="AH13" s="32"/>
      <c r="AI13" s="42"/>
      <c r="AJ13" s="32"/>
      <c r="AK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23"/>
    </row>
    <row r="14" spans="1:58" ht="16.5" thickBot="1" x14ac:dyDescent="0.3">
      <c r="A14" s="3"/>
      <c r="B14" s="3"/>
      <c r="C14" s="3"/>
      <c r="D14" s="48"/>
      <c r="E14" s="111"/>
      <c r="F14" s="92"/>
      <c r="G14" s="110"/>
      <c r="H14" s="111"/>
      <c r="I14" s="111"/>
      <c r="J14" s="111"/>
      <c r="K14" s="111"/>
      <c r="L14" s="111"/>
      <c r="M14" s="111"/>
      <c r="N14" s="113"/>
      <c r="O14" s="753"/>
      <c r="P14" s="754"/>
      <c r="Q14" s="98"/>
      <c r="R14" s="98"/>
      <c r="S14" s="156"/>
      <c r="T14" s="98"/>
      <c r="U14" s="98"/>
      <c r="V14" s="98"/>
      <c r="W14" s="3"/>
      <c r="X14" s="3"/>
      <c r="Y14" s="756"/>
      <c r="Z14" s="3"/>
      <c r="AA14" s="45"/>
      <c r="AB14" s="3"/>
      <c r="AC14" s="3"/>
      <c r="AD14" s="3"/>
      <c r="AE14" s="3"/>
      <c r="AF14" s="12"/>
      <c r="AG14" s="3"/>
      <c r="AH14" s="3"/>
      <c r="AI14" s="3"/>
      <c r="AJ14" s="1"/>
      <c r="AK14" s="3"/>
      <c r="AM14" s="3"/>
      <c r="AN14" s="3"/>
      <c r="AO14" s="3"/>
      <c r="AP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28"/>
    </row>
    <row r="15" spans="1:58" ht="15.75" x14ac:dyDescent="0.25">
      <c r="A15" s="3"/>
      <c r="B15" s="3"/>
      <c r="C15" s="3"/>
      <c r="D15" s="48"/>
      <c r="E15" s="701"/>
      <c r="F15" s="111"/>
      <c r="G15" s="110"/>
      <c r="H15" s="693"/>
      <c r="I15" s="111"/>
      <c r="J15" s="111"/>
      <c r="K15" s="111"/>
      <c r="L15" s="111"/>
      <c r="M15" s="693"/>
      <c r="N15" s="98"/>
      <c r="O15" s="59"/>
      <c r="P15" s="3"/>
      <c r="Q15" s="98"/>
      <c r="R15" s="98"/>
      <c r="S15" s="98"/>
      <c r="T15" s="98"/>
      <c r="U15" s="98"/>
      <c r="V15" s="98"/>
      <c r="W15" s="3"/>
      <c r="X15" s="3"/>
      <c r="Y15" s="756"/>
      <c r="Z15" s="3"/>
      <c r="AA15" s="45"/>
      <c r="AB15" s="3"/>
      <c r="AC15" s="3"/>
      <c r="AD15" s="1"/>
      <c r="AE15" s="3"/>
      <c r="AF15" s="12"/>
      <c r="AG15" s="3"/>
      <c r="AH15" s="3"/>
      <c r="AI15" s="3"/>
      <c r="AJ15" s="3"/>
      <c r="AK15" s="3"/>
      <c r="AM15" s="3"/>
      <c r="AN15" s="3"/>
      <c r="AO15" s="3"/>
      <c r="AP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28"/>
    </row>
    <row r="16" spans="1:58" ht="15.75" x14ac:dyDescent="0.25">
      <c r="A16" s="3"/>
      <c r="B16" s="3"/>
      <c r="C16" s="3"/>
      <c r="D16" s="48"/>
      <c r="E16" s="701"/>
      <c r="F16" s="111"/>
      <c r="G16" s="110"/>
      <c r="H16" s="693"/>
      <c r="I16" s="98"/>
      <c r="J16" s="686"/>
      <c r="K16" s="686"/>
      <c r="L16" s="694"/>
      <c r="M16" s="686"/>
      <c r="N16" s="111"/>
      <c r="O16" s="3"/>
      <c r="Q16" s="698"/>
      <c r="R16" s="698"/>
      <c r="S16" s="98"/>
      <c r="T16" s="98"/>
      <c r="U16" s="98"/>
      <c r="V16" s="98"/>
      <c r="W16" s="3"/>
      <c r="X16" s="3"/>
      <c r="Y16" s="756"/>
      <c r="Z16" s="3"/>
      <c r="AA16" s="45"/>
      <c r="AB16" s="3"/>
      <c r="AC16" s="3"/>
      <c r="AD16" s="1"/>
      <c r="AE16" s="3"/>
      <c r="AF16" s="12"/>
      <c r="AG16" s="3"/>
      <c r="AH16" s="3"/>
      <c r="AI16" s="3"/>
      <c r="AJ16" s="3"/>
      <c r="AK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23"/>
    </row>
    <row r="17" spans="1:57" ht="15.75" x14ac:dyDescent="0.25">
      <c r="A17" s="3"/>
      <c r="B17" s="3"/>
      <c r="C17" s="3"/>
      <c r="D17" s="48"/>
      <c r="E17" s="701"/>
      <c r="F17" s="111"/>
      <c r="G17" s="110"/>
      <c r="H17" s="59"/>
      <c r="I17" s="98"/>
      <c r="J17" s="723"/>
      <c r="K17" s="723"/>
      <c r="L17" s="699"/>
      <c r="M17" s="724"/>
      <c r="N17" s="111"/>
      <c r="O17" s="3"/>
      <c r="Q17" s="699"/>
      <c r="R17" s="699"/>
      <c r="S17" s="98"/>
      <c r="T17" s="98"/>
      <c r="U17" s="98"/>
      <c r="V17" s="98"/>
      <c r="W17" s="3"/>
      <c r="X17" s="3"/>
      <c r="Y17" s="756"/>
      <c r="Z17" s="3"/>
      <c r="AA17" s="45"/>
      <c r="AB17" s="3"/>
      <c r="AC17" s="3"/>
      <c r="AD17" s="1"/>
      <c r="AE17" s="3"/>
      <c r="AF17" s="12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23"/>
    </row>
    <row r="18" spans="1:57" ht="15.75" x14ac:dyDescent="0.25">
      <c r="A18" s="3"/>
      <c r="B18" s="3"/>
      <c r="C18" s="3"/>
      <c r="D18" s="48"/>
      <c r="E18" s="701"/>
      <c r="F18" s="111"/>
      <c r="G18" s="110"/>
      <c r="I18" s="3"/>
      <c r="K18" s="3"/>
      <c r="L18" s="59"/>
      <c r="M18" s="64"/>
      <c r="N18" s="64"/>
      <c r="O18" s="64"/>
      <c r="P18" s="64"/>
      <c r="Q18" s="65"/>
      <c r="R18" s="65"/>
      <c r="S18" s="65"/>
      <c r="T18" s="3"/>
      <c r="U18" s="3"/>
      <c r="V18" s="3"/>
      <c r="W18" s="3"/>
      <c r="X18" s="3"/>
      <c r="Y18" s="756"/>
      <c r="Z18" s="46" t="s">
        <v>21</v>
      </c>
      <c r="AA18" s="45"/>
      <c r="AB18" s="3"/>
      <c r="AC18" s="66"/>
      <c r="AD18" s="3"/>
      <c r="AE18" s="3"/>
      <c r="AF18" s="12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23"/>
    </row>
    <row r="19" spans="1:57" ht="18.75" x14ac:dyDescent="0.3">
      <c r="A19" s="19"/>
      <c r="B19" s="19"/>
      <c r="C19" s="19"/>
      <c r="D19" s="20"/>
      <c r="E19" s="701"/>
      <c r="F19" s="111"/>
      <c r="G19" s="111"/>
      <c r="H19" s="758" t="s">
        <v>22</v>
      </c>
      <c r="I19" s="758"/>
      <c r="J19" s="758"/>
      <c r="K19" s="758"/>
      <c r="L19" s="758"/>
      <c r="M19" s="67"/>
      <c r="N19" s="67" t="s">
        <v>23</v>
      </c>
      <c r="O19" s="67"/>
      <c r="Q19" s="67"/>
      <c r="R19" s="67" t="s">
        <v>22</v>
      </c>
      <c r="S19" s="67"/>
      <c r="T19" s="3"/>
      <c r="U19" s="3"/>
      <c r="V19" s="3"/>
      <c r="W19" s="3"/>
      <c r="X19" s="3"/>
      <c r="Y19" s="756"/>
      <c r="Z19" s="46" t="s">
        <v>21</v>
      </c>
      <c r="AA19" s="45"/>
      <c r="AB19" s="3"/>
      <c r="AC19" s="3"/>
      <c r="AD19" s="3"/>
      <c r="AE19" s="3"/>
      <c r="AF19" s="12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23"/>
    </row>
    <row r="20" spans="1:57" ht="20.25" x14ac:dyDescent="0.25">
      <c r="A20" s="19"/>
      <c r="B20" s="19"/>
      <c r="C20" s="19"/>
      <c r="D20" s="68"/>
      <c r="E20" s="701"/>
      <c r="F20" s="111"/>
      <c r="G20" s="111"/>
      <c r="H20" s="25"/>
      <c r="I20" s="25"/>
      <c r="J20" s="25"/>
      <c r="K20" s="25"/>
      <c r="M20" s="69">
        <v>1</v>
      </c>
      <c r="O20" s="69">
        <v>2</v>
      </c>
      <c r="P20" s="70"/>
      <c r="Q20" s="69">
        <v>3</v>
      </c>
      <c r="R20" s="69">
        <v>4</v>
      </c>
      <c r="S20" s="69">
        <v>5</v>
      </c>
      <c r="T20" s="65"/>
      <c r="V20" s="3"/>
      <c r="W20" s="3"/>
      <c r="X20" s="3"/>
      <c r="Y20" s="756"/>
      <c r="Z20" s="46" t="s">
        <v>21</v>
      </c>
      <c r="AA20" s="45"/>
      <c r="AB20" s="3"/>
      <c r="AC20" s="3"/>
      <c r="AD20" s="3"/>
      <c r="AE20" s="3"/>
      <c r="AF20" s="12"/>
      <c r="AG20" s="3"/>
      <c r="AH20" s="3"/>
      <c r="AI20" s="3"/>
      <c r="AJ20" s="3"/>
      <c r="AK20" s="3"/>
      <c r="AL20" s="3"/>
      <c r="AM20" s="71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23"/>
    </row>
    <row r="21" spans="1:57" ht="20.25" x14ac:dyDescent="0.25">
      <c r="A21" s="19"/>
      <c r="B21" s="19"/>
      <c r="C21" s="19"/>
      <c r="D21" s="20"/>
      <c r="E21" s="111"/>
      <c r="F21" s="111"/>
      <c r="G21" s="111"/>
      <c r="H21" s="17" t="s">
        <v>24</v>
      </c>
      <c r="I21" s="72" t="s">
        <v>25</v>
      </c>
      <c r="J21" s="72" t="s">
        <v>25</v>
      </c>
      <c r="K21" s="72" t="s">
        <v>25</v>
      </c>
      <c r="L21" s="69"/>
      <c r="M21" s="72" t="s">
        <v>25</v>
      </c>
      <c r="N21" s="69"/>
      <c r="O21" s="72" t="s">
        <v>25</v>
      </c>
      <c r="P21" s="73"/>
      <c r="Q21" s="72" t="s">
        <v>25</v>
      </c>
      <c r="R21" s="74" t="s">
        <v>25</v>
      </c>
      <c r="S21" s="72" t="s">
        <v>25</v>
      </c>
      <c r="T21" s="17" t="s">
        <v>26</v>
      </c>
      <c r="U21" s="65"/>
      <c r="V21" s="3"/>
      <c r="W21" s="3"/>
      <c r="X21" s="3"/>
      <c r="Y21" s="756"/>
      <c r="Z21" s="46"/>
      <c r="AA21" s="45"/>
      <c r="AB21" s="3"/>
      <c r="AC21" s="3"/>
      <c r="AD21" s="3"/>
      <c r="AE21" s="3"/>
      <c r="AF21" s="12"/>
      <c r="AG21" s="75"/>
      <c r="AH21" s="3"/>
      <c r="AI21" s="3"/>
      <c r="AJ21" s="3"/>
      <c r="AK21" s="3"/>
      <c r="AL21" s="3"/>
      <c r="AM21" s="71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23"/>
    </row>
    <row r="22" spans="1:57" ht="26.25" x14ac:dyDescent="0.25">
      <c r="A22" s="19"/>
      <c r="B22" s="19"/>
      <c r="C22" s="19"/>
      <c r="D22" s="20"/>
      <c r="E22" s="740"/>
      <c r="F22" s="740"/>
      <c r="G22" s="111"/>
      <c r="H22" s="759" t="s">
        <v>28</v>
      </c>
      <c r="I22" s="77">
        <v>50</v>
      </c>
      <c r="J22" s="77">
        <v>50</v>
      </c>
      <c r="K22" s="5">
        <v>50</v>
      </c>
      <c r="L22" s="78"/>
      <c r="M22" s="79">
        <v>50</v>
      </c>
      <c r="N22" s="78"/>
      <c r="O22" s="79">
        <v>50</v>
      </c>
      <c r="P22" s="73"/>
      <c r="Q22" s="80">
        <v>50</v>
      </c>
      <c r="R22" s="81">
        <v>50</v>
      </c>
      <c r="S22" s="81">
        <v>50</v>
      </c>
      <c r="T22" s="82" t="s">
        <v>33</v>
      </c>
      <c r="U22" s="65"/>
      <c r="V22" s="3"/>
      <c r="W22" s="3"/>
      <c r="X22" s="3"/>
      <c r="Y22" s="756"/>
      <c r="Z22" s="46"/>
      <c r="AA22" s="45"/>
      <c r="AB22" s="3"/>
      <c r="AC22" s="3"/>
      <c r="AD22" s="3"/>
      <c r="AE22" s="3"/>
      <c r="AF22" s="12"/>
      <c r="AG22" s="75"/>
      <c r="AH22" s="3"/>
      <c r="AI22" s="3"/>
      <c r="AJ22" s="3"/>
      <c r="AK22" s="3"/>
      <c r="AL22" s="3"/>
      <c r="AM22" s="3"/>
      <c r="AN22" s="3"/>
      <c r="AO22" s="8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23"/>
    </row>
    <row r="23" spans="1:57" ht="24" thickBot="1" x14ac:dyDescent="0.3">
      <c r="A23" s="19"/>
      <c r="B23" s="19"/>
      <c r="D23" s="20"/>
      <c r="E23" s="701"/>
      <c r="F23" s="702"/>
      <c r="G23" s="111"/>
      <c r="H23" s="759"/>
      <c r="I23" s="85">
        <v>50</v>
      </c>
      <c r="J23" s="8">
        <v>50</v>
      </c>
      <c r="K23" s="5">
        <v>50</v>
      </c>
      <c r="L23" s="78"/>
      <c r="M23" s="86">
        <v>50</v>
      </c>
      <c r="N23" s="78"/>
      <c r="O23" s="86">
        <v>50</v>
      </c>
      <c r="P23" s="73"/>
      <c r="Q23" s="87">
        <v>50</v>
      </c>
      <c r="R23" s="80">
        <v>50</v>
      </c>
      <c r="S23" s="81">
        <v>50</v>
      </c>
      <c r="T23" s="76"/>
      <c r="U23" s="65"/>
      <c r="V23" s="3"/>
      <c r="W23" s="3"/>
      <c r="X23" s="3"/>
      <c r="Y23" s="756"/>
      <c r="Z23" s="3"/>
      <c r="AA23" s="3"/>
      <c r="AB23" s="3"/>
      <c r="AC23" s="3"/>
      <c r="AD23" s="3"/>
      <c r="AE23" s="3"/>
      <c r="AF23" s="12"/>
      <c r="AG23" s="88"/>
      <c r="AH23" s="54"/>
      <c r="AI23" s="54"/>
      <c r="AJ23" s="54"/>
      <c r="AK23" s="54"/>
      <c r="AL23" s="54"/>
      <c r="AM23" s="54"/>
      <c r="AN23" s="89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3"/>
      <c r="BD23" s="3"/>
      <c r="BE23" s="23"/>
    </row>
    <row r="24" spans="1:57" ht="24" thickBot="1" x14ac:dyDescent="0.3">
      <c r="A24" s="19"/>
      <c r="B24" s="19"/>
      <c r="C24" s="19"/>
      <c r="D24" s="20"/>
      <c r="E24" s="701"/>
      <c r="F24" s="702"/>
      <c r="G24" s="111"/>
      <c r="H24" s="90"/>
      <c r="I24" s="72" t="s">
        <v>25</v>
      </c>
      <c r="J24" s="72" t="s">
        <v>25</v>
      </c>
      <c r="K24" s="72" t="s">
        <v>25</v>
      </c>
      <c r="L24" s="69"/>
      <c r="M24" s="72" t="s">
        <v>25</v>
      </c>
      <c r="N24" s="69"/>
      <c r="O24" s="72" t="s">
        <v>25</v>
      </c>
      <c r="P24" s="69"/>
      <c r="Q24" s="72" t="s">
        <v>25</v>
      </c>
      <c r="R24" s="74" t="s">
        <v>25</v>
      </c>
      <c r="S24" s="72" t="s">
        <v>25</v>
      </c>
      <c r="T24" s="69"/>
      <c r="V24" s="3"/>
      <c r="W24" s="3"/>
      <c r="X24" s="3"/>
      <c r="Y24" s="757"/>
      <c r="Z24" s="3"/>
      <c r="AA24" s="3"/>
      <c r="AB24" s="3"/>
      <c r="AC24" s="3"/>
      <c r="AD24" s="3"/>
      <c r="AE24" s="3"/>
      <c r="AF24" s="91"/>
      <c r="AG24" s="760"/>
      <c r="AH24" s="761"/>
      <c r="AI24" s="761"/>
      <c r="AJ24" s="761"/>
      <c r="AK24" s="761"/>
      <c r="AL24" s="762"/>
      <c r="AM24" s="92"/>
      <c r="AN24" s="93"/>
      <c r="AO24" s="92"/>
      <c r="AP24" s="93"/>
      <c r="AQ24" s="92"/>
      <c r="AR24" s="93"/>
      <c r="AS24" s="92"/>
      <c r="AT24" s="3"/>
      <c r="AU24" s="3"/>
      <c r="AV24" s="3"/>
      <c r="AW24" s="3"/>
      <c r="AX24" s="3"/>
      <c r="AY24" s="3"/>
      <c r="AZ24" s="3"/>
      <c r="BA24" s="3"/>
      <c r="BB24" s="3"/>
      <c r="BC24" s="94"/>
      <c r="BD24" s="94"/>
      <c r="BE24" s="23"/>
    </row>
    <row r="25" spans="1:57" ht="23.25" x14ac:dyDescent="0.25">
      <c r="A25" s="19"/>
      <c r="B25" s="19"/>
      <c r="C25" s="19"/>
      <c r="D25" s="20"/>
      <c r="E25" s="701"/>
      <c r="F25" s="702"/>
      <c r="G25" s="111"/>
      <c r="H25" s="25"/>
      <c r="I25" s="25"/>
      <c r="J25" s="25"/>
      <c r="K25" s="25"/>
      <c r="M25" s="69">
        <v>8</v>
      </c>
      <c r="O25" s="69">
        <v>7</v>
      </c>
      <c r="P25" s="70"/>
      <c r="Q25" s="69">
        <v>8</v>
      </c>
      <c r="R25" s="69">
        <v>7</v>
      </c>
      <c r="S25" s="69">
        <v>6</v>
      </c>
      <c r="T25" s="65"/>
      <c r="U25" s="3"/>
      <c r="V25" s="3"/>
      <c r="W25" s="3"/>
      <c r="X25" s="3"/>
      <c r="Y25" s="755"/>
      <c r="Z25" s="1"/>
      <c r="AA25" s="1"/>
      <c r="AB25" s="1"/>
      <c r="AC25" s="1"/>
      <c r="AD25" s="1"/>
      <c r="AE25" s="1"/>
      <c r="AF25" s="12"/>
      <c r="AG25" s="763"/>
      <c r="AH25" s="764"/>
      <c r="AI25" s="764"/>
      <c r="AJ25" s="764"/>
      <c r="AK25" s="764"/>
      <c r="AL25" s="765"/>
      <c r="AM25" s="96"/>
      <c r="AN25" s="97"/>
      <c r="AO25" s="96"/>
      <c r="AP25" s="97"/>
      <c r="AQ25" s="96"/>
      <c r="AR25" s="97"/>
      <c r="AS25" s="98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23"/>
    </row>
    <row r="26" spans="1:57" ht="23.25" x14ac:dyDescent="0.3">
      <c r="A26" s="19"/>
      <c r="C26" s="99"/>
      <c r="D26" s="20"/>
      <c r="E26" s="701"/>
      <c r="F26" s="702"/>
      <c r="G26" s="111"/>
      <c r="H26" s="100"/>
      <c r="I26" s="100"/>
      <c r="J26" s="100"/>
      <c r="K26" s="101"/>
      <c r="L26" s="101"/>
      <c r="Q26" s="70"/>
      <c r="R26" s="70"/>
      <c r="S26" s="102"/>
      <c r="T26" s="37"/>
      <c r="U26" s="3"/>
      <c r="V26" s="3"/>
      <c r="W26" s="3"/>
      <c r="X26" s="3"/>
      <c r="Y26" s="756"/>
      <c r="Z26" s="1"/>
      <c r="AA26" s="1"/>
      <c r="AB26" s="1"/>
      <c r="AC26" s="1"/>
      <c r="AD26" s="1"/>
      <c r="AE26" s="1"/>
      <c r="AF26" s="12"/>
      <c r="AG26" s="763"/>
      <c r="AH26" s="764"/>
      <c r="AI26" s="764"/>
      <c r="AJ26" s="764"/>
      <c r="AK26" s="764"/>
      <c r="AL26" s="765"/>
      <c r="AM26" s="103"/>
      <c r="AN26" s="96"/>
      <c r="AO26" s="92"/>
      <c r="AP26" s="96"/>
      <c r="AQ26" s="103"/>
      <c r="AR26" s="96"/>
      <c r="AS26" s="98"/>
      <c r="AT26" s="3"/>
      <c r="AU26" s="3"/>
      <c r="AV26" s="3"/>
      <c r="AW26" s="3"/>
      <c r="AX26" s="3"/>
      <c r="AY26" s="3"/>
      <c r="AZ26" s="3"/>
      <c r="BA26" s="3"/>
      <c r="BB26" s="3"/>
      <c r="BC26" s="1"/>
      <c r="BD26" s="3"/>
      <c r="BE26" s="23"/>
    </row>
    <row r="27" spans="1:57" ht="18.75" x14ac:dyDescent="0.25">
      <c r="A27" s="19"/>
      <c r="C27" s="99"/>
      <c r="D27" s="20"/>
      <c r="E27" s="701"/>
      <c r="F27" s="111"/>
      <c r="G27" s="111"/>
      <c r="H27" s="111"/>
      <c r="I27" s="113"/>
      <c r="J27" s="111"/>
      <c r="K27" s="111"/>
      <c r="L27" s="113"/>
      <c r="M27" s="113"/>
      <c r="N27" s="45"/>
      <c r="O27" s="45"/>
      <c r="P27" s="45"/>
      <c r="S27" s="45"/>
      <c r="T27" s="37"/>
      <c r="U27" s="3"/>
      <c r="V27" s="3"/>
      <c r="W27" s="3"/>
      <c r="X27" s="3"/>
      <c r="Y27" s="756"/>
      <c r="Z27" s="1"/>
      <c r="AA27" s="1"/>
      <c r="AB27" s="1"/>
      <c r="AC27" s="1"/>
      <c r="AD27" s="1"/>
      <c r="AE27" s="1"/>
      <c r="AF27" s="68"/>
      <c r="AG27" s="763"/>
      <c r="AH27" s="764"/>
      <c r="AI27" s="764"/>
      <c r="AJ27" s="764"/>
      <c r="AK27" s="764"/>
      <c r="AL27" s="765"/>
      <c r="AM27" s="103"/>
      <c r="AN27" s="737"/>
      <c r="AO27" s="737"/>
      <c r="AP27" s="737"/>
      <c r="AQ27" s="737"/>
      <c r="AR27" s="737"/>
      <c r="AS27" s="98"/>
      <c r="AT27" s="3"/>
      <c r="AU27" s="3"/>
      <c r="AV27" s="3"/>
      <c r="AW27" s="3"/>
      <c r="AX27" s="3"/>
      <c r="AY27" s="3"/>
      <c r="AZ27" s="3"/>
      <c r="BA27" s="3"/>
      <c r="BB27" s="3"/>
      <c r="BC27" s="1"/>
      <c r="BD27" s="3"/>
      <c r="BE27" s="23"/>
    </row>
    <row r="28" spans="1:57" ht="24" thickBot="1" x14ac:dyDescent="0.3">
      <c r="A28" s="19"/>
      <c r="C28" s="99"/>
      <c r="D28" s="20"/>
      <c r="E28" s="701"/>
      <c r="F28" s="111"/>
      <c r="G28" s="111"/>
      <c r="H28" s="111"/>
      <c r="I28" s="704"/>
      <c r="J28" s="704"/>
      <c r="K28" s="704"/>
      <c r="L28" s="704"/>
      <c r="M28" s="705"/>
      <c r="O28" s="111"/>
      <c r="P28" s="702"/>
      <c r="Q28" s="707"/>
      <c r="R28" s="707"/>
      <c r="S28" s="707"/>
      <c r="T28" s="702"/>
      <c r="U28" s="708"/>
      <c r="V28" s="98"/>
      <c r="W28" s="3"/>
      <c r="X28" s="3"/>
      <c r="Y28" s="756"/>
      <c r="Z28" s="1"/>
      <c r="AA28" s="1"/>
      <c r="AB28" s="1"/>
      <c r="AC28" s="1"/>
      <c r="AD28" s="1"/>
      <c r="AE28" s="1"/>
      <c r="AF28" s="12"/>
      <c r="AG28" s="766"/>
      <c r="AH28" s="767"/>
      <c r="AI28" s="767"/>
      <c r="AJ28" s="767"/>
      <c r="AK28" s="767"/>
      <c r="AL28" s="768"/>
      <c r="AM28" s="109"/>
      <c r="AN28" s="103"/>
      <c r="AO28" s="103"/>
      <c r="AP28" s="92"/>
      <c r="AQ28" s="110"/>
      <c r="AR28" s="98"/>
      <c r="AS28" s="98"/>
      <c r="AV28" s="111"/>
      <c r="AW28" s="111"/>
      <c r="AX28" s="111"/>
      <c r="AY28" s="111"/>
      <c r="AZ28" s="98"/>
      <c r="BA28" s="98"/>
      <c r="BB28" s="98"/>
      <c r="BC28" s="156"/>
      <c r="BD28" s="98"/>
      <c r="BE28" s="23"/>
    </row>
    <row r="29" spans="1:57" ht="15.75" x14ac:dyDescent="0.25">
      <c r="A29" s="19"/>
      <c r="B29" s="19"/>
      <c r="C29" s="19"/>
      <c r="D29" s="20"/>
      <c r="E29" s="701"/>
      <c r="F29" s="703"/>
      <c r="G29" s="111"/>
      <c r="H29" s="111"/>
      <c r="I29" s="701"/>
      <c r="J29" s="701"/>
      <c r="K29" s="701"/>
      <c r="L29" s="701"/>
      <c r="M29" s="111"/>
      <c r="O29" s="111"/>
      <c r="P29" s="701"/>
      <c r="Q29" s="701"/>
      <c r="R29" s="701"/>
      <c r="S29" s="701"/>
      <c r="T29" s="701"/>
      <c r="U29" s="709"/>
      <c r="V29" s="98"/>
      <c r="W29" s="3"/>
      <c r="X29" s="3"/>
      <c r="Y29" s="756"/>
      <c r="Z29" s="1"/>
      <c r="AA29" s="1"/>
      <c r="AB29" s="1"/>
      <c r="AC29" s="1"/>
      <c r="AD29" s="1"/>
      <c r="AE29" s="1"/>
      <c r="AF29" s="12"/>
      <c r="AG29" s="98"/>
      <c r="AH29" s="98"/>
      <c r="AI29" s="111"/>
      <c r="AJ29" s="98"/>
      <c r="AK29" s="98"/>
      <c r="AL29" s="98"/>
      <c r="AM29" s="98"/>
      <c r="AN29" s="103"/>
      <c r="AO29" s="103"/>
      <c r="AP29" s="110"/>
      <c r="AQ29" s="110"/>
      <c r="AR29" s="738"/>
      <c r="AS29" s="738"/>
      <c r="AV29" s="111"/>
      <c r="AW29" s="111"/>
      <c r="AX29" s="111"/>
      <c r="AY29" s="111"/>
      <c r="AZ29" s="111"/>
      <c r="BA29" s="111"/>
      <c r="BB29" s="111"/>
      <c r="BC29" s="156"/>
      <c r="BD29" s="98"/>
      <c r="BE29" s="23"/>
    </row>
    <row r="30" spans="1:57" ht="15.75" x14ac:dyDescent="0.25">
      <c r="A30" s="19"/>
      <c r="B30" s="19"/>
      <c r="C30" s="19"/>
      <c r="D30" s="20"/>
      <c r="E30" s="701"/>
      <c r="F30" s="703"/>
      <c r="G30" s="111"/>
      <c r="H30" s="111"/>
      <c r="I30" s="701"/>
      <c r="J30" s="701"/>
      <c r="K30" s="701"/>
      <c r="L30" s="701"/>
      <c r="M30" s="111"/>
      <c r="O30" s="111"/>
      <c r="P30" s="701"/>
      <c r="Q30" s="701"/>
      <c r="R30" s="701"/>
      <c r="S30" s="701"/>
      <c r="T30" s="701"/>
      <c r="U30" s="98"/>
      <c r="V30" s="98"/>
      <c r="W30" s="3"/>
      <c r="X30" s="3"/>
      <c r="Y30" s="756"/>
      <c r="Z30" s="3"/>
      <c r="AA30" s="3"/>
      <c r="AB30" s="3"/>
      <c r="AC30" s="3"/>
      <c r="AD30" s="3"/>
      <c r="AE30" s="3"/>
      <c r="AF30" s="12"/>
      <c r="AG30" s="98"/>
      <c r="AH30" s="92"/>
      <c r="AI30" s="92"/>
      <c r="AJ30" s="92"/>
      <c r="AK30" s="98"/>
      <c r="AL30" s="111"/>
      <c r="AM30" s="111"/>
      <c r="AN30" s="98"/>
      <c r="AO30" s="92"/>
      <c r="AP30" s="110"/>
      <c r="AQ30" s="113"/>
      <c r="AR30" s="114"/>
      <c r="AS30" s="98"/>
      <c r="AV30" s="111"/>
      <c r="AW30" s="737"/>
      <c r="AX30" s="737"/>
      <c r="AY30" s="737"/>
      <c r="AZ30" s="737"/>
      <c r="BA30" s="737"/>
      <c r="BB30" s="111"/>
      <c r="BC30" s="156"/>
      <c r="BD30" s="98"/>
      <c r="BE30" s="23"/>
    </row>
    <row r="31" spans="1:57" ht="26.25" x14ac:dyDescent="0.25">
      <c r="A31" s="19"/>
      <c r="B31" s="19"/>
      <c r="C31" s="19"/>
      <c r="D31" s="20"/>
      <c r="E31" s="739"/>
      <c r="F31" s="740"/>
      <c r="G31" s="111"/>
      <c r="H31" s="111"/>
      <c r="I31" s="704"/>
      <c r="J31" s="704"/>
      <c r="K31" s="704"/>
      <c r="L31" s="704"/>
      <c r="M31" s="111"/>
      <c r="O31" s="111"/>
      <c r="P31" s="702"/>
      <c r="Q31" s="707"/>
      <c r="R31" s="707"/>
      <c r="S31" s="707"/>
      <c r="T31" s="702"/>
      <c r="U31" s="156"/>
      <c r="V31" s="156"/>
      <c r="W31" s="3"/>
      <c r="X31" s="3"/>
      <c r="Y31" s="756"/>
      <c r="Z31" s="3"/>
      <c r="AA31" s="3"/>
      <c r="AB31" s="1"/>
      <c r="AC31" s="1"/>
      <c r="AD31" s="1"/>
      <c r="AE31" s="1"/>
      <c r="AF31" s="68"/>
      <c r="AG31" s="115"/>
      <c r="AH31" s="116"/>
      <c r="AI31" s="117"/>
      <c r="AJ31" s="93"/>
      <c r="AK31" s="118"/>
      <c r="AL31" s="119"/>
      <c r="AM31" s="115"/>
      <c r="AN31" s="116"/>
      <c r="AQ31" s="116"/>
      <c r="AR31" s="119"/>
      <c r="AS31" s="111"/>
      <c r="AV31" s="111"/>
      <c r="AW31" s="96"/>
      <c r="AX31" s="111"/>
      <c r="AY31" s="96"/>
      <c r="AZ31" s="111"/>
      <c r="BA31" s="96"/>
      <c r="BB31" s="741"/>
      <c r="BC31" s="98"/>
      <c r="BD31" s="98"/>
      <c r="BE31" s="23"/>
    </row>
    <row r="32" spans="1:57" ht="15.75" x14ac:dyDescent="0.25">
      <c r="A32" s="19"/>
      <c r="B32" s="19"/>
      <c r="C32" s="19"/>
      <c r="D32" s="20"/>
      <c r="E32" s="111"/>
      <c r="F32" s="103"/>
      <c r="G32" s="111"/>
      <c r="H32" s="111"/>
      <c r="I32" s="111"/>
      <c r="J32" s="111"/>
      <c r="K32" s="111"/>
      <c r="L32" s="111"/>
      <c r="M32" s="111"/>
      <c r="O32" s="111"/>
      <c r="P32" s="111"/>
      <c r="Q32" s="111"/>
      <c r="R32" s="111"/>
      <c r="S32" s="113"/>
      <c r="T32" s="98"/>
      <c r="U32" s="156"/>
      <c r="V32" s="98"/>
      <c r="W32" s="3"/>
      <c r="X32" s="3"/>
      <c r="Y32" s="756"/>
      <c r="Z32" s="3"/>
      <c r="AA32" s="3"/>
      <c r="AB32" s="3"/>
      <c r="AC32" s="3"/>
      <c r="AD32" s="3"/>
      <c r="AE32" s="3"/>
      <c r="AF32" s="12"/>
      <c r="AG32" s="120"/>
      <c r="AH32" s="121"/>
      <c r="AI32" s="92"/>
      <c r="AJ32" s="92"/>
      <c r="AK32" s="96"/>
      <c r="AL32" s="122"/>
      <c r="AM32" s="123"/>
      <c r="AN32" s="121"/>
      <c r="AO32" s="92"/>
      <c r="AP32" s="92"/>
      <c r="AQ32" s="96"/>
      <c r="AR32" s="124"/>
      <c r="AS32" s="98"/>
      <c r="AV32" s="96"/>
      <c r="AW32" s="97"/>
      <c r="AX32" s="96"/>
      <c r="AY32" s="97"/>
      <c r="AZ32" s="96"/>
      <c r="BA32" s="97"/>
      <c r="BB32" s="741"/>
      <c r="BC32" s="98"/>
      <c r="BD32" s="98"/>
      <c r="BE32" s="23"/>
    </row>
    <row r="33" spans="1:57" ht="18" x14ac:dyDescent="0.25">
      <c r="A33" s="19"/>
      <c r="B33" s="19"/>
      <c r="C33" s="19"/>
      <c r="D33" s="20"/>
      <c r="F33" s="16"/>
      <c r="H33" s="111"/>
      <c r="I33" s="111"/>
      <c r="J33" s="111"/>
      <c r="K33" s="111"/>
      <c r="L33" s="111"/>
      <c r="M33" s="111"/>
      <c r="O33" s="111"/>
      <c r="P33" s="111"/>
      <c r="Q33" s="125"/>
      <c r="R33" s="98"/>
      <c r="S33" s="98"/>
      <c r="T33" s="98"/>
      <c r="U33" s="98"/>
      <c r="V33" s="156"/>
      <c r="W33" s="3"/>
      <c r="X33" s="3"/>
      <c r="Y33" s="756"/>
      <c r="Z33" s="3"/>
      <c r="AA33" s="3"/>
      <c r="AB33" s="3"/>
      <c r="AC33" s="3"/>
      <c r="AD33" s="3"/>
      <c r="AE33" s="3"/>
      <c r="AF33" s="12"/>
      <c r="AG33" s="126"/>
      <c r="AH33" s="121"/>
      <c r="AI33" s="96"/>
      <c r="AJ33" s="96"/>
      <c r="AK33" s="111"/>
      <c r="AL33" s="719"/>
      <c r="AM33" s="123"/>
      <c r="AN33" s="123"/>
      <c r="AO33" s="123"/>
      <c r="AP33" s="123"/>
      <c r="AQ33" s="123"/>
      <c r="AR33" s="123"/>
      <c r="AT33" s="3"/>
      <c r="AU33" s="3"/>
      <c r="AV33" s="92"/>
      <c r="AW33" s="93"/>
      <c r="AX33" s="92"/>
      <c r="AY33" s="127"/>
      <c r="AZ33" s="92"/>
      <c r="BA33" s="117"/>
      <c r="BB33" s="92"/>
      <c r="BC33" s="98"/>
      <c r="BD33" s="163"/>
      <c r="BE33" s="128"/>
    </row>
    <row r="34" spans="1:57" ht="20.25" x14ac:dyDescent="0.25">
      <c r="A34" s="19"/>
      <c r="B34" s="19"/>
      <c r="C34" s="19"/>
      <c r="D34" s="20"/>
      <c r="E34" s="111"/>
      <c r="F34" s="111"/>
      <c r="G34" s="103"/>
      <c r="H34" s="111"/>
      <c r="I34" s="111"/>
      <c r="J34" s="111"/>
      <c r="K34" s="113"/>
      <c r="L34" s="706"/>
      <c r="M34" s="25">
        <v>1</v>
      </c>
      <c r="N34" s="25">
        <v>2</v>
      </c>
      <c r="O34" s="25">
        <v>3</v>
      </c>
      <c r="P34" s="45"/>
      <c r="Q34" s="130"/>
      <c r="R34" s="111"/>
      <c r="S34" s="111"/>
      <c r="U34" s="3"/>
      <c r="V34" s="3"/>
      <c r="W34" s="3"/>
      <c r="X34" s="3"/>
      <c r="Y34" s="756"/>
      <c r="Z34" s="3"/>
      <c r="AA34" s="3"/>
      <c r="AB34" s="3"/>
      <c r="AC34" s="3"/>
      <c r="AD34" s="3"/>
      <c r="AE34" s="3"/>
      <c r="AF34" s="12"/>
      <c r="AG34" s="126"/>
      <c r="AH34" s="96"/>
      <c r="AI34" s="92"/>
      <c r="AJ34" s="92"/>
      <c r="AK34" s="96"/>
      <c r="AL34" s="719"/>
      <c r="AU34" s="3"/>
      <c r="AV34" s="92"/>
      <c r="AW34" s="93"/>
      <c r="AX34" s="92"/>
      <c r="AY34" s="131"/>
      <c r="AZ34" s="92"/>
      <c r="BA34" s="93"/>
      <c r="BB34" s="92"/>
      <c r="BC34" s="98"/>
      <c r="BD34" s="163"/>
      <c r="BE34" s="128"/>
    </row>
    <row r="35" spans="1:57" ht="18" x14ac:dyDescent="0.25">
      <c r="A35" s="19"/>
      <c r="B35" s="3"/>
      <c r="C35" s="3"/>
      <c r="D35" s="12"/>
      <c r="E35" s="111"/>
      <c r="F35" s="111"/>
      <c r="G35" s="708"/>
      <c r="H35" s="717"/>
      <c r="I35" s="717"/>
      <c r="J35" s="717"/>
      <c r="K35" s="111"/>
      <c r="L35" s="17" t="s">
        <v>47</v>
      </c>
      <c r="M35" s="133" t="s">
        <v>48</v>
      </c>
      <c r="N35" s="133" t="s">
        <v>48</v>
      </c>
      <c r="O35" s="133" t="s">
        <v>48</v>
      </c>
      <c r="P35" s="25"/>
      <c r="Q35" s="134"/>
      <c r="R35" s="98"/>
      <c r="S35" s="98"/>
      <c r="U35" s="3"/>
      <c r="V35" s="1"/>
      <c r="W35" s="3"/>
      <c r="X35" s="3"/>
      <c r="Y35" s="756"/>
      <c r="Z35" s="75"/>
      <c r="AA35" s="3"/>
      <c r="AB35" s="3"/>
      <c r="AC35" s="3"/>
      <c r="AD35" s="3"/>
      <c r="AE35" s="3"/>
      <c r="AF35" s="12"/>
      <c r="AH35" s="111"/>
      <c r="AI35" s="111"/>
      <c r="AJ35" s="111"/>
      <c r="AK35" s="111"/>
      <c r="AL35" s="111"/>
      <c r="AN35" s="123"/>
      <c r="AO35" s="17" t="s">
        <v>49</v>
      </c>
      <c r="AP35" s="4"/>
      <c r="AQ35" s="4"/>
      <c r="AR35" s="25"/>
      <c r="AS35" s="135"/>
      <c r="AT35" s="3"/>
      <c r="AU35" s="3"/>
      <c r="AV35" s="96"/>
      <c r="AW35" s="97"/>
      <c r="AX35" s="96"/>
      <c r="AY35" s="97"/>
      <c r="AZ35" s="96"/>
      <c r="BA35" s="97"/>
      <c r="BB35" s="136"/>
      <c r="BC35" s="98"/>
      <c r="BD35" s="721"/>
      <c r="BE35" s="128"/>
    </row>
    <row r="36" spans="1:57" ht="18.75" thickBot="1" x14ac:dyDescent="0.3">
      <c r="A36" s="19"/>
      <c r="B36" s="3"/>
      <c r="C36" s="3"/>
      <c r="D36" s="12"/>
      <c r="E36" s="718"/>
      <c r="F36" s="111"/>
      <c r="G36" s="111"/>
      <c r="H36" s="701"/>
      <c r="I36" s="701"/>
      <c r="J36" s="701"/>
      <c r="K36" s="111"/>
      <c r="L36" s="133"/>
      <c r="M36" s="85">
        <v>50</v>
      </c>
      <c r="N36" s="77">
        <v>50</v>
      </c>
      <c r="O36" s="6">
        <v>50</v>
      </c>
      <c r="P36" s="133"/>
      <c r="Q36" s="140"/>
      <c r="R36" s="111"/>
      <c r="S36" s="111"/>
      <c r="U36" s="3"/>
      <c r="V36" s="1"/>
      <c r="W36" s="3"/>
      <c r="X36" s="3"/>
      <c r="Y36" s="757"/>
      <c r="Z36" s="711"/>
      <c r="AA36" s="697"/>
      <c r="AB36" s="697"/>
      <c r="AC36" s="697"/>
      <c r="AD36" s="697"/>
      <c r="AE36" s="697"/>
      <c r="AF36" s="141"/>
      <c r="AG36" s="57"/>
      <c r="AH36" s="121"/>
      <c r="AI36" s="92"/>
      <c r="AJ36" s="718"/>
      <c r="AK36" s="718"/>
      <c r="AL36" s="111"/>
      <c r="AN36" s="143">
        <v>1</v>
      </c>
      <c r="AO36" s="144" t="s">
        <v>48</v>
      </c>
      <c r="AP36" s="145">
        <v>50</v>
      </c>
      <c r="AQ36" s="146">
        <v>25</v>
      </c>
      <c r="AR36" s="144" t="s">
        <v>11</v>
      </c>
      <c r="AS36" s="147">
        <v>10</v>
      </c>
      <c r="AT36" s="3"/>
      <c r="AU36" s="3"/>
      <c r="AV36" s="111"/>
      <c r="AW36" s="96"/>
      <c r="AX36" s="111"/>
      <c r="AY36" s="96"/>
      <c r="AZ36" s="111"/>
      <c r="BA36" s="96"/>
      <c r="BB36" s="111"/>
      <c r="BC36" s="98"/>
      <c r="BD36" s="721"/>
      <c r="BE36" s="128"/>
    </row>
    <row r="37" spans="1:57" ht="18" x14ac:dyDescent="0.25">
      <c r="A37" s="19"/>
      <c r="B37" s="3"/>
      <c r="C37" s="3"/>
      <c r="D37" s="12"/>
      <c r="E37" s="111"/>
      <c r="F37" s="111"/>
      <c r="G37" s="111"/>
      <c r="H37" s="701"/>
      <c r="I37" s="701"/>
      <c r="J37" s="701"/>
      <c r="K37" s="111"/>
      <c r="L37" s="133"/>
      <c r="M37" s="8">
        <v>50</v>
      </c>
      <c r="N37" s="7">
        <v>50</v>
      </c>
      <c r="O37" s="145">
        <v>50</v>
      </c>
      <c r="P37" s="133"/>
      <c r="Q37" s="140"/>
      <c r="R37" s="98"/>
      <c r="S37" s="98"/>
      <c r="U37" s="3"/>
      <c r="V37" s="1"/>
      <c r="W37" s="3"/>
      <c r="X37" s="3"/>
      <c r="Y37" s="710"/>
      <c r="Z37" s="690"/>
      <c r="AA37" s="690"/>
      <c r="AB37" s="690"/>
      <c r="AC37" s="690"/>
      <c r="AD37" s="98"/>
      <c r="AE37" s="111"/>
      <c r="AF37" s="149"/>
      <c r="AH37" s="111"/>
      <c r="AI37" s="111"/>
      <c r="AJ37" s="718"/>
      <c r="AK37" s="718"/>
      <c r="AL37" s="111"/>
      <c r="AN37" s="143">
        <v>2</v>
      </c>
      <c r="AO37" s="144" t="s">
        <v>48</v>
      </c>
      <c r="AP37" s="9">
        <v>50</v>
      </c>
      <c r="AQ37" s="150">
        <v>25</v>
      </c>
      <c r="AR37" s="144" t="s">
        <v>11</v>
      </c>
      <c r="AS37" s="147">
        <v>9</v>
      </c>
      <c r="AT37" s="3"/>
      <c r="AU37" s="3"/>
      <c r="AV37" s="111"/>
      <c r="AW37" s="111"/>
      <c r="AX37" s="111"/>
      <c r="AY37" s="111"/>
      <c r="AZ37" s="111"/>
      <c r="BA37" s="111"/>
      <c r="BB37" s="111"/>
      <c r="BC37" s="98"/>
      <c r="BD37" s="721"/>
      <c r="BE37" s="128"/>
    </row>
    <row r="38" spans="1:57" ht="20.25" x14ac:dyDescent="0.25">
      <c r="A38" s="19"/>
      <c r="B38" s="3"/>
      <c r="C38" s="3"/>
      <c r="D38" s="12"/>
      <c r="E38" s="718"/>
      <c r="F38" s="111"/>
      <c r="G38" s="151"/>
      <c r="H38" s="717"/>
      <c r="I38" s="717"/>
      <c r="J38" s="717"/>
      <c r="K38" s="117"/>
      <c r="L38" s="25"/>
      <c r="M38" s="133" t="s">
        <v>48</v>
      </c>
      <c r="N38" s="133" t="s">
        <v>48</v>
      </c>
      <c r="O38" s="133" t="s">
        <v>48</v>
      </c>
      <c r="P38" s="25"/>
      <c r="Q38" s="134"/>
      <c r="R38" s="111"/>
      <c r="S38" s="111"/>
      <c r="U38" s="3"/>
      <c r="V38" s="1"/>
      <c r="W38" s="3"/>
      <c r="X38" s="148"/>
      <c r="Y38" s="3"/>
      <c r="Z38" s="712"/>
      <c r="AA38" s="712"/>
      <c r="AB38" s="98"/>
      <c r="AC38" s="98"/>
      <c r="AD38" s="98"/>
      <c r="AE38" s="98"/>
      <c r="AF38" s="3"/>
      <c r="AG38" s="57"/>
      <c r="AH38" s="111"/>
      <c r="AI38" s="130"/>
      <c r="AJ38" s="720"/>
      <c r="AK38" s="720"/>
      <c r="AL38" s="111"/>
      <c r="AN38" s="143">
        <v>3</v>
      </c>
      <c r="AO38" s="144" t="s">
        <v>48</v>
      </c>
      <c r="AP38" s="145">
        <v>50</v>
      </c>
      <c r="AQ38" s="146">
        <v>25</v>
      </c>
      <c r="AR38" s="144" t="s">
        <v>11</v>
      </c>
      <c r="AS38" s="147">
        <v>8</v>
      </c>
      <c r="AT38" s="3"/>
      <c r="AU38" s="3"/>
      <c r="BC38" s="111"/>
      <c r="BD38" s="163"/>
      <c r="BE38" s="128"/>
    </row>
    <row r="39" spans="1:57" ht="20.25" x14ac:dyDescent="0.25">
      <c r="A39" s="19"/>
      <c r="B39" s="3"/>
      <c r="C39" s="3"/>
      <c r="D39" s="12"/>
      <c r="E39" s="111"/>
      <c r="F39" s="111"/>
      <c r="G39" s="151"/>
      <c r="H39" s="98"/>
      <c r="I39" s="151"/>
      <c r="J39" s="116"/>
      <c r="K39" s="153"/>
      <c r="L39" s="116"/>
      <c r="M39" s="25">
        <v>4</v>
      </c>
      <c r="N39" s="25">
        <v>5</v>
      </c>
      <c r="O39" s="25">
        <v>6</v>
      </c>
      <c r="P39" s="130"/>
      <c r="Q39" s="130"/>
      <c r="R39" s="111"/>
      <c r="S39" s="111"/>
      <c r="T39" s="1"/>
      <c r="U39" s="1"/>
      <c r="V39" s="1"/>
      <c r="W39" s="3"/>
      <c r="X39" s="3"/>
      <c r="Y39" s="3"/>
      <c r="Z39" s="114"/>
      <c r="AA39" s="114"/>
      <c r="AB39" s="98"/>
      <c r="AC39" s="98"/>
      <c r="AD39" s="98"/>
      <c r="AE39" s="98"/>
      <c r="AF39" s="149"/>
      <c r="AG39" s="57"/>
      <c r="AH39" s="130"/>
      <c r="AI39" s="134"/>
      <c r="AJ39" s="719"/>
      <c r="AK39" s="719"/>
      <c r="AL39" s="111"/>
      <c r="AM39" s="115"/>
      <c r="AN39" s="143">
        <v>4</v>
      </c>
      <c r="AO39" s="144" t="s">
        <v>48</v>
      </c>
      <c r="AP39" s="9">
        <v>50</v>
      </c>
      <c r="AQ39" s="150">
        <v>25</v>
      </c>
      <c r="AR39" s="144" t="s">
        <v>11</v>
      </c>
      <c r="AS39" s="147">
        <v>7</v>
      </c>
      <c r="AT39" s="3"/>
      <c r="AU39" s="3"/>
      <c r="BC39" s="712"/>
      <c r="BD39" s="163"/>
      <c r="BE39" s="128"/>
    </row>
    <row r="40" spans="1:57" ht="21.75" thickBot="1" x14ac:dyDescent="0.4">
      <c r="A40" s="19"/>
      <c r="B40" s="1"/>
      <c r="C40" s="3"/>
      <c r="D40" s="12"/>
      <c r="E40" s="718"/>
      <c r="F40" s="111"/>
      <c r="G40" s="154"/>
      <c r="H40" s="111"/>
      <c r="I40" s="151"/>
      <c r="J40" s="116"/>
      <c r="K40" s="153"/>
      <c r="L40" s="155"/>
      <c r="M40" s="155"/>
      <c r="N40" s="155"/>
      <c r="O40" s="155"/>
      <c r="P40" s="155"/>
      <c r="Q40" s="155"/>
      <c r="R40" s="156"/>
      <c r="S40" s="156"/>
      <c r="T40" s="1"/>
      <c r="U40" s="1"/>
      <c r="V40" s="1"/>
      <c r="W40" s="3"/>
      <c r="X40" s="3"/>
      <c r="Y40" s="3"/>
      <c r="Z40" s="83"/>
      <c r="AA40" s="157"/>
      <c r="AB40" s="3"/>
      <c r="AC40" s="3"/>
      <c r="AD40" s="1"/>
      <c r="AE40" s="3"/>
      <c r="AF40" s="3"/>
      <c r="AG40" s="115"/>
      <c r="AH40" s="111"/>
      <c r="AI40" s="111"/>
      <c r="AJ40" s="719"/>
      <c r="AK40" s="719"/>
      <c r="AL40" s="96"/>
      <c r="AM40" s="130"/>
      <c r="AN40" s="143">
        <v>5</v>
      </c>
      <c r="AO40" s="74" t="s">
        <v>25</v>
      </c>
      <c r="AP40" s="158">
        <v>50</v>
      </c>
      <c r="AQ40" s="159">
        <v>50</v>
      </c>
      <c r="AR40" s="74" t="s">
        <v>25</v>
      </c>
      <c r="AS40" s="147">
        <v>6</v>
      </c>
      <c r="AT40" s="160"/>
      <c r="AU40" s="161"/>
      <c r="BC40" s="98"/>
      <c r="BD40" s="163"/>
      <c r="BE40" s="128"/>
    </row>
    <row r="41" spans="1:57" ht="20.25" x14ac:dyDescent="0.3">
      <c r="A41" s="19"/>
      <c r="B41" s="3"/>
      <c r="C41" s="3"/>
      <c r="D41" s="12"/>
      <c r="E41" s="111"/>
      <c r="F41" s="156"/>
      <c r="G41" s="156"/>
      <c r="H41" s="156"/>
      <c r="I41" s="151"/>
      <c r="J41" s="116"/>
      <c r="K41" s="153"/>
      <c r="L41" s="111"/>
      <c r="M41" s="111"/>
      <c r="N41" s="156"/>
      <c r="O41" s="156"/>
      <c r="P41" s="156"/>
      <c r="Q41" s="156"/>
      <c r="R41" s="156"/>
      <c r="S41" s="156"/>
      <c r="T41" s="1"/>
      <c r="U41" s="1"/>
      <c r="V41" s="1"/>
      <c r="W41" s="3"/>
      <c r="X41" s="3"/>
      <c r="Y41" s="3"/>
      <c r="AA41" s="162"/>
      <c r="AB41" s="162"/>
      <c r="AC41" s="162"/>
      <c r="AD41" s="162"/>
      <c r="AE41" s="3"/>
      <c r="AF41" s="3"/>
      <c r="AG41" s="57"/>
      <c r="AH41" s="121"/>
      <c r="AI41" s="134"/>
      <c r="AJ41" s="134"/>
      <c r="AK41" s="130"/>
      <c r="AL41" s="111"/>
      <c r="AO41" s="25"/>
      <c r="AP41" s="74"/>
      <c r="AQ41" s="74"/>
      <c r="AR41" s="25"/>
      <c r="BC41" s="722"/>
      <c r="BD41" s="163"/>
      <c r="BE41" s="128"/>
    </row>
    <row r="42" spans="1:57" ht="18.75" x14ac:dyDescent="0.3">
      <c r="A42" s="19"/>
      <c r="B42" s="3"/>
      <c r="C42" s="3"/>
      <c r="D42" s="12"/>
      <c r="E42" s="718"/>
      <c r="F42" s="156"/>
      <c r="G42" s="156"/>
      <c r="H42" s="156"/>
      <c r="I42" s="156"/>
      <c r="J42" s="156"/>
      <c r="K42" s="1"/>
      <c r="N42" s="1"/>
      <c r="O42" s="1"/>
      <c r="P42" s="1"/>
      <c r="Q42" s="1"/>
      <c r="R42" s="1"/>
      <c r="S42" s="1"/>
      <c r="T42" s="1"/>
      <c r="U42" s="1"/>
      <c r="V42" s="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57"/>
      <c r="AH42" s="111"/>
      <c r="AI42" s="742"/>
      <c r="AJ42" s="742"/>
      <c r="AK42" s="111"/>
      <c r="AL42" s="111"/>
      <c r="AP42" s="25"/>
      <c r="AQ42" s="25"/>
      <c r="BB42" s="3"/>
      <c r="BC42" s="3"/>
      <c r="BD42" s="12"/>
      <c r="BE42" s="128"/>
    </row>
    <row r="43" spans="1:57" ht="16.5" thickBot="1" x14ac:dyDescent="0.3">
      <c r="A43" s="19"/>
      <c r="B43" s="3"/>
      <c r="C43" s="3"/>
      <c r="D43" s="12"/>
      <c r="E43" s="111"/>
      <c r="F43" s="156"/>
      <c r="G43" s="110"/>
      <c r="H43" s="156"/>
      <c r="I43" s="156"/>
      <c r="J43" s="156"/>
      <c r="K43" s="1"/>
      <c r="L43" s="1"/>
      <c r="M43" s="156"/>
      <c r="N43" s="156"/>
      <c r="O43" s="156"/>
      <c r="P43" s="156"/>
      <c r="Q43" s="156"/>
      <c r="R43" s="156"/>
      <c r="S43" s="1"/>
      <c r="T43" s="1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57"/>
      <c r="AG43" s="57"/>
      <c r="AH43" s="111"/>
      <c r="AI43" s="111"/>
      <c r="AJ43" s="111"/>
      <c r="AK43" s="111"/>
      <c r="AN43" s="96"/>
      <c r="AO43" s="96"/>
      <c r="AP43" s="96"/>
      <c r="AQ43" s="96"/>
      <c r="BB43" s="3"/>
      <c r="BC43" s="3"/>
      <c r="BD43" s="12"/>
      <c r="BE43" s="128"/>
    </row>
    <row r="44" spans="1:57" ht="15.75" x14ac:dyDescent="0.25">
      <c r="A44" s="19"/>
      <c r="B44" s="3"/>
      <c r="C44" s="3"/>
      <c r="D44" s="12"/>
      <c r="E44" s="725"/>
      <c r="F44" s="726"/>
      <c r="G44" s="726"/>
      <c r="H44" s="726"/>
      <c r="I44" s="726"/>
      <c r="J44" s="727"/>
      <c r="K44" s="1"/>
      <c r="L44" s="1"/>
      <c r="M44" s="156"/>
      <c r="N44" s="156"/>
      <c r="O44" s="156"/>
      <c r="P44" s="156"/>
      <c r="Q44" s="156"/>
      <c r="R44" s="156"/>
      <c r="S44" s="1"/>
      <c r="T44" s="156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110"/>
      <c r="AG44" s="57"/>
      <c r="BB44" s="1"/>
      <c r="BC44" s="3"/>
      <c r="BD44" s="12"/>
      <c r="BE44" s="128"/>
    </row>
    <row r="45" spans="1:57" ht="16.5" thickBot="1" x14ac:dyDescent="0.3">
      <c r="A45" s="19"/>
      <c r="B45" s="3"/>
      <c r="C45" s="3"/>
      <c r="D45" s="3"/>
      <c r="E45" s="728"/>
      <c r="F45" s="729"/>
      <c r="G45" s="729"/>
      <c r="H45" s="729"/>
      <c r="I45" s="729"/>
      <c r="J45" s="730"/>
      <c r="K45" s="96"/>
      <c r="L45" s="96"/>
      <c r="M45" s="96"/>
      <c r="N45" s="96"/>
      <c r="O45" s="96"/>
      <c r="P45" s="96"/>
      <c r="Q45" s="96"/>
      <c r="R45" s="96"/>
      <c r="S45" s="96"/>
      <c r="T45" s="156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163"/>
      <c r="AG45" s="96"/>
      <c r="AL45" s="96"/>
      <c r="AM45" s="96"/>
      <c r="AR45" s="96"/>
      <c r="AS45" s="161"/>
      <c r="AT45" s="161"/>
      <c r="AU45" s="161"/>
      <c r="AV45" s="161"/>
      <c r="AW45" s="161"/>
      <c r="AX45" s="161"/>
      <c r="AY45" s="161"/>
      <c r="AZ45" s="161"/>
      <c r="BA45" s="3"/>
      <c r="BB45" s="1"/>
      <c r="BC45" s="3"/>
      <c r="BD45" s="12"/>
      <c r="BE45" s="128"/>
    </row>
    <row r="46" spans="1:57" ht="34.5" thickBot="1" x14ac:dyDescent="0.3">
      <c r="A46" s="19"/>
      <c r="B46" s="3"/>
      <c r="C46" s="3"/>
      <c r="D46" s="3"/>
      <c r="E46" s="731"/>
      <c r="F46" s="732"/>
      <c r="G46" s="732"/>
      <c r="H46" s="732"/>
      <c r="I46" s="732"/>
      <c r="J46" s="733"/>
      <c r="K46" s="164"/>
      <c r="L46" s="164"/>
      <c r="M46" s="716"/>
      <c r="N46" s="716"/>
      <c r="O46" s="716"/>
      <c r="P46" s="716"/>
      <c r="Q46" s="716"/>
      <c r="R46" s="716"/>
      <c r="S46" s="164"/>
      <c r="T46" s="734"/>
      <c r="U46" s="735"/>
      <c r="V46" s="735"/>
      <c r="W46" s="735"/>
      <c r="X46" s="735"/>
      <c r="Y46" s="736"/>
      <c r="Z46" s="686"/>
      <c r="AA46" s="697"/>
      <c r="AB46" s="713"/>
      <c r="AC46" s="697"/>
      <c r="AD46" s="713"/>
      <c r="AE46" s="697"/>
      <c r="AF46" s="714"/>
      <c r="AG46" s="3"/>
      <c r="AZ46" s="46"/>
      <c r="BA46" s="3"/>
      <c r="BB46" s="3"/>
      <c r="BC46" s="3"/>
      <c r="BD46" s="168"/>
      <c r="BE46" s="128"/>
    </row>
    <row r="47" spans="1:57" ht="15.75" x14ac:dyDescent="0.25">
      <c r="A47" s="19"/>
      <c r="B47" s="3"/>
      <c r="C47" s="3"/>
      <c r="D47" s="3"/>
      <c r="E47" s="1"/>
      <c r="F47" s="1"/>
      <c r="G47" s="3"/>
      <c r="H47" s="3"/>
      <c r="I47" s="3"/>
      <c r="J47" s="57"/>
      <c r="K47" s="45"/>
      <c r="L47" s="45"/>
      <c r="M47" s="169"/>
      <c r="N47" s="45"/>
      <c r="O47" s="45"/>
      <c r="P47" s="45"/>
      <c r="Q47" s="45"/>
      <c r="R47" s="45"/>
      <c r="S47" s="45"/>
      <c r="T47" s="111"/>
      <c r="U47" s="111"/>
      <c r="V47" s="111"/>
      <c r="W47" s="111"/>
      <c r="X47" s="111"/>
      <c r="Y47" s="111"/>
      <c r="Z47" s="98"/>
      <c r="AA47" s="98"/>
      <c r="AB47" s="98"/>
      <c r="AC47" s="98"/>
      <c r="AD47" s="98"/>
      <c r="AE47" s="98"/>
      <c r="AF47" s="715"/>
      <c r="AG47" s="3"/>
      <c r="AM47" s="171"/>
      <c r="AN47" s="172"/>
      <c r="AO47" s="171"/>
      <c r="AP47" s="172"/>
      <c r="AQ47" s="171"/>
      <c r="AR47" s="172"/>
      <c r="AS47" s="171"/>
      <c r="AT47" s="172"/>
      <c r="AU47" s="172"/>
      <c r="AZ47" s="46"/>
      <c r="BA47" s="3"/>
      <c r="BB47" s="3"/>
      <c r="BC47" s="3"/>
      <c r="BD47" s="12"/>
      <c r="BE47" s="128"/>
    </row>
    <row r="48" spans="1:57" x14ac:dyDescent="0.25">
      <c r="A48" s="19"/>
      <c r="B48" s="3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  <c r="AA48" s="3"/>
      <c r="AB48" s="3"/>
      <c r="AC48" s="3"/>
      <c r="AD48" s="83"/>
      <c r="AE48" s="3"/>
      <c r="AF48" s="12"/>
      <c r="AG48" s="3"/>
      <c r="AH48" s="19"/>
      <c r="AL48" s="3"/>
      <c r="AW48" s="171"/>
      <c r="AX48" s="171"/>
      <c r="AY48" s="171"/>
      <c r="AZ48" s="171"/>
      <c r="BA48" s="171"/>
      <c r="BB48" s="171"/>
      <c r="BC48" s="171"/>
      <c r="BD48" s="68"/>
      <c r="BE48" s="128"/>
    </row>
    <row r="49" spans="1:58" ht="16.5" thickBot="1" x14ac:dyDescent="0.3">
      <c r="A49" s="19"/>
      <c r="B49" s="3"/>
      <c r="C49" s="3"/>
      <c r="D49" s="3"/>
      <c r="E49" s="3"/>
      <c r="F49" s="3"/>
      <c r="G49" s="3"/>
      <c r="H49" s="3"/>
      <c r="J49" s="3"/>
      <c r="K49" s="3"/>
      <c r="L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12"/>
      <c r="AG49" s="3"/>
      <c r="AH49" s="173"/>
      <c r="AI49" s="173"/>
      <c r="AJ49" s="173"/>
      <c r="AK49" s="173"/>
      <c r="AL49" s="173"/>
      <c r="AM49" s="54"/>
      <c r="AN49" s="54"/>
      <c r="AO49" s="54"/>
      <c r="AP49" s="54"/>
      <c r="AQ49" s="54"/>
      <c r="AR49" s="54"/>
      <c r="AS49" s="54"/>
      <c r="AT49" s="54"/>
      <c r="AU49" s="54"/>
      <c r="AV49" s="174"/>
      <c r="AW49" s="174"/>
      <c r="AX49" s="174"/>
      <c r="AY49" s="174"/>
      <c r="AZ49" s="174"/>
      <c r="BA49" s="174"/>
      <c r="BB49" s="174"/>
      <c r="BC49" s="174"/>
      <c r="BD49" s="167"/>
      <c r="BE49" s="128"/>
    </row>
    <row r="50" spans="1:58" x14ac:dyDescent="0.25">
      <c r="A50" s="175"/>
      <c r="B50" s="176"/>
      <c r="D50" s="45"/>
      <c r="E50" s="45"/>
      <c r="F50" s="45"/>
      <c r="G50" s="45"/>
      <c r="H50" s="45"/>
      <c r="J50" s="45"/>
      <c r="K50" s="45"/>
      <c r="L50" s="45"/>
      <c r="M50" s="169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177"/>
      <c r="AC50" s="177"/>
      <c r="AD50" s="177"/>
      <c r="AE50" s="177"/>
      <c r="AF50" s="177"/>
      <c r="AG50" s="178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</row>
    <row r="51" spans="1:58" x14ac:dyDescent="0.25">
      <c r="A51" s="175"/>
      <c r="B51" s="176"/>
      <c r="D51" s="45"/>
      <c r="E51" s="45"/>
      <c r="F51" s="45"/>
      <c r="G51" s="45"/>
      <c r="H51" s="45"/>
      <c r="J51" s="45"/>
      <c r="K51" s="45"/>
      <c r="L51" s="45"/>
      <c r="M51" s="169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177"/>
      <c r="AC51" s="177"/>
      <c r="AD51" s="177"/>
      <c r="AE51" s="177"/>
      <c r="AF51" s="177"/>
      <c r="AG51" s="45"/>
      <c r="AH51" s="45"/>
      <c r="AI51" s="45"/>
      <c r="AJ51" s="45"/>
      <c r="AK51" s="45"/>
      <c r="AL51" s="45"/>
      <c r="AM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</row>
    <row r="52" spans="1:58" x14ac:dyDescent="0.25">
      <c r="M52" s="179"/>
    </row>
    <row r="53" spans="1:58" x14ac:dyDescent="0.25">
      <c r="M53" s="179"/>
    </row>
    <row r="54" spans="1:58" x14ac:dyDescent="0.25">
      <c r="M54" s="179"/>
    </row>
  </sheetData>
  <mergeCells count="18">
    <mergeCell ref="BB31:BB32"/>
    <mergeCell ref="AI42:AJ42"/>
    <mergeCell ref="A1:BD1"/>
    <mergeCell ref="A2:BD2"/>
    <mergeCell ref="A3:D5"/>
    <mergeCell ref="O13:P14"/>
    <mergeCell ref="Y13:Y24"/>
    <mergeCell ref="H19:L19"/>
    <mergeCell ref="E22:F22"/>
    <mergeCell ref="H22:H23"/>
    <mergeCell ref="AG24:AL28"/>
    <mergeCell ref="Y25:Y36"/>
    <mergeCell ref="E44:J46"/>
    <mergeCell ref="T46:Y46"/>
    <mergeCell ref="AN27:AR27"/>
    <mergeCell ref="AR29:AS29"/>
    <mergeCell ref="AW30:BA30"/>
    <mergeCell ref="E31:F3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2">
    <tabColor rgb="FFFF66FF"/>
  </sheetPr>
  <dimension ref="A1:BF54"/>
  <sheetViews>
    <sheetView zoomScale="41" zoomScaleNormal="41" workbookViewId="0">
      <selection sqref="A1:XFD1048576"/>
    </sheetView>
  </sheetViews>
  <sheetFormatPr baseColWidth="10" defaultColWidth="16.7109375" defaultRowHeight="15" x14ac:dyDescent="0.25"/>
  <cols>
    <col min="1" max="7" width="2" customWidth="1"/>
    <col min="22" max="39" width="1.7109375" customWidth="1"/>
    <col min="46" max="56" width="2" customWidth="1"/>
  </cols>
  <sheetData>
    <row r="1" spans="1:58" ht="34.5" thickBot="1" x14ac:dyDescent="0.3">
      <c r="A1" s="743" t="s">
        <v>2</v>
      </c>
      <c r="B1" s="744"/>
      <c r="C1" s="744"/>
      <c r="D1" s="744"/>
      <c r="E1" s="744"/>
      <c r="F1" s="744"/>
      <c r="G1" s="744"/>
      <c r="H1" s="744"/>
      <c r="I1" s="744"/>
      <c r="J1" s="744"/>
      <c r="K1" s="744"/>
      <c r="L1" s="744"/>
      <c r="M1" s="744"/>
      <c r="N1" s="744"/>
      <c r="O1" s="744"/>
      <c r="P1" s="744"/>
      <c r="Q1" s="744"/>
      <c r="R1" s="744"/>
      <c r="S1" s="744"/>
      <c r="T1" s="744"/>
      <c r="U1" s="744"/>
      <c r="V1" s="744"/>
      <c r="W1" s="744"/>
      <c r="X1" s="744"/>
      <c r="Y1" s="744"/>
      <c r="Z1" s="744"/>
      <c r="AA1" s="744"/>
      <c r="AB1" s="744"/>
      <c r="AC1" s="744"/>
      <c r="AD1" s="744"/>
      <c r="AE1" s="744"/>
      <c r="AF1" s="744"/>
      <c r="AG1" s="744"/>
      <c r="AH1" s="744"/>
      <c r="AI1" s="744"/>
      <c r="AJ1" s="744"/>
      <c r="AK1" s="744"/>
      <c r="AL1" s="744"/>
      <c r="AM1" s="744"/>
      <c r="AN1" s="744"/>
      <c r="AO1" s="744"/>
      <c r="AP1" s="744"/>
      <c r="AQ1" s="744"/>
      <c r="AR1" s="744"/>
      <c r="AS1" s="744"/>
      <c r="AT1" s="744"/>
      <c r="AU1" s="744"/>
      <c r="AV1" s="744"/>
      <c r="AW1" s="744"/>
      <c r="AX1" s="744"/>
      <c r="AY1" s="744"/>
      <c r="AZ1" s="744"/>
      <c r="BA1" s="744"/>
      <c r="BB1" s="744"/>
      <c r="BC1" s="744"/>
      <c r="BD1" s="745"/>
      <c r="BE1" s="1"/>
      <c r="BF1" s="1"/>
    </row>
    <row r="2" spans="1:58" ht="30" thickBot="1" x14ac:dyDescent="0.3">
      <c r="A2" s="746"/>
      <c r="B2" s="746"/>
      <c r="C2" s="746"/>
      <c r="D2" s="746"/>
      <c r="E2" s="746"/>
      <c r="F2" s="746"/>
      <c r="G2" s="746"/>
      <c r="H2" s="746"/>
      <c r="I2" s="746"/>
      <c r="J2" s="746"/>
      <c r="K2" s="746"/>
      <c r="L2" s="746"/>
      <c r="M2" s="746"/>
      <c r="N2" s="746"/>
      <c r="O2" s="746"/>
      <c r="P2" s="746"/>
      <c r="Q2" s="746"/>
      <c r="R2" s="746"/>
      <c r="S2" s="746"/>
      <c r="T2" s="746"/>
      <c r="U2" s="746"/>
      <c r="V2" s="746"/>
      <c r="W2" s="746"/>
      <c r="X2" s="746"/>
      <c r="Y2" s="746"/>
      <c r="Z2" s="746"/>
      <c r="AA2" s="746"/>
      <c r="AB2" s="746"/>
      <c r="AC2" s="746"/>
      <c r="AD2" s="746"/>
      <c r="AE2" s="746"/>
      <c r="AF2" s="746"/>
      <c r="AG2" s="746"/>
      <c r="AH2" s="746"/>
      <c r="AI2" s="746"/>
      <c r="AJ2" s="746"/>
      <c r="AK2" s="746"/>
      <c r="AL2" s="746"/>
      <c r="AM2" s="746"/>
      <c r="AN2" s="746"/>
      <c r="AO2" s="746"/>
      <c r="AP2" s="746"/>
      <c r="AQ2" s="746"/>
      <c r="AR2" s="746"/>
      <c r="AS2" s="746"/>
      <c r="AT2" s="746"/>
      <c r="AU2" s="746"/>
      <c r="AV2" s="746"/>
      <c r="AW2" s="746"/>
      <c r="AX2" s="746"/>
      <c r="AY2" s="746"/>
      <c r="AZ2" s="746"/>
      <c r="BA2" s="746"/>
      <c r="BB2" s="746"/>
      <c r="BC2" s="746"/>
      <c r="BD2" s="746"/>
      <c r="BE2" s="1"/>
      <c r="BF2" s="1"/>
    </row>
    <row r="3" spans="1:58" ht="22.5" customHeight="1" x14ac:dyDescent="0.3">
      <c r="A3" s="747"/>
      <c r="B3" s="747"/>
      <c r="C3" s="747"/>
      <c r="D3" s="748"/>
      <c r="E3" s="1"/>
      <c r="F3" s="3"/>
      <c r="G3" s="3"/>
      <c r="H3" s="3"/>
      <c r="I3" s="4"/>
      <c r="J3" s="5">
        <v>100</v>
      </c>
      <c r="K3" s="6">
        <v>100</v>
      </c>
      <c r="L3" s="7">
        <v>100</v>
      </c>
      <c r="M3" s="8">
        <v>100</v>
      </c>
      <c r="N3" s="9">
        <v>100</v>
      </c>
      <c r="O3" s="10">
        <v>100</v>
      </c>
      <c r="P3" s="11">
        <v>100</v>
      </c>
      <c r="Q3" s="4"/>
      <c r="R3" s="3"/>
      <c r="S3" s="3"/>
      <c r="T3" s="3"/>
      <c r="U3" s="3"/>
      <c r="V3" s="3"/>
      <c r="W3" s="3"/>
      <c r="X3" s="3"/>
      <c r="Y3" s="12"/>
      <c r="Z3" s="3"/>
      <c r="AA3" s="13"/>
      <c r="AB3" s="3"/>
      <c r="AC3" s="3"/>
      <c r="AD3" s="3"/>
      <c r="AE3" s="3"/>
      <c r="AF3" s="12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5"/>
    </row>
    <row r="4" spans="1:58" ht="15.75" x14ac:dyDescent="0.25">
      <c r="A4" s="749"/>
      <c r="B4" s="749"/>
      <c r="C4" s="749"/>
      <c r="D4" s="750"/>
      <c r="E4" s="103"/>
      <c r="F4" s="98"/>
      <c r="H4" s="3"/>
      <c r="I4" s="17" t="s">
        <v>10</v>
      </c>
      <c r="J4" s="18" t="s">
        <v>11</v>
      </c>
      <c r="K4" s="18" t="s">
        <v>11</v>
      </c>
      <c r="L4" s="18" t="s">
        <v>11</v>
      </c>
      <c r="M4" s="18" t="s">
        <v>11</v>
      </c>
      <c r="N4" s="18" t="s">
        <v>11</v>
      </c>
      <c r="O4" s="18" t="s">
        <v>11</v>
      </c>
      <c r="P4" s="18" t="s">
        <v>11</v>
      </c>
      <c r="Q4" s="17"/>
      <c r="R4" s="3"/>
      <c r="S4" s="3"/>
      <c r="T4" s="3"/>
      <c r="U4" s="3"/>
      <c r="V4" s="3"/>
      <c r="W4" s="3"/>
      <c r="X4" s="3"/>
      <c r="Y4" s="12"/>
      <c r="Z4" s="3"/>
      <c r="AA4" s="3"/>
      <c r="AB4" s="3"/>
      <c r="AC4" s="3"/>
      <c r="AD4" s="19"/>
      <c r="AE4" s="19"/>
      <c r="AF4" s="20"/>
      <c r="AG4" s="19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21"/>
      <c r="AU4" s="21"/>
      <c r="AV4" s="21"/>
      <c r="AW4" s="21"/>
      <c r="AX4" s="21"/>
      <c r="AY4" s="21"/>
      <c r="AZ4" s="22"/>
      <c r="BA4" s="22"/>
      <c r="BB4" s="22"/>
      <c r="BC4" s="22"/>
      <c r="BD4" s="22"/>
      <c r="BE4" s="23"/>
    </row>
    <row r="5" spans="1:58" ht="23.25" x14ac:dyDescent="0.25">
      <c r="A5" s="749"/>
      <c r="B5" s="749"/>
      <c r="C5" s="749"/>
      <c r="D5" s="750"/>
      <c r="E5" s="685"/>
      <c r="F5" s="98"/>
      <c r="G5" s="3"/>
      <c r="H5" s="3"/>
      <c r="I5" s="3"/>
      <c r="J5" s="25">
        <v>1</v>
      </c>
      <c r="K5" s="25">
        <v>2</v>
      </c>
      <c r="L5" s="25">
        <v>3</v>
      </c>
      <c r="M5" s="25">
        <v>4</v>
      </c>
      <c r="N5" s="25">
        <v>5</v>
      </c>
      <c r="O5" s="25">
        <v>6</v>
      </c>
      <c r="P5" s="25">
        <v>7</v>
      </c>
      <c r="Q5" s="26"/>
      <c r="R5" s="26"/>
      <c r="S5" s="3"/>
      <c r="T5" s="3"/>
      <c r="U5" s="3"/>
      <c r="V5" s="3"/>
      <c r="W5" s="3"/>
      <c r="X5" s="3"/>
      <c r="Y5" s="12"/>
      <c r="Z5" s="3"/>
      <c r="AA5" s="3"/>
      <c r="AB5" s="3"/>
      <c r="AC5" s="19"/>
      <c r="AD5" s="19"/>
      <c r="AE5" s="3"/>
      <c r="AF5" s="12"/>
      <c r="AG5" s="3"/>
      <c r="AH5" s="27"/>
      <c r="AI5" s="1"/>
      <c r="AJ5" s="1"/>
      <c r="AK5" s="3"/>
      <c r="AM5" s="3"/>
      <c r="AN5" s="3"/>
      <c r="AO5" s="3"/>
      <c r="AP5" s="3"/>
      <c r="AQ5" s="3"/>
      <c r="AR5" s="3"/>
      <c r="AS5" s="3"/>
      <c r="AT5" s="21"/>
      <c r="AU5" s="21"/>
      <c r="AV5" s="21"/>
      <c r="AW5" s="21"/>
      <c r="AX5" s="21"/>
      <c r="AY5" s="21"/>
      <c r="AZ5" s="22"/>
      <c r="BA5" s="22"/>
      <c r="BB5" s="22"/>
      <c r="BC5" s="22"/>
      <c r="BD5" s="22"/>
      <c r="BE5" s="28"/>
    </row>
    <row r="6" spans="1:58" ht="23.25" x14ac:dyDescent="0.25">
      <c r="A6" s="3"/>
      <c r="B6" s="3"/>
      <c r="C6" s="3"/>
      <c r="D6" s="12"/>
      <c r="E6" s="686"/>
      <c r="F6" s="98"/>
      <c r="G6" s="3"/>
      <c r="H6" s="3"/>
      <c r="I6" s="3"/>
      <c r="J6" s="3"/>
      <c r="K6" s="3"/>
      <c r="N6" s="30"/>
      <c r="O6" s="3"/>
      <c r="P6" s="3"/>
      <c r="Q6" s="3"/>
      <c r="R6" s="3"/>
      <c r="S6" s="3"/>
      <c r="T6" s="3"/>
      <c r="U6" s="3"/>
      <c r="V6" s="3"/>
      <c r="W6" s="3"/>
      <c r="X6" s="3"/>
      <c r="Y6" s="12"/>
      <c r="Z6" s="3"/>
      <c r="AA6" s="3"/>
      <c r="AB6" s="3"/>
      <c r="AC6" s="31"/>
      <c r="AD6" s="3"/>
      <c r="AE6" s="3"/>
      <c r="AF6" s="12"/>
      <c r="AG6" s="3"/>
      <c r="AH6" s="1"/>
      <c r="AI6" s="32"/>
      <c r="AJ6" s="32"/>
      <c r="AK6" s="3"/>
      <c r="AM6" s="3"/>
      <c r="AN6" s="3"/>
      <c r="AO6" s="3"/>
      <c r="AP6" s="3"/>
      <c r="AQ6" s="3"/>
      <c r="AR6" s="3"/>
      <c r="AS6" s="3"/>
      <c r="AT6" s="21"/>
      <c r="AU6" s="21"/>
      <c r="AV6" s="21"/>
      <c r="AW6" s="21"/>
      <c r="AX6" s="21"/>
      <c r="AY6" s="21"/>
      <c r="AZ6" s="22"/>
      <c r="BA6" s="22"/>
      <c r="BB6" s="22"/>
      <c r="BC6" s="22"/>
      <c r="BD6" s="22"/>
      <c r="BE6" s="33"/>
    </row>
    <row r="7" spans="1:58" ht="23.25" x14ac:dyDescent="0.25">
      <c r="A7" s="3"/>
      <c r="B7" s="3"/>
      <c r="C7" s="3"/>
      <c r="D7" s="12"/>
      <c r="E7" s="687"/>
      <c r="F7" s="98"/>
      <c r="G7" s="3"/>
      <c r="H7" s="3"/>
      <c r="I7" s="3"/>
      <c r="J7" s="3"/>
      <c r="K7" s="3"/>
      <c r="M7" s="3"/>
      <c r="N7" s="30"/>
      <c r="O7" s="35"/>
      <c r="P7" s="30"/>
      <c r="Q7" s="30"/>
      <c r="R7" s="30"/>
      <c r="S7" s="30"/>
      <c r="T7" s="36"/>
      <c r="U7" s="3"/>
      <c r="V7" s="36"/>
      <c r="W7" s="3"/>
      <c r="X7" s="3"/>
      <c r="Y7" s="12"/>
      <c r="Z7" s="3"/>
      <c r="AA7" s="3"/>
      <c r="AB7" s="3"/>
      <c r="AC7" s="37"/>
      <c r="AD7" s="3"/>
      <c r="AE7" s="3"/>
      <c r="AF7" s="12"/>
      <c r="AG7" s="3"/>
      <c r="AH7" s="32"/>
      <c r="AI7" s="1"/>
      <c r="AJ7" s="38"/>
      <c r="AK7" s="3"/>
      <c r="AM7" s="3"/>
      <c r="AN7" s="3"/>
      <c r="AO7" s="3"/>
      <c r="AP7" s="3"/>
      <c r="AQ7" s="3"/>
      <c r="AR7" s="3"/>
      <c r="AS7" s="3"/>
      <c r="AT7" s="21"/>
      <c r="AU7" s="21"/>
      <c r="AV7" s="21"/>
      <c r="AW7" s="21"/>
      <c r="AX7" s="21"/>
      <c r="AY7" s="21"/>
      <c r="AZ7" s="22"/>
      <c r="BA7" s="22"/>
      <c r="BB7" s="22"/>
      <c r="BC7" s="22"/>
      <c r="BD7" s="22"/>
      <c r="BE7" s="28"/>
    </row>
    <row r="8" spans="1:58" ht="23.25" x14ac:dyDescent="0.25">
      <c r="A8" s="3"/>
      <c r="B8" s="3"/>
      <c r="C8" s="3"/>
      <c r="D8" s="12"/>
      <c r="E8" s="688"/>
      <c r="F8" s="98"/>
      <c r="G8" s="3"/>
      <c r="H8" s="3"/>
      <c r="I8" s="3"/>
      <c r="J8" s="3"/>
      <c r="K8" s="3"/>
      <c r="L8" s="3"/>
      <c r="M8" s="3"/>
      <c r="P8" s="30"/>
      <c r="Q8" s="30"/>
      <c r="R8" s="26"/>
      <c r="S8" s="3"/>
      <c r="T8" s="36"/>
      <c r="U8" s="3"/>
      <c r="V8" s="36"/>
      <c r="W8" s="3"/>
      <c r="X8" s="3"/>
      <c r="Y8" s="12"/>
      <c r="Z8" s="3"/>
      <c r="AA8" s="3"/>
      <c r="AB8" s="3"/>
      <c r="AC8" s="37"/>
      <c r="AD8" s="3"/>
      <c r="AE8" s="3"/>
      <c r="AF8" s="12"/>
      <c r="AG8" s="3"/>
      <c r="AH8" s="32"/>
      <c r="AI8" s="1"/>
      <c r="AJ8" s="38"/>
      <c r="AK8" s="3"/>
      <c r="AM8" s="3"/>
      <c r="AN8" s="3"/>
      <c r="AO8" s="3"/>
      <c r="AP8" s="3"/>
      <c r="AQ8" s="3"/>
      <c r="AR8" s="3"/>
      <c r="AS8" s="3"/>
      <c r="AT8" s="21"/>
      <c r="AU8" s="21"/>
      <c r="AV8" s="21"/>
      <c r="AW8" s="21"/>
      <c r="AX8" s="21"/>
      <c r="AY8" s="21"/>
      <c r="AZ8" s="22"/>
      <c r="BA8" s="22"/>
      <c r="BB8" s="22"/>
      <c r="BC8" s="22"/>
      <c r="BD8" s="22"/>
      <c r="BE8" s="40"/>
    </row>
    <row r="9" spans="1:58" ht="23.25" x14ac:dyDescent="0.25">
      <c r="A9" s="3"/>
      <c r="B9" s="3"/>
      <c r="C9" s="3"/>
      <c r="D9" s="12"/>
      <c r="E9" s="688"/>
      <c r="F9" s="92"/>
      <c r="G9" s="3"/>
      <c r="H9" s="3"/>
      <c r="I9" s="3"/>
      <c r="J9" s="3"/>
      <c r="M9" s="3"/>
      <c r="Q9" s="111"/>
      <c r="R9" s="98"/>
      <c r="S9" s="98"/>
      <c r="T9" s="695"/>
      <c r="U9" s="98"/>
      <c r="V9" s="695"/>
      <c r="W9" s="3"/>
      <c r="X9" s="3"/>
      <c r="Y9" s="12"/>
      <c r="Z9" s="3"/>
      <c r="AA9" s="3"/>
      <c r="AB9" s="3"/>
      <c r="AC9" s="31"/>
      <c r="AD9" s="3"/>
      <c r="AE9" s="3"/>
      <c r="AF9" s="12"/>
      <c r="AG9" s="3"/>
      <c r="AH9" s="41"/>
      <c r="AI9" s="42"/>
      <c r="AJ9" s="32"/>
      <c r="AK9" s="3"/>
      <c r="AM9" s="3"/>
      <c r="AN9" s="3"/>
      <c r="AO9" s="3"/>
      <c r="AP9" s="3"/>
      <c r="AQ9" s="3"/>
      <c r="AR9" s="3"/>
      <c r="AS9" s="3"/>
      <c r="AT9" s="21"/>
      <c r="AU9" s="21"/>
      <c r="AV9" s="21"/>
      <c r="AW9" s="21"/>
      <c r="AX9" s="21"/>
      <c r="AY9" s="21"/>
      <c r="AZ9" s="22"/>
      <c r="BA9" s="22"/>
      <c r="BB9" s="22"/>
      <c r="BC9" s="22"/>
      <c r="BD9" s="22"/>
      <c r="BE9" s="43"/>
    </row>
    <row r="10" spans="1:58" ht="23.25" x14ac:dyDescent="0.25">
      <c r="A10" s="3"/>
      <c r="B10" s="3"/>
      <c r="C10" s="3"/>
      <c r="D10" s="12"/>
      <c r="E10" s="689"/>
      <c r="F10" s="113"/>
      <c r="G10" s="3"/>
      <c r="H10" s="98"/>
      <c r="I10" s="98"/>
      <c r="J10" s="98"/>
      <c r="K10" s="111"/>
      <c r="L10" s="111"/>
      <c r="M10" s="98"/>
      <c r="N10" s="156"/>
      <c r="O10" s="700"/>
      <c r="P10" s="111"/>
      <c r="Q10" s="111"/>
      <c r="R10" s="696"/>
      <c r="S10" s="696"/>
      <c r="T10" s="98"/>
      <c r="U10" s="98"/>
      <c r="V10" s="98"/>
      <c r="W10" s="3"/>
      <c r="X10" s="3"/>
      <c r="Y10" s="12"/>
      <c r="Z10" s="3"/>
      <c r="AA10" s="46"/>
      <c r="AB10" s="46"/>
      <c r="AC10" s="47"/>
      <c r="AD10" s="3"/>
      <c r="AE10" s="46"/>
      <c r="AF10" s="48"/>
      <c r="AG10" s="3"/>
      <c r="AH10" s="41"/>
      <c r="AI10" s="42"/>
      <c r="AJ10" s="32"/>
      <c r="AK10" s="46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23"/>
    </row>
    <row r="11" spans="1:58" ht="23.25" x14ac:dyDescent="0.25">
      <c r="A11" s="3"/>
      <c r="B11" s="3"/>
      <c r="C11" s="3"/>
      <c r="D11" s="12"/>
      <c r="E11" s="689"/>
      <c r="F11" s="113"/>
      <c r="G11" s="3"/>
      <c r="H11" s="98"/>
      <c r="I11" s="98"/>
      <c r="J11" s="98"/>
      <c r="K11" s="98"/>
      <c r="L11" s="98"/>
      <c r="M11" s="98"/>
      <c r="N11" s="111"/>
      <c r="O11" s="700"/>
      <c r="P11" s="696"/>
      <c r="Q11" s="696"/>
      <c r="R11" s="113"/>
      <c r="S11" s="113"/>
      <c r="T11" s="98"/>
      <c r="U11" s="98"/>
      <c r="V11" s="98"/>
      <c r="W11" s="3"/>
      <c r="X11" s="3"/>
      <c r="Y11" s="12"/>
      <c r="Z11" s="3"/>
      <c r="AA11" s="47"/>
      <c r="AB11" s="47"/>
      <c r="AC11" s="13"/>
      <c r="AD11" s="3"/>
      <c r="AE11" s="46"/>
      <c r="AF11" s="48"/>
      <c r="AG11" s="3"/>
      <c r="AH11" s="32"/>
      <c r="AI11" s="32"/>
      <c r="AJ11" s="38"/>
      <c r="AK11" s="46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3"/>
    </row>
    <row r="12" spans="1:58" ht="24" thickBot="1" x14ac:dyDescent="0.3">
      <c r="A12" s="3"/>
      <c r="B12" s="3"/>
      <c r="C12" s="3"/>
      <c r="D12" s="12"/>
      <c r="E12" s="49"/>
      <c r="F12" s="50"/>
      <c r="G12" s="51"/>
      <c r="H12" s="690"/>
      <c r="I12" s="690"/>
      <c r="J12" s="691"/>
      <c r="K12" s="691"/>
      <c r="L12" s="691"/>
      <c r="M12" s="692"/>
      <c r="N12" s="691"/>
      <c r="O12" s="111"/>
      <c r="P12" s="111"/>
      <c r="Q12" s="689"/>
      <c r="R12" s="689"/>
      <c r="S12" s="689"/>
      <c r="T12" s="689"/>
      <c r="U12" s="689"/>
      <c r="V12" s="697"/>
      <c r="W12" s="54"/>
      <c r="X12" s="54"/>
      <c r="Y12" s="12"/>
      <c r="Z12" s="3"/>
      <c r="AA12" s="45"/>
      <c r="AB12" s="3"/>
      <c r="AC12" s="3"/>
      <c r="AD12" s="3"/>
      <c r="AE12" s="3"/>
      <c r="AF12" s="12"/>
      <c r="AG12" s="3"/>
      <c r="AH12" s="32"/>
      <c r="AI12" s="42"/>
      <c r="AJ12" s="32"/>
      <c r="AK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23"/>
    </row>
    <row r="13" spans="1:58" ht="23.25" x14ac:dyDescent="0.25">
      <c r="A13" s="3"/>
      <c r="B13" s="3"/>
      <c r="C13" s="3"/>
      <c r="D13" s="12"/>
      <c r="E13" s="3"/>
      <c r="F13" s="37"/>
      <c r="G13" s="37"/>
      <c r="H13" s="92"/>
      <c r="I13" s="92"/>
      <c r="J13" s="685"/>
      <c r="K13" s="685"/>
      <c r="L13" s="685"/>
      <c r="M13" s="685"/>
      <c r="N13" s="113"/>
      <c r="O13" s="751"/>
      <c r="P13" s="752"/>
      <c r="Q13" s="698"/>
      <c r="R13" s="685"/>
      <c r="S13" s="685"/>
      <c r="T13" s="685"/>
      <c r="U13" s="685"/>
      <c r="V13" s="98"/>
      <c r="W13" s="3"/>
      <c r="X13" s="3"/>
      <c r="Y13" s="755"/>
      <c r="Z13" s="3"/>
      <c r="AA13" s="45"/>
      <c r="AB13" s="3"/>
      <c r="AC13" s="3"/>
      <c r="AD13" s="3"/>
      <c r="AE13" s="3"/>
      <c r="AF13" s="12"/>
      <c r="AG13" s="3"/>
      <c r="AH13" s="32"/>
      <c r="AI13" s="42"/>
      <c r="AJ13" s="32"/>
      <c r="AK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23"/>
    </row>
    <row r="14" spans="1:58" ht="16.5" thickBot="1" x14ac:dyDescent="0.3">
      <c r="A14" s="3"/>
      <c r="B14" s="3"/>
      <c r="C14" s="3"/>
      <c r="D14" s="48"/>
      <c r="E14" s="111"/>
      <c r="F14" s="92"/>
      <c r="G14" s="110"/>
      <c r="H14" s="111"/>
      <c r="I14" s="111"/>
      <c r="J14" s="111"/>
      <c r="K14" s="111"/>
      <c r="L14" s="111"/>
      <c r="M14" s="111"/>
      <c r="N14" s="113"/>
      <c r="O14" s="753"/>
      <c r="P14" s="754"/>
      <c r="Q14" s="98"/>
      <c r="R14" s="98"/>
      <c r="S14" s="156"/>
      <c r="T14" s="98"/>
      <c r="U14" s="98"/>
      <c r="V14" s="98"/>
      <c r="W14" s="3"/>
      <c r="X14" s="3"/>
      <c r="Y14" s="756"/>
      <c r="Z14" s="3"/>
      <c r="AA14" s="45"/>
      <c r="AB14" s="3"/>
      <c r="AC14" s="3"/>
      <c r="AD14" s="3"/>
      <c r="AE14" s="3"/>
      <c r="AF14" s="12"/>
      <c r="AG14" s="3"/>
      <c r="AH14" s="3"/>
      <c r="AI14" s="3"/>
      <c r="AJ14" s="1"/>
      <c r="AK14" s="3"/>
      <c r="AM14" s="3"/>
      <c r="AN14" s="3"/>
      <c r="AO14" s="3"/>
      <c r="AP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28"/>
    </row>
    <row r="15" spans="1:58" ht="15.75" x14ac:dyDescent="0.25">
      <c r="A15" s="3"/>
      <c r="B15" s="3"/>
      <c r="C15" s="3"/>
      <c r="D15" s="48"/>
      <c r="E15" s="701"/>
      <c r="F15" s="111"/>
      <c r="G15" s="110"/>
      <c r="H15" s="693"/>
      <c r="I15" s="111"/>
      <c r="J15" s="111"/>
      <c r="K15" s="111"/>
      <c r="L15" s="111"/>
      <c r="M15" s="693"/>
      <c r="N15" s="98"/>
      <c r="O15" s="59"/>
      <c r="P15" s="3"/>
      <c r="Q15" s="98"/>
      <c r="R15" s="98"/>
      <c r="S15" s="98"/>
      <c r="T15" s="98"/>
      <c r="U15" s="98"/>
      <c r="V15" s="98"/>
      <c r="W15" s="3"/>
      <c r="X15" s="3"/>
      <c r="Y15" s="756"/>
      <c r="Z15" s="3"/>
      <c r="AA15" s="45"/>
      <c r="AB15" s="3"/>
      <c r="AC15" s="3"/>
      <c r="AD15" s="1"/>
      <c r="AE15" s="3"/>
      <c r="AF15" s="12"/>
      <c r="AG15" s="3"/>
      <c r="AH15" s="3"/>
      <c r="AI15" s="3"/>
      <c r="AJ15" s="3"/>
      <c r="AK15" s="3"/>
      <c r="AM15" s="3"/>
      <c r="AN15" s="3"/>
      <c r="AO15" s="3"/>
      <c r="AP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28"/>
    </row>
    <row r="16" spans="1:58" ht="15.75" x14ac:dyDescent="0.25">
      <c r="A16" s="3"/>
      <c r="B16" s="3"/>
      <c r="C16" s="3"/>
      <c r="D16" s="48"/>
      <c r="E16" s="701"/>
      <c r="F16" s="111"/>
      <c r="G16" s="110"/>
      <c r="H16" s="693"/>
      <c r="I16" s="98"/>
      <c r="J16" s="686"/>
      <c r="K16" s="686"/>
      <c r="L16" s="694"/>
      <c r="M16" s="686"/>
      <c r="N16" s="111"/>
      <c r="O16" s="3"/>
      <c r="Q16" s="698"/>
      <c r="R16" s="698"/>
      <c r="S16" s="98"/>
      <c r="T16" s="98"/>
      <c r="U16" s="98"/>
      <c r="V16" s="98"/>
      <c r="W16" s="3"/>
      <c r="X16" s="3"/>
      <c r="Y16" s="756"/>
      <c r="Z16" s="3"/>
      <c r="AA16" s="45"/>
      <c r="AB16" s="3"/>
      <c r="AC16" s="3"/>
      <c r="AD16" s="1"/>
      <c r="AE16" s="3"/>
      <c r="AF16" s="12"/>
      <c r="AG16" s="3"/>
      <c r="AH16" s="3"/>
      <c r="AI16" s="3"/>
      <c r="AJ16" s="3"/>
      <c r="AK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23"/>
    </row>
    <row r="17" spans="1:57" ht="15.75" x14ac:dyDescent="0.25">
      <c r="A17" s="3"/>
      <c r="B17" s="3"/>
      <c r="C17" s="3"/>
      <c r="D17" s="48"/>
      <c r="E17" s="701"/>
      <c r="F17" s="111"/>
      <c r="G17" s="110"/>
      <c r="H17" s="59"/>
      <c r="I17" s="98"/>
      <c r="J17" s="723"/>
      <c r="K17" s="723"/>
      <c r="L17" s="699"/>
      <c r="M17" s="724"/>
      <c r="N17" s="111"/>
      <c r="O17" s="3"/>
      <c r="Q17" s="699"/>
      <c r="R17" s="699"/>
      <c r="S17" s="98"/>
      <c r="T17" s="98"/>
      <c r="U17" s="98"/>
      <c r="V17" s="98"/>
      <c r="W17" s="3"/>
      <c r="X17" s="3"/>
      <c r="Y17" s="756"/>
      <c r="Z17" s="3"/>
      <c r="AA17" s="45"/>
      <c r="AB17" s="3"/>
      <c r="AC17" s="3"/>
      <c r="AD17" s="1"/>
      <c r="AE17" s="3"/>
      <c r="AF17" s="12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23"/>
    </row>
    <row r="18" spans="1:57" ht="15.75" x14ac:dyDescent="0.25">
      <c r="A18" s="3"/>
      <c r="B18" s="3"/>
      <c r="C18" s="3"/>
      <c r="D18" s="48"/>
      <c r="E18" s="701"/>
      <c r="F18" s="111"/>
      <c r="G18" s="110"/>
      <c r="I18" s="3"/>
      <c r="K18" s="3"/>
      <c r="L18" s="59"/>
      <c r="M18" s="64"/>
      <c r="N18" s="64"/>
      <c r="O18" s="64"/>
      <c r="P18" s="64"/>
      <c r="Q18" s="65"/>
      <c r="R18" s="65"/>
      <c r="S18" s="65"/>
      <c r="T18" s="3"/>
      <c r="U18" s="3"/>
      <c r="V18" s="3"/>
      <c r="W18" s="3"/>
      <c r="X18" s="3"/>
      <c r="Y18" s="756"/>
      <c r="Z18" s="46" t="s">
        <v>21</v>
      </c>
      <c r="AA18" s="45"/>
      <c r="AB18" s="3"/>
      <c r="AC18" s="66"/>
      <c r="AD18" s="3"/>
      <c r="AE18" s="3"/>
      <c r="AF18" s="12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23"/>
    </row>
    <row r="19" spans="1:57" ht="18.75" x14ac:dyDescent="0.3">
      <c r="A19" s="19"/>
      <c r="B19" s="19"/>
      <c r="C19" s="19"/>
      <c r="D19" s="20"/>
      <c r="E19" s="701"/>
      <c r="F19" s="111"/>
      <c r="G19" s="111"/>
      <c r="H19" s="758" t="s">
        <v>22</v>
      </c>
      <c r="I19" s="758"/>
      <c r="J19" s="758"/>
      <c r="K19" s="758"/>
      <c r="L19" s="758"/>
      <c r="M19" s="67"/>
      <c r="N19" s="67" t="s">
        <v>23</v>
      </c>
      <c r="O19" s="67"/>
      <c r="Q19" s="67"/>
      <c r="R19" s="67" t="s">
        <v>22</v>
      </c>
      <c r="S19" s="67"/>
      <c r="T19" s="3"/>
      <c r="U19" s="3"/>
      <c r="V19" s="3"/>
      <c r="W19" s="3"/>
      <c r="X19" s="3"/>
      <c r="Y19" s="756"/>
      <c r="Z19" s="46" t="s">
        <v>21</v>
      </c>
      <c r="AA19" s="45"/>
      <c r="AB19" s="3"/>
      <c r="AC19" s="3"/>
      <c r="AD19" s="3"/>
      <c r="AE19" s="3"/>
      <c r="AF19" s="12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23"/>
    </row>
    <row r="20" spans="1:57" ht="20.25" x14ac:dyDescent="0.25">
      <c r="A20" s="19"/>
      <c r="B20" s="19"/>
      <c r="C20" s="19"/>
      <c r="D20" s="68"/>
      <c r="E20" s="701"/>
      <c r="F20" s="111"/>
      <c r="G20" s="111"/>
      <c r="H20" s="25"/>
      <c r="I20" s="25"/>
      <c r="J20" s="25"/>
      <c r="K20" s="25"/>
      <c r="M20" s="69">
        <v>1</v>
      </c>
      <c r="O20" s="69">
        <v>2</v>
      </c>
      <c r="P20" s="70"/>
      <c r="Q20" s="69">
        <v>3</v>
      </c>
      <c r="R20" s="69">
        <v>4</v>
      </c>
      <c r="S20" s="69">
        <v>5</v>
      </c>
      <c r="T20" s="65"/>
      <c r="V20" s="3"/>
      <c r="W20" s="3"/>
      <c r="X20" s="3"/>
      <c r="Y20" s="756"/>
      <c r="Z20" s="46" t="s">
        <v>21</v>
      </c>
      <c r="AA20" s="45"/>
      <c r="AB20" s="3"/>
      <c r="AC20" s="3"/>
      <c r="AD20" s="3"/>
      <c r="AE20" s="3"/>
      <c r="AF20" s="12"/>
      <c r="AG20" s="3"/>
      <c r="AH20" s="3"/>
      <c r="AI20" s="3"/>
      <c r="AJ20" s="3"/>
      <c r="AK20" s="3"/>
      <c r="AL20" s="3"/>
      <c r="AM20" s="71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23"/>
    </row>
    <row r="21" spans="1:57" ht="20.25" x14ac:dyDescent="0.25">
      <c r="A21" s="19"/>
      <c r="B21" s="19"/>
      <c r="C21" s="19"/>
      <c r="D21" s="20"/>
      <c r="E21" s="111"/>
      <c r="F21" s="111"/>
      <c r="G21" s="111"/>
      <c r="H21" s="17" t="s">
        <v>24</v>
      </c>
      <c r="I21" s="72" t="s">
        <v>25</v>
      </c>
      <c r="J21" s="72" t="s">
        <v>25</v>
      </c>
      <c r="K21" s="72" t="s">
        <v>25</v>
      </c>
      <c r="L21" s="69"/>
      <c r="M21" s="72" t="s">
        <v>25</v>
      </c>
      <c r="N21" s="69"/>
      <c r="O21" s="72" t="s">
        <v>25</v>
      </c>
      <c r="P21" s="73"/>
      <c r="Q21" s="72" t="s">
        <v>25</v>
      </c>
      <c r="R21" s="74" t="s">
        <v>25</v>
      </c>
      <c r="S21" s="72" t="s">
        <v>25</v>
      </c>
      <c r="T21" s="17" t="s">
        <v>26</v>
      </c>
      <c r="U21" s="65"/>
      <c r="V21" s="3"/>
      <c r="W21" s="3"/>
      <c r="X21" s="3"/>
      <c r="Y21" s="756"/>
      <c r="Z21" s="46"/>
      <c r="AA21" s="45"/>
      <c r="AB21" s="3"/>
      <c r="AC21" s="3"/>
      <c r="AD21" s="3"/>
      <c r="AE21" s="3"/>
      <c r="AF21" s="12"/>
      <c r="AG21" s="75"/>
      <c r="AH21" s="3"/>
      <c r="AI21" s="3"/>
      <c r="AJ21" s="3"/>
      <c r="AK21" s="3"/>
      <c r="AL21" s="3"/>
      <c r="AM21" s="71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23"/>
    </row>
    <row r="22" spans="1:57" ht="26.25" x14ac:dyDescent="0.25">
      <c r="A22" s="19"/>
      <c r="B22" s="19"/>
      <c r="C22" s="19"/>
      <c r="D22" s="20"/>
      <c r="E22" s="740"/>
      <c r="F22" s="740"/>
      <c r="G22" s="111"/>
      <c r="H22" s="759" t="s">
        <v>28</v>
      </c>
      <c r="I22" s="77">
        <v>200</v>
      </c>
      <c r="J22" s="77">
        <v>200</v>
      </c>
      <c r="K22" s="5">
        <v>200</v>
      </c>
      <c r="L22" s="78"/>
      <c r="M22" s="79">
        <v>250</v>
      </c>
      <c r="N22" s="78"/>
      <c r="O22" s="79">
        <v>250</v>
      </c>
      <c r="P22" s="73"/>
      <c r="Q22" s="80">
        <v>200</v>
      </c>
      <c r="R22" s="81">
        <v>200</v>
      </c>
      <c r="S22" s="81">
        <v>200</v>
      </c>
      <c r="T22" s="82" t="s">
        <v>33</v>
      </c>
      <c r="U22" s="65"/>
      <c r="V22" s="3"/>
      <c r="W22" s="3"/>
      <c r="X22" s="3"/>
      <c r="Y22" s="756"/>
      <c r="Z22" s="46"/>
      <c r="AA22" s="45"/>
      <c r="AB22" s="3"/>
      <c r="AC22" s="3"/>
      <c r="AD22" s="3"/>
      <c r="AE22" s="3"/>
      <c r="AF22" s="12"/>
      <c r="AG22" s="75"/>
      <c r="AH22" s="3"/>
      <c r="AI22" s="3"/>
      <c r="AJ22" s="3"/>
      <c r="AK22" s="3"/>
      <c r="AL22" s="3"/>
      <c r="AM22" s="3"/>
      <c r="AN22" s="3"/>
      <c r="AO22" s="8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23"/>
    </row>
    <row r="23" spans="1:57" ht="24" thickBot="1" x14ac:dyDescent="0.3">
      <c r="A23" s="19"/>
      <c r="B23" s="19"/>
      <c r="D23" s="20"/>
      <c r="E23" s="701"/>
      <c r="F23" s="702"/>
      <c r="G23" s="111"/>
      <c r="H23" s="759"/>
      <c r="I23" s="85">
        <v>200</v>
      </c>
      <c r="J23" s="8">
        <v>200</v>
      </c>
      <c r="K23" s="5">
        <v>200</v>
      </c>
      <c r="L23" s="78"/>
      <c r="M23" s="86">
        <v>250</v>
      </c>
      <c r="N23" s="78"/>
      <c r="O23" s="86">
        <v>250</v>
      </c>
      <c r="P23" s="73"/>
      <c r="Q23" s="87">
        <v>200</v>
      </c>
      <c r="R23" s="80">
        <v>200</v>
      </c>
      <c r="S23" s="81">
        <v>200</v>
      </c>
      <c r="T23" s="76"/>
      <c r="U23" s="65"/>
      <c r="V23" s="3"/>
      <c r="W23" s="3"/>
      <c r="X23" s="3"/>
      <c r="Y23" s="756"/>
      <c r="Z23" s="3"/>
      <c r="AA23" s="3"/>
      <c r="AB23" s="3"/>
      <c r="AC23" s="3"/>
      <c r="AD23" s="3"/>
      <c r="AE23" s="3"/>
      <c r="AF23" s="12"/>
      <c r="AG23" s="88"/>
      <c r="AH23" s="54"/>
      <c r="AI23" s="54"/>
      <c r="AJ23" s="54"/>
      <c r="AK23" s="54"/>
      <c r="AL23" s="54"/>
      <c r="AM23" s="54"/>
      <c r="AN23" s="89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3"/>
      <c r="BD23" s="3"/>
      <c r="BE23" s="23"/>
    </row>
    <row r="24" spans="1:57" ht="24" thickBot="1" x14ac:dyDescent="0.3">
      <c r="A24" s="19"/>
      <c r="B24" s="19"/>
      <c r="C24" s="19"/>
      <c r="D24" s="20"/>
      <c r="E24" s="701"/>
      <c r="F24" s="702"/>
      <c r="G24" s="111"/>
      <c r="H24" s="90"/>
      <c r="I24" s="72" t="s">
        <v>25</v>
      </c>
      <c r="J24" s="72" t="s">
        <v>25</v>
      </c>
      <c r="K24" s="72" t="s">
        <v>25</v>
      </c>
      <c r="L24" s="69"/>
      <c r="M24" s="72" t="s">
        <v>25</v>
      </c>
      <c r="N24" s="69"/>
      <c r="O24" s="72" t="s">
        <v>25</v>
      </c>
      <c r="P24" s="69"/>
      <c r="Q24" s="72" t="s">
        <v>25</v>
      </c>
      <c r="R24" s="74" t="s">
        <v>25</v>
      </c>
      <c r="S24" s="72" t="s">
        <v>25</v>
      </c>
      <c r="T24" s="69"/>
      <c r="V24" s="3"/>
      <c r="W24" s="3"/>
      <c r="X24" s="3"/>
      <c r="Y24" s="757"/>
      <c r="Z24" s="3"/>
      <c r="AA24" s="3"/>
      <c r="AB24" s="3"/>
      <c r="AC24" s="3"/>
      <c r="AD24" s="3"/>
      <c r="AE24" s="3"/>
      <c r="AF24" s="91"/>
      <c r="AG24" s="760"/>
      <c r="AH24" s="761"/>
      <c r="AI24" s="761"/>
      <c r="AJ24" s="761"/>
      <c r="AK24" s="761"/>
      <c r="AL24" s="762"/>
      <c r="AM24" s="92"/>
      <c r="AN24" s="93"/>
      <c r="AO24" s="92"/>
      <c r="AP24" s="93"/>
      <c r="AQ24" s="92"/>
      <c r="AR24" s="93"/>
      <c r="AS24" s="92"/>
      <c r="AT24" s="3"/>
      <c r="AU24" s="3"/>
      <c r="AV24" s="3"/>
      <c r="AW24" s="3"/>
      <c r="AX24" s="3"/>
      <c r="AY24" s="3"/>
      <c r="AZ24" s="3"/>
      <c r="BA24" s="3"/>
      <c r="BB24" s="3"/>
      <c r="BC24" s="94"/>
      <c r="BD24" s="94"/>
      <c r="BE24" s="23"/>
    </row>
    <row r="25" spans="1:57" ht="23.25" x14ac:dyDescent="0.25">
      <c r="A25" s="19"/>
      <c r="B25" s="19"/>
      <c r="C25" s="19"/>
      <c r="D25" s="20"/>
      <c r="E25" s="701"/>
      <c r="F25" s="702"/>
      <c r="G25" s="111"/>
      <c r="H25" s="25"/>
      <c r="I25" s="25"/>
      <c r="J25" s="25"/>
      <c r="K25" s="25"/>
      <c r="M25" s="69">
        <v>8</v>
      </c>
      <c r="O25" s="69">
        <v>7</v>
      </c>
      <c r="P25" s="70"/>
      <c r="Q25" s="69">
        <v>8</v>
      </c>
      <c r="R25" s="69">
        <v>7</v>
      </c>
      <c r="S25" s="69">
        <v>6</v>
      </c>
      <c r="T25" s="65"/>
      <c r="U25" s="3"/>
      <c r="V25" s="3"/>
      <c r="W25" s="3"/>
      <c r="X25" s="3"/>
      <c r="Y25" s="755"/>
      <c r="Z25" s="1"/>
      <c r="AA25" s="1"/>
      <c r="AB25" s="1"/>
      <c r="AC25" s="1"/>
      <c r="AD25" s="1"/>
      <c r="AE25" s="1"/>
      <c r="AF25" s="12"/>
      <c r="AG25" s="763"/>
      <c r="AH25" s="764"/>
      <c r="AI25" s="764"/>
      <c r="AJ25" s="764"/>
      <c r="AK25" s="764"/>
      <c r="AL25" s="765"/>
      <c r="AM25" s="96"/>
      <c r="AN25" s="97"/>
      <c r="AO25" s="96"/>
      <c r="AP25" s="97"/>
      <c r="AQ25" s="96"/>
      <c r="AR25" s="97"/>
      <c r="AS25" s="98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23"/>
    </row>
    <row r="26" spans="1:57" ht="23.25" x14ac:dyDescent="0.3">
      <c r="A26" s="19"/>
      <c r="C26" s="99"/>
      <c r="D26" s="20"/>
      <c r="E26" s="701"/>
      <c r="F26" s="702"/>
      <c r="G26" s="111"/>
      <c r="H26" s="100"/>
      <c r="I26" s="100"/>
      <c r="J26" s="100"/>
      <c r="K26" s="101"/>
      <c r="L26" s="101"/>
      <c r="Q26" s="70"/>
      <c r="R26" s="70"/>
      <c r="S26" s="102"/>
      <c r="T26" s="37"/>
      <c r="U26" s="3"/>
      <c r="V26" s="3"/>
      <c r="W26" s="3"/>
      <c r="X26" s="3"/>
      <c r="Y26" s="756"/>
      <c r="Z26" s="1"/>
      <c r="AA26" s="1"/>
      <c r="AB26" s="1"/>
      <c r="AC26" s="1"/>
      <c r="AD26" s="1"/>
      <c r="AE26" s="1"/>
      <c r="AF26" s="12"/>
      <c r="AG26" s="763"/>
      <c r="AH26" s="764"/>
      <c r="AI26" s="764"/>
      <c r="AJ26" s="764"/>
      <c r="AK26" s="764"/>
      <c r="AL26" s="765"/>
      <c r="AM26" s="103"/>
      <c r="AN26" s="96"/>
      <c r="AO26" s="92"/>
      <c r="AP26" s="96"/>
      <c r="AQ26" s="103"/>
      <c r="AR26" s="96"/>
      <c r="AS26" s="98"/>
      <c r="AT26" s="3"/>
      <c r="AU26" s="3"/>
      <c r="AV26" s="3"/>
      <c r="AW26" s="3"/>
      <c r="AX26" s="3"/>
      <c r="AY26" s="3"/>
      <c r="AZ26" s="3"/>
      <c r="BA26" s="3"/>
      <c r="BB26" s="3"/>
      <c r="BC26" s="1"/>
      <c r="BD26" s="3"/>
      <c r="BE26" s="23"/>
    </row>
    <row r="27" spans="1:57" ht="18.75" x14ac:dyDescent="0.25">
      <c r="A27" s="19"/>
      <c r="C27" s="99"/>
      <c r="D27" s="20"/>
      <c r="E27" s="701"/>
      <c r="F27" s="111"/>
      <c r="G27" s="111"/>
      <c r="H27" s="111"/>
      <c r="I27" s="113"/>
      <c r="J27" s="111"/>
      <c r="K27" s="111"/>
      <c r="L27" s="113"/>
      <c r="M27" s="113"/>
      <c r="N27" s="45"/>
      <c r="O27" s="45"/>
      <c r="P27" s="45"/>
      <c r="S27" s="45"/>
      <c r="T27" s="37"/>
      <c r="U27" s="3"/>
      <c r="V27" s="3"/>
      <c r="W27" s="3"/>
      <c r="X27" s="3"/>
      <c r="Y27" s="756"/>
      <c r="Z27" s="1"/>
      <c r="AA27" s="1"/>
      <c r="AB27" s="1"/>
      <c r="AC27" s="1"/>
      <c r="AD27" s="1"/>
      <c r="AE27" s="1"/>
      <c r="AF27" s="68"/>
      <c r="AG27" s="763"/>
      <c r="AH27" s="764"/>
      <c r="AI27" s="764"/>
      <c r="AJ27" s="764"/>
      <c r="AK27" s="764"/>
      <c r="AL27" s="765"/>
      <c r="AM27" s="103"/>
      <c r="AN27" s="737"/>
      <c r="AO27" s="737"/>
      <c r="AP27" s="737"/>
      <c r="AQ27" s="737"/>
      <c r="AR27" s="737"/>
      <c r="AS27" s="98"/>
      <c r="AT27" s="3"/>
      <c r="AU27" s="3"/>
      <c r="AV27" s="3"/>
      <c r="AW27" s="3"/>
      <c r="AX27" s="3"/>
      <c r="AY27" s="3"/>
      <c r="AZ27" s="3"/>
      <c r="BA27" s="3"/>
      <c r="BB27" s="3"/>
      <c r="BC27" s="1"/>
      <c r="BD27" s="3"/>
      <c r="BE27" s="23"/>
    </row>
    <row r="28" spans="1:57" ht="24" thickBot="1" x14ac:dyDescent="0.3">
      <c r="A28" s="19"/>
      <c r="C28" s="99"/>
      <c r="D28" s="20"/>
      <c r="E28" s="701"/>
      <c r="F28" s="111"/>
      <c r="G28" s="111"/>
      <c r="H28" s="111"/>
      <c r="I28" s="704"/>
      <c r="J28" s="704"/>
      <c r="K28" s="704"/>
      <c r="L28" s="704"/>
      <c r="M28" s="705"/>
      <c r="O28" s="111"/>
      <c r="P28" s="702"/>
      <c r="Q28" s="707"/>
      <c r="R28" s="707"/>
      <c r="S28" s="707"/>
      <c r="T28" s="702"/>
      <c r="U28" s="708"/>
      <c r="V28" s="98"/>
      <c r="W28" s="3"/>
      <c r="X28" s="3"/>
      <c r="Y28" s="756"/>
      <c r="Z28" s="1"/>
      <c r="AA28" s="1"/>
      <c r="AB28" s="1"/>
      <c r="AC28" s="1"/>
      <c r="AD28" s="1"/>
      <c r="AE28" s="1"/>
      <c r="AF28" s="12"/>
      <c r="AG28" s="766"/>
      <c r="AH28" s="767"/>
      <c r="AI28" s="767"/>
      <c r="AJ28" s="767"/>
      <c r="AK28" s="767"/>
      <c r="AL28" s="768"/>
      <c r="AM28" s="109"/>
      <c r="AN28" s="103"/>
      <c r="AO28" s="103"/>
      <c r="AP28" s="92"/>
      <c r="AQ28" s="110"/>
      <c r="AR28" s="98"/>
      <c r="AS28" s="98"/>
      <c r="AV28" s="111"/>
      <c r="AW28" s="111"/>
      <c r="AX28" s="111"/>
      <c r="AY28" s="111"/>
      <c r="AZ28" s="98"/>
      <c r="BA28" s="98"/>
      <c r="BB28" s="98"/>
      <c r="BC28" s="156"/>
      <c r="BD28" s="98"/>
      <c r="BE28" s="23"/>
    </row>
    <row r="29" spans="1:57" ht="15.75" x14ac:dyDescent="0.25">
      <c r="A29" s="19"/>
      <c r="B29" s="19"/>
      <c r="C29" s="19"/>
      <c r="D29" s="20"/>
      <c r="E29" s="701"/>
      <c r="F29" s="703"/>
      <c r="G29" s="111"/>
      <c r="H29" s="111"/>
      <c r="I29" s="701"/>
      <c r="J29" s="701"/>
      <c r="K29" s="701"/>
      <c r="L29" s="701"/>
      <c r="M29" s="111"/>
      <c r="O29" s="111"/>
      <c r="P29" s="701"/>
      <c r="Q29" s="701"/>
      <c r="R29" s="701"/>
      <c r="S29" s="701"/>
      <c r="T29" s="701"/>
      <c r="U29" s="709"/>
      <c r="V29" s="98"/>
      <c r="W29" s="3"/>
      <c r="X29" s="3"/>
      <c r="Y29" s="756"/>
      <c r="Z29" s="1"/>
      <c r="AA29" s="1"/>
      <c r="AB29" s="1"/>
      <c r="AC29" s="1"/>
      <c r="AD29" s="1"/>
      <c r="AE29" s="1"/>
      <c r="AF29" s="12"/>
      <c r="AG29" s="98"/>
      <c r="AH29" s="98"/>
      <c r="AI29" s="111"/>
      <c r="AJ29" s="98"/>
      <c r="AK29" s="98"/>
      <c r="AL29" s="98"/>
      <c r="AM29" s="98"/>
      <c r="AN29" s="103"/>
      <c r="AO29" s="103"/>
      <c r="AP29" s="110"/>
      <c r="AQ29" s="110"/>
      <c r="AR29" s="738"/>
      <c r="AS29" s="738"/>
      <c r="AV29" s="111"/>
      <c r="AW29" s="111"/>
      <c r="AX29" s="111"/>
      <c r="AY29" s="111"/>
      <c r="AZ29" s="111"/>
      <c r="BA29" s="111"/>
      <c r="BB29" s="111"/>
      <c r="BC29" s="156"/>
      <c r="BD29" s="98"/>
      <c r="BE29" s="23"/>
    </row>
    <row r="30" spans="1:57" ht="15.75" x14ac:dyDescent="0.25">
      <c r="A30" s="19"/>
      <c r="B30" s="19"/>
      <c r="C30" s="19"/>
      <c r="D30" s="20"/>
      <c r="E30" s="701"/>
      <c r="F30" s="703"/>
      <c r="G30" s="111"/>
      <c r="H30" s="111"/>
      <c r="I30" s="701"/>
      <c r="J30" s="701"/>
      <c r="K30" s="701"/>
      <c r="L30" s="701"/>
      <c r="M30" s="111"/>
      <c r="O30" s="111"/>
      <c r="P30" s="701"/>
      <c r="Q30" s="701"/>
      <c r="R30" s="701"/>
      <c r="S30" s="701"/>
      <c r="T30" s="701"/>
      <c r="U30" s="98"/>
      <c r="V30" s="98"/>
      <c r="W30" s="3"/>
      <c r="X30" s="3"/>
      <c r="Y30" s="756"/>
      <c r="Z30" s="3"/>
      <c r="AA30" s="3"/>
      <c r="AB30" s="3"/>
      <c r="AC30" s="3"/>
      <c r="AD30" s="3"/>
      <c r="AE30" s="3"/>
      <c r="AF30" s="12"/>
      <c r="AG30" s="98"/>
      <c r="AH30" s="92"/>
      <c r="AI30" s="92"/>
      <c r="AJ30" s="92"/>
      <c r="AK30" s="98"/>
      <c r="AL30" s="111"/>
      <c r="AM30" s="111"/>
      <c r="AN30" s="98"/>
      <c r="AO30" s="92"/>
      <c r="AP30" s="110"/>
      <c r="AQ30" s="113"/>
      <c r="AR30" s="114"/>
      <c r="AS30" s="98"/>
      <c r="AV30" s="111"/>
      <c r="AW30" s="737"/>
      <c r="AX30" s="737"/>
      <c r="AY30" s="737"/>
      <c r="AZ30" s="737"/>
      <c r="BA30" s="737"/>
      <c r="BB30" s="111"/>
      <c r="BC30" s="156"/>
      <c r="BD30" s="98"/>
      <c r="BE30" s="23"/>
    </row>
    <row r="31" spans="1:57" ht="26.25" x14ac:dyDescent="0.25">
      <c r="A31" s="19"/>
      <c r="B31" s="19"/>
      <c r="C31" s="19"/>
      <c r="D31" s="20"/>
      <c r="E31" s="739"/>
      <c r="F31" s="740"/>
      <c r="G31" s="111"/>
      <c r="H31" s="111"/>
      <c r="I31" s="704"/>
      <c r="J31" s="704"/>
      <c r="K31" s="704"/>
      <c r="L31" s="704"/>
      <c r="M31" s="111"/>
      <c r="O31" s="111"/>
      <c r="P31" s="702"/>
      <c r="Q31" s="707"/>
      <c r="R31" s="707"/>
      <c r="S31" s="707"/>
      <c r="T31" s="702"/>
      <c r="U31" s="156"/>
      <c r="V31" s="156"/>
      <c r="W31" s="3"/>
      <c r="X31" s="3"/>
      <c r="Y31" s="756"/>
      <c r="Z31" s="3"/>
      <c r="AA31" s="3"/>
      <c r="AB31" s="1"/>
      <c r="AC31" s="1"/>
      <c r="AD31" s="1"/>
      <c r="AE31" s="1"/>
      <c r="AF31" s="68"/>
      <c r="AG31" s="115"/>
      <c r="AH31" s="116"/>
      <c r="AI31" s="117"/>
      <c r="AJ31" s="93"/>
      <c r="AK31" s="118"/>
      <c r="AL31" s="119"/>
      <c r="AM31" s="115"/>
      <c r="AN31" s="116"/>
      <c r="AQ31" s="116"/>
      <c r="AR31" s="119"/>
      <c r="AS31" s="111"/>
      <c r="AV31" s="111"/>
      <c r="AW31" s="96"/>
      <c r="AX31" s="111"/>
      <c r="AY31" s="96"/>
      <c r="AZ31" s="111"/>
      <c r="BA31" s="96"/>
      <c r="BB31" s="741"/>
      <c r="BC31" s="98"/>
      <c r="BD31" s="98"/>
      <c r="BE31" s="23"/>
    </row>
    <row r="32" spans="1:57" ht="15.75" x14ac:dyDescent="0.25">
      <c r="A32" s="19"/>
      <c r="B32" s="19"/>
      <c r="C32" s="19"/>
      <c r="D32" s="20"/>
      <c r="E32" s="111"/>
      <c r="F32" s="103"/>
      <c r="G32" s="111"/>
      <c r="H32" s="111"/>
      <c r="I32" s="111"/>
      <c r="J32" s="111"/>
      <c r="K32" s="111"/>
      <c r="L32" s="111"/>
      <c r="M32" s="111"/>
      <c r="O32" s="111"/>
      <c r="P32" s="111"/>
      <c r="Q32" s="111"/>
      <c r="R32" s="111"/>
      <c r="S32" s="113"/>
      <c r="T32" s="98"/>
      <c r="U32" s="156"/>
      <c r="V32" s="98"/>
      <c r="W32" s="3"/>
      <c r="X32" s="3"/>
      <c r="Y32" s="756"/>
      <c r="Z32" s="3"/>
      <c r="AA32" s="3"/>
      <c r="AB32" s="3"/>
      <c r="AC32" s="3"/>
      <c r="AD32" s="3"/>
      <c r="AE32" s="3"/>
      <c r="AF32" s="12"/>
      <c r="AG32" s="120"/>
      <c r="AH32" s="121"/>
      <c r="AI32" s="92"/>
      <c r="AJ32" s="92"/>
      <c r="AK32" s="96"/>
      <c r="AL32" s="122"/>
      <c r="AM32" s="123"/>
      <c r="AN32" s="121"/>
      <c r="AO32" s="92"/>
      <c r="AP32" s="92"/>
      <c r="AQ32" s="96"/>
      <c r="AR32" s="124"/>
      <c r="AS32" s="98"/>
      <c r="AV32" s="96"/>
      <c r="AW32" s="97"/>
      <c r="AX32" s="96"/>
      <c r="AY32" s="97"/>
      <c r="AZ32" s="96"/>
      <c r="BA32" s="97"/>
      <c r="BB32" s="741"/>
      <c r="BC32" s="98"/>
      <c r="BD32" s="98"/>
      <c r="BE32" s="23"/>
    </row>
    <row r="33" spans="1:57" ht="18" x14ac:dyDescent="0.25">
      <c r="A33" s="19"/>
      <c r="B33" s="19"/>
      <c r="C33" s="19"/>
      <c r="D33" s="20"/>
      <c r="F33" s="16"/>
      <c r="H33" s="111"/>
      <c r="I33" s="111"/>
      <c r="J33" s="111"/>
      <c r="K33" s="111"/>
      <c r="L33" s="111"/>
      <c r="M33" s="111"/>
      <c r="O33" s="111"/>
      <c r="P33" s="111"/>
      <c r="Q33" s="125"/>
      <c r="R33" s="98"/>
      <c r="S33" s="98"/>
      <c r="T33" s="98"/>
      <c r="U33" s="98"/>
      <c r="V33" s="156"/>
      <c r="W33" s="3"/>
      <c r="X33" s="3"/>
      <c r="Y33" s="756"/>
      <c r="Z33" s="3"/>
      <c r="AA33" s="3"/>
      <c r="AB33" s="3"/>
      <c r="AC33" s="3"/>
      <c r="AD33" s="3"/>
      <c r="AE33" s="3"/>
      <c r="AF33" s="12"/>
      <c r="AG33" s="126"/>
      <c r="AH33" s="121"/>
      <c r="AI33" s="96"/>
      <c r="AJ33" s="96"/>
      <c r="AK33" s="111"/>
      <c r="AL33" s="719"/>
      <c r="AM33" s="123"/>
      <c r="AN33" s="123"/>
      <c r="AO33" s="123"/>
      <c r="AP33" s="123"/>
      <c r="AQ33" s="123"/>
      <c r="AR33" s="123"/>
      <c r="AT33" s="3"/>
      <c r="AU33" s="3"/>
      <c r="AV33" s="92"/>
      <c r="AW33" s="93"/>
      <c r="AX33" s="92"/>
      <c r="AY33" s="127"/>
      <c r="AZ33" s="92"/>
      <c r="BA33" s="117"/>
      <c r="BB33" s="92"/>
      <c r="BC33" s="98"/>
      <c r="BD33" s="163"/>
      <c r="BE33" s="128"/>
    </row>
    <row r="34" spans="1:57" ht="20.25" x14ac:dyDescent="0.25">
      <c r="A34" s="19"/>
      <c r="B34" s="19"/>
      <c r="C34" s="19"/>
      <c r="D34" s="20"/>
      <c r="E34" s="111"/>
      <c r="F34" s="111"/>
      <c r="G34" s="103"/>
      <c r="H34" s="111"/>
      <c r="I34" s="111"/>
      <c r="J34" s="111"/>
      <c r="K34" s="113"/>
      <c r="L34" s="706"/>
      <c r="M34" s="25">
        <v>1</v>
      </c>
      <c r="N34" s="25">
        <v>2</v>
      </c>
      <c r="O34" s="25">
        <v>3</v>
      </c>
      <c r="P34" s="45"/>
      <c r="Q34" s="130"/>
      <c r="R34" s="111"/>
      <c r="S34" s="111"/>
      <c r="U34" s="3"/>
      <c r="V34" s="3"/>
      <c r="W34" s="3"/>
      <c r="X34" s="3"/>
      <c r="Y34" s="756"/>
      <c r="Z34" s="3"/>
      <c r="AA34" s="3"/>
      <c r="AB34" s="3"/>
      <c r="AC34" s="3"/>
      <c r="AD34" s="3"/>
      <c r="AE34" s="3"/>
      <c r="AF34" s="12"/>
      <c r="AG34" s="126"/>
      <c r="AH34" s="96"/>
      <c r="AI34" s="92"/>
      <c r="AJ34" s="92"/>
      <c r="AK34" s="96"/>
      <c r="AL34" s="719"/>
      <c r="AU34" s="3"/>
      <c r="AV34" s="92"/>
      <c r="AW34" s="93"/>
      <c r="AX34" s="92"/>
      <c r="AY34" s="131"/>
      <c r="AZ34" s="92"/>
      <c r="BA34" s="93"/>
      <c r="BB34" s="92"/>
      <c r="BC34" s="98"/>
      <c r="BD34" s="163"/>
      <c r="BE34" s="128"/>
    </row>
    <row r="35" spans="1:57" ht="18" x14ac:dyDescent="0.25">
      <c r="A35" s="19"/>
      <c r="B35" s="3"/>
      <c r="C35" s="3"/>
      <c r="D35" s="12"/>
      <c r="E35" s="111"/>
      <c r="F35" s="111"/>
      <c r="G35" s="708"/>
      <c r="H35" s="717"/>
      <c r="I35" s="717"/>
      <c r="J35" s="717"/>
      <c r="K35" s="111"/>
      <c r="L35" s="17" t="s">
        <v>47</v>
      </c>
      <c r="M35" s="133" t="s">
        <v>48</v>
      </c>
      <c r="N35" s="133" t="s">
        <v>48</v>
      </c>
      <c r="O35" s="133" t="s">
        <v>48</v>
      </c>
      <c r="P35" s="25"/>
      <c r="Q35" s="134"/>
      <c r="R35" s="98"/>
      <c r="S35" s="98"/>
      <c r="U35" s="3"/>
      <c r="V35" s="1"/>
      <c r="W35" s="3"/>
      <c r="X35" s="3"/>
      <c r="Y35" s="756"/>
      <c r="Z35" s="75"/>
      <c r="AA35" s="3"/>
      <c r="AB35" s="3"/>
      <c r="AC35" s="3"/>
      <c r="AD35" s="3"/>
      <c r="AE35" s="3"/>
      <c r="AF35" s="12"/>
      <c r="AH35" s="111"/>
      <c r="AI35" s="111"/>
      <c r="AJ35" s="111"/>
      <c r="AK35" s="111"/>
      <c r="AL35" s="111"/>
      <c r="AN35" s="123"/>
      <c r="AO35" s="17" t="s">
        <v>49</v>
      </c>
      <c r="AP35" s="4"/>
      <c r="AQ35" s="4"/>
      <c r="AR35" s="25"/>
      <c r="AS35" s="135"/>
      <c r="AT35" s="3"/>
      <c r="AU35" s="3"/>
      <c r="AV35" s="96"/>
      <c r="AW35" s="97"/>
      <c r="AX35" s="96"/>
      <c r="AY35" s="97"/>
      <c r="AZ35" s="96"/>
      <c r="BA35" s="97"/>
      <c r="BB35" s="136"/>
      <c r="BC35" s="98"/>
      <c r="BD35" s="721"/>
      <c r="BE35" s="128"/>
    </row>
    <row r="36" spans="1:57" ht="18.75" thickBot="1" x14ac:dyDescent="0.3">
      <c r="A36" s="19"/>
      <c r="B36" s="3"/>
      <c r="C36" s="3"/>
      <c r="D36" s="12"/>
      <c r="E36" s="718"/>
      <c r="F36" s="111"/>
      <c r="G36" s="111"/>
      <c r="H36" s="701"/>
      <c r="I36" s="701"/>
      <c r="J36" s="701"/>
      <c r="K36" s="111"/>
      <c r="L36" s="133"/>
      <c r="M36" s="85">
        <v>100</v>
      </c>
      <c r="N36" s="77">
        <v>100</v>
      </c>
      <c r="O36" s="6">
        <v>100</v>
      </c>
      <c r="P36" s="133"/>
      <c r="Q36" s="140"/>
      <c r="R36" s="111"/>
      <c r="S36" s="111"/>
      <c r="U36" s="3"/>
      <c r="V36" s="1"/>
      <c r="W36" s="3"/>
      <c r="X36" s="3"/>
      <c r="Y36" s="757"/>
      <c r="Z36" s="711"/>
      <c r="AA36" s="697"/>
      <c r="AB36" s="697"/>
      <c r="AC36" s="697"/>
      <c r="AD36" s="697"/>
      <c r="AE36" s="697"/>
      <c r="AF36" s="141"/>
      <c r="AG36" s="57"/>
      <c r="AH36" s="121"/>
      <c r="AI36" s="92"/>
      <c r="AJ36" s="718"/>
      <c r="AK36" s="718"/>
      <c r="AL36" s="111"/>
      <c r="AN36" s="143">
        <v>1</v>
      </c>
      <c r="AO36" s="144" t="s">
        <v>48</v>
      </c>
      <c r="AP36" s="145">
        <v>100</v>
      </c>
      <c r="AQ36" s="146">
        <v>100</v>
      </c>
      <c r="AR36" s="144" t="s">
        <v>11</v>
      </c>
      <c r="AS36" s="147">
        <v>10</v>
      </c>
      <c r="AT36" s="3"/>
      <c r="AU36" s="3"/>
      <c r="AV36" s="111"/>
      <c r="AW36" s="96"/>
      <c r="AX36" s="111"/>
      <c r="AY36" s="96"/>
      <c r="AZ36" s="111"/>
      <c r="BA36" s="96"/>
      <c r="BB36" s="111"/>
      <c r="BC36" s="98"/>
      <c r="BD36" s="721"/>
      <c r="BE36" s="128"/>
    </row>
    <row r="37" spans="1:57" ht="18" x14ac:dyDescent="0.25">
      <c r="A37" s="19"/>
      <c r="B37" s="3"/>
      <c r="C37" s="3"/>
      <c r="D37" s="12"/>
      <c r="E37" s="111"/>
      <c r="F37" s="111"/>
      <c r="G37" s="111"/>
      <c r="H37" s="701"/>
      <c r="I37" s="701"/>
      <c r="J37" s="701"/>
      <c r="K37" s="111"/>
      <c r="L37" s="133"/>
      <c r="M37" s="8">
        <v>100</v>
      </c>
      <c r="N37" s="7">
        <v>100</v>
      </c>
      <c r="O37" s="145">
        <v>100</v>
      </c>
      <c r="P37" s="133"/>
      <c r="Q37" s="140"/>
      <c r="R37" s="98"/>
      <c r="S37" s="98"/>
      <c r="U37" s="3"/>
      <c r="V37" s="1"/>
      <c r="W37" s="3"/>
      <c r="X37" s="3"/>
      <c r="Y37" s="710"/>
      <c r="Z37" s="690"/>
      <c r="AA37" s="690"/>
      <c r="AB37" s="690"/>
      <c r="AC37" s="690"/>
      <c r="AD37" s="98"/>
      <c r="AE37" s="111"/>
      <c r="AF37" s="149"/>
      <c r="AH37" s="111"/>
      <c r="AI37" s="111"/>
      <c r="AJ37" s="718"/>
      <c r="AK37" s="718"/>
      <c r="AL37" s="111"/>
      <c r="AN37" s="143">
        <v>2</v>
      </c>
      <c r="AO37" s="144" t="s">
        <v>48</v>
      </c>
      <c r="AP37" s="9">
        <v>100</v>
      </c>
      <c r="AQ37" s="150">
        <v>100</v>
      </c>
      <c r="AR37" s="144" t="s">
        <v>11</v>
      </c>
      <c r="AS37" s="147">
        <v>9</v>
      </c>
      <c r="AT37" s="3"/>
      <c r="AU37" s="3"/>
      <c r="AV37" s="111"/>
      <c r="AW37" s="111"/>
      <c r="AX37" s="111"/>
      <c r="AY37" s="111"/>
      <c r="AZ37" s="111"/>
      <c r="BA37" s="111"/>
      <c r="BB37" s="111"/>
      <c r="BC37" s="98"/>
      <c r="BD37" s="721"/>
      <c r="BE37" s="128"/>
    </row>
    <row r="38" spans="1:57" ht="20.25" x14ac:dyDescent="0.25">
      <c r="A38" s="19"/>
      <c r="B38" s="3"/>
      <c r="C38" s="3"/>
      <c r="D38" s="12"/>
      <c r="E38" s="718"/>
      <c r="F38" s="111"/>
      <c r="G38" s="151"/>
      <c r="H38" s="717"/>
      <c r="I38" s="717"/>
      <c r="J38" s="717"/>
      <c r="K38" s="117"/>
      <c r="L38" s="25"/>
      <c r="M38" s="133" t="s">
        <v>48</v>
      </c>
      <c r="N38" s="133" t="s">
        <v>48</v>
      </c>
      <c r="O38" s="133" t="s">
        <v>48</v>
      </c>
      <c r="P38" s="25"/>
      <c r="Q38" s="134"/>
      <c r="R38" s="111"/>
      <c r="S38" s="111"/>
      <c r="U38" s="3"/>
      <c r="V38" s="1"/>
      <c r="W38" s="3"/>
      <c r="X38" s="148"/>
      <c r="Y38" s="3"/>
      <c r="Z38" s="712"/>
      <c r="AA38" s="712"/>
      <c r="AB38" s="98"/>
      <c r="AC38" s="98"/>
      <c r="AD38" s="98"/>
      <c r="AE38" s="98"/>
      <c r="AF38" s="3"/>
      <c r="AG38" s="57"/>
      <c r="AH38" s="111"/>
      <c r="AI38" s="130"/>
      <c r="AJ38" s="720"/>
      <c r="AK38" s="720"/>
      <c r="AL38" s="111"/>
      <c r="AN38" s="143">
        <v>3</v>
      </c>
      <c r="AO38" s="144" t="s">
        <v>48</v>
      </c>
      <c r="AP38" s="145">
        <v>100</v>
      </c>
      <c r="AQ38" s="146">
        <v>100</v>
      </c>
      <c r="AR38" s="144" t="s">
        <v>11</v>
      </c>
      <c r="AS38" s="147">
        <v>8</v>
      </c>
      <c r="AT38" s="3"/>
      <c r="AU38" s="3"/>
      <c r="BC38" s="111"/>
      <c r="BD38" s="163"/>
      <c r="BE38" s="128"/>
    </row>
    <row r="39" spans="1:57" ht="20.25" x14ac:dyDescent="0.25">
      <c r="A39" s="19"/>
      <c r="B39" s="3"/>
      <c r="C39" s="3"/>
      <c r="D39" s="12"/>
      <c r="E39" s="111"/>
      <c r="F39" s="111"/>
      <c r="G39" s="151"/>
      <c r="H39" s="98"/>
      <c r="I39" s="151"/>
      <c r="J39" s="116"/>
      <c r="K39" s="153"/>
      <c r="L39" s="116"/>
      <c r="M39" s="25">
        <v>4</v>
      </c>
      <c r="N39" s="25">
        <v>5</v>
      </c>
      <c r="O39" s="25">
        <v>6</v>
      </c>
      <c r="P39" s="130"/>
      <c r="Q39" s="130"/>
      <c r="R39" s="111"/>
      <c r="S39" s="111"/>
      <c r="T39" s="1"/>
      <c r="U39" s="1"/>
      <c r="V39" s="1"/>
      <c r="W39" s="3"/>
      <c r="X39" s="3"/>
      <c r="Y39" s="3"/>
      <c r="Z39" s="114"/>
      <c r="AA39" s="114"/>
      <c r="AB39" s="98"/>
      <c r="AC39" s="98"/>
      <c r="AD39" s="98"/>
      <c r="AE39" s="98"/>
      <c r="AF39" s="149"/>
      <c r="AG39" s="57"/>
      <c r="AH39" s="130"/>
      <c r="AI39" s="134"/>
      <c r="AJ39" s="719"/>
      <c r="AK39" s="719"/>
      <c r="AL39" s="111"/>
      <c r="AM39" s="115"/>
      <c r="AN39" s="143">
        <v>4</v>
      </c>
      <c r="AO39" s="144" t="s">
        <v>48</v>
      </c>
      <c r="AP39" s="9">
        <v>100</v>
      </c>
      <c r="AQ39" s="150">
        <v>100</v>
      </c>
      <c r="AR39" s="144" t="s">
        <v>11</v>
      </c>
      <c r="AS39" s="147">
        <v>7</v>
      </c>
      <c r="AT39" s="3"/>
      <c r="AU39" s="3"/>
      <c r="BC39" s="712"/>
      <c r="BD39" s="163"/>
      <c r="BE39" s="128"/>
    </row>
    <row r="40" spans="1:57" ht="21.75" thickBot="1" x14ac:dyDescent="0.4">
      <c r="A40" s="19"/>
      <c r="B40" s="1"/>
      <c r="C40" s="3"/>
      <c r="D40" s="12"/>
      <c r="E40" s="718"/>
      <c r="F40" s="111"/>
      <c r="G40" s="154"/>
      <c r="H40" s="111"/>
      <c r="I40" s="151"/>
      <c r="J40" s="116"/>
      <c r="K40" s="153"/>
      <c r="L40" s="155"/>
      <c r="M40" s="155"/>
      <c r="N40" s="155"/>
      <c r="O40" s="155"/>
      <c r="P40" s="155"/>
      <c r="Q40" s="155"/>
      <c r="R40" s="156"/>
      <c r="S40" s="156"/>
      <c r="T40" s="1"/>
      <c r="U40" s="1"/>
      <c r="V40" s="1"/>
      <c r="W40" s="3"/>
      <c r="X40" s="3"/>
      <c r="Y40" s="3"/>
      <c r="Z40" s="83"/>
      <c r="AA40" s="157"/>
      <c r="AB40" s="3"/>
      <c r="AC40" s="3"/>
      <c r="AD40" s="1"/>
      <c r="AE40" s="3"/>
      <c r="AF40" s="3"/>
      <c r="AG40" s="115"/>
      <c r="AH40" s="111"/>
      <c r="AI40" s="111"/>
      <c r="AJ40" s="719"/>
      <c r="AK40" s="719"/>
      <c r="AL40" s="96"/>
      <c r="AM40" s="130"/>
      <c r="AN40" s="143">
        <v>5</v>
      </c>
      <c r="AO40" s="74" t="s">
        <v>25</v>
      </c>
      <c r="AP40" s="158">
        <v>100</v>
      </c>
      <c r="AQ40" s="159">
        <v>100</v>
      </c>
      <c r="AR40" s="74" t="s">
        <v>25</v>
      </c>
      <c r="AS40" s="147">
        <v>6</v>
      </c>
      <c r="AT40" s="160"/>
      <c r="AU40" s="161"/>
      <c r="BC40" s="98"/>
      <c r="BD40" s="163"/>
      <c r="BE40" s="128"/>
    </row>
    <row r="41" spans="1:57" ht="20.25" x14ac:dyDescent="0.3">
      <c r="A41" s="19"/>
      <c r="B41" s="3"/>
      <c r="C41" s="3"/>
      <c r="D41" s="12"/>
      <c r="E41" s="111"/>
      <c r="F41" s="156"/>
      <c r="G41" s="156"/>
      <c r="H41" s="156"/>
      <c r="I41" s="151"/>
      <c r="J41" s="116"/>
      <c r="K41" s="153"/>
      <c r="L41" s="111"/>
      <c r="M41" s="111"/>
      <c r="N41" s="156"/>
      <c r="O41" s="156"/>
      <c r="P41" s="156"/>
      <c r="Q41" s="156"/>
      <c r="R41" s="156"/>
      <c r="S41" s="156"/>
      <c r="T41" s="1"/>
      <c r="U41" s="1"/>
      <c r="V41" s="1"/>
      <c r="W41" s="3"/>
      <c r="X41" s="3"/>
      <c r="Y41" s="3"/>
      <c r="AA41" s="162"/>
      <c r="AB41" s="162"/>
      <c r="AC41" s="162"/>
      <c r="AD41" s="162"/>
      <c r="AE41" s="3"/>
      <c r="AF41" s="3"/>
      <c r="AG41" s="57"/>
      <c r="AH41" s="121"/>
      <c r="AI41" s="134"/>
      <c r="AJ41" s="134"/>
      <c r="AK41" s="130"/>
      <c r="AL41" s="111"/>
      <c r="AO41" s="25"/>
      <c r="AP41" s="74"/>
      <c r="AQ41" s="74"/>
      <c r="AR41" s="25"/>
      <c r="BC41" s="722"/>
      <c r="BD41" s="163"/>
      <c r="BE41" s="128"/>
    </row>
    <row r="42" spans="1:57" ht="18.75" x14ac:dyDescent="0.3">
      <c r="A42" s="19"/>
      <c r="B42" s="3"/>
      <c r="C42" s="3"/>
      <c r="D42" s="12"/>
      <c r="E42" s="718"/>
      <c r="F42" s="156"/>
      <c r="G42" s="156"/>
      <c r="H42" s="156"/>
      <c r="I42" s="156"/>
      <c r="J42" s="156"/>
      <c r="K42" s="1"/>
      <c r="N42" s="1"/>
      <c r="O42" s="1"/>
      <c r="P42" s="1"/>
      <c r="Q42" s="1"/>
      <c r="R42" s="1"/>
      <c r="S42" s="1"/>
      <c r="T42" s="1"/>
      <c r="U42" s="1"/>
      <c r="V42" s="1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57"/>
      <c r="AH42" s="111"/>
      <c r="AI42" s="742"/>
      <c r="AJ42" s="742"/>
      <c r="AK42" s="111"/>
      <c r="AL42" s="111"/>
      <c r="AP42" s="25"/>
      <c r="AQ42" s="25"/>
      <c r="BB42" s="3"/>
      <c r="BC42" s="3"/>
      <c r="BD42" s="12"/>
      <c r="BE42" s="128"/>
    </row>
    <row r="43" spans="1:57" ht="16.5" thickBot="1" x14ac:dyDescent="0.3">
      <c r="A43" s="19"/>
      <c r="B43" s="3"/>
      <c r="C43" s="3"/>
      <c r="D43" s="12"/>
      <c r="E43" s="111"/>
      <c r="F43" s="156"/>
      <c r="G43" s="110"/>
      <c r="H43" s="156"/>
      <c r="I43" s="156"/>
      <c r="J43" s="156"/>
      <c r="K43" s="1"/>
      <c r="L43" s="1"/>
      <c r="M43" s="156"/>
      <c r="N43" s="156"/>
      <c r="O43" s="156"/>
      <c r="P43" s="156"/>
      <c r="Q43" s="156"/>
      <c r="R43" s="156"/>
      <c r="S43" s="1"/>
      <c r="T43" s="1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57"/>
      <c r="AG43" s="57"/>
      <c r="AH43" s="111"/>
      <c r="AI43" s="111"/>
      <c r="AJ43" s="111"/>
      <c r="AK43" s="111"/>
      <c r="AN43" s="96"/>
      <c r="AO43" s="96"/>
      <c r="AP43" s="96"/>
      <c r="AQ43" s="96"/>
      <c r="BB43" s="3"/>
      <c r="BC43" s="3"/>
      <c r="BD43" s="12"/>
      <c r="BE43" s="128"/>
    </row>
    <row r="44" spans="1:57" ht="15.75" x14ac:dyDescent="0.25">
      <c r="A44" s="19"/>
      <c r="B44" s="3"/>
      <c r="C44" s="3"/>
      <c r="D44" s="12"/>
      <c r="E44" s="725"/>
      <c r="F44" s="726"/>
      <c r="G44" s="726"/>
      <c r="H44" s="726"/>
      <c r="I44" s="726"/>
      <c r="J44" s="727"/>
      <c r="K44" s="1"/>
      <c r="L44" s="1"/>
      <c r="M44" s="156"/>
      <c r="N44" s="156"/>
      <c r="O44" s="156"/>
      <c r="P44" s="156"/>
      <c r="Q44" s="156"/>
      <c r="R44" s="156"/>
      <c r="S44" s="1"/>
      <c r="T44" s="156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110"/>
      <c r="AG44" s="57"/>
      <c r="BB44" s="1"/>
      <c r="BC44" s="3"/>
      <c r="BD44" s="12"/>
      <c r="BE44" s="128"/>
    </row>
    <row r="45" spans="1:57" ht="16.5" thickBot="1" x14ac:dyDescent="0.3">
      <c r="A45" s="19"/>
      <c r="B45" s="3"/>
      <c r="C45" s="3"/>
      <c r="D45" s="3"/>
      <c r="E45" s="728"/>
      <c r="F45" s="729"/>
      <c r="G45" s="729"/>
      <c r="H45" s="729"/>
      <c r="I45" s="729"/>
      <c r="J45" s="730"/>
      <c r="K45" s="96"/>
      <c r="L45" s="96"/>
      <c r="M45" s="96"/>
      <c r="N45" s="96"/>
      <c r="O45" s="96"/>
      <c r="P45" s="96"/>
      <c r="Q45" s="96"/>
      <c r="R45" s="96"/>
      <c r="S45" s="96"/>
      <c r="T45" s="156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163"/>
      <c r="AG45" s="96"/>
      <c r="AL45" s="96"/>
      <c r="AM45" s="96"/>
      <c r="AR45" s="96"/>
      <c r="AS45" s="161"/>
      <c r="AT45" s="161"/>
      <c r="AU45" s="161"/>
      <c r="AV45" s="161"/>
      <c r="AW45" s="161"/>
      <c r="AX45" s="161"/>
      <c r="AY45" s="161"/>
      <c r="AZ45" s="161"/>
      <c r="BA45" s="3"/>
      <c r="BB45" s="1"/>
      <c r="BC45" s="3"/>
      <c r="BD45" s="12"/>
      <c r="BE45" s="128"/>
    </row>
    <row r="46" spans="1:57" ht="34.5" thickBot="1" x14ac:dyDescent="0.3">
      <c r="A46" s="19"/>
      <c r="B46" s="3"/>
      <c r="C46" s="3"/>
      <c r="D46" s="3"/>
      <c r="E46" s="731"/>
      <c r="F46" s="732"/>
      <c r="G46" s="732"/>
      <c r="H46" s="732"/>
      <c r="I46" s="732"/>
      <c r="J46" s="733"/>
      <c r="K46" s="164"/>
      <c r="L46" s="164"/>
      <c r="M46" s="716"/>
      <c r="N46" s="716"/>
      <c r="O46" s="716"/>
      <c r="P46" s="716"/>
      <c r="Q46" s="716"/>
      <c r="R46" s="716"/>
      <c r="S46" s="164"/>
      <c r="T46" s="734"/>
      <c r="U46" s="735"/>
      <c r="V46" s="735"/>
      <c r="W46" s="735"/>
      <c r="X46" s="735"/>
      <c r="Y46" s="736"/>
      <c r="Z46" s="686"/>
      <c r="AA46" s="697"/>
      <c r="AB46" s="713"/>
      <c r="AC46" s="697"/>
      <c r="AD46" s="713"/>
      <c r="AE46" s="697"/>
      <c r="AF46" s="714"/>
      <c r="AG46" s="3"/>
      <c r="AZ46" s="46"/>
      <c r="BA46" s="3"/>
      <c r="BB46" s="3"/>
      <c r="BC46" s="3"/>
      <c r="BD46" s="168"/>
      <c r="BE46" s="128"/>
    </row>
    <row r="47" spans="1:57" ht="15.75" x14ac:dyDescent="0.25">
      <c r="A47" s="19"/>
      <c r="B47" s="3"/>
      <c r="C47" s="3"/>
      <c r="D47" s="3"/>
      <c r="E47" s="1"/>
      <c r="F47" s="1"/>
      <c r="G47" s="3"/>
      <c r="H47" s="3"/>
      <c r="I47" s="3"/>
      <c r="J47" s="57"/>
      <c r="K47" s="45"/>
      <c r="L47" s="45"/>
      <c r="M47" s="169"/>
      <c r="N47" s="45"/>
      <c r="O47" s="45"/>
      <c r="P47" s="45"/>
      <c r="Q47" s="45"/>
      <c r="R47" s="45"/>
      <c r="S47" s="45"/>
      <c r="T47" s="111"/>
      <c r="U47" s="111"/>
      <c r="V47" s="111"/>
      <c r="W47" s="111"/>
      <c r="X47" s="111"/>
      <c r="Y47" s="111"/>
      <c r="Z47" s="98"/>
      <c r="AA47" s="98"/>
      <c r="AB47" s="98"/>
      <c r="AC47" s="98"/>
      <c r="AD47" s="98"/>
      <c r="AE47" s="98"/>
      <c r="AF47" s="715"/>
      <c r="AG47" s="3"/>
      <c r="AM47" s="171"/>
      <c r="AN47" s="172"/>
      <c r="AO47" s="171"/>
      <c r="AP47" s="172"/>
      <c r="AQ47" s="171"/>
      <c r="AR47" s="172"/>
      <c r="AS47" s="171"/>
      <c r="AT47" s="172"/>
      <c r="AU47" s="172"/>
      <c r="AZ47" s="46"/>
      <c r="BA47" s="3"/>
      <c r="BB47" s="3"/>
      <c r="BC47" s="3"/>
      <c r="BD47" s="12"/>
      <c r="BE47" s="128"/>
    </row>
    <row r="48" spans="1:57" x14ac:dyDescent="0.25">
      <c r="A48" s="19"/>
      <c r="B48" s="3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3"/>
      <c r="AA48" s="3"/>
      <c r="AB48" s="3"/>
      <c r="AC48" s="3"/>
      <c r="AD48" s="83"/>
      <c r="AE48" s="3"/>
      <c r="AF48" s="12"/>
      <c r="AG48" s="3"/>
      <c r="AH48" s="19"/>
      <c r="AL48" s="3"/>
      <c r="AW48" s="171"/>
      <c r="AX48" s="171"/>
      <c r="AY48" s="171"/>
      <c r="AZ48" s="171"/>
      <c r="BA48" s="171"/>
      <c r="BB48" s="171"/>
      <c r="BC48" s="171"/>
      <c r="BD48" s="68"/>
      <c r="BE48" s="128"/>
    </row>
    <row r="49" spans="1:58" ht="16.5" thickBot="1" x14ac:dyDescent="0.3">
      <c r="A49" s="19"/>
      <c r="B49" s="3"/>
      <c r="C49" s="3"/>
      <c r="D49" s="3"/>
      <c r="E49" s="3"/>
      <c r="F49" s="3"/>
      <c r="G49" s="3"/>
      <c r="H49" s="3"/>
      <c r="J49" s="3"/>
      <c r="K49" s="3"/>
      <c r="L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12"/>
      <c r="AG49" s="3"/>
      <c r="AH49" s="173"/>
      <c r="AI49" s="173"/>
      <c r="AJ49" s="173"/>
      <c r="AK49" s="173"/>
      <c r="AL49" s="173"/>
      <c r="AM49" s="54"/>
      <c r="AN49" s="54"/>
      <c r="AO49" s="54"/>
      <c r="AP49" s="54"/>
      <c r="AQ49" s="54"/>
      <c r="AR49" s="54"/>
      <c r="AS49" s="54"/>
      <c r="AT49" s="54"/>
      <c r="AU49" s="54"/>
      <c r="AV49" s="174"/>
      <c r="AW49" s="174"/>
      <c r="AX49" s="174"/>
      <c r="AY49" s="174"/>
      <c r="AZ49" s="174"/>
      <c r="BA49" s="174"/>
      <c r="BB49" s="174"/>
      <c r="BC49" s="174"/>
      <c r="BD49" s="167"/>
      <c r="BE49" s="128"/>
    </row>
    <row r="50" spans="1:58" x14ac:dyDescent="0.25">
      <c r="A50" s="175"/>
      <c r="B50" s="176"/>
      <c r="D50" s="45"/>
      <c r="E50" s="45"/>
      <c r="F50" s="45"/>
      <c r="G50" s="45"/>
      <c r="H50" s="45"/>
      <c r="J50" s="45"/>
      <c r="K50" s="45"/>
      <c r="L50" s="45"/>
      <c r="M50" s="169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177"/>
      <c r="AC50" s="177"/>
      <c r="AD50" s="177"/>
      <c r="AE50" s="177"/>
      <c r="AF50" s="177"/>
      <c r="AG50" s="178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</row>
    <row r="51" spans="1:58" x14ac:dyDescent="0.25">
      <c r="A51" s="175"/>
      <c r="B51" s="176"/>
      <c r="D51" s="45"/>
      <c r="E51" s="45"/>
      <c r="F51" s="45"/>
      <c r="G51" s="45"/>
      <c r="H51" s="45"/>
      <c r="J51" s="45"/>
      <c r="K51" s="45"/>
      <c r="L51" s="45"/>
      <c r="M51" s="169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177"/>
      <c r="AC51" s="177"/>
      <c r="AD51" s="177"/>
      <c r="AE51" s="177"/>
      <c r="AF51" s="177"/>
      <c r="AG51" s="45"/>
      <c r="AH51" s="45"/>
      <c r="AI51" s="45"/>
      <c r="AJ51" s="45"/>
      <c r="AK51" s="45"/>
      <c r="AL51" s="45"/>
      <c r="AM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</row>
    <row r="52" spans="1:58" x14ac:dyDescent="0.25">
      <c r="M52" s="179"/>
    </row>
    <row r="53" spans="1:58" x14ac:dyDescent="0.25">
      <c r="M53" s="179"/>
    </row>
    <row r="54" spans="1:58" x14ac:dyDescent="0.25">
      <c r="M54" s="179"/>
    </row>
  </sheetData>
  <mergeCells count="18">
    <mergeCell ref="BB31:BB32"/>
    <mergeCell ref="AI42:AJ42"/>
    <mergeCell ref="A1:BD1"/>
    <mergeCell ref="A2:BD2"/>
    <mergeCell ref="A3:D5"/>
    <mergeCell ref="O13:P14"/>
    <mergeCell ref="Y13:Y24"/>
    <mergeCell ref="H19:L19"/>
    <mergeCell ref="E22:F22"/>
    <mergeCell ref="H22:H23"/>
    <mergeCell ref="AG24:AL28"/>
    <mergeCell ref="Y25:Y36"/>
    <mergeCell ref="E44:J46"/>
    <mergeCell ref="T46:Y46"/>
    <mergeCell ref="AN27:AR27"/>
    <mergeCell ref="AR29:AS29"/>
    <mergeCell ref="AW30:BA30"/>
    <mergeCell ref="E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Licencias actual</vt:lpstr>
      <vt:lpstr>Layout actual</vt:lpstr>
      <vt:lpstr>Denominacion</vt:lpstr>
      <vt:lpstr>Apuesta Minima</vt:lpstr>
    </vt:vector>
  </TitlesOfParts>
  <Company>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area tecnica</dc:creator>
  <cp:lastModifiedBy>Rodrigo Garcia Osorio</cp:lastModifiedBy>
  <cp:lastPrinted>2010-06-01T22:33:54Z</cp:lastPrinted>
  <dcterms:created xsi:type="dcterms:W3CDTF">2009-11-19T18:03:20Z</dcterms:created>
  <dcterms:modified xsi:type="dcterms:W3CDTF">2025-10-28T19:24:19Z</dcterms:modified>
</cp:coreProperties>
</file>