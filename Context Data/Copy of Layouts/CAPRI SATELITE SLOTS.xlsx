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1A86B62E-E039-4E3E-9737-8C15356B7815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7" i="51" l="1"/>
  <c r="E517" i="51"/>
  <c r="N516" i="51"/>
  <c r="E516" i="51"/>
  <c r="N515" i="51"/>
  <c r="E515" i="51"/>
  <c r="N514" i="51"/>
  <c r="E514" i="51"/>
  <c r="N513" i="51"/>
  <c r="E513" i="51"/>
  <c r="N512" i="51"/>
  <c r="E512" i="51"/>
  <c r="N511" i="51"/>
  <c r="E511" i="51"/>
  <c r="N510" i="51"/>
  <c r="E510" i="51"/>
  <c r="N509" i="51"/>
  <c r="E509" i="51"/>
  <c r="N508" i="51"/>
  <c r="N518" i="51" s="1"/>
  <c r="E508" i="51"/>
  <c r="E518" i="51" s="1"/>
  <c r="N506" i="51"/>
  <c r="E506" i="51"/>
  <c r="N505" i="51"/>
  <c r="E505" i="51"/>
  <c r="N504" i="51"/>
  <c r="E504" i="51"/>
  <c r="N503" i="51"/>
  <c r="E503" i="51"/>
  <c r="N502" i="51"/>
  <c r="E502" i="51"/>
  <c r="N501" i="51"/>
  <c r="E501" i="51"/>
  <c r="N500" i="51"/>
  <c r="E500" i="51"/>
  <c r="N499" i="51"/>
  <c r="E499" i="51"/>
  <c r="N498" i="51"/>
  <c r="E498" i="51"/>
  <c r="N497" i="51"/>
  <c r="E497" i="51"/>
  <c r="N496" i="51"/>
  <c r="E496" i="51"/>
  <c r="N495" i="51"/>
  <c r="E495" i="51"/>
  <c r="N494" i="51"/>
  <c r="E494" i="51"/>
  <c r="N491" i="51"/>
  <c r="E491" i="51"/>
  <c r="N490" i="51"/>
  <c r="E490" i="51"/>
  <c r="N489" i="51"/>
  <c r="E489" i="51"/>
  <c r="N488" i="51"/>
  <c r="N492" i="51" s="1"/>
  <c r="E488" i="51"/>
  <c r="E492" i="51" s="1"/>
  <c r="N485" i="51"/>
  <c r="E485" i="51"/>
  <c r="N484" i="51"/>
  <c r="E484" i="51"/>
  <c r="N483" i="51"/>
  <c r="E483" i="51"/>
  <c r="N482" i="51"/>
  <c r="E482" i="51"/>
  <c r="N481" i="51"/>
  <c r="E481" i="51"/>
  <c r="N480" i="51"/>
  <c r="N486" i="51" s="1"/>
  <c r="E480" i="51"/>
  <c r="E486" i="51" s="1"/>
  <c r="N477" i="51"/>
  <c r="E477" i="51"/>
  <c r="N476" i="51"/>
  <c r="E476" i="51"/>
  <c r="N475" i="51"/>
  <c r="E475" i="51"/>
  <c r="N474" i="51"/>
  <c r="E474" i="51"/>
  <c r="N473" i="51"/>
  <c r="E473" i="51"/>
  <c r="N472" i="51"/>
  <c r="E472" i="51"/>
  <c r="N471" i="51"/>
  <c r="E471" i="51"/>
  <c r="N470" i="51"/>
  <c r="E470" i="51"/>
  <c r="N469" i="51"/>
  <c r="E469" i="51"/>
  <c r="N468" i="51"/>
  <c r="E468" i="51"/>
  <c r="N467" i="51"/>
  <c r="E467" i="51"/>
  <c r="N466" i="51"/>
  <c r="E466" i="51"/>
  <c r="N465" i="51"/>
  <c r="E465" i="51"/>
  <c r="N464" i="51"/>
  <c r="E464" i="51"/>
  <c r="N463" i="51"/>
  <c r="E463" i="51"/>
  <c r="N462" i="51"/>
  <c r="E462" i="51"/>
  <c r="N461" i="51"/>
  <c r="E461" i="51"/>
  <c r="N460" i="51"/>
  <c r="E460" i="51"/>
  <c r="N459" i="51"/>
  <c r="E459" i="51"/>
  <c r="N458" i="51"/>
  <c r="E458" i="51"/>
  <c r="N457" i="51"/>
  <c r="E457" i="51"/>
  <c r="N456" i="51"/>
  <c r="E456" i="51"/>
  <c r="N455" i="51"/>
  <c r="N478" i="51" s="1"/>
  <c r="E455" i="51"/>
  <c r="E478" i="51" s="1"/>
  <c r="N452" i="51"/>
  <c r="E452" i="5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40" i="51"/>
  <c r="E440" i="51"/>
  <c r="N439" i="51"/>
  <c r="E439" i="51"/>
  <c r="N438" i="51"/>
  <c r="E438" i="51"/>
  <c r="N437" i="51"/>
  <c r="E437" i="51"/>
  <c r="N436" i="51"/>
  <c r="E436" i="51"/>
  <c r="N435" i="51"/>
  <c r="E435" i="51"/>
  <c r="N434" i="51"/>
  <c r="E434" i="51"/>
  <c r="N433" i="51"/>
  <c r="E433" i="51"/>
  <c r="N432" i="51"/>
  <c r="E432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N453" i="51" s="1"/>
  <c r="E376" i="51"/>
  <c r="E453" i="51" s="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N374" i="51" s="1"/>
  <c r="E346" i="51"/>
  <c r="E374" i="51" s="1"/>
  <c r="P332" i="51"/>
  <c r="Q332" i="51" s="1"/>
  <c r="M332" i="51"/>
  <c r="D332" i="51"/>
  <c r="M331" i="51"/>
  <c r="D331" i="51"/>
  <c r="P331" i="51" s="1"/>
  <c r="Q331" i="51" s="1"/>
  <c r="P330" i="51"/>
  <c r="Q330" i="51" s="1"/>
  <c r="M330" i="51"/>
  <c r="D330" i="51"/>
  <c r="P329" i="51"/>
  <c r="Q329" i="51" s="1"/>
  <c r="M329" i="51"/>
  <c r="D329" i="51"/>
  <c r="M328" i="51"/>
  <c r="D328" i="51"/>
  <c r="P328" i="51" s="1"/>
  <c r="Q328" i="51" s="1"/>
  <c r="P327" i="51"/>
  <c r="Q327" i="51" s="1"/>
  <c r="M327" i="51"/>
  <c r="D327" i="51"/>
  <c r="P326" i="51"/>
  <c r="Q326" i="51" s="1"/>
  <c r="M326" i="51"/>
  <c r="D326" i="51"/>
  <c r="M325" i="51"/>
  <c r="D325" i="51"/>
  <c r="P325" i="51" s="1"/>
  <c r="Q325" i="51" s="1"/>
  <c r="P324" i="51"/>
  <c r="Q324" i="51" s="1"/>
  <c r="M324" i="51"/>
  <c r="D324" i="51"/>
  <c r="P323" i="51"/>
  <c r="Q323" i="51" s="1"/>
  <c r="M323" i="51"/>
  <c r="D323" i="51"/>
  <c r="M322" i="51"/>
  <c r="D322" i="51"/>
  <c r="P322" i="51" s="1"/>
  <c r="Q322" i="51" s="1"/>
  <c r="P321" i="51"/>
  <c r="Q321" i="51" s="1"/>
  <c r="M321" i="51"/>
  <c r="D321" i="51"/>
  <c r="P320" i="51"/>
  <c r="Q320" i="51" s="1"/>
  <c r="M320" i="51"/>
  <c r="D320" i="51"/>
  <c r="M319" i="51"/>
  <c r="D319" i="51"/>
  <c r="P319" i="51" s="1"/>
  <c r="Q319" i="51" s="1"/>
  <c r="P318" i="51"/>
  <c r="Q318" i="51" s="1"/>
  <c r="M318" i="51"/>
  <c r="D318" i="51"/>
  <c r="P317" i="51"/>
  <c r="Q317" i="51" s="1"/>
  <c r="M317" i="51"/>
  <c r="D317" i="51"/>
  <c r="M316" i="51"/>
  <c r="D316" i="51"/>
  <c r="P316" i="51" s="1"/>
  <c r="Q316" i="51" s="1"/>
  <c r="P315" i="51"/>
  <c r="Q315" i="51" s="1"/>
  <c r="M315" i="51"/>
  <c r="D315" i="51"/>
  <c r="P314" i="51"/>
  <c r="Q314" i="51" s="1"/>
  <c r="M314" i="51"/>
  <c r="D314" i="51"/>
  <c r="M313" i="51"/>
  <c r="D313" i="51"/>
  <c r="P313" i="51" s="1"/>
  <c r="Q313" i="51" s="1"/>
  <c r="P312" i="51"/>
  <c r="Q312" i="51" s="1"/>
  <c r="M312" i="51"/>
  <c r="D312" i="51"/>
  <c r="P311" i="51"/>
  <c r="Q311" i="51" s="1"/>
  <c r="M311" i="51"/>
  <c r="D311" i="51"/>
  <c r="M310" i="51"/>
  <c r="D310" i="51"/>
  <c r="P310" i="51" s="1"/>
  <c r="Q310" i="51" s="1"/>
  <c r="M309" i="51"/>
  <c r="D309" i="51"/>
  <c r="P309" i="51" s="1"/>
  <c r="Q309" i="51" s="1"/>
  <c r="P308" i="51"/>
  <c r="Q308" i="51" s="1"/>
  <c r="M308" i="51"/>
  <c r="D308" i="51"/>
  <c r="M307" i="51"/>
  <c r="D307" i="51"/>
  <c r="P307" i="51" s="1"/>
  <c r="Q307" i="51" s="1"/>
  <c r="M306" i="51"/>
  <c r="D306" i="51"/>
  <c r="P306" i="51" s="1"/>
  <c r="Q306" i="51" s="1"/>
  <c r="P305" i="51"/>
  <c r="Q305" i="51" s="1"/>
  <c r="M305" i="51"/>
  <c r="D305" i="51"/>
  <c r="M304" i="51"/>
  <c r="D304" i="51"/>
  <c r="P304" i="51" s="1"/>
  <c r="Q304" i="51" s="1"/>
  <c r="M303" i="51"/>
  <c r="D303" i="51"/>
  <c r="P303" i="51" s="1"/>
  <c r="Q303" i="51" s="1"/>
  <c r="P302" i="51"/>
  <c r="Q302" i="51" s="1"/>
  <c r="M302" i="51"/>
  <c r="D302" i="51"/>
  <c r="M301" i="51"/>
  <c r="D301" i="51"/>
  <c r="P301" i="51" s="1"/>
  <c r="Q301" i="51" s="1"/>
  <c r="M300" i="51"/>
  <c r="D300" i="51"/>
  <c r="P300" i="51" s="1"/>
  <c r="Q300" i="51" s="1"/>
  <c r="P299" i="51"/>
  <c r="Q299" i="51" s="1"/>
  <c r="M299" i="51"/>
  <c r="D299" i="51"/>
  <c r="M298" i="51"/>
  <c r="D298" i="51"/>
  <c r="P298" i="51" s="1"/>
  <c r="Q298" i="51" s="1"/>
  <c r="M297" i="51"/>
  <c r="D297" i="51"/>
  <c r="P297" i="51" s="1"/>
  <c r="Q297" i="51" s="1"/>
  <c r="P296" i="51"/>
  <c r="Q296" i="51" s="1"/>
  <c r="M296" i="51"/>
  <c r="D296" i="51"/>
  <c r="M295" i="51"/>
  <c r="D295" i="51"/>
  <c r="P295" i="51" s="1"/>
  <c r="Q295" i="51" s="1"/>
  <c r="M294" i="51"/>
  <c r="D294" i="51"/>
  <c r="P294" i="51" s="1"/>
  <c r="Q294" i="51" s="1"/>
  <c r="P293" i="51"/>
  <c r="Q293" i="51" s="1"/>
  <c r="M293" i="51"/>
  <c r="D293" i="51"/>
  <c r="M292" i="51"/>
  <c r="D292" i="51"/>
  <c r="P292" i="51" s="1"/>
  <c r="Q292" i="51" s="1"/>
  <c r="M291" i="51"/>
  <c r="D291" i="51"/>
  <c r="P291" i="51" s="1"/>
  <c r="Q291" i="51" s="1"/>
  <c r="P290" i="51"/>
  <c r="Q290" i="51" s="1"/>
  <c r="M290" i="51"/>
  <c r="D290" i="51"/>
  <c r="M289" i="51"/>
  <c r="D289" i="51"/>
  <c r="P289" i="51" s="1"/>
  <c r="Q289" i="51" s="1"/>
  <c r="M288" i="51"/>
  <c r="D288" i="51"/>
  <c r="P288" i="51" s="1"/>
  <c r="Q288" i="51" s="1"/>
  <c r="P287" i="51"/>
  <c r="Q287" i="51" s="1"/>
  <c r="M287" i="51"/>
  <c r="D287" i="51"/>
  <c r="M286" i="51"/>
  <c r="D286" i="51"/>
  <c r="P286" i="51" s="1"/>
  <c r="M285" i="51"/>
  <c r="D285" i="51"/>
  <c r="P285" i="51" s="1"/>
  <c r="Q285" i="51" s="1"/>
  <c r="M284" i="51"/>
  <c r="D284" i="51"/>
  <c r="P284" i="51" s="1"/>
  <c r="Q284" i="51" s="1"/>
  <c r="M283" i="51"/>
  <c r="D283" i="51"/>
  <c r="P283" i="51" s="1"/>
  <c r="Q283" i="51" s="1"/>
  <c r="M282" i="51"/>
  <c r="D282" i="51"/>
  <c r="P282" i="51" s="1"/>
  <c r="Q282" i="51" s="1"/>
  <c r="M281" i="51"/>
  <c r="D281" i="51"/>
  <c r="P281" i="51" s="1"/>
  <c r="Q281" i="51" s="1"/>
  <c r="M280" i="51"/>
  <c r="D280" i="51"/>
  <c r="P280" i="51" s="1"/>
  <c r="Q280" i="51" s="1"/>
  <c r="M279" i="51"/>
  <c r="D279" i="51"/>
  <c r="P279" i="51" s="1"/>
  <c r="Q279" i="51" s="1"/>
  <c r="M278" i="51"/>
  <c r="D278" i="51"/>
  <c r="P278" i="51" s="1"/>
  <c r="Q278" i="51" s="1"/>
  <c r="M277" i="51"/>
  <c r="D277" i="51"/>
  <c r="P277" i="51" s="1"/>
  <c r="Q277" i="51" s="1"/>
  <c r="M276" i="51"/>
  <c r="D276" i="51"/>
  <c r="P276" i="51" s="1"/>
  <c r="Q276" i="51" s="1"/>
  <c r="M275" i="51"/>
  <c r="N260" i="51" s="1"/>
  <c r="D275" i="51"/>
  <c r="P275" i="51" s="1"/>
  <c r="Q275" i="51" s="1"/>
  <c r="P274" i="51"/>
  <c r="M274" i="51"/>
  <c r="D274" i="51"/>
  <c r="P273" i="51"/>
  <c r="Q273" i="51" s="1"/>
  <c r="M273" i="51"/>
  <c r="D273" i="51"/>
  <c r="M272" i="51"/>
  <c r="D272" i="51"/>
  <c r="P272" i="51" s="1"/>
  <c r="Q272" i="51" s="1"/>
  <c r="P271" i="51"/>
  <c r="Q271" i="51" s="1"/>
  <c r="M271" i="51"/>
  <c r="D271" i="51"/>
  <c r="P270" i="51"/>
  <c r="Q270" i="51" s="1"/>
  <c r="M270" i="51"/>
  <c r="D270" i="51"/>
  <c r="M269" i="51"/>
  <c r="D269" i="51"/>
  <c r="P269" i="51" s="1"/>
  <c r="Q269" i="51" s="1"/>
  <c r="P268" i="51"/>
  <c r="Q268" i="51" s="1"/>
  <c r="M268" i="51"/>
  <c r="D268" i="51"/>
  <c r="P267" i="51"/>
  <c r="Q267" i="51" s="1"/>
  <c r="M267" i="51"/>
  <c r="D267" i="51"/>
  <c r="M266" i="51"/>
  <c r="D266" i="51"/>
  <c r="P266" i="51" s="1"/>
  <c r="Q266" i="51" s="1"/>
  <c r="P265" i="51"/>
  <c r="Q265" i="51" s="1"/>
  <c r="M265" i="51"/>
  <c r="D265" i="51"/>
  <c r="P264" i="51"/>
  <c r="Q264" i="51" s="1"/>
  <c r="M264" i="51"/>
  <c r="D264" i="51"/>
  <c r="M263" i="51"/>
  <c r="D263" i="51"/>
  <c r="P263" i="51" s="1"/>
  <c r="Q263" i="51" s="1"/>
  <c r="P262" i="51"/>
  <c r="Q262" i="51" s="1"/>
  <c r="M262" i="51"/>
  <c r="D262" i="51"/>
  <c r="P261" i="51"/>
  <c r="Q261" i="51" s="1"/>
  <c r="M261" i="51"/>
  <c r="O230" i="51" s="1"/>
  <c r="D261" i="51"/>
  <c r="P259" i="51"/>
  <c r="Q259" i="51" s="1"/>
  <c r="M259" i="51"/>
  <c r="D259" i="51"/>
  <c r="M258" i="51"/>
  <c r="D258" i="51"/>
  <c r="P258" i="51" s="1"/>
  <c r="Q258" i="51" s="1"/>
  <c r="M257" i="51"/>
  <c r="D257" i="51"/>
  <c r="P257" i="51" s="1"/>
  <c r="Q257" i="51" s="1"/>
  <c r="P256" i="51"/>
  <c r="Q256" i="51" s="1"/>
  <c r="M256" i="51"/>
  <c r="D256" i="51"/>
  <c r="M255" i="51"/>
  <c r="D255" i="51"/>
  <c r="P255" i="51" s="1"/>
  <c r="Q255" i="51" s="1"/>
  <c r="M254" i="51"/>
  <c r="D254" i="51"/>
  <c r="P254" i="51" s="1"/>
  <c r="Q254" i="51" s="1"/>
  <c r="P253" i="51"/>
  <c r="Q253" i="51" s="1"/>
  <c r="M253" i="51"/>
  <c r="D253" i="51"/>
  <c r="M252" i="51"/>
  <c r="D252" i="51"/>
  <c r="P252" i="51" s="1"/>
  <c r="Q252" i="51" s="1"/>
  <c r="M251" i="51"/>
  <c r="D251" i="51"/>
  <c r="P251" i="51" s="1"/>
  <c r="Q251" i="51" s="1"/>
  <c r="P250" i="51"/>
  <c r="Q250" i="51" s="1"/>
  <c r="M250" i="51"/>
  <c r="D250" i="51"/>
  <c r="M249" i="51"/>
  <c r="D249" i="51"/>
  <c r="P249" i="51" s="1"/>
  <c r="Q249" i="51" s="1"/>
  <c r="M248" i="51"/>
  <c r="D248" i="51"/>
  <c r="P248" i="51" s="1"/>
  <c r="Q248" i="51" s="1"/>
  <c r="P247" i="51"/>
  <c r="Q247" i="51" s="1"/>
  <c r="M247" i="51"/>
  <c r="D247" i="51"/>
  <c r="M246" i="51"/>
  <c r="D246" i="51"/>
  <c r="P246" i="51" s="1"/>
  <c r="Q246" i="51" s="1"/>
  <c r="M245" i="51"/>
  <c r="D245" i="51"/>
  <c r="P245" i="51" s="1"/>
  <c r="Q245" i="51" s="1"/>
  <c r="P244" i="51"/>
  <c r="Q244" i="51" s="1"/>
  <c r="M244" i="51"/>
  <c r="D244" i="51"/>
  <c r="M243" i="51"/>
  <c r="D243" i="51"/>
  <c r="P243" i="51" s="1"/>
  <c r="Q243" i="51" s="1"/>
  <c r="M242" i="51"/>
  <c r="D242" i="51"/>
  <c r="P242" i="51" s="1"/>
  <c r="Q242" i="51" s="1"/>
  <c r="P241" i="51"/>
  <c r="Q241" i="51" s="1"/>
  <c r="M241" i="51"/>
  <c r="D241" i="51"/>
  <c r="M240" i="51"/>
  <c r="D240" i="51"/>
  <c r="P240" i="51" s="1"/>
  <c r="Q240" i="51" s="1"/>
  <c r="M239" i="51"/>
  <c r="D239" i="51"/>
  <c r="P239" i="51" s="1"/>
  <c r="Q239" i="51" s="1"/>
  <c r="P238" i="51"/>
  <c r="Q238" i="51" s="1"/>
  <c r="M238" i="51"/>
  <c r="D238" i="51"/>
  <c r="M237" i="51"/>
  <c r="D237" i="51"/>
  <c r="P237" i="51" s="1"/>
  <c r="Q237" i="51" s="1"/>
  <c r="M236" i="51"/>
  <c r="N235" i="51" s="1"/>
  <c r="D236" i="51"/>
  <c r="E235" i="51" s="1"/>
  <c r="Q214" i="51"/>
  <c r="P214" i="51"/>
  <c r="G214" i="51"/>
  <c r="P213" i="51"/>
  <c r="Q213" i="51" s="1"/>
  <c r="G213" i="51"/>
  <c r="P212" i="51"/>
  <c r="G212" i="51"/>
  <c r="Q212" i="51" s="1"/>
  <c r="P211" i="51"/>
  <c r="G211" i="51"/>
  <c r="Q211" i="51" s="1"/>
  <c r="Q210" i="51"/>
  <c r="P210" i="51"/>
  <c r="G210" i="51"/>
  <c r="P209" i="51"/>
  <c r="Q209" i="51" s="1"/>
  <c r="G209" i="51"/>
  <c r="P208" i="51"/>
  <c r="G208" i="51"/>
  <c r="Q208" i="51" s="1"/>
  <c r="P207" i="51"/>
  <c r="G207" i="51"/>
  <c r="Q207" i="51" s="1"/>
  <c r="P206" i="51"/>
  <c r="G206" i="51"/>
  <c r="Q206" i="51" s="1"/>
  <c r="P205" i="51"/>
  <c r="Q205" i="51" s="1"/>
  <c r="G205" i="51"/>
  <c r="P204" i="51"/>
  <c r="G204" i="51"/>
  <c r="Q204" i="51" s="1"/>
  <c r="P203" i="51"/>
  <c r="G203" i="51"/>
  <c r="Q203" i="51" s="1"/>
  <c r="P202" i="51"/>
  <c r="G202" i="51"/>
  <c r="Q202" i="51" s="1"/>
  <c r="P201" i="51"/>
  <c r="G201" i="51"/>
  <c r="Q201" i="51" s="1"/>
  <c r="P200" i="51"/>
  <c r="G200" i="51"/>
  <c r="Q200" i="51" s="1"/>
  <c r="P199" i="51"/>
  <c r="G199" i="51"/>
  <c r="Q199" i="51" s="1"/>
  <c r="P198" i="51"/>
  <c r="G198" i="51"/>
  <c r="Q198" i="51" s="1"/>
  <c r="P197" i="51"/>
  <c r="G197" i="51"/>
  <c r="Q197" i="51" s="1"/>
  <c r="P196" i="51"/>
  <c r="G196" i="51"/>
  <c r="Q196" i="51" s="1"/>
  <c r="P195" i="51"/>
  <c r="G195" i="51"/>
  <c r="Q195" i="51" s="1"/>
  <c r="P194" i="51"/>
  <c r="G194" i="51"/>
  <c r="Q194" i="51" s="1"/>
  <c r="P193" i="51"/>
  <c r="G193" i="51"/>
  <c r="Q193" i="51" s="1"/>
  <c r="P192" i="51"/>
  <c r="G192" i="51"/>
  <c r="Q192" i="51" s="1"/>
  <c r="P191" i="51"/>
  <c r="G191" i="51"/>
  <c r="Q191" i="51" s="1"/>
  <c r="P190" i="51"/>
  <c r="G190" i="51"/>
  <c r="Q190" i="51" s="1"/>
  <c r="P189" i="51"/>
  <c r="G189" i="51"/>
  <c r="Q189" i="51" s="1"/>
  <c r="P188" i="51"/>
  <c r="G188" i="51"/>
  <c r="Q188" i="51" s="1"/>
  <c r="P187" i="51"/>
  <c r="G187" i="51"/>
  <c r="Q187" i="51" s="1"/>
  <c r="P186" i="51"/>
  <c r="G186" i="51"/>
  <c r="Q186" i="51" s="1"/>
  <c r="P185" i="51"/>
  <c r="G185" i="51"/>
  <c r="Q185" i="51" s="1"/>
  <c r="P184" i="51"/>
  <c r="G184" i="51"/>
  <c r="Q184" i="51" s="1"/>
  <c r="P183" i="51"/>
  <c r="G183" i="51"/>
  <c r="Q183" i="51" s="1"/>
  <c r="P182" i="51"/>
  <c r="G182" i="51"/>
  <c r="Q182" i="51" s="1"/>
  <c r="P181" i="51"/>
  <c r="G181" i="51"/>
  <c r="Q181" i="51" s="1"/>
  <c r="P180" i="51"/>
  <c r="G180" i="51"/>
  <c r="Q180" i="51" s="1"/>
  <c r="P179" i="51"/>
  <c r="G179" i="51"/>
  <c r="Q179" i="51" s="1"/>
  <c r="P178" i="51"/>
  <c r="G178" i="51"/>
  <c r="Q178" i="51" s="1"/>
  <c r="P177" i="51"/>
  <c r="G177" i="51"/>
  <c r="Q177" i="51" s="1"/>
  <c r="P176" i="51"/>
  <c r="G176" i="51"/>
  <c r="Q176" i="51" s="1"/>
  <c r="P174" i="51"/>
  <c r="G174" i="51"/>
  <c r="Q174" i="51" s="1"/>
  <c r="P173" i="51"/>
  <c r="G173" i="51"/>
  <c r="Q173" i="51" s="1"/>
  <c r="P172" i="51"/>
  <c r="G172" i="51"/>
  <c r="Q172" i="51" s="1"/>
  <c r="P171" i="51"/>
  <c r="G171" i="51"/>
  <c r="Q171" i="51" s="1"/>
  <c r="P170" i="51"/>
  <c r="G170" i="51"/>
  <c r="Q170" i="51" s="1"/>
  <c r="P168" i="51"/>
  <c r="G168" i="51"/>
  <c r="Q168" i="51" s="1"/>
  <c r="P167" i="51"/>
  <c r="G167" i="51"/>
  <c r="Q167" i="51" s="1"/>
  <c r="P166" i="51"/>
  <c r="G166" i="51"/>
  <c r="Q166" i="51" s="1"/>
  <c r="P165" i="51"/>
  <c r="G165" i="51"/>
  <c r="Q165" i="51" s="1"/>
  <c r="P164" i="51"/>
  <c r="G164" i="51"/>
  <c r="Q164" i="51" s="1"/>
  <c r="P163" i="51"/>
  <c r="G163" i="51"/>
  <c r="Q163" i="51" s="1"/>
  <c r="P162" i="51"/>
  <c r="G162" i="51"/>
  <c r="Q162" i="51" s="1"/>
  <c r="P161" i="51"/>
  <c r="G161" i="51"/>
  <c r="Q161" i="51" s="1"/>
  <c r="P160" i="51"/>
  <c r="G160" i="51"/>
  <c r="Q160" i="51" s="1"/>
  <c r="P159" i="51"/>
  <c r="G159" i="51"/>
  <c r="Q159" i="51" s="1"/>
  <c r="P157" i="51"/>
  <c r="G157" i="51"/>
  <c r="Q157" i="51" s="1"/>
  <c r="P156" i="51"/>
  <c r="G156" i="51"/>
  <c r="Q156" i="51" s="1"/>
  <c r="P154" i="51"/>
  <c r="G154" i="51"/>
  <c r="Q154" i="51" s="1"/>
  <c r="P153" i="51"/>
  <c r="G153" i="51"/>
  <c r="Q153" i="51" s="1"/>
  <c r="P152" i="51"/>
  <c r="G152" i="51"/>
  <c r="Q152" i="51" s="1"/>
  <c r="P151" i="51"/>
  <c r="G151" i="51"/>
  <c r="Q151" i="51" s="1"/>
  <c r="P150" i="51"/>
  <c r="G150" i="51"/>
  <c r="Q150" i="51" s="1"/>
  <c r="P149" i="51"/>
  <c r="G149" i="51"/>
  <c r="Q149" i="51" s="1"/>
  <c r="P148" i="51"/>
  <c r="G148" i="51"/>
  <c r="Q148" i="51" s="1"/>
  <c r="P147" i="51"/>
  <c r="G147" i="51"/>
  <c r="Q147" i="51" s="1"/>
  <c r="P146" i="51"/>
  <c r="G146" i="51"/>
  <c r="Q146" i="51" s="1"/>
  <c r="P145" i="51"/>
  <c r="G145" i="51"/>
  <c r="Q145" i="51" s="1"/>
  <c r="P144" i="51"/>
  <c r="G144" i="51"/>
  <c r="Q144" i="51" s="1"/>
  <c r="P143" i="51"/>
  <c r="G143" i="51"/>
  <c r="Q143" i="51" s="1"/>
  <c r="P142" i="51"/>
  <c r="G142" i="51"/>
  <c r="Q142" i="51" s="1"/>
  <c r="P141" i="51"/>
  <c r="G141" i="51"/>
  <c r="Q141" i="51" s="1"/>
  <c r="P139" i="51"/>
  <c r="G139" i="51"/>
  <c r="Q139" i="51" s="1"/>
  <c r="P138" i="51"/>
  <c r="G138" i="51"/>
  <c r="Q138" i="51" s="1"/>
  <c r="P137" i="51"/>
  <c r="G137" i="51"/>
  <c r="Q137" i="51" s="1"/>
  <c r="P136" i="51"/>
  <c r="G136" i="51"/>
  <c r="Q136" i="51" s="1"/>
  <c r="P134" i="51"/>
  <c r="G134" i="51"/>
  <c r="Q134" i="51" s="1"/>
  <c r="P133" i="51"/>
  <c r="G133" i="51"/>
  <c r="Q133" i="51" s="1"/>
  <c r="P132" i="51"/>
  <c r="G132" i="51"/>
  <c r="Q132" i="51" s="1"/>
  <c r="P130" i="51"/>
  <c r="G130" i="51"/>
  <c r="Q130" i="51" s="1"/>
  <c r="P129" i="51"/>
  <c r="G129" i="51"/>
  <c r="Q129" i="51" s="1"/>
  <c r="P128" i="51"/>
  <c r="P215" i="51" s="1"/>
  <c r="O123" i="51" s="1"/>
  <c r="G128" i="51"/>
  <c r="Q128" i="51" s="1"/>
  <c r="AA125" i="51"/>
  <c r="U125" i="51"/>
  <c r="AA124" i="51"/>
  <c r="U124" i="51"/>
  <c r="AA123" i="51"/>
  <c r="U123" i="51"/>
  <c r="AA122" i="51"/>
  <c r="U122" i="51"/>
  <c r="AA121" i="51"/>
  <c r="U121" i="51"/>
  <c r="AA120" i="51"/>
  <c r="U120" i="51"/>
  <c r="AA119" i="51"/>
  <c r="U119" i="51"/>
  <c r="Q215" i="51" l="1"/>
  <c r="O343" i="51"/>
  <c r="F343" i="51"/>
  <c r="E341" i="51" s="1"/>
  <c r="G215" i="51"/>
  <c r="F123" i="51" s="1"/>
  <c r="P236" i="51"/>
  <c r="Q236" i="51" s="1"/>
  <c r="F228" i="51"/>
  <c r="O228" i="51"/>
  <c r="O226" i="51" s="1"/>
  <c r="F230" i="51"/>
  <c r="E260" i="51"/>
  <c r="F226" i="51" l="1"/>
  <c r="J115" i="51" s="1"/>
  <c r="J121" i="51"/>
</calcChain>
</file>

<file path=xl/sharedStrings.xml><?xml version="1.0" encoding="utf-8"?>
<sst xmlns="http://schemas.openxmlformats.org/spreadsheetml/2006/main" count="2895" uniqueCount="839">
  <si>
    <t>PICK&amp;WIN1</t>
  </si>
  <si>
    <t>PICK AND WIN 1</t>
  </si>
  <si>
    <t>PICK&amp;WIN2</t>
  </si>
  <si>
    <t>PICK AND WIN 2</t>
  </si>
  <si>
    <t>PICK&amp;WIN3</t>
  </si>
  <si>
    <t>PICK AND WIN 3</t>
  </si>
  <si>
    <t>HOT DEAL</t>
  </si>
  <si>
    <t>HDEAL</t>
  </si>
  <si>
    <t>LINK KING</t>
  </si>
  <si>
    <t>KING</t>
  </si>
  <si>
    <t>LINK ME</t>
  </si>
  <si>
    <t>LKM</t>
  </si>
  <si>
    <t>HIT</t>
  </si>
  <si>
    <t>BLZPRLS</t>
  </si>
  <si>
    <t>BLAZING PEARLS</t>
  </si>
  <si>
    <t>SPIN HIT</t>
  </si>
  <si>
    <t>LSHK</t>
  </si>
  <si>
    <t>PICK AND WIN SE</t>
  </si>
  <si>
    <t>PICK&amp;WINSE</t>
  </si>
  <si>
    <t>LINK SHOCK</t>
  </si>
  <si>
    <t>88 MULTI</t>
  </si>
  <si>
    <t>88MULTI</t>
  </si>
  <si>
    <t>88 LINK LUCKY CHARMS</t>
  </si>
  <si>
    <t>88LKLCH</t>
  </si>
  <si>
    <t>88 LINK WILD DUELS</t>
  </si>
  <si>
    <t>88LKWDLS</t>
  </si>
  <si>
    <t>BASHIBA</t>
  </si>
  <si>
    <t>BSHIBA</t>
  </si>
  <si>
    <t>BLAZING PEARLS II</t>
  </si>
  <si>
    <t>BLZPRLSII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</si>
  <si>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</si>
  <si>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</si>
  <si>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</si>
  <si>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</si>
  <si>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</si>
  <si>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</si>
  <si>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</si>
  <si>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</si>
  <si>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LINK KING II</t>
  </si>
  <si>
    <t>KINGII</t>
  </si>
  <si>
    <t>LINK ME II</t>
  </si>
  <si>
    <t>LKMII</t>
  </si>
  <si>
    <t>PICK AND WIN 24</t>
  </si>
  <si>
    <t>P&amp;W24</t>
  </si>
  <si>
    <t>PICK AND WIN 24 / HOT DEAL</t>
  </si>
  <si>
    <t>24HDEAL</t>
  </si>
  <si>
    <t>PICK AND WIN 24 / SPIN HIT</t>
  </si>
  <si>
    <t>24HIT</t>
  </si>
  <si>
    <t>SMART SPINS</t>
  </si>
  <si>
    <t>SSPINS</t>
  </si>
  <si>
    <t>SMART SPINS II</t>
  </si>
  <si>
    <t>SSPINSII</t>
  </si>
  <si>
    <t>88 LINK SHOCK</t>
  </si>
  <si>
    <t>88LKSHK</t>
  </si>
  <si>
    <t>88 MULTI SHOCK</t>
  </si>
  <si>
    <t>88MULTISHK</t>
  </si>
  <si>
    <t>LINK ME SHOCK</t>
  </si>
  <si>
    <t>LKMSHK</t>
  </si>
  <si>
    <t>LINK SHOCK II</t>
  </si>
  <si>
    <t>LSHKII</t>
  </si>
  <si>
    <t>88 LINK MULTIPLIER</t>
  </si>
  <si>
    <t>88LKMULTI</t>
  </si>
  <si>
    <t>BASHIBA ALLURE</t>
  </si>
  <si>
    <t>BSHIBAAALL</t>
  </si>
  <si>
    <t>BASHIBA EGYPTIAN</t>
  </si>
  <si>
    <t>BSHIBAEGYP</t>
  </si>
  <si>
    <t>5 TO WIN</t>
  </si>
  <si>
    <t>5WIN</t>
  </si>
  <si>
    <t>DOUBLE LINK</t>
  </si>
  <si>
    <t>DBLK</t>
  </si>
  <si>
    <t>HOT DEAL II</t>
  </si>
  <si>
    <t>HDEALII</t>
  </si>
  <si>
    <t>LIKE IT</t>
  </si>
  <si>
    <t>LKIT</t>
  </si>
  <si>
    <t>LINK UP</t>
  </si>
  <si>
    <t>LKUP</t>
  </si>
  <si>
    <t>F10LWDR</t>
  </si>
  <si>
    <t>F10HL</t>
  </si>
  <si>
    <t>HIGH LIFE</t>
  </si>
  <si>
    <t>LONG WANG DRAGON</t>
  </si>
  <si>
    <t>BLSTD</t>
  </si>
  <si>
    <t>BLAST DYNASTY</t>
  </si>
  <si>
    <t>MEISHK</t>
  </si>
  <si>
    <t>MEI SHI MEI KE</t>
  </si>
  <si>
    <t>WLEG</t>
  </si>
  <si>
    <t>WHEEL OF LEGENDS</t>
  </si>
  <si>
    <t>DBLKMW</t>
  </si>
  <si>
    <t>DOUBLE LINK MULTIPLIER WARRIORS</t>
  </si>
  <si>
    <t>88LKMS</t>
  </si>
  <si>
    <t>88 LINK MS</t>
  </si>
  <si>
    <t>BSHIBALUXMS</t>
  </si>
  <si>
    <t>BASHIBA LUXOR MS</t>
  </si>
  <si>
    <t>DLMWMS</t>
  </si>
  <si>
    <t>DOUBLE LINK MULTIPLIER WARRIOS MS</t>
  </si>
  <si>
    <t>KING2MS</t>
  </si>
  <si>
    <t>LINK KING 2 MS</t>
  </si>
  <si>
    <t>KING3MS</t>
  </si>
  <si>
    <t>LINK KING 3 MS</t>
  </si>
  <si>
    <t>KING4MS</t>
  </si>
  <si>
    <t>LINK KING 4 MS</t>
  </si>
  <si>
    <t>LKM2MS</t>
  </si>
  <si>
    <t>LINK ME 2 MS</t>
  </si>
  <si>
    <t>MKING</t>
  </si>
  <si>
    <t>MEGA KING</t>
  </si>
  <si>
    <t>F10MG</t>
  </si>
  <si>
    <t>FORTUNE 10 MULTIGAME</t>
  </si>
  <si>
    <t>SPIGUA</t>
  </si>
  <si>
    <t>BISMUS</t>
  </si>
  <si>
    <t>BISON MUSTANG</t>
  </si>
  <si>
    <t>FUSHOU</t>
  </si>
  <si>
    <t>RTWIST</t>
  </si>
  <si>
    <t>ROYAL TWIST</t>
  </si>
  <si>
    <t>MHAM</t>
  </si>
  <si>
    <t>FRWLK</t>
  </si>
  <si>
    <t>FAR WEST LINK</t>
  </si>
  <si>
    <t>FRWLKWM</t>
  </si>
  <si>
    <t>FAR WEST LINK WOLF MUSTANG</t>
  </si>
  <si>
    <t>LTMPL</t>
  </si>
  <si>
    <t>LIGHT TEMPLE</t>
  </si>
  <si>
    <t>MROOTS</t>
  </si>
  <si>
    <t>MAGIC ROOTS</t>
  </si>
  <si>
    <t>LKWLD</t>
  </si>
  <si>
    <t>WILD LINK</t>
  </si>
  <si>
    <t>CHSTS</t>
  </si>
  <si>
    <t>COLFIRE</t>
  </si>
  <si>
    <t>COLOSSUS FIRE</t>
  </si>
  <si>
    <t>BACK TO THE WILD</t>
  </si>
  <si>
    <t>BKWLD</t>
  </si>
  <si>
    <t>LINK KING BOOST</t>
  </si>
  <si>
    <t>KINGB</t>
  </si>
  <si>
    <t>LINK ME BOOST</t>
  </si>
  <si>
    <t>LKMB</t>
  </si>
  <si>
    <t>EPIC KINGDOM</t>
  </si>
  <si>
    <t>EPKNG</t>
  </si>
  <si>
    <t>LTMPLv2</t>
  </si>
  <si>
    <t>MROOTSv2</t>
  </si>
  <si>
    <t>MAGIC ROOTS v2</t>
  </si>
  <si>
    <t>MHAMU</t>
  </si>
  <si>
    <t>FUPTS</t>
  </si>
  <si>
    <t>FUSHLK</t>
  </si>
  <si>
    <t>SPIN GUARDIANS</t>
  </si>
  <si>
    <t>ETERNITY GONG</t>
  </si>
  <si>
    <t>EGONG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</si>
  <si>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</si>
  <si>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</si>
  <si>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</si>
  <si>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</si>
  <si>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</si>
  <si>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</si>
  <si>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</si>
  <si>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</si>
  <si>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</si>
  <si>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</si>
  <si>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</si>
  <si>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</si>
  <si>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</si>
  <si>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</si>
  <si>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</si>
  <si>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</si>
  <si>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</si>
  <si>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ID 6 2 0 0 - W I N P O T - C A P R I    S A T É L I T E</t>
  </si>
  <si>
    <t>WP CD</t>
  </si>
  <si>
    <t>WP CI</t>
  </si>
  <si>
    <t>MIN JUG $1.00</t>
  </si>
  <si>
    <t>SCIGA</t>
  </si>
  <si>
    <t>Miyoko II</t>
  </si>
  <si>
    <t>WP D</t>
  </si>
  <si>
    <t>FBM</t>
  </si>
  <si>
    <t>ISLA 1</t>
  </si>
  <si>
    <t>2C</t>
  </si>
  <si>
    <t>ISLA 2</t>
  </si>
  <si>
    <t>MIN JUG $2.50</t>
  </si>
  <si>
    <t>MIN JUG $4.40</t>
  </si>
  <si>
    <t>50C</t>
  </si>
  <si>
    <t>Zi</t>
  </si>
  <si>
    <t>WP CE</t>
  </si>
  <si>
    <t>5C</t>
  </si>
  <si>
    <t>AGS</t>
  </si>
  <si>
    <t>AW</t>
  </si>
  <si>
    <t>RESTAURANTE</t>
  </si>
  <si>
    <t>XTENSION LINK</t>
  </si>
  <si>
    <t>WP CC</t>
  </si>
  <si>
    <t>WP BQ</t>
  </si>
  <si>
    <t>WP L</t>
  </si>
  <si>
    <t>WP BN</t>
  </si>
  <si>
    <t>MIN JUG $2.40</t>
  </si>
  <si>
    <t>Quad Shot</t>
  </si>
  <si>
    <t>Multi Win</t>
  </si>
  <si>
    <t>AT</t>
  </si>
  <si>
    <t>MIYOKO II</t>
  </si>
  <si>
    <t>WP E</t>
  </si>
  <si>
    <t>AMA</t>
  </si>
  <si>
    <t>MIN JUG $1.50</t>
  </si>
  <si>
    <t>WP BZ</t>
  </si>
  <si>
    <t>ISLA 4</t>
  </si>
  <si>
    <t>Double Hit</t>
  </si>
  <si>
    <t>WP BW</t>
  </si>
  <si>
    <t>WP BS</t>
  </si>
  <si>
    <t>MIN JUG $3.40</t>
  </si>
  <si>
    <t>SIGN MHAM-2</t>
  </si>
  <si>
    <t>WP I</t>
  </si>
  <si>
    <t>ISLA 3</t>
  </si>
  <si>
    <t>WP BX</t>
  </si>
  <si>
    <t>WP BJ</t>
  </si>
  <si>
    <t>WP AS</t>
  </si>
  <si>
    <t>IGT</t>
  </si>
  <si>
    <t>WP BI</t>
  </si>
  <si>
    <t>MER</t>
  </si>
  <si>
    <t>BAÑOS</t>
  </si>
  <si>
    <t>Coin Fu Link</t>
  </si>
  <si>
    <t>WINPOTSL</t>
  </si>
  <si>
    <t>ISLA 5</t>
  </si>
  <si>
    <t>AR</t>
  </si>
  <si>
    <t>WP BB</t>
  </si>
  <si>
    <t>ISLA 15</t>
  </si>
  <si>
    <t>SIGN FUPTS-2</t>
  </si>
  <si>
    <t>WP M</t>
  </si>
  <si>
    <t>KN</t>
  </si>
  <si>
    <t>WS</t>
  </si>
  <si>
    <t>WP AX</t>
  </si>
  <si>
    <t>LINK HIT</t>
  </si>
  <si>
    <t>WP CM</t>
  </si>
  <si>
    <t>WP AM</t>
  </si>
  <si>
    <t>WP AL</t>
  </si>
  <si>
    <t>EGT</t>
  </si>
  <si>
    <t>WP AD</t>
  </si>
  <si>
    <t>WP AG</t>
  </si>
  <si>
    <t>TOPPERS</t>
  </si>
  <si>
    <t>WP BK</t>
  </si>
  <si>
    <t>WP V</t>
  </si>
  <si>
    <t>LADY'S CARDS</t>
  </si>
  <si>
    <t>SALIDA EMERGENCIA</t>
  </si>
  <si>
    <t>WP BU</t>
  </si>
  <si>
    <t>MIN JUG $5.00</t>
  </si>
  <si>
    <t>PROSPERITY LINK</t>
  </si>
  <si>
    <t>ISLA 7</t>
  </si>
  <si>
    <t>10C</t>
  </si>
  <si>
    <t>SIGN LK-2</t>
  </si>
  <si>
    <t>WP J</t>
  </si>
  <si>
    <t>ISLA 18</t>
  </si>
  <si>
    <t>WP AK</t>
  </si>
  <si>
    <t>WP AH</t>
  </si>
  <si>
    <t>WP F</t>
  </si>
  <si>
    <t>Bell Link</t>
  </si>
  <si>
    <t>ISLA 17</t>
  </si>
  <si>
    <t>SIGN 88LINK-2</t>
  </si>
  <si>
    <t xml:space="preserve">Lady's Card's </t>
  </si>
  <si>
    <t>Multi Win 1</t>
  </si>
  <si>
    <t>Multi Win 3</t>
  </si>
  <si>
    <t>ENDCP-INT</t>
  </si>
  <si>
    <t>WP CK</t>
  </si>
  <si>
    <t>WP CA</t>
  </si>
  <si>
    <t>WP BH</t>
  </si>
  <si>
    <t>COIN FU</t>
  </si>
  <si>
    <t>WP AR</t>
  </si>
  <si>
    <t>WP AF</t>
  </si>
  <si>
    <t>WP BG</t>
  </si>
  <si>
    <t>Multi Win 8</t>
  </si>
  <si>
    <t>Multi Win 2</t>
  </si>
  <si>
    <t>WP AT</t>
  </si>
  <si>
    <t>WP P</t>
  </si>
  <si>
    <t>WP BA</t>
  </si>
  <si>
    <t>WP R</t>
  </si>
  <si>
    <t>ISLA 8</t>
  </si>
  <si>
    <t>SIGN LM-2</t>
  </si>
  <si>
    <t>WP B</t>
  </si>
  <si>
    <t>ACCESO  FUMAR</t>
  </si>
  <si>
    <t>MIN JUG $3.75</t>
  </si>
  <si>
    <t>ISLA 9</t>
  </si>
  <si>
    <t>WP BF</t>
  </si>
  <si>
    <t>WP X</t>
  </si>
  <si>
    <t>ISLA 19</t>
  </si>
  <si>
    <t>ISLA 20</t>
  </si>
  <si>
    <t>SIGN LK/LM-2</t>
  </si>
  <si>
    <t>ISLA 21</t>
  </si>
  <si>
    <t>SIGN MKING-2</t>
  </si>
  <si>
    <t>CAJAS</t>
  </si>
  <si>
    <t>WP K</t>
  </si>
  <si>
    <t>SIGN ELINKR-2</t>
  </si>
  <si>
    <t>WP AA</t>
  </si>
  <si>
    <t>WP Z</t>
  </si>
  <si>
    <t>WP Y</t>
  </si>
  <si>
    <t>WP W</t>
  </si>
  <si>
    <t>WP BD</t>
  </si>
  <si>
    <t>ISLA 10</t>
  </si>
  <si>
    <t>SIGN BASHIBA-2</t>
  </si>
  <si>
    <t>WP H</t>
  </si>
  <si>
    <t>ISLA 22</t>
  </si>
  <si>
    <t>SIGN BP DW</t>
  </si>
  <si>
    <t>WP BE</t>
  </si>
  <si>
    <t>WP BL</t>
  </si>
  <si>
    <t>NOV</t>
  </si>
  <si>
    <t>ENDCP-DGT</t>
  </si>
  <si>
    <t>ISLA 11</t>
  </si>
  <si>
    <t>EGYPTIAN LINK</t>
  </si>
  <si>
    <t>WP AW</t>
  </si>
  <si>
    <t>ULTRA BOOST LINK</t>
  </si>
  <si>
    <t>WP T</t>
  </si>
  <si>
    <t>WP BT</t>
  </si>
  <si>
    <t>WP BR</t>
  </si>
  <si>
    <t>WP S</t>
  </si>
  <si>
    <t>WP G</t>
  </si>
  <si>
    <t>ULTIMATE FIRE LINK EXPLOSION</t>
  </si>
  <si>
    <t>ISLA 23</t>
  </si>
  <si>
    <t>BARRA</t>
  </si>
  <si>
    <t>}</t>
  </si>
  <si>
    <t>WP CB</t>
  </si>
  <si>
    <t>WP AB</t>
  </si>
  <si>
    <t>WP AE</t>
  </si>
  <si>
    <t>ISLA 6</t>
  </si>
  <si>
    <t>WP O</t>
  </si>
  <si>
    <t>ISLA 12</t>
  </si>
  <si>
    <t>SIGN FUFRG/FUPTS -2</t>
  </si>
  <si>
    <t>WP AO</t>
  </si>
  <si>
    <t>WP ZZ</t>
  </si>
  <si>
    <t>WP Q</t>
  </si>
  <si>
    <t>WP AP</t>
  </si>
  <si>
    <t>WP CJ</t>
  </si>
  <si>
    <t>ISLA 13</t>
  </si>
  <si>
    <t>ISLA 14</t>
  </si>
  <si>
    <t>MODULO DE BIENVENIDA</t>
  </si>
  <si>
    <t>ACCESO PRINCIPAL</t>
  </si>
  <si>
    <t>WP AN</t>
  </si>
  <si>
    <t>WP AC</t>
  </si>
  <si>
    <t>WP BV</t>
  </si>
  <si>
    <t>WP AQ</t>
  </si>
  <si>
    <t>MIN JUG$4.40</t>
  </si>
  <si>
    <t xml:space="preserve">JEWEL OF THE DRAGON </t>
  </si>
  <si>
    <t>WP N</t>
  </si>
  <si>
    <t>WP BO</t>
  </si>
  <si>
    <t>WP AJ</t>
  </si>
  <si>
    <t>WP C</t>
  </si>
  <si>
    <t>TOTAL SALA</t>
  </si>
  <si>
    <t>ANTERIOR THERMO ENTREGADO</t>
  </si>
  <si>
    <t>THERMO ACTUAL</t>
  </si>
  <si>
    <t>2305-25</t>
  </si>
  <si>
    <t>FECHA</t>
  </si>
  <si>
    <t>SEMANA</t>
  </si>
  <si>
    <t>S5 a S16</t>
  </si>
  <si>
    <t>S24 a S35</t>
  </si>
  <si>
    <t>139 MAQ.</t>
  </si>
  <si>
    <t>TOTAL</t>
  </si>
  <si>
    <t>VS</t>
  </si>
  <si>
    <t>136 MAQ.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</si>
  <si>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</si>
  <si>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</si>
  <si>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</si>
  <si>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</si>
  <si>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</si>
  <si>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</si>
  <si>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</si>
  <si>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</si>
  <si>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</si>
  <si>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</si>
  <si>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</si>
  <si>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BRYKE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</si>
  <si>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</si>
  <si>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</si>
  <si>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</si>
  <si>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</si>
  <si>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</si>
  <si>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</si>
  <si>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</si>
  <si>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</si>
  <si>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</si>
  <si>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</si>
  <si>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</si>
  <si>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</si>
  <si>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</si>
  <si>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</si>
  <si>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</si>
  <si>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</si>
  <si>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</si>
  <si>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</si>
  <si>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</si>
  <si>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</si>
  <si>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</si>
  <si>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</si>
  <si>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</si>
  <si>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EIBE</t>
  </si>
  <si>
    <t>AMBRA GAMING</t>
  </si>
  <si>
    <t>AMBRA</t>
  </si>
  <si>
    <t>METRONIA / BEMEX</t>
  </si>
  <si>
    <t>MET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</si>
  <si>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</si>
  <si>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</si>
  <si>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</si>
  <si>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</si>
  <si>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</si>
  <si>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</si>
  <si>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</si>
  <si>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</si>
  <si>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</si>
  <si>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</si>
  <si>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SLEIC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</si>
  <si>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</si>
  <si>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</si>
  <si>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</si>
  <si>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</si>
  <si>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</si>
  <si>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</si>
  <si>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</si>
  <si>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</si>
  <si>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</si>
  <si>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</si>
  <si>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</si>
  <si>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</si>
  <si>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</si>
  <si>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</si>
  <si>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</si>
  <si>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</si>
  <si>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</si>
  <si>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</si>
  <si>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</si>
  <si>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</si>
  <si>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</si>
  <si>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</si>
  <si>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</si>
  <si>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</si>
  <si>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</si>
  <si>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</si>
  <si>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</si>
  <si>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</si>
  <si>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</si>
  <si>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</si>
  <si>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</si>
  <si>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</si>
  <si>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</si>
  <si>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</si>
  <si>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</si>
  <si>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</si>
  <si>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AMUSGO</t>
  </si>
  <si>
    <t>AMGO</t>
  </si>
  <si>
    <t>APEX</t>
  </si>
  <si>
    <t>ARISTOCRAT</t>
  </si>
  <si>
    <t>ARUZE</t>
  </si>
  <si>
    <t>ARU</t>
  </si>
  <si>
    <t>ASTRO</t>
  </si>
  <si>
    <t>ATRONIC</t>
  </si>
  <si>
    <t>AURIFY</t>
  </si>
  <si>
    <t>AFI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</si>
  <si>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</si>
  <si>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</si>
  <si>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</si>
  <si>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</si>
  <si>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</si>
  <si>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</si>
  <si>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</si>
  <si>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</si>
  <si>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</si>
  <si>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</si>
  <si>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</si>
  <si>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</si>
  <si>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</si>
  <si>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</si>
  <si>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</si>
  <si>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</si>
  <si>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</si>
  <si>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</si>
  <si>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</si>
  <si>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</si>
  <si>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</si>
  <si>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</si>
  <si>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</si>
  <si>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</si>
  <si>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</si>
  <si>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</si>
  <si>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</si>
  <si>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</si>
  <si>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</si>
  <si>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</si>
  <si>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</si>
  <si>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</si>
  <si>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</si>
  <si>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</si>
  <si>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</si>
  <si>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</si>
  <si>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</si>
  <si>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</si>
  <si>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</si>
  <si>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</si>
  <si>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</si>
  <si>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</si>
  <si>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</si>
  <si>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</si>
  <si>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</si>
  <si>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</si>
  <si>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</si>
  <si>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</si>
  <si>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</si>
  <si>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</si>
  <si>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</si>
  <si>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</si>
  <si>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</si>
  <si>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</si>
  <si>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</si>
  <si>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</si>
  <si>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</si>
  <si>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</si>
  <si>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</si>
  <si>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</si>
  <si>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</si>
  <si>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</si>
  <si>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</si>
  <si>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LEGENDARY GAMING/BAUM GAMES</t>
  </si>
  <si>
    <t>BAUM</t>
  </si>
  <si>
    <t>MERKUR</t>
  </si>
  <si>
    <t>MULTI MEDIA GAMES</t>
  </si>
  <si>
    <t>MMG</t>
  </si>
  <si>
    <t>NOVOMATIC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</si>
  <si>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</si>
  <si>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</si>
  <si>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</si>
  <si>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</si>
  <si>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</si>
  <si>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</si>
  <si>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</si>
  <si>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</si>
  <si>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</si>
  <si>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</si>
  <si>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</si>
  <si>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</si>
  <si>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</si>
  <si>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</si>
  <si>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</si>
  <si>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</si>
  <si>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</si>
  <si>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</si>
  <si>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</si>
  <si>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</si>
  <si>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</si>
  <si>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</si>
  <si>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</si>
  <si>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</si>
  <si>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</si>
  <si>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</si>
  <si>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</si>
  <si>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</si>
  <si>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 SYSTEM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</si>
  <si>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</si>
  <si>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</si>
  <si>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</si>
  <si>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</si>
  <si>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</si>
  <si>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</si>
  <si>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</si>
  <si>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</si>
  <si>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</si>
  <si>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</si>
  <si>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</si>
  <si>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</si>
  <si>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</si>
  <si>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</si>
  <si>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</si>
  <si>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</si>
  <si>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</si>
  <si>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</si>
  <si>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</si>
  <si>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</si>
  <si>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</si>
  <si>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</si>
  <si>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</si>
  <si>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</si>
  <si>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</si>
  <si>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</si>
  <si>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</si>
  <si>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</si>
  <si>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</si>
  <si>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</si>
  <si>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</si>
  <si>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</si>
  <si>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</si>
  <si>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</si>
  <si>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</si>
  <si>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</si>
  <si>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</si>
  <si>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</si>
  <si>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</si>
  <si>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</si>
  <si>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</si>
  <si>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</si>
  <si>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</si>
  <si>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</si>
  <si>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</si>
  <si>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</si>
  <si>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</si>
  <si>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</si>
  <si>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</si>
  <si>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</si>
  <si>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</si>
  <si>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</si>
  <si>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</si>
  <si>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</si>
  <si>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</si>
  <si>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</si>
  <si>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</si>
  <si>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</si>
  <si>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</si>
  <si>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</si>
  <si>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</si>
  <si>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</si>
  <si>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</si>
  <si>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</si>
  <si>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</si>
  <si>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</si>
  <si>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</si>
  <si>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88 LINK MEGA SHARE 2 CARAS</t>
  </si>
  <si>
    <t>SIGN 88LINKMS-2</t>
  </si>
  <si>
    <t>BACK TO THE WILD 2 CARAS</t>
  </si>
  <si>
    <t>SIGN BWILD-2</t>
  </si>
  <si>
    <t>BASHIBA 2 CARAS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</si>
  <si>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</si>
  <si>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</si>
  <si>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</si>
  <si>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</si>
  <si>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</si>
  <si>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</si>
  <si>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</si>
  <si>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FU FROG 2 CARAS</t>
  </si>
  <si>
    <t>SIGN FUFRG-2</t>
  </si>
  <si>
    <t>FU POTS 2 CARAS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</si>
  <si>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</si>
  <si>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</si>
  <si>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</si>
  <si>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</si>
  <si>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</si>
  <si>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</si>
  <si>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</si>
  <si>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</si>
  <si>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</si>
  <si>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</si>
  <si>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</si>
  <si>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LINK KING II MEGA SHARE 2 CARAS</t>
  </si>
  <si>
    <t>SIGN LK2MS-2</t>
  </si>
  <si>
    <t>LINK KING BOOST 2 CARAS</t>
  </si>
  <si>
    <t>SIGN LKB-2</t>
  </si>
  <si>
    <t>LINK ME 2 CARAS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</si>
  <si>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</si>
  <si>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</si>
  <si>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</si>
  <si>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</si>
  <si>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</si>
  <si>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</si>
  <si>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</si>
  <si>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</si>
  <si>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</si>
  <si>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</si>
  <si>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</si>
  <si>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</si>
  <si>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</si>
  <si>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</si>
  <si>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</si>
  <si>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</si>
  <si>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</si>
  <si>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</si>
  <si>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</si>
  <si>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</si>
  <si>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</si>
  <si>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</si>
  <si>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</si>
  <si>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</si>
  <si>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</si>
  <si>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</si>
  <si>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</si>
  <si>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</si>
  <si>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</si>
  <si>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</si>
  <si>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</si>
  <si>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</si>
  <si>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</si>
  <si>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</si>
  <si>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</si>
  <si>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</si>
  <si>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</si>
  <si>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</si>
  <si>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</si>
  <si>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</si>
  <si>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</si>
  <si>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</si>
  <si>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</si>
  <si>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</si>
  <si>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</si>
  <si>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</si>
  <si>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</si>
  <si>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</si>
  <si>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</si>
  <si>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</si>
  <si>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</si>
  <si>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</si>
  <si>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</si>
  <si>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</si>
  <si>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</si>
  <si>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</si>
  <si>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</si>
  <si>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</si>
  <si>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</si>
  <si>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</si>
  <si>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</si>
  <si>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</si>
  <si>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</si>
  <si>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</si>
  <si>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</si>
  <si>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</si>
  <si>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</si>
  <si>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</si>
  <si>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</si>
  <si>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</si>
  <si>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</si>
  <si>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</si>
  <si>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</si>
  <si>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</si>
  <si>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</si>
  <si>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</si>
  <si>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</si>
  <si>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</si>
  <si>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</si>
  <si>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</si>
  <si>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</si>
  <si>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</si>
  <si>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</si>
  <si>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</si>
  <si>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</si>
  <si>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</si>
  <si>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</si>
  <si>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</si>
  <si>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</si>
  <si>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</si>
  <si>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</si>
  <si>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</si>
  <si>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</si>
  <si>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</si>
  <si>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</si>
  <si>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</si>
  <si>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</si>
  <si>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</si>
  <si>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</si>
  <si>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</si>
  <si>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</si>
  <si>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</si>
  <si>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</si>
  <si>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</si>
  <si>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</si>
  <si>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</si>
  <si>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</si>
  <si>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</si>
  <si>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</si>
  <si>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</si>
  <si>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</si>
  <si>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</si>
  <si>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</si>
  <si>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</si>
  <si>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</si>
  <si>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</si>
  <si>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</si>
  <si>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</si>
  <si>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</si>
  <si>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</si>
  <si>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</si>
  <si>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</si>
  <si>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</si>
  <si>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</si>
  <si>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</si>
  <si>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</si>
  <si>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</si>
  <si>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</si>
  <si>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</si>
  <si>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</si>
  <si>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</si>
  <si>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</si>
  <si>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</si>
  <si>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</si>
  <si>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</si>
  <si>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</si>
  <si>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</si>
  <si>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</si>
  <si>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</si>
  <si>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</si>
  <si>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</si>
  <si>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</si>
  <si>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</si>
  <si>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</si>
  <si>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</si>
  <si>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</si>
  <si>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</si>
  <si>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</si>
  <si>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MIGHTY HAMMER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</si>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</sst>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(* #,##0_);_(* \(#,##0\);_(* &quot;-&quot;_);_(@_)"/>
    <numFmt numFmtId="171" formatCode="h:mm;@"/>
    <numFmt numFmtId="172" formatCode="_-* #,##0\ _€_-;\-* #,##0\ _€_-;_-* &quot;-&quot;\ _€_-;_-@_-"/>
    <numFmt numFmtId="173" formatCode="0000000"/>
  </numFmts>
  <fonts count="17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0"/>
      <color rgb="FF000000"/>
      <name val="Arial"/>
      <family val="2"/>
    </font>
    <font>
      <b/>
      <sz val="18"/>
      <color theme="5" tint="0.3999755851924192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5" tint="0.7999816888943144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36"/>
      <color indexed="8"/>
      <name val="Calibri"/>
      <family val="2"/>
    </font>
    <font>
      <b/>
      <sz val="22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14"/>
      <name val="Arial"/>
      <family val="2"/>
    </font>
    <font>
      <b/>
      <sz val="20"/>
      <color rgb="FFFF0000"/>
      <name val="Calibri"/>
      <family val="2"/>
    </font>
    <font>
      <b/>
      <sz val="9"/>
      <color rgb="FF000000"/>
      <name val="Calibri"/>
    </font>
    <font>
      <b/>
      <sz val="16"/>
      <color rgb="FFFF0000"/>
      <name val="Calibri"/>
      <family val="2"/>
    </font>
    <font>
      <sz val="10"/>
      <name val="Arial"/>
    </font>
    <font>
      <b/>
      <sz val="12"/>
      <name val="Arial"/>
      <family val="2"/>
    </font>
    <font>
      <sz val="10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</font>
    <font>
      <b/>
      <sz val="18"/>
      <color rgb="FFFFC000"/>
      <name val="Calibri"/>
    </font>
    <font>
      <b/>
      <sz val="18"/>
      <color indexed="9"/>
      <name val="Calibri"/>
      <family val="2"/>
    </font>
    <font>
      <b/>
      <sz val="14"/>
      <color rgb="FF00B0F0"/>
      <name val="Calibri"/>
      <family val="2"/>
    </font>
    <font>
      <b/>
      <sz val="16"/>
      <color rgb="FFFF0000"/>
      <name val="Calibri"/>
    </font>
    <font>
      <b/>
      <sz val="16"/>
      <name val="Calibri"/>
    </font>
    <font>
      <b/>
      <sz val="16"/>
      <color rgb="FFFF0000"/>
      <name val="Calibri"/>
      <family val="2"/>
      <scheme val="minor"/>
    </font>
    <font>
      <sz val="11"/>
      <color rgb="FF000000"/>
      <name val="Calibri"/>
    </font>
    <font>
      <b/>
      <sz val="10"/>
      <color rgb="FF000000"/>
      <name val="Arial"/>
    </font>
    <font>
      <b/>
      <sz val="11"/>
      <name val="Calibri"/>
    </font>
    <font>
      <b/>
      <sz val="14"/>
      <name val="Arial"/>
    </font>
    <font>
      <b/>
      <sz val="11"/>
      <color rgb="FF000000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00B0F0"/>
      <name val="Calibri"/>
    </font>
    <font>
      <b/>
      <sz val="16"/>
      <color rgb="FF000000"/>
      <name val="Calibri"/>
    </font>
    <font>
      <b/>
      <sz val="16"/>
      <color rgb="FF00B0F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rgb="FFFFFF00"/>
      <name val="Calibri"/>
    </font>
    <font>
      <b/>
      <sz val="18"/>
      <color rgb="FFDDDDDD"/>
      <name val="Calibri"/>
    </font>
    <font>
      <b/>
      <sz val="12"/>
      <color theme="9" tint="0.39997558519241921"/>
      <name val="Calibri"/>
      <family val="2"/>
      <scheme val="minor"/>
    </font>
    <font>
      <b/>
      <sz val="16"/>
      <color theme="0"/>
      <name val="Calibri"/>
      <family val="2"/>
    </font>
    <font>
      <b/>
      <sz val="12"/>
      <color rgb="FFFF0000"/>
      <name val="Calibri"/>
      <family val="2"/>
    </font>
    <font>
      <b/>
      <sz val="12"/>
      <color theme="0"/>
      <name val="Calibri"/>
      <family val="2"/>
      <scheme val="minor"/>
    </font>
    <font>
      <b/>
      <sz val="24"/>
      <name val="Arial"/>
      <family val="2"/>
    </font>
    <font>
      <b/>
      <sz val="12"/>
      <name val="Arial"/>
    </font>
    <font>
      <b/>
      <sz val="18"/>
      <color rgb="FFFF0000"/>
      <name val="Calibri"/>
      <family val="2"/>
    </font>
    <font>
      <b/>
      <sz val="11"/>
      <color rgb="FF000000"/>
      <name val="Calibri"/>
    </font>
    <font>
      <b/>
      <sz val="18"/>
      <color rgb="FF000000"/>
      <name val="Calibri"/>
      <family val="2"/>
    </font>
    <font>
      <b/>
      <sz val="14"/>
      <name val="Calibri"/>
      <family val="2"/>
      <scheme val="minor"/>
    </font>
    <font>
      <b/>
      <sz val="18"/>
      <color rgb="FFFFFFFF"/>
      <name val="Calibri"/>
      <family val="2"/>
    </font>
    <font>
      <b/>
      <sz val="16"/>
      <color rgb="FFFFFFFF"/>
      <name val="Calibri"/>
      <family val="2"/>
      <scheme val="minor"/>
    </font>
    <font>
      <b/>
      <sz val="16"/>
      <color rgb="FF00B0F0"/>
      <name val="Calibri"/>
      <family val="2"/>
    </font>
    <font>
      <b/>
      <sz val="16"/>
      <color rgb="FFFFFFFF"/>
      <name val="Calibri"/>
    </font>
    <font>
      <b/>
      <sz val="14"/>
      <color rgb="FF00000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22"/>
      <color rgb="FF000000"/>
      <name val="Calibri"/>
      <family val="2"/>
    </font>
    <font>
      <sz val="9"/>
      <name val="Arial"/>
      <family val="2"/>
    </font>
    <font>
      <b/>
      <sz val="18"/>
      <color rgb="FFFF0000"/>
      <name val="Calibri"/>
    </font>
    <font>
      <sz val="12"/>
      <color rgb="FF000000"/>
      <name val="Arial"/>
      <family val="2"/>
    </font>
    <font>
      <sz val="10"/>
      <color indexed="36"/>
      <name val="Arial"/>
      <family val="2"/>
    </font>
    <font>
      <b/>
      <sz val="16"/>
      <name val="Calibri"/>
      <family val="2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2"/>
      <name val="Calibri"/>
      <family val="2"/>
    </font>
    <font>
      <b/>
      <sz val="18"/>
      <color rgb="FFFFC000"/>
      <name val="Calibri"/>
      <family val="2"/>
    </font>
    <font>
      <b/>
      <sz val="12"/>
      <color rgb="FF4A4529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sz val="18"/>
      <color rgb="FF1F4A7E"/>
      <name val="Calibri"/>
      <family val="2"/>
    </font>
    <font>
      <b/>
      <sz val="18"/>
      <color rgb="FFFFFF00"/>
      <name val="Calibri"/>
      <family val="2"/>
    </font>
    <font>
      <b/>
      <sz val="14"/>
      <color rgb="FFFF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Arial"/>
      <family val="2"/>
    </font>
    <font>
      <b/>
      <sz val="20"/>
      <color rgb="FFFF0000"/>
      <name val="Calibri"/>
      <family val="2"/>
      <scheme val="minor"/>
    </font>
    <font>
      <b/>
      <sz val="18"/>
      <color rgb="FF000000"/>
      <name val="Arial"/>
      <family val="2"/>
    </font>
    <font>
      <b/>
      <sz val="18"/>
      <color theme="0"/>
      <name val="Calibri"/>
      <family val="2"/>
    </font>
    <font>
      <sz val="7"/>
      <name val="Arial"/>
      <family val="2"/>
    </font>
    <font>
      <b/>
      <sz val="24"/>
      <color rgb="FF000000"/>
      <name val="Calibri"/>
      <family val="2"/>
    </font>
    <font>
      <b/>
      <sz val="14"/>
      <color theme="1"/>
      <name val="Arial"/>
      <family val="2"/>
    </font>
    <font>
      <sz val="10"/>
      <color indexed="62"/>
      <name val="Arial"/>
      <family val="2"/>
    </font>
    <font>
      <b/>
      <sz val="8"/>
      <color rgb="FFFF0000"/>
      <name val="Calibri"/>
      <family val="2"/>
    </font>
    <font>
      <b/>
      <sz val="20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name val="Arial"/>
      <family val="2"/>
    </font>
    <font>
      <b/>
      <sz val="20"/>
      <name val="Calibri"/>
      <family val="2"/>
    </font>
    <font>
      <b/>
      <sz val="12"/>
      <name val="Calibri"/>
      <family val="2"/>
      <scheme val="minor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  <font>
      <b/>
      <sz val="26"/>
      <name val="Arial"/>
      <family val="2"/>
    </font>
    <font>
      <sz val="10"/>
      <color rgb="FF000000"/>
      <name val="Calibri"/>
      <family val="2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2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rgb="FFFF0000"/>
      <name val="Arial"/>
      <family val="2"/>
    </font>
    <font>
      <b/>
      <sz val="12"/>
      <color theme="8" tint="0.79998168889431442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</fonts>
  <fills count="17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gray125">
        <fgColor auto="1"/>
        <bgColor theme="9" tint="-0.499984740745262"/>
      </patternFill>
    </fill>
    <fill>
      <patternFill patternType="solid">
        <fgColor rgb="FFF61EA9"/>
        <bgColor auto="1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rgb="FF00B0F0"/>
        <bgColor auto="1"/>
      </patternFill>
    </fill>
    <fill>
      <patternFill patternType="gray0625">
        <fgColor auto="1"/>
        <bgColor rgb="FF00B050"/>
      </patternFill>
    </fill>
    <fill>
      <patternFill patternType="gray0625">
        <fgColor auto="1"/>
        <bgColor rgb="FFAB1D05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B9B8"/>
        <bgColor indexed="8"/>
      </patternFill>
    </fill>
    <fill>
      <patternFill patternType="gray0625">
        <fgColor rgb="FF963734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000000"/>
        <bgColor rgb="FFFF0000"/>
      </patternFill>
    </fill>
    <fill>
      <patternFill patternType="solid">
        <fgColor rgb="FFC6D9F0"/>
        <bgColor indexed="64"/>
      </patternFill>
    </fill>
    <fill>
      <patternFill patternType="gray125">
        <fgColor rgb="FFFFFFFF"/>
        <bgColor rgb="FF7030A0"/>
      </patternFill>
    </fill>
    <fill>
      <patternFill patternType="gray0625">
        <fgColor rgb="FF568FD4"/>
        <bgColor rgb="FFFF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42523"/>
        <bgColor indexed="64"/>
      </patternFill>
    </fill>
    <fill>
      <patternFill patternType="solid">
        <fgColor theme="3" tint="0.59999389629810485"/>
        <bgColor rgb="FFA6A6A6"/>
      </patternFill>
    </fill>
    <fill>
      <patternFill patternType="gray125">
        <bgColor rgb="FF97470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2A1C6"/>
        <bgColor indexed="64"/>
      </patternFill>
    </fill>
    <fill>
      <patternFill patternType="gray0625">
        <bgColor rgb="FFC2D69B"/>
      </patternFill>
    </fill>
    <fill>
      <patternFill patternType="gray0625">
        <bgColor rgb="FF568FD4"/>
      </patternFill>
    </fill>
    <fill>
      <patternFill patternType="solid">
        <fgColor rgb="FFC2D69B"/>
        <bgColor indexed="64"/>
      </patternFill>
    </fill>
    <fill>
      <patternFill patternType="gray125">
        <fgColor rgb="FFFFFFFF"/>
        <bgColor rgb="FF9ABA58"/>
      </patternFill>
    </fill>
    <fill>
      <patternFill patternType="solid">
        <fgColor rgb="FFFFC000"/>
        <bgColor rgb="FFFFC000"/>
      </patternFill>
    </fill>
    <fill>
      <patternFill patternType="solid">
        <fgColor rgb="FFA6A6A6"/>
        <bgColor rgb="FFA6A6A6"/>
      </patternFill>
    </fill>
    <fill>
      <patternFill patternType="solid">
        <fgColor theme="6" tint="-0.249977111117893"/>
        <bgColor rgb="FFD6E3B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rgb="FFFF000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rgb="FFFFFFFF"/>
      </bottom>
      <diagonal/>
    </border>
    <border>
      <left style="thin">
        <color theme="0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rgb="FFFFFFFF"/>
      </top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57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6" applyNumberFormat="0" applyAlignment="0" applyProtection="0"/>
    <xf numFmtId="0" fontId="14" fillId="22" borderId="7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7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9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9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0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2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0" fillId="0" borderId="0"/>
    <xf numFmtId="0" fontId="22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0" fillId="0" borderId="0"/>
    <xf numFmtId="0" fontId="2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2" fillId="0" borderId="0">
      <alignment vertical="top"/>
    </xf>
    <xf numFmtId="0" fontId="1" fillId="0" borderId="0"/>
    <xf numFmtId="0" fontId="10" fillId="0" borderId="0"/>
    <xf numFmtId="0" fontId="10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0" fillId="33" borderId="9" applyNumberFormat="0" applyFont="0" applyAlignment="0" applyProtection="0"/>
    <xf numFmtId="0" fontId="10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16" fillId="0" borderId="13" applyNumberFormat="0" applyFill="0" applyAlignment="0" applyProtection="0"/>
    <xf numFmtId="0" fontId="29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66" fillId="0" borderId="0">
      <protection locked="0"/>
    </xf>
    <xf numFmtId="0" fontId="2" fillId="0" borderId="0"/>
    <xf numFmtId="0" fontId="2" fillId="0" borderId="0">
      <protection locked="0"/>
    </xf>
    <xf numFmtId="0" fontId="66" fillId="0" borderId="0">
      <protection locked="0"/>
    </xf>
    <xf numFmtId="0" fontId="4" fillId="0" borderId="0"/>
    <xf numFmtId="0" fontId="2" fillId="0" borderId="0">
      <protection locked="0"/>
    </xf>
    <xf numFmtId="0" fontId="9" fillId="0" borderId="0">
      <alignment vertical="center"/>
    </xf>
    <xf numFmtId="0" fontId="4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1" fillId="0" borderId="0"/>
    <xf numFmtId="0" fontId="145" fillId="0" borderId="0">
      <alignment vertical="top"/>
    </xf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8">
    <xf numFmtId="0" fontId="0" fillId="0" borderId="0" xfId="0"/>
    <xf numFmtId="0" fontId="0" fillId="0" borderId="0" xfId="0" applyAlignment="1">
      <alignment horizontal="center" vertical="center"/>
    </xf>
    <xf numFmtId="0" fontId="21" fillId="0" borderId="0" xfId="151" applyFont="1" applyAlignment="1">
      <alignment horizontal="center" vertical="center"/>
    </xf>
    <xf numFmtId="0" fontId="10" fillId="0" borderId="0" xfId="151"/>
    <xf numFmtId="0" fontId="60" fillId="0" borderId="0" xfId="242" applyFont="1" applyAlignment="1">
      <alignment horizontal="center" vertical="center"/>
    </xf>
    <xf numFmtId="0" fontId="60" fillId="0" borderId="0" xfId="242" applyFont="1" applyAlignment="1">
      <alignment vertical="center"/>
    </xf>
    <xf numFmtId="0" fontId="61" fillId="0" borderId="18" xfId="151" applyFont="1" applyBorder="1" applyAlignment="1">
      <alignment horizontal="center" vertical="center"/>
    </xf>
    <xf numFmtId="0" fontId="60" fillId="0" borderId="18" xfId="242" applyFont="1" applyBorder="1" applyAlignment="1">
      <alignment horizontal="center" vertical="center"/>
    </xf>
    <xf numFmtId="0" fontId="62" fillId="0" borderId="18" xfId="151" applyFont="1" applyBorder="1" applyAlignment="1">
      <alignment horizontal="center" vertical="center"/>
    </xf>
    <xf numFmtId="0" fontId="63" fillId="0" borderId="18" xfId="151" applyFont="1" applyBorder="1" applyAlignment="1" applyProtection="1">
      <alignment vertical="center"/>
      <protection locked="0"/>
    </xf>
    <xf numFmtId="0" fontId="10" fillId="0" borderId="18" xfId="151" applyBorder="1" applyAlignment="1">
      <alignment vertical="center"/>
    </xf>
    <xf numFmtId="0" fontId="2" fillId="0" borderId="18" xfId="242" applyBorder="1" applyAlignment="1">
      <alignment horizontal="center" vertical="center"/>
    </xf>
    <xf numFmtId="0" fontId="64" fillId="0" borderId="18" xfId="0" applyFont="1" applyBorder="1" applyAlignment="1">
      <alignment horizontal="center" vertical="center"/>
    </xf>
    <xf numFmtId="0" fontId="65" fillId="35" borderId="0" xfId="151" applyFont="1" applyFill="1" applyAlignment="1">
      <alignment horizontal="center" vertical="center"/>
    </xf>
    <xf numFmtId="0" fontId="66" fillId="0" borderId="18" xfId="243" applyBorder="1" applyAlignment="1" applyProtection="1">
      <alignment horizontal="center" vertical="center"/>
    </xf>
    <xf numFmtId="0" fontId="67" fillId="106" borderId="1" xfId="129" applyFont="1" applyFill="1" applyBorder="1" applyAlignment="1">
      <alignment horizontal="center" vertical="center" shrinkToFit="1"/>
    </xf>
    <xf numFmtId="0" fontId="29" fillId="0" borderId="0" xfId="151" applyFont="1" applyAlignment="1">
      <alignment horizontal="center" vertical="center"/>
    </xf>
    <xf numFmtId="0" fontId="69" fillId="94" borderId="2" xfId="125" applyFont="1" applyFill="1" applyBorder="1" applyAlignment="1">
      <alignment horizontal="center" vertical="center"/>
    </xf>
    <xf numFmtId="0" fontId="54" fillId="0" borderId="0" xfId="151" applyFont="1" applyAlignment="1">
      <alignment horizontal="center" vertical="center"/>
    </xf>
    <xf numFmtId="0" fontId="10" fillId="0" borderId="0" xfId="151" applyAlignment="1">
      <alignment vertical="center"/>
    </xf>
    <xf numFmtId="0" fontId="10" fillId="52" borderId="0" xfId="151" applyFill="1" applyAlignment="1">
      <alignment vertical="center"/>
    </xf>
    <xf numFmtId="0" fontId="70" fillId="107" borderId="0" xfId="0" applyFont="1" applyFill="1" applyAlignment="1">
      <alignment horizontal="center" vertical="center"/>
    </xf>
    <xf numFmtId="0" fontId="71" fillId="108" borderId="16" xfId="132" applyFont="1" applyFill="1" applyBorder="1" applyAlignment="1" applyProtection="1">
      <alignment horizontal="center" vertical="center" shrinkToFit="1"/>
    </xf>
    <xf numFmtId="0" fontId="72" fillId="109" borderId="20" xfId="151" applyFont="1" applyFill="1" applyBorder="1" applyAlignment="1">
      <alignment horizontal="center" vertical="center"/>
    </xf>
    <xf numFmtId="0" fontId="62" fillId="0" borderId="0" xfId="242" applyFont="1" applyAlignment="1">
      <alignment horizontal="center" vertical="center" wrapText="1"/>
    </xf>
    <xf numFmtId="0" fontId="21" fillId="0" borderId="21" xfId="151" applyFont="1" applyBorder="1" applyAlignment="1">
      <alignment horizontal="center" vertical="center"/>
    </xf>
    <xf numFmtId="0" fontId="73" fillId="0" borderId="0" xfId="151" applyFont="1" applyAlignment="1">
      <alignment horizontal="center" vertical="center"/>
    </xf>
    <xf numFmtId="0" fontId="62" fillId="0" borderId="0" xfId="151" applyFont="1" applyAlignment="1">
      <alignment horizontal="center" vertical="center"/>
    </xf>
    <xf numFmtId="0" fontId="74" fillId="52" borderId="0" xfId="0" applyFont="1" applyFill="1" applyAlignment="1">
      <alignment horizontal="center" vertical="center"/>
    </xf>
    <xf numFmtId="0" fontId="75" fillId="107" borderId="0" xfId="0" applyFont="1" applyFill="1" applyAlignment="1">
      <alignment horizontal="center" vertical="center"/>
    </xf>
    <xf numFmtId="0" fontId="76" fillId="52" borderId="23" xfId="151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30" fillId="52" borderId="0" xfId="242" applyFont="1" applyFill="1" applyAlignment="1">
      <alignment horizontal="center" vertical="center"/>
    </xf>
    <xf numFmtId="0" fontId="72" fillId="109" borderId="23" xfId="151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 shrinkToFit="1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0" borderId="0" xfId="244" applyFont="1" applyAlignment="1">
      <alignment horizontal="center" vertical="center" shrinkToFit="1"/>
    </xf>
    <xf numFmtId="0" fontId="30" fillId="52" borderId="0" xfId="242" applyFont="1" applyFill="1" applyAlignment="1">
      <alignment horizontal="right" vertical="center"/>
    </xf>
    <xf numFmtId="0" fontId="82" fillId="109" borderId="0" xfId="151" applyFont="1" applyFill="1" applyAlignment="1">
      <alignment horizontal="center" vertical="center"/>
    </xf>
    <xf numFmtId="0" fontId="83" fillId="110" borderId="24" xfId="245" applyFont="1" applyFill="1" applyBorder="1" applyAlignment="1" applyProtection="1">
      <alignment horizontal="center" vertical="center" shrinkToFit="1"/>
    </xf>
    <xf numFmtId="0" fontId="61" fillId="0" borderId="0" xfId="15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111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86" fillId="0" borderId="0" xfId="151" applyFont="1" applyAlignment="1">
      <alignment horizontal="center" vertical="center"/>
    </xf>
    <xf numFmtId="0" fontId="87" fillId="103" borderId="0" xfId="117" applyFont="1" applyFill="1" applyAlignment="1">
      <alignment horizontal="center" vertical="center"/>
    </xf>
    <xf numFmtId="0" fontId="83" fillId="110" borderId="25" xfId="245" applyFont="1" applyFill="1" applyBorder="1" applyAlignment="1" applyProtection="1">
      <alignment horizontal="center" vertical="center" shrinkToFit="1"/>
    </xf>
    <xf numFmtId="0" fontId="88" fillId="112" borderId="26" xfId="246" applyFont="1" applyFill="1" applyBorder="1" applyAlignment="1" applyProtection="1">
      <alignment horizontal="center" vertical="center" shrinkToFit="1"/>
    </xf>
    <xf numFmtId="0" fontId="89" fillId="113" borderId="26" xfId="246" applyFont="1" applyFill="1" applyBorder="1" applyAlignment="1" applyProtection="1">
      <alignment horizontal="center" vertical="center" shrinkToFit="1"/>
    </xf>
    <xf numFmtId="0" fontId="90" fillId="96" borderId="1" xfId="151" applyFont="1" applyFill="1" applyBorder="1" applyAlignment="1">
      <alignment horizontal="center" vertical="center"/>
    </xf>
    <xf numFmtId="0" fontId="91" fillId="103" borderId="0" xfId="117" applyFont="1" applyFill="1" applyAlignment="1">
      <alignment horizontal="center" vertical="center"/>
    </xf>
    <xf numFmtId="0" fontId="34" fillId="34" borderId="1" xfId="129" applyFont="1" applyFill="1" applyBorder="1" applyAlignment="1">
      <alignment horizontal="center" vertical="center" shrinkToFit="1"/>
    </xf>
    <xf numFmtId="0" fontId="92" fillId="97" borderId="0" xfId="125" applyFont="1" applyFill="1" applyAlignment="1">
      <alignment horizontal="center" vertical="center"/>
    </xf>
    <xf numFmtId="0" fontId="93" fillId="114" borderId="1" xfId="125" applyFont="1" applyFill="1" applyBorder="1" applyAlignment="1">
      <alignment horizontal="center" vertical="center"/>
    </xf>
    <xf numFmtId="0" fontId="49" fillId="105" borderId="1" xfId="129" applyFont="1" applyFill="1" applyBorder="1" applyAlignment="1">
      <alignment horizontal="center" vertical="center" shrinkToFit="1"/>
    </xf>
    <xf numFmtId="0" fontId="64" fillId="0" borderId="0" xfId="0" applyFont="1" applyAlignment="1">
      <alignment horizontal="center" vertical="center"/>
    </xf>
    <xf numFmtId="49" fontId="95" fillId="115" borderId="0" xfId="243" applyNumberFormat="1" applyFont="1" applyFill="1" applyAlignment="1" applyProtection="1">
      <alignment horizontal="center" vertical="center"/>
    </xf>
    <xf numFmtId="0" fontId="94" fillId="97" borderId="0" xfId="242" applyFont="1" applyFill="1" applyAlignment="1">
      <alignment horizontal="center" vertical="center" wrapText="1"/>
    </xf>
    <xf numFmtId="0" fontId="94" fillId="97" borderId="23" xfId="242" applyFont="1" applyFill="1" applyBorder="1" applyAlignment="1">
      <alignment horizontal="center" vertical="center" wrapText="1"/>
    </xf>
    <xf numFmtId="0" fontId="96" fillId="0" borderId="0" xfId="151" applyFont="1" applyAlignment="1">
      <alignment horizontal="center" vertical="center"/>
    </xf>
    <xf numFmtId="0" fontId="10" fillId="116" borderId="0" xfId="151" applyFill="1" applyAlignment="1">
      <alignment vertical="center"/>
    </xf>
    <xf numFmtId="0" fontId="33" fillId="0" borderId="0" xfId="151" applyFont="1" applyAlignment="1">
      <alignment horizontal="center" vertical="center"/>
    </xf>
    <xf numFmtId="0" fontId="10" fillId="0" borderId="0" xfId="151" applyAlignment="1">
      <alignment horizontal="center" vertical="center"/>
    </xf>
    <xf numFmtId="0" fontId="69" fillId="99" borderId="1" xfId="125" applyFont="1" applyFill="1" applyBorder="1" applyAlignment="1">
      <alignment horizontal="center" vertical="center"/>
    </xf>
    <xf numFmtId="0" fontId="55" fillId="0" borderId="0" xfId="129" applyFont="1" applyAlignment="1">
      <alignment horizontal="center" vertical="center" shrinkToFit="1"/>
    </xf>
    <xf numFmtId="0" fontId="93" fillId="114" borderId="30" xfId="125" applyFont="1" applyFill="1" applyBorder="1" applyAlignment="1">
      <alignment horizontal="center" vertical="center"/>
    </xf>
    <xf numFmtId="0" fontId="77" fillId="0" borderId="0" xfId="0" applyFont="1" applyAlignment="1">
      <alignment horizontal="right" vertical="center"/>
    </xf>
    <xf numFmtId="0" fontId="83" fillId="110" borderId="31" xfId="245" applyFont="1" applyFill="1" applyBorder="1" applyAlignment="1" applyProtection="1">
      <alignment horizontal="center" vertical="center" shrinkToFit="1"/>
    </xf>
    <xf numFmtId="0" fontId="97" fillId="0" borderId="0" xfId="246" applyFont="1" applyAlignment="1" applyProtection="1">
      <alignment horizontal="left" vertical="center" shrinkToFit="1"/>
    </xf>
    <xf numFmtId="0" fontId="98" fillId="88" borderId="0" xfId="151" applyFont="1" applyFill="1" applyAlignment="1">
      <alignment horizontal="center" vertical="center"/>
    </xf>
    <xf numFmtId="0" fontId="99" fillId="52" borderId="0" xfId="242" applyFont="1" applyFill="1" applyAlignment="1">
      <alignment horizontal="right" vertical="center"/>
    </xf>
    <xf numFmtId="0" fontId="100" fillId="117" borderId="0" xfId="151" applyFont="1" applyFill="1" applyAlignment="1">
      <alignment horizontal="center" vertical="center"/>
    </xf>
    <xf numFmtId="0" fontId="31" fillId="35" borderId="0" xfId="151" applyFont="1" applyFill="1" applyAlignment="1">
      <alignment horizontal="center" vertical="center"/>
    </xf>
    <xf numFmtId="0" fontId="21" fillId="0" borderId="28" xfId="151" applyFont="1" applyBorder="1" applyAlignment="1">
      <alignment horizontal="center" vertical="center"/>
    </xf>
    <xf numFmtId="0" fontId="21" fillId="0" borderId="20" xfId="151" applyFont="1" applyBorder="1" applyAlignment="1">
      <alignment horizontal="center" vertical="center"/>
    </xf>
    <xf numFmtId="0" fontId="81" fillId="0" borderId="0" xfId="244" applyFont="1" applyAlignment="1">
      <alignment horizontal="right" vertical="center" shrinkToFit="1"/>
    </xf>
    <xf numFmtId="0" fontId="101" fillId="117" borderId="0" xfId="151" applyFont="1" applyFill="1" applyAlignment="1">
      <alignment horizontal="center" vertical="center"/>
    </xf>
    <xf numFmtId="0" fontId="35" fillId="82" borderId="1" xfId="129" applyFont="1" applyFill="1" applyBorder="1" applyAlignment="1">
      <alignment horizontal="center" vertical="center" shrinkToFit="1"/>
    </xf>
    <xf numFmtId="0" fontId="81" fillId="0" borderId="0" xfId="244" applyFont="1" applyAlignment="1">
      <alignment horizontal="left" vertical="center" shrinkToFit="1"/>
    </xf>
    <xf numFmtId="0" fontId="76" fillId="88" borderId="0" xfId="151" applyFont="1" applyFill="1" applyAlignment="1">
      <alignment horizontal="center" vertical="center"/>
    </xf>
    <xf numFmtId="0" fontId="30" fillId="52" borderId="0" xfId="151" applyFont="1" applyFill="1" applyAlignment="1">
      <alignment horizontal="center" vertical="center"/>
    </xf>
    <xf numFmtId="0" fontId="21" fillId="0" borderId="23" xfId="151" applyFont="1" applyBorder="1" applyAlignment="1">
      <alignment horizontal="center" vertical="center"/>
    </xf>
    <xf numFmtId="0" fontId="102" fillId="0" borderId="0" xfId="151" applyFont="1" applyAlignment="1">
      <alignment horizontal="center" vertical="center"/>
    </xf>
    <xf numFmtId="0" fontId="101" fillId="118" borderId="0" xfId="151" applyFont="1" applyFill="1" applyAlignment="1">
      <alignment horizontal="center" vertical="center"/>
    </xf>
    <xf numFmtId="0" fontId="88" fillId="119" borderId="1" xfId="132" applyFont="1" applyFill="1" applyBorder="1" applyAlignment="1" applyProtection="1">
      <alignment horizontal="center" vertical="center" shrinkToFit="1"/>
    </xf>
    <xf numFmtId="0" fontId="103" fillId="117" borderId="0" xfId="0" applyFont="1" applyFill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83" fillId="110" borderId="34" xfId="245" applyFont="1" applyFill="1" applyBorder="1" applyAlignment="1" applyProtection="1">
      <alignment horizontal="center" vertical="center" shrinkToFit="1"/>
    </xf>
    <xf numFmtId="0" fontId="104" fillId="0" borderId="0" xfId="151" applyFont="1" applyAlignment="1">
      <alignment horizontal="center" vertical="center" shrinkToFit="1"/>
    </xf>
    <xf numFmtId="0" fontId="97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0" fillId="0" borderId="0" xfId="151" applyAlignment="1">
      <alignment horizontal="right" vertical="center"/>
    </xf>
    <xf numFmtId="0" fontId="104" fillId="0" borderId="0" xfId="244" applyFont="1" applyAlignment="1">
      <alignment horizontal="center" vertical="center" shrinkToFit="1"/>
    </xf>
    <xf numFmtId="0" fontId="98" fillId="0" borderId="0" xfId="244" applyFont="1" applyAlignment="1">
      <alignment horizontal="center" vertical="center" shrinkToFit="1"/>
    </xf>
    <xf numFmtId="0" fontId="105" fillId="120" borderId="16" xfId="125" applyFont="1" applyFill="1" applyBorder="1" applyAlignment="1">
      <alignment horizontal="center" vertical="center"/>
    </xf>
    <xf numFmtId="0" fontId="106" fillId="39" borderId="1" xfId="124" applyFont="1" applyFill="1" applyBorder="1" applyAlignment="1">
      <alignment horizontal="center" vertical="center"/>
    </xf>
    <xf numFmtId="0" fontId="107" fillId="0" borderId="0" xfId="151" applyFont="1" applyAlignment="1">
      <alignment horizontal="center" vertical="center"/>
    </xf>
    <xf numFmtId="0" fontId="21" fillId="0" borderId="0" xfId="151" applyFont="1" applyAlignment="1" applyProtection="1">
      <alignment horizontal="center" vertical="center"/>
      <protection locked="0"/>
    </xf>
    <xf numFmtId="0" fontId="108" fillId="97" borderId="0" xfId="247" applyFont="1" applyFill="1" applyAlignment="1">
      <alignment horizontal="center" vertical="center"/>
    </xf>
    <xf numFmtId="0" fontId="109" fillId="121" borderId="1" xfId="132" applyFont="1" applyFill="1" applyBorder="1" applyAlignment="1" applyProtection="1">
      <alignment horizontal="center" vertical="center" shrinkToFit="1"/>
    </xf>
    <xf numFmtId="0" fontId="65" fillId="0" borderId="0" xfId="151" applyFont="1" applyAlignment="1" applyProtection="1">
      <alignment vertical="center"/>
      <protection locked="0"/>
    </xf>
    <xf numFmtId="0" fontId="62" fillId="0" borderId="0" xfId="151" applyFont="1" applyAlignment="1">
      <alignment horizontal="left" vertical="center"/>
    </xf>
    <xf numFmtId="0" fontId="30" fillId="0" borderId="0" xfId="151" applyFont="1" applyAlignment="1">
      <alignment horizontal="center" vertical="center"/>
    </xf>
    <xf numFmtId="0" fontId="111" fillId="0" borderId="0" xfId="247" applyFont="1" applyAlignment="1">
      <alignment horizontal="center" vertical="center" shrinkToFit="1"/>
    </xf>
    <xf numFmtId="0" fontId="52" fillId="0" borderId="0" xfId="248" applyFont="1" applyAlignment="1" applyProtection="1">
      <alignment horizontal="center" vertical="center" shrinkToFit="1"/>
    </xf>
    <xf numFmtId="0" fontId="101" fillId="0" borderId="0" xfId="151" applyFont="1" applyAlignment="1">
      <alignment horizontal="center" vertical="center"/>
    </xf>
    <xf numFmtId="0" fontId="69" fillId="80" borderId="1" xfId="125" applyFont="1" applyFill="1" applyBorder="1" applyAlignment="1">
      <alignment horizontal="center" vertical="center"/>
    </xf>
    <xf numFmtId="0" fontId="83" fillId="0" borderId="0" xfId="244" applyFont="1" applyAlignment="1">
      <alignment horizontal="center" vertical="center" shrinkToFit="1"/>
    </xf>
    <xf numFmtId="0" fontId="83" fillId="0" borderId="35" xfId="245" applyFont="1" applyBorder="1" applyAlignment="1" applyProtection="1">
      <alignment horizontal="center" vertical="center" shrinkToFit="1"/>
    </xf>
    <xf numFmtId="0" fontId="83" fillId="0" borderId="34" xfId="245" applyFont="1" applyBorder="1" applyAlignment="1" applyProtection="1">
      <alignment horizontal="center" vertical="center" shrinkToFit="1"/>
    </xf>
    <xf numFmtId="0" fontId="81" fillId="0" borderId="0" xfId="151" applyFont="1" applyAlignment="1">
      <alignment horizontal="center" vertical="center"/>
    </xf>
    <xf numFmtId="0" fontId="98" fillId="0" borderId="0" xfId="244" applyFont="1" applyAlignment="1">
      <alignment vertical="center" shrinkToFit="1"/>
    </xf>
    <xf numFmtId="0" fontId="49" fillId="105" borderId="36" xfId="129" applyFont="1" applyFill="1" applyBorder="1" applyAlignment="1">
      <alignment horizontal="center" vertical="center" shrinkToFit="1"/>
    </xf>
    <xf numFmtId="0" fontId="93" fillId="116" borderId="1" xfId="124" applyFont="1" applyFill="1" applyBorder="1" applyAlignment="1">
      <alignment horizontal="center"/>
    </xf>
    <xf numFmtId="0" fontId="112" fillId="0" borderId="0" xfId="151" applyFont="1" applyAlignment="1">
      <alignment horizontal="center" vertical="center"/>
    </xf>
    <xf numFmtId="0" fontId="36" fillId="92" borderId="26" xfId="129" applyFont="1" applyFill="1" applyBorder="1" applyAlignment="1">
      <alignment horizontal="center" vertical="center" shrinkToFit="1"/>
    </xf>
    <xf numFmtId="0" fontId="113" fillId="111" borderId="0" xfId="151" applyFont="1" applyFill="1" applyAlignment="1">
      <alignment horizontal="center" vertical="center"/>
    </xf>
    <xf numFmtId="0" fontId="30" fillId="0" borderId="0" xfId="151" applyFont="1" applyAlignment="1">
      <alignment horizontal="left" vertical="center"/>
    </xf>
    <xf numFmtId="0" fontId="114" fillId="0" borderId="37" xfId="151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115" fillId="117" borderId="0" xfId="15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6" fillId="0" borderId="0" xfId="151" applyFont="1" applyAlignment="1">
      <alignment horizontal="center" vertical="center"/>
    </xf>
    <xf numFmtId="0" fontId="117" fillId="0" borderId="0" xfId="248" applyFont="1" applyAlignment="1" applyProtection="1">
      <alignment horizontal="center" vertical="center" shrinkToFit="1"/>
    </xf>
    <xf numFmtId="0" fontId="21" fillId="0" borderId="32" xfId="151" applyFont="1" applyBorder="1" applyAlignment="1">
      <alignment horizontal="center" vertical="center"/>
    </xf>
    <xf numFmtId="0" fontId="21" fillId="0" borderId="18" xfId="151" applyFont="1" applyBorder="1" applyAlignment="1">
      <alignment horizontal="center" vertical="center"/>
    </xf>
    <xf numFmtId="0" fontId="21" fillId="0" borderId="33" xfId="151" applyFont="1" applyBorder="1" applyAlignment="1">
      <alignment horizontal="center" vertical="center"/>
    </xf>
    <xf numFmtId="0" fontId="21" fillId="97" borderId="0" xfId="151" applyFont="1" applyFill="1" applyAlignment="1">
      <alignment horizontal="center" vertical="center"/>
    </xf>
    <xf numFmtId="0" fontId="52" fillId="0" borderId="0" xfId="244" applyFont="1" applyAlignment="1">
      <alignment horizontal="center" vertical="center" shrinkToFit="1"/>
    </xf>
    <xf numFmtId="0" fontId="10" fillId="0" borderId="0" xfId="151" applyAlignment="1">
      <alignment horizontal="left" vertical="center"/>
    </xf>
    <xf numFmtId="0" fontId="49" fillId="100" borderId="1" xfId="129" applyFont="1" applyFill="1" applyBorder="1" applyAlignment="1">
      <alignment horizontal="center" vertical="center" shrinkToFit="1"/>
    </xf>
    <xf numFmtId="0" fontId="106" fillId="95" borderId="1" xfId="124" applyFont="1" applyFill="1" applyBorder="1" applyAlignment="1">
      <alignment horizontal="center"/>
    </xf>
    <xf numFmtId="0" fontId="105" fillId="120" borderId="1" xfId="125" applyFont="1" applyFill="1" applyBorder="1" applyAlignment="1">
      <alignment horizontal="center" vertical="center"/>
    </xf>
    <xf numFmtId="0" fontId="67" fillId="39" borderId="1" xfId="129" applyFont="1" applyFill="1" applyBorder="1" applyAlignment="1">
      <alignment horizontal="center" vertical="center" shrinkToFit="1"/>
    </xf>
    <xf numFmtId="0" fontId="38" fillId="91" borderId="26" xfId="129" applyFont="1" applyFill="1" applyBorder="1" applyAlignment="1">
      <alignment horizontal="center" vertical="center" shrinkToFit="1"/>
    </xf>
    <xf numFmtId="0" fontId="118" fillId="97" borderId="0" xfId="125" applyFont="1" applyFill="1" applyAlignment="1">
      <alignment horizontal="center" vertical="center"/>
    </xf>
    <xf numFmtId="0" fontId="38" fillId="91" borderId="38" xfId="129" applyFont="1" applyFill="1" applyBorder="1" applyAlignment="1">
      <alignment horizontal="center" vertical="center" shrinkToFit="1"/>
    </xf>
    <xf numFmtId="0" fontId="93" fillId="122" borderId="2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9" fillId="0" borderId="0" xfId="0" applyFont="1" applyAlignment="1">
      <alignment horizontal="center" vertical="center"/>
    </xf>
    <xf numFmtId="0" fontId="119" fillId="111" borderId="0" xfId="151" applyFont="1" applyFill="1" applyAlignment="1">
      <alignment horizontal="center" vertical="center"/>
    </xf>
    <xf numFmtId="0" fontId="120" fillId="0" borderId="39" xfId="151" applyFont="1" applyBorder="1" applyAlignment="1">
      <alignment horizontal="center" vertical="center"/>
    </xf>
    <xf numFmtId="0" fontId="93" fillId="122" borderId="16" xfId="0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93" fillId="114" borderId="15" xfId="125" applyFont="1" applyFill="1" applyBorder="1" applyAlignment="1">
      <alignment horizontal="center" vertical="center"/>
    </xf>
    <xf numFmtId="0" fontId="65" fillId="0" borderId="0" xfId="151" applyFont="1" applyAlignment="1" applyProtection="1">
      <alignment horizontal="center" vertical="center"/>
      <protection locked="0"/>
    </xf>
    <xf numFmtId="0" fontId="105" fillId="120" borderId="16" xfId="124" applyFont="1" applyFill="1" applyBorder="1" applyAlignment="1">
      <alignment horizontal="center" vertical="center"/>
    </xf>
    <xf numFmtId="0" fontId="122" fillId="0" borderId="0" xfId="244" applyFont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0" fontId="54" fillId="0" borderId="21" xfId="125" applyFont="1" applyBorder="1" applyAlignment="1">
      <alignment horizontal="center" vertical="center"/>
    </xf>
    <xf numFmtId="0" fontId="113" fillId="123" borderId="0" xfId="244" applyFont="1" applyFill="1" applyAlignment="1">
      <alignment horizontal="center" vertical="center" shrinkToFit="1"/>
    </xf>
    <xf numFmtId="0" fontId="61" fillId="0" borderId="21" xfId="0" applyFont="1" applyBorder="1" applyAlignment="1">
      <alignment horizontal="center" vertical="center"/>
    </xf>
    <xf numFmtId="0" fontId="10" fillId="88" borderId="0" xfId="151" applyFill="1" applyAlignment="1">
      <alignment horizontal="center" vertical="center"/>
    </xf>
    <xf numFmtId="0" fontId="29" fillId="0" borderId="0" xfId="151" applyFont="1" applyAlignment="1">
      <alignment vertical="center"/>
    </xf>
    <xf numFmtId="0" fontId="102" fillId="0" borderId="0" xfId="0" applyFont="1" applyAlignment="1">
      <alignment horizontal="center" vertical="center"/>
    </xf>
    <xf numFmtId="0" fontId="10" fillId="88" borderId="0" xfId="151" applyFill="1" applyAlignment="1">
      <alignment vertical="center"/>
    </xf>
    <xf numFmtId="0" fontId="54" fillId="0" borderId="0" xfId="125" applyFont="1" applyAlignment="1">
      <alignment horizontal="center" vertical="center"/>
    </xf>
    <xf numFmtId="0" fontId="123" fillId="124" borderId="30" xfId="248" applyFont="1" applyFill="1" applyBorder="1" applyAlignment="1" applyProtection="1">
      <alignment horizontal="center" vertical="center" shrinkToFit="1"/>
    </xf>
    <xf numFmtId="0" fontId="123" fillId="124" borderId="1" xfId="248" applyFont="1" applyFill="1" applyBorder="1" applyAlignment="1" applyProtection="1">
      <alignment horizontal="center" vertical="center" shrinkToFit="1"/>
    </xf>
    <xf numFmtId="0" fontId="98" fillId="123" borderId="0" xfId="244" applyFont="1" applyFill="1" applyAlignment="1">
      <alignment horizontal="center" vertical="center" shrinkToFit="1"/>
    </xf>
    <xf numFmtId="0" fontId="96" fillId="35" borderId="0" xfId="0" applyFont="1" applyFill="1" applyAlignment="1">
      <alignment horizontal="center" vertical="center"/>
    </xf>
    <xf numFmtId="0" fontId="57" fillId="103" borderId="1" xfId="129" applyFont="1" applyFill="1" applyBorder="1" applyAlignment="1">
      <alignment horizontal="center" vertical="center" shrinkToFit="1"/>
    </xf>
    <xf numFmtId="0" fontId="93" fillId="114" borderId="44" xfId="125" applyFont="1" applyFill="1" applyBorder="1" applyAlignment="1">
      <alignment horizontal="center" vertical="center"/>
    </xf>
    <xf numFmtId="0" fontId="119" fillId="0" borderId="0" xfId="151" applyFont="1" applyAlignment="1">
      <alignment horizontal="center" vertical="center"/>
    </xf>
    <xf numFmtId="0" fontId="62" fillId="0" borderId="0" xfId="151" applyFont="1" applyAlignment="1">
      <alignment horizontal="right" vertical="center"/>
    </xf>
    <xf numFmtId="0" fontId="33" fillId="54" borderId="16" xfId="129" applyFont="1" applyFill="1" applyBorder="1" applyAlignment="1">
      <alignment horizontal="center" vertical="center" shrinkToFit="1"/>
    </xf>
    <xf numFmtId="0" fontId="124" fillId="119" borderId="1" xfId="248" applyFont="1" applyFill="1" applyBorder="1" applyAlignment="1" applyProtection="1">
      <alignment horizontal="center" vertical="center" shrinkToFit="1"/>
    </xf>
    <xf numFmtId="0" fontId="81" fillId="0" borderId="0" xfId="151" applyFont="1" applyAlignment="1">
      <alignment horizontal="right" vertical="center"/>
    </xf>
    <xf numFmtId="0" fontId="81" fillId="0" borderId="0" xfId="151" applyFont="1" applyAlignment="1">
      <alignment horizontal="left" vertical="center"/>
    </xf>
    <xf numFmtId="0" fontId="126" fillId="0" borderId="0" xfId="151" applyFont="1" applyAlignment="1">
      <alignment horizontal="right" vertical="center"/>
    </xf>
    <xf numFmtId="0" fontId="54" fillId="0" borderId="0" xfId="151" applyFont="1" applyAlignment="1">
      <alignment horizontal="left" vertical="center"/>
    </xf>
    <xf numFmtId="0" fontId="93" fillId="88" borderId="45" xfId="151" applyFont="1" applyFill="1" applyBorder="1" applyAlignment="1">
      <alignment horizontal="center" vertical="center"/>
    </xf>
    <xf numFmtId="0" fontId="69" fillId="80" borderId="36" xfId="124" applyFont="1" applyFill="1" applyBorder="1" applyAlignment="1">
      <alignment horizontal="center" vertical="center"/>
    </xf>
    <xf numFmtId="0" fontId="127" fillId="0" borderId="0" xfId="244" applyFont="1" applyAlignment="1">
      <alignment horizontal="left" vertical="center" shrinkToFit="1"/>
    </xf>
    <xf numFmtId="0" fontId="125" fillId="0" borderId="0" xfId="151" applyFont="1" applyAlignment="1">
      <alignment vertical="center"/>
    </xf>
    <xf numFmtId="0" fontId="126" fillId="0" borderId="0" xfId="151" applyFont="1" applyAlignment="1">
      <alignment horizontal="left" vertical="center"/>
    </xf>
    <xf numFmtId="0" fontId="104" fillId="0" borderId="0" xfId="151" applyFont="1" applyAlignment="1">
      <alignment horizontal="center" vertical="center"/>
    </xf>
    <xf numFmtId="0" fontId="127" fillId="0" borderId="18" xfId="244" applyFont="1" applyBorder="1" applyAlignment="1">
      <alignment horizontal="left" vertical="center" shrinkToFit="1"/>
    </xf>
    <xf numFmtId="0" fontId="104" fillId="0" borderId="0" xfId="248" applyFont="1" applyAlignment="1" applyProtection="1">
      <alignment horizontal="left" vertical="center" shrinkToFit="1"/>
    </xf>
    <xf numFmtId="0" fontId="2" fillId="97" borderId="0" xfId="242" applyFill="1" applyAlignment="1">
      <alignment horizontal="center" vertical="center"/>
    </xf>
    <xf numFmtId="0" fontId="104" fillId="0" borderId="0" xfId="244" applyFont="1" applyAlignment="1">
      <alignment horizontal="left" vertical="center" shrinkToFit="1"/>
    </xf>
    <xf numFmtId="0" fontId="100" fillId="125" borderId="1" xfId="248" applyFont="1" applyFill="1" applyBorder="1" applyAlignment="1" applyProtection="1">
      <alignment horizontal="center" vertical="center" shrinkToFit="1"/>
    </xf>
    <xf numFmtId="0" fontId="100" fillId="125" borderId="16" xfId="248" applyFont="1" applyFill="1" applyBorder="1" applyAlignment="1" applyProtection="1">
      <alignment horizontal="center" vertical="center" shrinkToFit="1"/>
    </xf>
    <xf numFmtId="0" fontId="130" fillId="103" borderId="0" xfId="117" applyFont="1" applyFill="1" applyAlignment="1">
      <alignment horizontal="center" vertical="center"/>
    </xf>
    <xf numFmtId="0" fontId="100" fillId="125" borderId="1" xfId="249" applyFont="1" applyFill="1" applyBorder="1" applyAlignment="1">
      <alignment horizontal="center" vertical="center" shrinkToFit="1"/>
    </xf>
    <xf numFmtId="49" fontId="131" fillId="97" borderId="0" xfId="242" applyNumberFormat="1" applyFont="1" applyFill="1" applyAlignment="1">
      <alignment horizontal="center" vertical="center"/>
    </xf>
    <xf numFmtId="0" fontId="43" fillId="61" borderId="26" xfId="129" applyFont="1" applyFill="1" applyBorder="1" applyAlignment="1">
      <alignment horizontal="center" vertical="center" shrinkToFit="1"/>
    </xf>
    <xf numFmtId="0" fontId="21" fillId="0" borderId="0" xfId="151" applyFont="1" applyAlignment="1">
      <alignment horizontal="left" vertical="center"/>
    </xf>
    <xf numFmtId="0" fontId="55" fillId="0" borderId="5" xfId="129" applyFont="1" applyBorder="1" applyAlignment="1">
      <alignment horizontal="center" vertical="center" shrinkToFit="1"/>
    </xf>
    <xf numFmtId="0" fontId="61" fillId="0" borderId="37" xfId="151" applyFont="1" applyBorder="1" applyAlignment="1">
      <alignment horizontal="center" vertical="center"/>
    </xf>
    <xf numFmtId="0" fontId="55" fillId="0" borderId="33" xfId="129" applyFont="1" applyBorder="1" applyAlignment="1">
      <alignment horizontal="center" vertical="center" shrinkToFit="1"/>
    </xf>
    <xf numFmtId="0" fontId="93" fillId="122" borderId="1" xfId="151" applyFont="1" applyFill="1" applyBorder="1" applyAlignment="1">
      <alignment horizontal="center" vertical="center"/>
    </xf>
    <xf numFmtId="0" fontId="104" fillId="123" borderId="0" xfId="244" applyFont="1" applyFill="1" applyAlignment="1">
      <alignment horizontal="center" vertical="center" shrinkToFit="1"/>
    </xf>
    <xf numFmtId="0" fontId="35" fillId="104" borderId="1" xfId="129" applyFont="1" applyFill="1" applyBorder="1" applyAlignment="1">
      <alignment horizontal="center" vertical="center" shrinkToFit="1"/>
    </xf>
    <xf numFmtId="0" fontId="52" fillId="123" borderId="0" xfId="244" applyFont="1" applyFill="1" applyAlignment="1">
      <alignment horizontal="center" vertical="center" shrinkToFit="1"/>
    </xf>
    <xf numFmtId="0" fontId="34" fillId="86" borderId="1" xfId="129" applyFont="1" applyFill="1" applyBorder="1" applyAlignment="1">
      <alignment horizontal="center" vertical="center" shrinkToFit="1"/>
    </xf>
    <xf numFmtId="0" fontId="93" fillId="122" borderId="46" xfId="151" applyFont="1" applyFill="1" applyBorder="1" applyAlignment="1">
      <alignment horizontal="center" vertical="center"/>
    </xf>
    <xf numFmtId="0" fontId="56" fillId="0" borderId="0" xfId="129" applyFont="1" applyAlignment="1">
      <alignment horizontal="left" vertical="center" shrinkToFit="1"/>
    </xf>
    <xf numFmtId="0" fontId="2" fillId="0" borderId="0" xfId="242" applyAlignment="1">
      <alignment horizontal="center" vertical="center"/>
    </xf>
    <xf numFmtId="0" fontId="93" fillId="122" borderId="26" xfId="151" applyFont="1" applyFill="1" applyBorder="1" applyAlignment="1">
      <alignment horizontal="center" vertical="center"/>
    </xf>
    <xf numFmtId="0" fontId="69" fillId="0" borderId="0" xfId="125" applyFont="1" applyAlignment="1">
      <alignment horizontal="center" vertical="center"/>
    </xf>
    <xf numFmtId="0" fontId="21" fillId="88" borderId="0" xfId="151" applyFont="1" applyFill="1" applyAlignment="1">
      <alignment horizontal="center" vertical="center"/>
    </xf>
    <xf numFmtId="0" fontId="61" fillId="0" borderId="22" xfId="151" applyFont="1" applyBorder="1" applyAlignment="1">
      <alignment horizontal="center" vertical="center"/>
    </xf>
    <xf numFmtId="0" fontId="113" fillId="126" borderId="0" xfId="151" applyFont="1" applyFill="1" applyAlignment="1">
      <alignment horizontal="center" vertical="center"/>
    </xf>
    <xf numFmtId="0" fontId="2" fillId="88" borderId="0" xfId="242" applyFill="1" applyAlignment="1">
      <alignment horizontal="center" vertical="center"/>
    </xf>
    <xf numFmtId="0" fontId="69" fillId="88" borderId="0" xfId="125" applyFont="1" applyFill="1" applyAlignment="1">
      <alignment horizontal="center" vertical="center"/>
    </xf>
    <xf numFmtId="0" fontId="91" fillId="0" borderId="0" xfId="117" applyFont="1" applyAlignment="1">
      <alignment horizontal="center" vertical="center"/>
    </xf>
    <xf numFmtId="0" fontId="69" fillId="116" borderId="1" xfId="125" applyFont="1" applyFill="1" applyBorder="1" applyAlignment="1">
      <alignment horizontal="center" vertical="center"/>
    </xf>
    <xf numFmtId="0" fontId="119" fillId="126" borderId="0" xfId="151" applyFont="1" applyFill="1" applyAlignment="1">
      <alignment horizontal="center" vertical="center"/>
    </xf>
    <xf numFmtId="0" fontId="123" fillId="127" borderId="1" xfId="248" applyFont="1" applyFill="1" applyBorder="1" applyAlignment="1" applyProtection="1">
      <alignment horizontal="center" vertical="center" shrinkToFit="1"/>
    </xf>
    <xf numFmtId="0" fontId="10" fillId="0" borderId="21" xfId="151" applyBorder="1" applyAlignment="1">
      <alignment vertical="center"/>
    </xf>
    <xf numFmtId="0" fontId="29" fillId="52" borderId="0" xfId="129" applyFont="1" applyFill="1" applyAlignment="1">
      <alignment horizontal="center" vertical="center" shrinkToFit="1"/>
    </xf>
    <xf numFmtId="0" fontId="29" fillId="88" borderId="0" xfId="151" applyFont="1" applyFill="1" applyAlignment="1">
      <alignment horizontal="center" vertical="center"/>
    </xf>
    <xf numFmtId="0" fontId="133" fillId="0" borderId="0" xfId="151" applyFont="1" applyAlignment="1">
      <alignment horizontal="center" vertical="center"/>
    </xf>
    <xf numFmtId="0" fontId="76" fillId="128" borderId="0" xfId="151" applyFont="1" applyFill="1" applyAlignment="1">
      <alignment horizontal="center" vertical="center"/>
    </xf>
    <xf numFmtId="0" fontId="125" fillId="35" borderId="0" xfId="151" applyFont="1" applyFill="1" applyAlignment="1">
      <alignment horizontal="center" vertical="center"/>
    </xf>
    <xf numFmtId="0" fontId="76" fillId="52" borderId="0" xfId="151" applyFont="1" applyFill="1" applyAlignment="1">
      <alignment horizontal="center" vertical="center"/>
    </xf>
    <xf numFmtId="0" fontId="125" fillId="128" borderId="0" xfId="151" applyFont="1" applyFill="1" applyAlignment="1">
      <alignment horizontal="center" vertical="center"/>
    </xf>
    <xf numFmtId="0" fontId="21" fillId="0" borderId="0" xfId="151" applyFont="1" applyAlignment="1">
      <alignment vertical="center"/>
    </xf>
    <xf numFmtId="0" fontId="69" fillId="99" borderId="1" xfId="124" applyFont="1" applyFill="1" applyBorder="1" applyAlignment="1">
      <alignment horizontal="center"/>
    </xf>
    <xf numFmtId="0" fontId="133" fillId="52" borderId="0" xfId="129" applyFont="1" applyFill="1" applyAlignment="1">
      <alignment horizontal="center" vertical="center" shrinkToFit="1"/>
    </xf>
    <xf numFmtId="0" fontId="83" fillId="110" borderId="47" xfId="245" applyFont="1" applyFill="1" applyBorder="1" applyAlignment="1" applyProtection="1">
      <alignment horizontal="center" vertical="center" shrinkToFit="1"/>
    </xf>
    <xf numFmtId="0" fontId="72" fillId="109" borderId="0" xfId="151" applyFont="1" applyFill="1" applyAlignment="1">
      <alignment horizontal="center" vertical="center"/>
    </xf>
    <xf numFmtId="0" fontId="105" fillId="120" borderId="1" xfId="124" applyFont="1" applyFill="1" applyBorder="1" applyAlignment="1">
      <alignment horizontal="center" vertical="center"/>
    </xf>
    <xf numFmtId="0" fontId="98" fillId="126" borderId="0" xfId="151" applyFont="1" applyFill="1" applyAlignment="1">
      <alignment horizontal="center" vertical="center"/>
    </xf>
    <xf numFmtId="0" fontId="4" fillId="0" borderId="0" xfId="250" applyAlignment="1">
      <alignment horizontal="center" vertical="center"/>
    </xf>
    <xf numFmtId="0" fontId="93" fillId="122" borderId="15" xfId="151" applyFont="1" applyFill="1" applyBorder="1" applyAlignment="1" applyProtection="1">
      <alignment horizontal="center" vertical="center"/>
      <protection locked="0"/>
    </xf>
    <xf numFmtId="0" fontId="43" fillId="61" borderId="1" xfId="129" applyFont="1" applyFill="1" applyBorder="1" applyAlignment="1">
      <alignment horizontal="center" vertical="center" shrinkToFit="1"/>
    </xf>
    <xf numFmtId="0" fontId="134" fillId="0" borderId="0" xfId="251" applyFont="1" applyAlignment="1">
      <alignment horizontal="center" vertical="center" shrinkToFit="1"/>
    </xf>
    <xf numFmtId="0" fontId="61" fillId="0" borderId="21" xfId="151" applyFont="1" applyBorder="1" applyAlignment="1">
      <alignment horizontal="center" vertical="center"/>
    </xf>
    <xf numFmtId="49" fontId="131" fillId="88" borderId="0" xfId="242" applyNumberFormat="1" applyFont="1" applyFill="1" applyAlignment="1">
      <alignment horizontal="center" vertical="center"/>
    </xf>
    <xf numFmtId="0" fontId="106" fillId="95" borderId="15" xfId="125" applyFont="1" applyFill="1" applyBorder="1" applyAlignment="1">
      <alignment horizontal="center" vertical="center"/>
    </xf>
    <xf numFmtId="0" fontId="67" fillId="106" borderId="26" xfId="129" applyFont="1" applyFill="1" applyBorder="1" applyAlignment="1">
      <alignment horizontal="center" vertical="center" shrinkToFit="1"/>
    </xf>
    <xf numFmtId="0" fontId="129" fillId="0" borderId="0" xfId="252" applyFont="1" applyAlignment="1" applyProtection="1">
      <alignment horizontal="center" vertical="center" shrinkToFit="1"/>
    </xf>
    <xf numFmtId="0" fontId="90" fillId="96" borderId="1" xfId="0" applyFont="1" applyFill="1" applyBorder="1" applyAlignment="1">
      <alignment horizontal="center" vertical="center"/>
    </xf>
    <xf numFmtId="0" fontId="9" fillId="0" borderId="0" xfId="151" applyFont="1" applyAlignment="1">
      <alignment vertical="center"/>
    </xf>
    <xf numFmtId="0" fontId="30" fillId="128" borderId="0" xfId="151" applyFont="1" applyFill="1" applyAlignment="1">
      <alignment horizontal="center" vertical="center" shrinkToFit="1"/>
    </xf>
    <xf numFmtId="0" fontId="9" fillId="0" borderId="0" xfId="151" applyFont="1" applyAlignment="1">
      <alignment horizontal="center" vertical="center"/>
    </xf>
    <xf numFmtId="0" fontId="101" fillId="129" borderId="0" xfId="151" applyFont="1" applyFill="1" applyAlignment="1">
      <alignment horizontal="center" vertical="center"/>
    </xf>
    <xf numFmtId="0" fontId="81" fillId="0" borderId="0" xfId="248" applyFont="1" applyAlignment="1" applyProtection="1">
      <alignment horizontal="center" vertical="center" shrinkToFit="1"/>
    </xf>
    <xf numFmtId="0" fontId="69" fillId="94" borderId="1" xfId="125" applyFont="1" applyFill="1" applyBorder="1" applyAlignment="1">
      <alignment horizontal="center" vertical="center"/>
    </xf>
    <xf numFmtId="0" fontId="62" fillId="128" borderId="0" xfId="151" applyFont="1" applyFill="1" applyAlignment="1">
      <alignment horizontal="center" vertical="center" shrinkToFit="1"/>
    </xf>
    <xf numFmtId="0" fontId="100" fillId="129" borderId="0" xfId="151" applyFont="1" applyFill="1" applyAlignment="1">
      <alignment horizontal="center" vertical="center"/>
    </xf>
    <xf numFmtId="0" fontId="137" fillId="130" borderId="0" xfId="253" applyFont="1" applyFill="1" applyAlignment="1">
      <alignment horizontal="center" vertical="center"/>
    </xf>
    <xf numFmtId="0" fontId="133" fillId="130" borderId="0" xfId="253" applyFont="1" applyFill="1" applyAlignment="1">
      <alignment horizontal="center" vertical="center"/>
    </xf>
    <xf numFmtId="0" fontId="49" fillId="59" borderId="16" xfId="129" applyFont="1" applyFill="1" applyBorder="1" applyAlignment="1">
      <alignment horizontal="center" vertical="center" shrinkToFit="1"/>
    </xf>
    <xf numFmtId="0" fontId="21" fillId="0" borderId="27" xfId="151" applyFont="1" applyBorder="1" applyAlignment="1">
      <alignment horizontal="center" vertical="center"/>
    </xf>
    <xf numFmtId="49" fontId="138" fillId="115" borderId="0" xfId="242" applyNumberFormat="1" applyFont="1" applyFill="1" applyAlignment="1">
      <alignment horizontal="center" vertical="center"/>
    </xf>
    <xf numFmtId="49" fontId="138" fillId="115" borderId="21" xfId="242" applyNumberFormat="1" applyFont="1" applyFill="1" applyBorder="1" applyAlignment="1">
      <alignment horizontal="center" vertical="center"/>
    </xf>
    <xf numFmtId="49" fontId="138" fillId="0" borderId="0" xfId="242" applyNumberFormat="1" applyFont="1" applyAlignment="1">
      <alignment horizontal="center" vertical="center"/>
    </xf>
    <xf numFmtId="0" fontId="54" fillId="0" borderId="0" xfId="249" applyFont="1" applyAlignment="1">
      <alignment horizontal="center" vertical="center"/>
    </xf>
    <xf numFmtId="0" fontId="54" fillId="0" borderId="0" xfId="249" applyFont="1" applyAlignment="1">
      <alignment horizontal="right" vertical="center"/>
    </xf>
    <xf numFmtId="0" fontId="129" fillId="0" borderId="0" xfId="249" applyFont="1" applyAlignment="1">
      <alignment horizontal="center" vertical="center" shrinkToFit="1"/>
    </xf>
    <xf numFmtId="0" fontId="54" fillId="0" borderId="0" xfId="249" applyFont="1" applyAlignment="1">
      <alignment horizontal="left" vertical="center"/>
    </xf>
    <xf numFmtId="49" fontId="131" fillId="97" borderId="23" xfId="242" applyNumberFormat="1" applyFont="1" applyFill="1" applyBorder="1" applyAlignment="1">
      <alignment horizontal="center" vertical="center"/>
    </xf>
    <xf numFmtId="0" fontId="93" fillId="114" borderId="48" xfId="125" applyFont="1" applyFill="1" applyBorder="1" applyAlignment="1">
      <alignment horizontal="center" vertical="center"/>
    </xf>
    <xf numFmtId="0" fontId="21" fillId="0" borderId="0" xfId="249" applyFont="1" applyAlignment="1">
      <alignment horizontal="center" vertical="center"/>
    </xf>
    <xf numFmtId="49" fontId="131" fillId="0" borderId="0" xfId="242" applyNumberFormat="1" applyFont="1" applyAlignment="1">
      <alignment horizontal="center" vertical="center"/>
    </xf>
    <xf numFmtId="0" fontId="135" fillId="35" borderId="3" xfId="151" applyFont="1" applyFill="1" applyBorder="1" applyAlignment="1">
      <alignment horizontal="center" vertical="center" wrapText="1"/>
    </xf>
    <xf numFmtId="0" fontId="2" fillId="0" borderId="49" xfId="242" applyBorder="1" applyAlignment="1">
      <alignment horizontal="center" vertical="center"/>
    </xf>
    <xf numFmtId="0" fontId="10" fillId="0" borderId="23" xfId="151" applyBorder="1" applyAlignment="1">
      <alignment vertical="center"/>
    </xf>
    <xf numFmtId="0" fontId="93" fillId="88" borderId="18" xfId="125" applyFont="1" applyFill="1" applyBorder="1" applyAlignment="1">
      <alignment horizontal="center" vertical="center"/>
    </xf>
    <xf numFmtId="0" fontId="10" fillId="0" borderId="18" xfId="151" applyBorder="1" applyAlignment="1">
      <alignment horizontal="center" vertical="center"/>
    </xf>
    <xf numFmtId="0" fontId="93" fillId="88" borderId="50" xfId="151" applyFont="1" applyFill="1" applyBorder="1" applyAlignment="1" applyProtection="1">
      <alignment horizontal="center" vertical="center"/>
      <protection locked="0"/>
    </xf>
    <xf numFmtId="0" fontId="93" fillId="88" borderId="33" xfId="125" applyFont="1" applyFill="1" applyBorder="1" applyAlignment="1">
      <alignment horizontal="center" vertical="center"/>
    </xf>
    <xf numFmtId="0" fontId="34" fillId="34" borderId="26" xfId="129" applyFont="1" applyFill="1" applyBorder="1" applyAlignment="1">
      <alignment horizontal="center" vertical="center" shrinkToFit="1"/>
    </xf>
    <xf numFmtId="0" fontId="9" fillId="97" borderId="0" xfId="151" applyFont="1" applyFill="1" applyAlignment="1">
      <alignment horizontal="center" vertical="center"/>
    </xf>
    <xf numFmtId="0" fontId="132" fillId="0" borderId="0" xfId="151" applyFont="1" applyAlignment="1">
      <alignment vertical="center"/>
    </xf>
    <xf numFmtId="0" fontId="10" fillId="0" borderId="21" xfId="151" applyBorder="1" applyAlignment="1">
      <alignment horizontal="center" vertical="center"/>
    </xf>
    <xf numFmtId="0" fontId="9" fillId="97" borderId="0" xfId="151" applyFont="1" applyFill="1" applyAlignment="1" applyProtection="1">
      <alignment horizontal="center" vertical="center"/>
      <protection locked="0"/>
    </xf>
    <xf numFmtId="0" fontId="120" fillId="97" borderId="21" xfId="151" applyFont="1" applyFill="1" applyBorder="1" applyAlignment="1">
      <alignment horizontal="center" vertical="center"/>
    </xf>
    <xf numFmtId="0" fontId="120" fillId="97" borderId="0" xfId="151" applyFont="1" applyFill="1" applyAlignment="1">
      <alignment horizontal="center" vertical="center"/>
    </xf>
    <xf numFmtId="0" fontId="120" fillId="97" borderId="18" xfId="151" applyFont="1" applyFill="1" applyBorder="1" applyAlignment="1">
      <alignment horizontal="center" vertical="center"/>
    </xf>
    <xf numFmtId="0" fontId="120" fillId="97" borderId="32" xfId="151" applyFont="1" applyFill="1" applyBorder="1" applyAlignment="1">
      <alignment horizontal="center" vertical="center"/>
    </xf>
    <xf numFmtId="0" fontId="9" fillId="97" borderId="18" xfId="151" applyFont="1" applyFill="1" applyBorder="1" applyAlignment="1">
      <alignment horizontal="center" vertical="center"/>
    </xf>
    <xf numFmtId="0" fontId="142" fillId="0" borderId="0" xfId="248" applyFont="1" applyAlignment="1" applyProtection="1">
      <alignment vertical="center" wrapText="1" shrinkToFit="1"/>
    </xf>
    <xf numFmtId="0" fontId="143" fillId="97" borderId="21" xfId="250" applyFont="1" applyFill="1" applyBorder="1" applyAlignment="1">
      <alignment horizontal="center" vertical="center"/>
    </xf>
    <xf numFmtId="0" fontId="4" fillId="0" borderId="28" xfId="250" applyBorder="1" applyAlignment="1">
      <alignment horizontal="center" vertical="center"/>
    </xf>
    <xf numFmtId="0" fontId="29" fillId="0" borderId="0" xfId="151" applyFont="1" applyAlignment="1" applyProtection="1">
      <alignment horizontal="center" vertical="center"/>
      <protection locked="0"/>
    </xf>
    <xf numFmtId="0" fontId="10" fillId="0" borderId="0" xfId="151" applyAlignment="1" applyProtection="1">
      <alignment horizontal="center" vertical="center"/>
      <protection locked="0"/>
    </xf>
    <xf numFmtId="0" fontId="54" fillId="0" borderId="0" xfId="151" applyFont="1" applyAlignment="1" applyProtection="1">
      <alignment horizontal="center" vertical="center"/>
      <protection locked="0"/>
    </xf>
    <xf numFmtId="0" fontId="93" fillId="122" borderId="1" xfId="0" applyFont="1" applyFill="1" applyBorder="1" applyAlignment="1" applyProtection="1">
      <alignment horizontal="center" vertical="center"/>
      <protection locked="0"/>
    </xf>
    <xf numFmtId="0" fontId="10" fillId="0" borderId="0" xfId="151" applyProtection="1">
      <protection locked="0"/>
    </xf>
    <xf numFmtId="0" fontId="104" fillId="0" borderId="0" xfId="254" applyFont="1" applyAlignment="1" applyProtection="1">
      <alignment horizontal="center" vertical="top" shrinkToFit="1"/>
      <protection locked="0"/>
    </xf>
    <xf numFmtId="0" fontId="147" fillId="0" borderId="0" xfId="254" applyFont="1" applyAlignment="1" applyProtection="1">
      <alignment horizontal="center" vertical="top" shrinkToFit="1"/>
      <protection locked="0"/>
    </xf>
    <xf numFmtId="0" fontId="148" fillId="0" borderId="0" xfId="254" applyFont="1" applyAlignment="1">
      <alignment horizontal="center" vertical="center" shrinkToFit="1"/>
    </xf>
    <xf numFmtId="0" fontId="32" fillId="0" borderId="0" xfId="151" applyFont="1" applyProtection="1">
      <protection locked="0"/>
    </xf>
    <xf numFmtId="0" fontId="6" fillId="0" borderId="0" xfId="129" applyFont="1" applyAlignment="1" applyProtection="1">
      <alignment horizontal="center" vertical="center"/>
      <protection locked="0"/>
    </xf>
    <xf numFmtId="0" fontId="151" fillId="0" borderId="0" xfId="151" applyFont="1" applyProtection="1">
      <protection locked="0"/>
    </xf>
    <xf numFmtId="0" fontId="150" fillId="0" borderId="1" xfId="151" applyFont="1" applyBorder="1" applyAlignment="1">
      <alignment horizontal="center" vertical="center" wrapText="1"/>
    </xf>
    <xf numFmtId="14" fontId="149" fillId="114" borderId="1" xfId="151" applyNumberFormat="1" applyFont="1" applyFill="1" applyBorder="1" applyAlignment="1" applyProtection="1">
      <alignment horizontal="center" vertical="center" wrapText="1"/>
      <protection locked="0"/>
    </xf>
    <xf numFmtId="0" fontId="29" fillId="132" borderId="1" xfId="151" applyFont="1" applyFill="1" applyBorder="1" applyAlignment="1" applyProtection="1">
      <alignment horizontal="center" vertical="center" wrapText="1"/>
      <protection locked="0"/>
    </xf>
    <xf numFmtId="167" fontId="29" fillId="132" borderId="1" xfId="255" applyFont="1" applyFill="1" applyBorder="1" applyAlignment="1" applyProtection="1">
      <alignment horizontal="right" vertical="center"/>
    </xf>
    <xf numFmtId="0" fontId="29" fillId="133" borderId="1" xfId="151" applyFont="1" applyFill="1" applyBorder="1" applyAlignment="1" applyProtection="1">
      <alignment horizontal="center" vertical="center" wrapText="1"/>
      <protection locked="0"/>
    </xf>
    <xf numFmtId="0" fontId="10" fillId="0" borderId="0" xfId="151" applyAlignment="1" applyProtection="1">
      <alignment horizontal="left" vertical="center"/>
      <protection locked="0"/>
    </xf>
    <xf numFmtId="0" fontId="152" fillId="0" borderId="0" xfId="151" applyFont="1" applyAlignment="1" applyProtection="1">
      <alignment horizontal="center" vertical="center"/>
      <protection locked="0"/>
    </xf>
    <xf numFmtId="0" fontId="29" fillId="134" borderId="1" xfId="151" applyFont="1" applyFill="1" applyBorder="1" applyAlignment="1" applyProtection="1">
      <alignment horizontal="center" vertical="center" wrapText="1"/>
      <protection locked="0"/>
    </xf>
    <xf numFmtId="167" fontId="29" fillId="134" borderId="1" xfId="255" applyFont="1" applyFill="1" applyBorder="1" applyAlignment="1" applyProtection="1">
      <alignment horizontal="right" vertical="center"/>
    </xf>
    <xf numFmtId="0" fontId="29" fillId="136" borderId="15" xfId="151" applyFont="1" applyFill="1" applyBorder="1" applyAlignment="1" applyProtection="1">
      <alignment horizontal="center" vertical="center" wrapText="1"/>
      <protection locked="0"/>
    </xf>
    <xf numFmtId="171" fontId="29" fillId="136" borderId="1" xfId="256" applyNumberFormat="1" applyFont="1" applyFill="1" applyBorder="1" applyAlignment="1" applyProtection="1">
      <alignment horizontal="right" vertical="center" wrapText="1"/>
      <protection locked="0"/>
    </xf>
    <xf numFmtId="0" fontId="153" fillId="0" borderId="0" xfId="151" applyFont="1" applyAlignment="1" applyProtection="1">
      <alignment horizontal="center" vertical="center"/>
      <protection locked="0"/>
    </xf>
    <xf numFmtId="0" fontId="29" fillId="137" borderId="1" xfId="151" applyFont="1" applyFill="1" applyBorder="1" applyAlignment="1" applyProtection="1">
      <alignment horizontal="center" vertical="center" wrapText="1"/>
      <protection locked="0"/>
    </xf>
    <xf numFmtId="10" fontId="29" fillId="137" borderId="1" xfId="256" applyNumberFormat="1" applyFont="1" applyFill="1" applyBorder="1" applyAlignment="1" applyProtection="1">
      <alignment horizontal="right" vertical="center"/>
    </xf>
    <xf numFmtId="0" fontId="29" fillId="138" borderId="1" xfId="151" applyFont="1" applyFill="1" applyBorder="1" applyAlignment="1" applyProtection="1">
      <alignment horizontal="center" vertical="center" wrapText="1"/>
      <protection locked="0"/>
    </xf>
    <xf numFmtId="1" fontId="29" fillId="138" borderId="2" xfId="256" applyNumberFormat="1" applyFont="1" applyFill="1" applyBorder="1" applyAlignment="1" applyProtection="1">
      <alignment horizontal="right" vertical="center"/>
    </xf>
    <xf numFmtId="0" fontId="29" fillId="139" borderId="1" xfId="151" applyFont="1" applyFill="1" applyBorder="1" applyAlignment="1" applyProtection="1">
      <alignment horizontal="center" vertical="center" wrapText="1"/>
      <protection locked="0"/>
    </xf>
    <xf numFmtId="1" fontId="29" fillId="139" borderId="1" xfId="256" applyNumberFormat="1" applyFont="1" applyFill="1" applyBorder="1" applyAlignment="1" applyProtection="1">
      <alignment horizontal="right" vertical="center"/>
    </xf>
    <xf numFmtId="0" fontId="150" fillId="0" borderId="0" xfId="151" applyFont="1" applyAlignment="1" applyProtection="1">
      <alignment horizontal="center" wrapText="1"/>
      <protection locked="0"/>
    </xf>
    <xf numFmtId="0" fontId="29" fillId="135" borderId="1" xfId="151" applyFont="1" applyFill="1" applyBorder="1" applyAlignment="1" applyProtection="1">
      <alignment horizontal="center" vertical="center" wrapText="1"/>
      <protection locked="0"/>
    </xf>
    <xf numFmtId="1" fontId="29" fillId="135" borderId="1" xfId="256" applyNumberFormat="1" applyFont="1" applyFill="1" applyBorder="1" applyAlignment="1" applyProtection="1">
      <alignment horizontal="right" vertical="center"/>
    </xf>
    <xf numFmtId="14" fontId="150" fillId="0" borderId="0" xfId="151" applyNumberFormat="1" applyFont="1" applyAlignment="1" applyProtection="1">
      <alignment horizontal="center" wrapText="1"/>
      <protection locked="0"/>
    </xf>
    <xf numFmtId="0" fontId="93" fillId="116" borderId="1" xfId="151" applyFont="1" applyFill="1" applyBorder="1" applyAlignment="1">
      <alignment horizontal="center" vertical="center"/>
    </xf>
    <xf numFmtId="0" fontId="69" fillId="140" borderId="5" xfId="151" applyFont="1" applyFill="1" applyBorder="1" applyAlignment="1">
      <alignment horizontal="center" vertical="center"/>
    </xf>
    <xf numFmtId="0" fontId="67" fillId="0" borderId="15" xfId="233" applyFont="1" applyBorder="1" applyAlignment="1" applyProtection="1">
      <alignment horizontal="left" vertical="center" shrinkToFit="1"/>
      <protection locked="0"/>
    </xf>
    <xf numFmtId="0" fontId="67" fillId="0" borderId="53" xfId="233" applyFont="1" applyBorder="1" applyAlignment="1" applyProtection="1">
      <alignment horizontal="left" vertical="center" shrinkToFit="1"/>
      <protection locked="0"/>
    </xf>
    <xf numFmtId="0" fontId="155" fillId="0" borderId="53" xfId="233" applyFont="1" applyBorder="1" applyAlignment="1" applyProtection="1">
      <alignment vertical="center" shrinkToFit="1"/>
      <protection locked="0"/>
    </xf>
    <xf numFmtId="0" fontId="155" fillId="0" borderId="16" xfId="233" applyFont="1" applyBorder="1" applyAlignment="1" applyProtection="1">
      <alignment vertical="center" shrinkToFit="1"/>
      <protection locked="0"/>
    </xf>
    <xf numFmtId="0" fontId="33" fillId="53" borderId="16" xfId="129" applyFont="1" applyFill="1" applyBorder="1" applyAlignment="1">
      <alignment horizontal="center" vertical="center" shrinkToFit="1"/>
    </xf>
    <xf numFmtId="170" fontId="10" fillId="0" borderId="16" xfId="151" applyNumberFormat="1" applyBorder="1" applyAlignment="1">
      <alignment horizontal="center" vertical="center"/>
    </xf>
    <xf numFmtId="170" fontId="62" fillId="0" borderId="2" xfId="129" applyNumberFormat="1" applyFont="1" applyBorder="1" applyAlignment="1">
      <alignment horizontal="center" vertical="center" shrinkToFit="1"/>
    </xf>
    <xf numFmtId="170" fontId="62" fillId="0" borderId="1" xfId="129" applyNumberFormat="1" applyFont="1" applyBorder="1" applyAlignment="1">
      <alignment horizontal="center" vertical="center" shrinkToFit="1"/>
    </xf>
    <xf numFmtId="0" fontId="34" fillId="55" borderId="16" xfId="129" applyFont="1" applyFill="1" applyBorder="1" applyAlignment="1">
      <alignment horizontal="center" vertical="center" shrinkToFit="1"/>
    </xf>
    <xf numFmtId="0" fontId="155" fillId="132" borderId="53" xfId="233" applyFont="1" applyFill="1" applyBorder="1" applyAlignment="1" applyProtection="1">
      <alignment vertical="center" shrinkToFit="1"/>
      <protection locked="0"/>
    </xf>
    <xf numFmtId="0" fontId="155" fillId="132" borderId="16" xfId="233" applyFont="1" applyFill="1" applyBorder="1" applyAlignment="1" applyProtection="1">
      <alignment vertical="center" shrinkToFit="1"/>
      <protection locked="0"/>
    </xf>
    <xf numFmtId="0" fontId="155" fillId="132" borderId="54" xfId="233" applyFont="1" applyFill="1" applyBorder="1" applyAlignment="1" applyProtection="1">
      <alignment vertical="center" shrinkToFit="1"/>
      <protection locked="0"/>
    </xf>
    <xf numFmtId="170" fontId="10" fillId="132" borderId="16" xfId="151" applyNumberFormat="1" applyFill="1" applyBorder="1" applyAlignment="1">
      <alignment horizontal="center" vertical="center"/>
    </xf>
    <xf numFmtId="170" fontId="62" fillId="132" borderId="1" xfId="129" applyNumberFormat="1" applyFont="1" applyFill="1" applyBorder="1" applyAlignment="1">
      <alignment horizontal="center" vertical="center" shrinkToFit="1"/>
    </xf>
    <xf numFmtId="0" fontId="35" fillId="36" borderId="16" xfId="129" applyFont="1" applyFill="1" applyBorder="1" applyAlignment="1">
      <alignment horizontal="center" vertical="center" shrinkToFit="1"/>
    </xf>
    <xf numFmtId="0" fontId="35" fillId="56" borderId="16" xfId="129" applyFont="1" applyFill="1" applyBorder="1" applyAlignment="1">
      <alignment horizontal="center" vertical="center" shrinkToFit="1"/>
    </xf>
    <xf numFmtId="0" fontId="35" fillId="37" borderId="16" xfId="129" applyFont="1" applyFill="1" applyBorder="1" applyAlignment="1">
      <alignment horizontal="center" vertical="center" shrinkToFit="1"/>
    </xf>
    <xf numFmtId="0" fontId="48" fillId="79" borderId="16" xfId="129" applyFont="1" applyFill="1" applyBorder="1" applyAlignment="1">
      <alignment horizontal="center" vertical="center" shrinkToFit="1"/>
    </xf>
    <xf numFmtId="0" fontId="34" fillId="57" borderId="16" xfId="129" applyFont="1" applyFill="1" applyBorder="1" applyAlignment="1">
      <alignment horizontal="center" vertical="center" shrinkToFit="1"/>
    </xf>
    <xf numFmtId="0" fontId="41" fillId="58" borderId="16" xfId="129" applyFont="1" applyFill="1" applyBorder="1" applyAlignment="1">
      <alignment horizontal="center" vertical="center" shrinkToFit="1"/>
    </xf>
    <xf numFmtId="0" fontId="34" fillId="50" borderId="16" xfId="129" applyFont="1" applyFill="1" applyBorder="1" applyAlignment="1">
      <alignment horizontal="center" vertical="center" shrinkToFit="1"/>
    </xf>
    <xf numFmtId="0" fontId="41" fillId="35" borderId="16" xfId="129" applyFont="1" applyFill="1" applyBorder="1" applyAlignment="1">
      <alignment horizontal="center" vertical="center" shrinkToFit="1"/>
    </xf>
    <xf numFmtId="0" fontId="41" fillId="59" borderId="16" xfId="129" applyFont="1" applyFill="1" applyBorder="1" applyAlignment="1">
      <alignment horizontal="center" vertical="center" shrinkToFit="1"/>
    </xf>
    <xf numFmtId="0" fontId="34" fillId="34" borderId="16" xfId="129" applyFont="1" applyFill="1" applyBorder="1" applyAlignment="1">
      <alignment horizontal="center" vertical="center" shrinkToFit="1"/>
    </xf>
    <xf numFmtId="0" fontId="49" fillId="98" borderId="16" xfId="129" applyFont="1" applyFill="1" applyBorder="1" applyAlignment="1">
      <alignment horizontal="center" vertical="center" shrinkToFit="1"/>
    </xf>
    <xf numFmtId="0" fontId="49" fillId="99" borderId="16" xfId="129" applyFont="1" applyFill="1" applyBorder="1" applyAlignment="1">
      <alignment horizontal="center" vertical="center" shrinkToFit="1"/>
    </xf>
    <xf numFmtId="0" fontId="49" fillId="100" borderId="16" xfId="129" applyFont="1" applyFill="1" applyBorder="1" applyAlignment="1">
      <alignment horizontal="center" vertical="center" shrinkToFit="1"/>
    </xf>
    <xf numFmtId="0" fontId="42" fillId="80" borderId="16" xfId="129" applyFont="1" applyFill="1" applyBorder="1" applyAlignment="1">
      <alignment horizontal="center" vertical="center" shrinkToFit="1"/>
    </xf>
    <xf numFmtId="0" fontId="49" fillId="101" borderId="16" xfId="129" applyFont="1" applyFill="1" applyBorder="1" applyAlignment="1">
      <alignment horizontal="center" vertical="center" shrinkToFit="1"/>
    </xf>
    <xf numFmtId="0" fontId="42" fillId="60" borderId="16" xfId="129" applyFont="1" applyFill="1" applyBorder="1" applyAlignment="1">
      <alignment horizontal="center" vertical="center" shrinkToFit="1"/>
    </xf>
    <xf numFmtId="0" fontId="49" fillId="102" borderId="16" xfId="129" applyFont="1" applyFill="1" applyBorder="1" applyAlignment="1">
      <alignment horizontal="center" vertical="center" shrinkToFit="1"/>
    </xf>
    <xf numFmtId="0" fontId="43" fillId="81" borderId="16" xfId="129" applyFont="1" applyFill="1" applyBorder="1" applyAlignment="1">
      <alignment horizontal="center" vertical="center" shrinkToFit="1"/>
    </xf>
    <xf numFmtId="0" fontId="49" fillId="88" borderId="16" xfId="129" applyFont="1" applyFill="1" applyBorder="1" applyAlignment="1">
      <alignment horizontal="center" vertical="center" shrinkToFit="1"/>
    </xf>
    <xf numFmtId="0" fontId="43" fillId="61" borderId="16" xfId="129" applyFont="1" applyFill="1" applyBorder="1" applyAlignment="1">
      <alignment horizontal="center" vertical="center" shrinkToFit="1"/>
    </xf>
    <xf numFmtId="0" fontId="155" fillId="132" borderId="1" xfId="233" applyFont="1" applyFill="1" applyBorder="1" applyAlignment="1" applyProtection="1">
      <alignment vertical="center" shrinkToFit="1"/>
      <protection locked="0"/>
    </xf>
    <xf numFmtId="170" fontId="10" fillId="132" borderId="1" xfId="151" applyNumberFormat="1" applyFill="1" applyBorder="1" applyAlignment="1">
      <alignment horizontal="center" vertical="center"/>
    </xf>
    <xf numFmtId="0" fontId="10" fillId="0" borderId="53" xfId="151" applyBorder="1" applyProtection="1">
      <protection locked="0"/>
    </xf>
    <xf numFmtId="0" fontId="10" fillId="0" borderId="16" xfId="151" applyBorder="1" applyProtection="1">
      <protection locked="0"/>
    </xf>
    <xf numFmtId="0" fontId="35" fillId="62" borderId="16" xfId="129" applyFont="1" applyFill="1" applyBorder="1" applyAlignment="1">
      <alignment horizontal="center" vertical="center" shrinkToFit="1"/>
    </xf>
    <xf numFmtId="0" fontId="34" fillId="63" borderId="16" xfId="129" applyFont="1" applyFill="1" applyBorder="1" applyAlignment="1">
      <alignment horizontal="center" vertical="center" shrinkToFit="1"/>
    </xf>
    <xf numFmtId="0" fontId="44" fillId="55" borderId="16" xfId="129" applyFont="1" applyFill="1" applyBorder="1" applyAlignment="1">
      <alignment horizontal="center" vertical="center" shrinkToFit="1"/>
    </xf>
    <xf numFmtId="0" fontId="35" fillId="38" borderId="16" xfId="129" applyFont="1" applyFill="1" applyBorder="1" applyAlignment="1">
      <alignment horizontal="center" vertical="center" shrinkToFit="1"/>
    </xf>
    <xf numFmtId="0" fontId="51" fillId="89" borderId="16" xfId="129" applyFont="1" applyFill="1" applyBorder="1" applyAlignment="1">
      <alignment horizontal="center" vertical="center" shrinkToFit="1"/>
    </xf>
    <xf numFmtId="0" fontId="35" fillId="64" borderId="16" xfId="129" applyFont="1" applyFill="1" applyBorder="1" applyAlignment="1">
      <alignment horizontal="center" vertical="center" shrinkToFit="1"/>
    </xf>
    <xf numFmtId="0" fontId="45" fillId="65" borderId="16" xfId="129" applyFont="1" applyFill="1" applyBorder="1" applyAlignment="1">
      <alignment horizontal="center" vertical="center" shrinkToFit="1"/>
    </xf>
    <xf numFmtId="0" fontId="46" fillId="65" borderId="16" xfId="129" applyFont="1" applyFill="1" applyBorder="1" applyAlignment="1">
      <alignment horizontal="center" vertical="center" shrinkToFit="1"/>
    </xf>
    <xf numFmtId="0" fontId="47" fillId="65" borderId="16" xfId="129" applyFont="1" applyFill="1" applyBorder="1" applyAlignment="1">
      <alignment horizontal="center" vertical="center" shrinkToFit="1"/>
    </xf>
    <xf numFmtId="0" fontId="34" fillId="61" borderId="16" xfId="129" applyFont="1" applyFill="1" applyBorder="1" applyAlignment="1">
      <alignment horizontal="center" vertical="center" shrinkToFit="1"/>
    </xf>
    <xf numFmtId="0" fontId="35" fillId="82" borderId="16" xfId="129" applyFont="1" applyFill="1" applyBorder="1" applyAlignment="1">
      <alignment horizontal="center" vertical="center" shrinkToFit="1"/>
    </xf>
    <xf numFmtId="0" fontId="57" fillId="103" borderId="16" xfId="129" applyFont="1" applyFill="1" applyBorder="1" applyAlignment="1">
      <alignment horizontal="center" vertical="center" shrinkToFit="1"/>
    </xf>
    <xf numFmtId="0" fontId="35" fillId="39" borderId="16" xfId="129" applyFont="1" applyFill="1" applyBorder="1" applyAlignment="1">
      <alignment horizontal="center" vertical="center" shrinkToFit="1"/>
    </xf>
    <xf numFmtId="0" fontId="35" fillId="40" borderId="16" xfId="129" applyFont="1" applyFill="1" applyBorder="1" applyAlignment="1">
      <alignment horizontal="center" vertical="center" shrinkToFit="1"/>
    </xf>
    <xf numFmtId="0" fontId="36" fillId="41" borderId="16" xfId="129" applyFont="1" applyFill="1" applyBorder="1" applyAlignment="1">
      <alignment horizontal="center" vertical="center" shrinkToFit="1"/>
    </xf>
    <xf numFmtId="0" fontId="36" fillId="66" borderId="16" xfId="129" applyFont="1" applyFill="1" applyBorder="1" applyAlignment="1">
      <alignment horizontal="center" vertical="center" shrinkToFit="1"/>
    </xf>
    <xf numFmtId="0" fontId="35" fillId="67" borderId="16" xfId="129" applyFont="1" applyFill="1" applyBorder="1" applyAlignment="1">
      <alignment horizontal="center" vertical="center" shrinkToFit="1"/>
    </xf>
    <xf numFmtId="0" fontId="37" fillId="42" borderId="16" xfId="129" applyFont="1" applyFill="1" applyBorder="1" applyAlignment="1">
      <alignment horizontal="center" vertical="center" shrinkToFit="1"/>
    </xf>
    <xf numFmtId="0" fontId="37" fillId="43" borderId="16" xfId="129" applyFont="1" applyFill="1" applyBorder="1" applyAlignment="1">
      <alignment horizontal="center" vertical="center" shrinkToFit="1"/>
    </xf>
    <xf numFmtId="0" fontId="34" fillId="90" borderId="16" xfId="129" applyFont="1" applyFill="1" applyBorder="1" applyAlignment="1">
      <alignment horizontal="center" vertical="center" shrinkToFit="1"/>
    </xf>
    <xf numFmtId="0" fontId="35" fillId="44" borderId="16" xfId="129" applyFont="1" applyFill="1" applyBorder="1" applyAlignment="1">
      <alignment horizontal="center" vertical="center" shrinkToFit="1"/>
    </xf>
    <xf numFmtId="0" fontId="38" fillId="45" borderId="16" xfId="129" applyFont="1" applyFill="1" applyBorder="1" applyAlignment="1">
      <alignment horizontal="center" vertical="center" shrinkToFit="1"/>
    </xf>
    <xf numFmtId="0" fontId="35" fillId="104" borderId="16" xfId="129" applyFont="1" applyFill="1" applyBorder="1" applyAlignment="1">
      <alignment horizontal="center" vertical="center" shrinkToFit="1"/>
    </xf>
    <xf numFmtId="0" fontId="49" fillId="83" borderId="16" xfId="129" applyFont="1" applyFill="1" applyBorder="1" applyAlignment="1">
      <alignment horizontal="center" vertical="center" shrinkToFit="1"/>
    </xf>
    <xf numFmtId="0" fontId="50" fillId="84" borderId="16" xfId="129" applyFont="1" applyFill="1" applyBorder="1" applyAlignment="1">
      <alignment horizontal="center" vertical="center" shrinkToFit="1"/>
    </xf>
    <xf numFmtId="0" fontId="35" fillId="68" borderId="16" xfId="129" applyFont="1" applyFill="1" applyBorder="1" applyAlignment="1">
      <alignment horizontal="center" vertical="center" shrinkToFit="1"/>
    </xf>
    <xf numFmtId="0" fontId="35" fillId="46" borderId="16" xfId="129" applyFont="1" applyFill="1" applyBorder="1" applyAlignment="1">
      <alignment horizontal="center" vertical="center" shrinkToFit="1"/>
    </xf>
    <xf numFmtId="0" fontId="35" fillId="69" borderId="16" xfId="129" applyFont="1" applyFill="1" applyBorder="1" applyAlignment="1">
      <alignment horizontal="center" vertical="center" shrinkToFit="1"/>
    </xf>
    <xf numFmtId="0" fontId="35" fillId="70" borderId="16" xfId="129" applyFont="1" applyFill="1" applyBorder="1" applyAlignment="1">
      <alignment horizontal="center" vertical="center" shrinkToFit="1"/>
    </xf>
    <xf numFmtId="0" fontId="36" fillId="71" borderId="16" xfId="129" applyFont="1" applyFill="1" applyBorder="1" applyAlignment="1">
      <alignment horizontal="center" vertical="center" shrinkToFit="1"/>
    </xf>
    <xf numFmtId="0" fontId="34" fillId="72" borderId="16" xfId="129" applyFont="1" applyFill="1" applyBorder="1" applyAlignment="1">
      <alignment horizontal="center" vertical="center" shrinkToFit="1"/>
    </xf>
    <xf numFmtId="0" fontId="34" fillId="85" borderId="16" xfId="129" applyFont="1" applyFill="1" applyBorder="1" applyAlignment="1">
      <alignment horizontal="center" vertical="center" shrinkToFit="1"/>
    </xf>
    <xf numFmtId="0" fontId="58" fillId="35" borderId="16" xfId="129" applyFont="1" applyFill="1" applyBorder="1" applyAlignment="1">
      <alignment horizontal="center" vertical="center" shrinkToFit="1"/>
    </xf>
    <xf numFmtId="0" fontId="39" fillId="73" borderId="16" xfId="129" applyFont="1" applyFill="1" applyBorder="1" applyAlignment="1">
      <alignment horizontal="center" vertical="center" shrinkToFit="1"/>
    </xf>
    <xf numFmtId="0" fontId="35" fillId="74" borderId="16" xfId="129" applyFont="1" applyFill="1" applyBorder="1" applyAlignment="1">
      <alignment horizontal="center" vertical="center" shrinkToFit="1"/>
    </xf>
    <xf numFmtId="0" fontId="38" fillId="91" borderId="16" xfId="129" applyFont="1" applyFill="1" applyBorder="1" applyAlignment="1">
      <alignment horizontal="center" vertical="center" shrinkToFit="1"/>
    </xf>
    <xf numFmtId="0" fontId="36" fillId="75" borderId="16" xfId="129" applyFont="1" applyFill="1" applyBorder="1" applyAlignment="1">
      <alignment horizontal="center" vertical="center" shrinkToFit="1"/>
    </xf>
    <xf numFmtId="0" fontId="36" fillId="76" borderId="16" xfId="129" applyFont="1" applyFill="1" applyBorder="1" applyAlignment="1">
      <alignment horizontal="center" vertical="center" shrinkToFit="1"/>
    </xf>
    <xf numFmtId="0" fontId="36" fillId="92" borderId="16" xfId="129" applyFont="1" applyFill="1" applyBorder="1" applyAlignment="1">
      <alignment horizontal="center" vertical="center" shrinkToFit="1"/>
    </xf>
    <xf numFmtId="0" fontId="36" fillId="77" borderId="16" xfId="129" applyFont="1" applyFill="1" applyBorder="1" applyAlignment="1">
      <alignment horizontal="center" vertical="center" shrinkToFit="1"/>
    </xf>
    <xf numFmtId="0" fontId="49" fillId="105" borderId="16" xfId="129" applyFont="1" applyFill="1" applyBorder="1" applyAlignment="1">
      <alignment horizontal="center" vertical="center" shrinkToFit="1"/>
    </xf>
    <xf numFmtId="0" fontId="40" fillId="47" borderId="16" xfId="129" applyFont="1" applyFill="1" applyBorder="1" applyAlignment="1">
      <alignment horizontal="center" vertical="center" shrinkToFit="1"/>
    </xf>
    <xf numFmtId="0" fontId="40" fillId="48" borderId="16" xfId="129" applyFont="1" applyFill="1" applyBorder="1" applyAlignment="1">
      <alignment horizontal="center" vertical="center" shrinkToFit="1"/>
    </xf>
    <xf numFmtId="0" fontId="34" fillId="45" borderId="16" xfId="129" applyFont="1" applyFill="1" applyBorder="1" applyAlignment="1">
      <alignment horizontal="center" vertical="center" shrinkToFit="1"/>
    </xf>
    <xf numFmtId="0" fontId="34" fillId="49" borderId="16" xfId="129" applyFont="1" applyFill="1" applyBorder="1" applyAlignment="1">
      <alignment horizontal="center" vertical="center" shrinkToFit="1"/>
    </xf>
    <xf numFmtId="0" fontId="48" fillId="86" borderId="16" xfId="129" applyFont="1" applyFill="1" applyBorder="1" applyAlignment="1">
      <alignment horizontal="center" vertical="center" shrinkToFit="1"/>
    </xf>
    <xf numFmtId="0" fontId="53" fillId="93" borderId="16" xfId="129" applyFont="1" applyFill="1" applyBorder="1" applyAlignment="1">
      <alignment horizontal="center" vertical="center" shrinkToFit="1"/>
    </xf>
    <xf numFmtId="0" fontId="34" fillId="86" borderId="16" xfId="129" applyFont="1" applyFill="1" applyBorder="1" applyAlignment="1">
      <alignment horizontal="center" vertical="center" shrinkToFit="1"/>
    </xf>
    <xf numFmtId="0" fontId="35" fillId="51" borderId="16" xfId="129" applyFont="1" applyFill="1" applyBorder="1" applyAlignment="1">
      <alignment horizontal="center" vertical="center" shrinkToFit="1"/>
    </xf>
    <xf numFmtId="0" fontId="35" fillId="52" borderId="16" xfId="129" applyFont="1" applyFill="1" applyBorder="1" applyAlignment="1">
      <alignment horizontal="center" vertical="center" shrinkToFit="1"/>
    </xf>
    <xf numFmtId="0" fontId="35" fillId="78" borderId="16" xfId="129" applyFont="1" applyFill="1" applyBorder="1" applyAlignment="1">
      <alignment horizontal="center" vertical="center" shrinkToFit="1"/>
    </xf>
    <xf numFmtId="0" fontId="35" fillId="87" borderId="16" xfId="129" applyFont="1" applyFill="1" applyBorder="1" applyAlignment="1">
      <alignment horizontal="center" vertical="center" shrinkToFit="1"/>
    </xf>
    <xf numFmtId="0" fontId="155" fillId="0" borderId="15" xfId="233" applyFont="1" applyBorder="1" applyAlignment="1" applyProtection="1">
      <alignment vertical="center" shrinkToFit="1"/>
      <protection locked="0"/>
    </xf>
    <xf numFmtId="0" fontId="155" fillId="0" borderId="54" xfId="233" applyFont="1" applyBorder="1" applyAlignment="1" applyProtection="1">
      <alignment vertical="center" shrinkToFit="1"/>
      <protection locked="0"/>
    </xf>
    <xf numFmtId="0" fontId="155" fillId="0" borderId="1" xfId="233" applyFont="1" applyBorder="1" applyAlignment="1" applyProtection="1">
      <alignment vertical="center" shrinkToFit="1"/>
      <protection locked="0"/>
    </xf>
    <xf numFmtId="0" fontId="137" fillId="0" borderId="4" xfId="151" applyFont="1" applyBorder="1" applyAlignment="1" applyProtection="1">
      <alignment horizontal="center"/>
      <protection locked="0"/>
    </xf>
    <xf numFmtId="0" fontId="137" fillId="0" borderId="17" xfId="151" applyFont="1" applyBorder="1" applyAlignment="1" applyProtection="1">
      <alignment horizontal="center"/>
      <protection locked="0"/>
    </xf>
    <xf numFmtId="0" fontId="137" fillId="0" borderId="0" xfId="151" applyFont="1" applyAlignment="1" applyProtection="1">
      <alignment horizontal="center"/>
      <protection locked="0"/>
    </xf>
    <xf numFmtId="0" fontId="87" fillId="0" borderId="0" xfId="151" applyFont="1" applyAlignment="1">
      <alignment horizontal="center"/>
    </xf>
    <xf numFmtId="0" fontId="158" fillId="0" borderId="3" xfId="151" applyFont="1" applyBorder="1" applyAlignment="1" applyProtection="1">
      <alignment horizontal="center" vertical="center"/>
      <protection locked="0"/>
    </xf>
    <xf numFmtId="0" fontId="158" fillId="0" borderId="60" xfId="151" applyFont="1" applyBorder="1" applyAlignment="1" applyProtection="1">
      <alignment horizontal="center" vertical="center"/>
      <protection locked="0"/>
    </xf>
    <xf numFmtId="0" fontId="158" fillId="0" borderId="61" xfId="151" applyFont="1" applyBorder="1" applyAlignment="1" applyProtection="1">
      <alignment horizontal="center" vertical="center"/>
      <protection locked="0"/>
    </xf>
    <xf numFmtId="0" fontId="83" fillId="141" borderId="65" xfId="233" applyFont="1" applyFill="1" applyBorder="1" applyAlignment="1">
      <alignment horizontal="center" vertical="center" shrinkToFit="1"/>
    </xf>
    <xf numFmtId="170" fontId="10" fillId="0" borderId="66" xfId="151" applyNumberFormat="1" applyBorder="1" applyAlignment="1">
      <alignment horizontal="center" vertical="center"/>
    </xf>
    <xf numFmtId="170" fontId="0" fillId="0" borderId="67" xfId="210" applyNumberFormat="1" applyFont="1" applyFill="1" applyBorder="1" applyAlignment="1" applyProtection="1">
      <alignment horizontal="center" vertical="center"/>
    </xf>
    <xf numFmtId="0" fontId="69" fillId="95" borderId="16" xfId="125" applyFont="1" applyFill="1" applyBorder="1" applyAlignment="1">
      <alignment horizontal="center"/>
    </xf>
    <xf numFmtId="0" fontId="93" fillId="142" borderId="0" xfId="151" applyFont="1" applyFill="1" applyAlignment="1">
      <alignment horizontal="center" vertical="center"/>
    </xf>
    <xf numFmtId="0" fontId="160" fillId="88" borderId="16" xfId="125" applyFont="1" applyFill="1" applyBorder="1" applyAlignment="1">
      <alignment horizontal="center"/>
    </xf>
    <xf numFmtId="0" fontId="140" fillId="143" borderId="16" xfId="125" applyFont="1" applyFill="1" applyBorder="1" applyAlignment="1">
      <alignment horizontal="center"/>
    </xf>
    <xf numFmtId="0" fontId="69" fillId="94" borderId="16" xfId="125" applyFont="1" applyFill="1" applyBorder="1" applyAlignment="1">
      <alignment horizontal="center"/>
    </xf>
    <xf numFmtId="0" fontId="93" fillId="41" borderId="16" xfId="125" applyFont="1" applyFill="1" applyBorder="1" applyAlignment="1">
      <alignment horizontal="center"/>
    </xf>
    <xf numFmtId="0" fontId="69" fillId="144" borderId="16" xfId="125" applyFont="1" applyFill="1" applyBorder="1" applyAlignment="1">
      <alignment horizontal="center"/>
    </xf>
    <xf numFmtId="0" fontId="106" fillId="95" borderId="1" xfId="125" applyFont="1" applyFill="1" applyBorder="1" applyAlignment="1">
      <alignment horizontal="center"/>
    </xf>
    <xf numFmtId="0" fontId="69" fillId="80" borderId="16" xfId="125" applyFont="1" applyFill="1" applyBorder="1" applyAlignment="1">
      <alignment horizontal="center"/>
    </xf>
    <xf numFmtId="0" fontId="69" fillId="145" borderId="16" xfId="125" applyFont="1" applyFill="1" applyBorder="1" applyAlignment="1">
      <alignment horizontal="center"/>
    </xf>
    <xf numFmtId="0" fontId="69" fillId="82" borderId="16" xfId="125" applyFont="1" applyFill="1" applyBorder="1" applyAlignment="1">
      <alignment horizontal="center"/>
    </xf>
    <xf numFmtId="0" fontId="161" fillId="146" borderId="16" xfId="129" applyFont="1" applyFill="1" applyBorder="1" applyAlignment="1">
      <alignment horizontal="center" vertical="center" shrinkToFit="1"/>
    </xf>
    <xf numFmtId="0" fontId="69" fillId="144" borderId="1" xfId="125" applyFont="1" applyFill="1" applyBorder="1" applyAlignment="1">
      <alignment horizontal="center"/>
    </xf>
    <xf numFmtId="0" fontId="161" fillId="147" borderId="16" xfId="129" applyFont="1" applyFill="1" applyBorder="1" applyAlignment="1">
      <alignment horizontal="center" vertical="center" shrinkToFit="1"/>
    </xf>
    <xf numFmtId="0" fontId="161" fillId="148" borderId="16" xfId="129" applyFont="1" applyFill="1" applyBorder="1" applyAlignment="1">
      <alignment horizontal="center" vertical="center" shrinkToFit="1"/>
    </xf>
    <xf numFmtId="0" fontId="162" fillId="144" borderId="1" xfId="125" applyFont="1" applyFill="1" applyBorder="1" applyAlignment="1">
      <alignment horizontal="center"/>
    </xf>
    <xf numFmtId="0" fontId="90" fillId="96" borderId="1" xfId="151" applyFont="1" applyFill="1" applyBorder="1" applyAlignment="1">
      <alignment horizontal="center"/>
    </xf>
    <xf numFmtId="0" fontId="159" fillId="149" borderId="16" xfId="129" applyFont="1" applyFill="1" applyBorder="1" applyAlignment="1">
      <alignment horizontal="center" vertical="center" shrinkToFit="1"/>
    </xf>
    <xf numFmtId="0" fontId="67" fillId="150" borderId="16" xfId="129" applyFont="1" applyFill="1" applyBorder="1" applyAlignment="1">
      <alignment horizontal="center" vertical="center" shrinkToFit="1"/>
    </xf>
    <xf numFmtId="0" fontId="159" fillId="151" borderId="16" xfId="129" applyFont="1" applyFill="1" applyBorder="1" applyAlignment="1">
      <alignment horizontal="center" vertical="center" shrinkToFit="1"/>
    </xf>
    <xf numFmtId="0" fontId="159" fillId="152" borderId="16" xfId="129" applyFont="1" applyFill="1" applyBorder="1" applyAlignment="1">
      <alignment horizontal="center" vertical="center" shrinkToFit="1"/>
    </xf>
    <xf numFmtId="0" fontId="69" fillId="120" borderId="1" xfId="151" applyFont="1" applyFill="1" applyBorder="1" applyAlignment="1">
      <alignment horizontal="center"/>
    </xf>
    <xf numFmtId="0" fontId="93" fillId="114" borderId="1" xfId="125" applyFont="1" applyFill="1" applyBorder="1" applyAlignment="1">
      <alignment horizontal="center"/>
    </xf>
    <xf numFmtId="0" fontId="67" fillId="59" borderId="1" xfId="129" applyFont="1" applyFill="1" applyBorder="1" applyAlignment="1">
      <alignment horizontal="center" vertical="center" shrinkToFit="1"/>
    </xf>
    <xf numFmtId="0" fontId="163" fillId="153" borderId="1" xfId="151" applyFont="1" applyFill="1" applyBorder="1" applyAlignment="1">
      <alignment horizontal="center"/>
    </xf>
    <xf numFmtId="0" fontId="69" fillId="153" borderId="1" xfId="151" applyFont="1" applyFill="1" applyBorder="1" applyAlignment="1">
      <alignment horizontal="center"/>
    </xf>
    <xf numFmtId="0" fontId="69" fillId="52" borderId="1" xfId="151" applyFont="1" applyFill="1" applyBorder="1" applyAlignment="1">
      <alignment horizontal="center"/>
    </xf>
    <xf numFmtId="0" fontId="67" fillId="140" borderId="1" xfId="129" applyFont="1" applyFill="1" applyBorder="1" applyAlignment="1">
      <alignment horizontal="center" vertical="center" shrinkToFit="1"/>
    </xf>
    <xf numFmtId="0" fontId="69" fillId="154" borderId="1" xfId="151" applyFont="1" applyFill="1" applyBorder="1" applyAlignment="1">
      <alignment horizontal="center"/>
    </xf>
    <xf numFmtId="0" fontId="93" fillId="116" borderId="1" xfId="125" applyFont="1" applyFill="1" applyBorder="1" applyAlignment="1">
      <alignment horizontal="center"/>
    </xf>
    <xf numFmtId="0" fontId="159" fillId="155" borderId="1" xfId="129" applyFont="1" applyFill="1" applyBorder="1" applyAlignment="1">
      <alignment horizontal="center" vertical="center" shrinkToFit="1"/>
    </xf>
    <xf numFmtId="0" fontId="140" fillId="135" borderId="1" xfId="151" applyFont="1" applyFill="1" applyBorder="1" applyAlignment="1">
      <alignment horizontal="center"/>
    </xf>
    <xf numFmtId="0" fontId="67" fillId="156" borderId="1" xfId="129" applyFont="1" applyFill="1" applyBorder="1" applyAlignment="1">
      <alignment horizontal="center" vertical="center" shrinkToFit="1"/>
    </xf>
    <xf numFmtId="0" fontId="159" fillId="157" borderId="1" xfId="129" applyFont="1" applyFill="1" applyBorder="1" applyAlignment="1">
      <alignment horizontal="center" vertical="center" shrinkToFit="1"/>
    </xf>
    <xf numFmtId="0" fontId="105" fillId="52" borderId="1" xfId="151" applyFont="1" applyFill="1" applyBorder="1" applyAlignment="1">
      <alignment horizontal="center"/>
    </xf>
    <xf numFmtId="0" fontId="161" fillId="146" borderId="1" xfId="129" applyFont="1" applyFill="1" applyBorder="1" applyAlignment="1">
      <alignment horizontal="center" vertical="center" shrinkToFit="1"/>
    </xf>
    <xf numFmtId="0" fontId="164" fillId="131" borderId="1" xfId="125" applyFont="1" applyFill="1" applyBorder="1" applyAlignment="1">
      <alignment horizontal="center"/>
    </xf>
    <xf numFmtId="0" fontId="159" fillId="158" borderId="1" xfId="129" applyFont="1" applyFill="1" applyBorder="1" applyAlignment="1">
      <alignment horizontal="center" vertical="center" shrinkToFit="1"/>
    </xf>
    <xf numFmtId="0" fontId="105" fillId="35" borderId="16" xfId="151" applyFont="1" applyFill="1" applyBorder="1" applyAlignment="1">
      <alignment horizontal="center"/>
    </xf>
    <xf numFmtId="0" fontId="163" fillId="159" borderId="1" xfId="151" applyFont="1" applyFill="1" applyBorder="1" applyAlignment="1">
      <alignment horizontal="center"/>
    </xf>
    <xf numFmtId="0" fontId="69" fillId="160" borderId="1" xfId="151" applyFont="1" applyFill="1" applyBorder="1" applyAlignment="1">
      <alignment horizontal="center"/>
    </xf>
    <xf numFmtId="0" fontId="67" fillId="150" borderId="1" xfId="129" applyFont="1" applyFill="1" applyBorder="1" applyAlignment="1">
      <alignment horizontal="center" vertical="center" shrinkToFit="1"/>
    </xf>
    <xf numFmtId="0" fontId="69" fillId="35" borderId="1" xfId="151" applyFont="1" applyFill="1" applyBorder="1" applyAlignment="1">
      <alignment horizontal="center"/>
    </xf>
    <xf numFmtId="0" fontId="93" fillId="144" borderId="1" xfId="151" applyFont="1" applyFill="1" applyBorder="1" applyAlignment="1">
      <alignment horizontal="center"/>
    </xf>
    <xf numFmtId="0" fontId="159" fillId="161" borderId="1" xfId="129" applyFont="1" applyFill="1" applyBorder="1" applyAlignment="1">
      <alignment horizontal="center" vertical="center" shrinkToFit="1"/>
    </xf>
    <xf numFmtId="0" fontId="165" fillId="116" borderId="1" xfId="129" applyFont="1" applyFill="1" applyBorder="1" applyAlignment="1">
      <alignment horizontal="center" vertical="center" shrinkToFit="1"/>
    </xf>
    <xf numFmtId="0" fontId="166" fillId="116" borderId="1" xfId="129" applyFont="1" applyFill="1" applyBorder="1" applyAlignment="1">
      <alignment horizontal="center" vertical="center" shrinkToFit="1"/>
    </xf>
    <xf numFmtId="0" fontId="167" fillId="96" borderId="1" xfId="129" applyFont="1" applyFill="1" applyBorder="1" applyAlignment="1">
      <alignment horizontal="center" vertical="center" shrinkToFit="1"/>
    </xf>
    <xf numFmtId="0" fontId="93" fillId="122" borderId="1" xfId="151" applyFont="1" applyFill="1" applyBorder="1" applyAlignment="1">
      <alignment horizontal="center"/>
    </xf>
    <xf numFmtId="0" fontId="161" fillId="162" borderId="1" xfId="129" applyFont="1" applyFill="1" applyBorder="1" applyAlignment="1" applyProtection="1">
      <alignment horizontal="center" vertical="center" shrinkToFit="1"/>
      <protection locked="0"/>
    </xf>
    <xf numFmtId="0" fontId="159" fillId="163" borderId="1" xfId="129" applyFont="1" applyFill="1" applyBorder="1" applyAlignment="1">
      <alignment horizontal="center" vertical="center" shrinkToFit="1"/>
    </xf>
    <xf numFmtId="0" fontId="69" fillId="41" borderId="1" xfId="151" applyFont="1" applyFill="1" applyBorder="1" applyAlignment="1">
      <alignment horizontal="center"/>
    </xf>
    <xf numFmtId="0" fontId="166" fillId="82" borderId="1" xfId="129" applyFont="1" applyFill="1" applyBorder="1" applyAlignment="1" applyProtection="1">
      <alignment horizontal="center" vertical="center" shrinkToFit="1"/>
      <protection locked="0"/>
    </xf>
    <xf numFmtId="0" fontId="161" fillId="164" borderId="1" xfId="129" applyFont="1" applyFill="1" applyBorder="1" applyAlignment="1">
      <alignment horizontal="center" vertical="center" shrinkToFit="1"/>
    </xf>
    <xf numFmtId="0" fontId="69" fillId="165" borderId="1" xfId="151" applyFont="1" applyFill="1" applyBorder="1" applyAlignment="1">
      <alignment horizontal="center"/>
    </xf>
    <xf numFmtId="0" fontId="69" fillId="96" borderId="1" xfId="151" applyFont="1" applyFill="1" applyBorder="1" applyAlignment="1">
      <alignment horizontal="center"/>
    </xf>
    <xf numFmtId="0" fontId="105" fillId="120" borderId="1" xfId="125" applyFont="1" applyFill="1" applyBorder="1" applyAlignment="1">
      <alignment horizontal="center"/>
    </xf>
    <xf numFmtId="0" fontId="69" fillId="82" borderId="1" xfId="151" applyFont="1" applyFill="1" applyBorder="1" applyAlignment="1">
      <alignment horizontal="center"/>
    </xf>
    <xf numFmtId="0" fontId="69" fillId="155" borderId="1" xfId="151" applyFont="1" applyFill="1" applyBorder="1" applyAlignment="1">
      <alignment horizontal="center"/>
    </xf>
    <xf numFmtId="0" fontId="161" fillId="166" borderId="1" xfId="129" applyFont="1" applyFill="1" applyBorder="1" applyAlignment="1">
      <alignment horizontal="center" vertical="center" shrinkToFit="1"/>
    </xf>
    <xf numFmtId="0" fontId="161" fillId="167" borderId="1" xfId="129" applyFont="1" applyFill="1" applyBorder="1" applyAlignment="1">
      <alignment horizontal="center" vertical="center" shrinkToFit="1"/>
    </xf>
    <xf numFmtId="0" fontId="159" fillId="168" borderId="1" xfId="129" applyFont="1" applyFill="1" applyBorder="1" applyAlignment="1">
      <alignment horizontal="center" vertical="center" shrinkToFit="1"/>
    </xf>
    <xf numFmtId="0" fontId="106" fillId="39" borderId="1" xfId="125" applyFont="1" applyFill="1" applyBorder="1" applyAlignment="1">
      <alignment horizontal="center"/>
    </xf>
    <xf numFmtId="0" fontId="69" fillId="100" borderId="1" xfId="151" applyFont="1" applyFill="1" applyBorder="1" applyAlignment="1">
      <alignment horizontal="center"/>
    </xf>
    <xf numFmtId="0" fontId="69" fillId="99" borderId="1" xfId="125" applyFont="1" applyFill="1" applyBorder="1" applyAlignment="1">
      <alignment horizontal="center"/>
    </xf>
    <xf numFmtId="0" fontId="69" fillId="169" borderId="1" xfId="151" applyFont="1" applyFill="1" applyBorder="1" applyAlignment="1">
      <alignment horizontal="center"/>
    </xf>
    <xf numFmtId="0" fontId="161" fillId="170" borderId="1" xfId="129" applyFont="1" applyFill="1" applyBorder="1" applyAlignment="1">
      <alignment horizontal="center" vertical="center" shrinkToFit="1"/>
    </xf>
    <xf numFmtId="0" fontId="159" fillId="171" borderId="1" xfId="129" applyFont="1" applyFill="1" applyBorder="1" applyAlignment="1">
      <alignment horizontal="center" vertical="center" shrinkToFit="1"/>
    </xf>
    <xf numFmtId="0" fontId="69" fillId="81" borderId="1" xfId="151" applyFont="1" applyFill="1" applyBorder="1" applyAlignment="1">
      <alignment horizontal="center"/>
    </xf>
    <xf numFmtId="0" fontId="69" fillId="172" borderId="1" xfId="151" applyFont="1" applyFill="1" applyBorder="1" applyAlignment="1">
      <alignment horizontal="center"/>
    </xf>
    <xf numFmtId="0" fontId="69" fillId="133" borderId="1" xfId="151" applyFont="1" applyFill="1" applyBorder="1" applyAlignment="1">
      <alignment horizontal="center"/>
    </xf>
    <xf numFmtId="0" fontId="159" fillId="147" borderId="1" xfId="129" applyFont="1" applyFill="1" applyBorder="1" applyAlignment="1">
      <alignment horizontal="center" vertical="center" shrinkToFit="1"/>
    </xf>
    <xf numFmtId="0" fontId="166" fillId="173" borderId="1" xfId="129" applyFont="1" applyFill="1" applyBorder="1" applyAlignment="1">
      <alignment horizontal="center" vertical="center" shrinkToFit="1"/>
    </xf>
    <xf numFmtId="0" fontId="159" fillId="174" borderId="1" xfId="129" applyFont="1" applyFill="1" applyBorder="1" applyAlignment="1">
      <alignment horizontal="center" vertical="center" shrinkToFit="1"/>
    </xf>
    <xf numFmtId="0" fontId="67" fillId="137" borderId="1" xfId="129" applyFont="1" applyFill="1" applyBorder="1" applyAlignment="1">
      <alignment horizontal="center" vertical="center" shrinkToFit="1"/>
    </xf>
    <xf numFmtId="0" fontId="69" fillId="131" borderId="1" xfId="151" applyFont="1" applyFill="1" applyBorder="1" applyAlignment="1">
      <alignment horizontal="center"/>
    </xf>
    <xf numFmtId="170" fontId="0" fillId="0" borderId="68" xfId="210" applyNumberFormat="1" applyFont="1" applyFill="1" applyBorder="1" applyAlignment="1" applyProtection="1">
      <alignment horizontal="center" vertical="center"/>
    </xf>
    <xf numFmtId="172" fontId="169" fillId="0" borderId="3" xfId="151" applyNumberFormat="1" applyFont="1" applyBorder="1" applyAlignment="1">
      <alignment horizontal="center" vertical="center"/>
    </xf>
    <xf numFmtId="170" fontId="10" fillId="0" borderId="1" xfId="151" applyNumberFormat="1" applyBorder="1" applyAlignment="1">
      <alignment horizontal="center" vertical="center"/>
    </xf>
    <xf numFmtId="172" fontId="133" fillId="175" borderId="1" xfId="129" applyNumberFormat="1" applyFont="1" applyFill="1" applyBorder="1" applyAlignment="1">
      <alignment vertical="center" shrinkToFit="1"/>
    </xf>
    <xf numFmtId="0" fontId="11" fillId="95" borderId="0" xfId="151" applyFont="1" applyFill="1" applyAlignment="1">
      <alignment horizontal="center" vertical="center"/>
    </xf>
    <xf numFmtId="0" fontId="93" fillId="0" borderId="1" xfId="125" applyFont="1" applyBorder="1" applyAlignment="1">
      <alignment horizontal="center" vertical="center"/>
    </xf>
    <xf numFmtId="0" fontId="90" fillId="0" borderId="1" xfId="151" applyFont="1" applyBorder="1" applyAlignment="1">
      <alignment horizontal="center" vertical="center"/>
    </xf>
    <xf numFmtId="0" fontId="69" fillId="0" borderId="1" xfId="125" applyFont="1" applyBorder="1" applyAlignment="1">
      <alignment horizontal="center" vertical="center"/>
    </xf>
    <xf numFmtId="0" fontId="69" fillId="0" borderId="2" xfId="125" applyFont="1" applyBorder="1" applyAlignment="1">
      <alignment horizontal="center" vertical="center"/>
    </xf>
    <xf numFmtId="0" fontId="67" fillId="0" borderId="1" xfId="129" applyFont="1" applyBorder="1" applyAlignment="1">
      <alignment horizontal="center" vertical="center" shrinkToFit="1"/>
    </xf>
    <xf numFmtId="0" fontId="93" fillId="0" borderId="30" xfId="125" applyFont="1" applyBorder="1" applyAlignment="1">
      <alignment horizontal="center" vertical="center"/>
    </xf>
    <xf numFmtId="0" fontId="93" fillId="0" borderId="44" xfId="125" applyFont="1" applyBorder="1" applyAlignment="1">
      <alignment horizontal="center" vertical="center"/>
    </xf>
    <xf numFmtId="0" fontId="93" fillId="0" borderId="48" xfId="125" applyFont="1" applyBorder="1" applyAlignment="1">
      <alignment horizontal="center" vertical="center"/>
    </xf>
    <xf numFmtId="0" fontId="93" fillId="0" borderId="1" xfId="0" applyFont="1" applyBorder="1" applyAlignment="1" applyProtection="1">
      <alignment horizontal="center" vertical="center"/>
      <protection locked="0"/>
    </xf>
    <xf numFmtId="0" fontId="67" fillId="0" borderId="26" xfId="129" applyFont="1" applyBorder="1" applyAlignment="1">
      <alignment horizontal="center" vertical="center" shrinkToFit="1"/>
    </xf>
    <xf numFmtId="0" fontId="93" fillId="0" borderId="15" xfId="151" applyFont="1" applyBorder="1" applyAlignment="1" applyProtection="1">
      <alignment horizontal="center" vertical="center"/>
      <protection locked="0"/>
    </xf>
    <xf numFmtId="0" fontId="120" fillId="0" borderId="18" xfId="151" applyFont="1" applyBorder="1" applyAlignment="1">
      <alignment horizontal="center" vertical="center"/>
    </xf>
    <xf numFmtId="0" fontId="93" fillId="0" borderId="1" xfId="151" applyFont="1" applyBorder="1" applyAlignment="1">
      <alignment horizontal="center" vertical="center"/>
    </xf>
    <xf numFmtId="0" fontId="93" fillId="0" borderId="46" xfId="151" applyFont="1" applyBorder="1" applyAlignment="1">
      <alignment horizontal="center" vertical="center"/>
    </xf>
    <xf numFmtId="0" fontId="93" fillId="0" borderId="26" xfId="151" applyFont="1" applyBorder="1" applyAlignment="1">
      <alignment horizontal="center" vertical="center"/>
    </xf>
    <xf numFmtId="0" fontId="106" fillId="0" borderId="15" xfId="125" applyFont="1" applyBorder="1" applyAlignment="1">
      <alignment horizontal="center" vertical="center"/>
    </xf>
    <xf numFmtId="0" fontId="105" fillId="0" borderId="16" xfId="124" applyFont="1" applyBorder="1" applyAlignment="1">
      <alignment horizontal="center" vertical="center"/>
    </xf>
    <xf numFmtId="0" fontId="69" fillId="0" borderId="36" xfId="124" applyFont="1" applyBorder="1" applyAlignment="1">
      <alignment horizontal="center" vertical="center"/>
    </xf>
    <xf numFmtId="0" fontId="93" fillId="0" borderId="26" xfId="0" applyFont="1" applyBorder="1" applyAlignment="1">
      <alignment horizontal="center" vertical="center"/>
    </xf>
    <xf numFmtId="0" fontId="93" fillId="0" borderId="16" xfId="0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3" fillId="0" borderId="1" xfId="124" applyFont="1" applyBorder="1" applyAlignment="1">
      <alignment horizontal="center"/>
    </xf>
    <xf numFmtId="0" fontId="94" fillId="0" borderId="0" xfId="242" applyFont="1" applyAlignment="1">
      <alignment horizontal="center" vertical="center" wrapText="1"/>
    </xf>
    <xf numFmtId="0" fontId="105" fillId="0" borderId="16" xfId="125" applyFont="1" applyBorder="1" applyAlignment="1">
      <alignment horizontal="center" vertical="center"/>
    </xf>
    <xf numFmtId="0" fontId="106" fillId="0" borderId="1" xfId="124" applyFont="1" applyBorder="1" applyAlignment="1">
      <alignment horizontal="center" vertical="center"/>
    </xf>
    <xf numFmtId="0" fontId="106" fillId="0" borderId="1" xfId="124" applyFont="1" applyBorder="1" applyAlignment="1">
      <alignment horizontal="center"/>
    </xf>
    <xf numFmtId="0" fontId="105" fillId="0" borderId="1" xfId="125" applyFont="1" applyBorder="1" applyAlignment="1">
      <alignment horizontal="center" vertical="center"/>
    </xf>
    <xf numFmtId="0" fontId="69" fillId="0" borderId="1" xfId="124" applyFont="1" applyBorder="1" applyAlignment="1">
      <alignment horizontal="center"/>
    </xf>
    <xf numFmtId="0" fontId="90" fillId="0" borderId="1" xfId="0" applyFont="1" applyBorder="1" applyAlignment="1">
      <alignment horizontal="center" vertical="center"/>
    </xf>
    <xf numFmtId="0" fontId="105" fillId="0" borderId="1" xfId="124" applyFont="1" applyBorder="1" applyAlignment="1">
      <alignment horizontal="center" vertical="center"/>
    </xf>
    <xf numFmtId="0" fontId="93" fillId="0" borderId="15" xfId="125" applyFont="1" applyBorder="1" applyAlignment="1">
      <alignment horizontal="center" vertical="center"/>
    </xf>
    <xf numFmtId="0" fontId="93" fillId="0" borderId="45" xfId="151" applyFont="1" applyBorder="1" applyAlignment="1">
      <alignment horizontal="center" vertical="center"/>
    </xf>
    <xf numFmtId="0" fontId="94" fillId="97" borderId="27" xfId="242" applyFont="1" applyFill="1" applyBorder="1" applyAlignment="1">
      <alignment horizontal="center" vertical="center" wrapText="1"/>
    </xf>
    <xf numFmtId="0" fontId="94" fillId="97" borderId="28" xfId="242" applyFont="1" applyFill="1" applyBorder="1" applyAlignment="1">
      <alignment horizontal="center" vertical="center" wrapText="1"/>
    </xf>
    <xf numFmtId="0" fontId="94" fillId="97" borderId="20" xfId="242" applyFont="1" applyFill="1" applyBorder="1" applyAlignment="1">
      <alignment horizontal="center" vertical="center" wrapText="1"/>
    </xf>
    <xf numFmtId="0" fontId="94" fillId="97" borderId="21" xfId="242" applyFont="1" applyFill="1" applyBorder="1" applyAlignment="1">
      <alignment horizontal="center" vertical="center" wrapText="1"/>
    </xf>
    <xf numFmtId="0" fontId="94" fillId="97" borderId="0" xfId="242" applyFont="1" applyFill="1" applyAlignment="1">
      <alignment horizontal="center" vertical="center" wrapText="1"/>
    </xf>
    <xf numFmtId="0" fontId="94" fillId="97" borderId="23" xfId="242" applyFont="1" applyFill="1" applyBorder="1" applyAlignment="1">
      <alignment horizontal="center" vertical="center" wrapText="1"/>
    </xf>
    <xf numFmtId="0" fontId="94" fillId="97" borderId="32" xfId="242" applyFont="1" applyFill="1" applyBorder="1" applyAlignment="1">
      <alignment horizontal="center" vertical="center" wrapText="1"/>
    </xf>
    <xf numFmtId="0" fontId="94" fillId="97" borderId="18" xfId="242" applyFont="1" applyFill="1" applyBorder="1" applyAlignment="1">
      <alignment horizontal="center" vertical="center" wrapText="1"/>
    </xf>
    <xf numFmtId="0" fontId="94" fillId="97" borderId="33" xfId="242" applyFont="1" applyFill="1" applyBorder="1" applyAlignment="1">
      <alignment horizontal="center" vertical="center" wrapText="1"/>
    </xf>
    <xf numFmtId="0" fontId="76" fillId="35" borderId="0" xfId="151" applyFont="1" applyFill="1" applyAlignment="1" applyProtection="1">
      <alignment horizontal="center" vertical="center"/>
      <protection locked="0"/>
    </xf>
    <xf numFmtId="0" fontId="10" fillId="0" borderId="29" xfId="151" applyBorder="1" applyAlignment="1">
      <alignment horizontal="center" vertical="center"/>
    </xf>
    <xf numFmtId="0" fontId="74" fillId="35" borderId="0" xfId="0" applyFont="1" applyFill="1" applyAlignment="1">
      <alignment horizontal="center" vertical="center"/>
    </xf>
    <xf numFmtId="0" fontId="76" fillId="35" borderId="0" xfId="151" applyFont="1" applyFill="1" applyAlignment="1">
      <alignment horizontal="center" vertical="center"/>
    </xf>
    <xf numFmtId="0" fontId="59" fillId="39" borderId="4" xfId="242" applyFont="1" applyFill="1" applyBorder="1" applyAlignment="1">
      <alignment horizontal="center" vertical="center"/>
    </xf>
    <xf numFmtId="0" fontId="59" fillId="39" borderId="17" xfId="242" applyFont="1" applyFill="1" applyBorder="1" applyAlignment="1">
      <alignment horizontal="center" vertical="center"/>
    </xf>
    <xf numFmtId="0" fontId="59" fillId="39" borderId="5" xfId="242" applyFont="1" applyFill="1" applyBorder="1" applyAlignment="1">
      <alignment horizontal="center" vertical="center"/>
    </xf>
    <xf numFmtId="0" fontId="65" fillId="35" borderId="0" xfId="151" applyFont="1" applyFill="1" applyAlignment="1">
      <alignment horizontal="center" vertical="center"/>
    </xf>
    <xf numFmtId="0" fontId="68" fillId="0" borderId="19" xfId="242" applyFont="1" applyBorder="1" applyAlignment="1">
      <alignment horizontal="center" vertical="center"/>
    </xf>
    <xf numFmtId="0" fontId="68" fillId="0" borderId="22" xfId="242" applyFont="1" applyBorder="1" applyAlignment="1">
      <alignment horizontal="center" vertical="center"/>
    </xf>
    <xf numFmtId="0" fontId="110" fillId="0" borderId="29" xfId="244" applyFont="1" applyBorder="1" applyAlignment="1">
      <alignment horizontal="center" vertical="center" shrinkToFit="1"/>
    </xf>
    <xf numFmtId="0" fontId="65" fillId="0" borderId="0" xfId="151" applyFont="1" applyAlignment="1">
      <alignment horizontal="center" vertical="center"/>
    </xf>
    <xf numFmtId="0" fontId="107" fillId="0" borderId="27" xfId="151" applyFont="1" applyBorder="1" applyAlignment="1">
      <alignment horizontal="center" vertical="center"/>
    </xf>
    <xf numFmtId="0" fontId="107" fillId="0" borderId="28" xfId="151" applyFont="1" applyBorder="1" applyAlignment="1">
      <alignment horizontal="center" vertical="center"/>
    </xf>
    <xf numFmtId="0" fontId="107" fillId="0" borderId="20" xfId="151" applyFont="1" applyBorder="1" applyAlignment="1">
      <alignment horizontal="center" vertical="center"/>
    </xf>
    <xf numFmtId="0" fontId="107" fillId="0" borderId="21" xfId="151" applyFont="1" applyBorder="1" applyAlignment="1">
      <alignment horizontal="center" vertical="center"/>
    </xf>
    <xf numFmtId="0" fontId="107" fillId="0" borderId="0" xfId="151" applyFont="1" applyAlignment="1">
      <alignment horizontal="center" vertical="center"/>
    </xf>
    <xf numFmtId="0" fontId="107" fillId="0" borderId="23" xfId="151" applyFont="1" applyBorder="1" applyAlignment="1">
      <alignment horizontal="center" vertical="center"/>
    </xf>
    <xf numFmtId="0" fontId="107" fillId="0" borderId="32" xfId="151" applyFont="1" applyBorder="1" applyAlignment="1">
      <alignment horizontal="center" vertical="center"/>
    </xf>
    <xf numFmtId="0" fontId="107" fillId="0" borderId="18" xfId="151" applyFont="1" applyBorder="1" applyAlignment="1">
      <alignment horizontal="center" vertical="center"/>
    </xf>
    <xf numFmtId="0" fontId="107" fillId="0" borderId="33" xfId="151" applyFont="1" applyBorder="1" applyAlignment="1">
      <alignment horizontal="center" vertical="center"/>
    </xf>
    <xf numFmtId="0" fontId="125" fillId="35" borderId="27" xfId="151" applyFont="1" applyFill="1" applyBorder="1" applyAlignment="1">
      <alignment horizontal="center" vertical="center" wrapText="1"/>
    </xf>
    <xf numFmtId="0" fontId="125" fillId="35" borderId="32" xfId="151" applyFont="1" applyFill="1" applyBorder="1" applyAlignment="1">
      <alignment horizontal="center" vertical="center" wrapText="1"/>
    </xf>
    <xf numFmtId="0" fontId="21" fillId="0" borderId="41" xfId="0" applyFont="1" applyBorder="1" applyAlignment="1">
      <alignment horizontal="right" vertical="center"/>
    </xf>
    <xf numFmtId="0" fontId="128" fillId="35" borderId="27" xfId="125" applyFont="1" applyFill="1" applyBorder="1" applyAlignment="1">
      <alignment horizontal="center" vertical="center" wrapText="1"/>
    </xf>
    <xf numFmtId="0" fontId="128" fillId="35" borderId="20" xfId="125" applyFont="1" applyFill="1" applyBorder="1" applyAlignment="1">
      <alignment horizontal="center" vertical="center" wrapText="1"/>
    </xf>
    <xf numFmtId="0" fontId="128" fillId="35" borderId="21" xfId="125" applyFont="1" applyFill="1" applyBorder="1" applyAlignment="1">
      <alignment horizontal="center" vertical="center" wrapText="1"/>
    </xf>
    <xf numFmtId="0" fontId="128" fillId="35" borderId="23" xfId="125" applyFont="1" applyFill="1" applyBorder="1" applyAlignment="1">
      <alignment horizontal="center" vertical="center" wrapText="1"/>
    </xf>
    <xf numFmtId="0" fontId="128" fillId="35" borderId="32" xfId="125" applyFont="1" applyFill="1" applyBorder="1" applyAlignment="1">
      <alignment horizontal="center" vertical="center" wrapText="1"/>
    </xf>
    <xf numFmtId="0" fontId="128" fillId="35" borderId="33" xfId="125" applyFont="1" applyFill="1" applyBorder="1" applyAlignment="1">
      <alignment horizontal="center" vertical="center" wrapText="1"/>
    </xf>
    <xf numFmtId="0" fontId="121" fillId="35" borderId="40" xfId="151" applyFont="1" applyFill="1" applyBorder="1" applyAlignment="1">
      <alignment horizontal="center" vertical="center" wrapText="1"/>
    </xf>
    <xf numFmtId="0" fontId="121" fillId="35" borderId="42" xfId="151" applyFont="1" applyFill="1" applyBorder="1" applyAlignment="1">
      <alignment horizontal="center" vertical="center" wrapText="1"/>
    </xf>
    <xf numFmtId="0" fontId="121" fillId="35" borderId="43" xfId="151" applyFont="1" applyFill="1" applyBorder="1" applyAlignment="1">
      <alignment horizontal="center" vertical="center" wrapText="1"/>
    </xf>
    <xf numFmtId="0" fontId="76" fillId="35" borderId="37" xfId="151" applyFont="1" applyFill="1" applyBorder="1" applyAlignment="1" applyProtection="1">
      <alignment horizontal="center" vertical="center"/>
      <protection locked="0"/>
    </xf>
    <xf numFmtId="0" fontId="21" fillId="0" borderId="41" xfId="0" applyFont="1" applyBorder="1" applyAlignment="1">
      <alignment horizontal="center" vertical="center"/>
    </xf>
    <xf numFmtId="0" fontId="104" fillId="0" borderId="0" xfId="244" applyFont="1" applyAlignment="1">
      <alignment horizontal="right" vertical="center" shrinkToFit="1"/>
    </xf>
    <xf numFmtId="0" fontId="98" fillId="123" borderId="41" xfId="244" applyFont="1" applyFill="1" applyBorder="1" applyAlignment="1">
      <alignment horizontal="center" vertical="center" shrinkToFit="1"/>
    </xf>
    <xf numFmtId="0" fontId="98" fillId="123" borderId="0" xfId="244" applyFont="1" applyFill="1" applyAlignment="1">
      <alignment horizontal="center" vertical="center" shrinkToFit="1"/>
    </xf>
    <xf numFmtId="0" fontId="76" fillId="35" borderId="21" xfId="151" applyFont="1" applyFill="1" applyBorder="1" applyAlignment="1">
      <alignment horizontal="center" vertical="center"/>
    </xf>
    <xf numFmtId="0" fontId="129" fillId="123" borderId="41" xfId="244" applyFont="1" applyFill="1" applyBorder="1" applyAlignment="1">
      <alignment horizontal="center" vertical="center" wrapText="1" shrinkToFit="1"/>
    </xf>
    <xf numFmtId="0" fontId="129" fillId="123" borderId="0" xfId="244" applyFont="1" applyFill="1" applyAlignment="1">
      <alignment horizontal="center" vertical="center" wrapText="1" shrinkToFit="1"/>
    </xf>
    <xf numFmtId="0" fontId="104" fillId="0" borderId="0" xfId="244" applyFont="1" applyAlignment="1">
      <alignment horizontal="left" vertical="center" shrinkToFit="1"/>
    </xf>
    <xf numFmtId="0" fontId="135" fillId="35" borderId="42" xfId="151" applyFont="1" applyFill="1" applyBorder="1" applyAlignment="1">
      <alignment horizontal="center" vertical="center" wrapText="1"/>
    </xf>
    <xf numFmtId="0" fontId="135" fillId="35" borderId="43" xfId="151" applyFont="1" applyFill="1" applyBorder="1" applyAlignment="1">
      <alignment horizontal="center" vertical="center" wrapText="1"/>
    </xf>
    <xf numFmtId="0" fontId="136" fillId="0" borderId="27" xfId="151" applyFont="1" applyBorder="1" applyAlignment="1">
      <alignment horizontal="center" vertical="center"/>
    </xf>
    <xf numFmtId="0" fontId="136" fillId="0" borderId="28" xfId="151" applyFont="1" applyBorder="1" applyAlignment="1">
      <alignment horizontal="center" vertical="center"/>
    </xf>
    <xf numFmtId="0" fontId="136" fillId="0" borderId="20" xfId="151" applyFont="1" applyBorder="1" applyAlignment="1">
      <alignment horizontal="center" vertical="center"/>
    </xf>
    <xf numFmtId="0" fontId="136" fillId="0" borderId="21" xfId="151" applyFont="1" applyBorder="1" applyAlignment="1">
      <alignment horizontal="center" vertical="center"/>
    </xf>
    <xf numFmtId="0" fontId="136" fillId="0" borderId="0" xfId="151" applyFont="1" applyAlignment="1">
      <alignment horizontal="center" vertical="center"/>
    </xf>
    <xf numFmtId="0" fontId="136" fillId="0" borderId="23" xfId="151" applyFont="1" applyBorder="1" applyAlignment="1">
      <alignment horizontal="center" vertical="center"/>
    </xf>
    <xf numFmtId="0" fontId="136" fillId="0" borderId="32" xfId="151" applyFont="1" applyBorder="1" applyAlignment="1">
      <alignment horizontal="center" vertical="center"/>
    </xf>
    <xf numFmtId="0" fontId="136" fillId="0" borderId="18" xfId="151" applyFont="1" applyBorder="1" applyAlignment="1">
      <alignment horizontal="center" vertical="center"/>
    </xf>
    <xf numFmtId="0" fontId="136" fillId="0" borderId="33" xfId="151" applyFont="1" applyBorder="1" applyAlignment="1">
      <alignment horizontal="center" vertical="center"/>
    </xf>
    <xf numFmtId="0" fontId="76" fillId="35" borderId="0" xfId="248" applyFont="1" applyFill="1" applyAlignment="1" applyProtection="1">
      <alignment horizontal="center" vertical="center" shrinkToFit="1"/>
    </xf>
    <xf numFmtId="0" fontId="10" fillId="0" borderId="29" xfId="151" applyBorder="1" applyAlignment="1">
      <alignment horizontal="center" vertical="center" wrapText="1"/>
    </xf>
    <xf numFmtId="0" fontId="132" fillId="0" borderId="27" xfId="151" applyFont="1" applyBorder="1" applyAlignment="1">
      <alignment horizontal="center" vertical="center"/>
    </xf>
    <xf numFmtId="0" fontId="132" fillId="0" borderId="28" xfId="151" applyFont="1" applyBorder="1" applyAlignment="1">
      <alignment horizontal="center" vertical="center"/>
    </xf>
    <xf numFmtId="0" fontId="132" fillId="0" borderId="20" xfId="151" applyFont="1" applyBorder="1" applyAlignment="1">
      <alignment horizontal="center" vertical="center"/>
    </xf>
    <xf numFmtId="0" fontId="132" fillId="0" borderId="21" xfId="151" applyFont="1" applyBorder="1" applyAlignment="1">
      <alignment horizontal="center" vertical="center"/>
    </xf>
    <xf numFmtId="0" fontId="132" fillId="0" borderId="0" xfId="151" applyFont="1" applyAlignment="1">
      <alignment horizontal="center" vertical="center"/>
    </xf>
    <xf numFmtId="0" fontId="132" fillId="0" borderId="23" xfId="151" applyFont="1" applyBorder="1" applyAlignment="1">
      <alignment horizontal="center" vertical="center"/>
    </xf>
    <xf numFmtId="0" fontId="132" fillId="0" borderId="32" xfId="151" applyFont="1" applyBorder="1" applyAlignment="1">
      <alignment horizontal="center" vertical="center"/>
    </xf>
    <xf numFmtId="0" fontId="132" fillId="0" borderId="18" xfId="151" applyFont="1" applyBorder="1" applyAlignment="1">
      <alignment horizontal="center" vertical="center"/>
    </xf>
    <xf numFmtId="0" fontId="132" fillId="0" borderId="33" xfId="151" applyFont="1" applyBorder="1" applyAlignment="1">
      <alignment horizontal="center" vertical="center"/>
    </xf>
    <xf numFmtId="0" fontId="76" fillId="0" borderId="0" xfId="151" applyFont="1" applyAlignment="1">
      <alignment horizontal="center" vertical="center"/>
    </xf>
    <xf numFmtId="0" fontId="96" fillId="35" borderId="0" xfId="151" applyFont="1" applyFill="1" applyAlignment="1">
      <alignment horizontal="center" vertical="center"/>
    </xf>
    <xf numFmtId="0" fontId="141" fillId="35" borderId="27" xfId="242" applyFont="1" applyFill="1" applyBorder="1" applyAlignment="1">
      <alignment horizontal="center" vertical="center"/>
    </xf>
    <xf numFmtId="0" fontId="141" fillId="35" borderId="28" xfId="242" applyFont="1" applyFill="1" applyBorder="1" applyAlignment="1">
      <alignment horizontal="center" vertical="center"/>
    </xf>
    <xf numFmtId="0" fontId="141" fillId="35" borderId="20" xfId="242" applyFont="1" applyFill="1" applyBorder="1" applyAlignment="1">
      <alignment horizontal="center" vertical="center"/>
    </xf>
    <xf numFmtId="0" fontId="141" fillId="35" borderId="21" xfId="242" applyFont="1" applyFill="1" applyBorder="1" applyAlignment="1">
      <alignment horizontal="center" vertical="center"/>
    </xf>
    <xf numFmtId="0" fontId="141" fillId="35" borderId="0" xfId="242" applyFont="1" applyFill="1" applyAlignment="1">
      <alignment horizontal="center" vertical="center"/>
    </xf>
    <xf numFmtId="0" fontId="141" fillId="35" borderId="23" xfId="242" applyFont="1" applyFill="1" applyBorder="1" applyAlignment="1">
      <alignment horizontal="center" vertical="center"/>
    </xf>
    <xf numFmtId="0" fontId="141" fillId="35" borderId="32" xfId="242" applyFont="1" applyFill="1" applyBorder="1" applyAlignment="1">
      <alignment horizontal="center" vertical="center"/>
    </xf>
    <xf numFmtId="0" fontId="141" fillId="35" borderId="18" xfId="242" applyFont="1" applyFill="1" applyBorder="1" applyAlignment="1">
      <alignment horizontal="center" vertical="center"/>
    </xf>
    <xf numFmtId="0" fontId="141" fillId="35" borderId="33" xfId="242" applyFont="1" applyFill="1" applyBorder="1" applyAlignment="1">
      <alignment horizontal="center" vertical="center"/>
    </xf>
    <xf numFmtId="0" fontId="76" fillId="35" borderId="0" xfId="248" applyFont="1" applyFill="1" applyAlignment="1" applyProtection="1">
      <alignment horizontal="center" vertical="center" wrapText="1" shrinkToFit="1"/>
    </xf>
    <xf numFmtId="0" fontId="125" fillId="35" borderId="40" xfId="151" applyFont="1" applyFill="1" applyBorder="1" applyAlignment="1">
      <alignment horizontal="center" vertical="center" wrapText="1"/>
    </xf>
    <xf numFmtId="0" fontId="125" fillId="35" borderId="43" xfId="15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44" fillId="0" borderId="29" xfId="0" applyFont="1" applyBorder="1" applyAlignment="1">
      <alignment horizontal="center" vertical="center"/>
    </xf>
    <xf numFmtId="0" fontId="139" fillId="97" borderId="27" xfId="151" applyFont="1" applyFill="1" applyBorder="1" applyAlignment="1">
      <alignment horizontal="center" vertical="center"/>
    </xf>
    <xf numFmtId="0" fontId="139" fillId="97" borderId="28" xfId="151" applyFont="1" applyFill="1" applyBorder="1" applyAlignment="1">
      <alignment horizontal="center" vertical="center"/>
    </xf>
    <xf numFmtId="0" fontId="139" fillId="97" borderId="20" xfId="151" applyFont="1" applyFill="1" applyBorder="1" applyAlignment="1">
      <alignment horizontal="center" vertical="center"/>
    </xf>
    <xf numFmtId="0" fontId="139" fillId="97" borderId="21" xfId="151" applyFont="1" applyFill="1" applyBorder="1" applyAlignment="1">
      <alignment horizontal="center" vertical="center"/>
    </xf>
    <xf numFmtId="0" fontId="139" fillId="97" borderId="0" xfId="151" applyFont="1" applyFill="1" applyAlignment="1">
      <alignment horizontal="center" vertical="center"/>
    </xf>
    <xf numFmtId="0" fontId="139" fillId="97" borderId="23" xfId="151" applyFont="1" applyFill="1" applyBorder="1" applyAlignment="1">
      <alignment horizontal="center" vertical="center"/>
    </xf>
    <xf numFmtId="0" fontId="139" fillId="97" borderId="32" xfId="151" applyFont="1" applyFill="1" applyBorder="1" applyAlignment="1">
      <alignment horizontal="center" vertical="center"/>
    </xf>
    <xf numFmtId="0" fontId="139" fillId="97" borderId="18" xfId="151" applyFont="1" applyFill="1" applyBorder="1" applyAlignment="1">
      <alignment horizontal="center" vertical="center"/>
    </xf>
    <xf numFmtId="0" fontId="139" fillId="97" borderId="33" xfId="151" applyFont="1" applyFill="1" applyBorder="1" applyAlignment="1">
      <alignment horizontal="center" vertical="center"/>
    </xf>
    <xf numFmtId="0" fontId="140" fillId="0" borderId="27" xfId="151" applyFont="1" applyBorder="1" applyAlignment="1">
      <alignment horizontal="center" vertical="center" wrapText="1"/>
    </xf>
    <xf numFmtId="0" fontId="140" fillId="0" borderId="20" xfId="151" applyFont="1" applyBorder="1" applyAlignment="1">
      <alignment horizontal="center" vertical="center" wrapText="1"/>
    </xf>
    <xf numFmtId="0" fontId="140" fillId="0" borderId="21" xfId="151" applyFont="1" applyBorder="1" applyAlignment="1">
      <alignment horizontal="center" vertical="center" wrapText="1"/>
    </xf>
    <xf numFmtId="0" fontId="140" fillId="0" borderId="23" xfId="151" applyFont="1" applyBorder="1" applyAlignment="1">
      <alignment horizontal="center" vertical="center" wrapText="1"/>
    </xf>
    <xf numFmtId="0" fontId="140" fillId="0" borderId="32" xfId="151" applyFont="1" applyBorder="1" applyAlignment="1">
      <alignment horizontal="center" vertical="center" wrapText="1"/>
    </xf>
    <xf numFmtId="0" fontId="140" fillId="0" borderId="33" xfId="151" applyFont="1" applyBorder="1" applyAlignment="1">
      <alignment horizontal="center" vertical="center" wrapText="1"/>
    </xf>
    <xf numFmtId="0" fontId="150" fillId="0" borderId="1" xfId="151" applyFont="1" applyBorder="1" applyAlignment="1" applyProtection="1">
      <alignment horizontal="center" wrapText="1"/>
      <protection locked="0"/>
    </xf>
    <xf numFmtId="0" fontId="49" fillId="0" borderId="22" xfId="151" applyFont="1" applyBorder="1" applyAlignment="1" applyProtection="1">
      <alignment horizontal="center"/>
      <protection locked="0"/>
    </xf>
    <xf numFmtId="0" fontId="49" fillId="0" borderId="41" xfId="151" applyFont="1" applyBorder="1" applyAlignment="1" applyProtection="1">
      <alignment horizontal="center"/>
      <protection locked="0"/>
    </xf>
    <xf numFmtId="0" fontId="152" fillId="35" borderId="0" xfId="151" applyFont="1" applyFill="1" applyAlignment="1" applyProtection="1">
      <alignment horizontal="center" vertical="center"/>
      <protection locked="0"/>
    </xf>
    <xf numFmtId="0" fontId="146" fillId="0" borderId="4" xfId="254" applyFont="1" applyBorder="1" applyAlignment="1" applyProtection="1">
      <alignment horizontal="center" vertical="top" shrinkToFit="1"/>
      <protection locked="0"/>
    </xf>
    <xf numFmtId="0" fontId="147" fillId="0" borderId="17" xfId="254" applyFont="1" applyBorder="1" applyAlignment="1" applyProtection="1">
      <alignment horizontal="center" vertical="top" shrinkToFit="1"/>
      <protection locked="0"/>
    </xf>
    <xf numFmtId="0" fontId="147" fillId="0" borderId="5" xfId="254" applyFont="1" applyBorder="1" applyAlignment="1" applyProtection="1">
      <alignment horizontal="center" vertical="top" shrinkToFit="1"/>
      <protection locked="0"/>
    </xf>
    <xf numFmtId="170" fontId="148" fillId="0" borderId="4" xfId="254" applyNumberFormat="1" applyFont="1" applyBorder="1" applyAlignment="1">
      <alignment horizontal="center" vertical="center" shrinkToFit="1"/>
    </xf>
    <xf numFmtId="170" fontId="148" fillId="0" borderId="17" xfId="254" applyNumberFormat="1" applyFont="1" applyBorder="1" applyAlignment="1">
      <alignment horizontal="center" vertical="center" shrinkToFit="1"/>
    </xf>
    <xf numFmtId="170" fontId="148" fillId="0" borderId="5" xfId="254" applyNumberFormat="1" applyFont="1" applyBorder="1" applyAlignment="1">
      <alignment horizontal="center" vertical="center" shrinkToFit="1"/>
    </xf>
    <xf numFmtId="0" fontId="149" fillId="41" borderId="1" xfId="151" applyFont="1" applyFill="1" applyBorder="1" applyAlignment="1" applyProtection="1">
      <alignment horizontal="center" vertical="center" wrapText="1"/>
      <protection locked="0"/>
    </xf>
    <xf numFmtId="0" fontId="150" fillId="131" borderId="1" xfId="151" applyFont="1" applyFill="1" applyBorder="1" applyAlignment="1" applyProtection="1">
      <alignment horizontal="center" wrapText="1"/>
      <protection locked="0"/>
    </xf>
    <xf numFmtId="0" fontId="137" fillId="135" borderId="4" xfId="151" applyFont="1" applyFill="1" applyBorder="1" applyAlignment="1" applyProtection="1">
      <alignment horizontal="center" vertical="center"/>
      <protection locked="0"/>
    </xf>
    <xf numFmtId="0" fontId="137" fillId="135" borderId="17" xfId="151" applyFont="1" applyFill="1" applyBorder="1" applyAlignment="1" applyProtection="1">
      <alignment horizontal="center" vertical="center"/>
      <protection locked="0"/>
    </xf>
    <xf numFmtId="0" fontId="137" fillId="135" borderId="5" xfId="151" applyFont="1" applyFill="1" applyBorder="1" applyAlignment="1" applyProtection="1">
      <alignment horizontal="center" vertical="center"/>
      <protection locked="0"/>
    </xf>
    <xf numFmtId="170" fontId="87" fillId="116" borderId="4" xfId="151" applyNumberFormat="1" applyFont="1" applyFill="1" applyBorder="1" applyAlignment="1">
      <alignment horizontal="center" vertical="center"/>
    </xf>
    <xf numFmtId="170" fontId="87" fillId="116" borderId="5" xfId="151" applyNumberFormat="1" applyFont="1" applyFill="1" applyBorder="1" applyAlignment="1">
      <alignment horizontal="center" vertical="center"/>
    </xf>
    <xf numFmtId="0" fontId="137" fillId="35" borderId="4" xfId="151" applyFont="1" applyFill="1" applyBorder="1" applyAlignment="1" applyProtection="1">
      <alignment horizontal="center"/>
      <protection locked="0"/>
    </xf>
    <xf numFmtId="0" fontId="137" fillId="35" borderId="17" xfId="151" applyFont="1" applyFill="1" applyBorder="1" applyAlignment="1" applyProtection="1">
      <alignment horizontal="center"/>
      <protection locked="0"/>
    </xf>
    <xf numFmtId="0" fontId="137" fillId="35" borderId="5" xfId="151" applyFont="1" applyFill="1" applyBorder="1" applyAlignment="1" applyProtection="1">
      <alignment horizontal="center"/>
      <protection locked="0"/>
    </xf>
    <xf numFmtId="14" fontId="150" fillId="0" borderId="1" xfId="151" applyNumberFormat="1" applyFont="1" applyBorder="1" applyAlignment="1">
      <alignment horizontal="center" wrapText="1"/>
    </xf>
    <xf numFmtId="0" fontId="67" fillId="132" borderId="15" xfId="233" applyFont="1" applyFill="1" applyBorder="1" applyAlignment="1" applyProtection="1">
      <alignment horizontal="left" vertical="center" shrinkToFit="1"/>
      <protection locked="0"/>
    </xf>
    <xf numFmtId="0" fontId="67" fillId="132" borderId="53" xfId="233" applyFont="1" applyFill="1" applyBorder="1" applyAlignment="1" applyProtection="1">
      <alignment horizontal="left" vertical="center" shrinkToFit="1"/>
      <protection locked="0"/>
    </xf>
    <xf numFmtId="0" fontId="67" fillId="0" borderId="15" xfId="233" applyFont="1" applyBorder="1" applyAlignment="1" applyProtection="1">
      <alignment horizontal="left" vertical="center" shrinkToFit="1"/>
      <protection locked="0"/>
    </xf>
    <xf numFmtId="0" fontId="67" fillId="0" borderId="53" xfId="233" applyFont="1" applyBorder="1" applyAlignment="1" applyProtection="1">
      <alignment horizontal="left" vertical="center" shrinkToFit="1"/>
      <protection locked="0"/>
    </xf>
    <xf numFmtId="0" fontId="67" fillId="132" borderId="51" xfId="129" applyFont="1" applyFill="1" applyBorder="1" applyAlignment="1" applyProtection="1">
      <alignment horizontal="center" vertical="center" shrinkToFit="1"/>
      <protection locked="0"/>
    </xf>
    <xf numFmtId="0" fontId="67" fillId="132" borderId="37" xfId="129" applyFont="1" applyFill="1" applyBorder="1" applyAlignment="1" applyProtection="1">
      <alignment horizontal="center" vertical="center" shrinkToFit="1"/>
      <protection locked="0"/>
    </xf>
    <xf numFmtId="0" fontId="67" fillId="132" borderId="52" xfId="129" applyFont="1" applyFill="1" applyBorder="1" applyAlignment="1" applyProtection="1">
      <alignment horizontal="center" vertical="center" shrinkToFit="1"/>
      <protection locked="0"/>
    </xf>
    <xf numFmtId="0" fontId="154" fillId="35" borderId="4" xfId="151" applyFont="1" applyFill="1" applyBorder="1" applyAlignment="1" applyProtection="1">
      <alignment horizontal="center" vertical="center"/>
      <protection locked="0"/>
    </xf>
    <xf numFmtId="0" fontId="154" fillId="35" borderId="17" xfId="151" applyFont="1" applyFill="1" applyBorder="1" applyAlignment="1" applyProtection="1">
      <alignment horizontal="center" vertical="center"/>
      <protection locked="0"/>
    </xf>
    <xf numFmtId="0" fontId="154" fillId="35" borderId="5" xfId="151" applyFont="1" applyFill="1" applyBorder="1" applyAlignment="1" applyProtection="1">
      <alignment horizontal="center" vertical="center"/>
      <protection locked="0"/>
    </xf>
    <xf numFmtId="0" fontId="10" fillId="0" borderId="27" xfId="151" applyBorder="1" applyAlignment="1">
      <alignment horizontal="center"/>
    </xf>
    <xf numFmtId="0" fontId="10" fillId="0" borderId="28" xfId="151" applyBorder="1" applyAlignment="1">
      <alignment horizontal="center"/>
    </xf>
    <xf numFmtId="0" fontId="10" fillId="0" borderId="20" xfId="151" applyBorder="1" applyAlignment="1">
      <alignment horizontal="center"/>
    </xf>
    <xf numFmtId="0" fontId="10" fillId="0" borderId="21" xfId="151" applyBorder="1" applyAlignment="1">
      <alignment horizontal="center"/>
    </xf>
    <xf numFmtId="0" fontId="10" fillId="0" borderId="0" xfId="151" applyAlignment="1">
      <alignment horizontal="center"/>
    </xf>
    <xf numFmtId="0" fontId="10" fillId="0" borderId="23" xfId="151" applyBorder="1" applyAlignment="1">
      <alignment horizontal="center"/>
    </xf>
    <xf numFmtId="0" fontId="10" fillId="0" borderId="32" xfId="151" applyBorder="1" applyAlignment="1">
      <alignment horizontal="center"/>
    </xf>
    <xf numFmtId="0" fontId="10" fillId="0" borderId="18" xfId="151" applyBorder="1" applyAlignment="1">
      <alignment horizontal="center"/>
    </xf>
    <xf numFmtId="0" fontId="10" fillId="0" borderId="33" xfId="151" applyBorder="1" applyAlignment="1">
      <alignment horizontal="center"/>
    </xf>
    <xf numFmtId="0" fontId="10" fillId="0" borderId="53" xfId="151" applyBorder="1" applyAlignment="1">
      <alignment horizontal="left" vertical="center" shrinkToFit="1"/>
    </xf>
    <xf numFmtId="0" fontId="137" fillId="0" borderId="4" xfId="151" applyFont="1" applyBorder="1" applyAlignment="1" applyProtection="1">
      <alignment horizontal="center"/>
      <protection locked="0"/>
    </xf>
    <xf numFmtId="0" fontId="137" fillId="0" borderId="17" xfId="151" applyFont="1" applyBorder="1" applyAlignment="1" applyProtection="1">
      <alignment horizontal="center"/>
      <protection locked="0"/>
    </xf>
    <xf numFmtId="0" fontId="137" fillId="0" borderId="5" xfId="151" applyFont="1" applyBorder="1" applyAlignment="1" applyProtection="1">
      <alignment horizontal="center"/>
      <protection locked="0"/>
    </xf>
    <xf numFmtId="0" fontId="67" fillId="0" borderId="55" xfId="233" applyFont="1" applyBorder="1" applyAlignment="1" applyProtection="1">
      <alignment horizontal="left" vertical="center" shrinkToFit="1"/>
      <protection locked="0"/>
    </xf>
    <xf numFmtId="0" fontId="67" fillId="0" borderId="56" xfId="233" applyFont="1" applyBorder="1" applyAlignment="1" applyProtection="1">
      <alignment horizontal="left" vertical="center" shrinkToFit="1"/>
      <protection locked="0"/>
    </xf>
    <xf numFmtId="0" fontId="67" fillId="0" borderId="57" xfId="233" applyFont="1" applyBorder="1" applyAlignment="1" applyProtection="1">
      <alignment horizontal="left" vertical="center" shrinkToFit="1"/>
      <protection locked="0"/>
    </xf>
    <xf numFmtId="0" fontId="153" fillId="116" borderId="0" xfId="151" applyFont="1" applyFill="1" applyAlignment="1" applyProtection="1">
      <alignment horizontal="center" vertical="center"/>
      <protection locked="0"/>
    </xf>
    <xf numFmtId="0" fontId="156" fillId="35" borderId="0" xfId="151" applyFont="1" applyFill="1" applyAlignment="1" applyProtection="1">
      <alignment horizontal="center" vertical="center"/>
      <protection locked="0"/>
    </xf>
    <xf numFmtId="0" fontId="140" fillId="0" borderId="15" xfId="247" applyFont="1" applyBorder="1" applyAlignment="1" applyProtection="1">
      <alignment horizontal="left" shrinkToFit="1"/>
      <protection locked="0"/>
    </xf>
    <xf numFmtId="0" fontId="140" fillId="0" borderId="64" xfId="247" applyFont="1" applyBorder="1" applyAlignment="1" applyProtection="1">
      <alignment horizontal="left" shrinkToFit="1"/>
      <protection locked="0"/>
    </xf>
    <xf numFmtId="0" fontId="140" fillId="0" borderId="15" xfId="247" applyFont="1" applyBorder="1" applyAlignment="1">
      <alignment horizontal="left" shrinkToFit="1"/>
    </xf>
    <xf numFmtId="0" fontId="140" fillId="0" borderId="16" xfId="247" applyFont="1" applyBorder="1" applyAlignment="1">
      <alignment horizontal="left" shrinkToFit="1"/>
    </xf>
    <xf numFmtId="0" fontId="157" fillId="116" borderId="58" xfId="151" applyFont="1" applyFill="1" applyBorder="1" applyAlignment="1">
      <alignment horizontal="center" vertical="center"/>
    </xf>
    <xf numFmtId="0" fontId="157" fillId="116" borderId="59" xfId="151" applyFont="1" applyFill="1" applyBorder="1" applyAlignment="1">
      <alignment horizontal="center" vertical="center"/>
    </xf>
    <xf numFmtId="0" fontId="158" fillId="0" borderId="4" xfId="151" applyFont="1" applyBorder="1" applyAlignment="1" applyProtection="1">
      <alignment horizontal="center"/>
      <protection locked="0"/>
    </xf>
    <xf numFmtId="0" fontId="158" fillId="0" borderId="17" xfId="151" applyFont="1" applyBorder="1" applyAlignment="1" applyProtection="1">
      <alignment horizontal="center"/>
      <protection locked="0"/>
    </xf>
    <xf numFmtId="0" fontId="158" fillId="0" borderId="4" xfId="151" applyFont="1" applyBorder="1" applyAlignment="1" applyProtection="1">
      <alignment horizontal="center" vertical="center"/>
      <protection locked="0"/>
    </xf>
    <xf numFmtId="0" fontId="158" fillId="0" borderId="5" xfId="151" applyFont="1" applyBorder="1" applyAlignment="1" applyProtection="1">
      <alignment horizontal="center" vertical="center"/>
      <protection locked="0"/>
    </xf>
    <xf numFmtId="0" fontId="159" fillId="116" borderId="29" xfId="129" applyFont="1" applyFill="1" applyBorder="1" applyAlignment="1" applyProtection="1">
      <alignment horizontal="center" vertical="center" shrinkToFit="1"/>
      <protection locked="0"/>
    </xf>
    <xf numFmtId="0" fontId="159" fillId="116" borderId="0" xfId="129" applyFont="1" applyFill="1" applyAlignment="1" applyProtection="1">
      <alignment horizontal="center" vertical="center" shrinkToFit="1"/>
      <protection locked="0"/>
    </xf>
    <xf numFmtId="0" fontId="159" fillId="116" borderId="62" xfId="129" applyFont="1" applyFill="1" applyBorder="1" applyAlignment="1" applyProtection="1">
      <alignment horizontal="center" vertical="center" shrinkToFit="1"/>
      <protection locked="0"/>
    </xf>
    <xf numFmtId="0" fontId="159" fillId="116" borderId="63" xfId="129" applyFont="1" applyFill="1" applyBorder="1" applyAlignment="1" applyProtection="1">
      <alignment horizontal="center" vertical="center" shrinkToFit="1"/>
      <protection locked="0"/>
    </xf>
    <xf numFmtId="0" fontId="159" fillId="116" borderId="53" xfId="129" applyFont="1" applyFill="1" applyBorder="1" applyAlignment="1" applyProtection="1">
      <alignment horizontal="center" vertical="center" shrinkToFit="1"/>
      <protection locked="0"/>
    </xf>
    <xf numFmtId="0" fontId="159" fillId="116" borderId="16" xfId="129" applyFont="1" applyFill="1" applyBorder="1" applyAlignment="1" applyProtection="1">
      <alignment horizontal="center" vertical="center" shrinkToFit="1"/>
      <protection locked="0"/>
    </xf>
    <xf numFmtId="0" fontId="62" fillId="0" borderId="4" xfId="151" applyFont="1" applyBorder="1" applyAlignment="1">
      <alignment horizontal="center" vertical="center" wrapText="1" shrinkToFit="1"/>
    </xf>
    <xf numFmtId="0" fontId="62" fillId="0" borderId="17" xfId="151" applyFont="1" applyBorder="1" applyAlignment="1">
      <alignment horizontal="center" vertical="center" wrapText="1" shrinkToFit="1"/>
    </xf>
    <xf numFmtId="0" fontId="62" fillId="0" borderId="5" xfId="151" applyFont="1" applyBorder="1" applyAlignment="1">
      <alignment horizontal="center" vertical="center" wrapText="1" shrinkToFit="1"/>
    </xf>
    <xf numFmtId="0" fontId="168" fillId="35" borderId="0" xfId="151" applyFont="1" applyFill="1" applyAlignment="1" applyProtection="1">
      <alignment horizontal="center" vertical="center"/>
      <protection locked="0"/>
    </xf>
    <xf numFmtId="0" fontId="31" fillId="133" borderId="4" xfId="151" applyFont="1" applyFill="1" applyBorder="1" applyAlignment="1">
      <alignment horizontal="center" vertical="center"/>
    </xf>
    <xf numFmtId="0" fontId="31" fillId="133" borderId="17" xfId="151" applyFont="1" applyFill="1" applyBorder="1" applyAlignment="1">
      <alignment horizontal="center" vertical="center"/>
    </xf>
    <xf numFmtId="0" fontId="31" fillId="133" borderId="5" xfId="151" applyFont="1" applyFill="1" applyBorder="1" applyAlignment="1">
      <alignment horizontal="center" vertical="center"/>
    </xf>
    <xf numFmtId="0" fontId="170" fillId="0" borderId="15" xfId="233" applyFont="1" applyBorder="1" applyAlignment="1">
      <alignment horizontal="left" vertical="center" shrinkToFit="1"/>
    </xf>
    <xf numFmtId="0" fontId="170" fillId="0" borderId="53" xfId="233" applyFont="1" applyBorder="1" applyAlignment="1">
      <alignment horizontal="left" vertical="center" shrinkToFit="1"/>
    </xf>
    <xf numFmtId="0" fontId="170" fillId="0" borderId="16" xfId="233" applyFont="1" applyBorder="1" applyAlignment="1">
      <alignment horizontal="left" vertical="center" shrinkToFit="1"/>
    </xf>
    <xf numFmtId="0" fontId="67" fillId="0" borderId="1" xfId="151" applyFont="1" applyBorder="1" applyAlignment="1">
      <alignment horizontal="left" vertical="center" wrapText="1" shrinkToFit="1"/>
    </xf>
    <xf numFmtId="0" fontId="67" fillId="0" borderId="69" xfId="151" applyFont="1" applyBorder="1" applyAlignment="1">
      <alignment horizontal="left" vertical="center" wrapText="1" shrinkToFit="1"/>
    </xf>
    <xf numFmtId="0" fontId="67" fillId="0" borderId="70" xfId="151" applyFont="1" applyBorder="1" applyAlignment="1">
      <alignment horizontal="left" vertical="center" wrapText="1" shrinkToFit="1"/>
    </xf>
    <xf numFmtId="0" fontId="67" fillId="0" borderId="71" xfId="151" applyFont="1" applyBorder="1" applyAlignment="1">
      <alignment horizontal="left" vertical="center" wrapText="1" shrinkToFit="1"/>
    </xf>
    <xf numFmtId="173" fontId="59" fillId="39" borderId="4" xfId="242" applyNumberFormat="1" applyFont="1" applyFill="1" applyBorder="1" applyAlignment="1">
      <alignment horizontal="center" vertical="center"/>
    </xf>
    <xf numFmtId="173" fontId="59" fillId="39" borderId="17" xfId="242" applyNumberFormat="1" applyFont="1" applyFill="1" applyBorder="1" applyAlignment="1">
      <alignment horizontal="center" vertical="center"/>
    </xf>
    <xf numFmtId="173" fontId="59" fillId="39" borderId="5" xfId="242" applyNumberFormat="1" applyFont="1" applyFill="1" applyBorder="1" applyAlignment="1">
      <alignment horizontal="center" vertical="center"/>
    </xf>
    <xf numFmtId="173" fontId="21" fillId="0" borderId="0" xfId="151" applyNumberFormat="1" applyFont="1" applyAlignment="1">
      <alignment horizontal="center" vertical="center"/>
    </xf>
    <xf numFmtId="173" fontId="10" fillId="0" borderId="0" xfId="151" applyNumberFormat="1"/>
    <xf numFmtId="173" fontId="60" fillId="0" borderId="0" xfId="242" applyNumberFormat="1" applyFont="1" applyAlignment="1">
      <alignment horizontal="center" vertical="center"/>
    </xf>
    <xf numFmtId="173" fontId="60" fillId="0" borderId="0" xfId="242" applyNumberFormat="1" applyFont="1" applyAlignment="1">
      <alignment vertical="center"/>
    </xf>
    <xf numFmtId="173" fontId="61" fillId="0" borderId="18" xfId="151" applyNumberFormat="1" applyFont="1" applyBorder="1" applyAlignment="1">
      <alignment horizontal="center" vertical="center"/>
    </xf>
    <xf numFmtId="173" fontId="60" fillId="0" borderId="18" xfId="242" applyNumberFormat="1" applyFont="1" applyBorder="1" applyAlignment="1">
      <alignment horizontal="center" vertical="center"/>
    </xf>
    <xf numFmtId="173" fontId="62" fillId="0" borderId="18" xfId="151" applyNumberFormat="1" applyFont="1" applyBorder="1" applyAlignment="1">
      <alignment horizontal="center" vertical="center"/>
    </xf>
    <xf numFmtId="173" fontId="63" fillId="0" borderId="18" xfId="151" applyNumberFormat="1" applyFont="1" applyBorder="1" applyAlignment="1" applyProtection="1">
      <alignment vertical="center"/>
      <protection locked="0"/>
    </xf>
    <xf numFmtId="173" fontId="10" fillId="0" borderId="18" xfId="151" applyNumberFormat="1" applyBorder="1" applyAlignment="1">
      <alignment vertical="center"/>
    </xf>
    <xf numFmtId="173" fontId="2" fillId="0" borderId="18" xfId="242" applyNumberFormat="1" applyBorder="1" applyAlignment="1">
      <alignment horizontal="center" vertical="center"/>
    </xf>
    <xf numFmtId="173" fontId="64" fillId="0" borderId="18" xfId="0" applyNumberFormat="1" applyFont="1" applyBorder="1" applyAlignment="1">
      <alignment horizontal="center" vertical="center"/>
    </xf>
    <xf numFmtId="173" fontId="65" fillId="35" borderId="0" xfId="151" applyNumberFormat="1" applyFont="1" applyFill="1" applyAlignment="1">
      <alignment horizontal="center" vertical="center"/>
    </xf>
    <xf numFmtId="173" fontId="66" fillId="0" borderId="18" xfId="243" applyNumberFormat="1" applyBorder="1" applyAlignment="1" applyProtection="1">
      <alignment horizontal="center" vertical="center"/>
    </xf>
    <xf numFmtId="173" fontId="67" fillId="0" borderId="1" xfId="129" applyNumberFormat="1" applyFont="1" applyBorder="1" applyAlignment="1">
      <alignment horizontal="center" vertical="center" shrinkToFit="1"/>
    </xf>
    <xf numFmtId="173" fontId="68" fillId="0" borderId="19" xfId="242" applyNumberFormat="1" applyFont="1" applyBorder="1" applyAlignment="1">
      <alignment horizontal="center" vertical="center"/>
    </xf>
    <xf numFmtId="173" fontId="29" fillId="0" borderId="0" xfId="151" applyNumberFormat="1" applyFont="1" applyAlignment="1">
      <alignment horizontal="center" vertical="center"/>
    </xf>
    <xf numFmtId="173" fontId="69" fillId="0" borderId="2" xfId="125" applyNumberFormat="1" applyFont="1" applyBorder="1" applyAlignment="1">
      <alignment horizontal="center" vertical="center"/>
    </xf>
    <xf numFmtId="173" fontId="54" fillId="0" borderId="0" xfId="151" applyNumberFormat="1" applyFont="1" applyAlignment="1">
      <alignment horizontal="center" vertical="center"/>
    </xf>
    <xf numFmtId="173" fontId="10" fillId="0" borderId="0" xfId="151" applyNumberFormat="1" applyAlignment="1">
      <alignment vertical="center"/>
    </xf>
    <xf numFmtId="173" fontId="10" fillId="52" borderId="0" xfId="151" applyNumberFormat="1" applyFill="1" applyAlignment="1">
      <alignment vertical="center"/>
    </xf>
    <xf numFmtId="173" fontId="70" fillId="107" borderId="0" xfId="0" applyNumberFormat="1" applyFont="1" applyFill="1" applyAlignment="1">
      <alignment horizontal="center" vertical="center"/>
    </xf>
    <xf numFmtId="173" fontId="71" fillId="108" borderId="16" xfId="132" applyNumberFormat="1" applyFont="1" applyFill="1" applyBorder="1" applyAlignment="1" applyProtection="1">
      <alignment horizontal="center" vertical="center" shrinkToFit="1"/>
    </xf>
    <xf numFmtId="173" fontId="72" fillId="109" borderId="20" xfId="151" applyNumberFormat="1" applyFont="1" applyFill="1" applyBorder="1" applyAlignment="1">
      <alignment horizontal="center" vertical="center"/>
    </xf>
    <xf numFmtId="173" fontId="62" fillId="0" borderId="0" xfId="242" applyNumberFormat="1" applyFont="1" applyAlignment="1">
      <alignment horizontal="center" vertical="center" wrapText="1"/>
    </xf>
    <xf numFmtId="173" fontId="21" fillId="0" borderId="21" xfId="151" applyNumberFormat="1" applyFont="1" applyBorder="1" applyAlignment="1">
      <alignment horizontal="center" vertical="center"/>
    </xf>
    <xf numFmtId="173" fontId="68" fillId="0" borderId="22" xfId="242" applyNumberFormat="1" applyFont="1" applyBorder="1" applyAlignment="1">
      <alignment horizontal="center" vertical="center"/>
    </xf>
    <xf numFmtId="173" fontId="73" fillId="0" borderId="0" xfId="151" applyNumberFormat="1" applyFont="1" applyAlignment="1">
      <alignment horizontal="center" vertical="center"/>
    </xf>
    <xf numFmtId="173" fontId="62" fillId="0" borderId="0" xfId="151" applyNumberFormat="1" applyFont="1" applyAlignment="1">
      <alignment horizontal="center" vertical="center"/>
    </xf>
    <xf numFmtId="173" fontId="74" fillId="52" borderId="0" xfId="0" applyNumberFormat="1" applyFont="1" applyFill="1" applyAlignment="1">
      <alignment horizontal="center" vertical="center"/>
    </xf>
    <xf numFmtId="173" fontId="75" fillId="107" borderId="0" xfId="0" applyNumberFormat="1" applyFont="1" applyFill="1" applyAlignment="1">
      <alignment horizontal="center" vertical="center"/>
    </xf>
    <xf numFmtId="173" fontId="76" fillId="52" borderId="23" xfId="151" applyNumberFormat="1" applyFont="1" applyFill="1" applyBorder="1" applyAlignment="1">
      <alignment horizontal="center" vertical="center"/>
    </xf>
    <xf numFmtId="173" fontId="77" fillId="0" borderId="0" xfId="0" applyNumberFormat="1" applyFont="1" applyAlignment="1">
      <alignment vertical="center"/>
    </xf>
    <xf numFmtId="173" fontId="74" fillId="35" borderId="0" xfId="0" applyNumberFormat="1" applyFont="1" applyFill="1" applyAlignment="1">
      <alignment horizontal="center" vertical="center"/>
    </xf>
    <xf numFmtId="173" fontId="76" fillId="35" borderId="0" xfId="151" applyNumberFormat="1" applyFont="1" applyFill="1" applyAlignment="1" applyProtection="1">
      <alignment horizontal="center" vertical="center"/>
      <protection locked="0"/>
    </xf>
    <xf numFmtId="173" fontId="30" fillId="52" borderId="0" xfId="242" applyNumberFormat="1" applyFont="1" applyFill="1" applyAlignment="1">
      <alignment horizontal="center" vertical="center"/>
    </xf>
    <xf numFmtId="173" fontId="72" fillId="109" borderId="23" xfId="151" applyNumberFormat="1" applyFont="1" applyFill="1" applyBorder="1" applyAlignment="1">
      <alignment horizontal="center" vertical="center"/>
    </xf>
    <xf numFmtId="173" fontId="78" fillId="0" borderId="0" xfId="0" applyNumberFormat="1" applyFont="1" applyAlignment="1">
      <alignment horizontal="center" vertical="center" shrinkToFit="1"/>
    </xf>
    <xf numFmtId="173" fontId="79" fillId="0" borderId="0" xfId="0" applyNumberFormat="1" applyFont="1" applyAlignment="1">
      <alignment horizontal="center" vertical="center"/>
    </xf>
    <xf numFmtId="173" fontId="80" fillId="0" borderId="0" xfId="0" applyNumberFormat="1" applyFont="1" applyAlignment="1">
      <alignment horizontal="center" vertical="center"/>
    </xf>
    <xf numFmtId="173" fontId="81" fillId="0" borderId="0" xfId="244" applyNumberFormat="1" applyFont="1" applyAlignment="1">
      <alignment horizontal="center" vertical="center" shrinkToFit="1"/>
    </xf>
    <xf numFmtId="173" fontId="30" fillId="52" borderId="0" xfId="242" applyNumberFormat="1" applyFont="1" applyFill="1" applyAlignment="1">
      <alignment horizontal="right" vertical="center"/>
    </xf>
    <xf numFmtId="173" fontId="82" fillId="109" borderId="0" xfId="151" applyNumberFormat="1" applyFont="1" applyFill="1" applyAlignment="1">
      <alignment horizontal="center" vertical="center"/>
    </xf>
    <xf numFmtId="173" fontId="83" fillId="110" borderId="24" xfId="245" applyNumberFormat="1" applyFont="1" applyFill="1" applyBorder="1" applyAlignment="1" applyProtection="1">
      <alignment horizontal="center" vertical="center" shrinkToFit="1"/>
    </xf>
    <xf numFmtId="173" fontId="61" fillId="0" borderId="0" xfId="151" applyNumberFormat="1" applyFont="1" applyAlignment="1">
      <alignment horizontal="center" vertical="center"/>
    </xf>
    <xf numFmtId="173" fontId="84" fillId="0" borderId="0" xfId="0" applyNumberFormat="1" applyFont="1" applyAlignment="1">
      <alignment horizontal="center" vertical="center"/>
    </xf>
    <xf numFmtId="173" fontId="85" fillId="111" borderId="0" xfId="0" applyNumberFormat="1" applyFont="1" applyFill="1" applyAlignment="1">
      <alignment horizontal="center" vertical="center"/>
    </xf>
    <xf numFmtId="173" fontId="77" fillId="0" borderId="0" xfId="0" applyNumberFormat="1" applyFont="1" applyAlignment="1">
      <alignment horizontal="center" vertical="center"/>
    </xf>
    <xf numFmtId="173" fontId="86" fillId="0" borderId="0" xfId="151" applyNumberFormat="1" applyFont="1" applyAlignment="1">
      <alignment horizontal="center" vertical="center"/>
    </xf>
    <xf numFmtId="173" fontId="87" fillId="103" borderId="0" xfId="117" applyNumberFormat="1" applyFont="1" applyFill="1" applyAlignment="1">
      <alignment horizontal="center" vertical="center"/>
    </xf>
    <xf numFmtId="173" fontId="83" fillId="110" borderId="25" xfId="245" applyNumberFormat="1" applyFont="1" applyFill="1" applyBorder="1" applyAlignment="1" applyProtection="1">
      <alignment horizontal="center" vertical="center" shrinkToFit="1"/>
    </xf>
    <xf numFmtId="173" fontId="88" fillId="112" borderId="26" xfId="246" applyNumberFormat="1" applyFont="1" applyFill="1" applyBorder="1" applyAlignment="1" applyProtection="1">
      <alignment horizontal="center" vertical="center" shrinkToFit="1"/>
    </xf>
    <xf numFmtId="173" fontId="89" fillId="113" borderId="26" xfId="246" applyNumberFormat="1" applyFont="1" applyFill="1" applyBorder="1" applyAlignment="1" applyProtection="1">
      <alignment horizontal="center" vertical="center" shrinkToFit="1"/>
    </xf>
    <xf numFmtId="173" fontId="90" fillId="0" borderId="1" xfId="151" applyNumberFormat="1" applyFont="1" applyBorder="1" applyAlignment="1">
      <alignment horizontal="center" vertical="center"/>
    </xf>
    <xf numFmtId="173" fontId="91" fillId="103" borderId="0" xfId="117" applyNumberFormat="1" applyFont="1" applyFill="1" applyAlignment="1">
      <alignment horizontal="center" vertical="center"/>
    </xf>
    <xf numFmtId="173" fontId="34" fillId="34" borderId="1" xfId="129" applyNumberFormat="1" applyFont="1" applyFill="1" applyBorder="1" applyAlignment="1">
      <alignment horizontal="center" vertical="center" shrinkToFit="1"/>
    </xf>
    <xf numFmtId="173" fontId="92" fillId="97" borderId="0" xfId="125" applyNumberFormat="1" applyFont="1" applyFill="1" applyAlignment="1">
      <alignment horizontal="center" vertical="center"/>
    </xf>
    <xf numFmtId="173" fontId="93" fillId="0" borderId="1" xfId="125" applyNumberFormat="1" applyFont="1" applyBorder="1" applyAlignment="1">
      <alignment horizontal="center" vertical="center"/>
    </xf>
    <xf numFmtId="173" fontId="49" fillId="105" borderId="1" xfId="129" applyNumberFormat="1" applyFont="1" applyFill="1" applyBorder="1" applyAlignment="1">
      <alignment horizontal="center" vertical="center" shrinkToFit="1"/>
    </xf>
    <xf numFmtId="173" fontId="94" fillId="97" borderId="27" xfId="242" applyNumberFormat="1" applyFont="1" applyFill="1" applyBorder="1" applyAlignment="1">
      <alignment horizontal="center" vertical="center" wrapText="1"/>
    </xf>
    <xf numFmtId="173" fontId="94" fillId="97" borderId="28" xfId="242" applyNumberFormat="1" applyFont="1" applyFill="1" applyBorder="1" applyAlignment="1">
      <alignment horizontal="center" vertical="center" wrapText="1"/>
    </xf>
    <xf numFmtId="173" fontId="94" fillId="97" borderId="20" xfId="242" applyNumberFormat="1" applyFont="1" applyFill="1" applyBorder="1" applyAlignment="1">
      <alignment horizontal="center" vertical="center" wrapText="1"/>
    </xf>
    <xf numFmtId="173" fontId="64" fillId="0" borderId="0" xfId="0" applyNumberFormat="1" applyFont="1" applyAlignment="1">
      <alignment horizontal="center" vertical="center"/>
    </xf>
    <xf numFmtId="173" fontId="95" fillId="115" borderId="0" xfId="243" applyNumberFormat="1" applyFont="1" applyFill="1" applyAlignment="1" applyProtection="1">
      <alignment horizontal="center" vertical="center"/>
    </xf>
    <xf numFmtId="173" fontId="94" fillId="97" borderId="21" xfId="242" applyNumberFormat="1" applyFont="1" applyFill="1" applyBorder="1" applyAlignment="1">
      <alignment horizontal="center" vertical="center" wrapText="1"/>
    </xf>
    <xf numFmtId="173" fontId="94" fillId="97" borderId="0" xfId="242" applyNumberFormat="1" applyFont="1" applyFill="1" applyAlignment="1">
      <alignment horizontal="center" vertical="center" wrapText="1"/>
    </xf>
    <xf numFmtId="173" fontId="94" fillId="97" borderId="23" xfId="242" applyNumberFormat="1" applyFont="1" applyFill="1" applyBorder="1" applyAlignment="1">
      <alignment horizontal="center" vertical="center" wrapText="1"/>
    </xf>
    <xf numFmtId="173" fontId="96" fillId="0" borderId="0" xfId="151" applyNumberFormat="1" applyFont="1" applyAlignment="1">
      <alignment horizontal="center" vertical="center"/>
    </xf>
    <xf numFmtId="173" fontId="10" fillId="116" borderId="0" xfId="151" applyNumberFormat="1" applyFill="1" applyAlignment="1">
      <alignment vertical="center"/>
    </xf>
    <xf numFmtId="173" fontId="33" fillId="0" borderId="0" xfId="151" applyNumberFormat="1" applyFont="1" applyAlignment="1">
      <alignment horizontal="center" vertical="center"/>
    </xf>
    <xf numFmtId="173" fontId="10" fillId="0" borderId="0" xfId="151" applyNumberFormat="1" applyAlignment="1">
      <alignment horizontal="center" vertical="center"/>
    </xf>
    <xf numFmtId="173" fontId="69" fillId="0" borderId="1" xfId="125" applyNumberFormat="1" applyFont="1" applyBorder="1" applyAlignment="1">
      <alignment horizontal="center" vertical="center"/>
    </xf>
    <xf numFmtId="173" fontId="55" fillId="0" borderId="0" xfId="129" applyNumberFormat="1" applyFont="1" applyAlignment="1">
      <alignment horizontal="center" vertical="center" shrinkToFit="1"/>
    </xf>
    <xf numFmtId="173" fontId="10" fillId="0" borderId="29" xfId="151" applyNumberFormat="1" applyBorder="1" applyAlignment="1">
      <alignment horizontal="center" vertical="center"/>
    </xf>
    <xf numFmtId="173" fontId="93" fillId="0" borderId="30" xfId="125" applyNumberFormat="1" applyFont="1" applyBorder="1" applyAlignment="1">
      <alignment horizontal="center" vertical="center"/>
    </xf>
    <xf numFmtId="173" fontId="77" fillId="0" borderId="0" xfId="0" applyNumberFormat="1" applyFont="1" applyAlignment="1">
      <alignment horizontal="right" vertical="center"/>
    </xf>
    <xf numFmtId="173" fontId="83" fillId="110" borderId="31" xfId="245" applyNumberFormat="1" applyFont="1" applyFill="1" applyBorder="1" applyAlignment="1" applyProtection="1">
      <alignment horizontal="center" vertical="center" shrinkToFit="1"/>
    </xf>
    <xf numFmtId="173" fontId="97" fillId="0" borderId="0" xfId="246" applyNumberFormat="1" applyFont="1" applyAlignment="1" applyProtection="1">
      <alignment horizontal="left" vertical="center" shrinkToFit="1"/>
    </xf>
    <xf numFmtId="173" fontId="76" fillId="35" borderId="0" xfId="151" applyNumberFormat="1" applyFont="1" applyFill="1" applyAlignment="1">
      <alignment horizontal="center" vertical="center"/>
    </xf>
    <xf numFmtId="173" fontId="98" fillId="88" borderId="0" xfId="151" applyNumberFormat="1" applyFont="1" applyFill="1" applyAlignment="1">
      <alignment horizontal="center" vertical="center"/>
    </xf>
    <xf numFmtId="173" fontId="99" fillId="52" borderId="0" xfId="242" applyNumberFormat="1" applyFont="1" applyFill="1" applyAlignment="1">
      <alignment horizontal="right" vertical="center"/>
    </xf>
    <xf numFmtId="173" fontId="100" fillId="117" borderId="0" xfId="151" applyNumberFormat="1" applyFont="1" applyFill="1" applyAlignment="1">
      <alignment horizontal="center" vertical="center"/>
    </xf>
    <xf numFmtId="173" fontId="31" fillId="35" borderId="0" xfId="151" applyNumberFormat="1" applyFont="1" applyFill="1" applyAlignment="1">
      <alignment horizontal="center" vertical="center"/>
    </xf>
    <xf numFmtId="173" fontId="21" fillId="0" borderId="28" xfId="151" applyNumberFormat="1" applyFont="1" applyBorder="1" applyAlignment="1">
      <alignment horizontal="center" vertical="center"/>
    </xf>
    <xf numFmtId="173" fontId="21" fillId="0" borderId="20" xfId="151" applyNumberFormat="1" applyFont="1" applyBorder="1" applyAlignment="1">
      <alignment horizontal="center" vertical="center"/>
    </xf>
    <xf numFmtId="173" fontId="81" fillId="0" borderId="0" xfId="244" applyNumberFormat="1" applyFont="1" applyAlignment="1">
      <alignment horizontal="right" vertical="center" shrinkToFit="1"/>
    </xf>
    <xf numFmtId="173" fontId="101" fillId="117" borderId="0" xfId="151" applyNumberFormat="1" applyFont="1" applyFill="1" applyAlignment="1">
      <alignment horizontal="center" vertical="center"/>
    </xf>
    <xf numFmtId="173" fontId="35" fillId="82" borderId="1" xfId="129" applyNumberFormat="1" applyFont="1" applyFill="1" applyBorder="1" applyAlignment="1">
      <alignment horizontal="center" vertical="center" shrinkToFit="1"/>
    </xf>
    <xf numFmtId="173" fontId="81" fillId="0" borderId="0" xfId="244" applyNumberFormat="1" applyFont="1" applyAlignment="1">
      <alignment horizontal="left" vertical="center" shrinkToFit="1"/>
    </xf>
    <xf numFmtId="173" fontId="76" fillId="88" borderId="0" xfId="151" applyNumberFormat="1" applyFont="1" applyFill="1" applyAlignment="1">
      <alignment horizontal="center" vertical="center"/>
    </xf>
    <xf numFmtId="173" fontId="30" fillId="52" borderId="0" xfId="151" applyNumberFormat="1" applyFont="1" applyFill="1" applyAlignment="1">
      <alignment horizontal="center" vertical="center"/>
    </xf>
    <xf numFmtId="173" fontId="21" fillId="0" borderId="23" xfId="151" applyNumberFormat="1" applyFont="1" applyBorder="1" applyAlignment="1">
      <alignment horizontal="center" vertical="center"/>
    </xf>
    <xf numFmtId="173" fontId="102" fillId="0" borderId="0" xfId="151" applyNumberFormat="1" applyFont="1" applyAlignment="1">
      <alignment horizontal="center" vertical="center"/>
    </xf>
    <xf numFmtId="173" fontId="101" fillId="118" borderId="0" xfId="151" applyNumberFormat="1" applyFont="1" applyFill="1" applyAlignment="1">
      <alignment horizontal="center" vertical="center"/>
    </xf>
    <xf numFmtId="173" fontId="94" fillId="97" borderId="32" xfId="242" applyNumberFormat="1" applyFont="1" applyFill="1" applyBorder="1" applyAlignment="1">
      <alignment horizontal="center" vertical="center" wrapText="1"/>
    </xf>
    <xf numFmtId="173" fontId="94" fillId="97" borderId="18" xfId="242" applyNumberFormat="1" applyFont="1" applyFill="1" applyBorder="1" applyAlignment="1">
      <alignment horizontal="center" vertical="center" wrapText="1"/>
    </xf>
    <xf numFmtId="173" fontId="94" fillId="97" borderId="33" xfId="242" applyNumberFormat="1" applyFont="1" applyFill="1" applyBorder="1" applyAlignment="1">
      <alignment horizontal="center" vertical="center" wrapText="1"/>
    </xf>
    <xf numFmtId="173" fontId="88" fillId="119" borderId="1" xfId="132" applyNumberFormat="1" applyFont="1" applyFill="1" applyBorder="1" applyAlignment="1" applyProtection="1">
      <alignment horizontal="center" vertical="center" shrinkToFit="1"/>
    </xf>
    <xf numFmtId="173" fontId="103" fillId="117" borderId="0" xfId="0" applyNumberFormat="1" applyFont="1" applyFill="1" applyAlignment="1">
      <alignment horizontal="center" vertical="center"/>
    </xf>
    <xf numFmtId="173" fontId="64" fillId="0" borderId="0" xfId="0" applyNumberFormat="1" applyFont="1" applyAlignment="1">
      <alignment horizontal="left" vertical="center"/>
    </xf>
    <xf numFmtId="173" fontId="83" fillId="110" borderId="34" xfId="245" applyNumberFormat="1" applyFont="1" applyFill="1" applyBorder="1" applyAlignment="1" applyProtection="1">
      <alignment horizontal="center" vertical="center" shrinkToFit="1"/>
    </xf>
    <xf numFmtId="173" fontId="94" fillId="97" borderId="0" xfId="242" applyNumberFormat="1" applyFont="1" applyFill="1" applyAlignment="1">
      <alignment horizontal="center" vertical="center" wrapText="1"/>
    </xf>
    <xf numFmtId="173" fontId="94" fillId="97" borderId="23" xfId="242" applyNumberFormat="1" applyFont="1" applyFill="1" applyBorder="1" applyAlignment="1">
      <alignment horizontal="center" vertical="center" wrapText="1"/>
    </xf>
    <xf numFmtId="173" fontId="104" fillId="0" borderId="0" xfId="151" applyNumberFormat="1" applyFont="1" applyAlignment="1">
      <alignment horizontal="center" vertical="center" shrinkToFit="1"/>
    </xf>
    <xf numFmtId="173" fontId="97" fillId="0" borderId="0" xfId="0" applyNumberFormat="1" applyFont="1" applyAlignment="1">
      <alignment horizontal="left" vertical="top"/>
    </xf>
    <xf numFmtId="173" fontId="0" fillId="0" borderId="0" xfId="0" applyNumberFormat="1" applyAlignment="1">
      <alignment vertical="center"/>
    </xf>
    <xf numFmtId="173" fontId="10" fillId="0" borderId="0" xfId="151" applyNumberFormat="1" applyAlignment="1">
      <alignment horizontal="right" vertical="center"/>
    </xf>
    <xf numFmtId="173" fontId="104" fillId="0" borderId="0" xfId="244" applyNumberFormat="1" applyFont="1" applyAlignment="1">
      <alignment horizontal="center" vertical="center" shrinkToFit="1"/>
    </xf>
    <xf numFmtId="173" fontId="98" fillId="0" borderId="0" xfId="244" applyNumberFormat="1" applyFont="1" applyAlignment="1">
      <alignment horizontal="center" vertical="center" shrinkToFit="1"/>
    </xf>
    <xf numFmtId="173" fontId="105" fillId="0" borderId="16" xfId="125" applyNumberFormat="1" applyFont="1" applyBorder="1" applyAlignment="1">
      <alignment horizontal="center" vertical="center"/>
    </xf>
    <xf numFmtId="173" fontId="106" fillId="0" borderId="1" xfId="124" applyNumberFormat="1" applyFont="1" applyBorder="1" applyAlignment="1">
      <alignment horizontal="center" vertical="center"/>
    </xf>
    <xf numFmtId="173" fontId="107" fillId="0" borderId="0" xfId="151" applyNumberFormat="1" applyFont="1" applyAlignment="1">
      <alignment horizontal="center" vertical="center"/>
    </xf>
    <xf numFmtId="173" fontId="21" fillId="0" borderId="0" xfId="151" applyNumberFormat="1" applyFont="1" applyAlignment="1" applyProtection="1">
      <alignment horizontal="center" vertical="center"/>
      <protection locked="0"/>
    </xf>
    <xf numFmtId="173" fontId="108" fillId="97" borderId="0" xfId="247" applyNumberFormat="1" applyFont="1" applyFill="1" applyAlignment="1">
      <alignment horizontal="center" vertical="center"/>
    </xf>
    <xf numFmtId="173" fontId="109" fillId="121" borderId="1" xfId="132" applyNumberFormat="1" applyFont="1" applyFill="1" applyBorder="1" applyAlignment="1" applyProtection="1">
      <alignment horizontal="center" vertical="center" shrinkToFit="1"/>
    </xf>
    <xf numFmtId="173" fontId="65" fillId="0" borderId="0" xfId="151" applyNumberFormat="1" applyFont="1" applyAlignment="1" applyProtection="1">
      <alignment vertical="center"/>
      <protection locked="0"/>
    </xf>
    <xf numFmtId="173" fontId="62" fillId="0" borderId="0" xfId="151" applyNumberFormat="1" applyFont="1" applyAlignment="1">
      <alignment horizontal="left" vertical="center"/>
    </xf>
    <xf numFmtId="173" fontId="30" fillId="0" borderId="0" xfId="151" applyNumberFormat="1" applyFont="1" applyAlignment="1">
      <alignment horizontal="center" vertical="center"/>
    </xf>
    <xf numFmtId="173" fontId="110" fillId="0" borderId="29" xfId="244" applyNumberFormat="1" applyFont="1" applyBorder="1" applyAlignment="1">
      <alignment horizontal="center" vertical="center" shrinkToFit="1"/>
    </xf>
    <xf numFmtId="173" fontId="111" fillId="0" borderId="0" xfId="247" applyNumberFormat="1" applyFont="1" applyAlignment="1">
      <alignment horizontal="center" vertical="center" shrinkToFit="1"/>
    </xf>
    <xf numFmtId="173" fontId="52" fillId="0" borderId="0" xfId="248" applyNumberFormat="1" applyFont="1" applyAlignment="1" applyProtection="1">
      <alignment horizontal="center" vertical="center" shrinkToFit="1"/>
    </xf>
    <xf numFmtId="173" fontId="101" fillId="0" borderId="0" xfId="151" applyNumberFormat="1" applyFont="1" applyAlignment="1">
      <alignment horizontal="center" vertical="center"/>
    </xf>
    <xf numFmtId="173" fontId="65" fillId="0" borderId="0" xfId="151" applyNumberFormat="1" applyFont="1" applyAlignment="1">
      <alignment horizontal="center" vertical="center"/>
    </xf>
    <xf numFmtId="173" fontId="83" fillId="0" borderId="0" xfId="244" applyNumberFormat="1" applyFont="1" applyAlignment="1">
      <alignment horizontal="center" vertical="center" shrinkToFit="1"/>
    </xf>
    <xf numFmtId="173" fontId="83" fillId="0" borderId="35" xfId="245" applyNumberFormat="1" applyFont="1" applyBorder="1" applyAlignment="1" applyProtection="1">
      <alignment horizontal="center" vertical="center" shrinkToFit="1"/>
    </xf>
    <xf numFmtId="173" fontId="83" fillId="0" borderId="34" xfId="245" applyNumberFormat="1" applyFont="1" applyBorder="1" applyAlignment="1" applyProtection="1">
      <alignment horizontal="center" vertical="center" shrinkToFit="1"/>
    </xf>
    <xf numFmtId="173" fontId="81" fillId="0" borderId="0" xfId="151" applyNumberFormat="1" applyFont="1" applyAlignment="1">
      <alignment horizontal="center" vertical="center"/>
    </xf>
    <xf numFmtId="173" fontId="98" fillId="0" borderId="0" xfId="244" applyNumberFormat="1" applyFont="1" applyAlignment="1">
      <alignment vertical="center" shrinkToFit="1"/>
    </xf>
    <xf numFmtId="173" fontId="49" fillId="105" borderId="36" xfId="129" applyNumberFormat="1" applyFont="1" applyFill="1" applyBorder="1" applyAlignment="1">
      <alignment horizontal="center" vertical="center" shrinkToFit="1"/>
    </xf>
    <xf numFmtId="173" fontId="93" fillId="0" borderId="1" xfId="124" applyNumberFormat="1" applyFont="1" applyBorder="1" applyAlignment="1">
      <alignment horizontal="center"/>
    </xf>
    <xf numFmtId="173" fontId="112" fillId="0" borderId="0" xfId="151" applyNumberFormat="1" applyFont="1" applyAlignment="1">
      <alignment horizontal="center" vertical="center"/>
    </xf>
    <xf numFmtId="173" fontId="36" fillId="92" borderId="26" xfId="129" applyNumberFormat="1" applyFont="1" applyFill="1" applyBorder="1" applyAlignment="1">
      <alignment horizontal="center" vertical="center" shrinkToFit="1"/>
    </xf>
    <xf numFmtId="173" fontId="113" fillId="111" borderId="0" xfId="151" applyNumberFormat="1" applyFont="1" applyFill="1" applyAlignment="1">
      <alignment horizontal="center" vertical="center"/>
    </xf>
    <xf numFmtId="173" fontId="30" fillId="0" borderId="0" xfId="151" applyNumberFormat="1" applyFont="1" applyAlignment="1">
      <alignment horizontal="left" vertical="center"/>
    </xf>
    <xf numFmtId="173" fontId="114" fillId="0" borderId="37" xfId="151" applyNumberFormat="1" applyFont="1" applyBorder="1" applyAlignment="1">
      <alignment vertical="center"/>
    </xf>
    <xf numFmtId="173" fontId="61" fillId="0" borderId="0" xfId="0" applyNumberFormat="1" applyFont="1" applyAlignment="1">
      <alignment horizontal="center" vertical="center"/>
    </xf>
    <xf numFmtId="173" fontId="115" fillId="117" borderId="0" xfId="151" applyNumberFormat="1" applyFont="1" applyFill="1" applyAlignment="1">
      <alignment horizontal="center" vertical="center"/>
    </xf>
    <xf numFmtId="173" fontId="0" fillId="0" borderId="0" xfId="0" applyNumberFormat="1"/>
    <xf numFmtId="173" fontId="21" fillId="0" borderId="0" xfId="0" applyNumberFormat="1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116" fillId="0" borderId="0" xfId="151" applyNumberFormat="1" applyFont="1" applyAlignment="1">
      <alignment horizontal="center" vertical="center"/>
    </xf>
    <xf numFmtId="173" fontId="117" fillId="0" borderId="0" xfId="248" applyNumberFormat="1" applyFont="1" applyAlignment="1" applyProtection="1">
      <alignment horizontal="center" vertical="center" shrinkToFit="1"/>
    </xf>
    <xf numFmtId="173" fontId="21" fillId="0" borderId="32" xfId="151" applyNumberFormat="1" applyFont="1" applyBorder="1" applyAlignment="1">
      <alignment horizontal="center" vertical="center"/>
    </xf>
    <xf numFmtId="173" fontId="21" fillId="0" borderId="18" xfId="151" applyNumberFormat="1" applyFont="1" applyBorder="1" applyAlignment="1">
      <alignment horizontal="center" vertical="center"/>
    </xf>
    <xf numFmtId="173" fontId="21" fillId="0" borderId="33" xfId="151" applyNumberFormat="1" applyFont="1" applyBorder="1" applyAlignment="1">
      <alignment horizontal="center" vertical="center"/>
    </xf>
    <xf numFmtId="173" fontId="21" fillId="97" borderId="0" xfId="151" applyNumberFormat="1" applyFont="1" applyFill="1" applyAlignment="1">
      <alignment horizontal="center" vertical="center"/>
    </xf>
    <xf numFmtId="173" fontId="52" fillId="0" borderId="0" xfId="244" applyNumberFormat="1" applyFont="1" applyAlignment="1">
      <alignment horizontal="center" vertical="center" shrinkToFit="1"/>
    </xf>
    <xf numFmtId="173" fontId="94" fillId="0" borderId="0" xfId="242" applyNumberFormat="1" applyFont="1" applyAlignment="1">
      <alignment horizontal="center" vertical="center" wrapText="1"/>
    </xf>
    <xf numFmtId="173" fontId="10" fillId="0" borderId="0" xfId="151" applyNumberFormat="1" applyAlignment="1">
      <alignment horizontal="left" vertical="center"/>
    </xf>
    <xf numFmtId="173" fontId="49" fillId="100" borderId="1" xfId="129" applyNumberFormat="1" applyFont="1" applyFill="1" applyBorder="1" applyAlignment="1">
      <alignment horizontal="center" vertical="center" shrinkToFit="1"/>
    </xf>
    <xf numFmtId="173" fontId="106" fillId="0" borderId="1" xfId="124" applyNumberFormat="1" applyFont="1" applyBorder="1" applyAlignment="1">
      <alignment horizontal="center"/>
    </xf>
    <xf numFmtId="173" fontId="105" fillId="0" borderId="1" xfId="125" applyNumberFormat="1" applyFont="1" applyBorder="1" applyAlignment="1">
      <alignment horizontal="center" vertical="center"/>
    </xf>
    <xf numFmtId="173" fontId="107" fillId="0" borderId="27" xfId="151" applyNumberFormat="1" applyFont="1" applyBorder="1" applyAlignment="1">
      <alignment horizontal="center" vertical="center"/>
    </xf>
    <xf numFmtId="173" fontId="107" fillId="0" borderId="28" xfId="151" applyNumberFormat="1" applyFont="1" applyBorder="1" applyAlignment="1">
      <alignment horizontal="center" vertical="center"/>
    </xf>
    <xf numFmtId="173" fontId="107" fillId="0" borderId="20" xfId="151" applyNumberFormat="1" applyFont="1" applyBorder="1" applyAlignment="1">
      <alignment horizontal="center" vertical="center"/>
    </xf>
    <xf numFmtId="173" fontId="38" fillId="91" borderId="26" xfId="129" applyNumberFormat="1" applyFont="1" applyFill="1" applyBorder="1" applyAlignment="1">
      <alignment horizontal="center" vertical="center" shrinkToFit="1"/>
    </xf>
    <xf numFmtId="173" fontId="107" fillId="0" borderId="21" xfId="151" applyNumberFormat="1" applyFont="1" applyBorder="1" applyAlignment="1">
      <alignment horizontal="center" vertical="center"/>
    </xf>
    <xf numFmtId="173" fontId="107" fillId="0" borderId="0" xfId="151" applyNumberFormat="1" applyFont="1" applyAlignment="1">
      <alignment horizontal="center" vertical="center"/>
    </xf>
    <xf numFmtId="173" fontId="107" fillId="0" borderId="23" xfId="151" applyNumberFormat="1" applyFont="1" applyBorder="1" applyAlignment="1">
      <alignment horizontal="center" vertical="center"/>
    </xf>
    <xf numFmtId="173" fontId="118" fillId="97" borderId="0" xfId="125" applyNumberFormat="1" applyFont="1" applyFill="1" applyAlignment="1">
      <alignment horizontal="center" vertical="center"/>
    </xf>
    <xf numFmtId="173" fontId="38" fillId="91" borderId="38" xfId="129" applyNumberFormat="1" applyFont="1" applyFill="1" applyBorder="1" applyAlignment="1">
      <alignment horizontal="center" vertical="center" shrinkToFit="1"/>
    </xf>
    <xf numFmtId="173" fontId="93" fillId="0" borderId="26" xfId="0" applyNumberFormat="1" applyFont="1" applyBorder="1" applyAlignment="1">
      <alignment horizontal="center" vertical="center"/>
    </xf>
    <xf numFmtId="173" fontId="0" fillId="0" borderId="0" xfId="0" applyNumberFormat="1" applyAlignment="1">
      <alignment horizontal="left" vertical="center"/>
    </xf>
    <xf numFmtId="173" fontId="119" fillId="0" borderId="0" xfId="0" applyNumberFormat="1" applyFont="1" applyAlignment="1">
      <alignment horizontal="center" vertical="center"/>
    </xf>
    <xf numFmtId="173" fontId="119" fillId="111" borderId="0" xfId="151" applyNumberFormat="1" applyFont="1" applyFill="1" applyAlignment="1">
      <alignment horizontal="center" vertical="center"/>
    </xf>
    <xf numFmtId="173" fontId="120" fillId="0" borderId="39" xfId="151" applyNumberFormat="1" applyFont="1" applyBorder="1" applyAlignment="1">
      <alignment horizontal="center" vertical="center"/>
    </xf>
    <xf numFmtId="173" fontId="93" fillId="0" borderId="16" xfId="0" applyNumberFormat="1" applyFont="1" applyBorder="1" applyAlignment="1">
      <alignment horizontal="center" vertical="center"/>
    </xf>
    <xf numFmtId="173" fontId="81" fillId="0" borderId="0" xfId="0" applyNumberFormat="1" applyFont="1" applyAlignment="1">
      <alignment horizontal="center" vertical="center"/>
    </xf>
    <xf numFmtId="173" fontId="93" fillId="0" borderId="15" xfId="125" applyNumberFormat="1" applyFont="1" applyBorder="1" applyAlignment="1">
      <alignment horizontal="center" vertical="center"/>
    </xf>
    <xf numFmtId="173" fontId="121" fillId="35" borderId="40" xfId="151" applyNumberFormat="1" applyFont="1" applyFill="1" applyBorder="1" applyAlignment="1">
      <alignment horizontal="center" vertical="center" wrapText="1"/>
    </xf>
    <xf numFmtId="173" fontId="76" fillId="35" borderId="37" xfId="151" applyNumberFormat="1" applyFont="1" applyFill="1" applyBorder="1" applyAlignment="1" applyProtection="1">
      <alignment horizontal="center" vertical="center"/>
      <protection locked="0"/>
    </xf>
    <xf numFmtId="173" fontId="65" fillId="0" borderId="0" xfId="151" applyNumberFormat="1" applyFont="1" applyAlignment="1" applyProtection="1">
      <alignment horizontal="center" vertical="center"/>
      <protection locked="0"/>
    </xf>
    <xf numFmtId="173" fontId="21" fillId="0" borderId="41" xfId="0" applyNumberFormat="1" applyFont="1" applyBorder="1" applyAlignment="1">
      <alignment horizontal="center" vertical="center"/>
    </xf>
    <xf numFmtId="173" fontId="105" fillId="0" borderId="16" xfId="124" applyNumberFormat="1" applyFont="1" applyBorder="1" applyAlignment="1">
      <alignment horizontal="center" vertical="center"/>
    </xf>
    <xf numFmtId="173" fontId="65" fillId="35" borderId="0" xfId="151" applyNumberFormat="1" applyFont="1" applyFill="1" applyAlignment="1">
      <alignment horizontal="center" vertical="center"/>
    </xf>
    <xf numFmtId="173" fontId="121" fillId="35" borderId="42" xfId="151" applyNumberFormat="1" applyFont="1" applyFill="1" applyBorder="1" applyAlignment="1">
      <alignment horizontal="center" vertical="center" wrapText="1"/>
    </xf>
    <xf numFmtId="173" fontId="122" fillId="0" borderId="0" xfId="244" applyNumberFormat="1" applyFont="1" applyAlignment="1">
      <alignment horizontal="center" vertical="center" shrinkToFit="1"/>
    </xf>
    <xf numFmtId="173" fontId="29" fillId="0" borderId="0" xfId="0" applyNumberFormat="1" applyFont="1" applyAlignment="1">
      <alignment horizontal="center" vertical="center"/>
    </xf>
    <xf numFmtId="173" fontId="54" fillId="0" borderId="21" xfId="125" applyNumberFormat="1" applyFont="1" applyBorder="1" applyAlignment="1">
      <alignment horizontal="center" vertical="center"/>
    </xf>
    <xf numFmtId="173" fontId="113" fillId="123" borderId="0" xfId="244" applyNumberFormat="1" applyFont="1" applyFill="1" applyAlignment="1">
      <alignment horizontal="center" vertical="center" shrinkToFit="1"/>
    </xf>
    <xf numFmtId="173" fontId="61" fillId="0" borderId="21" xfId="0" applyNumberFormat="1" applyFont="1" applyBorder="1" applyAlignment="1">
      <alignment horizontal="center" vertical="center"/>
    </xf>
    <xf numFmtId="173" fontId="10" fillId="88" borderId="0" xfId="151" applyNumberFormat="1" applyFill="1" applyAlignment="1">
      <alignment horizontal="center" vertical="center"/>
    </xf>
    <xf numFmtId="173" fontId="29" fillId="0" borderId="0" xfId="151" applyNumberFormat="1" applyFont="1" applyAlignment="1">
      <alignment vertical="center"/>
    </xf>
    <xf numFmtId="173" fontId="102" fillId="0" borderId="0" xfId="0" applyNumberFormat="1" applyFont="1" applyAlignment="1">
      <alignment horizontal="center" vertical="center"/>
    </xf>
    <xf numFmtId="173" fontId="54" fillId="0" borderId="0" xfId="125" applyNumberFormat="1" applyFont="1" applyAlignment="1">
      <alignment horizontal="center" vertical="center"/>
    </xf>
    <xf numFmtId="173" fontId="121" fillId="35" borderId="43" xfId="151" applyNumberFormat="1" applyFont="1" applyFill="1" applyBorder="1" applyAlignment="1">
      <alignment horizontal="center" vertical="center" wrapText="1"/>
    </xf>
    <xf numFmtId="173" fontId="104" fillId="0" borderId="0" xfId="244" applyNumberFormat="1" applyFont="1" applyAlignment="1">
      <alignment horizontal="right" vertical="center" shrinkToFit="1"/>
    </xf>
    <xf numFmtId="173" fontId="98" fillId="123" borderId="41" xfId="244" applyNumberFormat="1" applyFont="1" applyFill="1" applyBorder="1" applyAlignment="1">
      <alignment horizontal="center" vertical="center" shrinkToFit="1"/>
    </xf>
    <xf numFmtId="173" fontId="123" fillId="124" borderId="30" xfId="248" applyNumberFormat="1" applyFont="1" applyFill="1" applyBorder="1" applyAlignment="1" applyProtection="1">
      <alignment horizontal="center" vertical="center" shrinkToFit="1"/>
    </xf>
    <xf numFmtId="173" fontId="98" fillId="123" borderId="0" xfId="244" applyNumberFormat="1" applyFont="1" applyFill="1" applyAlignment="1">
      <alignment horizontal="center" vertical="center" shrinkToFit="1"/>
    </xf>
    <xf numFmtId="173" fontId="96" fillId="0" borderId="0" xfId="0" applyNumberFormat="1" applyFont="1" applyAlignment="1">
      <alignment horizontal="center" vertical="center"/>
    </xf>
    <xf numFmtId="173" fontId="57" fillId="103" borderId="1" xfId="129" applyNumberFormat="1" applyFont="1" applyFill="1" applyBorder="1" applyAlignment="1">
      <alignment horizontal="center" vertical="center" shrinkToFit="1"/>
    </xf>
    <xf numFmtId="173" fontId="93" fillId="0" borderId="44" xfId="125" applyNumberFormat="1" applyFont="1" applyBorder="1" applyAlignment="1">
      <alignment horizontal="center" vertical="center"/>
    </xf>
    <xf numFmtId="173" fontId="119" fillId="0" borderId="0" xfId="151" applyNumberFormat="1" applyFont="1" applyAlignment="1">
      <alignment horizontal="center" vertical="center"/>
    </xf>
    <xf numFmtId="173" fontId="62" fillId="0" borderId="0" xfId="151" applyNumberFormat="1" applyFont="1" applyAlignment="1">
      <alignment horizontal="right" vertical="center"/>
    </xf>
    <xf numFmtId="173" fontId="33" fillId="54" borderId="16" xfId="129" applyNumberFormat="1" applyFont="1" applyFill="1" applyBorder="1" applyAlignment="1">
      <alignment horizontal="center" vertical="center" shrinkToFit="1"/>
    </xf>
    <xf numFmtId="173" fontId="124" fillId="119" borderId="1" xfId="248" applyNumberFormat="1" applyFont="1" applyFill="1" applyBorder="1" applyAlignment="1" applyProtection="1">
      <alignment horizontal="center" vertical="center" shrinkToFit="1"/>
    </xf>
    <xf numFmtId="173" fontId="125" fillId="35" borderId="27" xfId="151" applyNumberFormat="1" applyFont="1" applyFill="1" applyBorder="1" applyAlignment="1">
      <alignment horizontal="center" vertical="center" wrapText="1"/>
    </xf>
    <xf numFmtId="173" fontId="81" fillId="0" borderId="0" xfId="151" applyNumberFormat="1" applyFont="1" applyAlignment="1">
      <alignment horizontal="right" vertical="center"/>
    </xf>
    <xf numFmtId="173" fontId="81" fillId="0" borderId="0" xfId="151" applyNumberFormat="1" applyFont="1" applyAlignment="1">
      <alignment horizontal="left" vertical="center"/>
    </xf>
    <xf numFmtId="173" fontId="126" fillId="0" borderId="0" xfId="151" applyNumberFormat="1" applyFont="1" applyAlignment="1">
      <alignment horizontal="right" vertical="center"/>
    </xf>
    <xf numFmtId="173" fontId="54" fillId="0" borderId="0" xfId="151" applyNumberFormat="1" applyFont="1" applyAlignment="1">
      <alignment horizontal="left" vertical="center"/>
    </xf>
    <xf numFmtId="173" fontId="125" fillId="35" borderId="32" xfId="151" applyNumberFormat="1" applyFont="1" applyFill="1" applyBorder="1" applyAlignment="1">
      <alignment horizontal="center" vertical="center" wrapText="1"/>
    </xf>
    <xf numFmtId="173" fontId="93" fillId="0" borderId="45" xfId="151" applyNumberFormat="1" applyFont="1" applyBorder="1" applyAlignment="1">
      <alignment horizontal="center" vertical="center"/>
    </xf>
    <xf numFmtId="173" fontId="21" fillId="0" borderId="41" xfId="0" applyNumberFormat="1" applyFont="1" applyBorder="1" applyAlignment="1">
      <alignment horizontal="right" vertical="center"/>
    </xf>
    <xf numFmtId="173" fontId="69" fillId="0" borderId="36" xfId="124" applyNumberFormat="1" applyFont="1" applyBorder="1" applyAlignment="1">
      <alignment horizontal="center" vertical="center"/>
    </xf>
    <xf numFmtId="173" fontId="127" fillId="0" borderId="0" xfId="244" applyNumberFormat="1" applyFont="1" applyAlignment="1">
      <alignment horizontal="left" vertical="center" shrinkToFit="1"/>
    </xf>
    <xf numFmtId="173" fontId="125" fillId="0" borderId="0" xfId="151" applyNumberFormat="1" applyFont="1" applyAlignment="1">
      <alignment vertical="center"/>
    </xf>
    <xf numFmtId="173" fontId="126" fillId="0" borderId="0" xfId="151" applyNumberFormat="1" applyFont="1" applyAlignment="1">
      <alignment horizontal="left" vertical="center"/>
    </xf>
    <xf numFmtId="173" fontId="104" fillId="0" borderId="0" xfId="151" applyNumberFormat="1" applyFont="1" applyAlignment="1">
      <alignment horizontal="center" vertical="center"/>
    </xf>
    <xf numFmtId="173" fontId="93" fillId="88" borderId="45" xfId="151" applyNumberFormat="1" applyFont="1" applyFill="1" applyBorder="1" applyAlignment="1">
      <alignment horizontal="center" vertical="center"/>
    </xf>
    <xf numFmtId="173" fontId="127" fillId="0" borderId="18" xfId="244" applyNumberFormat="1" applyFont="1" applyBorder="1" applyAlignment="1">
      <alignment horizontal="left" vertical="center" shrinkToFit="1"/>
    </xf>
    <xf numFmtId="173" fontId="104" fillId="0" borderId="0" xfId="248" applyNumberFormat="1" applyFont="1" applyAlignment="1" applyProtection="1">
      <alignment horizontal="left" vertical="center" shrinkToFit="1"/>
    </xf>
    <xf numFmtId="173" fontId="2" fillId="97" borderId="0" xfId="242" applyNumberFormat="1" applyFill="1" applyAlignment="1">
      <alignment horizontal="center" vertical="center"/>
    </xf>
    <xf numFmtId="173" fontId="104" fillId="0" borderId="0" xfId="244" applyNumberFormat="1" applyFont="1" applyAlignment="1">
      <alignment horizontal="left" vertical="center" shrinkToFit="1"/>
    </xf>
    <xf numFmtId="173" fontId="128" fillId="35" borderId="27" xfId="125" applyNumberFormat="1" applyFont="1" applyFill="1" applyBorder="1" applyAlignment="1">
      <alignment horizontal="center" vertical="center" wrapText="1"/>
    </xf>
    <xf numFmtId="173" fontId="128" fillId="35" borderId="20" xfId="125" applyNumberFormat="1" applyFont="1" applyFill="1" applyBorder="1" applyAlignment="1">
      <alignment horizontal="center" vertical="center" wrapText="1"/>
    </xf>
    <xf numFmtId="173" fontId="76" fillId="35" borderId="21" xfId="151" applyNumberFormat="1" applyFont="1" applyFill="1" applyBorder="1" applyAlignment="1">
      <alignment horizontal="center" vertical="center"/>
    </xf>
    <xf numFmtId="173" fontId="129" fillId="123" borderId="41" xfId="244" applyNumberFormat="1" applyFont="1" applyFill="1" applyBorder="1" applyAlignment="1">
      <alignment horizontal="center" vertical="center" wrapText="1" shrinkToFit="1"/>
    </xf>
    <xf numFmtId="173" fontId="100" fillId="125" borderId="1" xfId="248" applyNumberFormat="1" applyFont="1" applyFill="1" applyBorder="1" applyAlignment="1" applyProtection="1">
      <alignment horizontal="center" vertical="center" shrinkToFit="1"/>
    </xf>
    <xf numFmtId="173" fontId="129" fillId="123" borderId="0" xfId="244" applyNumberFormat="1" applyFont="1" applyFill="1" applyAlignment="1">
      <alignment horizontal="center" vertical="center" wrapText="1" shrinkToFit="1"/>
    </xf>
    <xf numFmtId="173" fontId="104" fillId="0" borderId="0" xfId="244" applyNumberFormat="1" applyFont="1" applyAlignment="1">
      <alignment horizontal="left" vertical="center" shrinkToFit="1"/>
    </xf>
    <xf numFmtId="173" fontId="128" fillId="35" borderId="21" xfId="125" applyNumberFormat="1" applyFont="1" applyFill="1" applyBorder="1" applyAlignment="1">
      <alignment horizontal="center" vertical="center" wrapText="1"/>
    </xf>
    <xf numFmtId="173" fontId="128" fillId="35" borderId="23" xfId="125" applyNumberFormat="1" applyFont="1" applyFill="1" applyBorder="1" applyAlignment="1">
      <alignment horizontal="center" vertical="center" wrapText="1"/>
    </xf>
    <xf numFmtId="173" fontId="96" fillId="35" borderId="0" xfId="151" applyNumberFormat="1" applyFont="1" applyFill="1" applyAlignment="1">
      <alignment horizontal="center" vertical="center"/>
    </xf>
    <xf numFmtId="173" fontId="130" fillId="103" borderId="0" xfId="117" applyNumberFormat="1" applyFont="1" applyFill="1" applyAlignment="1">
      <alignment horizontal="center" vertical="center"/>
    </xf>
    <xf numFmtId="173" fontId="128" fillId="35" borderId="32" xfId="125" applyNumberFormat="1" applyFont="1" applyFill="1" applyBorder="1" applyAlignment="1">
      <alignment horizontal="center" vertical="center" wrapText="1"/>
    </xf>
    <xf numFmtId="173" fontId="128" fillId="35" borderId="33" xfId="125" applyNumberFormat="1" applyFont="1" applyFill="1" applyBorder="1" applyAlignment="1">
      <alignment horizontal="center" vertical="center" wrapText="1"/>
    </xf>
    <xf numFmtId="173" fontId="131" fillId="97" borderId="0" xfId="242" applyNumberFormat="1" applyFont="1" applyFill="1" applyAlignment="1">
      <alignment horizontal="center" vertical="center"/>
    </xf>
    <xf numFmtId="173" fontId="107" fillId="0" borderId="32" xfId="151" applyNumberFormat="1" applyFont="1" applyBorder="1" applyAlignment="1">
      <alignment horizontal="center" vertical="center"/>
    </xf>
    <xf numFmtId="173" fontId="107" fillId="0" borderId="18" xfId="151" applyNumberFormat="1" applyFont="1" applyBorder="1" applyAlignment="1">
      <alignment horizontal="center" vertical="center"/>
    </xf>
    <xf numFmtId="173" fontId="107" fillId="0" borderId="33" xfId="151" applyNumberFormat="1" applyFont="1" applyBorder="1" applyAlignment="1">
      <alignment horizontal="center" vertical="center"/>
    </xf>
    <xf numFmtId="173" fontId="43" fillId="61" borderId="26" xfId="129" applyNumberFormat="1" applyFont="1" applyFill="1" applyBorder="1" applyAlignment="1">
      <alignment horizontal="center" vertical="center" shrinkToFit="1"/>
    </xf>
    <xf numFmtId="173" fontId="21" fillId="0" borderId="0" xfId="151" applyNumberFormat="1" applyFont="1" applyAlignment="1">
      <alignment horizontal="left" vertical="center"/>
    </xf>
    <xf numFmtId="173" fontId="55" fillId="0" borderId="5" xfId="129" applyNumberFormat="1" applyFont="1" applyBorder="1" applyAlignment="1">
      <alignment horizontal="center" vertical="center" shrinkToFit="1"/>
    </xf>
    <xf numFmtId="173" fontId="61" fillId="0" borderId="37" xfId="151" applyNumberFormat="1" applyFont="1" applyBorder="1" applyAlignment="1">
      <alignment horizontal="center" vertical="center"/>
    </xf>
    <xf numFmtId="173" fontId="10" fillId="0" borderId="29" xfId="151" applyNumberFormat="1" applyBorder="1" applyAlignment="1">
      <alignment horizontal="center" vertical="center" wrapText="1"/>
    </xf>
    <xf numFmtId="173" fontId="132" fillId="0" borderId="27" xfId="151" applyNumberFormat="1" applyFont="1" applyBorder="1" applyAlignment="1">
      <alignment horizontal="center" vertical="center"/>
    </xf>
    <xf numFmtId="173" fontId="132" fillId="0" borderId="28" xfId="151" applyNumberFormat="1" applyFont="1" applyBorder="1" applyAlignment="1">
      <alignment horizontal="center" vertical="center"/>
    </xf>
    <xf numFmtId="173" fontId="132" fillId="0" borderId="20" xfId="151" applyNumberFormat="1" applyFont="1" applyBorder="1" applyAlignment="1">
      <alignment horizontal="center" vertical="center"/>
    </xf>
    <xf numFmtId="173" fontId="55" fillId="0" borderId="33" xfId="129" applyNumberFormat="1" applyFont="1" applyBorder="1" applyAlignment="1">
      <alignment horizontal="center" vertical="center" shrinkToFit="1"/>
    </xf>
    <xf numFmtId="173" fontId="93" fillId="0" borderId="1" xfId="151" applyNumberFormat="1" applyFont="1" applyBorder="1" applyAlignment="1">
      <alignment horizontal="center" vertical="center"/>
    </xf>
    <xf numFmtId="173" fontId="104" fillId="123" borderId="0" xfId="244" applyNumberFormat="1" applyFont="1" applyFill="1" applyAlignment="1">
      <alignment horizontal="center" vertical="center" shrinkToFit="1"/>
    </xf>
    <xf numFmtId="173" fontId="35" fillId="104" borderId="1" xfId="129" applyNumberFormat="1" applyFont="1" applyFill="1" applyBorder="1" applyAlignment="1">
      <alignment horizontal="center" vertical="center" shrinkToFit="1"/>
    </xf>
    <xf numFmtId="173" fontId="52" fillId="123" borderId="0" xfId="244" applyNumberFormat="1" applyFont="1" applyFill="1" applyAlignment="1">
      <alignment horizontal="center" vertical="center" shrinkToFit="1"/>
    </xf>
    <xf numFmtId="173" fontId="34" fillId="86" borderId="1" xfId="129" applyNumberFormat="1" applyFont="1" applyFill="1" applyBorder="1" applyAlignment="1">
      <alignment horizontal="center" vertical="center" shrinkToFit="1"/>
    </xf>
    <xf numFmtId="173" fontId="132" fillId="0" borderId="21" xfId="151" applyNumberFormat="1" applyFont="1" applyBorder="1" applyAlignment="1">
      <alignment horizontal="center" vertical="center"/>
    </xf>
    <xf numFmtId="173" fontId="132" fillId="0" borderId="0" xfId="151" applyNumberFormat="1" applyFont="1" applyAlignment="1">
      <alignment horizontal="center" vertical="center"/>
    </xf>
    <xf numFmtId="173" fontId="132" fillId="0" borderId="23" xfId="151" applyNumberFormat="1" applyFont="1" applyBorder="1" applyAlignment="1">
      <alignment horizontal="center" vertical="center"/>
    </xf>
    <xf numFmtId="173" fontId="93" fillId="0" borderId="46" xfId="151" applyNumberFormat="1" applyFont="1" applyBorder="1" applyAlignment="1">
      <alignment horizontal="center" vertical="center"/>
    </xf>
    <xf numFmtId="173" fontId="56" fillId="0" borderId="0" xfId="129" applyNumberFormat="1" applyFont="1" applyAlignment="1">
      <alignment horizontal="left" vertical="center" shrinkToFit="1"/>
    </xf>
    <xf numFmtId="173" fontId="123" fillId="124" borderId="1" xfId="248" applyNumberFormat="1" applyFont="1" applyFill="1" applyBorder="1" applyAlignment="1" applyProtection="1">
      <alignment horizontal="center" vertical="center" shrinkToFit="1"/>
    </xf>
    <xf numFmtId="173" fontId="76" fillId="0" borderId="0" xfId="151" applyNumberFormat="1" applyFont="1" applyAlignment="1">
      <alignment horizontal="center" vertical="center"/>
    </xf>
    <xf numFmtId="173" fontId="2" fillId="0" borderId="0" xfId="242" applyNumberFormat="1" applyAlignment="1">
      <alignment horizontal="center" vertical="center"/>
    </xf>
    <xf numFmtId="173" fontId="93" fillId="0" borderId="26" xfId="151" applyNumberFormat="1" applyFont="1" applyBorder="1" applyAlignment="1">
      <alignment horizontal="center" vertical="center"/>
    </xf>
    <xf numFmtId="173" fontId="69" fillId="0" borderId="0" xfId="125" applyNumberFormat="1" applyFont="1" applyAlignment="1">
      <alignment horizontal="center" vertical="center"/>
    </xf>
    <xf numFmtId="173" fontId="21" fillId="88" borderId="0" xfId="151" applyNumberFormat="1" applyFont="1" applyFill="1" applyAlignment="1">
      <alignment horizontal="center" vertical="center"/>
    </xf>
    <xf numFmtId="173" fontId="61" fillId="0" borderId="22" xfId="151" applyNumberFormat="1" applyFont="1" applyBorder="1" applyAlignment="1">
      <alignment horizontal="center" vertical="center"/>
    </xf>
    <xf numFmtId="173" fontId="113" fillId="126" borderId="0" xfId="151" applyNumberFormat="1" applyFont="1" applyFill="1" applyAlignment="1">
      <alignment horizontal="center" vertical="center"/>
    </xf>
    <xf numFmtId="173" fontId="2" fillId="88" borderId="0" xfId="242" applyNumberFormat="1" applyFill="1" applyAlignment="1">
      <alignment horizontal="center" vertical="center"/>
    </xf>
    <xf numFmtId="173" fontId="69" fillId="88" borderId="0" xfId="125" applyNumberFormat="1" applyFont="1" applyFill="1" applyAlignment="1">
      <alignment horizontal="center" vertical="center"/>
    </xf>
    <xf numFmtId="173" fontId="91" fillId="0" borderId="0" xfId="117" applyNumberFormat="1" applyFont="1" applyAlignment="1">
      <alignment horizontal="center" vertical="center"/>
    </xf>
    <xf numFmtId="173" fontId="69" fillId="116" borderId="1" xfId="125" applyNumberFormat="1" applyFont="1" applyFill="1" applyBorder="1" applyAlignment="1">
      <alignment horizontal="center" vertical="center"/>
    </xf>
    <xf numFmtId="173" fontId="119" fillId="126" borderId="0" xfId="151" applyNumberFormat="1" applyFont="1" applyFill="1" applyAlignment="1">
      <alignment horizontal="center" vertical="center"/>
    </xf>
    <xf numFmtId="173" fontId="123" fillId="127" borderId="1" xfId="248" applyNumberFormat="1" applyFont="1" applyFill="1" applyBorder="1" applyAlignment="1" applyProtection="1">
      <alignment horizontal="center" vertical="center" shrinkToFit="1"/>
    </xf>
    <xf numFmtId="173" fontId="10" fillId="0" borderId="21" xfId="151" applyNumberFormat="1" applyBorder="1" applyAlignment="1">
      <alignment vertical="center"/>
    </xf>
    <xf numFmtId="173" fontId="29" fillId="52" borderId="0" xfId="129" applyNumberFormat="1" applyFont="1" applyFill="1" applyAlignment="1">
      <alignment horizontal="center" vertical="center" shrinkToFit="1"/>
    </xf>
    <xf numFmtId="173" fontId="29" fillId="88" borderId="0" xfId="151" applyNumberFormat="1" applyFont="1" applyFill="1" applyAlignment="1">
      <alignment horizontal="center" vertical="center"/>
    </xf>
    <xf numFmtId="173" fontId="133" fillId="0" borderId="0" xfId="151" applyNumberFormat="1" applyFont="1" applyAlignment="1">
      <alignment horizontal="center" vertical="center"/>
    </xf>
    <xf numFmtId="173" fontId="76" fillId="128" borderId="0" xfId="151" applyNumberFormat="1" applyFont="1" applyFill="1" applyAlignment="1">
      <alignment horizontal="center" vertical="center"/>
    </xf>
    <xf numFmtId="173" fontId="125" fillId="35" borderId="0" xfId="151" applyNumberFormat="1" applyFont="1" applyFill="1" applyAlignment="1">
      <alignment horizontal="center" vertical="center"/>
    </xf>
    <xf numFmtId="173" fontId="76" fillId="52" borderId="0" xfId="151" applyNumberFormat="1" applyFont="1" applyFill="1" applyAlignment="1">
      <alignment horizontal="center" vertical="center"/>
    </xf>
    <xf numFmtId="173" fontId="125" fillId="128" borderId="0" xfId="151" applyNumberFormat="1" applyFont="1" applyFill="1" applyAlignment="1">
      <alignment horizontal="center" vertical="center"/>
    </xf>
    <xf numFmtId="173" fontId="10" fillId="88" borderId="0" xfId="151" applyNumberFormat="1" applyFill="1" applyAlignment="1">
      <alignment vertical="center"/>
    </xf>
    <xf numFmtId="173" fontId="21" fillId="0" borderId="0" xfId="151" applyNumberFormat="1" applyFont="1" applyAlignment="1">
      <alignment vertical="center"/>
    </xf>
    <xf numFmtId="173" fontId="69" fillId="0" borderId="1" xfId="124" applyNumberFormat="1" applyFont="1" applyBorder="1" applyAlignment="1">
      <alignment horizontal="center"/>
    </xf>
    <xf numFmtId="173" fontId="133" fillId="52" borderId="0" xfId="129" applyNumberFormat="1" applyFont="1" applyFill="1" applyAlignment="1">
      <alignment horizontal="center" vertical="center" shrinkToFit="1"/>
    </xf>
    <xf numFmtId="173" fontId="125" fillId="35" borderId="40" xfId="151" applyNumberFormat="1" applyFont="1" applyFill="1" applyBorder="1" applyAlignment="1">
      <alignment horizontal="center" vertical="center" wrapText="1"/>
    </xf>
    <xf numFmtId="173" fontId="83" fillId="110" borderId="47" xfId="245" applyNumberFormat="1" applyFont="1" applyFill="1" applyBorder="1" applyAlignment="1" applyProtection="1">
      <alignment horizontal="center" vertical="center" shrinkToFit="1"/>
    </xf>
    <xf numFmtId="173" fontId="72" fillId="109" borderId="0" xfId="151" applyNumberFormat="1" applyFont="1" applyFill="1" applyAlignment="1">
      <alignment horizontal="center" vertical="center"/>
    </xf>
    <xf numFmtId="173" fontId="105" fillId="0" borderId="1" xfId="124" applyNumberFormat="1" applyFont="1" applyBorder="1" applyAlignment="1">
      <alignment horizontal="center" vertical="center"/>
    </xf>
    <xf numFmtId="173" fontId="98" fillId="126" borderId="0" xfId="151" applyNumberFormat="1" applyFont="1" applyFill="1" applyAlignment="1">
      <alignment horizontal="center" vertical="center"/>
    </xf>
    <xf numFmtId="173" fontId="4" fillId="0" borderId="0" xfId="250" applyNumberFormat="1" applyAlignment="1">
      <alignment horizontal="center" vertical="center"/>
    </xf>
    <xf numFmtId="173" fontId="93" fillId="0" borderId="15" xfId="151" applyNumberFormat="1" applyFont="1" applyBorder="1" applyAlignment="1" applyProtection="1">
      <alignment horizontal="center" vertical="center"/>
      <protection locked="0"/>
    </xf>
    <xf numFmtId="173" fontId="43" fillId="61" borderId="1" xfId="129" applyNumberFormat="1" applyFont="1" applyFill="1" applyBorder="1" applyAlignment="1">
      <alignment horizontal="center" vertical="center" shrinkToFit="1"/>
    </xf>
    <xf numFmtId="173" fontId="125" fillId="35" borderId="43" xfId="151" applyNumberFormat="1" applyFont="1" applyFill="1" applyBorder="1" applyAlignment="1">
      <alignment horizontal="center" vertical="center" wrapText="1"/>
    </xf>
    <xf numFmtId="173" fontId="134" fillId="0" borderId="0" xfId="251" applyNumberFormat="1" applyFont="1" applyAlignment="1">
      <alignment horizontal="center" vertical="center" shrinkToFit="1"/>
    </xf>
    <xf numFmtId="173" fontId="61" fillId="0" borderId="21" xfId="151" applyNumberFormat="1" applyFont="1" applyBorder="1" applyAlignment="1">
      <alignment horizontal="center" vertical="center"/>
    </xf>
    <xf numFmtId="173" fontId="0" fillId="0" borderId="37" xfId="0" applyNumberFormat="1" applyBorder="1" applyAlignment="1">
      <alignment horizontal="center" vertical="center"/>
    </xf>
    <xf numFmtId="173" fontId="131" fillId="88" borderId="0" xfId="242" applyNumberFormat="1" applyFont="1" applyFill="1" applyAlignment="1">
      <alignment horizontal="center" vertical="center"/>
    </xf>
    <xf numFmtId="173" fontId="106" fillId="0" borderId="15" xfId="125" applyNumberFormat="1" applyFont="1" applyBorder="1" applyAlignment="1">
      <alignment horizontal="center" vertical="center"/>
    </xf>
    <xf numFmtId="173" fontId="67" fillId="0" borderId="26" xfId="129" applyNumberFormat="1" applyFont="1" applyBorder="1" applyAlignment="1">
      <alignment horizontal="center" vertical="center" shrinkToFit="1"/>
    </xf>
    <xf numFmtId="173" fontId="132" fillId="0" borderId="32" xfId="151" applyNumberFormat="1" applyFont="1" applyBorder="1" applyAlignment="1">
      <alignment horizontal="center" vertical="center"/>
    </xf>
    <xf numFmtId="173" fontId="132" fillId="0" borderId="18" xfId="151" applyNumberFormat="1" applyFont="1" applyBorder="1" applyAlignment="1">
      <alignment horizontal="center" vertical="center"/>
    </xf>
    <xf numFmtId="173" fontId="132" fillId="0" borderId="33" xfId="151" applyNumberFormat="1" applyFont="1" applyBorder="1" applyAlignment="1">
      <alignment horizontal="center" vertical="center"/>
    </xf>
    <xf numFmtId="173" fontId="129" fillId="0" borderId="0" xfId="252" applyNumberFormat="1" applyFont="1" applyAlignment="1" applyProtection="1">
      <alignment horizontal="center" vertical="center" shrinkToFit="1"/>
    </xf>
    <xf numFmtId="173" fontId="135" fillId="35" borderId="42" xfId="151" applyNumberFormat="1" applyFont="1" applyFill="1" applyBorder="1" applyAlignment="1">
      <alignment horizontal="center" vertical="center" wrapText="1"/>
    </xf>
    <xf numFmtId="173" fontId="90" fillId="0" borderId="1" xfId="0" applyNumberFormat="1" applyFont="1" applyBorder="1" applyAlignment="1">
      <alignment horizontal="center" vertical="center"/>
    </xf>
    <xf numFmtId="173" fontId="136" fillId="0" borderId="27" xfId="151" applyNumberFormat="1" applyFont="1" applyBorder="1" applyAlignment="1">
      <alignment horizontal="center" vertical="center"/>
    </xf>
    <xf numFmtId="173" fontId="136" fillId="0" borderId="28" xfId="151" applyNumberFormat="1" applyFont="1" applyBorder="1" applyAlignment="1">
      <alignment horizontal="center" vertical="center"/>
    </xf>
    <xf numFmtId="173" fontId="136" fillId="0" borderId="20" xfId="151" applyNumberFormat="1" applyFont="1" applyBorder="1" applyAlignment="1">
      <alignment horizontal="center" vertical="center"/>
    </xf>
    <xf numFmtId="173" fontId="9" fillId="0" borderId="0" xfId="151" applyNumberFormat="1" applyFont="1" applyAlignment="1">
      <alignment vertical="center"/>
    </xf>
    <xf numFmtId="173" fontId="30" fillId="128" borderId="0" xfId="151" applyNumberFormat="1" applyFont="1" applyFill="1" applyAlignment="1">
      <alignment horizontal="center" vertical="center" shrinkToFit="1"/>
    </xf>
    <xf numFmtId="173" fontId="9" fillId="0" borderId="0" xfId="151" applyNumberFormat="1" applyFont="1" applyAlignment="1">
      <alignment horizontal="center" vertical="center"/>
    </xf>
    <xf numFmtId="173" fontId="136" fillId="0" borderId="21" xfId="151" applyNumberFormat="1" applyFont="1" applyBorder="1" applyAlignment="1">
      <alignment horizontal="center" vertical="center"/>
    </xf>
    <xf numFmtId="173" fontId="136" fillId="0" borderId="0" xfId="151" applyNumberFormat="1" applyFont="1" applyAlignment="1">
      <alignment horizontal="center" vertical="center"/>
    </xf>
    <xf numFmtId="173" fontId="136" fillId="0" borderId="23" xfId="151" applyNumberFormat="1" applyFont="1" applyBorder="1" applyAlignment="1">
      <alignment horizontal="center" vertical="center"/>
    </xf>
    <xf numFmtId="173" fontId="135" fillId="35" borderId="43" xfId="151" applyNumberFormat="1" applyFont="1" applyFill="1" applyBorder="1" applyAlignment="1">
      <alignment horizontal="center" vertical="center" wrapText="1"/>
    </xf>
    <xf numFmtId="173" fontId="76" fillId="35" borderId="0" xfId="248" applyNumberFormat="1" applyFont="1" applyFill="1" applyAlignment="1" applyProtection="1">
      <alignment horizontal="center" vertical="center" shrinkToFit="1"/>
    </xf>
    <xf numFmtId="173" fontId="101" fillId="129" borderId="0" xfId="151" applyNumberFormat="1" applyFont="1" applyFill="1" applyAlignment="1">
      <alignment horizontal="center" vertical="center"/>
    </xf>
    <xf numFmtId="173" fontId="81" fillId="0" borderId="0" xfId="248" applyNumberFormat="1" applyFont="1" applyAlignment="1" applyProtection="1">
      <alignment horizontal="center" vertical="center" shrinkToFit="1"/>
    </xf>
    <xf numFmtId="173" fontId="62" fillId="128" borderId="0" xfId="151" applyNumberFormat="1" applyFont="1" applyFill="1" applyAlignment="1">
      <alignment horizontal="center" vertical="center" shrinkToFit="1"/>
    </xf>
    <xf numFmtId="173" fontId="100" fillId="129" borderId="0" xfId="151" applyNumberFormat="1" applyFont="1" applyFill="1" applyAlignment="1">
      <alignment horizontal="center" vertical="center"/>
    </xf>
    <xf numFmtId="173" fontId="137" fillId="130" borderId="0" xfId="253" applyNumberFormat="1" applyFont="1" applyFill="1" applyAlignment="1">
      <alignment horizontal="center" vertical="center"/>
    </xf>
    <xf numFmtId="173" fontId="136" fillId="0" borderId="32" xfId="151" applyNumberFormat="1" applyFont="1" applyBorder="1" applyAlignment="1">
      <alignment horizontal="center" vertical="center"/>
    </xf>
    <xf numFmtId="173" fontId="136" fillId="0" borderId="18" xfId="151" applyNumberFormat="1" applyFont="1" applyBorder="1" applyAlignment="1">
      <alignment horizontal="center" vertical="center"/>
    </xf>
    <xf numFmtId="173" fontId="136" fillId="0" borderId="33" xfId="151" applyNumberFormat="1" applyFont="1" applyBorder="1" applyAlignment="1">
      <alignment horizontal="center" vertical="center"/>
    </xf>
    <xf numFmtId="173" fontId="133" fillId="130" borderId="0" xfId="253" applyNumberFormat="1" applyFont="1" applyFill="1" applyAlignment="1">
      <alignment horizontal="center" vertical="center"/>
    </xf>
    <xf numFmtId="173" fontId="49" fillId="59" borderId="16" xfId="129" applyNumberFormat="1" applyFont="1" applyFill="1" applyBorder="1" applyAlignment="1">
      <alignment horizontal="center" vertical="center" shrinkToFit="1"/>
    </xf>
    <xf numFmtId="173" fontId="21" fillId="0" borderId="27" xfId="151" applyNumberFormat="1" applyFont="1" applyBorder="1" applyAlignment="1">
      <alignment horizontal="center" vertical="center"/>
    </xf>
    <xf numFmtId="173" fontId="138" fillId="115" borderId="0" xfId="242" applyNumberFormat="1" applyFont="1" applyFill="1" applyAlignment="1">
      <alignment horizontal="center" vertical="center"/>
    </xf>
    <xf numFmtId="173" fontId="138" fillId="115" borderId="21" xfId="242" applyNumberFormat="1" applyFont="1" applyFill="1" applyBorder="1" applyAlignment="1">
      <alignment horizontal="center" vertical="center"/>
    </xf>
    <xf numFmtId="173" fontId="138" fillId="0" borderId="0" xfId="242" applyNumberFormat="1" applyFont="1" applyAlignment="1">
      <alignment horizontal="center" vertical="center"/>
    </xf>
    <xf numFmtId="173" fontId="54" fillId="0" borderId="0" xfId="249" applyNumberFormat="1" applyFont="1" applyAlignment="1">
      <alignment horizontal="center" vertical="center"/>
    </xf>
    <xf numFmtId="173" fontId="54" fillId="0" borderId="0" xfId="249" applyNumberFormat="1" applyFont="1" applyAlignment="1">
      <alignment horizontal="right" vertical="center"/>
    </xf>
    <xf numFmtId="173" fontId="129" fillId="0" borderId="0" xfId="249" applyNumberFormat="1" applyFont="1" applyAlignment="1">
      <alignment horizontal="center" vertical="center" shrinkToFit="1"/>
    </xf>
    <xf numFmtId="173" fontId="54" fillId="0" borderId="0" xfId="249" applyNumberFormat="1" applyFont="1" applyAlignment="1">
      <alignment horizontal="left" vertical="center"/>
    </xf>
    <xf numFmtId="173" fontId="131" fillId="97" borderId="23" xfId="242" applyNumberFormat="1" applyFont="1" applyFill="1" applyBorder="1" applyAlignment="1">
      <alignment horizontal="center" vertical="center"/>
    </xf>
    <xf numFmtId="173" fontId="93" fillId="0" borderId="48" xfId="125" applyNumberFormat="1" applyFont="1" applyBorder="1" applyAlignment="1">
      <alignment horizontal="center" vertical="center"/>
    </xf>
    <xf numFmtId="173" fontId="76" fillId="35" borderId="0" xfId="248" applyNumberFormat="1" applyFont="1" applyFill="1" applyAlignment="1" applyProtection="1">
      <alignment horizontal="center" vertical="center" wrapText="1" shrinkToFit="1"/>
    </xf>
    <xf numFmtId="173" fontId="21" fillId="0" borderId="0" xfId="249" applyNumberFormat="1" applyFont="1" applyAlignment="1">
      <alignment horizontal="center" vertical="center"/>
    </xf>
    <xf numFmtId="173" fontId="131" fillId="0" borderId="0" xfId="242" applyNumberFormat="1" applyFont="1" applyAlignment="1">
      <alignment horizontal="center" vertical="center"/>
    </xf>
    <xf numFmtId="173" fontId="135" fillId="35" borderId="3" xfId="151" applyNumberFormat="1" applyFont="1" applyFill="1" applyBorder="1" applyAlignment="1">
      <alignment horizontal="center" vertical="center" wrapText="1"/>
    </xf>
    <xf numFmtId="173" fontId="2" fillId="0" borderId="49" xfId="242" applyNumberFormat="1" applyBorder="1" applyAlignment="1">
      <alignment horizontal="center" vertical="center"/>
    </xf>
    <xf numFmtId="173" fontId="10" fillId="0" borderId="23" xfId="151" applyNumberFormat="1" applyBorder="1" applyAlignment="1">
      <alignment vertical="center"/>
    </xf>
    <xf numFmtId="173" fontId="93" fillId="88" borderId="18" xfId="125" applyNumberFormat="1" applyFont="1" applyFill="1" applyBorder="1" applyAlignment="1">
      <alignment horizontal="center" vertical="center"/>
    </xf>
    <xf numFmtId="173" fontId="10" fillId="0" borderId="18" xfId="151" applyNumberFormat="1" applyBorder="1" applyAlignment="1">
      <alignment horizontal="center" vertical="center"/>
    </xf>
    <xf numFmtId="173" fontId="93" fillId="88" borderId="50" xfId="151" applyNumberFormat="1" applyFont="1" applyFill="1" applyBorder="1" applyAlignment="1" applyProtection="1">
      <alignment horizontal="center" vertical="center"/>
      <protection locked="0"/>
    </xf>
    <xf numFmtId="173" fontId="93" fillId="88" borderId="33" xfId="125" applyNumberFormat="1" applyFont="1" applyFill="1" applyBorder="1" applyAlignment="1">
      <alignment horizontal="center" vertical="center"/>
    </xf>
    <xf numFmtId="173" fontId="34" fillId="34" borderId="26" xfId="129" applyNumberFormat="1" applyFont="1" applyFill="1" applyBorder="1" applyAlignment="1">
      <alignment horizontal="center" vertical="center" shrinkToFit="1"/>
    </xf>
    <xf numFmtId="173" fontId="98" fillId="123" borderId="0" xfId="244" applyNumberFormat="1" applyFont="1" applyFill="1" applyAlignment="1">
      <alignment horizontal="center" vertical="center" shrinkToFit="1"/>
    </xf>
    <xf numFmtId="173" fontId="139" fillId="97" borderId="27" xfId="151" applyNumberFormat="1" applyFont="1" applyFill="1" applyBorder="1" applyAlignment="1">
      <alignment horizontal="center" vertical="center"/>
    </xf>
    <xf numFmtId="173" fontId="139" fillId="97" borderId="28" xfId="151" applyNumberFormat="1" applyFont="1" applyFill="1" applyBorder="1" applyAlignment="1">
      <alignment horizontal="center" vertical="center"/>
    </xf>
    <xf numFmtId="173" fontId="139" fillId="97" borderId="20" xfId="151" applyNumberFormat="1" applyFont="1" applyFill="1" applyBorder="1" applyAlignment="1">
      <alignment horizontal="center" vertical="center"/>
    </xf>
    <xf numFmtId="173" fontId="140" fillId="0" borderId="27" xfId="151" applyNumberFormat="1" applyFont="1" applyBorder="1" applyAlignment="1">
      <alignment horizontal="center" vertical="center" wrapText="1"/>
    </xf>
    <xf numFmtId="173" fontId="140" fillId="0" borderId="20" xfId="151" applyNumberFormat="1" applyFont="1" applyBorder="1" applyAlignment="1">
      <alignment horizontal="center" vertical="center" wrapText="1"/>
    </xf>
    <xf numFmtId="173" fontId="9" fillId="97" borderId="0" xfId="151" applyNumberFormat="1" applyFont="1" applyFill="1" applyAlignment="1">
      <alignment horizontal="center" vertical="center"/>
    </xf>
    <xf numFmtId="173" fontId="141" fillId="35" borderId="27" xfId="242" applyNumberFormat="1" applyFont="1" applyFill="1" applyBorder="1" applyAlignment="1">
      <alignment horizontal="center" vertical="center"/>
    </xf>
    <xf numFmtId="173" fontId="141" fillId="35" borderId="28" xfId="242" applyNumberFormat="1" applyFont="1" applyFill="1" applyBorder="1" applyAlignment="1">
      <alignment horizontal="center" vertical="center"/>
    </xf>
    <xf numFmtId="173" fontId="141" fillId="35" borderId="20" xfId="242" applyNumberFormat="1" applyFont="1" applyFill="1" applyBorder="1" applyAlignment="1">
      <alignment horizontal="center" vertical="center"/>
    </xf>
    <xf numFmtId="173" fontId="132" fillId="0" borderId="0" xfId="151" applyNumberFormat="1" applyFont="1" applyAlignment="1">
      <alignment vertical="center"/>
    </xf>
    <xf numFmtId="173" fontId="10" fillId="0" borderId="21" xfId="151" applyNumberFormat="1" applyBorder="1" applyAlignment="1">
      <alignment horizontal="center" vertical="center"/>
    </xf>
    <xf numFmtId="173" fontId="139" fillId="97" borderId="21" xfId="151" applyNumberFormat="1" applyFont="1" applyFill="1" applyBorder="1" applyAlignment="1">
      <alignment horizontal="center" vertical="center"/>
    </xf>
    <xf numFmtId="173" fontId="139" fillId="97" borderId="0" xfId="151" applyNumberFormat="1" applyFont="1" applyFill="1" applyAlignment="1">
      <alignment horizontal="center" vertical="center"/>
    </xf>
    <xf numFmtId="173" fontId="139" fillId="97" borderId="23" xfId="151" applyNumberFormat="1" applyFont="1" applyFill="1" applyBorder="1" applyAlignment="1">
      <alignment horizontal="center" vertical="center"/>
    </xf>
    <xf numFmtId="173" fontId="140" fillId="0" borderId="21" xfId="151" applyNumberFormat="1" applyFont="1" applyBorder="1" applyAlignment="1">
      <alignment horizontal="center" vertical="center" wrapText="1"/>
    </xf>
    <xf numFmtId="173" fontId="140" fillId="0" borderId="23" xfId="151" applyNumberFormat="1" applyFont="1" applyBorder="1" applyAlignment="1">
      <alignment horizontal="center" vertical="center" wrapText="1"/>
    </xf>
    <xf numFmtId="173" fontId="9" fillId="97" borderId="0" xfId="151" applyNumberFormat="1" applyFont="1" applyFill="1" applyAlignment="1" applyProtection="1">
      <alignment horizontal="center" vertical="center"/>
      <protection locked="0"/>
    </xf>
    <xf numFmtId="173" fontId="141" fillId="35" borderId="21" xfId="242" applyNumberFormat="1" applyFont="1" applyFill="1" applyBorder="1" applyAlignment="1">
      <alignment horizontal="center" vertical="center"/>
    </xf>
    <xf numFmtId="173" fontId="141" fillId="35" borderId="0" xfId="242" applyNumberFormat="1" applyFont="1" applyFill="1" applyAlignment="1">
      <alignment horizontal="center" vertical="center"/>
    </xf>
    <xf numFmtId="173" fontId="141" fillId="35" borderId="23" xfId="242" applyNumberFormat="1" applyFont="1" applyFill="1" applyBorder="1" applyAlignment="1">
      <alignment horizontal="center" vertical="center"/>
    </xf>
    <xf numFmtId="173" fontId="120" fillId="97" borderId="21" xfId="151" applyNumberFormat="1" applyFont="1" applyFill="1" applyBorder="1" applyAlignment="1">
      <alignment horizontal="center" vertical="center"/>
    </xf>
    <xf numFmtId="173" fontId="120" fillId="97" borderId="0" xfId="151" applyNumberFormat="1" applyFont="1" applyFill="1" applyAlignment="1">
      <alignment horizontal="center" vertical="center"/>
    </xf>
    <xf numFmtId="173" fontId="120" fillId="0" borderId="18" xfId="151" applyNumberFormat="1" applyFont="1" applyBorder="1" applyAlignment="1">
      <alignment horizontal="center" vertical="center"/>
    </xf>
    <xf numFmtId="173" fontId="120" fillId="97" borderId="32" xfId="151" applyNumberFormat="1" applyFont="1" applyFill="1" applyBorder="1" applyAlignment="1">
      <alignment horizontal="center" vertical="center"/>
    </xf>
    <xf numFmtId="173" fontId="120" fillId="97" borderId="18" xfId="151" applyNumberFormat="1" applyFont="1" applyFill="1" applyBorder="1" applyAlignment="1">
      <alignment horizontal="center" vertical="center"/>
    </xf>
    <xf numFmtId="173" fontId="139" fillId="97" borderId="32" xfId="151" applyNumberFormat="1" applyFont="1" applyFill="1" applyBorder="1" applyAlignment="1">
      <alignment horizontal="center" vertical="center"/>
    </xf>
    <xf numFmtId="173" fontId="139" fillId="97" borderId="18" xfId="151" applyNumberFormat="1" applyFont="1" applyFill="1" applyBorder="1" applyAlignment="1">
      <alignment horizontal="center" vertical="center"/>
    </xf>
    <xf numFmtId="173" fontId="139" fillId="97" borderId="33" xfId="151" applyNumberFormat="1" applyFont="1" applyFill="1" applyBorder="1" applyAlignment="1">
      <alignment horizontal="center" vertical="center"/>
    </xf>
    <xf numFmtId="173" fontId="140" fillId="0" borderId="32" xfId="151" applyNumberFormat="1" applyFont="1" applyBorder="1" applyAlignment="1">
      <alignment horizontal="center" vertical="center" wrapText="1"/>
    </xf>
    <xf numFmtId="173" fontId="140" fillId="0" borderId="33" xfId="151" applyNumberFormat="1" applyFont="1" applyBorder="1" applyAlignment="1">
      <alignment horizontal="center" vertical="center" wrapText="1"/>
    </xf>
    <xf numFmtId="173" fontId="9" fillId="97" borderId="18" xfId="151" applyNumberFormat="1" applyFont="1" applyFill="1" applyBorder="1" applyAlignment="1">
      <alignment horizontal="center" vertical="center"/>
    </xf>
    <xf numFmtId="173" fontId="141" fillId="35" borderId="32" xfId="242" applyNumberFormat="1" applyFont="1" applyFill="1" applyBorder="1" applyAlignment="1">
      <alignment horizontal="center" vertical="center"/>
    </xf>
    <xf numFmtId="173" fontId="141" fillId="35" borderId="18" xfId="242" applyNumberFormat="1" applyFont="1" applyFill="1" applyBorder="1" applyAlignment="1">
      <alignment horizontal="center" vertical="center"/>
    </xf>
    <xf numFmtId="173" fontId="141" fillId="35" borderId="33" xfId="242" applyNumberFormat="1" applyFont="1" applyFill="1" applyBorder="1" applyAlignment="1">
      <alignment horizontal="center" vertical="center"/>
    </xf>
    <xf numFmtId="173" fontId="142" fillId="0" borderId="0" xfId="248" applyNumberFormat="1" applyFont="1" applyAlignment="1" applyProtection="1">
      <alignment vertical="center" wrapText="1" shrinkToFit="1"/>
    </xf>
    <xf numFmtId="173" fontId="143" fillId="97" borderId="21" xfId="250" applyNumberFormat="1" applyFont="1" applyFill="1" applyBorder="1" applyAlignment="1">
      <alignment horizontal="center" vertical="center"/>
    </xf>
    <xf numFmtId="173" fontId="4" fillId="0" borderId="28" xfId="250" applyNumberFormat="1" applyBorder="1" applyAlignment="1">
      <alignment horizontal="center" vertical="center"/>
    </xf>
    <xf numFmtId="173" fontId="29" fillId="0" borderId="0" xfId="151" applyNumberFormat="1" applyFont="1" applyAlignment="1" applyProtection="1">
      <alignment horizontal="center" vertical="center"/>
      <protection locked="0"/>
    </xf>
    <xf numFmtId="173" fontId="10" fillId="0" borderId="0" xfId="151" applyNumberFormat="1" applyAlignment="1" applyProtection="1">
      <alignment horizontal="center" vertical="center"/>
      <protection locked="0"/>
    </xf>
    <xf numFmtId="173" fontId="144" fillId="0" borderId="29" xfId="0" applyNumberFormat="1" applyFont="1" applyBorder="1" applyAlignment="1">
      <alignment horizontal="center" vertical="center"/>
    </xf>
    <xf numFmtId="173" fontId="54" fillId="0" borderId="0" xfId="151" applyNumberFormat="1" applyFont="1" applyAlignment="1" applyProtection="1">
      <alignment horizontal="center" vertical="center"/>
      <protection locked="0"/>
    </xf>
    <xf numFmtId="173" fontId="93" fillId="0" borderId="1" xfId="0" applyNumberFormat="1" applyFont="1" applyBorder="1" applyAlignment="1" applyProtection="1">
      <alignment horizontal="center" vertical="center"/>
      <protection locked="0"/>
    </xf>
  </cellXfs>
  <cellStyles count="257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2 2 2 2 2" xfId="255" xr:uid="{21909D43-4523-45F8-AFB0-283BF3E0805D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 2" xfId="253" xr:uid="{E230C6CE-BE70-4CAC-AF84-EEA72D8CFE52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5 2" xfId="249" xr:uid="{44D13DD0-8807-4943-9C5C-F73D5299516A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0" xfId="114" xr:uid="{00000000-0005-0000-0000-000076000000}"/>
    <cellStyle name="Normal 2 100 2" xfId="115" xr:uid="{00000000-0005-0000-0000-000077000000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2 4 2" xfId="247" xr:uid="{6D8F8189-56AD-4884-BEC1-A92116061986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3" xfId="126" xr:uid="{00000000-0005-0000-0000-000082000000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2 2 2 2" xfId="244" xr:uid="{A345E40A-EEF2-4251-9BD7-1D0062422903}"/>
    <cellStyle name="Normal 2 3 2 2 2 2 2 2" xfId="246" xr:uid="{D10173BA-4E7C-4C9D-B194-AB2CE437C90C}"/>
    <cellStyle name="Normal 2 3 2 2 2 2 2 2 2" xfId="252" xr:uid="{E574AF03-6C99-46DC-90AC-CE53984B27C2}"/>
    <cellStyle name="Normal 2 3 2 3" xfId="132" xr:uid="{00000000-0005-0000-0000-000089000000}"/>
    <cellStyle name="Normal 2 3 2 3 2" xfId="248" xr:uid="{50853DBD-7CBB-4CCA-98B2-D28FD1DD02DD}"/>
    <cellStyle name="Normal 2 3 3" xfId="133" xr:uid="{00000000-0005-0000-0000-00008A000000}"/>
    <cellStyle name="Normal 2 3 3 2 3 2 2" xfId="251" xr:uid="{EE4F25FC-4900-4B10-AA99-578865E93967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10 2 2" xfId="245" xr:uid="{FD4A0DFA-4D75-4B2D-99BD-F50F90C0AF66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4 2 4 2" xfId="250" xr:uid="{715752B9-E10D-4553-8F08-59078D28F6F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2 2" xfId="243" xr:uid="{76D96F73-6EEE-4A7D-8A89-FEB4138FBE26}"/>
    <cellStyle name="Normal 5 2 2 2" xfId="242" xr:uid="{E797ED71-BEDD-4126-913E-C20EF6C972EA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 2" xfId="254" xr:uid="{D049D42F-5FA4-46A7-9918-8AB19F7193F3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2 2" xfId="256" xr:uid="{1704D871-0C46-4607-BD05-56FFCEBC499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" name="Rectángulo 8">
          <a:extLst>
            <a:ext uri="{FF2B5EF4-FFF2-40B4-BE49-F238E27FC236}">
              <a16:creationId xmlns:a16="http://schemas.microsoft.com/office/drawing/2014/main" id="{6DB3236F-4BF0-48E8-8541-C5F84141623C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A573FD07-509A-476C-BFD5-6DBE7B0365B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6ECAE5FB-4F0F-4A21-BAE9-E35BD425691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A6F8865-A694-44BA-9C1A-31A27BE3449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" name="Rectángulo 8">
          <a:extLst>
            <a:ext uri="{FF2B5EF4-FFF2-40B4-BE49-F238E27FC236}">
              <a16:creationId xmlns:a16="http://schemas.microsoft.com/office/drawing/2014/main" id="{831B8CF7-34EE-4D48-BC01-59DBA03E2575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8F44995-4030-4D4C-B1ED-C104548B623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2FD232C9-2DE4-4A3D-8CC4-FBAA3A16656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56279255-C270-49BE-A2CF-1A2C857FA8CA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26D116CE-5E08-4DE1-97D3-CD886C622BC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E94B4183-2A18-4AE0-8C73-21382E113C8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508F4CE2-663B-4D7B-A74E-07622C4509AF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99E327A-B67D-49C0-8FDF-5EE31AF79EC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B0A01494-A092-4859-8968-995F2DBB2157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E7302E07-AD72-4A0F-9870-C3F48A972829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DE872221-2E38-477D-813E-9EA38AE5170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4673B9E-06E5-4136-8F58-E16EC60903D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FE03D6E-632E-43CF-8BDA-4C94121CDCF7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E84B48F8-D46F-43F5-8276-4424868E3A0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0" name="Rectángulo 8">
          <a:extLst>
            <a:ext uri="{FF2B5EF4-FFF2-40B4-BE49-F238E27FC236}">
              <a16:creationId xmlns:a16="http://schemas.microsoft.com/office/drawing/2014/main" id="{A1E60298-913A-4503-9DCA-2EE474FA25A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1" name="Rectángulo 8">
          <a:extLst>
            <a:ext uri="{FF2B5EF4-FFF2-40B4-BE49-F238E27FC236}">
              <a16:creationId xmlns:a16="http://schemas.microsoft.com/office/drawing/2014/main" id="{FAEC8396-CEE9-475B-8169-75013BB3E40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2" name="rect">
          <a:extLst>
            <a:ext uri="{FF2B5EF4-FFF2-40B4-BE49-F238E27FC236}">
              <a16:creationId xmlns:a16="http://schemas.microsoft.com/office/drawing/2014/main" id="{BD53E055-FD91-4424-939E-8CC78728B33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90FF9FBA-C161-49DA-A260-9F64F8C1FB1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D4AB06D-855C-4A20-A5DA-9BAF956348E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90F695E0-5B99-4B1C-BCAF-CF988F8AF49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6" name="Rectángulo 8">
          <a:extLst>
            <a:ext uri="{FF2B5EF4-FFF2-40B4-BE49-F238E27FC236}">
              <a16:creationId xmlns:a16="http://schemas.microsoft.com/office/drawing/2014/main" id="{B8D5CFDB-806C-4B83-872B-86908BF3501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7D8ABCD0-0BE5-4A01-8C45-416B7F1E848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5CF96FF2-EA24-4BB9-B33C-7D74446E687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83CBC442-85AD-4E52-9B1E-ABC11CC48D3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200277A7-CF78-461F-B06A-567CEF484DD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1" name="Rectángulo 8">
          <a:extLst>
            <a:ext uri="{FF2B5EF4-FFF2-40B4-BE49-F238E27FC236}">
              <a16:creationId xmlns:a16="http://schemas.microsoft.com/office/drawing/2014/main" id="{C48A2727-4FDB-476A-A48A-BF84C580076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68733C94-445C-4CE6-9796-6EBB549CE89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11458AA3-CEEF-4011-800E-6356C285011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CF2FBA8D-522C-4191-B58E-1A66D339933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5B33047D-8EA5-4759-8B93-0ABB443A7C4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6" name="Rectángulo 8">
          <a:extLst>
            <a:ext uri="{FF2B5EF4-FFF2-40B4-BE49-F238E27FC236}">
              <a16:creationId xmlns:a16="http://schemas.microsoft.com/office/drawing/2014/main" id="{617A51AC-05D9-4D7E-B937-24E1398BB22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1CED7310-152F-4F05-8314-BCCD7801F884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C36D59EF-CE8D-4F09-85AE-E40118C472E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4EEEF320-97E9-4B71-B17F-E618D552F9CF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6AC34B79-F6FB-4049-AB16-60FC66ED8D1A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B63AD6A7-0FFA-49F9-AD39-6F5B75652A37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42" name="9 Imagen" descr=" ">
          <a:extLst>
            <a:ext uri="{FF2B5EF4-FFF2-40B4-BE49-F238E27FC236}">
              <a16:creationId xmlns:a16="http://schemas.microsoft.com/office/drawing/2014/main" id="{78F79A0C-A204-4E46-95C8-0F9C6F1032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ABE1DD65-D386-49B1-A127-7611AE08C9E6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31</xdr:col>
      <xdr:colOff>498322</xdr:colOff>
      <xdr:row>27</xdr:row>
      <xdr:rowOff>44596</xdr:rowOff>
    </xdr:from>
    <xdr:to>
      <xdr:col>32</xdr:col>
      <xdr:colOff>97414</xdr:colOff>
      <xdr:row>29</xdr:row>
      <xdr:rowOff>158895</xdr:rowOff>
    </xdr:to>
    <xdr:pic>
      <xdr:nvPicPr>
        <xdr:cNvPr id="44" name="Imagen 43" descr=" ">
          <a:extLst>
            <a:ext uri="{FF2B5EF4-FFF2-40B4-BE49-F238E27FC236}">
              <a16:creationId xmlns:a16="http://schemas.microsoft.com/office/drawing/2014/main" id="{F1C1F5A0-9E81-4E0E-9CC5-2D5DA9682F3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35045497" y="6473971"/>
          <a:ext cx="713517" cy="5905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29</xdr:col>
      <xdr:colOff>985837</xdr:colOff>
      <xdr:row>23</xdr:row>
      <xdr:rowOff>57150</xdr:rowOff>
    </xdr:from>
    <xdr:to>
      <xdr:col>33</xdr:col>
      <xdr:colOff>985837</xdr:colOff>
      <xdr:row>25</xdr:row>
      <xdr:rowOff>123825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5CF8B1F4-53CD-46EA-A19E-563E8D9AF8B4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33304162" y="5534025"/>
          <a:ext cx="4457700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F0FA9BA0-645E-4C43-96D2-C54E070647F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F569BAD4-4A32-4D8B-A50E-74116295287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B6BF4230-3FC8-4FFE-8FC9-987359644EE0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B4AB1191-560C-4150-9098-E56D3F9F261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DED21ADE-E52F-4F2B-A3BE-6D395E72AC8E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998B7528-A80E-4FFC-9BD7-BABA6F7FD71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C9B57329-2945-417B-B7EB-936E0BD80CA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B4778F35-315E-4969-A666-9613B7EA098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FEA3E4EE-EAA2-44A2-9325-6D2F3E2FE13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2DEC6396-F304-4014-8B2E-C842B4480378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6" name="Rectángulo 8">
          <a:extLst>
            <a:ext uri="{FF2B5EF4-FFF2-40B4-BE49-F238E27FC236}">
              <a16:creationId xmlns:a16="http://schemas.microsoft.com/office/drawing/2014/main" id="{0A72F08E-5EF7-42F3-A470-E73B1B44785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5C362378-D4FA-4BAF-AEF9-FA48A6674D9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CF310A24-AB2A-4531-8823-7FAD0EC9670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C11C2BBF-240E-47B6-A45C-B1C9EF5D090E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8BB89EA5-5692-4BC5-9183-4C1BB88BE85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8F950AB7-8967-4FD7-914F-6D66EE60266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AB4BB4A4-4946-4848-A5C6-1C46AFF0FED7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05BDF053-BB26-46C2-82B2-057216E4DF54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B0A41F62-C2DE-4000-ABB3-32DEA36CB44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42C2A4B3-8AFB-4F18-BFBA-28182D2CE8C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27279042-7602-4875-B61D-557E214C560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645891AF-A121-4AEC-9C6B-C189AE2E217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F3AB93C6-A718-4D7E-AF38-BC4AEAFB03A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0C23967E-5B9F-4584-9125-39707617ACE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0" name="rect">
          <a:extLst>
            <a:ext uri="{FF2B5EF4-FFF2-40B4-BE49-F238E27FC236}">
              <a16:creationId xmlns:a16="http://schemas.microsoft.com/office/drawing/2014/main" id="{6D2ED1A9-CADB-4DC7-B26B-84C5A3B94E1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E779F2E6-7D4F-4E1C-A5E4-ADD4546A0FE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4F745E8C-1E47-4E4D-A293-6A243F9B1B4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54A90B3E-D93A-4A54-9558-D2B087A4B89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D991E3D6-A2AB-415E-A957-02C588D9C4B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5" name="rect">
          <a:extLst>
            <a:ext uri="{FF2B5EF4-FFF2-40B4-BE49-F238E27FC236}">
              <a16:creationId xmlns:a16="http://schemas.microsoft.com/office/drawing/2014/main" id="{6B9D0584-9178-4C69-9865-B567FE259F5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F14C310F-BF15-4E97-A0F6-132DA3A1D6E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EB742047-1340-4393-93CF-EF2C4B3BF69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4A2CA0FF-84F9-44FB-AED8-2784ECFD66D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4761D2D7-326E-4FA3-93D0-12F6B661375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0" name="rect">
          <a:extLst>
            <a:ext uri="{FF2B5EF4-FFF2-40B4-BE49-F238E27FC236}">
              <a16:creationId xmlns:a16="http://schemas.microsoft.com/office/drawing/2014/main" id="{7710D03A-FB2E-452F-8E0B-52A19088AF0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3B11F1E2-252B-4E57-BF81-1A4179056A2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8E49FE3E-43B9-41BB-968B-F958E3B20DA0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66358989-4EAA-427C-A785-030A2520D060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4" name="Rectángulo 8">
          <a:extLst>
            <a:ext uri="{FF2B5EF4-FFF2-40B4-BE49-F238E27FC236}">
              <a16:creationId xmlns:a16="http://schemas.microsoft.com/office/drawing/2014/main" id="{8254226F-AEB1-4F85-846A-492989FDA32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5" name="rect">
          <a:extLst>
            <a:ext uri="{FF2B5EF4-FFF2-40B4-BE49-F238E27FC236}">
              <a16:creationId xmlns:a16="http://schemas.microsoft.com/office/drawing/2014/main" id="{46B81755-6DCB-4207-9C92-0B30B0C3FE6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6" name="rect">
          <a:extLst>
            <a:ext uri="{FF2B5EF4-FFF2-40B4-BE49-F238E27FC236}">
              <a16:creationId xmlns:a16="http://schemas.microsoft.com/office/drawing/2014/main" id="{E4B72C7C-DF93-4038-A57C-C8B9440E1B8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15086CDE-4175-459E-A291-C173785B429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90CA1C9C-38C5-4F01-81FA-83A5ACB80F1E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5B318205-9881-4C0C-A3B5-9E7D18FADB1E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90" name="9 Imagen" descr=" ">
          <a:extLst>
            <a:ext uri="{FF2B5EF4-FFF2-40B4-BE49-F238E27FC236}">
              <a16:creationId xmlns:a16="http://schemas.microsoft.com/office/drawing/2014/main" id="{C3E3A188-0D46-48D7-A1FA-A7CF110E92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91" name="rect">
          <a:extLst>
            <a:ext uri="{FF2B5EF4-FFF2-40B4-BE49-F238E27FC236}">
              <a16:creationId xmlns:a16="http://schemas.microsoft.com/office/drawing/2014/main" id="{943678C4-EEBE-41DD-B120-0BB29F9E6B81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D8AD89C0-A2FA-41F8-A04A-7B8C0158A55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41E040A3-1EE7-4CDE-A746-CC374C9F8339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10EA65C2-CF96-4F5E-B406-2755339E6B7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8A2A6AEC-60FF-45AC-AA52-8ED6734675F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37246848-F0AF-46E9-B44D-DEDC1ADF586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7" name="Rectángulo 8">
          <a:extLst>
            <a:ext uri="{FF2B5EF4-FFF2-40B4-BE49-F238E27FC236}">
              <a16:creationId xmlns:a16="http://schemas.microsoft.com/office/drawing/2014/main" id="{A100662A-53C9-4C4D-A365-5D8871F47FE5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E5AD08B0-BB70-4098-A120-DC7055089B1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9" name="Rectángulo 98">
          <a:extLst>
            <a:ext uri="{FF2B5EF4-FFF2-40B4-BE49-F238E27FC236}">
              <a16:creationId xmlns:a16="http://schemas.microsoft.com/office/drawing/2014/main" id="{C155AFE2-B69F-4905-9001-DDDF57D957D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1110C58D-5399-4EAF-9109-43E156A97E2A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819BF099-E1B8-4182-BAE1-23F4DE7CDA34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2" name="Rectángulo 8">
          <a:extLst>
            <a:ext uri="{FF2B5EF4-FFF2-40B4-BE49-F238E27FC236}">
              <a16:creationId xmlns:a16="http://schemas.microsoft.com/office/drawing/2014/main" id="{51C496D5-148D-4210-A078-E9BE2790C9C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A6622062-A327-41A9-B8A5-3C77A91925D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35F400BD-3751-4755-9E73-8B662F681FC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D8441565-E906-4304-A1C4-19951C527F48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B5736F2B-BB29-401D-897A-A7D9A391CAF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42C37192-2950-4189-ABC5-7151D975604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FECA6E36-8434-4553-85EE-02BB89BDED71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56D41D4B-973A-4198-A971-E3B6173F9857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0" name="Rectángulo 109">
          <a:extLst>
            <a:ext uri="{FF2B5EF4-FFF2-40B4-BE49-F238E27FC236}">
              <a16:creationId xmlns:a16="http://schemas.microsoft.com/office/drawing/2014/main" id="{446E3FB4-D02C-429C-836F-048F482B8EF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13465F81-C386-4D4C-AD36-D44827B77D4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5D5B5597-F5F0-4671-A73C-D9A7BADEEE4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68AC4347-EB16-4F6A-8FDF-B3B3332C7FD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4" name="Rectángulo 8">
          <a:extLst>
            <a:ext uri="{FF2B5EF4-FFF2-40B4-BE49-F238E27FC236}">
              <a16:creationId xmlns:a16="http://schemas.microsoft.com/office/drawing/2014/main" id="{088F2875-F2EA-4625-8853-25838CE0E5A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B0FCDBEC-4F04-4F60-8DB7-5D4ADE4245AE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6" name="rect">
          <a:extLst>
            <a:ext uri="{FF2B5EF4-FFF2-40B4-BE49-F238E27FC236}">
              <a16:creationId xmlns:a16="http://schemas.microsoft.com/office/drawing/2014/main" id="{DDD736DF-F7C4-4FCD-8F73-FE84D41E6A8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2E292DC9-9C42-4782-A142-D4FFFFB0809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AA52BC80-4767-4BE8-8687-E09776D28C2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6A053301-6D0A-4208-8C84-95AAFF12B7F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64F074BC-0E17-4722-86E3-BB5B65CD075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1" name="rect">
          <a:extLst>
            <a:ext uri="{FF2B5EF4-FFF2-40B4-BE49-F238E27FC236}">
              <a16:creationId xmlns:a16="http://schemas.microsoft.com/office/drawing/2014/main" id="{A789B129-5934-4A88-9429-62046FD53B4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3022EED0-7059-45AC-BCDA-621C0A54C78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6BD2021C-C493-4A4C-B12D-6BCD65F9620A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276473BE-31B0-4AFB-9469-A0BE94F50291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1615A4B0-98BC-40FB-8E09-9994CC200D0E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6" name="rect">
          <a:extLst>
            <a:ext uri="{FF2B5EF4-FFF2-40B4-BE49-F238E27FC236}">
              <a16:creationId xmlns:a16="http://schemas.microsoft.com/office/drawing/2014/main" id="{DC439EFD-F6DD-40CE-AC9D-1DAB65EC2B83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10144022-8380-467B-8554-1FAD89A3D60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8" name="Rectángulo 127">
          <a:extLst>
            <a:ext uri="{FF2B5EF4-FFF2-40B4-BE49-F238E27FC236}">
              <a16:creationId xmlns:a16="http://schemas.microsoft.com/office/drawing/2014/main" id="{E5C1ADEA-7011-4277-BF12-3C41DE5F491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2CCD7C83-4ABF-449A-815E-A86BA37A172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CCB300CF-2741-4486-9DA3-C492C2E021D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1" name="rect">
          <a:extLst>
            <a:ext uri="{FF2B5EF4-FFF2-40B4-BE49-F238E27FC236}">
              <a16:creationId xmlns:a16="http://schemas.microsoft.com/office/drawing/2014/main" id="{97C357E3-655F-4AE4-B7A2-E35A168C5B6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1843416F-5CFB-48CE-9D56-6608E7842E9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33" name="Rectángulo 132">
          <a:extLst>
            <a:ext uri="{FF2B5EF4-FFF2-40B4-BE49-F238E27FC236}">
              <a16:creationId xmlns:a16="http://schemas.microsoft.com/office/drawing/2014/main" id="{E4882C92-C06D-4480-AEB1-82168501835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4" name="Rectángulo 133">
          <a:extLst>
            <a:ext uri="{FF2B5EF4-FFF2-40B4-BE49-F238E27FC236}">
              <a16:creationId xmlns:a16="http://schemas.microsoft.com/office/drawing/2014/main" id="{56BECBFD-4BC9-46D8-9FD9-725A34E35DB2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5" name="Rectángulo 134">
          <a:extLst>
            <a:ext uri="{FF2B5EF4-FFF2-40B4-BE49-F238E27FC236}">
              <a16:creationId xmlns:a16="http://schemas.microsoft.com/office/drawing/2014/main" id="{47B32929-4A2F-49CB-A545-3CFEBACFAB6E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36" name="9 Imagen" descr=" ">
          <a:extLst>
            <a:ext uri="{FF2B5EF4-FFF2-40B4-BE49-F238E27FC236}">
              <a16:creationId xmlns:a16="http://schemas.microsoft.com/office/drawing/2014/main" id="{408ED44A-4441-4DBA-8E1D-91DFC2F8EC9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016FE558-82D9-4F7F-AC1D-0D936DE61A3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38" name="Imagen 137" descr=" ">
          <a:extLst>
            <a:ext uri="{FF2B5EF4-FFF2-40B4-BE49-F238E27FC236}">
              <a16:creationId xmlns:a16="http://schemas.microsoft.com/office/drawing/2014/main" id="{99174EC1-4C63-44AF-BA43-3294E0803F6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39" name="rect">
          <a:extLst>
            <a:ext uri="{FF2B5EF4-FFF2-40B4-BE49-F238E27FC236}">
              <a16:creationId xmlns:a16="http://schemas.microsoft.com/office/drawing/2014/main" id="{8FC0FD99-B2A5-485C-A32B-64BDCC1838E6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0" name="Rectángulo 139">
          <a:extLst>
            <a:ext uri="{FF2B5EF4-FFF2-40B4-BE49-F238E27FC236}">
              <a16:creationId xmlns:a16="http://schemas.microsoft.com/office/drawing/2014/main" id="{B09B0294-51FD-4119-953F-77823D59F1B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1" name="Rectángulo 140">
          <a:extLst>
            <a:ext uri="{FF2B5EF4-FFF2-40B4-BE49-F238E27FC236}">
              <a16:creationId xmlns:a16="http://schemas.microsoft.com/office/drawing/2014/main" id="{94748EDC-1BE0-47BC-9CFB-69750B8FA72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66C67237-1A8E-4F20-9D63-8ADCB3362CF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3" name="Rectángulo 142">
          <a:extLst>
            <a:ext uri="{FF2B5EF4-FFF2-40B4-BE49-F238E27FC236}">
              <a16:creationId xmlns:a16="http://schemas.microsoft.com/office/drawing/2014/main" id="{61117075-F106-4CD7-9A40-E4F65C162A3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4" name="Rectángulo 8">
          <a:extLst>
            <a:ext uri="{FF2B5EF4-FFF2-40B4-BE49-F238E27FC236}">
              <a16:creationId xmlns:a16="http://schemas.microsoft.com/office/drawing/2014/main" id="{5D289538-5F71-4146-979E-528CD499BAB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0C4F89DB-BFA5-400C-94D8-0E0208904F5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6" name="Rectángulo 145">
          <a:extLst>
            <a:ext uri="{FF2B5EF4-FFF2-40B4-BE49-F238E27FC236}">
              <a16:creationId xmlns:a16="http://schemas.microsoft.com/office/drawing/2014/main" id="{61A6030C-88ED-4708-886A-8F32DDEA49D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7" name="Rectángulo 146">
          <a:extLst>
            <a:ext uri="{FF2B5EF4-FFF2-40B4-BE49-F238E27FC236}">
              <a16:creationId xmlns:a16="http://schemas.microsoft.com/office/drawing/2014/main" id="{2F510F70-B019-4B32-897B-2F3ED4F565B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8" name="Rectángulo 8">
          <a:extLst>
            <a:ext uri="{FF2B5EF4-FFF2-40B4-BE49-F238E27FC236}">
              <a16:creationId xmlns:a16="http://schemas.microsoft.com/office/drawing/2014/main" id="{8B393892-9250-4434-9482-089985A31E48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9" name="Rectángulo 148">
          <a:extLst>
            <a:ext uri="{FF2B5EF4-FFF2-40B4-BE49-F238E27FC236}">
              <a16:creationId xmlns:a16="http://schemas.microsoft.com/office/drawing/2014/main" id="{DD5004E4-98DD-4300-A6B8-2A91CCD8AFD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0" name="Rectángulo 8">
          <a:extLst>
            <a:ext uri="{FF2B5EF4-FFF2-40B4-BE49-F238E27FC236}">
              <a16:creationId xmlns:a16="http://schemas.microsoft.com/office/drawing/2014/main" id="{342B227D-0373-470D-9862-7004B6E7D675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8AFC2C7A-03F5-497C-996A-55B2EF00544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2" name="Rectángulo 151">
          <a:extLst>
            <a:ext uri="{FF2B5EF4-FFF2-40B4-BE49-F238E27FC236}">
              <a16:creationId xmlns:a16="http://schemas.microsoft.com/office/drawing/2014/main" id="{45A04980-7368-4A7D-B89F-58D93A9F139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F9BA132D-CDD6-4AA7-9FC5-A75DBF9D1B1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4" name="Rectángulo 8">
          <a:extLst>
            <a:ext uri="{FF2B5EF4-FFF2-40B4-BE49-F238E27FC236}">
              <a16:creationId xmlns:a16="http://schemas.microsoft.com/office/drawing/2014/main" id="{2EAFE30A-CB3C-4EF1-ABBD-301FBCFD7BCE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5" name="Rectángulo 154">
          <a:extLst>
            <a:ext uri="{FF2B5EF4-FFF2-40B4-BE49-F238E27FC236}">
              <a16:creationId xmlns:a16="http://schemas.microsoft.com/office/drawing/2014/main" id="{EAA0B0FA-2084-48B4-82F9-06F5D7A6875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6" name="Rectángulo 155">
          <a:extLst>
            <a:ext uri="{FF2B5EF4-FFF2-40B4-BE49-F238E27FC236}">
              <a16:creationId xmlns:a16="http://schemas.microsoft.com/office/drawing/2014/main" id="{351DDA0A-6169-4A31-9223-655AF10B9B98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7" name="Rectángulo 156">
          <a:extLst>
            <a:ext uri="{FF2B5EF4-FFF2-40B4-BE49-F238E27FC236}">
              <a16:creationId xmlns:a16="http://schemas.microsoft.com/office/drawing/2014/main" id="{BA967FF4-F40D-4F5E-8119-E87BE1BD1F23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D27D59BB-91DE-43C6-BE5F-DDA65C7515C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223BF165-24C6-4D37-B74B-182226F61A5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0" name="Rectángulo 159">
          <a:extLst>
            <a:ext uri="{FF2B5EF4-FFF2-40B4-BE49-F238E27FC236}">
              <a16:creationId xmlns:a16="http://schemas.microsoft.com/office/drawing/2014/main" id="{6A4EBE6C-92CD-47AB-B108-2C0F98E99C2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2D361666-544E-4506-AE2A-18AEA138566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EEC4B46F-9B66-444F-A681-98D93BDFF6F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DB0F499D-F1C2-4362-87EE-0FDAAA29328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4" name="rect">
          <a:extLst>
            <a:ext uri="{FF2B5EF4-FFF2-40B4-BE49-F238E27FC236}">
              <a16:creationId xmlns:a16="http://schemas.microsoft.com/office/drawing/2014/main" id="{370CBE35-B24D-464C-A6F0-E394C0E3267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5" name="rect">
          <a:extLst>
            <a:ext uri="{FF2B5EF4-FFF2-40B4-BE49-F238E27FC236}">
              <a16:creationId xmlns:a16="http://schemas.microsoft.com/office/drawing/2014/main" id="{4A2BC586-E6E5-4E9B-AD2C-2C854DE7060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66" name="Rectángulo 165">
          <a:extLst>
            <a:ext uri="{FF2B5EF4-FFF2-40B4-BE49-F238E27FC236}">
              <a16:creationId xmlns:a16="http://schemas.microsoft.com/office/drawing/2014/main" id="{A6CC01DF-F1AA-4620-9D73-45DE06DE1874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4E4B2E20-99A7-4CB6-A26B-6BF460C037C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8" name="Rectángulo 8">
          <a:extLst>
            <a:ext uri="{FF2B5EF4-FFF2-40B4-BE49-F238E27FC236}">
              <a16:creationId xmlns:a16="http://schemas.microsoft.com/office/drawing/2014/main" id="{BE4AC8A4-06A3-450A-A8D3-6C3CC95D7207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9" name="rect">
          <a:extLst>
            <a:ext uri="{FF2B5EF4-FFF2-40B4-BE49-F238E27FC236}">
              <a16:creationId xmlns:a16="http://schemas.microsoft.com/office/drawing/2014/main" id="{31D53D91-4D9C-4326-B4EE-B99163C8CD3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0" name="rect">
          <a:extLst>
            <a:ext uri="{FF2B5EF4-FFF2-40B4-BE49-F238E27FC236}">
              <a16:creationId xmlns:a16="http://schemas.microsoft.com/office/drawing/2014/main" id="{167A9714-A2D4-46D2-B84E-C65CEB68F68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1" name="Rectángulo 170">
          <a:extLst>
            <a:ext uri="{FF2B5EF4-FFF2-40B4-BE49-F238E27FC236}">
              <a16:creationId xmlns:a16="http://schemas.microsoft.com/office/drawing/2014/main" id="{370250EA-7FAD-491D-B7F4-DB9FFA22563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292F9003-E550-461F-8E7C-21549875F79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3" name="Rectángulo 8">
          <a:extLst>
            <a:ext uri="{FF2B5EF4-FFF2-40B4-BE49-F238E27FC236}">
              <a16:creationId xmlns:a16="http://schemas.microsoft.com/office/drawing/2014/main" id="{E43D230D-8BD8-4834-A1AA-3373A83EF75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2D73513B-2B61-4D5E-B8B5-3E4A20E1878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5" name="rect">
          <a:extLst>
            <a:ext uri="{FF2B5EF4-FFF2-40B4-BE49-F238E27FC236}">
              <a16:creationId xmlns:a16="http://schemas.microsoft.com/office/drawing/2014/main" id="{0E9FAEB7-D4E4-4E9E-ADF2-A5995248E57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6" name="Rectángulo 175">
          <a:extLst>
            <a:ext uri="{FF2B5EF4-FFF2-40B4-BE49-F238E27FC236}">
              <a16:creationId xmlns:a16="http://schemas.microsoft.com/office/drawing/2014/main" id="{22A9034E-E380-44BF-A9A2-B2C5FA5FBAA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F65494A3-A41C-449C-9A78-08AEAFB4C7B7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8" name="Rectángulo 8">
          <a:extLst>
            <a:ext uri="{FF2B5EF4-FFF2-40B4-BE49-F238E27FC236}">
              <a16:creationId xmlns:a16="http://schemas.microsoft.com/office/drawing/2014/main" id="{1502708E-D16B-4248-B7BA-97638F8D5B7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F65153D7-AF50-478D-9E52-8ED5A2DD2EF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80" name="rect">
          <a:extLst>
            <a:ext uri="{FF2B5EF4-FFF2-40B4-BE49-F238E27FC236}">
              <a16:creationId xmlns:a16="http://schemas.microsoft.com/office/drawing/2014/main" id="{0E4EA3B6-5E43-41B4-8FF7-3EF9936C88D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1" name="Rectángulo 180">
          <a:extLst>
            <a:ext uri="{FF2B5EF4-FFF2-40B4-BE49-F238E27FC236}">
              <a16:creationId xmlns:a16="http://schemas.microsoft.com/office/drawing/2014/main" id="{C06AAE84-1A7A-41D2-9E56-DEB9B3974EB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82" name="Rectángulo 181">
          <a:extLst>
            <a:ext uri="{FF2B5EF4-FFF2-40B4-BE49-F238E27FC236}">
              <a16:creationId xmlns:a16="http://schemas.microsoft.com/office/drawing/2014/main" id="{EF6A0837-09FC-4E8D-B200-15A1C34E1CB8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1007408</xdr:colOff>
      <xdr:row>59</xdr:row>
      <xdr:rowOff>153988</xdr:rowOff>
    </xdr:from>
    <xdr:ext cx="184731" cy="655885"/>
    <xdr:sp macro="" textlink="">
      <xdr:nvSpPr>
        <xdr:cNvPr id="183" name="Rectángulo 182">
          <a:extLst>
            <a:ext uri="{FF2B5EF4-FFF2-40B4-BE49-F238E27FC236}">
              <a16:creationId xmlns:a16="http://schemas.microsoft.com/office/drawing/2014/main" id="{7CE3D5F9-6C4F-4EA3-86A8-DF4317A67A0D}"/>
            </a:ext>
          </a:extLst>
        </xdr:cNvPr>
        <xdr:cNvSpPr/>
      </xdr:nvSpPr>
      <xdr:spPr>
        <a:xfrm>
          <a:off x="1007408" y="14203363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84" name="9 Imagen" descr=" ">
          <a:extLst>
            <a:ext uri="{FF2B5EF4-FFF2-40B4-BE49-F238E27FC236}">
              <a16:creationId xmlns:a16="http://schemas.microsoft.com/office/drawing/2014/main" id="{E99F901F-62C5-4C9D-B278-5E92D10B22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85" name="rect">
          <a:extLst>
            <a:ext uri="{FF2B5EF4-FFF2-40B4-BE49-F238E27FC236}">
              <a16:creationId xmlns:a16="http://schemas.microsoft.com/office/drawing/2014/main" id="{3FE6F347-E4BB-4AB1-9B2F-9D913888DBF6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86" name="Imagen 185" descr=" ">
          <a:extLst>
            <a:ext uri="{FF2B5EF4-FFF2-40B4-BE49-F238E27FC236}">
              <a16:creationId xmlns:a16="http://schemas.microsoft.com/office/drawing/2014/main" id="{B5CD5345-C675-4404-8A21-9684FE805C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87" name="rect">
          <a:extLst>
            <a:ext uri="{FF2B5EF4-FFF2-40B4-BE49-F238E27FC236}">
              <a16:creationId xmlns:a16="http://schemas.microsoft.com/office/drawing/2014/main" id="{E5E0EC8F-A47A-4015-8153-01BA7CBD4902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8" name="Rectángulo 187">
          <a:extLst>
            <a:ext uri="{FF2B5EF4-FFF2-40B4-BE49-F238E27FC236}">
              <a16:creationId xmlns:a16="http://schemas.microsoft.com/office/drawing/2014/main" id="{AE6E67E3-30C9-4A40-8BBB-22DA67F78A4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905B8715-8D95-427D-8A6B-1FBD265AD9E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0" name="Rectángulo 189">
          <a:extLst>
            <a:ext uri="{FF2B5EF4-FFF2-40B4-BE49-F238E27FC236}">
              <a16:creationId xmlns:a16="http://schemas.microsoft.com/office/drawing/2014/main" id="{C5CEB1E3-D4FC-48BF-926C-5B3CF162091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1" name="Rectángulo 190">
          <a:extLst>
            <a:ext uri="{FF2B5EF4-FFF2-40B4-BE49-F238E27FC236}">
              <a16:creationId xmlns:a16="http://schemas.microsoft.com/office/drawing/2014/main" id="{CF5C6CAB-F608-4978-A1F3-7129B22CD9B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" name="Rectángulo 8">
          <a:extLst>
            <a:ext uri="{FF2B5EF4-FFF2-40B4-BE49-F238E27FC236}">
              <a16:creationId xmlns:a16="http://schemas.microsoft.com/office/drawing/2014/main" id="{8EFF17D1-C7A7-4937-897C-3601544DF18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53BDB182-C43C-4122-800A-4CE9F6188AB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CCA0413-56D0-4F2F-9EC6-CDBEDBF2F6A8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9182F60-1828-4373-9830-6C3AEE35455A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" name="Rectángulo 8">
          <a:extLst>
            <a:ext uri="{FF2B5EF4-FFF2-40B4-BE49-F238E27FC236}">
              <a16:creationId xmlns:a16="http://schemas.microsoft.com/office/drawing/2014/main" id="{F435143D-E897-4395-AB45-CFA5A354ACF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35FC689-D22D-47DF-8B6B-FB000C32CC0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3675438B-13BC-4858-9541-908F317AFC58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E465E27-72E2-4467-96BD-47C6DE5259F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CB8EB498-55DD-4FF2-9C98-729C862B511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CA2173B4-5130-4019-B04D-5FE2C6D6932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5B1D84BF-EF3F-406F-A84E-E641380ED45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DAC0B10-EBB4-4F77-98EF-B34C69C77937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08924E0-1904-4349-B808-56AC2EEDDFFD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C166EDFB-5805-45C3-A9AE-A2AB7561EEDB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26D29641-2FAA-41E8-B669-BE8B49ED3A6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AD6D9B9-8C93-496D-B059-ED9F4A7C859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69B3B09-698C-4ED7-B6D0-49FE7E6E620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B55D3059-3884-4AFA-B634-1506BC13E87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0" name="Rectángulo 8">
          <a:extLst>
            <a:ext uri="{FF2B5EF4-FFF2-40B4-BE49-F238E27FC236}">
              <a16:creationId xmlns:a16="http://schemas.microsoft.com/office/drawing/2014/main" id="{AFE7A63F-8F98-4ADF-BC18-CB7D892E532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1" name="Rectángulo 8">
          <a:extLst>
            <a:ext uri="{FF2B5EF4-FFF2-40B4-BE49-F238E27FC236}">
              <a16:creationId xmlns:a16="http://schemas.microsoft.com/office/drawing/2014/main" id="{C8EC7230-8CFB-4FCB-8B43-5E3B7CB3318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2" name="rect">
          <a:extLst>
            <a:ext uri="{FF2B5EF4-FFF2-40B4-BE49-F238E27FC236}">
              <a16:creationId xmlns:a16="http://schemas.microsoft.com/office/drawing/2014/main" id="{70AABA3C-0769-4565-B46C-F653FA518773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B67E9F22-5E4B-49BF-AFAF-5C02CB0FDCB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69DE776C-9C8D-4F90-9BF2-EDED42EE645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48A5E17C-0338-48CE-9B35-E45D86A7E0F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6" name="Rectángulo 8">
          <a:extLst>
            <a:ext uri="{FF2B5EF4-FFF2-40B4-BE49-F238E27FC236}">
              <a16:creationId xmlns:a16="http://schemas.microsoft.com/office/drawing/2014/main" id="{762FBFB4-63F7-410D-9EE0-F5DC0F2BC567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365B108C-98ED-4CFF-91B4-ECE2359C424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F33E4654-8EB7-4FE0-BBCB-E0BCB33F7C6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726B63E9-4C94-4FAB-B586-DB591D6EC04C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EB395F37-6005-40AE-A774-D1E29EF4B840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1" name="Rectángulo 8">
          <a:extLst>
            <a:ext uri="{FF2B5EF4-FFF2-40B4-BE49-F238E27FC236}">
              <a16:creationId xmlns:a16="http://schemas.microsoft.com/office/drawing/2014/main" id="{5BECA177-9312-4543-A372-8B83670FAE9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34BB0EC5-C049-4DB0-9269-F6A172DEBE0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72DC3D72-D184-4C15-A24B-71C53092CF2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19719B34-5164-4E97-B249-211A46D18F0A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07DEC99-6D76-4CA3-95E1-A66E3C3EC68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6" name="Rectángulo 8">
          <a:extLst>
            <a:ext uri="{FF2B5EF4-FFF2-40B4-BE49-F238E27FC236}">
              <a16:creationId xmlns:a16="http://schemas.microsoft.com/office/drawing/2014/main" id="{0331128A-BC8D-44D6-938E-348BD96CAFB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89634FE8-D01E-4F7B-956D-F0762F31215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A63666C4-3BB2-42AE-8A6D-AB45CA3DB553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A0F5FDD7-718F-457E-BC57-7774BD4FA120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3A14912B-7A39-497C-9EFD-86A513F330AD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2F1C27CC-A013-4BEA-92D2-C96C6F9306D0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42" name="9 Imagen" descr=" ">
          <a:extLst>
            <a:ext uri="{FF2B5EF4-FFF2-40B4-BE49-F238E27FC236}">
              <a16:creationId xmlns:a16="http://schemas.microsoft.com/office/drawing/2014/main" id="{E5C2BA85-C0F6-4FB2-B900-64B714E938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B4CFF70D-9CC5-48AA-837F-D5BD8DC2090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31</xdr:col>
      <xdr:colOff>498322</xdr:colOff>
      <xdr:row>27</xdr:row>
      <xdr:rowOff>44596</xdr:rowOff>
    </xdr:from>
    <xdr:to>
      <xdr:col>32</xdr:col>
      <xdr:colOff>97414</xdr:colOff>
      <xdr:row>29</xdr:row>
      <xdr:rowOff>158895</xdr:rowOff>
    </xdr:to>
    <xdr:pic>
      <xdr:nvPicPr>
        <xdr:cNvPr id="44" name="Imagen 43" descr=" ">
          <a:extLst>
            <a:ext uri="{FF2B5EF4-FFF2-40B4-BE49-F238E27FC236}">
              <a16:creationId xmlns:a16="http://schemas.microsoft.com/office/drawing/2014/main" id="{FA99D039-F2D1-4D75-A03A-84B4EF4CEC1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35045497" y="6473971"/>
          <a:ext cx="713517" cy="5905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29</xdr:col>
      <xdr:colOff>985837</xdr:colOff>
      <xdr:row>23</xdr:row>
      <xdr:rowOff>57150</xdr:rowOff>
    </xdr:from>
    <xdr:to>
      <xdr:col>33</xdr:col>
      <xdr:colOff>985837</xdr:colOff>
      <xdr:row>25</xdr:row>
      <xdr:rowOff>123825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6A226F7F-94F8-4EFB-90C9-77C766D92D0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33304162" y="5534025"/>
          <a:ext cx="4457700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58ECD6C2-7A14-4CD8-84F0-018E0036363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678A077C-1E3D-4265-93A8-1A9B96B5282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DD2170D9-44E8-4E82-81B6-D0CC1AEFDCD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E5B4C958-C818-45CE-82B5-AABD2561FF1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C7A57848-186E-4EC7-A039-3380585A9D0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B53793A2-87D6-48D3-AA45-95C8FEDE245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86798D8C-11B2-45A9-A094-472C7D62497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75BF601C-6FD3-4CD9-8EF3-C758DD501EF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6750664A-D3BE-4392-8C14-FE11C10D24C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7DE0D00E-B111-446B-968B-CC8142735714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6" name="Rectángulo 8">
          <a:extLst>
            <a:ext uri="{FF2B5EF4-FFF2-40B4-BE49-F238E27FC236}">
              <a16:creationId xmlns:a16="http://schemas.microsoft.com/office/drawing/2014/main" id="{0D0C0C28-C300-4BB5-8351-667930663ECC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067E6634-9950-4AC6-8BCF-C8D6AD026A9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91442E8D-EE1E-4D62-A315-C609FFA4A64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23EBAA7F-5E5E-47D9-88F4-B2CC8FCBCE1C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69CAC575-BFFB-4032-8A49-ACA5071C8F1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21F1D0CB-98D8-43FA-857A-087D612EF2D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B39EB5BD-6B77-4E39-BE7A-267217E27DF5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2F9776CB-07C4-4857-8A29-37B06EF94EE4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A0A67002-D3D8-4590-AFC1-4410BA27592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C1FF923E-FA28-4B2C-95E6-4DD4DBDDF29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71DAE56B-3C5E-408F-9FF9-28902651C92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F65B9D12-1DBC-4788-B775-24658EEB62E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FD6C6B98-8166-4B49-85B4-F0A6B599BE5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3C598F4E-2EC0-48AF-B541-133A3AE7566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0" name="rect">
          <a:extLst>
            <a:ext uri="{FF2B5EF4-FFF2-40B4-BE49-F238E27FC236}">
              <a16:creationId xmlns:a16="http://schemas.microsoft.com/office/drawing/2014/main" id="{F96B7DE5-A72E-478B-8F19-66985F27A08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20E05814-1173-4526-A801-A8E14B95873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3F38F1D3-4DD8-4ECE-8A2A-00205592414C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3D89FA1C-9EE4-4D20-8727-6EE5525FD67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B4AC36B6-AD19-4131-93CD-82F37437FF0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5" name="rect">
          <a:extLst>
            <a:ext uri="{FF2B5EF4-FFF2-40B4-BE49-F238E27FC236}">
              <a16:creationId xmlns:a16="http://schemas.microsoft.com/office/drawing/2014/main" id="{54948FF6-A644-4735-9FB0-55E9F78D3ED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ABF5E694-840C-486F-ABEC-3896F9EE7D1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8E0A2A9F-A438-4913-9075-2A1528109974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90D4F571-132D-4B79-92FD-874A5E71B9E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2EF2D637-203A-4F22-80DE-BA0C092D309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0" name="rect">
          <a:extLst>
            <a:ext uri="{FF2B5EF4-FFF2-40B4-BE49-F238E27FC236}">
              <a16:creationId xmlns:a16="http://schemas.microsoft.com/office/drawing/2014/main" id="{631278B7-5D80-4317-9290-E6DB5926BF1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5EF1B3C5-E1CE-4CF4-A7CD-FB38069D53D8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B81273A8-74D5-45E2-9000-29A5ADA9AA9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C296AC3D-0482-4D75-B468-96AD4601FE57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4" name="Rectángulo 8">
          <a:extLst>
            <a:ext uri="{FF2B5EF4-FFF2-40B4-BE49-F238E27FC236}">
              <a16:creationId xmlns:a16="http://schemas.microsoft.com/office/drawing/2014/main" id="{DA5F3513-F0AD-4B1C-9C72-33A231DF4FF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5" name="rect">
          <a:extLst>
            <a:ext uri="{FF2B5EF4-FFF2-40B4-BE49-F238E27FC236}">
              <a16:creationId xmlns:a16="http://schemas.microsoft.com/office/drawing/2014/main" id="{56863551-EB9D-476D-B8D0-FAAAF5CDA5E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6" name="rect">
          <a:extLst>
            <a:ext uri="{FF2B5EF4-FFF2-40B4-BE49-F238E27FC236}">
              <a16:creationId xmlns:a16="http://schemas.microsoft.com/office/drawing/2014/main" id="{6648E9BB-85B9-4DBC-8A03-6863517B384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F50FBD45-C1EF-49F3-8803-C12EFCA627F0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047122BA-6B7A-4959-A3B5-E0CA254B5233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D85F98D4-1967-4C6C-8FC7-F6D6570D3F7D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90" name="9 Imagen" descr=" ">
          <a:extLst>
            <a:ext uri="{FF2B5EF4-FFF2-40B4-BE49-F238E27FC236}">
              <a16:creationId xmlns:a16="http://schemas.microsoft.com/office/drawing/2014/main" id="{A3A99C8F-6043-4858-ACA2-FD83305604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91" name="rect">
          <a:extLst>
            <a:ext uri="{FF2B5EF4-FFF2-40B4-BE49-F238E27FC236}">
              <a16:creationId xmlns:a16="http://schemas.microsoft.com/office/drawing/2014/main" id="{EDB4BB24-B699-4A77-B98D-84AD394CD50B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ED4BB0F7-A324-43A6-A3A1-BCC43F9F8B0A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4EF0CBFB-A1C7-4E34-ACCD-89B5EF2CEFC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AB7AC7F2-608B-48EF-8ED6-37612138F36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D3DB3003-2A37-45BB-9FEA-3054070E9A2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FE5F2471-91F3-4ACD-AE7B-F9E732BC36C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7" name="Rectángulo 8">
          <a:extLst>
            <a:ext uri="{FF2B5EF4-FFF2-40B4-BE49-F238E27FC236}">
              <a16:creationId xmlns:a16="http://schemas.microsoft.com/office/drawing/2014/main" id="{A866C211-56E0-421F-96C2-5F64B968EDC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4566760F-A0AE-4CB8-9BAA-B1CD413B5BC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9" name="Rectángulo 98">
          <a:extLst>
            <a:ext uri="{FF2B5EF4-FFF2-40B4-BE49-F238E27FC236}">
              <a16:creationId xmlns:a16="http://schemas.microsoft.com/office/drawing/2014/main" id="{93F3178E-4390-4C0E-8B1C-F7C74029B0A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08ED3C7E-8245-4742-8A9D-5416F9742E8F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B38BC5C0-EAE8-4BEF-8E12-2D3D0DBCAE0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2" name="Rectángulo 8">
          <a:extLst>
            <a:ext uri="{FF2B5EF4-FFF2-40B4-BE49-F238E27FC236}">
              <a16:creationId xmlns:a16="http://schemas.microsoft.com/office/drawing/2014/main" id="{3006A7FD-66C4-4F05-8A8C-F9D0935033F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3A509952-E7EA-4AF0-AAC2-330E1216F31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81F2632D-028C-410D-9572-2F8B9E88566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587ED3D0-D962-4654-B71B-7723C027C5A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2EB02FDB-CDAD-4198-91AD-D7D4DAA8B72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B08D9567-92F5-4710-9444-E9480074E2D8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60011306-8A8D-4266-A82B-44FE82804C79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DFAC8BDD-F6C1-46FB-AB2A-8C7B7B2CD7CD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0" name="Rectángulo 109">
          <a:extLst>
            <a:ext uri="{FF2B5EF4-FFF2-40B4-BE49-F238E27FC236}">
              <a16:creationId xmlns:a16="http://schemas.microsoft.com/office/drawing/2014/main" id="{C774F7EF-4945-4BD2-A935-F09B70DCF93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A376FC78-2AFD-4961-B816-E413FC2B17D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075690F3-3750-44AC-8188-AA322F807FA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092A2803-39F1-4BD9-A9B9-C38BCF5EDEF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4" name="Rectángulo 8">
          <a:extLst>
            <a:ext uri="{FF2B5EF4-FFF2-40B4-BE49-F238E27FC236}">
              <a16:creationId xmlns:a16="http://schemas.microsoft.com/office/drawing/2014/main" id="{47BEB014-B96D-48B7-BF55-84AEC6E1841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DC5FF3DE-A899-435C-9247-0D17ADB097A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6" name="rect">
          <a:extLst>
            <a:ext uri="{FF2B5EF4-FFF2-40B4-BE49-F238E27FC236}">
              <a16:creationId xmlns:a16="http://schemas.microsoft.com/office/drawing/2014/main" id="{F03FBB94-99E6-4588-8B9D-C4132200FF3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0E3C781D-EC0E-4C43-A450-E790988C1EE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E15825DC-9349-4DFC-B90F-53CE56FC719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2E050337-27FC-4940-9FA7-4253A5B2B8A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6076374A-1B52-4787-8406-7A71BED95AC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1" name="rect">
          <a:extLst>
            <a:ext uri="{FF2B5EF4-FFF2-40B4-BE49-F238E27FC236}">
              <a16:creationId xmlns:a16="http://schemas.microsoft.com/office/drawing/2014/main" id="{4A1C5989-D15A-4927-A1D8-5BD56269236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DB4F512B-687C-4BAD-AFB3-7FA4F899008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7C5EC06F-59AF-4E40-B0E7-94594E0F5CC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5164F731-376A-45E5-B903-AD5FE56268B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22300C25-C988-4EF7-B0F2-564C58F086B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6" name="rect">
          <a:extLst>
            <a:ext uri="{FF2B5EF4-FFF2-40B4-BE49-F238E27FC236}">
              <a16:creationId xmlns:a16="http://schemas.microsoft.com/office/drawing/2014/main" id="{18579EF6-DEF9-41DF-8CBF-9ED5691F391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767715D7-04BE-43B7-BBF4-0A73DA724CE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8" name="Rectángulo 127">
          <a:extLst>
            <a:ext uri="{FF2B5EF4-FFF2-40B4-BE49-F238E27FC236}">
              <a16:creationId xmlns:a16="http://schemas.microsoft.com/office/drawing/2014/main" id="{B557123C-44FF-417B-B408-FE922A017D2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4CEF0C16-2EA1-4D17-BD74-E4AECD5DD4D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D751B5F7-1F8C-4B3A-92E6-7E2F823CBCB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1" name="rect">
          <a:extLst>
            <a:ext uri="{FF2B5EF4-FFF2-40B4-BE49-F238E27FC236}">
              <a16:creationId xmlns:a16="http://schemas.microsoft.com/office/drawing/2014/main" id="{06ED7438-B6AD-41AE-B8B4-C0871114FF3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A5F5528A-7B6E-4703-BCC6-F03D78064B18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33" name="Rectángulo 132">
          <a:extLst>
            <a:ext uri="{FF2B5EF4-FFF2-40B4-BE49-F238E27FC236}">
              <a16:creationId xmlns:a16="http://schemas.microsoft.com/office/drawing/2014/main" id="{8ED7D795-7817-4F01-94CB-20EC8F262CD4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4" name="Rectángulo 133">
          <a:extLst>
            <a:ext uri="{FF2B5EF4-FFF2-40B4-BE49-F238E27FC236}">
              <a16:creationId xmlns:a16="http://schemas.microsoft.com/office/drawing/2014/main" id="{BF7652EE-C291-4B49-A13D-35B25BD40CA1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5" name="Rectángulo 134">
          <a:extLst>
            <a:ext uri="{FF2B5EF4-FFF2-40B4-BE49-F238E27FC236}">
              <a16:creationId xmlns:a16="http://schemas.microsoft.com/office/drawing/2014/main" id="{2DC365B6-16A3-40D2-A541-7E701F9F76FE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36" name="9 Imagen" descr=" ">
          <a:extLst>
            <a:ext uri="{FF2B5EF4-FFF2-40B4-BE49-F238E27FC236}">
              <a16:creationId xmlns:a16="http://schemas.microsoft.com/office/drawing/2014/main" id="{3034828A-866E-4D15-AF63-35C1B88F50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4E4CFFB4-CB43-444F-AEA1-2F017B57FA2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38" name="Imagen 137" descr=" ">
          <a:extLst>
            <a:ext uri="{FF2B5EF4-FFF2-40B4-BE49-F238E27FC236}">
              <a16:creationId xmlns:a16="http://schemas.microsoft.com/office/drawing/2014/main" id="{617497FD-A101-44B4-8424-8AA81A334C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39" name="rect">
          <a:extLst>
            <a:ext uri="{FF2B5EF4-FFF2-40B4-BE49-F238E27FC236}">
              <a16:creationId xmlns:a16="http://schemas.microsoft.com/office/drawing/2014/main" id="{C71B1F16-B40A-4D48-8585-997BCB1C44CD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0" name="Rectángulo 139">
          <a:extLst>
            <a:ext uri="{FF2B5EF4-FFF2-40B4-BE49-F238E27FC236}">
              <a16:creationId xmlns:a16="http://schemas.microsoft.com/office/drawing/2014/main" id="{62472ED9-34DD-4DF1-BB9F-8E89D89C570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1" name="Rectángulo 140">
          <a:extLst>
            <a:ext uri="{FF2B5EF4-FFF2-40B4-BE49-F238E27FC236}">
              <a16:creationId xmlns:a16="http://schemas.microsoft.com/office/drawing/2014/main" id="{92034880-CD24-413A-9D5C-2B81672585AF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77E908A9-9282-4B6A-838A-2D6477E7A5E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3" name="Rectángulo 142">
          <a:extLst>
            <a:ext uri="{FF2B5EF4-FFF2-40B4-BE49-F238E27FC236}">
              <a16:creationId xmlns:a16="http://schemas.microsoft.com/office/drawing/2014/main" id="{CF527B15-963F-4D42-A45A-3EB53929CF4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4" name="Rectángulo 8">
          <a:extLst>
            <a:ext uri="{FF2B5EF4-FFF2-40B4-BE49-F238E27FC236}">
              <a16:creationId xmlns:a16="http://schemas.microsoft.com/office/drawing/2014/main" id="{F1E3C630-53B3-4D7F-A807-58D7458337C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9051EE10-6165-4F5C-A5B5-C31F43088345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6" name="Rectángulo 145">
          <a:extLst>
            <a:ext uri="{FF2B5EF4-FFF2-40B4-BE49-F238E27FC236}">
              <a16:creationId xmlns:a16="http://schemas.microsoft.com/office/drawing/2014/main" id="{B5B4E68B-9B3A-4920-88F0-45BF0102F6D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7" name="Rectángulo 146">
          <a:extLst>
            <a:ext uri="{FF2B5EF4-FFF2-40B4-BE49-F238E27FC236}">
              <a16:creationId xmlns:a16="http://schemas.microsoft.com/office/drawing/2014/main" id="{5142D20A-47BB-41E1-BC7D-3A43BE50D43E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8" name="Rectángulo 8">
          <a:extLst>
            <a:ext uri="{FF2B5EF4-FFF2-40B4-BE49-F238E27FC236}">
              <a16:creationId xmlns:a16="http://schemas.microsoft.com/office/drawing/2014/main" id="{AC31BD34-048A-45A1-B6A5-DC3ADAD056A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9" name="Rectángulo 148">
          <a:extLst>
            <a:ext uri="{FF2B5EF4-FFF2-40B4-BE49-F238E27FC236}">
              <a16:creationId xmlns:a16="http://schemas.microsoft.com/office/drawing/2014/main" id="{71BC9A4A-A063-45C1-8396-FCA81406F2E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0" name="Rectángulo 8">
          <a:extLst>
            <a:ext uri="{FF2B5EF4-FFF2-40B4-BE49-F238E27FC236}">
              <a16:creationId xmlns:a16="http://schemas.microsoft.com/office/drawing/2014/main" id="{5E9F4D11-5F6A-486D-9E2E-4B4DCEE7866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9616375D-E41B-43C3-8F3B-4914F0D7D98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2" name="Rectángulo 151">
          <a:extLst>
            <a:ext uri="{FF2B5EF4-FFF2-40B4-BE49-F238E27FC236}">
              <a16:creationId xmlns:a16="http://schemas.microsoft.com/office/drawing/2014/main" id="{A0E6C0B6-9ACF-4768-8742-591881ACC13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39603335-7264-4360-9DEE-1AABF7277F7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4" name="Rectángulo 8">
          <a:extLst>
            <a:ext uri="{FF2B5EF4-FFF2-40B4-BE49-F238E27FC236}">
              <a16:creationId xmlns:a16="http://schemas.microsoft.com/office/drawing/2014/main" id="{4BF99DE7-F546-431C-87B7-2BC83D29E70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5" name="Rectángulo 154">
          <a:extLst>
            <a:ext uri="{FF2B5EF4-FFF2-40B4-BE49-F238E27FC236}">
              <a16:creationId xmlns:a16="http://schemas.microsoft.com/office/drawing/2014/main" id="{A0977B8C-756B-4041-8EE6-B41C2E15A1E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6" name="Rectángulo 155">
          <a:extLst>
            <a:ext uri="{FF2B5EF4-FFF2-40B4-BE49-F238E27FC236}">
              <a16:creationId xmlns:a16="http://schemas.microsoft.com/office/drawing/2014/main" id="{C568FAB3-4FD4-47FD-B676-804C1FFC00B4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7" name="Rectángulo 156">
          <a:extLst>
            <a:ext uri="{FF2B5EF4-FFF2-40B4-BE49-F238E27FC236}">
              <a16:creationId xmlns:a16="http://schemas.microsoft.com/office/drawing/2014/main" id="{9866ABC5-E728-42A8-80D3-A7C49728C492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DC7F0F93-6023-42C9-A969-7D41431B365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192D8C6F-59C4-4CB3-8076-4E4576698DA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0" name="Rectángulo 159">
          <a:extLst>
            <a:ext uri="{FF2B5EF4-FFF2-40B4-BE49-F238E27FC236}">
              <a16:creationId xmlns:a16="http://schemas.microsoft.com/office/drawing/2014/main" id="{B4EAF822-5971-4BB8-B5E2-76A6CA2654D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34EA23BB-5AF8-43F3-B024-47230A536BD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090215D8-F928-4B90-B6A9-9DF4A8CB0AD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B180B80E-C2B0-4ED4-8678-9113B52093B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4" name="rect">
          <a:extLst>
            <a:ext uri="{FF2B5EF4-FFF2-40B4-BE49-F238E27FC236}">
              <a16:creationId xmlns:a16="http://schemas.microsoft.com/office/drawing/2014/main" id="{C30180A0-B0D9-4BF4-A165-02DF9CC4428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5" name="rect">
          <a:extLst>
            <a:ext uri="{FF2B5EF4-FFF2-40B4-BE49-F238E27FC236}">
              <a16:creationId xmlns:a16="http://schemas.microsoft.com/office/drawing/2014/main" id="{C47E62FA-39B2-46DF-A9F2-7F5D7138AF48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66" name="Rectángulo 165">
          <a:extLst>
            <a:ext uri="{FF2B5EF4-FFF2-40B4-BE49-F238E27FC236}">
              <a16:creationId xmlns:a16="http://schemas.microsoft.com/office/drawing/2014/main" id="{6B66034E-72E6-4CE5-A14A-4760A7950D9F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DF289DC5-8D4E-4477-A8D7-E6AE69CBD44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8" name="Rectángulo 8">
          <a:extLst>
            <a:ext uri="{FF2B5EF4-FFF2-40B4-BE49-F238E27FC236}">
              <a16:creationId xmlns:a16="http://schemas.microsoft.com/office/drawing/2014/main" id="{504E0CAF-ACB4-46BA-AC14-22AD5C05E66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9" name="rect">
          <a:extLst>
            <a:ext uri="{FF2B5EF4-FFF2-40B4-BE49-F238E27FC236}">
              <a16:creationId xmlns:a16="http://schemas.microsoft.com/office/drawing/2014/main" id="{D6EDB136-1646-464A-B14D-DB00B8952EB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0" name="rect">
          <a:extLst>
            <a:ext uri="{FF2B5EF4-FFF2-40B4-BE49-F238E27FC236}">
              <a16:creationId xmlns:a16="http://schemas.microsoft.com/office/drawing/2014/main" id="{69599DC5-B844-4BB5-8588-B51EEAECCE9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1" name="Rectángulo 170">
          <a:extLst>
            <a:ext uri="{FF2B5EF4-FFF2-40B4-BE49-F238E27FC236}">
              <a16:creationId xmlns:a16="http://schemas.microsoft.com/office/drawing/2014/main" id="{A4F15797-7F0D-48C4-83EF-785879A69EB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49BF3E9B-D0C4-43FA-B541-A46D8796FBCB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3" name="Rectángulo 8">
          <a:extLst>
            <a:ext uri="{FF2B5EF4-FFF2-40B4-BE49-F238E27FC236}">
              <a16:creationId xmlns:a16="http://schemas.microsoft.com/office/drawing/2014/main" id="{A21DAC69-0AB2-4676-8123-89417C5C5DA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17F812C6-906E-4C0D-A953-8CF210C4DDE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5" name="rect">
          <a:extLst>
            <a:ext uri="{FF2B5EF4-FFF2-40B4-BE49-F238E27FC236}">
              <a16:creationId xmlns:a16="http://schemas.microsoft.com/office/drawing/2014/main" id="{24DA77C4-608C-47A2-9512-ACA770F873F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6" name="Rectángulo 175">
          <a:extLst>
            <a:ext uri="{FF2B5EF4-FFF2-40B4-BE49-F238E27FC236}">
              <a16:creationId xmlns:a16="http://schemas.microsoft.com/office/drawing/2014/main" id="{E6AAF488-B23F-4CF4-A07B-A9413FAC4EB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8F8CFDC2-7405-445F-83B4-F7D668DEC1A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8" name="Rectángulo 8">
          <a:extLst>
            <a:ext uri="{FF2B5EF4-FFF2-40B4-BE49-F238E27FC236}">
              <a16:creationId xmlns:a16="http://schemas.microsoft.com/office/drawing/2014/main" id="{4ECF1084-D305-42B7-82E0-4AD394978F10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95AE2CC1-0E2F-42D8-95D0-73C882B25BE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80" name="rect">
          <a:extLst>
            <a:ext uri="{FF2B5EF4-FFF2-40B4-BE49-F238E27FC236}">
              <a16:creationId xmlns:a16="http://schemas.microsoft.com/office/drawing/2014/main" id="{71614100-2807-4B99-B175-DA5DC98A9C0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1" name="Rectángulo 180">
          <a:extLst>
            <a:ext uri="{FF2B5EF4-FFF2-40B4-BE49-F238E27FC236}">
              <a16:creationId xmlns:a16="http://schemas.microsoft.com/office/drawing/2014/main" id="{19C347C2-617D-4950-BEFA-FD43121D44A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82" name="Rectángulo 181">
          <a:extLst>
            <a:ext uri="{FF2B5EF4-FFF2-40B4-BE49-F238E27FC236}">
              <a16:creationId xmlns:a16="http://schemas.microsoft.com/office/drawing/2014/main" id="{F77D04DE-6AA3-446A-B0C4-AA9AC17CA204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1007408</xdr:colOff>
      <xdr:row>59</xdr:row>
      <xdr:rowOff>153988</xdr:rowOff>
    </xdr:from>
    <xdr:ext cx="184731" cy="655885"/>
    <xdr:sp macro="" textlink="">
      <xdr:nvSpPr>
        <xdr:cNvPr id="183" name="Rectángulo 182">
          <a:extLst>
            <a:ext uri="{FF2B5EF4-FFF2-40B4-BE49-F238E27FC236}">
              <a16:creationId xmlns:a16="http://schemas.microsoft.com/office/drawing/2014/main" id="{7065E431-A40F-4E78-8720-2966853A1716}"/>
            </a:ext>
          </a:extLst>
        </xdr:cNvPr>
        <xdr:cNvSpPr/>
      </xdr:nvSpPr>
      <xdr:spPr>
        <a:xfrm>
          <a:off x="1007408" y="14203363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84" name="9 Imagen" descr=" ">
          <a:extLst>
            <a:ext uri="{FF2B5EF4-FFF2-40B4-BE49-F238E27FC236}">
              <a16:creationId xmlns:a16="http://schemas.microsoft.com/office/drawing/2014/main" id="{54C3B440-2ED9-48BB-AA4A-33104226F3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85" name="rect">
          <a:extLst>
            <a:ext uri="{FF2B5EF4-FFF2-40B4-BE49-F238E27FC236}">
              <a16:creationId xmlns:a16="http://schemas.microsoft.com/office/drawing/2014/main" id="{214A3E1B-2E1E-4AC7-B67C-A4B3F2663E51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86" name="Imagen 185" descr=" ">
          <a:extLst>
            <a:ext uri="{FF2B5EF4-FFF2-40B4-BE49-F238E27FC236}">
              <a16:creationId xmlns:a16="http://schemas.microsoft.com/office/drawing/2014/main" id="{B0B9D8D6-C63C-44C5-9EB3-B87FDC20E0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87" name="rect">
          <a:extLst>
            <a:ext uri="{FF2B5EF4-FFF2-40B4-BE49-F238E27FC236}">
              <a16:creationId xmlns:a16="http://schemas.microsoft.com/office/drawing/2014/main" id="{EF1DD8B1-F95A-403A-ACB8-179EF215E84E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8" name="Rectángulo 187">
          <a:extLst>
            <a:ext uri="{FF2B5EF4-FFF2-40B4-BE49-F238E27FC236}">
              <a16:creationId xmlns:a16="http://schemas.microsoft.com/office/drawing/2014/main" id="{D01A3454-C425-42F1-8160-AF6F21D9AD2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EE011183-ABDF-4235-842A-0930D03631A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0" name="Rectángulo 189">
          <a:extLst>
            <a:ext uri="{FF2B5EF4-FFF2-40B4-BE49-F238E27FC236}">
              <a16:creationId xmlns:a16="http://schemas.microsoft.com/office/drawing/2014/main" id="{418A97C4-4240-49AE-95EC-01EC8E044EE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1" name="Rectángulo 190">
          <a:extLst>
            <a:ext uri="{FF2B5EF4-FFF2-40B4-BE49-F238E27FC236}">
              <a16:creationId xmlns:a16="http://schemas.microsoft.com/office/drawing/2014/main" id="{20F6052E-8E08-42F0-A85A-CC1B66B6EFCF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" name="Rectángulo 8">
          <a:extLst>
            <a:ext uri="{FF2B5EF4-FFF2-40B4-BE49-F238E27FC236}">
              <a16:creationId xmlns:a16="http://schemas.microsoft.com/office/drawing/2014/main" id="{55C00BF4-DF78-415F-936C-DF7EA27BD07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B9E4778F-984A-449E-A237-FC414E266D7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DDD444A-4150-4215-AF3F-BEB33C57766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6AB7569-EFB7-4139-94FF-21494B1F345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" name="Rectángulo 8">
          <a:extLst>
            <a:ext uri="{FF2B5EF4-FFF2-40B4-BE49-F238E27FC236}">
              <a16:creationId xmlns:a16="http://schemas.microsoft.com/office/drawing/2014/main" id="{B40F691E-79ED-4BB4-9F98-562A287CF99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98D6DDE-81E9-4C52-9312-950723DE420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5EF5D65D-4B52-4413-9C05-F3575C92461E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44CB924E-CCE7-45A5-91AA-CE57E050936F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4B90B4A4-9BFF-4421-9DA0-E02E30261EE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61952C0-5460-4F52-AF73-F157615C50C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46B28AE5-CB96-4270-8C01-41858A2F8A18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853D7BB0-E347-40D5-9C78-DE35B08CB654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263F159D-A406-4AA1-98F8-5EE8C4690BD9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3E5289E7-D40A-43DB-B67D-1CB54C3E0375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709522E-53B2-42B9-B816-C0A42A5466F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3B43841-A977-4E7C-853C-78DF23FF0A0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CD1D399-9472-45AA-9AC7-0BC18BE953A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08AFBC3-3E44-479B-940D-50EF7CA44CC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0" name="Rectángulo 8">
          <a:extLst>
            <a:ext uri="{FF2B5EF4-FFF2-40B4-BE49-F238E27FC236}">
              <a16:creationId xmlns:a16="http://schemas.microsoft.com/office/drawing/2014/main" id="{E47157AC-98A1-4154-94C9-639E075BA1E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1" name="Rectángulo 8">
          <a:extLst>
            <a:ext uri="{FF2B5EF4-FFF2-40B4-BE49-F238E27FC236}">
              <a16:creationId xmlns:a16="http://schemas.microsoft.com/office/drawing/2014/main" id="{4F2ACB8A-491B-4BD1-AB6B-F9A8508F1ADB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2" name="rect">
          <a:extLst>
            <a:ext uri="{FF2B5EF4-FFF2-40B4-BE49-F238E27FC236}">
              <a16:creationId xmlns:a16="http://schemas.microsoft.com/office/drawing/2014/main" id="{7093BDEA-AA71-4904-BC65-B5AAC7E0B96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C69BE57F-13AD-452E-A963-342948C1BCC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FF9B01E5-1FEC-40CD-8415-E98A92F95A6A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FF4DB879-76BE-4905-90CC-40D4F335BB45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6" name="Rectángulo 8">
          <a:extLst>
            <a:ext uri="{FF2B5EF4-FFF2-40B4-BE49-F238E27FC236}">
              <a16:creationId xmlns:a16="http://schemas.microsoft.com/office/drawing/2014/main" id="{66A677B1-D33A-4041-9265-1EF4A6CDBCE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FA832EC0-4E47-4831-9517-57B7F2D49C9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E6155C8E-B910-44E8-ACDB-573D12CD4463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51908003-4CBE-4151-BB73-19F47DDD0CB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59194D50-8A7D-46E5-A284-C1C2C9B8E2A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1" name="Rectángulo 8">
          <a:extLst>
            <a:ext uri="{FF2B5EF4-FFF2-40B4-BE49-F238E27FC236}">
              <a16:creationId xmlns:a16="http://schemas.microsoft.com/office/drawing/2014/main" id="{0EE801B9-827B-4B1B-A5C9-50E7C713EF4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8D1FE125-2668-45EF-A6B9-52E68A6F2AA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5218C3DD-6809-4284-818B-2E7C26EB076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C720D5B-5B8D-43CC-9E79-77C5791AA8A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3F545030-BCDA-4A1B-B70E-0DD8845B2A85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6" name="Rectángulo 8">
          <a:extLst>
            <a:ext uri="{FF2B5EF4-FFF2-40B4-BE49-F238E27FC236}">
              <a16:creationId xmlns:a16="http://schemas.microsoft.com/office/drawing/2014/main" id="{E333C901-7952-47E1-B1C4-7416F61CB271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6F3CEDEE-96E7-4984-8E6F-0B2A72311464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8F3D25FA-460E-46CE-9D87-0592E9BA0E5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5BA63E9E-78E5-4C87-9C35-FA3F204AE76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59F7EA66-5016-4486-8F65-8BA4CDCEC296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7C252B20-ABA2-4342-9D73-B08D22120557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42" name="9 Imagen" descr=" ">
          <a:extLst>
            <a:ext uri="{FF2B5EF4-FFF2-40B4-BE49-F238E27FC236}">
              <a16:creationId xmlns:a16="http://schemas.microsoft.com/office/drawing/2014/main" id="{728FBFEC-691D-4D2D-933E-59FE59FE5D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08C09C0B-400E-46A6-8AFF-EEFB34B604ED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31</xdr:col>
      <xdr:colOff>498322</xdr:colOff>
      <xdr:row>27</xdr:row>
      <xdr:rowOff>44596</xdr:rowOff>
    </xdr:from>
    <xdr:to>
      <xdr:col>32</xdr:col>
      <xdr:colOff>97414</xdr:colOff>
      <xdr:row>29</xdr:row>
      <xdr:rowOff>158895</xdr:rowOff>
    </xdr:to>
    <xdr:pic>
      <xdr:nvPicPr>
        <xdr:cNvPr id="44" name="Imagen 43" descr=" ">
          <a:extLst>
            <a:ext uri="{FF2B5EF4-FFF2-40B4-BE49-F238E27FC236}">
              <a16:creationId xmlns:a16="http://schemas.microsoft.com/office/drawing/2014/main" id="{76DE2AE8-D0FC-4F20-9650-7F62DA1833A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35045497" y="6473971"/>
          <a:ext cx="713517" cy="5905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29</xdr:col>
      <xdr:colOff>985837</xdr:colOff>
      <xdr:row>23</xdr:row>
      <xdr:rowOff>57150</xdr:rowOff>
    </xdr:from>
    <xdr:to>
      <xdr:col>33</xdr:col>
      <xdr:colOff>985837</xdr:colOff>
      <xdr:row>25</xdr:row>
      <xdr:rowOff>123825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39F5732F-8F97-49E6-9544-BA5BBDE4396B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33304162" y="5534025"/>
          <a:ext cx="4457700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89C60110-D472-49BF-8B84-BE65C92B0AD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4786DFE1-D059-4C6D-BC3B-14A33B7FF49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7911A31-102C-463B-A4BF-A77625F30D6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3844DE5E-E4F1-4590-A818-BF47D44D868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4C11536F-21C5-408F-826E-3C9F35AE028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F0920C94-E96D-450B-83D3-53D8B74EBED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739CB785-BED8-4CF0-8EA3-20BEF6A9AFF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71FAAAC6-418C-4070-9049-4069A8FBCFEF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D4FA114F-4712-4992-BB15-A8DE774D052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5C78FDEE-C881-400A-8583-C378ABAFB9C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6" name="Rectángulo 8">
          <a:extLst>
            <a:ext uri="{FF2B5EF4-FFF2-40B4-BE49-F238E27FC236}">
              <a16:creationId xmlns:a16="http://schemas.microsoft.com/office/drawing/2014/main" id="{F9ED7494-780B-4E93-9070-9B8A7F1802A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207B5A7B-64B7-4934-9934-E4CAA8840968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3D0E9854-297C-44FB-A727-F05DDEE7D9F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11321FB2-1FE4-433A-897E-C9B0FB6B0CB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5C1BB298-F6B8-4620-9915-C2D47B8F25A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604F01FA-C1AB-48FA-93DC-47BB657063C7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2F3BE82C-205D-4788-A820-DCC1C8628041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5E4E3C9D-47D7-47D3-998F-DCF36FC69483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8029C5B3-75E3-4427-A5D9-3989D456FD9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E4DB7528-1F8C-4ED4-8469-CF77C4FF81B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4D0276A7-E37B-49E9-A0F9-D7944CDD21D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F4F89AAC-4A5F-428C-A8F4-618EA02EBB6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F0D38C1A-21B0-4FAD-A763-36074BE5616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65208DC3-CCD2-4568-9600-85063560B55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0" name="rect">
          <a:extLst>
            <a:ext uri="{FF2B5EF4-FFF2-40B4-BE49-F238E27FC236}">
              <a16:creationId xmlns:a16="http://schemas.microsoft.com/office/drawing/2014/main" id="{E460265F-4AF8-4296-AF37-376D88E8576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98A1B217-EDD7-48B0-AF53-02D3B14465A4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636797CE-4E7D-4D6A-8385-54B7DF05AA7C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0C3B438F-5476-43E9-93BD-6D6210AAEDE5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AD451F17-9304-4DEC-9130-151F8FFA0A81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5" name="rect">
          <a:extLst>
            <a:ext uri="{FF2B5EF4-FFF2-40B4-BE49-F238E27FC236}">
              <a16:creationId xmlns:a16="http://schemas.microsoft.com/office/drawing/2014/main" id="{B9E27127-C45C-42AF-B529-14FACE4E5BF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FC2F8787-A0FC-4763-8B3D-078AC08E664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E86E8683-C015-43B3-A8E4-B295F977BCE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2BCF2450-66A0-47B3-BFFB-F080F189D1C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6CAD609B-DA0C-47AE-91F9-60B013F808D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0" name="rect">
          <a:extLst>
            <a:ext uri="{FF2B5EF4-FFF2-40B4-BE49-F238E27FC236}">
              <a16:creationId xmlns:a16="http://schemas.microsoft.com/office/drawing/2014/main" id="{0978F806-B4F2-4350-8C47-C9003476439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77BEC9C1-1F38-4647-B70F-2C3ABAC36CD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DF904F13-07F5-46FE-B768-582C989C8C3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A00B1436-11D3-4838-BC3B-412FB789295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4" name="Rectángulo 8">
          <a:extLst>
            <a:ext uri="{FF2B5EF4-FFF2-40B4-BE49-F238E27FC236}">
              <a16:creationId xmlns:a16="http://schemas.microsoft.com/office/drawing/2014/main" id="{06130DA3-473B-45E1-AE76-207840CCFF0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5" name="rect">
          <a:extLst>
            <a:ext uri="{FF2B5EF4-FFF2-40B4-BE49-F238E27FC236}">
              <a16:creationId xmlns:a16="http://schemas.microsoft.com/office/drawing/2014/main" id="{67923C58-B4F1-4146-96F6-B35CBF01DE1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6" name="rect">
          <a:extLst>
            <a:ext uri="{FF2B5EF4-FFF2-40B4-BE49-F238E27FC236}">
              <a16:creationId xmlns:a16="http://schemas.microsoft.com/office/drawing/2014/main" id="{20049B1B-5118-49B7-94BE-3CFEB44FD81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C7B55F56-CABC-425C-9337-3677559D12D9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ED34C070-6CF9-4CDC-AE47-65B531ED3648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8F06BFF9-61A3-401F-AE74-98377C96E256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90" name="9 Imagen" descr=" ">
          <a:extLst>
            <a:ext uri="{FF2B5EF4-FFF2-40B4-BE49-F238E27FC236}">
              <a16:creationId xmlns:a16="http://schemas.microsoft.com/office/drawing/2014/main" id="{5576651C-07A8-4FCC-8FFC-2E7052114C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91" name="rect">
          <a:extLst>
            <a:ext uri="{FF2B5EF4-FFF2-40B4-BE49-F238E27FC236}">
              <a16:creationId xmlns:a16="http://schemas.microsoft.com/office/drawing/2014/main" id="{D0298B18-2493-4693-BB9C-8D43AED5443C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CD1F5FD5-9AA2-4EF2-B5DB-1E5DC38C285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69A568F0-6BE4-432A-9A99-D22D1C1313D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3533E0CC-13BA-431C-A734-7FC6681D5AEC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91684B60-08C9-4902-915D-592E60DAA86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996D03A6-ED64-44A5-A4ED-D87C6DD97C3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7" name="Rectángulo 8">
          <a:extLst>
            <a:ext uri="{FF2B5EF4-FFF2-40B4-BE49-F238E27FC236}">
              <a16:creationId xmlns:a16="http://schemas.microsoft.com/office/drawing/2014/main" id="{38034001-4CC9-4607-A0B7-2169FBCD151A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90D0E083-B3AD-4041-B864-2869113DAC3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9" name="Rectángulo 98">
          <a:extLst>
            <a:ext uri="{FF2B5EF4-FFF2-40B4-BE49-F238E27FC236}">
              <a16:creationId xmlns:a16="http://schemas.microsoft.com/office/drawing/2014/main" id="{F2F79892-4BF6-4BFE-AD0E-81661E3DC99A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A5386BF1-D72D-42BB-91B3-E787AE85C75F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DF880EA9-3D9E-41F9-A501-9A972E7CC13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2" name="Rectángulo 8">
          <a:extLst>
            <a:ext uri="{FF2B5EF4-FFF2-40B4-BE49-F238E27FC236}">
              <a16:creationId xmlns:a16="http://schemas.microsoft.com/office/drawing/2014/main" id="{E98BC0B9-796E-451B-AFC5-6BCBC2571B4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CAA8E142-152D-46AD-9A3B-5B18168046B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0640D939-E7CB-4254-A64E-7ADA1349BF1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6CB5CD64-ADEB-4C00-B1C3-EF278EBE086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C058A381-F4C9-45D6-B6F7-1C4E39F665B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A1CE8012-DD03-4129-804B-088E348F043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ACD78CC4-31A7-45D5-9340-10CA24785F5E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3E775E25-73CA-4C7E-B1F4-39F9C900D359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0" name="Rectángulo 109">
          <a:extLst>
            <a:ext uri="{FF2B5EF4-FFF2-40B4-BE49-F238E27FC236}">
              <a16:creationId xmlns:a16="http://schemas.microsoft.com/office/drawing/2014/main" id="{1CC35945-F7C9-44DD-AD47-F31A8B0EDD4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BA58D621-C865-4652-B5DE-F4A0599187C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2C291C30-EC9C-4337-8B06-8E94A150499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5BF55BF4-FDED-474E-98BB-158FBA4D31E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4" name="Rectángulo 8">
          <a:extLst>
            <a:ext uri="{FF2B5EF4-FFF2-40B4-BE49-F238E27FC236}">
              <a16:creationId xmlns:a16="http://schemas.microsoft.com/office/drawing/2014/main" id="{C56E8863-6B89-4C83-B5AD-092FAC515335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2352410E-84A2-4A2C-BB81-7A06C97217D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6" name="rect">
          <a:extLst>
            <a:ext uri="{FF2B5EF4-FFF2-40B4-BE49-F238E27FC236}">
              <a16:creationId xmlns:a16="http://schemas.microsoft.com/office/drawing/2014/main" id="{54462DBC-BFF7-403A-9790-0BC44018DD3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1A74B02D-F941-426C-88E8-977F8669199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9D7D6219-552E-45E1-BBAF-F979A366712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F43987C6-E7F9-4FB5-8596-B8D876CA027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299CC07C-CD89-409F-AFD3-F5CA517A8FD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1" name="rect">
          <a:extLst>
            <a:ext uri="{FF2B5EF4-FFF2-40B4-BE49-F238E27FC236}">
              <a16:creationId xmlns:a16="http://schemas.microsoft.com/office/drawing/2014/main" id="{406F3FB9-5465-4CE5-9A87-0ED48739161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44249C3D-8874-4B43-A150-830B50C1CC5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3055700E-F77D-4EE6-AE9E-A2E7CA6D821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0451100A-3D06-4A15-9D77-E7CB50AFAFC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51A284E8-2982-4958-B54C-D9B0B67353C1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6" name="rect">
          <a:extLst>
            <a:ext uri="{FF2B5EF4-FFF2-40B4-BE49-F238E27FC236}">
              <a16:creationId xmlns:a16="http://schemas.microsoft.com/office/drawing/2014/main" id="{35CB1837-A400-48E4-87C9-3B45862A419F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E05CBEF4-570F-41D9-8310-0A181D3F7BA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8" name="Rectángulo 127">
          <a:extLst>
            <a:ext uri="{FF2B5EF4-FFF2-40B4-BE49-F238E27FC236}">
              <a16:creationId xmlns:a16="http://schemas.microsoft.com/office/drawing/2014/main" id="{09BA263A-DDDD-4807-9A03-40260193A39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8E3CEBCA-3285-4886-98F1-373EA9A014A0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99E8D334-B11F-467E-BB25-3DBD2CBDD42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1" name="rect">
          <a:extLst>
            <a:ext uri="{FF2B5EF4-FFF2-40B4-BE49-F238E27FC236}">
              <a16:creationId xmlns:a16="http://schemas.microsoft.com/office/drawing/2014/main" id="{4CCB3045-FAEB-46BA-AA12-D6F918A1FA1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7F167B2A-CABF-4A42-9574-82763823707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33" name="Rectángulo 132">
          <a:extLst>
            <a:ext uri="{FF2B5EF4-FFF2-40B4-BE49-F238E27FC236}">
              <a16:creationId xmlns:a16="http://schemas.microsoft.com/office/drawing/2014/main" id="{175381C1-9347-4B08-A0C6-913B451BE04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4" name="Rectángulo 133">
          <a:extLst>
            <a:ext uri="{FF2B5EF4-FFF2-40B4-BE49-F238E27FC236}">
              <a16:creationId xmlns:a16="http://schemas.microsoft.com/office/drawing/2014/main" id="{C62DAD12-2A48-4702-A6E3-A248827DD13E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5" name="Rectángulo 134">
          <a:extLst>
            <a:ext uri="{FF2B5EF4-FFF2-40B4-BE49-F238E27FC236}">
              <a16:creationId xmlns:a16="http://schemas.microsoft.com/office/drawing/2014/main" id="{FA719D0D-58CC-4284-B45D-2762EB39F155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36" name="9 Imagen" descr=" ">
          <a:extLst>
            <a:ext uri="{FF2B5EF4-FFF2-40B4-BE49-F238E27FC236}">
              <a16:creationId xmlns:a16="http://schemas.microsoft.com/office/drawing/2014/main" id="{2D15C694-B66F-4FE5-BB3B-9DC93A2F65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2434FAE4-EC41-482F-81DA-D54D9D919A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38" name="Imagen 137" descr=" ">
          <a:extLst>
            <a:ext uri="{FF2B5EF4-FFF2-40B4-BE49-F238E27FC236}">
              <a16:creationId xmlns:a16="http://schemas.microsoft.com/office/drawing/2014/main" id="{3826D4BF-2500-4C5C-9C9F-431C0FDA0F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39" name="rect">
          <a:extLst>
            <a:ext uri="{FF2B5EF4-FFF2-40B4-BE49-F238E27FC236}">
              <a16:creationId xmlns:a16="http://schemas.microsoft.com/office/drawing/2014/main" id="{31010DBF-5011-44EC-8DAE-B1007A3B5FC9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0" name="Rectángulo 139">
          <a:extLst>
            <a:ext uri="{FF2B5EF4-FFF2-40B4-BE49-F238E27FC236}">
              <a16:creationId xmlns:a16="http://schemas.microsoft.com/office/drawing/2014/main" id="{CD3E9299-EC01-45A3-9EFC-9838765812C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1" name="Rectángulo 140">
          <a:extLst>
            <a:ext uri="{FF2B5EF4-FFF2-40B4-BE49-F238E27FC236}">
              <a16:creationId xmlns:a16="http://schemas.microsoft.com/office/drawing/2014/main" id="{31579AC6-B7EB-4E6E-A01D-B90D1057FCF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4BE8B83C-3EC0-40E3-ADEF-9C9676AE261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3" name="Rectángulo 142">
          <a:extLst>
            <a:ext uri="{FF2B5EF4-FFF2-40B4-BE49-F238E27FC236}">
              <a16:creationId xmlns:a16="http://schemas.microsoft.com/office/drawing/2014/main" id="{E55C6DD6-5FF3-443F-8765-6C4D0BD2912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4" name="Rectángulo 8">
          <a:extLst>
            <a:ext uri="{FF2B5EF4-FFF2-40B4-BE49-F238E27FC236}">
              <a16:creationId xmlns:a16="http://schemas.microsoft.com/office/drawing/2014/main" id="{3D194C28-0FEF-4001-83F8-8EE8740BCC8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E764989A-5D05-46F6-BE75-18C1FA1A8AC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6" name="Rectángulo 145">
          <a:extLst>
            <a:ext uri="{FF2B5EF4-FFF2-40B4-BE49-F238E27FC236}">
              <a16:creationId xmlns:a16="http://schemas.microsoft.com/office/drawing/2014/main" id="{0520F64F-C261-4789-AD27-798879101B2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7" name="Rectángulo 146">
          <a:extLst>
            <a:ext uri="{FF2B5EF4-FFF2-40B4-BE49-F238E27FC236}">
              <a16:creationId xmlns:a16="http://schemas.microsoft.com/office/drawing/2014/main" id="{BF0E8084-F09C-45BB-B187-CA280C99264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8" name="Rectángulo 8">
          <a:extLst>
            <a:ext uri="{FF2B5EF4-FFF2-40B4-BE49-F238E27FC236}">
              <a16:creationId xmlns:a16="http://schemas.microsoft.com/office/drawing/2014/main" id="{B0D22C9D-DADB-4683-9C66-AA28804F993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9" name="Rectángulo 148">
          <a:extLst>
            <a:ext uri="{FF2B5EF4-FFF2-40B4-BE49-F238E27FC236}">
              <a16:creationId xmlns:a16="http://schemas.microsoft.com/office/drawing/2014/main" id="{E8A4CAA7-88CC-4931-9EA5-99E029B934A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0" name="Rectángulo 8">
          <a:extLst>
            <a:ext uri="{FF2B5EF4-FFF2-40B4-BE49-F238E27FC236}">
              <a16:creationId xmlns:a16="http://schemas.microsoft.com/office/drawing/2014/main" id="{1598A11F-B2C8-4029-9FBB-7E0F3B89DC59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85F727B9-51DD-4A79-B33F-8DFE616A6E1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2" name="Rectángulo 151">
          <a:extLst>
            <a:ext uri="{FF2B5EF4-FFF2-40B4-BE49-F238E27FC236}">
              <a16:creationId xmlns:a16="http://schemas.microsoft.com/office/drawing/2014/main" id="{B0D6683D-59B2-4237-9504-FFD5FE6A3BA7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2ABA1716-DE5F-4579-A293-572CC5BF8F3A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4" name="Rectángulo 8">
          <a:extLst>
            <a:ext uri="{FF2B5EF4-FFF2-40B4-BE49-F238E27FC236}">
              <a16:creationId xmlns:a16="http://schemas.microsoft.com/office/drawing/2014/main" id="{893217AB-31A9-48F3-AFED-2317DBACCCA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5" name="Rectángulo 154">
          <a:extLst>
            <a:ext uri="{FF2B5EF4-FFF2-40B4-BE49-F238E27FC236}">
              <a16:creationId xmlns:a16="http://schemas.microsoft.com/office/drawing/2014/main" id="{EADC3798-8E66-407E-BE0B-35E22CEBE0E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6" name="Rectángulo 155">
          <a:extLst>
            <a:ext uri="{FF2B5EF4-FFF2-40B4-BE49-F238E27FC236}">
              <a16:creationId xmlns:a16="http://schemas.microsoft.com/office/drawing/2014/main" id="{B9415C72-CE5E-45D4-8AD5-B32630FE0641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7" name="Rectángulo 156">
          <a:extLst>
            <a:ext uri="{FF2B5EF4-FFF2-40B4-BE49-F238E27FC236}">
              <a16:creationId xmlns:a16="http://schemas.microsoft.com/office/drawing/2014/main" id="{9447B6F0-435C-4E0F-8CE9-1AD56E74F976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8F604819-6895-4C9C-BEF2-4D8187F48E1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4E2EDB8A-D401-4423-A1B3-921E2A342FE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0" name="Rectángulo 159">
          <a:extLst>
            <a:ext uri="{FF2B5EF4-FFF2-40B4-BE49-F238E27FC236}">
              <a16:creationId xmlns:a16="http://schemas.microsoft.com/office/drawing/2014/main" id="{9DDBE84B-90BF-40CA-8EC2-E5705B106CE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B3F2519B-0BDB-494D-977D-B9CCA5039CA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BE543A4C-BD9D-4381-B505-295EEEF03D0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35E8850D-1786-4EC9-A683-5B7757B5E61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4" name="rect">
          <a:extLst>
            <a:ext uri="{FF2B5EF4-FFF2-40B4-BE49-F238E27FC236}">
              <a16:creationId xmlns:a16="http://schemas.microsoft.com/office/drawing/2014/main" id="{0C7D02C5-8559-42C4-A88E-916A5DC1A4A8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5" name="rect">
          <a:extLst>
            <a:ext uri="{FF2B5EF4-FFF2-40B4-BE49-F238E27FC236}">
              <a16:creationId xmlns:a16="http://schemas.microsoft.com/office/drawing/2014/main" id="{E5B9A838-507B-44CA-87CE-905FBFD80FE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66" name="Rectángulo 165">
          <a:extLst>
            <a:ext uri="{FF2B5EF4-FFF2-40B4-BE49-F238E27FC236}">
              <a16:creationId xmlns:a16="http://schemas.microsoft.com/office/drawing/2014/main" id="{E5D09411-2155-42E0-BFBC-33254EF6617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BA3209DC-5D5A-4E65-BC45-B6E2D5EB372E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8" name="Rectángulo 8">
          <a:extLst>
            <a:ext uri="{FF2B5EF4-FFF2-40B4-BE49-F238E27FC236}">
              <a16:creationId xmlns:a16="http://schemas.microsoft.com/office/drawing/2014/main" id="{283F4589-37B0-496E-A653-1883EFAA4318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9" name="rect">
          <a:extLst>
            <a:ext uri="{FF2B5EF4-FFF2-40B4-BE49-F238E27FC236}">
              <a16:creationId xmlns:a16="http://schemas.microsoft.com/office/drawing/2014/main" id="{F49A0C53-06C1-4BB3-9B13-0C5C14E16793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0" name="rect">
          <a:extLst>
            <a:ext uri="{FF2B5EF4-FFF2-40B4-BE49-F238E27FC236}">
              <a16:creationId xmlns:a16="http://schemas.microsoft.com/office/drawing/2014/main" id="{2C7EF854-FEA8-4925-A9C7-81918570157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1" name="Rectángulo 170">
          <a:extLst>
            <a:ext uri="{FF2B5EF4-FFF2-40B4-BE49-F238E27FC236}">
              <a16:creationId xmlns:a16="http://schemas.microsoft.com/office/drawing/2014/main" id="{25BAA103-0ACD-4C44-A0E9-52213EAEE06C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CC447673-0963-4FF2-8F31-CE7BDE4E542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3" name="Rectángulo 8">
          <a:extLst>
            <a:ext uri="{FF2B5EF4-FFF2-40B4-BE49-F238E27FC236}">
              <a16:creationId xmlns:a16="http://schemas.microsoft.com/office/drawing/2014/main" id="{857CCBAA-A7B6-4A72-B0AB-145959901FE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FEEED3AE-241B-4BC3-AD89-01395FB1CC8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5" name="rect">
          <a:extLst>
            <a:ext uri="{FF2B5EF4-FFF2-40B4-BE49-F238E27FC236}">
              <a16:creationId xmlns:a16="http://schemas.microsoft.com/office/drawing/2014/main" id="{87CEE1D1-F7EF-4C5C-B4C8-05B2FEAA283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6" name="Rectángulo 175">
          <a:extLst>
            <a:ext uri="{FF2B5EF4-FFF2-40B4-BE49-F238E27FC236}">
              <a16:creationId xmlns:a16="http://schemas.microsoft.com/office/drawing/2014/main" id="{256B958B-DF00-4BC6-B088-D0CBFD69EDD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71E98DFF-E098-43AB-B2F1-6434722C69F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8" name="Rectángulo 8">
          <a:extLst>
            <a:ext uri="{FF2B5EF4-FFF2-40B4-BE49-F238E27FC236}">
              <a16:creationId xmlns:a16="http://schemas.microsoft.com/office/drawing/2014/main" id="{206B12EC-58C9-4F83-AC9D-F76ACEC7511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D7E2510A-2EE9-4131-AEF9-0C09CD4543EF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80" name="rect">
          <a:extLst>
            <a:ext uri="{FF2B5EF4-FFF2-40B4-BE49-F238E27FC236}">
              <a16:creationId xmlns:a16="http://schemas.microsoft.com/office/drawing/2014/main" id="{7D4A692F-5D76-46B1-B645-D3EA390F947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1" name="Rectángulo 180">
          <a:extLst>
            <a:ext uri="{FF2B5EF4-FFF2-40B4-BE49-F238E27FC236}">
              <a16:creationId xmlns:a16="http://schemas.microsoft.com/office/drawing/2014/main" id="{9DE99A52-B798-4004-937A-5E3482BD09BF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82" name="Rectángulo 181">
          <a:extLst>
            <a:ext uri="{FF2B5EF4-FFF2-40B4-BE49-F238E27FC236}">
              <a16:creationId xmlns:a16="http://schemas.microsoft.com/office/drawing/2014/main" id="{E13FEA1C-81B8-4727-8173-57AAEB4DD6E1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1007408</xdr:colOff>
      <xdr:row>59</xdr:row>
      <xdr:rowOff>153988</xdr:rowOff>
    </xdr:from>
    <xdr:ext cx="184731" cy="655885"/>
    <xdr:sp macro="" textlink="">
      <xdr:nvSpPr>
        <xdr:cNvPr id="183" name="Rectángulo 182">
          <a:extLst>
            <a:ext uri="{FF2B5EF4-FFF2-40B4-BE49-F238E27FC236}">
              <a16:creationId xmlns:a16="http://schemas.microsoft.com/office/drawing/2014/main" id="{4EA742FD-3B0A-4ABA-BE0E-7384C37DB492}"/>
            </a:ext>
          </a:extLst>
        </xdr:cNvPr>
        <xdr:cNvSpPr/>
      </xdr:nvSpPr>
      <xdr:spPr>
        <a:xfrm>
          <a:off x="1007408" y="14203363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84" name="9 Imagen" descr=" ">
          <a:extLst>
            <a:ext uri="{FF2B5EF4-FFF2-40B4-BE49-F238E27FC236}">
              <a16:creationId xmlns:a16="http://schemas.microsoft.com/office/drawing/2014/main" id="{944F7FDB-E73F-4D9A-9CD0-FD6C1238CB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85" name="rect">
          <a:extLst>
            <a:ext uri="{FF2B5EF4-FFF2-40B4-BE49-F238E27FC236}">
              <a16:creationId xmlns:a16="http://schemas.microsoft.com/office/drawing/2014/main" id="{4BA0A0DF-8F1F-43DA-B33E-70C8E04CCA28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86" name="Imagen 185" descr=" ">
          <a:extLst>
            <a:ext uri="{FF2B5EF4-FFF2-40B4-BE49-F238E27FC236}">
              <a16:creationId xmlns:a16="http://schemas.microsoft.com/office/drawing/2014/main" id="{A2BD2F5D-289A-4F3F-8794-B9C797DA1F4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87" name="rect">
          <a:extLst>
            <a:ext uri="{FF2B5EF4-FFF2-40B4-BE49-F238E27FC236}">
              <a16:creationId xmlns:a16="http://schemas.microsoft.com/office/drawing/2014/main" id="{1C60D081-F442-4FF3-B36B-BB06B8CC3169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8" name="Rectángulo 187">
          <a:extLst>
            <a:ext uri="{FF2B5EF4-FFF2-40B4-BE49-F238E27FC236}">
              <a16:creationId xmlns:a16="http://schemas.microsoft.com/office/drawing/2014/main" id="{FDC20745-297E-423E-9947-6E12623826F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620F5C15-7FAC-44F0-A365-66188099CFDA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0" name="Rectángulo 189">
          <a:extLst>
            <a:ext uri="{FF2B5EF4-FFF2-40B4-BE49-F238E27FC236}">
              <a16:creationId xmlns:a16="http://schemas.microsoft.com/office/drawing/2014/main" id="{C0D277CE-00C0-45CD-B488-8B76832F389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1" name="Rectángulo 190">
          <a:extLst>
            <a:ext uri="{FF2B5EF4-FFF2-40B4-BE49-F238E27FC236}">
              <a16:creationId xmlns:a16="http://schemas.microsoft.com/office/drawing/2014/main" id="{164F7CD0-6498-4D03-97A1-381F102109FF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" name="Rectángulo 8">
          <a:extLst>
            <a:ext uri="{FF2B5EF4-FFF2-40B4-BE49-F238E27FC236}">
              <a16:creationId xmlns:a16="http://schemas.microsoft.com/office/drawing/2014/main" id="{6B383DCD-0217-47C4-820E-6474FED3B35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A38DC09B-9AD0-490E-8250-AD62EFDBE64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C1AACBF-E354-4A10-909D-83E9AD0352A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0596B9F-C112-4AFC-BCB7-9BCB6CD1119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" name="Rectángulo 8">
          <a:extLst>
            <a:ext uri="{FF2B5EF4-FFF2-40B4-BE49-F238E27FC236}">
              <a16:creationId xmlns:a16="http://schemas.microsoft.com/office/drawing/2014/main" id="{4E81C547-4A4D-4EB6-91F4-34119A8E3B2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F8E8755-8DDD-4A7D-AB5A-FCD52F3D349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38203E56-22C9-4228-821C-2EA282CE6DB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911202F-B495-4D16-9941-1D2ADE3269F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6E427B0-1AD6-4BE4-835A-F4141654057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D60F5CF-0335-41F4-80B3-79CE3F873DB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FB510C35-3A73-4D4C-9E4C-042C8D87B62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7A7679EA-3AD9-43A6-A624-3837346E81C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44AE09C-4B07-43B6-88BB-CA5A49C613AD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8B98FDAC-F8F4-49A4-A915-954F60FE3056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5BDA479C-1E75-4051-8CDF-8AD2E96F75C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B10235ED-64A4-48AF-A220-779ED9AF508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7B137DC-3846-43A1-AF46-A1DEFC6D9F1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C67618B-EFDA-47F9-AA3C-EBF1A876E3E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0" name="Rectángulo 8">
          <a:extLst>
            <a:ext uri="{FF2B5EF4-FFF2-40B4-BE49-F238E27FC236}">
              <a16:creationId xmlns:a16="http://schemas.microsoft.com/office/drawing/2014/main" id="{57C70695-D8F2-4397-9178-15F13AB688E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1" name="Rectángulo 8">
          <a:extLst>
            <a:ext uri="{FF2B5EF4-FFF2-40B4-BE49-F238E27FC236}">
              <a16:creationId xmlns:a16="http://schemas.microsoft.com/office/drawing/2014/main" id="{AF0AF05A-2E9E-4465-85A0-3C35AAA1F9B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2" name="rect">
          <a:extLst>
            <a:ext uri="{FF2B5EF4-FFF2-40B4-BE49-F238E27FC236}">
              <a16:creationId xmlns:a16="http://schemas.microsoft.com/office/drawing/2014/main" id="{0EEF3930-2F9D-4672-8BCD-8D4BDFD21FD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27108B35-7085-416D-84C8-E3DC7A156AA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2B4CF471-AE57-49FC-B77B-8297E76FCB5A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C981477F-578C-4766-A4D9-D637F9DC6F9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26" name="Rectángulo 8">
          <a:extLst>
            <a:ext uri="{FF2B5EF4-FFF2-40B4-BE49-F238E27FC236}">
              <a16:creationId xmlns:a16="http://schemas.microsoft.com/office/drawing/2014/main" id="{90C96AA2-6AEA-4E25-B725-0E535E70522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4AEA9A3B-82C1-4F3B-8A66-BE4977B6D458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349165AE-511F-4BB3-AD10-20E3BAE5185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119E90D0-5BDF-4B01-BCD4-4E8C57A5545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9184D83F-D7DA-475A-BAA7-DBAC8920A29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1" name="Rectángulo 8">
          <a:extLst>
            <a:ext uri="{FF2B5EF4-FFF2-40B4-BE49-F238E27FC236}">
              <a16:creationId xmlns:a16="http://schemas.microsoft.com/office/drawing/2014/main" id="{4C9D1592-D40B-4387-9FB1-265957FAC8C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DB2F0D80-DD81-4815-B062-8C252F424C8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59DAB870-B02E-415A-AFF1-955BAC9FF50A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903F9D7E-A525-48BC-B3D3-E77E7B0C844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E44029FC-FAA6-4C51-9139-6D10631953C0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36" name="Rectángulo 8">
          <a:extLst>
            <a:ext uri="{FF2B5EF4-FFF2-40B4-BE49-F238E27FC236}">
              <a16:creationId xmlns:a16="http://schemas.microsoft.com/office/drawing/2014/main" id="{825B8947-ECE0-46B1-976F-839B094CC07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86F668DA-2C5E-4C2A-BA58-E28C35D69B29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CA7A03A2-7166-4B01-9260-514E0F43C5E4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A357731C-739A-4C2E-A646-66497D7466E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9E781489-C9A3-4031-83E7-736CCD40EF53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3E3A6312-F49D-4849-AEB3-648EEF13F3E2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42" name="9 Imagen" descr=" ">
          <a:extLst>
            <a:ext uri="{FF2B5EF4-FFF2-40B4-BE49-F238E27FC236}">
              <a16:creationId xmlns:a16="http://schemas.microsoft.com/office/drawing/2014/main" id="{C2699D29-577A-420E-8997-FB60D28826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CEE0C2FC-664D-456B-9BC6-D2AF2177375E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31</xdr:col>
      <xdr:colOff>498322</xdr:colOff>
      <xdr:row>27</xdr:row>
      <xdr:rowOff>44596</xdr:rowOff>
    </xdr:from>
    <xdr:to>
      <xdr:col>32</xdr:col>
      <xdr:colOff>97414</xdr:colOff>
      <xdr:row>29</xdr:row>
      <xdr:rowOff>158895</xdr:rowOff>
    </xdr:to>
    <xdr:pic>
      <xdr:nvPicPr>
        <xdr:cNvPr id="44" name="Imagen 43" descr=" ">
          <a:extLst>
            <a:ext uri="{FF2B5EF4-FFF2-40B4-BE49-F238E27FC236}">
              <a16:creationId xmlns:a16="http://schemas.microsoft.com/office/drawing/2014/main" id="{30609EDC-DF1A-4395-83FB-FB8CF05718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35045497" y="6473971"/>
          <a:ext cx="713517" cy="5905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29</xdr:col>
      <xdr:colOff>985837</xdr:colOff>
      <xdr:row>23</xdr:row>
      <xdr:rowOff>57150</xdr:rowOff>
    </xdr:from>
    <xdr:to>
      <xdr:col>33</xdr:col>
      <xdr:colOff>985837</xdr:colOff>
      <xdr:row>25</xdr:row>
      <xdr:rowOff>123825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0EFF38ED-A636-40AA-9129-E36B8FD143E5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33304162" y="5534025"/>
          <a:ext cx="4457700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BBFEB282-8E0C-440E-A633-4E7FBF9C3DC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7186E19C-4C9E-4DA9-AD51-FA0355562BD0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F61D742B-C0ED-428D-8968-6BEF31E95C8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EDFC5491-B3CD-4FDF-8447-7C8B60191F5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CF015A3D-2D50-4D1E-99AF-44A70351302C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A2573F4D-F6A6-4940-8F09-B3B578F6ADC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5FF0A28A-2EC7-4C04-8696-BFFFB2362AB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628CDD2-97A6-42BC-82BC-E23CFD42DF8F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60BBF6F8-FE96-4431-9EFB-980312EE085E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DF8D9437-65D0-4E68-9898-DC2EE826A796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6" name="Rectángulo 8">
          <a:extLst>
            <a:ext uri="{FF2B5EF4-FFF2-40B4-BE49-F238E27FC236}">
              <a16:creationId xmlns:a16="http://schemas.microsoft.com/office/drawing/2014/main" id="{54FD2D6B-3B9A-4397-B68D-7D1EA3975B1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064BDE33-B910-4F5F-8538-739E0CBA6F7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A1DF2304-BB70-49E3-A8AC-A7C9B7BBFDC3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A6BFAD53-DAC7-493B-9A37-491EB5A273B3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50649F44-9FC6-4FDA-97E6-206D970926E2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6D962F8F-9286-4371-A6F2-B32A5532314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216111AB-C9D9-4E7F-BEBB-3B6D05D08D57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C56F023A-A475-4A03-AC02-E8E4AFE7842E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8C6C84C3-3083-4785-9EA9-2262792305CF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A1D54CE1-E9D3-4513-B95F-BEA8422D9F3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07577206-F2B9-4AF7-971C-87322593B40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504BBB59-4E64-4E82-9A1F-0C9E28AB31E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2A889D91-342F-42AB-B40A-67DE5332AF7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D2D93116-385A-4DD5-9F56-E40378D7C41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0" name="rect">
          <a:extLst>
            <a:ext uri="{FF2B5EF4-FFF2-40B4-BE49-F238E27FC236}">
              <a16:creationId xmlns:a16="http://schemas.microsoft.com/office/drawing/2014/main" id="{CFAAC6FC-F44F-4FD7-A218-97BF644ECC9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2536FA73-82E2-45E6-9A77-16D5A511F8B0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26D9B1AB-D046-480C-8D97-9540C9A10F5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B415E60F-A428-4BF8-8F8B-578DF7E250DC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8CE51E98-1213-48B0-901E-6FE5E9FEC2D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5" name="rect">
          <a:extLst>
            <a:ext uri="{FF2B5EF4-FFF2-40B4-BE49-F238E27FC236}">
              <a16:creationId xmlns:a16="http://schemas.microsoft.com/office/drawing/2014/main" id="{BE4CCDEA-0D96-43A6-9319-CC0821A10833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A1DE0240-FB6B-4C17-977B-3EFE3E1CAA5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DC448BF7-653B-4152-B0A9-4129CDCAB70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554E0324-291F-45F9-93A9-4CEAA57A4D6D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77011F14-99FD-48EE-8012-5658CEF4CC4E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0" name="rect">
          <a:extLst>
            <a:ext uri="{FF2B5EF4-FFF2-40B4-BE49-F238E27FC236}">
              <a16:creationId xmlns:a16="http://schemas.microsoft.com/office/drawing/2014/main" id="{D1BFDC4A-36BA-4BCC-8BAC-A3CD725BD7D5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79DC0034-30F4-46BD-8459-6D33732EE0E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407ED539-952F-458B-88F5-879A052CD173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4D7F86B0-CBC3-46B5-B6D4-41B6E1F6842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84" name="Rectángulo 8">
          <a:extLst>
            <a:ext uri="{FF2B5EF4-FFF2-40B4-BE49-F238E27FC236}">
              <a16:creationId xmlns:a16="http://schemas.microsoft.com/office/drawing/2014/main" id="{4C5C755D-B659-40B7-9EBF-1A2A0672C952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5" name="rect">
          <a:extLst>
            <a:ext uri="{FF2B5EF4-FFF2-40B4-BE49-F238E27FC236}">
              <a16:creationId xmlns:a16="http://schemas.microsoft.com/office/drawing/2014/main" id="{3ED3303B-BF57-4BFA-BE79-ACDB2CD0A9C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86" name="rect">
          <a:extLst>
            <a:ext uri="{FF2B5EF4-FFF2-40B4-BE49-F238E27FC236}">
              <a16:creationId xmlns:a16="http://schemas.microsoft.com/office/drawing/2014/main" id="{5D546738-D802-47E4-9DD0-058187140E8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9AAEFEB6-B624-4E12-943D-5FF7B0EE2D0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C979767E-FF5B-4611-8751-9F0141110E64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1A85E893-A5AD-4617-8681-1ACB69F19DC4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90" name="9 Imagen" descr=" ">
          <a:extLst>
            <a:ext uri="{FF2B5EF4-FFF2-40B4-BE49-F238E27FC236}">
              <a16:creationId xmlns:a16="http://schemas.microsoft.com/office/drawing/2014/main" id="{B16C1F2D-DB99-477D-B94D-AC0F4999FA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91" name="rect">
          <a:extLst>
            <a:ext uri="{FF2B5EF4-FFF2-40B4-BE49-F238E27FC236}">
              <a16:creationId xmlns:a16="http://schemas.microsoft.com/office/drawing/2014/main" id="{BB4836B2-75E8-467B-B645-C8D0B30B7D3E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9FD12D0B-CEF3-4CD3-A01E-3D42A88173E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637AC4CA-A9CA-417F-A9DF-0D442B6DC134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63C3C3FF-219D-4338-82BF-DB441D67B74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CCFE75BF-59D8-44CB-A39D-845CA662604B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10E07B78-E8C0-43D4-9982-02DC79C6DA71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7" name="Rectángulo 8">
          <a:extLst>
            <a:ext uri="{FF2B5EF4-FFF2-40B4-BE49-F238E27FC236}">
              <a16:creationId xmlns:a16="http://schemas.microsoft.com/office/drawing/2014/main" id="{4026BBFA-AD1B-48ED-99C5-2B099705BB4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F9CAEC0A-86DF-43D0-A2C2-E3ABEC6874D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99" name="Rectángulo 98">
          <a:extLst>
            <a:ext uri="{FF2B5EF4-FFF2-40B4-BE49-F238E27FC236}">
              <a16:creationId xmlns:a16="http://schemas.microsoft.com/office/drawing/2014/main" id="{549C23CE-192D-47AA-A342-D733B36CC49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7C9007CA-955A-40E5-8606-5B37C1CF870C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535B95C4-AAEA-4FA3-90B0-540804F7BC0E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2" name="Rectángulo 8">
          <a:extLst>
            <a:ext uri="{FF2B5EF4-FFF2-40B4-BE49-F238E27FC236}">
              <a16:creationId xmlns:a16="http://schemas.microsoft.com/office/drawing/2014/main" id="{61CE450D-9EAA-49EC-9A67-7B5A64937167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E0659AFD-279E-4B5C-9F4B-9A13614C6EC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5E86D8F3-5CC8-423B-84ED-CB9408EEA9E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AC979ACB-15C2-40B5-84C2-6C0C362872E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E68F578C-D89C-49E6-BB27-159BEEC9731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B06500DA-24A6-4D66-AB04-FD1A3D10D40B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DD07BCB2-BFF8-4AE7-9820-AD93EC1F009B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3E6CD6D8-D436-4AAB-95F9-89D053D35D0E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0" name="Rectángulo 109">
          <a:extLst>
            <a:ext uri="{FF2B5EF4-FFF2-40B4-BE49-F238E27FC236}">
              <a16:creationId xmlns:a16="http://schemas.microsoft.com/office/drawing/2014/main" id="{A0C5B3ED-69D5-4784-9F97-CF8110E4296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94CADFD4-B113-40A1-BE70-3ED122C32219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7FD4D2AA-9D02-42A1-801A-7C8C1B16D36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C8C9331A-784D-47A6-B213-4AD4A1622FD5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4" name="Rectángulo 8">
          <a:extLst>
            <a:ext uri="{FF2B5EF4-FFF2-40B4-BE49-F238E27FC236}">
              <a16:creationId xmlns:a16="http://schemas.microsoft.com/office/drawing/2014/main" id="{9F0C102D-422B-4856-A0CA-D77D0378815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C9F66A03-5BB7-4184-B84A-8B5095C9001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6" name="rect">
          <a:extLst>
            <a:ext uri="{FF2B5EF4-FFF2-40B4-BE49-F238E27FC236}">
              <a16:creationId xmlns:a16="http://schemas.microsoft.com/office/drawing/2014/main" id="{0DD2C6F3-3189-43DA-B702-337B30F06B72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F9C2DA46-ADF1-46BF-B00B-641496659F8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D541EEB0-FCF1-4EB9-B605-BEDC0A0F61F7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24E822FD-1F42-4F59-B7AB-A1AC1D876C11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4483F631-D2F7-406F-AC0F-C1893798A5D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1" name="rect">
          <a:extLst>
            <a:ext uri="{FF2B5EF4-FFF2-40B4-BE49-F238E27FC236}">
              <a16:creationId xmlns:a16="http://schemas.microsoft.com/office/drawing/2014/main" id="{6BF206CD-C135-4C7D-85FE-4708D14A17AE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F989E709-F24E-4585-BA68-79834914CBFC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67055756-81B7-43B7-B7C4-BC8A5E90AAB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A115D11D-BD61-4577-9135-8CF3B49D5145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82C938E3-9680-4D6B-8F10-90F0A0653C4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6" name="rect">
          <a:extLst>
            <a:ext uri="{FF2B5EF4-FFF2-40B4-BE49-F238E27FC236}">
              <a16:creationId xmlns:a16="http://schemas.microsoft.com/office/drawing/2014/main" id="{B62029BE-D4BB-46EC-8D20-76CF867BAC38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C95A5C0F-EBD2-4A90-A015-3F2937122D5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28" name="Rectángulo 127">
          <a:extLst>
            <a:ext uri="{FF2B5EF4-FFF2-40B4-BE49-F238E27FC236}">
              <a16:creationId xmlns:a16="http://schemas.microsoft.com/office/drawing/2014/main" id="{D66C50B2-B91F-4C27-9FED-1C57EADE447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1C0A2E87-4A66-4F1D-A9B6-627C833889EF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618F3642-62B5-47FA-9CB9-7197168F0F26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1" name="rect">
          <a:extLst>
            <a:ext uri="{FF2B5EF4-FFF2-40B4-BE49-F238E27FC236}">
              <a16:creationId xmlns:a16="http://schemas.microsoft.com/office/drawing/2014/main" id="{5784A64A-9BB7-44EC-BDA5-5487036EE05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6C506E0F-2A87-4DA3-AFED-BF5FCAABFDB7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33" name="Rectángulo 132">
          <a:extLst>
            <a:ext uri="{FF2B5EF4-FFF2-40B4-BE49-F238E27FC236}">
              <a16:creationId xmlns:a16="http://schemas.microsoft.com/office/drawing/2014/main" id="{31CEA4DF-78AA-49AC-BEF5-D4513752C864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4" name="Rectángulo 133">
          <a:extLst>
            <a:ext uri="{FF2B5EF4-FFF2-40B4-BE49-F238E27FC236}">
              <a16:creationId xmlns:a16="http://schemas.microsoft.com/office/drawing/2014/main" id="{DFD5652B-46AB-4F73-B692-49EC5D7B0900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35" name="Rectángulo 134">
          <a:extLst>
            <a:ext uri="{FF2B5EF4-FFF2-40B4-BE49-F238E27FC236}">
              <a16:creationId xmlns:a16="http://schemas.microsoft.com/office/drawing/2014/main" id="{4ECC2C50-75E9-4659-B49B-316327AD3AA1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36" name="9 Imagen" descr=" ">
          <a:extLst>
            <a:ext uri="{FF2B5EF4-FFF2-40B4-BE49-F238E27FC236}">
              <a16:creationId xmlns:a16="http://schemas.microsoft.com/office/drawing/2014/main" id="{17A5CE58-F179-4337-8419-08BAAD5558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AF72B7C3-AE5B-4849-B6B3-11C9D038EC48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38" name="Imagen 137" descr=" ">
          <a:extLst>
            <a:ext uri="{FF2B5EF4-FFF2-40B4-BE49-F238E27FC236}">
              <a16:creationId xmlns:a16="http://schemas.microsoft.com/office/drawing/2014/main" id="{085D5F1A-CED3-47BB-B40E-819B77887F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39" name="rect">
          <a:extLst>
            <a:ext uri="{FF2B5EF4-FFF2-40B4-BE49-F238E27FC236}">
              <a16:creationId xmlns:a16="http://schemas.microsoft.com/office/drawing/2014/main" id="{93C84E33-9FA6-4E70-8FBB-45487AAB720A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0" name="Rectángulo 139">
          <a:extLst>
            <a:ext uri="{FF2B5EF4-FFF2-40B4-BE49-F238E27FC236}">
              <a16:creationId xmlns:a16="http://schemas.microsoft.com/office/drawing/2014/main" id="{56E940B5-B170-4494-AB27-CBCEC6D07689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1" name="Rectángulo 140">
          <a:extLst>
            <a:ext uri="{FF2B5EF4-FFF2-40B4-BE49-F238E27FC236}">
              <a16:creationId xmlns:a16="http://schemas.microsoft.com/office/drawing/2014/main" id="{D47F7AF7-1FC2-467F-B5A8-14C47A2535D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9BE81D95-1678-4723-99A1-16EF9A3B036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43" name="Rectángulo 142">
          <a:extLst>
            <a:ext uri="{FF2B5EF4-FFF2-40B4-BE49-F238E27FC236}">
              <a16:creationId xmlns:a16="http://schemas.microsoft.com/office/drawing/2014/main" id="{39B17FA9-8D0D-4B75-A5E9-730B2B67CEC8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4" name="Rectángulo 8">
          <a:extLst>
            <a:ext uri="{FF2B5EF4-FFF2-40B4-BE49-F238E27FC236}">
              <a16:creationId xmlns:a16="http://schemas.microsoft.com/office/drawing/2014/main" id="{3D7A0CB5-AB38-4BF4-ADFF-6BD068912B8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7E727EF6-9875-4E86-8790-23EC63BD772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6" name="Rectángulo 145">
          <a:extLst>
            <a:ext uri="{FF2B5EF4-FFF2-40B4-BE49-F238E27FC236}">
              <a16:creationId xmlns:a16="http://schemas.microsoft.com/office/drawing/2014/main" id="{E28E2C2F-04CC-4FD0-B7F5-BE2DB1CC880D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7" name="Rectángulo 146">
          <a:extLst>
            <a:ext uri="{FF2B5EF4-FFF2-40B4-BE49-F238E27FC236}">
              <a16:creationId xmlns:a16="http://schemas.microsoft.com/office/drawing/2014/main" id="{E0B876E0-B86A-4D50-BDCD-9A49390B589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48" name="Rectángulo 8">
          <a:extLst>
            <a:ext uri="{FF2B5EF4-FFF2-40B4-BE49-F238E27FC236}">
              <a16:creationId xmlns:a16="http://schemas.microsoft.com/office/drawing/2014/main" id="{C97CB60B-740B-450E-846E-76140B58F734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49" name="Rectángulo 148">
          <a:extLst>
            <a:ext uri="{FF2B5EF4-FFF2-40B4-BE49-F238E27FC236}">
              <a16:creationId xmlns:a16="http://schemas.microsoft.com/office/drawing/2014/main" id="{E994D8A1-505E-4E58-99FB-3D53B1B64C81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0" name="Rectángulo 8">
          <a:extLst>
            <a:ext uri="{FF2B5EF4-FFF2-40B4-BE49-F238E27FC236}">
              <a16:creationId xmlns:a16="http://schemas.microsoft.com/office/drawing/2014/main" id="{C0B609A3-41D8-4B00-B87E-6415DA2D656B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F9988449-C278-4F7B-9F1C-4FE820E101F6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2" name="Rectángulo 151">
          <a:extLst>
            <a:ext uri="{FF2B5EF4-FFF2-40B4-BE49-F238E27FC236}">
              <a16:creationId xmlns:a16="http://schemas.microsoft.com/office/drawing/2014/main" id="{93C4E34C-E998-4918-9AB3-E9C1C25C31B8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FEDC8ECE-593D-4335-B272-74F224F2F40D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4" name="Rectángulo 8">
          <a:extLst>
            <a:ext uri="{FF2B5EF4-FFF2-40B4-BE49-F238E27FC236}">
              <a16:creationId xmlns:a16="http://schemas.microsoft.com/office/drawing/2014/main" id="{565DDB59-7286-44DF-BE6D-C7055F7BD718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5" name="Rectángulo 154">
          <a:extLst>
            <a:ext uri="{FF2B5EF4-FFF2-40B4-BE49-F238E27FC236}">
              <a16:creationId xmlns:a16="http://schemas.microsoft.com/office/drawing/2014/main" id="{05FDFE5A-E4F4-491A-B2A9-2088793C4DAC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6" name="Rectángulo 155">
          <a:extLst>
            <a:ext uri="{FF2B5EF4-FFF2-40B4-BE49-F238E27FC236}">
              <a16:creationId xmlns:a16="http://schemas.microsoft.com/office/drawing/2014/main" id="{BAF1FE95-4761-46DA-A9EF-B9A58B0D3C4C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57" name="Rectángulo 156">
          <a:extLst>
            <a:ext uri="{FF2B5EF4-FFF2-40B4-BE49-F238E27FC236}">
              <a16:creationId xmlns:a16="http://schemas.microsoft.com/office/drawing/2014/main" id="{9A3B8EE5-4B43-4630-896E-9CF60C082469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01D578EF-8C6F-4892-A089-432D6F20C57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66BA0BEB-99C6-4B47-9064-0014BF4AC432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0" name="Rectángulo 159">
          <a:extLst>
            <a:ext uri="{FF2B5EF4-FFF2-40B4-BE49-F238E27FC236}">
              <a16:creationId xmlns:a16="http://schemas.microsoft.com/office/drawing/2014/main" id="{4EA9C1B4-1591-4C64-A243-0CD969CCEA8A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49635D2E-F626-468D-A6A4-B29A3D38396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41DC1139-3744-48EE-9B51-EA0FD4911895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79AA7307-5530-4233-A15E-29D062AA1D53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4" name="rect">
          <a:extLst>
            <a:ext uri="{FF2B5EF4-FFF2-40B4-BE49-F238E27FC236}">
              <a16:creationId xmlns:a16="http://schemas.microsoft.com/office/drawing/2014/main" id="{AB9EF146-D8BC-4DE5-BCAA-2BB8646BAF0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5" name="rect">
          <a:extLst>
            <a:ext uri="{FF2B5EF4-FFF2-40B4-BE49-F238E27FC236}">
              <a16:creationId xmlns:a16="http://schemas.microsoft.com/office/drawing/2014/main" id="{B8F38C97-93F5-45FB-8772-5EEC8714EE31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66" name="Rectángulo 165">
          <a:extLst>
            <a:ext uri="{FF2B5EF4-FFF2-40B4-BE49-F238E27FC236}">
              <a16:creationId xmlns:a16="http://schemas.microsoft.com/office/drawing/2014/main" id="{A6915B31-5537-4744-9801-AC0C9ADBC2AD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765AE0B5-9FAC-44D6-B77A-8656EBCBEA5B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68" name="Rectángulo 8">
          <a:extLst>
            <a:ext uri="{FF2B5EF4-FFF2-40B4-BE49-F238E27FC236}">
              <a16:creationId xmlns:a16="http://schemas.microsoft.com/office/drawing/2014/main" id="{D8AE8E09-A0E4-4BFC-AFE7-0A6B6F4C5574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69" name="rect">
          <a:extLst>
            <a:ext uri="{FF2B5EF4-FFF2-40B4-BE49-F238E27FC236}">
              <a16:creationId xmlns:a16="http://schemas.microsoft.com/office/drawing/2014/main" id="{A7F1BB6F-9FF7-46E9-BB56-CF1B9C7CC70D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0" name="rect">
          <a:extLst>
            <a:ext uri="{FF2B5EF4-FFF2-40B4-BE49-F238E27FC236}">
              <a16:creationId xmlns:a16="http://schemas.microsoft.com/office/drawing/2014/main" id="{A8F9A5BE-87C0-43F4-A61E-74F444C8105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1" name="Rectángulo 170">
          <a:extLst>
            <a:ext uri="{FF2B5EF4-FFF2-40B4-BE49-F238E27FC236}">
              <a16:creationId xmlns:a16="http://schemas.microsoft.com/office/drawing/2014/main" id="{F37DE3E3-8B60-4CD1-AC18-6219CB31D0C5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9478E7F3-2D0C-4454-AE0D-A841C8382FA1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3" name="Rectángulo 8">
          <a:extLst>
            <a:ext uri="{FF2B5EF4-FFF2-40B4-BE49-F238E27FC236}">
              <a16:creationId xmlns:a16="http://schemas.microsoft.com/office/drawing/2014/main" id="{4E5542A9-1D14-4790-AC61-97AE9C343DB9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1D0E2E18-EBC9-4952-B60F-E8BBE568282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5" name="rect">
          <a:extLst>
            <a:ext uri="{FF2B5EF4-FFF2-40B4-BE49-F238E27FC236}">
              <a16:creationId xmlns:a16="http://schemas.microsoft.com/office/drawing/2014/main" id="{D2FEA9D0-7487-40CE-9BBF-8E50C365654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76" name="Rectángulo 175">
          <a:extLst>
            <a:ext uri="{FF2B5EF4-FFF2-40B4-BE49-F238E27FC236}">
              <a16:creationId xmlns:a16="http://schemas.microsoft.com/office/drawing/2014/main" id="{89F1213E-9EE8-436A-85F8-F7DAA1525E16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F632328C-6A0A-48A2-933A-16019626CB1A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178" name="Rectángulo 8">
          <a:extLst>
            <a:ext uri="{FF2B5EF4-FFF2-40B4-BE49-F238E27FC236}">
              <a16:creationId xmlns:a16="http://schemas.microsoft.com/office/drawing/2014/main" id="{3AF80048-8C05-4318-8A99-064406D092C7}"/>
            </a:ext>
          </a:extLst>
        </xdr:cNvPr>
        <xdr:cNvSpPr/>
      </xdr:nvSpPr>
      <xdr:spPr>
        <a:xfrm>
          <a:off x="9722783" y="27305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ACD1F631-1AE4-4CC3-9E37-BE2F50B2109B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180" name="rect">
          <a:extLst>
            <a:ext uri="{FF2B5EF4-FFF2-40B4-BE49-F238E27FC236}">
              <a16:creationId xmlns:a16="http://schemas.microsoft.com/office/drawing/2014/main" id="{C008379A-852C-4389-8271-54DBA18A5256}"/>
            </a:ext>
          </a:extLst>
        </xdr:cNvPr>
        <xdr:cNvSpPr/>
      </xdr:nvSpPr>
      <xdr:spPr>
        <a:xfrm>
          <a:off x="9718748" y="2681585"/>
          <a:ext cx="0" cy="642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1" name="Rectángulo 180">
          <a:extLst>
            <a:ext uri="{FF2B5EF4-FFF2-40B4-BE49-F238E27FC236}">
              <a16:creationId xmlns:a16="http://schemas.microsoft.com/office/drawing/2014/main" id="{FF5D31C9-8AEA-4B29-8A91-8C3379B87C4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182" name="Rectángulo 181">
          <a:extLst>
            <a:ext uri="{FF2B5EF4-FFF2-40B4-BE49-F238E27FC236}">
              <a16:creationId xmlns:a16="http://schemas.microsoft.com/office/drawing/2014/main" id="{20912E82-5206-4C93-8826-FB0C7F07479B}"/>
            </a:ext>
          </a:extLst>
        </xdr:cNvPr>
        <xdr:cNvSpPr/>
      </xdr:nvSpPr>
      <xdr:spPr>
        <a:xfrm>
          <a:off x="959783" y="1427480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1007408</xdr:colOff>
      <xdr:row>59</xdr:row>
      <xdr:rowOff>153988</xdr:rowOff>
    </xdr:from>
    <xdr:ext cx="184731" cy="655885"/>
    <xdr:sp macro="" textlink="">
      <xdr:nvSpPr>
        <xdr:cNvPr id="183" name="Rectángulo 182">
          <a:extLst>
            <a:ext uri="{FF2B5EF4-FFF2-40B4-BE49-F238E27FC236}">
              <a16:creationId xmlns:a16="http://schemas.microsoft.com/office/drawing/2014/main" id="{3F5CBF31-0F6F-4B69-A873-5FCBF93587C5}"/>
            </a:ext>
          </a:extLst>
        </xdr:cNvPr>
        <xdr:cNvSpPr/>
      </xdr:nvSpPr>
      <xdr:spPr>
        <a:xfrm>
          <a:off x="1007408" y="14203363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226866</xdr:colOff>
      <xdr:row>56</xdr:row>
      <xdr:rowOff>65782</xdr:rowOff>
    </xdr:from>
    <xdr:to>
      <xdr:col>11</xdr:col>
      <xdr:colOff>900546</xdr:colOff>
      <xdr:row>59</xdr:row>
      <xdr:rowOff>16019</xdr:rowOff>
    </xdr:to>
    <xdr:pic>
      <xdr:nvPicPr>
        <xdr:cNvPr id="184" name="9 Imagen" descr=" ">
          <a:extLst>
            <a:ext uri="{FF2B5EF4-FFF2-40B4-BE49-F238E27FC236}">
              <a16:creationId xmlns:a16="http://schemas.microsoft.com/office/drawing/2014/main" id="{F6337BE4-98B6-4F03-941B-5E8358041A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485541" y="13400782"/>
          <a:ext cx="673680" cy="664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857250</xdr:colOff>
      <xdr:row>53</xdr:row>
      <xdr:rowOff>142875</xdr:rowOff>
    </xdr:from>
    <xdr:to>
      <xdr:col>13</xdr:col>
      <xdr:colOff>34925</xdr:colOff>
      <xdr:row>56</xdr:row>
      <xdr:rowOff>63211</xdr:rowOff>
    </xdr:to>
    <xdr:sp macro="" textlink="">
      <xdr:nvSpPr>
        <xdr:cNvPr id="185" name="rect">
          <a:extLst>
            <a:ext uri="{FF2B5EF4-FFF2-40B4-BE49-F238E27FC236}">
              <a16:creationId xmlns:a16="http://schemas.microsoft.com/office/drawing/2014/main" id="{D6319B32-1241-4ABE-8946-F70C1B3B333B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887075" y="12763500"/>
          <a:ext cx="3635375" cy="63471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38</xdr:col>
      <xdr:colOff>296999</xdr:colOff>
      <xdr:row>25</xdr:row>
      <xdr:rowOff>59749</xdr:rowOff>
    </xdr:from>
    <xdr:to>
      <xdr:col>38</xdr:col>
      <xdr:colOff>1004454</xdr:colOff>
      <xdr:row>27</xdr:row>
      <xdr:rowOff>178378</xdr:rowOff>
    </xdr:to>
    <xdr:pic>
      <xdr:nvPicPr>
        <xdr:cNvPr id="186" name="Imagen 185" descr=" ">
          <a:extLst>
            <a:ext uri="{FF2B5EF4-FFF2-40B4-BE49-F238E27FC236}">
              <a16:creationId xmlns:a16="http://schemas.microsoft.com/office/drawing/2014/main" id="{5CADD26E-806B-40E1-8835-3046E2C72EF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2645149" y="6012874"/>
          <a:ext cx="707455" cy="59487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36</xdr:col>
      <xdr:colOff>689262</xdr:colOff>
      <xdr:row>22</xdr:row>
      <xdr:rowOff>91786</xdr:rowOff>
    </xdr:from>
    <xdr:to>
      <xdr:col>40</xdr:col>
      <xdr:colOff>689263</xdr:colOff>
      <xdr:row>24</xdr:row>
      <xdr:rowOff>158461</xdr:rowOff>
    </xdr:to>
    <xdr:sp macro="" textlink="">
      <xdr:nvSpPr>
        <xdr:cNvPr id="187" name="rect">
          <a:extLst>
            <a:ext uri="{FF2B5EF4-FFF2-40B4-BE49-F238E27FC236}">
              <a16:creationId xmlns:a16="http://schemas.microsoft.com/office/drawing/2014/main" id="{5C661526-1904-4F21-B9AD-E1486E3FB9FC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40808562" y="5330536"/>
          <a:ext cx="4457701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8" name="Rectángulo 187">
          <a:extLst>
            <a:ext uri="{FF2B5EF4-FFF2-40B4-BE49-F238E27FC236}">
              <a16:creationId xmlns:a16="http://schemas.microsoft.com/office/drawing/2014/main" id="{516E6CAD-4197-4F22-8D26-DF5B24C7B1F2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67E3E5E9-AF79-4223-B35A-B35B8CB647AE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0" name="Rectángulo 189">
          <a:extLst>
            <a:ext uri="{FF2B5EF4-FFF2-40B4-BE49-F238E27FC236}">
              <a16:creationId xmlns:a16="http://schemas.microsoft.com/office/drawing/2014/main" id="{BEC219C3-4541-4C73-AC37-FAA3CC2F5D29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191" name="Rectángulo 190">
          <a:extLst>
            <a:ext uri="{FF2B5EF4-FFF2-40B4-BE49-F238E27FC236}">
              <a16:creationId xmlns:a16="http://schemas.microsoft.com/office/drawing/2014/main" id="{59DAE106-949B-4BCA-8B13-898DCCEBC731}"/>
            </a:ext>
          </a:extLst>
        </xdr:cNvPr>
        <xdr:cNvSpPr/>
      </xdr:nvSpPr>
      <xdr:spPr>
        <a:xfrm>
          <a:off x="9875183" y="33210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K107"/>
  <sheetViews>
    <sheetView tabSelected="1" zoomScale="10" zoomScaleNormal="10" workbookViewId="0">
      <selection sqref="A1:XFD1048576"/>
    </sheetView>
  </sheetViews>
  <sheetFormatPr baseColWidth="10" defaultColWidth="16.7109375" defaultRowHeight="18.75" customHeight="1" x14ac:dyDescent="0.25"/>
  <cols>
    <col min="1" max="16384" width="16.7109375" style="717"/>
  </cols>
  <sheetData>
    <row r="1" spans="1:63" ht="18.75" customHeight="1" thickBot="1" x14ac:dyDescent="0.3">
      <c r="A1" s="713" t="s">
        <v>160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  <c r="AA1" s="714"/>
      <c r="AB1" s="714"/>
      <c r="AC1" s="714"/>
      <c r="AD1" s="714"/>
      <c r="AE1" s="714"/>
      <c r="AF1" s="714"/>
      <c r="AG1" s="714"/>
      <c r="AH1" s="714"/>
      <c r="AI1" s="714"/>
      <c r="AJ1" s="714"/>
      <c r="AK1" s="714"/>
      <c r="AL1" s="714"/>
      <c r="AM1" s="714"/>
      <c r="AN1" s="714"/>
      <c r="AO1" s="714"/>
      <c r="AP1" s="714"/>
      <c r="AQ1" s="714"/>
      <c r="AR1" s="714"/>
      <c r="AS1" s="714"/>
      <c r="AT1" s="714"/>
      <c r="AU1" s="714"/>
      <c r="AV1" s="714"/>
      <c r="AW1" s="714"/>
      <c r="AX1" s="714"/>
      <c r="AY1" s="714"/>
      <c r="AZ1" s="714"/>
      <c r="BA1" s="714"/>
      <c r="BB1" s="714"/>
      <c r="BC1" s="714"/>
      <c r="BD1" s="714"/>
      <c r="BE1" s="714"/>
      <c r="BF1" s="714"/>
      <c r="BG1" s="714"/>
      <c r="BH1" s="714"/>
      <c r="BI1" s="715"/>
      <c r="BJ1" s="716"/>
      <c r="BK1" s="716"/>
    </row>
    <row r="2" spans="1:63" ht="18.75" customHeight="1" x14ac:dyDescent="0.25">
      <c r="A2" s="718"/>
      <c r="B2" s="718"/>
      <c r="C2" s="718"/>
      <c r="D2" s="719"/>
      <c r="E2" s="719"/>
      <c r="F2" s="719"/>
      <c r="G2" s="719"/>
      <c r="H2" s="719"/>
      <c r="I2" s="719"/>
      <c r="J2" s="719"/>
      <c r="K2" s="719"/>
      <c r="L2" s="719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  <c r="Y2" s="718"/>
      <c r="Z2" s="718"/>
      <c r="AA2" s="718"/>
      <c r="AB2" s="718"/>
      <c r="AC2" s="718"/>
      <c r="AD2" s="718"/>
      <c r="AE2" s="718"/>
      <c r="AF2" s="718"/>
      <c r="AG2" s="718"/>
      <c r="AH2" s="718"/>
      <c r="AI2" s="718"/>
      <c r="AJ2" s="718"/>
      <c r="AK2" s="718"/>
      <c r="AL2" s="718"/>
      <c r="AM2" s="718"/>
      <c r="AN2" s="718"/>
      <c r="AO2" s="718"/>
      <c r="AP2" s="718"/>
      <c r="AQ2" s="718"/>
      <c r="AR2" s="718"/>
      <c r="AS2" s="718"/>
      <c r="AT2" s="718"/>
      <c r="AU2" s="718"/>
      <c r="AV2" s="718"/>
      <c r="AW2" s="718"/>
      <c r="AX2" s="718"/>
      <c r="AY2" s="718"/>
      <c r="AZ2" s="718"/>
      <c r="BA2" s="718"/>
      <c r="BB2" s="718"/>
      <c r="BC2" s="716"/>
      <c r="BD2" s="716"/>
      <c r="BE2" s="716"/>
      <c r="BF2" s="716"/>
      <c r="BG2" s="716"/>
      <c r="BH2" s="716"/>
      <c r="BI2" s="716"/>
      <c r="BJ2" s="716"/>
      <c r="BK2" s="716"/>
    </row>
    <row r="3" spans="1:63" ht="18.75" customHeight="1" thickBot="1" x14ac:dyDescent="0.3">
      <c r="A3" s="720"/>
      <c r="B3" s="721"/>
      <c r="C3" s="722"/>
      <c r="D3" s="722"/>
      <c r="E3" s="722"/>
      <c r="F3" s="722"/>
      <c r="G3" s="722"/>
      <c r="H3" s="722"/>
      <c r="I3" s="722"/>
      <c r="J3" s="722"/>
      <c r="K3" s="722"/>
      <c r="L3" s="723"/>
      <c r="M3" s="724"/>
      <c r="N3" s="725"/>
      <c r="O3" s="726"/>
      <c r="P3" s="727"/>
      <c r="Q3" s="727"/>
      <c r="R3" s="727"/>
      <c r="S3" s="728"/>
      <c r="T3" s="725"/>
      <c r="U3" s="725"/>
      <c r="V3" s="725"/>
      <c r="W3" s="725"/>
      <c r="X3" s="725"/>
      <c r="Y3" s="725"/>
      <c r="Z3" s="725"/>
      <c r="AA3" s="725"/>
      <c r="AB3" s="725"/>
      <c r="AC3" s="725"/>
      <c r="AD3" s="725"/>
      <c r="AE3" s="725"/>
      <c r="AF3" s="725"/>
      <c r="AG3" s="725"/>
      <c r="AH3" s="725"/>
      <c r="AI3" s="725"/>
      <c r="AJ3" s="725"/>
      <c r="AK3" s="725"/>
      <c r="AL3" s="725"/>
      <c r="AM3" s="725"/>
      <c r="AN3" s="725"/>
      <c r="AO3" s="725"/>
      <c r="AP3" s="725"/>
      <c r="AQ3" s="725"/>
      <c r="AR3" s="725"/>
      <c r="AS3" s="725"/>
      <c r="AT3" s="725"/>
      <c r="AU3" s="725"/>
      <c r="AV3" s="725"/>
      <c r="AW3" s="725"/>
      <c r="AX3" s="725"/>
      <c r="AY3" s="725"/>
      <c r="AZ3" s="725"/>
      <c r="BA3" s="725"/>
      <c r="BB3" s="725"/>
      <c r="BC3" s="725"/>
      <c r="BD3" s="725"/>
      <c r="BE3" s="725"/>
      <c r="BF3" s="725"/>
      <c r="BG3" s="725"/>
      <c r="BH3" s="725"/>
      <c r="BI3" s="725"/>
      <c r="BJ3" s="716"/>
      <c r="BK3" s="716"/>
    </row>
    <row r="4" spans="1:63" ht="18.75" customHeight="1" x14ac:dyDescent="0.25">
      <c r="A4" s="729"/>
      <c r="B4" s="730"/>
      <c r="C4" s="731"/>
      <c r="D4" s="732"/>
      <c r="E4" s="732"/>
      <c r="F4" s="732"/>
      <c r="G4" s="732"/>
      <c r="H4" s="732"/>
      <c r="I4" s="732"/>
      <c r="J4" s="732"/>
      <c r="K4" s="732"/>
      <c r="L4" s="733"/>
      <c r="M4" s="734"/>
      <c r="N4" s="735"/>
      <c r="O4" s="736"/>
      <c r="P4" s="737">
        <v>2016875</v>
      </c>
      <c r="Q4" s="737">
        <v>2016874</v>
      </c>
      <c r="R4" s="737">
        <v>2016873</v>
      </c>
      <c r="S4" s="737">
        <v>2016876</v>
      </c>
      <c r="T4" s="738"/>
      <c r="U4" s="716"/>
      <c r="V4" s="733"/>
      <c r="W4" s="739"/>
      <c r="X4" s="739"/>
      <c r="Y4" s="739"/>
      <c r="Z4" s="739"/>
      <c r="AA4" s="739"/>
      <c r="AB4" s="716"/>
      <c r="AC4" s="716"/>
      <c r="AD4" s="716"/>
      <c r="AE4" s="716"/>
      <c r="AF4" s="716"/>
      <c r="AG4" s="716"/>
      <c r="AH4" s="716"/>
      <c r="AI4" s="716"/>
      <c r="AJ4" s="716"/>
      <c r="AK4" s="716"/>
      <c r="AL4" s="716"/>
      <c r="AM4" s="716"/>
      <c r="AN4" s="716"/>
      <c r="AO4" s="716"/>
      <c r="AP4" s="716"/>
      <c r="AQ4" s="716"/>
      <c r="AR4" s="716"/>
      <c r="AS4" s="716"/>
      <c r="AT4" s="716"/>
      <c r="AU4" s="716"/>
      <c r="AV4" s="716"/>
      <c r="AW4" s="716"/>
      <c r="AX4" s="716"/>
      <c r="AY4" s="716"/>
      <c r="AZ4" s="716"/>
      <c r="BA4" s="716"/>
      <c r="BB4" s="716"/>
      <c r="BC4" s="716"/>
      <c r="BD4" s="716"/>
      <c r="BE4" s="716"/>
      <c r="BF4" s="716"/>
      <c r="BG4" s="716"/>
      <c r="BH4" s="716"/>
      <c r="BI4" s="716"/>
      <c r="BJ4" s="740"/>
      <c r="BK4" s="716"/>
    </row>
    <row r="5" spans="1:63" ht="18.75" customHeight="1" x14ac:dyDescent="0.25">
      <c r="A5" s="729"/>
      <c r="B5" s="741"/>
      <c r="C5" s="742"/>
      <c r="D5" s="734"/>
      <c r="E5" s="734"/>
      <c r="F5" s="734"/>
      <c r="G5" s="734"/>
      <c r="H5" s="734"/>
      <c r="I5" s="734"/>
      <c r="J5" s="734"/>
      <c r="K5" s="734"/>
      <c r="L5" s="734"/>
      <c r="M5" s="743"/>
      <c r="N5" s="716"/>
      <c r="O5" s="744"/>
      <c r="P5" s="745"/>
      <c r="Q5" s="745"/>
      <c r="R5" s="745"/>
      <c r="S5" s="745"/>
      <c r="T5" s="746"/>
      <c r="U5" s="716"/>
      <c r="V5" s="716"/>
      <c r="W5" s="716"/>
      <c r="X5" s="716"/>
      <c r="Y5" s="716"/>
      <c r="Z5" s="716"/>
      <c r="AA5" s="716"/>
      <c r="AB5" s="716"/>
      <c r="AC5" s="716"/>
      <c r="AD5" s="716"/>
      <c r="AE5" s="716"/>
      <c r="AF5" s="716"/>
      <c r="AG5" s="716"/>
      <c r="AH5" s="716"/>
      <c r="AI5" s="716"/>
      <c r="AJ5" s="716"/>
      <c r="AK5" s="716"/>
      <c r="AL5" s="716"/>
      <c r="AM5" s="716"/>
      <c r="AN5" s="716"/>
      <c r="AO5" s="716"/>
      <c r="AP5" s="716"/>
      <c r="AQ5" s="716"/>
      <c r="AR5" s="716"/>
      <c r="AS5" s="716"/>
      <c r="AT5" s="716"/>
      <c r="AU5" s="716"/>
      <c r="AV5" s="716"/>
      <c r="AW5" s="716"/>
      <c r="AX5" s="716"/>
      <c r="AY5" s="716"/>
      <c r="AZ5" s="716"/>
      <c r="BA5" s="716"/>
      <c r="BB5" s="716"/>
      <c r="BC5" s="716"/>
      <c r="BD5" s="716"/>
      <c r="BE5" s="716"/>
      <c r="BF5" s="716"/>
      <c r="BG5" s="716"/>
      <c r="BH5" s="716"/>
      <c r="BI5" s="716"/>
      <c r="BJ5" s="740"/>
      <c r="BK5" s="716"/>
    </row>
    <row r="6" spans="1:63" ht="18.75" customHeight="1" x14ac:dyDescent="0.25">
      <c r="A6" s="729"/>
      <c r="B6" s="741"/>
      <c r="C6" s="734"/>
      <c r="D6" s="747"/>
      <c r="E6" s="748"/>
      <c r="F6" s="748"/>
      <c r="G6" s="748"/>
      <c r="H6" s="747"/>
      <c r="I6" s="734"/>
      <c r="J6" s="734"/>
      <c r="K6" s="734"/>
      <c r="L6" s="734"/>
      <c r="M6" s="743"/>
      <c r="N6" s="749"/>
      <c r="O6" s="749"/>
      <c r="P6" s="749"/>
      <c r="Q6" s="749"/>
      <c r="R6" s="750"/>
      <c r="S6" s="750"/>
      <c r="T6" s="751"/>
      <c r="U6" s="716"/>
      <c r="V6" s="716"/>
      <c r="W6" s="716"/>
      <c r="X6" s="716"/>
      <c r="Y6" s="716"/>
      <c r="Z6" s="716"/>
      <c r="AA6" s="716"/>
      <c r="AB6" s="716"/>
      <c r="AC6" s="716"/>
      <c r="AD6" s="716"/>
      <c r="AE6" s="716"/>
      <c r="AF6" s="716"/>
      <c r="AG6" s="716"/>
      <c r="AH6" s="716"/>
      <c r="AI6" s="716"/>
      <c r="AJ6" s="716"/>
      <c r="AK6" s="716"/>
      <c r="AL6" s="716"/>
      <c r="AM6" s="716"/>
      <c r="AN6" s="716"/>
      <c r="AO6" s="716"/>
      <c r="AP6" s="716"/>
      <c r="AQ6" s="716"/>
      <c r="AR6" s="716"/>
      <c r="AS6" s="716"/>
      <c r="AT6" s="716"/>
      <c r="AU6" s="716"/>
      <c r="AV6" s="716"/>
      <c r="AW6" s="716"/>
      <c r="AX6" s="716"/>
      <c r="AY6" s="716"/>
      <c r="AZ6" s="716"/>
      <c r="BA6" s="716"/>
      <c r="BB6" s="716"/>
      <c r="BC6" s="716"/>
      <c r="BD6" s="716"/>
      <c r="BE6" s="716"/>
      <c r="BF6" s="716"/>
      <c r="BG6" s="716"/>
      <c r="BH6" s="716"/>
      <c r="BI6" s="716"/>
      <c r="BJ6" s="740"/>
      <c r="BK6" s="716"/>
    </row>
    <row r="7" spans="1:63" ht="18.75" customHeight="1" x14ac:dyDescent="0.25">
      <c r="A7" s="729"/>
      <c r="B7" s="741"/>
      <c r="C7" s="734"/>
      <c r="D7" s="752"/>
      <c r="E7" s="753"/>
      <c r="F7" s="753"/>
      <c r="G7" s="753"/>
      <c r="H7" s="754"/>
      <c r="I7" s="743"/>
      <c r="J7" s="743"/>
      <c r="K7" s="743"/>
      <c r="L7" s="743"/>
      <c r="M7" s="743"/>
      <c r="N7" s="755"/>
      <c r="O7" s="755"/>
      <c r="P7" s="755"/>
      <c r="Q7" s="755"/>
      <c r="R7" s="756"/>
      <c r="S7" s="757"/>
      <c r="T7" s="758"/>
      <c r="U7" s="759"/>
      <c r="V7" s="716"/>
      <c r="W7" s="716"/>
      <c r="X7" s="716"/>
      <c r="Y7" s="716"/>
      <c r="Z7" s="716"/>
      <c r="AA7" s="716"/>
      <c r="AB7" s="716"/>
      <c r="AC7" s="716"/>
      <c r="AD7" s="716"/>
      <c r="AE7" s="716"/>
      <c r="AF7" s="716"/>
      <c r="AG7" s="716"/>
      <c r="AH7" s="716"/>
      <c r="AI7" s="716"/>
      <c r="AJ7" s="716"/>
      <c r="AK7" s="716"/>
      <c r="AL7" s="716"/>
      <c r="AM7" s="716"/>
      <c r="AN7" s="716"/>
      <c r="AO7" s="716"/>
      <c r="AP7" s="716"/>
      <c r="AQ7" s="716"/>
      <c r="AR7" s="716"/>
      <c r="AS7" s="716"/>
      <c r="AT7" s="716"/>
      <c r="AU7" s="716"/>
      <c r="AV7" s="716"/>
      <c r="AW7" s="716"/>
      <c r="AX7" s="716"/>
      <c r="AY7" s="716"/>
      <c r="AZ7" s="716"/>
      <c r="BA7" s="716"/>
      <c r="BB7" s="716"/>
      <c r="BC7" s="716"/>
      <c r="BD7" s="716"/>
      <c r="BE7" s="716"/>
      <c r="BF7" s="716"/>
      <c r="BG7" s="716"/>
      <c r="BH7" s="716"/>
      <c r="BI7" s="716"/>
      <c r="BJ7" s="740"/>
      <c r="BK7" s="716"/>
    </row>
    <row r="8" spans="1:63" ht="18.75" customHeight="1" x14ac:dyDescent="0.25">
      <c r="A8" s="729"/>
      <c r="B8" s="741"/>
      <c r="C8" s="734"/>
      <c r="D8" s="760"/>
      <c r="E8" s="761"/>
      <c r="F8" s="761"/>
      <c r="G8" s="761"/>
      <c r="H8" s="762"/>
      <c r="I8" s="734"/>
      <c r="J8" s="734"/>
      <c r="K8" s="734"/>
      <c r="L8" s="734"/>
      <c r="M8" s="763"/>
      <c r="N8" s="764"/>
      <c r="O8" s="764"/>
      <c r="P8" s="764"/>
      <c r="Q8" s="764"/>
      <c r="R8" s="756"/>
      <c r="S8" s="757"/>
      <c r="T8" s="765"/>
      <c r="U8" s="716"/>
      <c r="V8" s="716"/>
      <c r="W8" s="716"/>
      <c r="X8" s="716"/>
      <c r="Y8" s="716"/>
      <c r="Z8" s="716"/>
      <c r="AA8" s="716"/>
      <c r="AB8" s="739"/>
      <c r="AC8" s="739"/>
      <c r="AD8" s="739"/>
      <c r="AE8" s="739"/>
      <c r="AF8" s="739"/>
      <c r="AG8" s="739"/>
      <c r="AH8" s="739"/>
      <c r="AI8" s="739"/>
      <c r="AJ8" s="739"/>
      <c r="AK8" s="739"/>
      <c r="AL8" s="739"/>
      <c r="AM8" s="739"/>
      <c r="AN8" s="716"/>
      <c r="AO8" s="716"/>
      <c r="AP8" s="716"/>
      <c r="AQ8" s="716"/>
      <c r="AR8" s="716"/>
      <c r="AS8" s="716"/>
      <c r="AT8" s="716"/>
      <c r="AU8" s="716"/>
      <c r="AV8" s="716"/>
      <c r="AW8" s="716"/>
      <c r="AX8" s="716"/>
      <c r="AY8" s="716"/>
      <c r="AZ8" s="716"/>
      <c r="BA8" s="716"/>
      <c r="BB8" s="716"/>
      <c r="BC8" s="716"/>
      <c r="BD8" s="716"/>
      <c r="BE8" s="716"/>
      <c r="BF8" s="716"/>
      <c r="BG8" s="716"/>
      <c r="BH8" s="716"/>
      <c r="BI8" s="716"/>
      <c r="BJ8" s="740"/>
      <c r="BK8" s="716"/>
    </row>
    <row r="9" spans="1:63" ht="18.75" customHeight="1" thickBot="1" x14ac:dyDescent="0.3">
      <c r="A9" s="729"/>
      <c r="B9" s="741"/>
      <c r="C9" s="734"/>
      <c r="D9" s="761"/>
      <c r="E9" s="766">
        <v>3120137</v>
      </c>
      <c r="F9" s="767">
        <v>3120131</v>
      </c>
      <c r="G9" s="767">
        <v>3128101</v>
      </c>
      <c r="H9" s="761"/>
      <c r="I9" s="734"/>
      <c r="J9" s="768"/>
      <c r="K9" s="768"/>
      <c r="L9" s="768"/>
      <c r="M9" s="769"/>
      <c r="N9" s="770">
        <v>7055268</v>
      </c>
      <c r="O9" s="770">
        <v>7055312</v>
      </c>
      <c r="P9" s="770">
        <v>7055299</v>
      </c>
      <c r="Q9" s="770">
        <v>7055315</v>
      </c>
      <c r="R9" s="769"/>
      <c r="S9" s="757"/>
      <c r="T9" s="765"/>
      <c r="U9" s="716"/>
      <c r="V9" s="716"/>
      <c r="W9" s="716"/>
      <c r="X9" s="716"/>
      <c r="Y9" s="716"/>
      <c r="Z9" s="716"/>
      <c r="AA9" s="716"/>
      <c r="AB9" s="739"/>
      <c r="AC9" s="739"/>
      <c r="AD9" s="739"/>
      <c r="AE9" s="739"/>
      <c r="AF9" s="771"/>
      <c r="AG9" s="771"/>
      <c r="AH9" s="739"/>
      <c r="AI9" s="739"/>
      <c r="AJ9" s="739"/>
      <c r="AK9" s="739"/>
      <c r="AL9" s="739"/>
      <c r="AM9" s="739"/>
      <c r="AN9" s="716"/>
      <c r="AO9" s="716"/>
      <c r="AP9" s="716"/>
      <c r="AQ9" s="716"/>
      <c r="AR9" s="716"/>
      <c r="AS9" s="716"/>
      <c r="AT9" s="716"/>
      <c r="AU9" s="716"/>
      <c r="AV9" s="716"/>
      <c r="AW9" s="716"/>
      <c r="AX9" s="716"/>
      <c r="AY9" s="716"/>
      <c r="AZ9" s="716"/>
      <c r="BA9" s="716"/>
      <c r="BB9" s="716"/>
      <c r="BC9" s="716"/>
      <c r="BD9" s="716"/>
      <c r="BE9" s="716"/>
      <c r="BF9" s="716"/>
      <c r="BG9" s="716"/>
      <c r="BH9" s="716"/>
      <c r="BI9" s="716"/>
      <c r="BJ9" s="740"/>
      <c r="BK9" s="716"/>
    </row>
    <row r="10" spans="1:63" ht="18.75" customHeight="1" x14ac:dyDescent="0.25">
      <c r="A10" s="772"/>
      <c r="B10" s="734"/>
      <c r="C10" s="734"/>
      <c r="D10" s="761"/>
      <c r="E10" s="766">
        <v>3120134</v>
      </c>
      <c r="F10" s="767">
        <v>3120132</v>
      </c>
      <c r="G10" s="766">
        <v>3128045</v>
      </c>
      <c r="H10" s="761"/>
      <c r="I10" s="734"/>
      <c r="J10" s="768"/>
      <c r="K10" s="768"/>
      <c r="L10" s="768"/>
      <c r="M10" s="769"/>
      <c r="N10" s="773">
        <v>7055324</v>
      </c>
      <c r="O10" s="773">
        <v>7055318</v>
      </c>
      <c r="P10" s="773">
        <v>7055323</v>
      </c>
      <c r="Q10" s="773">
        <v>7055301</v>
      </c>
      <c r="R10" s="769"/>
      <c r="S10" s="757"/>
      <c r="T10" s="765"/>
      <c r="U10" s="774" t="s">
        <v>179</v>
      </c>
      <c r="V10" s="775"/>
      <c r="W10" s="775"/>
      <c r="X10" s="775"/>
      <c r="Y10" s="775"/>
      <c r="Z10" s="775"/>
      <c r="AA10" s="775"/>
      <c r="AB10" s="775"/>
      <c r="AC10" s="775"/>
      <c r="AD10" s="775"/>
      <c r="AE10" s="775"/>
      <c r="AF10" s="775"/>
      <c r="AG10" s="775"/>
      <c r="AH10" s="775"/>
      <c r="AI10" s="775"/>
      <c r="AJ10" s="775"/>
      <c r="AK10" s="775"/>
      <c r="AL10" s="775"/>
      <c r="AM10" s="775"/>
      <c r="AN10" s="775"/>
      <c r="AO10" s="775"/>
      <c r="AP10" s="775"/>
      <c r="AQ10" s="775"/>
      <c r="AR10" s="775"/>
      <c r="AS10" s="775"/>
      <c r="AT10" s="775"/>
      <c r="AU10" s="776"/>
      <c r="AV10" s="716"/>
      <c r="AW10" s="716"/>
      <c r="AX10" s="716"/>
      <c r="AY10" s="716"/>
      <c r="AZ10" s="716"/>
      <c r="BA10" s="716"/>
      <c r="BB10" s="716"/>
      <c r="BC10" s="716"/>
      <c r="BD10" s="716"/>
      <c r="BE10" s="716"/>
      <c r="BF10" s="716"/>
      <c r="BG10" s="716"/>
      <c r="BH10" s="716"/>
      <c r="BI10" s="716"/>
      <c r="BJ10" s="740"/>
      <c r="BK10" s="716"/>
    </row>
    <row r="11" spans="1:63" ht="18.75" customHeight="1" x14ac:dyDescent="0.25">
      <c r="A11" s="772"/>
      <c r="B11" s="734"/>
      <c r="C11" s="734"/>
      <c r="D11" s="777"/>
      <c r="E11" s="761"/>
      <c r="F11" s="761"/>
      <c r="G11" s="761"/>
      <c r="H11" s="778"/>
      <c r="I11" s="734"/>
      <c r="J11" s="759"/>
      <c r="K11" s="734"/>
      <c r="L11" s="734"/>
      <c r="M11" s="759"/>
      <c r="N11" s="764"/>
      <c r="O11" s="764"/>
      <c r="P11" s="764"/>
      <c r="Q11" s="764"/>
      <c r="R11" s="756"/>
      <c r="S11" s="757"/>
      <c r="T11" s="765"/>
      <c r="U11" s="779"/>
      <c r="V11" s="780"/>
      <c r="W11" s="780"/>
      <c r="X11" s="780"/>
      <c r="Y11" s="780"/>
      <c r="Z11" s="780"/>
      <c r="AA11" s="780"/>
      <c r="AB11" s="780"/>
      <c r="AC11" s="780"/>
      <c r="AD11" s="780"/>
      <c r="AE11" s="780"/>
      <c r="AF11" s="780"/>
      <c r="AG11" s="780"/>
      <c r="AH11" s="780"/>
      <c r="AI11" s="780"/>
      <c r="AJ11" s="780"/>
      <c r="AK11" s="780"/>
      <c r="AL11" s="780"/>
      <c r="AM11" s="780"/>
      <c r="AN11" s="780"/>
      <c r="AO11" s="780"/>
      <c r="AP11" s="780"/>
      <c r="AQ11" s="780"/>
      <c r="AR11" s="780"/>
      <c r="AS11" s="780"/>
      <c r="AT11" s="780"/>
      <c r="AU11" s="781"/>
      <c r="AV11" s="716"/>
      <c r="AW11" s="716"/>
      <c r="AX11" s="716"/>
      <c r="AY11" s="716"/>
      <c r="AZ11" s="716"/>
      <c r="BA11" s="716"/>
      <c r="BB11" s="716"/>
      <c r="BC11" s="716"/>
      <c r="BD11" s="716"/>
      <c r="BE11" s="716"/>
      <c r="BF11" s="716"/>
      <c r="BG11" s="716"/>
      <c r="BH11" s="716"/>
      <c r="BI11" s="716"/>
      <c r="BJ11" s="740"/>
      <c r="BK11" s="716"/>
    </row>
    <row r="12" spans="1:63" ht="18.75" customHeight="1" x14ac:dyDescent="0.25">
      <c r="A12" s="772"/>
      <c r="B12" s="734"/>
      <c r="C12" s="734"/>
      <c r="D12" s="762"/>
      <c r="E12" s="753"/>
      <c r="F12" s="753"/>
      <c r="G12" s="753"/>
      <c r="H12" s="754"/>
      <c r="I12" s="734"/>
      <c r="J12" s="734"/>
      <c r="K12" s="734"/>
      <c r="L12" s="734"/>
      <c r="M12" s="734"/>
      <c r="N12" s="755"/>
      <c r="O12" s="755"/>
      <c r="P12" s="755"/>
      <c r="Q12" s="755"/>
      <c r="R12" s="756"/>
      <c r="S12" s="757"/>
      <c r="T12" s="765"/>
      <c r="U12" s="779"/>
      <c r="V12" s="780"/>
      <c r="W12" s="780"/>
      <c r="X12" s="780"/>
      <c r="Y12" s="780"/>
      <c r="Z12" s="780"/>
      <c r="AA12" s="780"/>
      <c r="AB12" s="780"/>
      <c r="AC12" s="780"/>
      <c r="AD12" s="780"/>
      <c r="AE12" s="780"/>
      <c r="AF12" s="780"/>
      <c r="AG12" s="780"/>
      <c r="AH12" s="780"/>
      <c r="AI12" s="780"/>
      <c r="AJ12" s="780"/>
      <c r="AK12" s="780"/>
      <c r="AL12" s="780"/>
      <c r="AM12" s="780"/>
      <c r="AN12" s="780"/>
      <c r="AO12" s="780"/>
      <c r="AP12" s="780"/>
      <c r="AQ12" s="780"/>
      <c r="AR12" s="780"/>
      <c r="AS12" s="780"/>
      <c r="AT12" s="780"/>
      <c r="AU12" s="781"/>
      <c r="AV12" s="716"/>
      <c r="AW12" s="716"/>
      <c r="AX12" s="716"/>
      <c r="AY12" s="716"/>
      <c r="AZ12" s="716"/>
      <c r="BA12" s="716"/>
      <c r="BB12" s="716"/>
      <c r="BC12" s="716"/>
      <c r="BD12" s="716"/>
      <c r="BE12" s="716"/>
      <c r="BF12" s="716"/>
      <c r="BG12" s="716"/>
      <c r="BH12" s="716"/>
      <c r="BI12" s="716"/>
      <c r="BJ12" s="740"/>
      <c r="BK12" s="716"/>
    </row>
    <row r="13" spans="1:63" ht="18.75" customHeight="1" x14ac:dyDescent="0.25">
      <c r="A13" s="772"/>
      <c r="B13" s="759"/>
      <c r="C13" s="734"/>
      <c r="D13" s="716"/>
      <c r="H13" s="782"/>
      <c r="I13" s="734"/>
      <c r="J13" s="734"/>
      <c r="K13" s="734"/>
      <c r="L13" s="734"/>
      <c r="M13" s="734"/>
      <c r="N13" s="749"/>
      <c r="O13" s="749"/>
      <c r="P13" s="749"/>
      <c r="Q13" s="749"/>
      <c r="R13" s="756"/>
      <c r="S13" s="757"/>
      <c r="T13" s="765"/>
      <c r="U13" s="779"/>
      <c r="V13" s="780"/>
      <c r="W13" s="780"/>
      <c r="X13" s="780"/>
      <c r="Y13" s="780"/>
      <c r="Z13" s="780"/>
      <c r="AA13" s="780"/>
      <c r="AB13" s="780"/>
      <c r="AC13" s="780"/>
      <c r="AD13" s="780"/>
      <c r="AE13" s="780"/>
      <c r="AF13" s="780"/>
      <c r="AG13" s="780"/>
      <c r="AH13" s="780"/>
      <c r="AI13" s="780"/>
      <c r="AJ13" s="780"/>
      <c r="AK13" s="780"/>
      <c r="AL13" s="780"/>
      <c r="AM13" s="780"/>
      <c r="AN13" s="780"/>
      <c r="AO13" s="780"/>
      <c r="AP13" s="780"/>
      <c r="AQ13" s="780"/>
      <c r="AR13" s="780"/>
      <c r="AS13" s="780"/>
      <c r="AT13" s="780"/>
      <c r="AU13" s="781"/>
      <c r="AV13" s="716"/>
      <c r="AW13" s="716"/>
      <c r="AX13" s="716"/>
      <c r="AY13" s="716"/>
      <c r="AZ13" s="716"/>
      <c r="BA13" s="716"/>
      <c r="BB13" s="716"/>
      <c r="BC13" s="716"/>
      <c r="BD13" s="716"/>
      <c r="BE13" s="716"/>
      <c r="BF13" s="716"/>
      <c r="BG13" s="716"/>
      <c r="BH13" s="716"/>
      <c r="BI13" s="716"/>
      <c r="BJ13" s="740"/>
      <c r="BK13" s="716"/>
    </row>
    <row r="14" spans="1:63" ht="18.75" customHeight="1" x14ac:dyDescent="0.25">
      <c r="A14" s="783"/>
      <c r="B14" s="734"/>
      <c r="C14" s="716"/>
      <c r="D14" s="784"/>
      <c r="E14" s="785"/>
      <c r="F14" s="784"/>
      <c r="G14" s="785"/>
      <c r="H14" s="734"/>
      <c r="I14" s="734"/>
      <c r="J14" s="734"/>
      <c r="K14" s="786"/>
      <c r="L14" s="786"/>
      <c r="M14" s="787"/>
      <c r="N14" s="734"/>
      <c r="O14" s="788"/>
      <c r="P14" s="788"/>
      <c r="Q14" s="734"/>
      <c r="R14" s="756"/>
      <c r="S14" s="757"/>
      <c r="T14" s="765"/>
      <c r="U14" s="779"/>
      <c r="V14" s="780"/>
      <c r="W14" s="780"/>
      <c r="X14" s="780"/>
      <c r="Y14" s="780"/>
      <c r="Z14" s="780"/>
      <c r="AA14" s="780"/>
      <c r="AB14" s="780"/>
      <c r="AC14" s="780"/>
      <c r="AD14" s="780"/>
      <c r="AE14" s="780"/>
      <c r="AF14" s="780"/>
      <c r="AG14" s="780"/>
      <c r="AH14" s="780"/>
      <c r="AI14" s="780"/>
      <c r="AJ14" s="780"/>
      <c r="AK14" s="780"/>
      <c r="AL14" s="780"/>
      <c r="AM14" s="780"/>
      <c r="AN14" s="780"/>
      <c r="AO14" s="780"/>
      <c r="AP14" s="780"/>
      <c r="AQ14" s="780"/>
      <c r="AR14" s="780"/>
      <c r="AS14" s="780"/>
      <c r="AT14" s="780"/>
      <c r="AU14" s="781"/>
      <c r="AV14" s="716"/>
      <c r="AW14" s="716"/>
      <c r="AX14" s="716"/>
      <c r="AY14" s="716"/>
      <c r="AZ14" s="716"/>
      <c r="BA14" s="716"/>
      <c r="BB14" s="716"/>
      <c r="BC14" s="716"/>
      <c r="BD14" s="716"/>
      <c r="BE14" s="716"/>
      <c r="BF14" s="716"/>
      <c r="BG14" s="716"/>
      <c r="BH14" s="716"/>
      <c r="BI14" s="716"/>
      <c r="BJ14" s="740"/>
      <c r="BK14" s="716"/>
    </row>
    <row r="15" spans="1:63" ht="18.75" customHeight="1" x14ac:dyDescent="0.25">
      <c r="A15" s="759"/>
      <c r="C15" s="759"/>
      <c r="D15" s="734"/>
      <c r="E15" s="772"/>
      <c r="F15" s="772"/>
      <c r="G15" s="789"/>
      <c r="H15" s="734"/>
      <c r="I15" s="734"/>
      <c r="J15" s="734"/>
      <c r="K15" s="786"/>
      <c r="L15" s="786"/>
      <c r="M15" s="787"/>
      <c r="N15" s="772"/>
      <c r="O15" s="772"/>
      <c r="P15" s="772"/>
      <c r="Q15" s="772"/>
      <c r="R15" s="756"/>
      <c r="S15" s="757"/>
      <c r="T15" s="765"/>
      <c r="U15" s="779"/>
      <c r="V15" s="780"/>
      <c r="W15" s="780"/>
      <c r="X15" s="780"/>
      <c r="Y15" s="780"/>
      <c r="Z15" s="780"/>
      <c r="AA15" s="780"/>
      <c r="AB15" s="780"/>
      <c r="AC15" s="780"/>
      <c r="AD15" s="780"/>
      <c r="AE15" s="780"/>
      <c r="AF15" s="780"/>
      <c r="AG15" s="780"/>
      <c r="AH15" s="780"/>
      <c r="AI15" s="780"/>
      <c r="AJ15" s="780"/>
      <c r="AK15" s="780"/>
      <c r="AL15" s="780"/>
      <c r="AM15" s="780"/>
      <c r="AN15" s="780"/>
      <c r="AO15" s="780"/>
      <c r="AP15" s="780"/>
      <c r="AQ15" s="780"/>
      <c r="AR15" s="780"/>
      <c r="AS15" s="780"/>
      <c r="AT15" s="780"/>
      <c r="AU15" s="781"/>
      <c r="AV15" s="716"/>
      <c r="AW15" s="716"/>
      <c r="AX15" s="716"/>
      <c r="AY15" s="716"/>
      <c r="AZ15" s="716"/>
      <c r="BA15" s="716"/>
      <c r="BB15" s="716"/>
      <c r="BC15" s="716"/>
      <c r="BD15" s="716"/>
      <c r="BE15" s="716"/>
      <c r="BF15" s="716"/>
      <c r="BG15" s="716"/>
      <c r="BH15" s="716"/>
      <c r="BI15" s="716"/>
      <c r="BJ15" s="740"/>
      <c r="BK15" s="716"/>
    </row>
    <row r="16" spans="1:63" ht="18.75" customHeight="1" x14ac:dyDescent="0.25">
      <c r="A16" s="748"/>
      <c r="B16" s="748"/>
      <c r="C16" s="747"/>
      <c r="D16" s="777"/>
      <c r="E16" s="772"/>
      <c r="F16" s="772"/>
      <c r="G16" s="789"/>
      <c r="H16" s="734"/>
      <c r="I16" s="734"/>
      <c r="J16" s="734"/>
      <c r="K16" s="786"/>
      <c r="L16" s="786"/>
      <c r="M16" s="733"/>
      <c r="N16" s="772"/>
      <c r="O16" s="772"/>
      <c r="P16" s="772"/>
      <c r="Q16" s="772"/>
      <c r="R16" s="756"/>
      <c r="S16" s="757"/>
      <c r="T16" s="765"/>
      <c r="U16" s="779"/>
      <c r="V16" s="780"/>
      <c r="W16" s="780"/>
      <c r="X16" s="780"/>
      <c r="Y16" s="780"/>
      <c r="Z16" s="780"/>
      <c r="AA16" s="780"/>
      <c r="AB16" s="780"/>
      <c r="AC16" s="780"/>
      <c r="AD16" s="780"/>
      <c r="AE16" s="780"/>
      <c r="AF16" s="780"/>
      <c r="AG16" s="780"/>
      <c r="AH16" s="780"/>
      <c r="AI16" s="780"/>
      <c r="AJ16" s="780"/>
      <c r="AK16" s="780"/>
      <c r="AL16" s="780"/>
      <c r="AM16" s="780"/>
      <c r="AN16" s="780"/>
      <c r="AO16" s="780"/>
      <c r="AP16" s="780"/>
      <c r="AQ16" s="780"/>
      <c r="AR16" s="780"/>
      <c r="AS16" s="780"/>
      <c r="AT16" s="780"/>
      <c r="AU16" s="781"/>
      <c r="AV16" s="716"/>
      <c r="AW16" s="716"/>
      <c r="AX16" s="716"/>
      <c r="AY16" s="716"/>
      <c r="AZ16" s="716"/>
      <c r="BA16" s="716"/>
      <c r="BB16" s="716"/>
      <c r="BC16" s="716"/>
      <c r="BD16" s="716"/>
      <c r="BE16" s="716"/>
      <c r="BF16" s="716"/>
      <c r="BG16" s="716"/>
      <c r="BH16" s="716"/>
      <c r="BI16" s="716"/>
      <c r="BJ16" s="740"/>
      <c r="BK16" s="716"/>
    </row>
    <row r="17" spans="1:63" ht="18.75" customHeight="1" x14ac:dyDescent="0.25">
      <c r="A17" s="761"/>
      <c r="B17" s="760"/>
      <c r="C17" s="747"/>
      <c r="D17" s="790"/>
      <c r="E17" s="734"/>
      <c r="F17" s="734"/>
      <c r="G17" s="785"/>
      <c r="H17" s="734"/>
      <c r="I17" s="734"/>
      <c r="J17" s="734"/>
      <c r="K17" s="759"/>
      <c r="L17" s="759"/>
      <c r="M17" s="787"/>
      <c r="N17" s="759"/>
      <c r="O17" s="733"/>
      <c r="P17" s="734"/>
      <c r="Q17" s="734"/>
      <c r="R17" s="756"/>
      <c r="S17" s="757"/>
      <c r="T17" s="791"/>
      <c r="U17" s="779"/>
      <c r="V17" s="780"/>
      <c r="W17" s="780"/>
      <c r="X17" s="780"/>
      <c r="Y17" s="780"/>
      <c r="Z17" s="780"/>
      <c r="AA17" s="780"/>
      <c r="AB17" s="780"/>
      <c r="AC17" s="780"/>
      <c r="AD17" s="780"/>
      <c r="AE17" s="780"/>
      <c r="AF17" s="780"/>
      <c r="AG17" s="780"/>
      <c r="AH17" s="780"/>
      <c r="AI17" s="780"/>
      <c r="AJ17" s="780"/>
      <c r="AK17" s="780"/>
      <c r="AL17" s="780"/>
      <c r="AM17" s="780"/>
      <c r="AN17" s="780"/>
      <c r="AO17" s="780"/>
      <c r="AP17" s="780"/>
      <c r="AQ17" s="780"/>
      <c r="AR17" s="780"/>
      <c r="AS17" s="780"/>
      <c r="AT17" s="780"/>
      <c r="AU17" s="781"/>
      <c r="AV17" s="716"/>
      <c r="AW17" s="716"/>
      <c r="AX17" s="716"/>
      <c r="AY17" s="716"/>
      <c r="AZ17" s="716"/>
      <c r="BA17" s="716"/>
      <c r="BB17" s="716"/>
      <c r="BC17" s="716"/>
      <c r="BD17" s="716"/>
      <c r="BE17" s="716"/>
      <c r="BF17" s="716"/>
      <c r="BG17" s="716"/>
      <c r="BH17" s="716"/>
      <c r="BI17" s="716"/>
      <c r="BJ17" s="740"/>
      <c r="BK17" s="716"/>
    </row>
    <row r="18" spans="1:63" ht="18.75" customHeight="1" thickBot="1" x14ac:dyDescent="0.3">
      <c r="A18" s="767">
        <v>3124031</v>
      </c>
      <c r="B18" s="761"/>
      <c r="C18" s="792"/>
      <c r="D18" s="747"/>
      <c r="E18" s="734"/>
      <c r="F18" s="734"/>
      <c r="G18" s="734"/>
      <c r="H18" s="734"/>
      <c r="I18" s="734"/>
      <c r="J18" s="734"/>
      <c r="K18" s="734"/>
      <c r="L18" s="793"/>
      <c r="M18" s="793"/>
      <c r="N18" s="734"/>
      <c r="O18" s="734"/>
      <c r="P18" s="794"/>
      <c r="Q18" s="734"/>
      <c r="R18" s="734"/>
      <c r="S18" s="795"/>
      <c r="T18" s="751"/>
      <c r="U18" s="779"/>
      <c r="V18" s="780"/>
      <c r="W18" s="780"/>
      <c r="X18" s="780"/>
      <c r="Y18" s="780"/>
      <c r="Z18" s="780"/>
      <c r="AA18" s="780"/>
      <c r="AB18" s="780"/>
      <c r="AC18" s="780"/>
      <c r="AD18" s="780"/>
      <c r="AE18" s="780"/>
      <c r="AF18" s="780"/>
      <c r="AG18" s="780"/>
      <c r="AH18" s="780"/>
      <c r="AI18" s="780"/>
      <c r="AJ18" s="780"/>
      <c r="AK18" s="780"/>
      <c r="AL18" s="780"/>
      <c r="AM18" s="780"/>
      <c r="AN18" s="780"/>
      <c r="AO18" s="780"/>
      <c r="AP18" s="780"/>
      <c r="AQ18" s="780"/>
      <c r="AR18" s="780"/>
      <c r="AS18" s="780"/>
      <c r="AT18" s="780"/>
      <c r="AU18" s="781"/>
      <c r="AV18" s="716"/>
      <c r="AW18" s="716"/>
      <c r="AX18" s="716"/>
      <c r="AY18" s="716"/>
      <c r="AZ18" s="716"/>
      <c r="BA18" s="716"/>
      <c r="BB18" s="716"/>
      <c r="BC18" s="716"/>
      <c r="BD18" s="716"/>
      <c r="BE18" s="716"/>
      <c r="BF18" s="716"/>
      <c r="BG18" s="716"/>
      <c r="BH18" s="716"/>
      <c r="BI18" s="716"/>
      <c r="BJ18" s="740"/>
      <c r="BK18" s="716"/>
    </row>
    <row r="19" spans="1:63" ht="18.75" customHeight="1" x14ac:dyDescent="0.25">
      <c r="A19" s="767">
        <v>3124035</v>
      </c>
      <c r="B19" s="761"/>
      <c r="C19" s="792"/>
      <c r="D19" s="747"/>
      <c r="E19" s="734"/>
      <c r="F19" s="734"/>
      <c r="G19" s="734"/>
      <c r="H19" s="734"/>
      <c r="I19" s="734"/>
      <c r="J19" s="734"/>
      <c r="K19" s="763"/>
      <c r="L19" s="796"/>
      <c r="M19" s="796"/>
      <c r="N19" s="797"/>
      <c r="O19" s="734"/>
      <c r="P19" s="787"/>
      <c r="Q19" s="734"/>
      <c r="R19" s="794"/>
      <c r="S19" s="794"/>
      <c r="T19" s="759"/>
      <c r="U19" s="779"/>
      <c r="V19" s="780"/>
      <c r="W19" s="780"/>
      <c r="X19" s="780"/>
      <c r="Y19" s="780"/>
      <c r="Z19" s="780"/>
      <c r="AA19" s="780"/>
      <c r="AB19" s="780"/>
      <c r="AC19" s="780"/>
      <c r="AD19" s="780"/>
      <c r="AE19" s="780"/>
      <c r="AF19" s="780"/>
      <c r="AG19" s="780"/>
      <c r="AH19" s="780"/>
      <c r="AI19" s="780"/>
      <c r="AJ19" s="780"/>
      <c r="AK19" s="780"/>
      <c r="AL19" s="780"/>
      <c r="AM19" s="780"/>
      <c r="AN19" s="780"/>
      <c r="AO19" s="780"/>
      <c r="AP19" s="780"/>
      <c r="AQ19" s="780"/>
      <c r="AR19" s="780"/>
      <c r="AS19" s="780"/>
      <c r="AT19" s="780"/>
      <c r="AU19" s="781"/>
      <c r="AV19" s="798"/>
      <c r="AW19" s="798"/>
      <c r="AX19" s="798"/>
      <c r="AY19" s="798"/>
      <c r="AZ19" s="798"/>
      <c r="BA19" s="798"/>
      <c r="BB19" s="798"/>
      <c r="BC19" s="798"/>
      <c r="BD19" s="798"/>
      <c r="BE19" s="799"/>
      <c r="BF19" s="740"/>
      <c r="BG19" s="716"/>
      <c r="BH19" s="716"/>
      <c r="BI19" s="716"/>
      <c r="BJ19" s="740"/>
      <c r="BK19" s="716"/>
    </row>
    <row r="20" spans="1:63" ht="18.75" customHeight="1" x14ac:dyDescent="0.25">
      <c r="A20" s="766">
        <v>3124034</v>
      </c>
      <c r="B20" s="761"/>
      <c r="C20" s="792"/>
      <c r="D20" s="747"/>
      <c r="E20" s="734"/>
      <c r="F20" s="734"/>
      <c r="G20" s="734"/>
      <c r="H20" s="734"/>
      <c r="I20" s="734"/>
      <c r="J20" s="800"/>
      <c r="K20" s="801"/>
      <c r="L20" s="802">
        <v>9365551</v>
      </c>
      <c r="M20" s="802">
        <v>9365577</v>
      </c>
      <c r="N20" s="801"/>
      <c r="O20" s="803"/>
      <c r="P20" s="787"/>
      <c r="Q20" s="716"/>
      <c r="R20" s="734"/>
      <c r="S20" s="804"/>
      <c r="T20" s="805"/>
      <c r="U20" s="779"/>
      <c r="V20" s="780"/>
      <c r="W20" s="780"/>
      <c r="X20" s="780"/>
      <c r="Y20" s="780"/>
      <c r="Z20" s="780"/>
      <c r="AA20" s="780"/>
      <c r="AB20" s="780"/>
      <c r="AC20" s="780"/>
      <c r="AD20" s="780"/>
      <c r="AE20" s="780"/>
      <c r="AF20" s="780"/>
      <c r="AG20" s="780"/>
      <c r="AH20" s="780"/>
      <c r="AI20" s="780"/>
      <c r="AJ20" s="780"/>
      <c r="AK20" s="780"/>
      <c r="AL20" s="780"/>
      <c r="AM20" s="780"/>
      <c r="AN20" s="780"/>
      <c r="AO20" s="780"/>
      <c r="AP20" s="780"/>
      <c r="AQ20" s="780"/>
      <c r="AR20" s="780"/>
      <c r="AS20" s="780"/>
      <c r="AT20" s="780"/>
      <c r="AU20" s="781"/>
      <c r="AV20" s="716"/>
      <c r="AW20" s="716"/>
      <c r="AX20" s="716"/>
      <c r="AY20" s="716"/>
      <c r="AZ20" s="716"/>
      <c r="BA20" s="716"/>
      <c r="BB20" s="716"/>
      <c r="BC20" s="716"/>
      <c r="BD20" s="716"/>
      <c r="BE20" s="806"/>
      <c r="BF20" s="740"/>
      <c r="BG20" s="716"/>
      <c r="BH20" s="716"/>
      <c r="BI20" s="716"/>
      <c r="BJ20" s="740"/>
      <c r="BK20" s="716"/>
    </row>
    <row r="21" spans="1:63" ht="18.75" customHeight="1" thickBot="1" x14ac:dyDescent="0.3">
      <c r="A21" s="766">
        <v>3124040</v>
      </c>
      <c r="B21" s="761"/>
      <c r="C21" s="792"/>
      <c r="D21" s="747"/>
      <c r="E21" s="759"/>
      <c r="F21" s="734"/>
      <c r="G21" s="734"/>
      <c r="H21" s="734"/>
      <c r="I21" s="734"/>
      <c r="J21" s="800"/>
      <c r="K21" s="801"/>
      <c r="L21" s="802">
        <v>9365568</v>
      </c>
      <c r="M21" s="802">
        <v>9365572</v>
      </c>
      <c r="N21" s="801"/>
      <c r="O21" s="803"/>
      <c r="P21" s="787"/>
      <c r="Q21" s="807"/>
      <c r="R21" s="734"/>
      <c r="S21" s="805"/>
      <c r="T21" s="808"/>
      <c r="U21" s="809"/>
      <c r="V21" s="810"/>
      <c r="W21" s="810"/>
      <c r="X21" s="810"/>
      <c r="Y21" s="810"/>
      <c r="Z21" s="810"/>
      <c r="AA21" s="810"/>
      <c r="AB21" s="810"/>
      <c r="AC21" s="810"/>
      <c r="AD21" s="810"/>
      <c r="AE21" s="810"/>
      <c r="AF21" s="810"/>
      <c r="AG21" s="810"/>
      <c r="AH21" s="810"/>
      <c r="AI21" s="810"/>
      <c r="AJ21" s="810"/>
      <c r="AK21" s="810"/>
      <c r="AL21" s="810"/>
      <c r="AM21" s="810"/>
      <c r="AN21" s="810"/>
      <c r="AO21" s="810"/>
      <c r="AP21" s="810"/>
      <c r="AQ21" s="810"/>
      <c r="AR21" s="810"/>
      <c r="AS21" s="810"/>
      <c r="AT21" s="810"/>
      <c r="AU21" s="811"/>
      <c r="AV21" s="716"/>
      <c r="AW21" s="716"/>
      <c r="AX21" s="716"/>
      <c r="AY21" s="716"/>
      <c r="AZ21" s="716"/>
      <c r="BA21" s="716"/>
      <c r="BB21" s="716"/>
      <c r="BC21" s="716"/>
      <c r="BD21" s="716"/>
      <c r="BE21" s="806"/>
      <c r="BF21" s="740"/>
      <c r="BG21" s="716"/>
      <c r="BH21" s="716"/>
      <c r="BI21" s="716"/>
      <c r="BJ21" s="740"/>
      <c r="BK21" s="716"/>
    </row>
    <row r="22" spans="1:63" ht="18.75" customHeight="1" thickBot="1" x14ac:dyDescent="0.3">
      <c r="A22" s="812">
        <v>3830639</v>
      </c>
      <c r="B22" s="813"/>
      <c r="C22" s="792"/>
      <c r="D22" s="814"/>
      <c r="E22" s="772"/>
      <c r="F22" s="772"/>
      <c r="G22" s="772"/>
      <c r="H22" s="716"/>
      <c r="I22" s="716"/>
      <c r="J22" s="800"/>
      <c r="K22" s="801"/>
      <c r="L22" s="802">
        <v>9365550</v>
      </c>
      <c r="M22" s="802">
        <v>9365558</v>
      </c>
      <c r="N22" s="801"/>
      <c r="O22" s="803"/>
      <c r="P22" s="787"/>
      <c r="Q22" s="787"/>
      <c r="R22" s="805"/>
      <c r="S22" s="808"/>
      <c r="T22" s="815"/>
      <c r="U22" s="816"/>
      <c r="V22" s="759"/>
      <c r="W22" s="816"/>
      <c r="X22" s="816"/>
      <c r="Y22" s="816"/>
      <c r="Z22" s="785"/>
      <c r="AA22" s="785"/>
      <c r="AB22" s="785"/>
      <c r="AC22" s="785"/>
      <c r="AD22" s="785"/>
      <c r="AE22" s="785"/>
      <c r="AF22" s="785"/>
      <c r="AG22" s="785"/>
      <c r="AH22" s="785"/>
      <c r="AI22" s="785"/>
      <c r="AJ22" s="785"/>
      <c r="AK22" s="785"/>
      <c r="AL22" s="785"/>
      <c r="AM22" s="785"/>
      <c r="AN22" s="785"/>
      <c r="AO22" s="816"/>
      <c r="AP22" s="816"/>
      <c r="AQ22" s="816"/>
      <c r="AR22" s="816"/>
      <c r="AS22" s="816"/>
      <c r="AT22" s="816"/>
      <c r="AU22" s="817"/>
      <c r="AV22" s="740"/>
      <c r="AW22" s="716"/>
      <c r="AX22" s="716"/>
      <c r="AY22" s="716"/>
      <c r="AZ22" s="716"/>
      <c r="BA22" s="716"/>
      <c r="BB22" s="716"/>
      <c r="BC22" s="716"/>
      <c r="BD22" s="716"/>
      <c r="BE22" s="806"/>
      <c r="BF22" s="740"/>
      <c r="BG22" s="716"/>
      <c r="BH22" s="716"/>
      <c r="BI22" s="716"/>
      <c r="BJ22" s="740"/>
      <c r="BK22" s="716"/>
    </row>
    <row r="23" spans="1:63" ht="18.75" customHeight="1" thickBot="1" x14ac:dyDescent="0.3">
      <c r="A23" s="812">
        <v>3830635</v>
      </c>
      <c r="B23" s="813"/>
      <c r="C23" s="792"/>
      <c r="D23" s="747"/>
      <c r="E23" s="772"/>
      <c r="F23" s="772"/>
      <c r="G23" s="772"/>
      <c r="H23" s="818"/>
      <c r="I23" s="716"/>
      <c r="J23" s="800"/>
      <c r="K23" s="801"/>
      <c r="L23" s="802">
        <v>9365552</v>
      </c>
      <c r="M23" s="802">
        <v>9365563</v>
      </c>
      <c r="N23" s="801"/>
      <c r="O23" s="803"/>
      <c r="P23" s="787"/>
      <c r="Q23" s="805"/>
      <c r="R23" s="808"/>
      <c r="S23" s="815"/>
      <c r="T23" s="734"/>
      <c r="U23" s="734"/>
      <c r="V23" s="734"/>
      <c r="W23" s="734"/>
      <c r="X23" s="734"/>
      <c r="Y23" s="734"/>
      <c r="Z23" s="734"/>
      <c r="AA23" s="734"/>
      <c r="AB23" s="734"/>
      <c r="AC23" s="734"/>
      <c r="AD23" s="734"/>
      <c r="AE23" s="734"/>
      <c r="AF23" s="734"/>
      <c r="AG23" s="734"/>
      <c r="AH23" s="734"/>
      <c r="AI23" s="734"/>
      <c r="AJ23" s="734"/>
      <c r="AK23" s="734"/>
      <c r="AL23" s="734"/>
      <c r="AM23" s="734"/>
      <c r="AN23" s="734"/>
      <c r="AO23" s="734"/>
      <c r="AP23" s="734"/>
      <c r="AQ23" s="734"/>
      <c r="AR23" s="734"/>
      <c r="AS23" s="734"/>
      <c r="AT23" s="734"/>
      <c r="AU23" s="734"/>
      <c r="AV23" s="740"/>
      <c r="AW23" s="716"/>
      <c r="AX23" s="716"/>
      <c r="AY23" s="716"/>
      <c r="AZ23" s="716"/>
      <c r="BA23" s="716"/>
      <c r="BB23" s="716"/>
      <c r="BC23" s="716"/>
      <c r="BD23" s="716"/>
      <c r="BE23" s="806"/>
      <c r="BF23" s="740"/>
      <c r="BG23" s="716"/>
      <c r="BH23" s="716"/>
      <c r="BI23" s="716"/>
      <c r="BJ23" s="740"/>
      <c r="BK23" s="716"/>
    </row>
    <row r="24" spans="1:63" ht="18.75" customHeight="1" thickBot="1" x14ac:dyDescent="0.3">
      <c r="A24" s="812">
        <v>3830643</v>
      </c>
      <c r="B24" s="813"/>
      <c r="C24" s="819"/>
      <c r="D24" s="820"/>
      <c r="F24" s="821"/>
      <c r="G24" s="821"/>
      <c r="H24" s="822"/>
      <c r="I24" s="716"/>
      <c r="J24" s="716"/>
      <c r="K24" s="759"/>
      <c r="L24" s="796"/>
      <c r="M24" s="796"/>
      <c r="N24" s="823"/>
      <c r="O24" s="787"/>
      <c r="P24" s="805"/>
      <c r="Q24" s="808"/>
      <c r="R24" s="815"/>
      <c r="S24" s="824"/>
      <c r="T24" s="759"/>
      <c r="U24" s="820"/>
      <c r="V24" s="825"/>
      <c r="W24" s="820"/>
      <c r="X24" s="734"/>
      <c r="Y24" s="734"/>
      <c r="Z24" s="734"/>
      <c r="AA24" s="734"/>
      <c r="AB24" s="734"/>
      <c r="AC24" s="734"/>
      <c r="AD24" s="734"/>
      <c r="AE24" s="734"/>
      <c r="AF24" s="734"/>
      <c r="AG24" s="734"/>
      <c r="AH24" s="734"/>
      <c r="AI24" s="734"/>
      <c r="AJ24" s="734"/>
      <c r="AK24" s="734"/>
      <c r="AL24" s="734"/>
      <c r="AM24" s="734"/>
      <c r="AN24" s="734"/>
      <c r="AO24" s="734"/>
      <c r="AP24" s="734"/>
      <c r="AQ24" s="734"/>
      <c r="AR24" s="734"/>
      <c r="AS24" s="734"/>
      <c r="AT24" s="734"/>
      <c r="AU24" s="734"/>
      <c r="AV24" s="740"/>
      <c r="AW24" s="716"/>
      <c r="AX24" s="716"/>
      <c r="AY24" s="716"/>
      <c r="AZ24" s="716"/>
      <c r="BA24" s="826" t="s">
        <v>208</v>
      </c>
      <c r="BB24" s="716"/>
      <c r="BC24" s="716"/>
      <c r="BD24" s="716"/>
      <c r="BE24" s="806"/>
      <c r="BF24" s="740"/>
      <c r="BG24" s="827"/>
      <c r="BH24" s="827"/>
      <c r="BI24" s="828"/>
      <c r="BJ24" s="740"/>
      <c r="BK24" s="716"/>
    </row>
    <row r="25" spans="1:63" ht="18.75" customHeight="1" thickBot="1" x14ac:dyDescent="0.3">
      <c r="A25" s="829">
        <v>3830632</v>
      </c>
      <c r="B25" s="813"/>
      <c r="C25" s="819"/>
      <c r="D25" s="747"/>
      <c r="E25" s="830"/>
      <c r="F25" s="830"/>
      <c r="G25" s="830"/>
      <c r="H25" s="830"/>
      <c r="I25" s="830"/>
      <c r="J25" s="716"/>
      <c r="K25" s="831"/>
      <c r="L25" s="734"/>
      <c r="M25" s="734"/>
      <c r="N25" s="832"/>
      <c r="O25" s="832"/>
      <c r="P25" s="808"/>
      <c r="Q25" s="815"/>
      <c r="R25" s="824"/>
      <c r="S25" s="785"/>
      <c r="T25" s="734"/>
      <c r="U25" s="825"/>
      <c r="V25" s="820"/>
      <c r="W25" s="825"/>
      <c r="X25" s="734"/>
      <c r="Y25" s="734"/>
      <c r="Z25" s="734"/>
      <c r="AA25" s="734"/>
      <c r="AB25" s="734"/>
      <c r="AC25" s="734"/>
      <c r="AD25" s="734"/>
      <c r="AE25" s="734"/>
      <c r="AF25" s="734"/>
      <c r="AG25" s="734"/>
      <c r="AH25" s="734"/>
      <c r="AI25" s="734"/>
      <c r="AJ25" s="734"/>
      <c r="AK25" s="734"/>
      <c r="AL25" s="734"/>
      <c r="AM25" s="734"/>
      <c r="AN25" s="734"/>
      <c r="AO25" s="734"/>
      <c r="AP25" s="734"/>
      <c r="AQ25" s="734"/>
      <c r="AR25" s="734"/>
      <c r="AS25" s="734"/>
      <c r="AT25" s="734"/>
      <c r="AU25" s="734"/>
      <c r="AV25" s="740"/>
      <c r="AW25" s="716"/>
      <c r="AX25" s="716"/>
      <c r="AY25" s="716"/>
      <c r="AZ25" s="716"/>
      <c r="BA25" s="716"/>
      <c r="BB25" s="716"/>
      <c r="BC25" s="716"/>
      <c r="BD25" s="716"/>
      <c r="BE25" s="806"/>
      <c r="BF25" s="740"/>
      <c r="BG25" s="716"/>
      <c r="BH25" s="716"/>
      <c r="BI25" s="716"/>
      <c r="BJ25" s="740"/>
      <c r="BK25" s="716"/>
    </row>
    <row r="26" spans="1:63" ht="18.75" customHeight="1" thickBot="1" x14ac:dyDescent="0.3">
      <c r="A26" s="829">
        <v>3830627</v>
      </c>
      <c r="B26" s="813"/>
      <c r="C26" s="819"/>
      <c r="D26" s="747"/>
      <c r="E26" s="833"/>
      <c r="F26" s="833"/>
      <c r="G26" s="833"/>
      <c r="H26" s="833"/>
      <c r="I26" s="822"/>
      <c r="J26" s="834"/>
      <c r="K26" s="835"/>
      <c r="L26" s="836"/>
      <c r="M26" s="836"/>
      <c r="N26" s="836"/>
      <c r="O26" s="836"/>
      <c r="P26" s="815"/>
      <c r="Q26" s="824"/>
      <c r="R26" s="785"/>
      <c r="S26" s="734"/>
      <c r="T26" s="734"/>
      <c r="U26" s="820"/>
      <c r="V26" s="825"/>
      <c r="W26" s="820"/>
      <c r="X26" s="734"/>
      <c r="Y26" s="734"/>
      <c r="Z26" s="734"/>
      <c r="AA26" s="734"/>
      <c r="AB26" s="734"/>
      <c r="AC26" s="734"/>
      <c r="AD26" s="734"/>
      <c r="AE26" s="837"/>
      <c r="AF26" s="837"/>
      <c r="AG26" s="837"/>
      <c r="AH26" s="734"/>
      <c r="AI26" s="734"/>
      <c r="AJ26" s="734"/>
      <c r="AK26" s="734"/>
      <c r="AL26" s="734"/>
      <c r="AT26" s="734"/>
      <c r="AU26" s="734"/>
      <c r="AV26" s="740"/>
      <c r="AW26" s="716"/>
      <c r="AX26" s="716"/>
      <c r="AY26" s="716"/>
      <c r="AZ26" s="716"/>
      <c r="BA26" s="716"/>
      <c r="BB26" s="716"/>
      <c r="BC26" s="716"/>
      <c r="BD26" s="716"/>
      <c r="BE26" s="806"/>
      <c r="BF26" s="740"/>
      <c r="BG26" s="716"/>
      <c r="BH26" s="716"/>
      <c r="BI26" s="716"/>
      <c r="BJ26" s="740"/>
      <c r="BK26" s="716"/>
    </row>
    <row r="27" spans="1:63" ht="18.75" customHeight="1" thickBot="1" x14ac:dyDescent="0.3">
      <c r="A27" s="829">
        <v>3830647</v>
      </c>
      <c r="B27" s="813"/>
      <c r="C27" s="819"/>
      <c r="D27" s="747"/>
      <c r="E27" s="786"/>
      <c r="F27" s="786"/>
      <c r="G27" s="786"/>
      <c r="H27" s="786"/>
      <c r="I27" s="838"/>
      <c r="J27" s="734"/>
      <c r="L27" s="763"/>
      <c r="M27" s="764"/>
      <c r="N27" s="839"/>
      <c r="O27" s="840"/>
      <c r="P27" s="824"/>
      <c r="Q27" s="785"/>
      <c r="R27" s="785"/>
      <c r="S27" s="734"/>
      <c r="T27" s="734"/>
      <c r="U27" s="734"/>
      <c r="V27" s="734"/>
      <c r="W27" s="734"/>
      <c r="X27" s="734"/>
      <c r="Y27" s="734"/>
      <c r="Z27" s="734"/>
      <c r="AA27" s="734"/>
      <c r="AB27" s="734"/>
      <c r="AC27" s="734"/>
      <c r="AD27" s="734"/>
      <c r="AE27" s="734"/>
      <c r="AF27" s="841"/>
      <c r="AG27" s="734"/>
      <c r="AH27" s="734"/>
      <c r="AI27" s="734"/>
      <c r="AJ27" s="734"/>
      <c r="AK27" s="734"/>
      <c r="AL27" s="734"/>
      <c r="AM27" s="734"/>
      <c r="AN27" s="734"/>
      <c r="AO27" s="734"/>
      <c r="AT27" s="734"/>
      <c r="AU27" s="734"/>
      <c r="AV27" s="740"/>
      <c r="AW27" s="716"/>
      <c r="AX27" s="716"/>
      <c r="AY27" s="716"/>
      <c r="AZ27" s="716"/>
      <c r="BA27" s="716"/>
      <c r="BB27" s="716"/>
      <c r="BC27" s="716"/>
      <c r="BD27" s="716"/>
      <c r="BE27" s="806"/>
      <c r="BF27" s="740"/>
      <c r="BG27" s="716"/>
      <c r="BH27" s="716"/>
      <c r="BI27" s="716"/>
      <c r="BJ27" s="740"/>
      <c r="BK27" s="716"/>
    </row>
    <row r="28" spans="1:63" ht="18.75" customHeight="1" x14ac:dyDescent="0.25">
      <c r="A28" s="760"/>
      <c r="B28" s="748"/>
      <c r="C28" s="748"/>
      <c r="D28" s="748"/>
      <c r="E28" s="786"/>
      <c r="F28" s="786"/>
      <c r="G28" s="786"/>
      <c r="H28" s="786"/>
      <c r="I28" s="842"/>
      <c r="J28" s="734"/>
      <c r="K28" s="800"/>
      <c r="L28" s="764"/>
      <c r="M28" s="843">
        <v>7056759</v>
      </c>
      <c r="N28" s="844"/>
      <c r="O28" s="844"/>
      <c r="P28" s="785"/>
      <c r="Q28" s="787"/>
      <c r="R28" s="734"/>
      <c r="S28" s="734"/>
      <c r="T28" s="734"/>
      <c r="U28" s="841"/>
      <c r="V28" s="841"/>
      <c r="W28" s="841"/>
      <c r="X28" s="734"/>
      <c r="Y28" s="734"/>
      <c r="Z28" s="734"/>
      <c r="AA28" s="734"/>
      <c r="AB28" s="734"/>
      <c r="AC28" s="785"/>
      <c r="AE28" s="807"/>
      <c r="AF28" s="845"/>
      <c r="AG28" s="734"/>
      <c r="AH28" s="734"/>
      <c r="AI28" s="785"/>
      <c r="AJ28" s="716"/>
      <c r="AK28" s="716"/>
      <c r="AL28" s="716"/>
      <c r="AM28" s="734"/>
      <c r="AN28" s="734"/>
      <c r="AO28" s="734"/>
      <c r="AT28" s="716"/>
      <c r="AU28" s="734"/>
      <c r="AV28" s="740"/>
      <c r="AW28" s="716"/>
      <c r="AX28" s="716"/>
      <c r="AY28" s="716"/>
      <c r="AZ28" s="716"/>
      <c r="BA28" s="716"/>
      <c r="BB28" s="716"/>
      <c r="BC28" s="716"/>
      <c r="BD28" s="716"/>
      <c r="BE28" s="806"/>
      <c r="BF28" s="740"/>
      <c r="BG28" s="716"/>
      <c r="BH28" s="716"/>
      <c r="BI28" s="716"/>
      <c r="BJ28" s="740"/>
      <c r="BK28" s="716"/>
    </row>
    <row r="29" spans="1:63" ht="18.75" customHeight="1" thickBot="1" x14ac:dyDescent="0.3">
      <c r="A29" s="846">
        <v>3128042</v>
      </c>
      <c r="B29" s="847"/>
      <c r="C29" s="848"/>
      <c r="D29" s="842"/>
      <c r="E29" s="849"/>
      <c r="F29" s="849"/>
      <c r="G29" s="849"/>
      <c r="H29" s="849"/>
      <c r="I29" s="842"/>
      <c r="J29" s="734"/>
      <c r="K29" s="800"/>
      <c r="L29" s="764"/>
      <c r="M29" s="843">
        <v>7055348</v>
      </c>
      <c r="N29" s="844"/>
      <c r="O29" s="850"/>
      <c r="P29" s="785"/>
      <c r="Q29" s="787"/>
      <c r="R29" s="785"/>
      <c r="S29" s="734"/>
      <c r="T29" s="807"/>
      <c r="U29" s="851"/>
      <c r="V29" s="851"/>
      <c r="W29" s="851"/>
      <c r="X29" s="797"/>
      <c r="Y29" s="850"/>
      <c r="Z29" s="852"/>
      <c r="AA29" s="853"/>
      <c r="AB29" s="853"/>
      <c r="AC29" s="854"/>
      <c r="AE29" s="855"/>
      <c r="AF29" s="856"/>
      <c r="AG29" s="855"/>
      <c r="AH29" s="734"/>
      <c r="AM29" s="734"/>
      <c r="AN29" s="734"/>
      <c r="AO29" s="734"/>
      <c r="AT29" s="716"/>
      <c r="AU29" s="734"/>
      <c r="AV29" s="857"/>
      <c r="AW29" s="858"/>
      <c r="AX29" s="858"/>
      <c r="AY29" s="858"/>
      <c r="AZ29" s="858"/>
      <c r="BA29" s="858"/>
      <c r="BB29" s="858"/>
      <c r="BC29" s="858"/>
      <c r="BD29" s="858"/>
      <c r="BE29" s="859"/>
      <c r="BF29" s="740"/>
      <c r="BG29" s="716"/>
      <c r="BH29" s="716"/>
      <c r="BI29" s="806"/>
      <c r="BJ29" s="740"/>
      <c r="BK29" s="860"/>
    </row>
    <row r="30" spans="1:63" ht="18.75" customHeight="1" x14ac:dyDescent="0.25">
      <c r="A30" s="846">
        <v>3128069</v>
      </c>
      <c r="B30" s="847"/>
      <c r="C30" s="848"/>
      <c r="D30" s="861"/>
      <c r="E30" s="823"/>
      <c r="F30" s="823"/>
      <c r="G30" s="823"/>
      <c r="H30" s="823"/>
      <c r="I30" s="716"/>
      <c r="J30" s="734"/>
      <c r="K30" s="800"/>
      <c r="L30" s="764"/>
      <c r="M30" s="843">
        <v>7055252</v>
      </c>
      <c r="N30" s="862"/>
      <c r="O30" s="863"/>
      <c r="P30" s="785"/>
      <c r="Q30" s="787"/>
      <c r="R30" s="785"/>
      <c r="S30" s="734"/>
      <c r="T30" s="851"/>
      <c r="U30" s="864">
        <v>9370382</v>
      </c>
      <c r="V30" s="864">
        <v>9370359</v>
      </c>
      <c r="W30" s="864">
        <v>9370379</v>
      </c>
      <c r="X30" s="851"/>
      <c r="Y30" s="852"/>
      <c r="AB30" s="865"/>
      <c r="AC30" s="865"/>
      <c r="AD30" s="865"/>
      <c r="AE30" s="856"/>
      <c r="AF30" s="759"/>
      <c r="AG30" s="856"/>
      <c r="AH30" s="845"/>
      <c r="AI30" s="734"/>
      <c r="AJ30" s="866"/>
      <c r="AK30" s="716"/>
      <c r="AM30" s="734"/>
      <c r="AN30" s="852"/>
      <c r="AO30" s="729"/>
      <c r="AP30" s="852"/>
      <c r="AQ30" s="852"/>
      <c r="AR30" s="852"/>
      <c r="AS30" s="852"/>
      <c r="AT30" s="852"/>
      <c r="AU30" s="820"/>
      <c r="AV30" s="785"/>
      <c r="AW30" s="759"/>
      <c r="AX30" s="772"/>
      <c r="AY30" s="772"/>
      <c r="AZ30" s="772"/>
      <c r="BA30" s="772"/>
      <c r="BB30" s="772"/>
      <c r="BC30" s="729"/>
      <c r="BD30" s="729"/>
      <c r="BE30" s="729"/>
      <c r="BF30" s="867" t="s">
        <v>208</v>
      </c>
      <c r="BG30" s="868"/>
      <c r="BH30" s="868"/>
      <c r="BI30" s="869"/>
      <c r="BJ30" s="740"/>
      <c r="BK30" s="860"/>
    </row>
    <row r="31" spans="1:63" ht="18.75" customHeight="1" x14ac:dyDescent="0.25">
      <c r="A31" s="870">
        <v>3128047</v>
      </c>
      <c r="B31" s="847"/>
      <c r="C31" s="848"/>
      <c r="D31" s="716"/>
      <c r="E31" s="788"/>
      <c r="F31" s="788"/>
      <c r="G31" s="788"/>
      <c r="H31" s="788"/>
      <c r="I31" s="734"/>
      <c r="J31" s="734"/>
      <c r="K31" s="800"/>
      <c r="L31" s="764"/>
      <c r="M31" s="843">
        <v>7055099</v>
      </c>
      <c r="N31" s="850"/>
      <c r="O31" s="854"/>
      <c r="P31" s="785"/>
      <c r="Q31" s="787"/>
      <c r="R31" s="785"/>
      <c r="S31" s="734"/>
      <c r="T31" s="851"/>
      <c r="U31" s="864">
        <v>9370386</v>
      </c>
      <c r="V31" s="864">
        <v>9370364</v>
      </c>
      <c r="W31" s="864">
        <v>9370384</v>
      </c>
      <c r="X31" s="851"/>
      <c r="Y31" s="852"/>
      <c r="AB31" s="865"/>
      <c r="AC31" s="865"/>
      <c r="AD31" s="865"/>
      <c r="AE31" s="855"/>
      <c r="AF31" s="856"/>
      <c r="AG31" s="855"/>
      <c r="AH31" s="785"/>
      <c r="AI31" s="866"/>
      <c r="AJ31" s="759"/>
      <c r="AK31" s="866"/>
      <c r="AM31" s="734"/>
      <c r="AN31" s="729"/>
      <c r="AO31" s="852"/>
      <c r="AP31" s="729"/>
      <c r="AQ31" s="853"/>
      <c r="AR31" s="729"/>
      <c r="AS31" s="729"/>
      <c r="AT31" s="729"/>
      <c r="AU31" s="820"/>
      <c r="AV31" s="787"/>
      <c r="AW31" s="787"/>
      <c r="AX31" s="787"/>
      <c r="AY31" s="787"/>
      <c r="AZ31" s="787"/>
      <c r="BA31" s="787"/>
      <c r="BB31" s="785"/>
      <c r="BC31" s="785"/>
      <c r="BD31" s="785"/>
      <c r="BE31" s="759"/>
      <c r="BF31" s="871"/>
      <c r="BG31" s="872"/>
      <c r="BH31" s="872"/>
      <c r="BI31" s="873"/>
      <c r="BJ31" s="740"/>
      <c r="BK31" s="874"/>
    </row>
    <row r="32" spans="1:63" ht="18.75" customHeight="1" thickBot="1" x14ac:dyDescent="0.3">
      <c r="A32" s="875">
        <v>3128091</v>
      </c>
      <c r="B32" s="847"/>
      <c r="C32" s="848"/>
      <c r="D32" s="716"/>
      <c r="E32" s="786"/>
      <c r="F32" s="786"/>
      <c r="G32" s="786"/>
      <c r="H32" s="786"/>
      <c r="I32" s="734"/>
      <c r="J32" s="785"/>
      <c r="K32" s="793"/>
      <c r="L32" s="793"/>
      <c r="M32" s="764"/>
      <c r="N32" s="876"/>
      <c r="O32" s="877"/>
      <c r="P32" s="785"/>
      <c r="Q32" s="787"/>
      <c r="R32" s="785"/>
      <c r="S32" s="716"/>
      <c r="T32" s="759"/>
      <c r="U32" s="851"/>
      <c r="V32" s="851"/>
      <c r="W32" s="851"/>
      <c r="Y32" s="820"/>
      <c r="Z32" s="820"/>
      <c r="AA32" s="878"/>
      <c r="AB32" s="853"/>
      <c r="AC32" s="854"/>
      <c r="AF32" s="845"/>
      <c r="AI32" s="734"/>
      <c r="AJ32" s="866"/>
      <c r="AK32" s="785"/>
      <c r="AM32" s="734"/>
      <c r="AN32" s="853"/>
      <c r="AO32" s="729"/>
      <c r="AP32" s="853"/>
      <c r="AQ32" s="820"/>
      <c r="AR32" s="729"/>
      <c r="AS32" s="729"/>
      <c r="AT32" s="729"/>
      <c r="AU32" s="820"/>
      <c r="AV32" s="785"/>
      <c r="AW32" s="785"/>
      <c r="AX32" s="785"/>
      <c r="AY32" s="785"/>
      <c r="AZ32" s="785"/>
      <c r="BA32" s="785"/>
      <c r="BB32" s="785"/>
      <c r="BC32" s="785"/>
      <c r="BD32" s="785"/>
      <c r="BE32" s="759"/>
      <c r="BF32" s="871"/>
      <c r="BG32" s="872"/>
      <c r="BH32" s="872"/>
      <c r="BI32" s="873"/>
      <c r="BJ32" s="740"/>
      <c r="BK32" s="874"/>
    </row>
    <row r="33" spans="1:63" ht="18.75" customHeight="1" thickBot="1" x14ac:dyDescent="0.3">
      <c r="A33" s="879"/>
      <c r="B33" s="797"/>
      <c r="C33" s="831"/>
      <c r="D33" s="759"/>
      <c r="E33" s="786"/>
      <c r="F33" s="786"/>
      <c r="G33" s="786"/>
      <c r="H33" s="786"/>
      <c r="I33" s="734"/>
      <c r="J33" s="787"/>
      <c r="K33" s="734"/>
      <c r="L33" s="759"/>
      <c r="M33" s="880"/>
      <c r="N33" s="881"/>
      <c r="O33" s="854"/>
      <c r="P33" s="785"/>
      <c r="Q33" s="734"/>
      <c r="R33" s="785"/>
      <c r="S33" s="716"/>
      <c r="T33" s="734"/>
      <c r="U33" s="841"/>
      <c r="V33" s="841"/>
      <c r="W33" s="841"/>
      <c r="X33" s="734"/>
      <c r="Y33" s="878"/>
      <c r="Z33" s="878"/>
      <c r="AA33" s="853"/>
      <c r="AB33" s="853"/>
      <c r="AC33" s="820"/>
      <c r="AD33" s="716"/>
      <c r="AE33" s="785"/>
      <c r="AF33" s="841"/>
      <c r="AG33" s="785"/>
      <c r="AH33" s="785"/>
      <c r="AI33" s="716"/>
      <c r="AJ33" s="734"/>
      <c r="AK33" s="734"/>
      <c r="AN33" s="853"/>
      <c r="AO33" s="820"/>
      <c r="AP33" s="882"/>
      <c r="AQ33" s="820"/>
      <c r="AR33" s="820"/>
      <c r="AS33" s="854"/>
      <c r="AT33" s="854"/>
      <c r="AU33" s="820"/>
      <c r="AV33" s="734"/>
      <c r="AW33" s="734"/>
      <c r="AX33" s="734"/>
      <c r="AY33" s="785"/>
      <c r="AZ33" s="785"/>
      <c r="BA33" s="785"/>
      <c r="BB33" s="785"/>
      <c r="BC33" s="785"/>
      <c r="BD33" s="785"/>
      <c r="BE33" s="883"/>
      <c r="BF33" s="871"/>
      <c r="BG33" s="872"/>
      <c r="BH33" s="872"/>
      <c r="BI33" s="873"/>
      <c r="BJ33" s="740"/>
      <c r="BK33" s="860"/>
    </row>
    <row r="34" spans="1:63" ht="18.75" customHeight="1" x14ac:dyDescent="0.25">
      <c r="A34" s="884" t="s">
        <v>231</v>
      </c>
      <c r="B34" s="759"/>
      <c r="C34" s="734"/>
      <c r="D34" s="835"/>
      <c r="E34" s="885"/>
      <c r="F34" s="885"/>
      <c r="G34" s="885"/>
      <c r="H34" s="885"/>
      <c r="I34" s="886"/>
      <c r="J34" s="716"/>
      <c r="K34" s="734"/>
      <c r="L34" s="887"/>
      <c r="M34" s="888"/>
      <c r="N34" s="876"/>
      <c r="O34" s="820"/>
      <c r="P34" s="734"/>
      <c r="Q34" s="787"/>
      <c r="R34" s="787"/>
      <c r="S34" s="716"/>
      <c r="T34" s="785"/>
      <c r="U34" s="785"/>
      <c r="V34" s="785"/>
      <c r="W34" s="785"/>
      <c r="X34" s="734"/>
      <c r="Y34" s="853"/>
      <c r="AB34" s="853"/>
      <c r="AC34" s="853"/>
      <c r="AD34" s="853"/>
      <c r="AE34" s="854"/>
      <c r="AN34" s="889"/>
      <c r="AO34" s="889"/>
      <c r="AP34" s="889"/>
      <c r="AQ34" s="734"/>
      <c r="AR34" s="734"/>
      <c r="AS34" s="734"/>
      <c r="AT34" s="734"/>
      <c r="AU34" s="734"/>
      <c r="AV34" s="734"/>
      <c r="AW34" s="772"/>
      <c r="AX34" s="772"/>
      <c r="AY34" s="772"/>
      <c r="AZ34" s="734"/>
      <c r="BA34" s="772"/>
      <c r="BB34" s="772"/>
      <c r="BC34" s="772"/>
      <c r="BD34" s="785"/>
      <c r="BE34" s="772"/>
      <c r="BF34" s="871"/>
      <c r="BG34" s="872"/>
      <c r="BH34" s="872"/>
      <c r="BI34" s="873"/>
      <c r="BJ34" s="740"/>
      <c r="BK34" s="860"/>
    </row>
    <row r="35" spans="1:63" ht="18.75" customHeight="1" x14ac:dyDescent="0.25">
      <c r="A35" s="890"/>
      <c r="B35" s="734"/>
      <c r="C35" s="734"/>
      <c r="D35" s="835"/>
      <c r="E35" s="755"/>
      <c r="F35" s="755"/>
      <c r="G35" s="755"/>
      <c r="H35" s="755"/>
      <c r="I35" s="891"/>
      <c r="J35" s="716"/>
      <c r="K35" s="734"/>
      <c r="L35" s="887"/>
      <c r="M35" s="888"/>
      <c r="N35" s="876"/>
      <c r="O35" s="820"/>
      <c r="P35" s="734"/>
      <c r="Q35" s="787"/>
      <c r="R35" s="787"/>
      <c r="S35" s="716"/>
      <c r="T35" s="785"/>
      <c r="U35" s="727"/>
      <c r="V35" s="727"/>
      <c r="W35" s="727"/>
      <c r="X35" s="734"/>
      <c r="Y35" s="853"/>
      <c r="AB35" s="820"/>
      <c r="AC35" s="892"/>
      <c r="AD35" s="820"/>
      <c r="AE35" s="854"/>
      <c r="AO35" s="841"/>
      <c r="AQ35" s="734"/>
      <c r="AR35" s="734"/>
      <c r="AS35" s="734"/>
      <c r="AT35" s="734"/>
      <c r="AU35" s="734"/>
      <c r="AV35" s="734"/>
      <c r="AW35" s="772"/>
      <c r="AX35" s="772"/>
      <c r="AY35" s="772"/>
      <c r="AZ35" s="734"/>
      <c r="BA35" s="772"/>
      <c r="BB35" s="772"/>
      <c r="BC35" s="772"/>
      <c r="BD35" s="785"/>
      <c r="BE35" s="772"/>
      <c r="BF35" s="871"/>
      <c r="BG35" s="872"/>
      <c r="BH35" s="872"/>
      <c r="BI35" s="873"/>
      <c r="BJ35" s="893"/>
      <c r="BK35" s="716"/>
    </row>
    <row r="36" spans="1:63" ht="18.75" customHeight="1" x14ac:dyDescent="0.25">
      <c r="A36" s="890"/>
      <c r="B36" s="734"/>
      <c r="C36" s="716"/>
      <c r="D36" s="763"/>
      <c r="E36" s="894"/>
      <c r="F36" s="894"/>
      <c r="G36" s="894"/>
      <c r="H36" s="894"/>
      <c r="I36" s="797"/>
      <c r="J36" s="734"/>
      <c r="K36" s="734"/>
      <c r="L36" s="887"/>
      <c r="M36" s="888"/>
      <c r="N36" s="895"/>
      <c r="O36" s="820"/>
      <c r="P36" s="734"/>
      <c r="Q36" s="785"/>
      <c r="R36" s="785"/>
      <c r="S36" s="716"/>
      <c r="T36" s="896"/>
      <c r="U36" s="841"/>
      <c r="V36" s="841"/>
      <c r="W36" s="841"/>
      <c r="X36" s="897"/>
      <c r="Y36" s="852"/>
      <c r="AC36" s="898"/>
      <c r="AD36" s="820"/>
      <c r="AE36" s="892"/>
      <c r="AH36" s="734"/>
      <c r="AN36" s="807"/>
      <c r="AO36" s="769"/>
      <c r="AQ36" s="734"/>
      <c r="AR36" s="734"/>
      <c r="AS36" s="759"/>
      <c r="AT36" s="785"/>
      <c r="AU36" s="785"/>
      <c r="AW36" s="759"/>
      <c r="AX36" s="734"/>
      <c r="AY36" s="734"/>
      <c r="AZ36" s="734"/>
      <c r="BA36" s="759"/>
      <c r="BB36" s="734"/>
      <c r="BC36" s="734"/>
      <c r="BD36" s="785"/>
      <c r="BE36" s="772"/>
      <c r="BF36" s="871"/>
      <c r="BG36" s="872"/>
      <c r="BH36" s="872"/>
      <c r="BI36" s="873"/>
      <c r="BJ36" s="740"/>
      <c r="BK36" s="899"/>
    </row>
    <row r="37" spans="1:63" ht="18.75" customHeight="1" thickBot="1" x14ac:dyDescent="0.3">
      <c r="A37" s="900"/>
      <c r="B37" s="734"/>
      <c r="C37" s="901"/>
      <c r="D37" s="902"/>
      <c r="E37" s="903">
        <v>3122778</v>
      </c>
      <c r="F37" s="903">
        <v>3122780</v>
      </c>
      <c r="G37" s="903">
        <v>3122781</v>
      </c>
      <c r="H37" s="903">
        <v>3122888</v>
      </c>
      <c r="I37" s="904"/>
      <c r="J37" s="734"/>
      <c r="K37" s="734"/>
      <c r="L37" s="887"/>
      <c r="M37" s="888"/>
      <c r="N37" s="876"/>
      <c r="O37" s="905"/>
      <c r="P37" s="734"/>
      <c r="Q37" s="787"/>
      <c r="R37" s="785"/>
      <c r="S37" s="716"/>
      <c r="T37" s="807"/>
      <c r="U37" s="851"/>
      <c r="V37" s="851"/>
      <c r="W37" s="851"/>
      <c r="X37" s="797"/>
      <c r="Y37" s="852"/>
      <c r="AB37" s="853"/>
      <c r="AN37" s="769"/>
      <c r="AO37" s="906">
        <v>7055407</v>
      </c>
      <c r="AP37" s="769"/>
      <c r="AQ37" s="734"/>
      <c r="AR37" s="734"/>
      <c r="AS37" s="785"/>
      <c r="AT37" s="785"/>
      <c r="AU37" s="785"/>
      <c r="AV37" s="785"/>
      <c r="AW37" s="734"/>
      <c r="AX37" s="734"/>
      <c r="AZ37" s="734"/>
      <c r="BA37" s="734"/>
      <c r="BB37" s="734"/>
      <c r="BC37" s="734"/>
      <c r="BD37" s="785"/>
      <c r="BE37" s="772"/>
      <c r="BF37" s="871"/>
      <c r="BG37" s="872"/>
      <c r="BH37" s="872"/>
      <c r="BI37" s="873"/>
      <c r="BJ37" s="740"/>
      <c r="BK37" s="899"/>
    </row>
    <row r="38" spans="1:63" ht="18.75" customHeight="1" x14ac:dyDescent="0.25">
      <c r="A38" s="907"/>
      <c r="B38" s="908"/>
      <c r="C38" s="901"/>
      <c r="D38" s="902"/>
      <c r="E38" s="903">
        <v>3122803</v>
      </c>
      <c r="F38" s="903">
        <v>3122801</v>
      </c>
      <c r="G38" s="903">
        <v>3122887</v>
      </c>
      <c r="H38" s="903">
        <v>3122790</v>
      </c>
      <c r="I38" s="904"/>
      <c r="J38" s="734"/>
      <c r="K38" s="909"/>
      <c r="L38" s="887"/>
      <c r="M38" s="888"/>
      <c r="N38" s="876"/>
      <c r="O38" s="898"/>
      <c r="P38" s="734"/>
      <c r="Q38" s="734"/>
      <c r="R38" s="785"/>
      <c r="S38" s="716"/>
      <c r="T38" s="796"/>
      <c r="U38" s="910">
        <v>3839360</v>
      </c>
      <c r="V38" s="910">
        <v>3838516</v>
      </c>
      <c r="W38" s="911">
        <v>3836440</v>
      </c>
      <c r="X38" s="912"/>
      <c r="Y38" s="852"/>
      <c r="AB38" s="876"/>
      <c r="AC38" s="876"/>
      <c r="AD38" s="876"/>
      <c r="AE38" s="876"/>
      <c r="AI38" s="786"/>
      <c r="AJ38" s="786"/>
      <c r="AK38" s="786"/>
      <c r="AL38" s="913"/>
      <c r="AM38" s="769"/>
      <c r="AN38" s="906">
        <v>7055395</v>
      </c>
      <c r="AO38" s="759"/>
      <c r="AP38" s="906">
        <v>7055411</v>
      </c>
      <c r="AQ38" s="769"/>
      <c r="AR38" s="914"/>
      <c r="AS38" s="772"/>
      <c r="AT38" s="772"/>
      <c r="AU38" s="772"/>
      <c r="AV38" s="772"/>
      <c r="AX38" s="729"/>
      <c r="AY38" s="729"/>
      <c r="AZ38" s="734"/>
      <c r="BA38" s="866"/>
      <c r="BB38" s="866"/>
      <c r="BC38" s="866"/>
      <c r="BD38" s="785"/>
      <c r="BE38" s="759"/>
      <c r="BF38" s="871"/>
      <c r="BG38" s="872"/>
      <c r="BH38" s="872"/>
      <c r="BI38" s="873"/>
      <c r="BJ38" s="893"/>
      <c r="BK38" s="716"/>
    </row>
    <row r="39" spans="1:63" ht="18.75" customHeight="1" thickBot="1" x14ac:dyDescent="0.3">
      <c r="A39" s="772"/>
      <c r="B39" s="908"/>
      <c r="C39" s="915"/>
      <c r="D39" s="759"/>
      <c r="E39" s="894"/>
      <c r="F39" s="894"/>
      <c r="G39" s="894"/>
      <c r="H39" s="894"/>
      <c r="I39" s="827"/>
      <c r="J39" s="734"/>
      <c r="K39" s="909"/>
      <c r="L39" s="887"/>
      <c r="M39" s="888"/>
      <c r="N39" s="876"/>
      <c r="O39" s="787"/>
      <c r="P39" s="916"/>
      <c r="Q39" s="785"/>
      <c r="R39" s="785"/>
      <c r="S39" s="716"/>
      <c r="T39" s="796"/>
      <c r="U39" s="910">
        <v>3836411</v>
      </c>
      <c r="V39" s="910">
        <v>3830656</v>
      </c>
      <c r="W39" s="911">
        <v>3830646</v>
      </c>
      <c r="X39" s="917"/>
      <c r="Y39" s="734"/>
      <c r="AB39" s="881"/>
      <c r="AC39" s="876"/>
      <c r="AD39" s="876"/>
      <c r="AE39" s="876"/>
      <c r="AI39" s="786"/>
      <c r="AJ39" s="786"/>
      <c r="AK39" s="786"/>
      <c r="AN39" s="769"/>
      <c r="AO39" s="906">
        <v>7047969</v>
      </c>
      <c r="AP39" s="769"/>
      <c r="AQ39" s="734"/>
      <c r="AR39" s="734"/>
      <c r="AS39" s="772"/>
      <c r="AT39" s="772"/>
      <c r="AU39" s="772"/>
      <c r="AV39" s="772"/>
      <c r="AX39" s="729"/>
      <c r="AY39" s="729"/>
      <c r="AZ39" s="734"/>
      <c r="BA39" s="866"/>
      <c r="BB39" s="866"/>
      <c r="BC39" s="866"/>
      <c r="BD39" s="785"/>
      <c r="BE39" s="918"/>
      <c r="BF39" s="871"/>
      <c r="BG39" s="872"/>
      <c r="BH39" s="872"/>
      <c r="BI39" s="873"/>
      <c r="BJ39" s="740"/>
      <c r="BK39" s="716"/>
    </row>
    <row r="40" spans="1:63" ht="18.75" customHeight="1" x14ac:dyDescent="0.25">
      <c r="A40" s="772"/>
      <c r="B40" s="908"/>
      <c r="C40" s="915"/>
      <c r="D40" s="835"/>
      <c r="E40" s="755"/>
      <c r="F40" s="755"/>
      <c r="G40" s="755"/>
      <c r="H40" s="755"/>
      <c r="I40" s="835"/>
      <c r="J40" s="716"/>
      <c r="K40" s="909"/>
      <c r="L40" s="919"/>
      <c r="M40" s="920"/>
      <c r="N40" s="876"/>
      <c r="O40" s="787"/>
      <c r="P40" s="921"/>
      <c r="Q40" s="787"/>
      <c r="R40" s="787"/>
      <c r="S40" s="716"/>
      <c r="T40" s="759"/>
      <c r="U40" s="851"/>
      <c r="V40" s="851"/>
      <c r="W40" s="851"/>
      <c r="X40" s="922"/>
      <c r="Y40" s="759"/>
      <c r="AB40" s="734"/>
      <c r="AC40" s="734"/>
      <c r="AD40" s="716"/>
      <c r="AI40" s="759"/>
      <c r="AN40" s="734"/>
      <c r="AO40" s="769"/>
      <c r="AP40" s="734"/>
      <c r="AQ40" s="734"/>
      <c r="AR40" s="734"/>
      <c r="AS40" s="785"/>
      <c r="AT40" s="785"/>
      <c r="AU40" s="785"/>
      <c r="AV40" s="785"/>
      <c r="AX40" s="759"/>
      <c r="AY40" s="734"/>
      <c r="AZ40" s="734"/>
      <c r="BA40" s="759"/>
      <c r="BB40" s="734"/>
      <c r="BC40" s="734"/>
      <c r="BD40" s="734"/>
      <c r="BE40" s="918"/>
      <c r="BF40" s="871"/>
      <c r="BG40" s="872"/>
      <c r="BH40" s="872"/>
      <c r="BI40" s="873"/>
      <c r="BJ40" s="740"/>
      <c r="BK40" s="716"/>
    </row>
    <row r="41" spans="1:63" ht="18.75" customHeight="1" x14ac:dyDescent="0.25">
      <c r="A41" s="759"/>
      <c r="B41" s="734"/>
      <c r="C41" s="734"/>
      <c r="D41" s="716"/>
      <c r="E41" s="793"/>
      <c r="F41" s="793"/>
      <c r="G41" s="793"/>
      <c r="H41" s="793"/>
      <c r="I41" s="793"/>
      <c r="J41" s="716"/>
      <c r="K41" s="923"/>
      <c r="L41" s="919"/>
      <c r="M41" s="920"/>
      <c r="N41" s="876"/>
      <c r="O41" s="787"/>
      <c r="P41" s="921"/>
      <c r="Q41" s="785"/>
      <c r="R41" s="785"/>
      <c r="S41" s="716"/>
      <c r="T41" s="924"/>
      <c r="U41" s="841"/>
      <c r="V41" s="841"/>
      <c r="W41" s="841"/>
      <c r="X41" s="716"/>
      <c r="Y41" s="734"/>
      <c r="AB41" s="734"/>
      <c r="AC41" s="734"/>
      <c r="AD41" s="716"/>
      <c r="AN41" s="734"/>
      <c r="AO41" s="841"/>
      <c r="AP41" s="785"/>
      <c r="AQ41" s="734"/>
      <c r="AR41" s="734"/>
      <c r="AS41" s="759"/>
      <c r="AT41" s="734"/>
      <c r="AU41" s="787"/>
      <c r="AV41" s="734"/>
      <c r="AZ41" s="734"/>
      <c r="BA41" s="785"/>
      <c r="BB41" s="785"/>
      <c r="BC41" s="785"/>
      <c r="BD41" s="785"/>
      <c r="BE41" s="925"/>
      <c r="BF41" s="871"/>
      <c r="BG41" s="872"/>
      <c r="BH41" s="872"/>
      <c r="BI41" s="873"/>
      <c r="BJ41" s="740"/>
      <c r="BK41" s="716"/>
    </row>
    <row r="42" spans="1:63" ht="18.75" customHeight="1" thickBot="1" x14ac:dyDescent="0.3">
      <c r="A42" s="742"/>
      <c r="B42" s="716"/>
      <c r="C42" s="915"/>
      <c r="D42" s="716"/>
      <c r="E42" s="755"/>
      <c r="F42" s="755"/>
      <c r="G42" s="755"/>
      <c r="H42" s="755"/>
      <c r="I42" s="755"/>
      <c r="J42" s="716"/>
      <c r="K42" s="923"/>
      <c r="L42" s="919"/>
      <c r="M42" s="920"/>
      <c r="N42" s="876"/>
      <c r="O42" s="926"/>
      <c r="P42" s="926"/>
      <c r="Q42" s="734"/>
      <c r="R42" s="734"/>
      <c r="S42" s="927"/>
      <c r="T42" s="785"/>
      <c r="X42" s="928"/>
      <c r="Y42" s="734"/>
      <c r="Z42" s="734"/>
      <c r="AA42" s="835"/>
      <c r="AB42" s="731"/>
      <c r="AE42" s="734"/>
      <c r="AS42" s="734"/>
      <c r="AT42" s="734"/>
      <c r="AU42" s="734"/>
      <c r="AV42" s="787"/>
      <c r="AW42" s="787"/>
      <c r="AX42" s="734"/>
      <c r="AY42" s="734"/>
      <c r="AZ42" s="734"/>
      <c r="BA42" s="734"/>
      <c r="BB42" s="734"/>
      <c r="BC42" s="734"/>
      <c r="BD42" s="821"/>
      <c r="BE42" s="925"/>
      <c r="BF42" s="871"/>
      <c r="BG42" s="872"/>
      <c r="BH42" s="872"/>
      <c r="BI42" s="873"/>
      <c r="BJ42" s="740"/>
      <c r="BK42" s="716"/>
    </row>
    <row r="43" spans="1:63" ht="18.75" customHeight="1" x14ac:dyDescent="0.25">
      <c r="A43" s="742"/>
      <c r="B43" s="734"/>
      <c r="C43" s="915"/>
      <c r="D43" s="763"/>
      <c r="E43" s="894"/>
      <c r="F43" s="894"/>
      <c r="G43" s="894"/>
      <c r="H43" s="894"/>
      <c r="I43" s="894"/>
      <c r="J43" s="797"/>
      <c r="K43" s="923"/>
      <c r="L43" s="820"/>
      <c r="M43" s="850"/>
      <c r="N43" s="785"/>
      <c r="O43" s="734"/>
      <c r="P43" s="929"/>
      <c r="Q43" s="930" t="s">
        <v>266</v>
      </c>
      <c r="R43" s="931"/>
      <c r="S43" s="927"/>
      <c r="T43" s="716"/>
      <c r="U43" s="716"/>
      <c r="V43" s="835"/>
      <c r="W43" s="835"/>
      <c r="X43" s="835"/>
      <c r="Y43" s="716"/>
      <c r="Z43" s="716"/>
      <c r="AA43" s="716"/>
      <c r="AB43" s="716"/>
      <c r="AC43" s="716"/>
      <c r="AD43" s="716"/>
      <c r="AE43" s="835"/>
      <c r="AF43" s="835"/>
      <c r="AG43" s="835"/>
      <c r="AH43" s="835"/>
      <c r="AI43" s="835"/>
      <c r="AJ43" s="835"/>
      <c r="AK43" s="734"/>
      <c r="AL43" s="734"/>
      <c r="AM43" s="734"/>
      <c r="AN43" s="835"/>
      <c r="AO43" s="835"/>
      <c r="AP43" s="734"/>
      <c r="AQ43" s="835"/>
      <c r="AR43" s="835"/>
      <c r="AS43" s="835"/>
      <c r="AT43" s="835"/>
      <c r="AU43" s="716"/>
      <c r="AV43" s="716"/>
      <c r="AW43" s="716"/>
      <c r="AX43" s="716"/>
      <c r="AY43" s="716"/>
      <c r="AZ43" s="716"/>
      <c r="BA43" s="716"/>
      <c r="BD43" s="716"/>
      <c r="BE43" s="925"/>
      <c r="BF43" s="871"/>
      <c r="BG43" s="872"/>
      <c r="BH43" s="872"/>
      <c r="BI43" s="873"/>
      <c r="BJ43" s="740"/>
      <c r="BK43" s="716"/>
    </row>
    <row r="44" spans="1:63" ht="18.75" customHeight="1" x14ac:dyDescent="0.25">
      <c r="A44" s="932"/>
      <c r="B44" s="793"/>
      <c r="C44" s="901"/>
      <c r="D44" s="933"/>
      <c r="E44" s="934">
        <v>3125503</v>
      </c>
      <c r="F44" s="934">
        <v>3125504</v>
      </c>
      <c r="G44" s="934">
        <v>3125506</v>
      </c>
      <c r="H44" s="934">
        <v>3125507</v>
      </c>
      <c r="I44" s="934">
        <v>3125512</v>
      </c>
      <c r="J44" s="935"/>
      <c r="K44" s="936"/>
      <c r="L44" s="716"/>
      <c r="M44" s="716"/>
      <c r="N44" s="835"/>
      <c r="O44" s="734"/>
      <c r="P44" s="734"/>
      <c r="Q44" s="937"/>
      <c r="R44" s="938"/>
      <c r="S44" s="927"/>
      <c r="T44" s="716"/>
      <c r="U44" s="716"/>
      <c r="V44" s="835"/>
      <c r="W44" s="939"/>
      <c r="X44" s="939"/>
      <c r="Y44" s="939"/>
      <c r="Z44" s="939"/>
      <c r="AA44" s="835"/>
      <c r="AB44" s="727"/>
      <c r="AC44" s="727"/>
      <c r="AD44" s="727"/>
      <c r="AE44" s="727"/>
      <c r="AF44" s="835"/>
      <c r="AG44" s="835"/>
      <c r="AH44" s="835"/>
      <c r="AI44" s="835"/>
      <c r="AJ44" s="835"/>
      <c r="AK44" s="716"/>
      <c r="AL44" s="835"/>
      <c r="AM44" s="835"/>
      <c r="AN44" s="837"/>
      <c r="AO44" s="837"/>
      <c r="AP44" s="837"/>
      <c r="AU44" s="734"/>
      <c r="AV44" s="727"/>
      <c r="AW44" s="727"/>
      <c r="AX44" s="727"/>
      <c r="AY44" s="716"/>
      <c r="AZ44" s="734"/>
      <c r="BA44" s="734"/>
      <c r="BD44" s="716"/>
      <c r="BE44" s="925"/>
      <c r="BF44" s="871"/>
      <c r="BG44" s="872"/>
      <c r="BH44" s="872"/>
      <c r="BI44" s="873"/>
      <c r="BJ44" s="740"/>
      <c r="BK44" s="716"/>
    </row>
    <row r="45" spans="1:63" ht="18.75" customHeight="1" thickBot="1" x14ac:dyDescent="0.3">
      <c r="A45" s="940"/>
      <c r="B45" s="763"/>
      <c r="C45" s="901"/>
      <c r="D45" s="933"/>
      <c r="E45" s="934">
        <v>3125509</v>
      </c>
      <c r="F45" s="934">
        <v>3125508</v>
      </c>
      <c r="G45" s="934">
        <v>3125511</v>
      </c>
      <c r="H45" s="934">
        <v>3125510</v>
      </c>
      <c r="I45" s="934">
        <v>3125505</v>
      </c>
      <c r="J45" s="935"/>
      <c r="K45" s="936"/>
      <c r="L45" s="716"/>
      <c r="M45" s="716"/>
      <c r="N45" s="835"/>
      <c r="O45" s="716"/>
      <c r="P45" s="787"/>
      <c r="Q45" s="941"/>
      <c r="R45" s="942"/>
      <c r="S45" s="927"/>
      <c r="T45" s="716"/>
      <c r="U45" s="716"/>
      <c r="V45" s="734"/>
      <c r="W45" s="841"/>
      <c r="X45" s="841"/>
      <c r="Y45" s="841"/>
      <c r="Z45" s="841"/>
      <c r="AA45" s="841"/>
      <c r="AB45" s="841"/>
      <c r="AC45" s="841"/>
      <c r="AD45" s="841"/>
      <c r="AE45" s="841"/>
      <c r="AF45" s="834"/>
      <c r="AG45" s="787"/>
      <c r="AH45" s="787"/>
      <c r="AI45" s="787"/>
      <c r="AJ45" s="787"/>
      <c r="AK45" s="734"/>
      <c r="AL45" s="734"/>
      <c r="AM45" s="734"/>
      <c r="AN45" s="734"/>
      <c r="AO45" s="734"/>
      <c r="AP45" s="734"/>
      <c r="AU45" s="734"/>
      <c r="AV45" s="841"/>
      <c r="AW45" s="841"/>
      <c r="AX45" s="841"/>
      <c r="AY45" s="716"/>
      <c r="AZ45" s="734"/>
      <c r="BA45" s="734"/>
      <c r="BB45" s="734"/>
      <c r="BC45" s="716"/>
      <c r="BD45" s="716"/>
      <c r="BE45" s="943"/>
      <c r="BF45" s="944"/>
      <c r="BG45" s="945"/>
      <c r="BH45" s="945"/>
      <c r="BI45" s="946"/>
      <c r="BJ45" s="740"/>
      <c r="BK45" s="716"/>
    </row>
    <row r="46" spans="1:63" ht="18.75" customHeight="1" thickBot="1" x14ac:dyDescent="0.3">
      <c r="A46" s="947">
        <v>7046336</v>
      </c>
      <c r="B46" s="764"/>
      <c r="C46" s="914"/>
      <c r="D46" s="759"/>
      <c r="E46" s="894"/>
      <c r="F46" s="894"/>
      <c r="G46" s="894"/>
      <c r="H46" s="894"/>
      <c r="I46" s="894"/>
      <c r="J46" s="835"/>
      <c r="K46" s="948"/>
      <c r="L46" s="716"/>
      <c r="M46" s="716"/>
      <c r="N46" s="835"/>
      <c r="O46" s="716"/>
      <c r="P46" s="787"/>
      <c r="Q46" s="949"/>
      <c r="R46" s="950"/>
      <c r="S46" s="927"/>
      <c r="T46" s="716"/>
      <c r="U46" s="716"/>
      <c r="V46" s="807"/>
      <c r="W46" s="894"/>
      <c r="X46" s="894"/>
      <c r="Y46" s="894"/>
      <c r="Z46" s="894"/>
      <c r="AA46" s="807"/>
      <c r="AB46" s="894"/>
      <c r="AC46" s="894"/>
      <c r="AD46" s="894"/>
      <c r="AE46" s="894"/>
      <c r="AF46" s="797"/>
      <c r="AG46" s="787"/>
      <c r="AH46" s="785"/>
      <c r="AI46" s="951"/>
      <c r="AJ46" s="951"/>
      <c r="AK46" s="951"/>
      <c r="AL46" s="734"/>
      <c r="AM46" s="734"/>
      <c r="AN46" s="734"/>
      <c r="AO46" s="734"/>
      <c r="AP46" s="734"/>
      <c r="AU46" s="807"/>
      <c r="AV46" s="851"/>
      <c r="AW46" s="851"/>
      <c r="AX46" s="851"/>
      <c r="AY46" s="797"/>
      <c r="AZ46" s="734"/>
      <c r="BA46" s="734"/>
      <c r="BB46" s="734"/>
      <c r="BC46" s="716"/>
      <c r="BD46" s="716"/>
      <c r="BE46" s="734"/>
      <c r="BF46" s="952" t="s">
        <v>276</v>
      </c>
      <c r="BG46" s="953"/>
      <c r="BH46" s="953"/>
      <c r="BI46" s="954"/>
      <c r="BJ46" s="740"/>
      <c r="BK46" s="716"/>
    </row>
    <row r="47" spans="1:63" ht="18.75" customHeight="1" thickBot="1" x14ac:dyDescent="0.3">
      <c r="A47" s="947">
        <v>7046337</v>
      </c>
      <c r="B47" s="764"/>
      <c r="C47" s="803"/>
      <c r="D47" s="943"/>
      <c r="E47" s="755"/>
      <c r="F47" s="755"/>
      <c r="G47" s="755"/>
      <c r="H47" s="755"/>
      <c r="I47" s="755"/>
      <c r="J47" s="716"/>
      <c r="K47" s="716"/>
      <c r="L47" s="734"/>
      <c r="M47" s="716"/>
      <c r="N47" s="716"/>
      <c r="O47" s="785"/>
      <c r="P47" s="955"/>
      <c r="Q47" s="956"/>
      <c r="R47" s="734"/>
      <c r="S47" s="927"/>
      <c r="T47" s="716"/>
      <c r="U47" s="716"/>
      <c r="V47" s="957"/>
      <c r="W47" s="958">
        <v>3125513</v>
      </c>
      <c r="X47" s="958">
        <v>3125514</v>
      </c>
      <c r="Y47" s="958">
        <v>3125515</v>
      </c>
      <c r="Z47" s="958">
        <v>3125516</v>
      </c>
      <c r="AA47" s="959"/>
      <c r="AB47" s="934">
        <v>3124058</v>
      </c>
      <c r="AC47" s="934">
        <v>3124066</v>
      </c>
      <c r="AD47" s="934">
        <v>3124067</v>
      </c>
      <c r="AE47" s="934">
        <v>3124068</v>
      </c>
      <c r="AF47" s="959"/>
      <c r="AG47" s="734"/>
      <c r="AH47" s="734"/>
      <c r="AI47" s="786"/>
      <c r="AJ47" s="786"/>
      <c r="AK47" s="786"/>
      <c r="AL47" s="734"/>
      <c r="AM47" s="734"/>
      <c r="AN47" s="786"/>
      <c r="AO47" s="734"/>
      <c r="AP47" s="734"/>
      <c r="AU47" s="796"/>
      <c r="AV47" s="960">
        <v>3836402</v>
      </c>
      <c r="AW47" s="960">
        <v>3836413</v>
      </c>
      <c r="AX47" s="960">
        <v>6053819</v>
      </c>
      <c r="AY47" s="796"/>
      <c r="AZ47" s="734"/>
      <c r="BA47" s="734"/>
      <c r="BB47" s="734"/>
      <c r="BC47" s="716"/>
      <c r="BD47" s="716"/>
      <c r="BE47" s="943"/>
      <c r="BF47" s="961"/>
      <c r="BG47" s="962"/>
      <c r="BH47" s="962"/>
      <c r="BI47" s="963"/>
      <c r="BJ47" s="740"/>
      <c r="BK47" s="716"/>
    </row>
    <row r="48" spans="1:63" ht="18.75" customHeight="1" x14ac:dyDescent="0.25">
      <c r="A48" s="947">
        <v>7046338</v>
      </c>
      <c r="B48" s="764"/>
      <c r="C48" s="803"/>
      <c r="D48" s="928"/>
      <c r="E48" s="749"/>
      <c r="F48" s="749"/>
      <c r="G48" s="749"/>
      <c r="H48" s="749"/>
      <c r="I48" s="896"/>
      <c r="J48" s="896"/>
      <c r="K48" s="716"/>
      <c r="L48" s="734"/>
      <c r="P48" s="964"/>
      <c r="Q48" s="965"/>
      <c r="R48" s="734"/>
      <c r="S48" s="927"/>
      <c r="T48" s="716"/>
      <c r="U48" s="716"/>
      <c r="V48" s="957"/>
      <c r="W48" s="958">
        <v>3125517</v>
      </c>
      <c r="X48" s="958">
        <v>3125518</v>
      </c>
      <c r="Y48" s="958">
        <v>3125519</v>
      </c>
      <c r="Z48" s="958">
        <v>3125520</v>
      </c>
      <c r="AA48" s="959"/>
      <c r="AB48" s="934">
        <v>3124075</v>
      </c>
      <c r="AC48" s="934">
        <v>3124074</v>
      </c>
      <c r="AD48" s="966">
        <v>3124071</v>
      </c>
      <c r="AE48" s="966">
        <v>3124069</v>
      </c>
      <c r="AF48" s="959"/>
      <c r="AG48" s="734"/>
      <c r="AH48" s="734"/>
      <c r="AI48" s="786"/>
      <c r="AJ48" s="786"/>
      <c r="AK48" s="786"/>
      <c r="AL48" s="734"/>
      <c r="AM48" s="786"/>
      <c r="AN48" s="759"/>
      <c r="AO48" s="786"/>
      <c r="AP48" s="734"/>
      <c r="AU48" s="796"/>
      <c r="AV48" s="960">
        <v>3830650</v>
      </c>
      <c r="AW48" s="960">
        <v>3830651</v>
      </c>
      <c r="AX48" s="960">
        <v>6053773</v>
      </c>
      <c r="AY48" s="796"/>
      <c r="AZ48" s="734"/>
      <c r="BA48" s="734"/>
      <c r="BB48" s="967"/>
      <c r="BC48" s="967"/>
      <c r="BD48" s="716"/>
      <c r="BE48" s="943"/>
      <c r="BF48" s="961"/>
      <c r="BG48" s="962"/>
      <c r="BH48" s="962"/>
      <c r="BI48" s="963"/>
      <c r="BJ48" s="740"/>
      <c r="BK48" s="716"/>
    </row>
    <row r="49" spans="1:63" ht="18.75" customHeight="1" x14ac:dyDescent="0.25">
      <c r="A49" s="947">
        <v>7046315</v>
      </c>
      <c r="B49" s="769"/>
      <c r="C49" s="803"/>
      <c r="D49" s="968"/>
      <c r="E49" s="755"/>
      <c r="F49" s="755"/>
      <c r="G49" s="755"/>
      <c r="H49" s="755"/>
      <c r="I49" s="822"/>
      <c r="J49" s="896"/>
      <c r="K49" s="716"/>
      <c r="L49" s="734"/>
      <c r="P49" s="969"/>
      <c r="Q49" s="734"/>
      <c r="R49" s="927"/>
      <c r="S49" s="927"/>
      <c r="U49" s="716"/>
      <c r="V49" s="797"/>
      <c r="W49" s="894"/>
      <c r="X49" s="894"/>
      <c r="Y49" s="894"/>
      <c r="Z49" s="894"/>
      <c r="AA49" s="759"/>
      <c r="AB49" s="894"/>
      <c r="AC49" s="894"/>
      <c r="AD49" s="894"/>
      <c r="AE49" s="894"/>
      <c r="AF49" s="759"/>
      <c r="AG49" s="785"/>
      <c r="AH49" s="785"/>
      <c r="AI49" s="759"/>
      <c r="AJ49" s="734"/>
      <c r="AK49" s="734"/>
      <c r="AL49" s="734"/>
      <c r="AM49" s="734"/>
      <c r="AN49" s="786"/>
      <c r="AO49" s="734"/>
      <c r="AP49" s="734"/>
      <c r="AU49" s="759"/>
      <c r="AV49" s="851"/>
      <c r="AW49" s="851"/>
      <c r="AX49" s="851"/>
      <c r="AY49" s="734"/>
      <c r="AZ49" s="734"/>
      <c r="BA49" s="734"/>
      <c r="BB49" s="841"/>
      <c r="BC49" s="841"/>
      <c r="BD49" s="970"/>
      <c r="BE49" s="971"/>
      <c r="BF49" s="961"/>
      <c r="BG49" s="962"/>
      <c r="BH49" s="962"/>
      <c r="BI49" s="963"/>
      <c r="BJ49" s="740"/>
      <c r="BK49" s="716"/>
    </row>
    <row r="50" spans="1:63" ht="18.75" customHeight="1" x14ac:dyDescent="0.25">
      <c r="A50" s="940"/>
      <c r="B50" s="972"/>
      <c r="C50" s="929"/>
      <c r="D50" s="763"/>
      <c r="E50" s="973"/>
      <c r="F50" s="973"/>
      <c r="G50" s="973"/>
      <c r="H50" s="973"/>
      <c r="I50" s="797"/>
      <c r="J50" s="896"/>
      <c r="K50" s="716"/>
      <c r="L50" s="734"/>
      <c r="P50" s="969"/>
      <c r="Q50" s="927"/>
      <c r="R50" s="927"/>
      <c r="S50" s="787"/>
      <c r="T50" s="716"/>
      <c r="U50" s="716"/>
      <c r="V50" s="716"/>
      <c r="W50" s="841"/>
      <c r="X50" s="841"/>
      <c r="Y50" s="841"/>
      <c r="Z50" s="841"/>
      <c r="AA50" s="841"/>
      <c r="AB50" s="841"/>
      <c r="AC50" s="841"/>
      <c r="AD50" s="841"/>
      <c r="AE50" s="841"/>
      <c r="AF50" s="716"/>
      <c r="AG50" s="785"/>
      <c r="AH50" s="785"/>
      <c r="AI50" s="974"/>
      <c r="AJ50" s="785"/>
      <c r="AK50" s="785"/>
      <c r="AL50" s="734"/>
      <c r="AM50" s="734"/>
      <c r="AN50" s="734"/>
      <c r="AO50" s="734"/>
      <c r="AP50" s="734"/>
      <c r="AU50" s="716"/>
      <c r="AV50" s="841"/>
      <c r="AW50" s="841"/>
      <c r="AX50" s="841"/>
      <c r="AY50" s="975"/>
      <c r="AZ50" s="734"/>
      <c r="BA50" s="734"/>
      <c r="BC50" s="976"/>
      <c r="BD50" s="785"/>
      <c r="BE50" s="975"/>
      <c r="BF50" s="961"/>
      <c r="BG50" s="962"/>
      <c r="BH50" s="962"/>
      <c r="BI50" s="963"/>
      <c r="BJ50" s="740"/>
      <c r="BK50" s="716"/>
    </row>
    <row r="51" spans="1:63" ht="18.75" customHeight="1" x14ac:dyDescent="0.25">
      <c r="A51" s="977"/>
      <c r="B51" s="742"/>
      <c r="C51" s="929"/>
      <c r="D51" s="978"/>
      <c r="E51" s="979">
        <v>3728678</v>
      </c>
      <c r="F51" s="979">
        <v>3728677</v>
      </c>
      <c r="G51" s="979">
        <v>3728674</v>
      </c>
      <c r="H51" s="979">
        <v>3728643</v>
      </c>
      <c r="I51" s="978"/>
      <c r="J51" s="785"/>
      <c r="K51" s="716"/>
      <c r="L51" s="716"/>
      <c r="P51" s="980"/>
      <c r="Q51" s="927"/>
      <c r="R51" s="927"/>
      <c r="S51" s="787"/>
      <c r="T51" s="716"/>
      <c r="U51" s="716"/>
      <c r="V51" s="716"/>
      <c r="Z51" s="828"/>
      <c r="AA51" s="734"/>
      <c r="AB51" s="727"/>
      <c r="AC51" s="727"/>
      <c r="AD51" s="727"/>
      <c r="AE51" s="727"/>
      <c r="AF51" s="716"/>
      <c r="AG51" s="785"/>
      <c r="AH51" s="785"/>
      <c r="AI51" s="981"/>
      <c r="AJ51" s="981"/>
      <c r="AK51" s="981"/>
      <c r="AL51" s="734"/>
      <c r="AM51" s="734"/>
      <c r="AN51" s="734"/>
      <c r="AO51" s="785"/>
      <c r="AP51" s="981"/>
      <c r="AQ51" s="981"/>
      <c r="AR51" s="981"/>
      <c r="AS51" s="734"/>
      <c r="AT51" s="734"/>
      <c r="AU51" s="734"/>
      <c r="AV51" s="734"/>
      <c r="AW51" s="734"/>
      <c r="AX51" s="716"/>
      <c r="AY51" s="716"/>
      <c r="AZ51" s="716"/>
      <c r="BA51" s="716"/>
      <c r="BD51" s="970"/>
      <c r="BE51" s="982"/>
      <c r="BF51" s="961"/>
      <c r="BG51" s="962"/>
      <c r="BH51" s="962"/>
      <c r="BI51" s="963"/>
      <c r="BJ51" s="740"/>
      <c r="BK51" s="716"/>
    </row>
    <row r="52" spans="1:63" ht="18.75" customHeight="1" thickBot="1" x14ac:dyDescent="0.3">
      <c r="A52" s="742"/>
      <c r="B52" s="734"/>
      <c r="C52" s="734"/>
      <c r="D52" s="978"/>
      <c r="E52" s="979">
        <v>3728647</v>
      </c>
      <c r="F52" s="979">
        <v>3728668</v>
      </c>
      <c r="G52" s="979">
        <v>3634027</v>
      </c>
      <c r="H52" s="979">
        <v>3634029</v>
      </c>
      <c r="I52" s="978"/>
      <c r="J52" s="785"/>
      <c r="K52" s="716"/>
      <c r="L52" s="716"/>
      <c r="P52" s="980"/>
      <c r="Q52" s="927"/>
      <c r="R52" s="927"/>
      <c r="S52" s="787"/>
      <c r="T52" s="716"/>
      <c r="U52" s="716"/>
      <c r="W52" s="850"/>
      <c r="X52" s="854"/>
      <c r="Y52" s="854"/>
      <c r="AA52" s="807"/>
      <c r="AB52" s="769"/>
      <c r="AC52" s="769"/>
      <c r="AD52" s="769"/>
      <c r="AE52" s="769"/>
      <c r="AF52" s="716"/>
      <c r="AG52" s="983"/>
      <c r="AH52" s="984"/>
      <c r="AI52" s="757"/>
      <c r="AJ52" s="757"/>
      <c r="AK52" s="757"/>
      <c r="AL52" s="985"/>
      <c r="AM52" s="734"/>
      <c r="AN52" s="734"/>
      <c r="AO52" s="986"/>
      <c r="AP52" s="757"/>
      <c r="AQ52" s="757"/>
      <c r="AR52" s="757"/>
      <c r="AS52" s="987"/>
      <c r="AT52" s="734"/>
      <c r="AU52" s="734"/>
      <c r="AV52" s="734"/>
      <c r="AW52" s="734"/>
      <c r="AX52" s="716"/>
      <c r="AY52" s="716"/>
      <c r="AZ52" s="716"/>
      <c r="BA52" s="716"/>
      <c r="BD52" s="785"/>
      <c r="BE52" s="988"/>
      <c r="BF52" s="961"/>
      <c r="BG52" s="962"/>
      <c r="BH52" s="962"/>
      <c r="BI52" s="963"/>
      <c r="BJ52" s="740"/>
      <c r="BK52" s="716"/>
    </row>
    <row r="53" spans="1:63" ht="18.75" customHeight="1" x14ac:dyDescent="0.25">
      <c r="A53" s="793"/>
      <c r="B53" s="793"/>
      <c r="C53" s="716"/>
      <c r="D53" s="759"/>
      <c r="E53" s="973"/>
      <c r="F53" s="973"/>
      <c r="G53" s="973"/>
      <c r="H53" s="973"/>
      <c r="I53" s="989"/>
      <c r="J53" s="785"/>
      <c r="K53" s="716"/>
      <c r="L53" s="716"/>
      <c r="O53" s="759"/>
      <c r="P53" s="980"/>
      <c r="Q53" s="927"/>
      <c r="R53" s="927"/>
      <c r="S53" s="787"/>
      <c r="T53" s="716"/>
      <c r="U53" s="716"/>
      <c r="W53" s="990"/>
      <c r="X53" s="990"/>
      <c r="Y53" s="990"/>
      <c r="AA53" s="940"/>
      <c r="AB53" s="770">
        <v>7055478</v>
      </c>
      <c r="AC53" s="770">
        <v>7055490</v>
      </c>
      <c r="AD53" s="770">
        <v>7055491</v>
      </c>
      <c r="AE53" s="770">
        <v>7055488</v>
      </c>
      <c r="AF53" s="940"/>
      <c r="AG53" s="991"/>
      <c r="AH53" s="992" t="s">
        <v>292</v>
      </c>
      <c r="AI53" s="993"/>
      <c r="AJ53" s="993"/>
      <c r="AK53" s="993"/>
      <c r="AL53" s="994"/>
      <c r="AM53" s="991"/>
      <c r="AN53" s="991"/>
      <c r="AO53" s="994"/>
      <c r="AP53" s="993"/>
      <c r="AQ53" s="993"/>
      <c r="AR53" s="993"/>
      <c r="AS53" s="994"/>
      <c r="AT53" s="991"/>
      <c r="AU53" s="734"/>
      <c r="AV53" s="995"/>
      <c r="AW53" s="995"/>
      <c r="AX53" s="995"/>
      <c r="AY53" s="716"/>
      <c r="AZ53" s="716"/>
      <c r="BA53" s="716"/>
      <c r="BB53" s="976"/>
      <c r="BC53" s="976"/>
      <c r="BD53" s="734"/>
      <c r="BE53" s="785"/>
      <c r="BF53" s="961"/>
      <c r="BG53" s="962"/>
      <c r="BH53" s="962"/>
      <c r="BI53" s="963"/>
      <c r="BJ53" s="740"/>
      <c r="BK53" s="716"/>
    </row>
    <row r="54" spans="1:63" ht="18.75" customHeight="1" thickBot="1" x14ac:dyDescent="0.3">
      <c r="A54" s="996"/>
      <c r="B54" s="763"/>
      <c r="C54" s="716"/>
      <c r="D54" s="997"/>
      <c r="E54" s="755"/>
      <c r="F54" s="755"/>
      <c r="G54" s="755"/>
      <c r="H54" s="755"/>
      <c r="I54" s="734"/>
      <c r="J54" s="785"/>
      <c r="K54" s="716"/>
      <c r="L54" s="716"/>
      <c r="M54" s="716"/>
      <c r="N54" s="716"/>
      <c r="O54" s="998"/>
      <c r="P54" s="980"/>
      <c r="Q54" s="927"/>
      <c r="R54" s="927"/>
      <c r="S54" s="787"/>
      <c r="U54" s="716"/>
      <c r="W54" s="990"/>
      <c r="X54" s="990"/>
      <c r="Y54" s="990"/>
      <c r="AA54" s="940"/>
      <c r="AB54" s="999">
        <v>7047624</v>
      </c>
      <c r="AC54" s="999">
        <v>7047685</v>
      </c>
      <c r="AD54" s="999">
        <v>7047609</v>
      </c>
      <c r="AE54" s="999">
        <v>7047625</v>
      </c>
      <c r="AF54" s="940"/>
      <c r="AG54" s="991"/>
      <c r="AH54" s="1000"/>
      <c r="AI54" s="993"/>
      <c r="AJ54" s="993"/>
      <c r="AK54" s="993"/>
      <c r="AL54" s="994"/>
      <c r="AM54" s="991"/>
      <c r="AN54" s="991"/>
      <c r="AO54" s="994"/>
      <c r="AP54" s="993"/>
      <c r="AQ54" s="993"/>
      <c r="AR54" s="993"/>
      <c r="AS54" s="994"/>
      <c r="AT54" s="991"/>
      <c r="AU54" s="734"/>
      <c r="AV54" s="995"/>
      <c r="AW54" s="995"/>
      <c r="AX54" s="995"/>
      <c r="AY54" s="716"/>
      <c r="AZ54" s="716"/>
      <c r="BA54" s="716"/>
      <c r="BB54" s="841"/>
      <c r="BC54" s="841"/>
      <c r="BD54" s="734"/>
      <c r="BE54" s="734"/>
      <c r="BF54" s="961"/>
      <c r="BG54" s="962"/>
      <c r="BH54" s="962"/>
      <c r="BI54" s="963"/>
      <c r="BJ54" s="740"/>
      <c r="BK54" s="716"/>
    </row>
    <row r="55" spans="1:63" ht="18.75" customHeight="1" x14ac:dyDescent="0.25">
      <c r="A55" s="979">
        <v>3634034</v>
      </c>
      <c r="B55" s="973"/>
      <c r="C55" s="914"/>
      <c r="D55" s="1001"/>
      <c r="E55" s="866"/>
      <c r="F55" s="866"/>
      <c r="G55" s="866"/>
      <c r="H55" s="866"/>
      <c r="I55" s="734"/>
      <c r="J55" s="785"/>
      <c r="K55" s="716"/>
      <c r="L55" s="716"/>
      <c r="M55" s="716"/>
      <c r="N55" s="734"/>
      <c r="O55" s="998"/>
      <c r="P55" s="1002"/>
      <c r="Q55" s="927"/>
      <c r="R55" s="927"/>
      <c r="S55" s="787"/>
      <c r="U55" s="716"/>
      <c r="W55" s="1003"/>
      <c r="X55" s="1003"/>
      <c r="Y55" s="1003"/>
      <c r="AA55" s="759"/>
      <c r="AB55" s="769"/>
      <c r="AC55" s="769"/>
      <c r="AD55" s="769"/>
      <c r="AE55" s="769"/>
      <c r="AF55" s="716"/>
      <c r="AG55" s="785"/>
      <c r="AH55" s="991"/>
      <c r="AI55" s="757"/>
      <c r="AJ55" s="757"/>
      <c r="AK55" s="757"/>
      <c r="AL55" s="991"/>
      <c r="AM55" s="734"/>
      <c r="AN55" s="734"/>
      <c r="AO55" s="991"/>
      <c r="AP55" s="757"/>
      <c r="AQ55" s="757"/>
      <c r="AR55" s="757"/>
      <c r="AS55" s="991"/>
      <c r="AT55" s="787"/>
      <c r="AU55" s="734"/>
      <c r="AV55" s="759"/>
      <c r="AW55" s="734"/>
      <c r="AX55" s="716"/>
      <c r="AY55" s="716"/>
      <c r="AZ55" s="716"/>
      <c r="BA55" s="716"/>
      <c r="BB55" s="1004"/>
      <c r="BC55" s="943"/>
      <c r="BD55" s="716"/>
      <c r="BE55" s="716"/>
      <c r="BF55" s="961"/>
      <c r="BG55" s="962"/>
      <c r="BH55" s="962"/>
      <c r="BI55" s="963"/>
      <c r="BJ55" s="740"/>
      <c r="BK55" s="716"/>
    </row>
    <row r="56" spans="1:63" ht="18.75" customHeight="1" thickBot="1" x14ac:dyDescent="0.3">
      <c r="A56" s="979">
        <v>3634035</v>
      </c>
      <c r="B56" s="973"/>
      <c r="C56" s="803"/>
      <c r="D56" s="759"/>
      <c r="E56" s="866"/>
      <c r="F56" s="866"/>
      <c r="G56" s="866"/>
      <c r="H56" s="866"/>
      <c r="I56" s="716"/>
      <c r="J56" s="716"/>
      <c r="K56" s="716"/>
      <c r="L56" s="716"/>
      <c r="M56" s="716"/>
      <c r="N56" s="734"/>
      <c r="O56" s="1005"/>
      <c r="P56" s="1006"/>
      <c r="Q56" s="927"/>
      <c r="R56" s="927"/>
      <c r="S56" s="787"/>
      <c r="U56" s="716"/>
      <c r="V56" s="820"/>
      <c r="W56" s="820"/>
      <c r="X56" s="820"/>
      <c r="Y56" s="820"/>
      <c r="Z56" s="734"/>
      <c r="AA56" s="734"/>
      <c r="AB56" s="841"/>
      <c r="AC56" s="841"/>
      <c r="AD56" s="841"/>
      <c r="AE56" s="841"/>
      <c r="AF56" s="734"/>
      <c r="AG56" s="734"/>
      <c r="AH56" s="759"/>
      <c r="AI56" s="981"/>
      <c r="AJ56" s="981"/>
      <c r="AK56" s="981"/>
      <c r="AL56" s="785"/>
      <c r="AM56" s="734"/>
      <c r="AN56" s="734"/>
      <c r="AO56" s="759"/>
      <c r="AP56" s="981"/>
      <c r="AQ56" s="981"/>
      <c r="AR56" s="981"/>
      <c r="AS56" s="734"/>
      <c r="AT56" s="785"/>
      <c r="AU56" s="734"/>
      <c r="AV56" s="734"/>
      <c r="AW56" s="734"/>
      <c r="AX56" s="716"/>
      <c r="AY56" s="716"/>
      <c r="AZ56" s="716"/>
      <c r="BA56" s="716"/>
      <c r="BB56" s="1004"/>
      <c r="BC56" s="943"/>
      <c r="BD56" s="716"/>
      <c r="BE56" s="716"/>
      <c r="BF56" s="1007"/>
      <c r="BG56" s="1008"/>
      <c r="BH56" s="1008"/>
      <c r="BI56" s="1009"/>
      <c r="BJ56" s="740"/>
      <c r="BK56" s="716"/>
    </row>
    <row r="57" spans="1:63" ht="18.75" customHeight="1" thickBot="1" x14ac:dyDescent="0.3">
      <c r="A57" s="979">
        <v>3634032</v>
      </c>
      <c r="B57" s="973"/>
      <c r="C57" s="803"/>
      <c r="D57" s="734"/>
      <c r="E57" s="734"/>
      <c r="F57" s="734"/>
      <c r="G57" s="734"/>
      <c r="H57" s="734"/>
      <c r="I57" s="734"/>
      <c r="J57" s="734"/>
      <c r="K57" s="734"/>
      <c r="L57" s="734"/>
      <c r="M57" s="734"/>
      <c r="N57" s="734"/>
      <c r="O57" s="1005"/>
      <c r="P57" s="1006"/>
      <c r="Q57" s="863"/>
      <c r="R57" s="787"/>
      <c r="S57" s="787"/>
      <c r="U57" s="716"/>
      <c r="V57" s="854"/>
      <c r="W57" s="854"/>
      <c r="X57" s="854"/>
      <c r="Y57" s="854"/>
      <c r="Z57" s="785"/>
      <c r="AA57" s="785"/>
      <c r="AB57" s="734"/>
      <c r="AC57" s="841"/>
      <c r="AD57" s="841"/>
      <c r="AE57" s="841"/>
      <c r="AF57" s="734"/>
      <c r="AG57" s="734"/>
      <c r="AH57" s="734"/>
      <c r="AI57" s="1010"/>
      <c r="AJ57" s="1010"/>
      <c r="AK57" s="1010"/>
      <c r="AL57" s="716"/>
      <c r="AM57" s="716"/>
      <c r="AN57" s="734"/>
      <c r="AP57" s="734"/>
      <c r="AQ57" s="734"/>
      <c r="AR57" s="734"/>
      <c r="AS57" s="734"/>
      <c r="AT57" s="734"/>
      <c r="AU57" s="734"/>
      <c r="AV57" s="734"/>
      <c r="AW57" s="785"/>
      <c r="AX57" s="827"/>
      <c r="AY57" s="716"/>
      <c r="AZ57" s="943"/>
      <c r="BA57" s="943"/>
      <c r="BB57" s="943"/>
      <c r="BC57" s="943"/>
      <c r="BD57" s="716"/>
      <c r="BE57" s="716"/>
      <c r="BF57" s="716"/>
      <c r="BG57" s="716"/>
      <c r="BH57" s="716"/>
      <c r="BI57" s="1011" t="s">
        <v>231</v>
      </c>
      <c r="BJ57" s="740"/>
      <c r="BK57" s="716"/>
    </row>
    <row r="58" spans="1:63" ht="18.75" customHeight="1" x14ac:dyDescent="0.25">
      <c r="A58" s="979">
        <v>3634030</v>
      </c>
      <c r="B58" s="973"/>
      <c r="C58" s="803"/>
      <c r="D58" s="734"/>
      <c r="E58" s="729"/>
      <c r="F58" s="729"/>
      <c r="G58" s="729"/>
      <c r="H58" s="734"/>
      <c r="I58" s="734"/>
      <c r="J58" s="734"/>
      <c r="K58" s="734"/>
      <c r="L58" s="734"/>
      <c r="M58" s="734"/>
      <c r="N58" s="734"/>
      <c r="O58" s="1005"/>
      <c r="P58" s="1006"/>
      <c r="Q58" s="863"/>
      <c r="R58" s="787"/>
      <c r="S58" s="787"/>
      <c r="T58" s="716"/>
      <c r="U58" s="716"/>
      <c r="W58" s="1012"/>
      <c r="X58" s="1012"/>
      <c r="Y58" s="1012"/>
      <c r="Z58" s="1012"/>
      <c r="AA58" s="734"/>
      <c r="AB58" s="807"/>
      <c r="AC58" s="801"/>
      <c r="AD58" s="801"/>
      <c r="AE58" s="801"/>
      <c r="AF58" s="797"/>
      <c r="AG58" s="734"/>
      <c r="AH58" s="734"/>
      <c r="AI58" s="785"/>
      <c r="AJ58" s="785"/>
      <c r="AK58" s="734"/>
      <c r="AL58" s="734"/>
      <c r="AM58" s="734"/>
      <c r="AN58" s="1010"/>
      <c r="AO58" s="734"/>
      <c r="AP58" s="734"/>
      <c r="AQ58" s="734"/>
      <c r="AR58" s="734"/>
      <c r="AS58" s="734"/>
      <c r="AT58" s="734"/>
      <c r="AU58" s="734"/>
      <c r="AV58" s="716"/>
      <c r="AW58" s="716"/>
      <c r="AX58" s="1013" t="s">
        <v>304</v>
      </c>
      <c r="AY58" s="1014"/>
      <c r="AZ58" s="1014"/>
      <c r="BA58" s="1014"/>
      <c r="BB58" s="1014"/>
      <c r="BC58" s="1015"/>
      <c r="BD58" s="716"/>
      <c r="BE58" s="716"/>
      <c r="BF58" s="716"/>
      <c r="BG58" s="716"/>
      <c r="BH58" s="716"/>
      <c r="BI58" s="1011"/>
      <c r="BJ58" s="740"/>
      <c r="BK58" s="716"/>
    </row>
    <row r="59" spans="1:63" ht="18.75" customHeight="1" thickBot="1" x14ac:dyDescent="0.3">
      <c r="A59" s="977" t="s">
        <v>305</v>
      </c>
      <c r="B59" s="759"/>
      <c r="C59" s="734"/>
      <c r="D59" s="759"/>
      <c r="E59" s="729"/>
      <c r="F59" s="729"/>
      <c r="G59" s="729"/>
      <c r="H59" s="734"/>
      <c r="I59" s="734"/>
      <c r="J59" s="734"/>
      <c r="K59" s="734"/>
      <c r="L59" s="734"/>
      <c r="M59" s="734"/>
      <c r="N59" s="734"/>
      <c r="O59" s="1005"/>
      <c r="P59" s="1006"/>
      <c r="Q59" s="863"/>
      <c r="R59" s="787"/>
      <c r="S59" s="787"/>
      <c r="T59" s="716"/>
      <c r="U59" s="716"/>
      <c r="W59" s="1012"/>
      <c r="X59" s="1012"/>
      <c r="Y59" s="1012"/>
      <c r="Z59" s="1012"/>
      <c r="AA59" s="734"/>
      <c r="AB59" s="851"/>
      <c r="AC59" s="802">
        <v>9367844</v>
      </c>
      <c r="AD59" s="802">
        <v>9367840</v>
      </c>
      <c r="AE59" s="802">
        <v>9367833</v>
      </c>
      <c r="AF59" s="851"/>
      <c r="AG59" s="734"/>
      <c r="AH59" s="734"/>
      <c r="AI59" s="734"/>
      <c r="AJ59" s="734"/>
      <c r="AK59" s="734"/>
      <c r="AL59" s="734"/>
      <c r="AM59" s="734"/>
      <c r="AN59" s="734"/>
      <c r="AO59" s="1016"/>
      <c r="AP59" s="1017"/>
      <c r="AQ59" s="1017"/>
      <c r="AR59" s="1017"/>
      <c r="AS59" s="1018"/>
      <c r="AT59" s="734"/>
      <c r="AU59" s="734"/>
      <c r="AV59" s="716"/>
      <c r="AW59" s="716"/>
      <c r="AX59" s="1019"/>
      <c r="AY59" s="1020"/>
      <c r="AZ59" s="1020"/>
      <c r="BA59" s="1020"/>
      <c r="BB59" s="1020"/>
      <c r="BC59" s="1021"/>
      <c r="BD59" s="857"/>
      <c r="BE59" s="858"/>
      <c r="BF59" s="858"/>
      <c r="BG59" s="858"/>
      <c r="BH59" s="859"/>
      <c r="BI59" s="1022"/>
      <c r="BJ59" s="740"/>
      <c r="BK59" s="716"/>
    </row>
    <row r="60" spans="1:63" ht="18.75" customHeight="1" x14ac:dyDescent="0.25">
      <c r="A60" s="789"/>
      <c r="B60" s="759"/>
      <c r="C60" s="734"/>
      <c r="D60" s="716"/>
      <c r="E60" s="1023"/>
      <c r="F60" s="1023"/>
      <c r="G60" s="1023"/>
      <c r="H60" s="1023"/>
      <c r="I60" s="716"/>
      <c r="J60" s="716"/>
      <c r="K60" s="716"/>
      <c r="L60" s="716"/>
      <c r="M60" s="716"/>
      <c r="N60" s="734"/>
      <c r="O60" s="1005"/>
      <c r="P60" s="1006"/>
      <c r="Q60" s="863"/>
      <c r="R60" s="787"/>
      <c r="S60" s="787"/>
      <c r="T60" s="716"/>
      <c r="U60" s="716"/>
      <c r="W60" s="850"/>
      <c r="X60" s="820"/>
      <c r="Y60" s="820"/>
      <c r="Z60" s="820"/>
      <c r="AA60" s="734"/>
      <c r="AB60" s="851"/>
      <c r="AC60" s="802">
        <v>9367850</v>
      </c>
      <c r="AD60" s="802">
        <v>9367848</v>
      </c>
      <c r="AE60" s="802">
        <v>9367831</v>
      </c>
      <c r="AF60" s="851"/>
      <c r="AG60" s="716"/>
      <c r="AH60" s="734"/>
      <c r="AI60" s="734"/>
      <c r="AJ60" s="734"/>
      <c r="AK60" s="734"/>
      <c r="AL60" s="734"/>
      <c r="AM60" s="734"/>
      <c r="AN60" s="734"/>
      <c r="AO60" s="984"/>
      <c r="AP60" s="1024"/>
      <c r="AQ60" s="1024"/>
      <c r="AR60" s="1024"/>
      <c r="AS60" s="987"/>
      <c r="AT60" s="734"/>
      <c r="AU60" s="734"/>
      <c r="AV60" s="716"/>
      <c r="AW60" s="716"/>
      <c r="AX60" s="1019"/>
      <c r="AY60" s="1020"/>
      <c r="AZ60" s="1020"/>
      <c r="BA60" s="1020"/>
      <c r="BB60" s="1020"/>
      <c r="BC60" s="1021"/>
      <c r="BD60" s="716"/>
      <c r="BE60" s="716"/>
      <c r="BF60" s="716"/>
      <c r="BG60" s="716"/>
      <c r="BH60" s="716"/>
      <c r="BI60" s="716"/>
      <c r="BJ60" s="740"/>
      <c r="BK60" s="716"/>
    </row>
    <row r="61" spans="1:63" ht="18.75" customHeight="1" x14ac:dyDescent="0.25">
      <c r="A61" s="789"/>
      <c r="B61" s="734"/>
      <c r="C61" s="734"/>
      <c r="D61" s="734"/>
      <c r="E61" s="1025"/>
      <c r="F61" s="1025"/>
      <c r="G61" s="1025"/>
      <c r="H61" s="1025"/>
      <c r="I61" s="734"/>
      <c r="J61" s="734"/>
      <c r="K61" s="734"/>
      <c r="L61" s="716"/>
      <c r="M61" s="716"/>
      <c r="N61" s="734"/>
      <c r="O61" s="1005"/>
      <c r="P61" s="1006"/>
      <c r="Q61" s="785"/>
      <c r="R61" s="787"/>
      <c r="S61" s="787"/>
      <c r="T61" s="716"/>
      <c r="U61" s="716"/>
      <c r="W61" s="716"/>
      <c r="X61" s="785"/>
      <c r="AA61" s="785"/>
      <c r="AB61" s="759"/>
      <c r="AC61" s="801"/>
      <c r="AD61" s="801"/>
      <c r="AE61" s="801"/>
      <c r="AF61" s="716"/>
      <c r="AG61" s="734"/>
      <c r="AH61" s="734"/>
      <c r="AI61" s="786"/>
      <c r="AJ61" s="786"/>
      <c r="AK61" s="786"/>
      <c r="AL61" s="734"/>
      <c r="AM61" s="734"/>
      <c r="AN61" s="1026"/>
      <c r="AO61" s="1027"/>
      <c r="AP61" s="993"/>
      <c r="AQ61" s="993"/>
      <c r="AR61" s="993"/>
      <c r="AS61" s="1027"/>
      <c r="AT61" s="987"/>
      <c r="AU61" s="734"/>
      <c r="AV61" s="716"/>
      <c r="AW61" s="716"/>
      <c r="AX61" s="1019"/>
      <c r="AY61" s="1020"/>
      <c r="AZ61" s="1020"/>
      <c r="BA61" s="1020"/>
      <c r="BB61" s="1020"/>
      <c r="BC61" s="1021"/>
      <c r="BD61" s="716"/>
      <c r="BE61" s="716"/>
      <c r="BF61" s="716"/>
      <c r="BG61" s="716"/>
      <c r="BH61" s="716"/>
      <c r="BI61" s="716"/>
      <c r="BJ61" s="740"/>
      <c r="BK61" s="716"/>
    </row>
    <row r="62" spans="1:63" ht="18.75" customHeight="1" thickBot="1" x14ac:dyDescent="0.3">
      <c r="A62" s="789"/>
      <c r="B62" s="968"/>
      <c r="C62" s="734"/>
      <c r="D62" s="763"/>
      <c r="E62" s="1028"/>
      <c r="F62" s="1028"/>
      <c r="G62" s="1028"/>
      <c r="H62" s="1028"/>
      <c r="I62" s="797"/>
      <c r="J62" s="734"/>
      <c r="K62" s="734"/>
      <c r="L62" s="716"/>
      <c r="M62" s="716"/>
      <c r="N62" s="734"/>
      <c r="O62" s="759"/>
      <c r="P62" s="1006"/>
      <c r="Q62" s="785"/>
      <c r="R62" s="787"/>
      <c r="S62" s="787"/>
      <c r="T62" s="716"/>
      <c r="U62" s="716"/>
      <c r="V62" s="716"/>
      <c r="AA62" s="785"/>
      <c r="AB62" s="785"/>
      <c r="AC62" s="841"/>
      <c r="AD62" s="841"/>
      <c r="AE62" s="841"/>
      <c r="AF62" s="734"/>
      <c r="AG62" s="734"/>
      <c r="AH62" s="734"/>
      <c r="AI62" s="786"/>
      <c r="AJ62" s="786"/>
      <c r="AK62" s="786"/>
      <c r="AL62" s="734"/>
      <c r="AM62" s="734"/>
      <c r="AN62" s="1026"/>
      <c r="AO62" s="1027"/>
      <c r="AP62" s="993"/>
      <c r="AQ62" s="993"/>
      <c r="AR62" s="993"/>
      <c r="AS62" s="1027"/>
      <c r="AT62" s="987"/>
      <c r="AU62" s="734"/>
      <c r="AV62" s="716"/>
      <c r="AW62" s="716"/>
      <c r="AX62" s="1029"/>
      <c r="AY62" s="1030"/>
      <c r="AZ62" s="1030"/>
      <c r="BA62" s="1030"/>
      <c r="BB62" s="1030"/>
      <c r="BC62" s="1031"/>
      <c r="BD62" s="716"/>
      <c r="BE62" s="716"/>
      <c r="BF62" s="716"/>
      <c r="BG62" s="716"/>
      <c r="BH62" s="716"/>
      <c r="BI62" s="716"/>
      <c r="BJ62" s="740"/>
      <c r="BK62" s="716"/>
    </row>
    <row r="63" spans="1:63" ht="18.75" customHeight="1" x14ac:dyDescent="0.25">
      <c r="A63" s="789"/>
      <c r="B63" s="968"/>
      <c r="C63" s="734"/>
      <c r="D63" s="1032"/>
      <c r="E63" s="1033">
        <v>3640761</v>
      </c>
      <c r="F63" s="1033">
        <v>3640750</v>
      </c>
      <c r="G63" s="1033">
        <v>3640754</v>
      </c>
      <c r="H63" s="1033">
        <v>3647159</v>
      </c>
      <c r="I63" s="1032"/>
      <c r="J63" s="734"/>
      <c r="K63" s="734"/>
      <c r="L63" s="716"/>
      <c r="M63" s="716"/>
      <c r="N63" s="734"/>
      <c r="O63" s="734"/>
      <c r="P63" s="1006"/>
      <c r="Q63" s="785"/>
      <c r="R63" s="968"/>
      <c r="S63" s="787"/>
      <c r="T63" s="716"/>
      <c r="U63" s="716"/>
      <c r="AA63" s="734"/>
      <c r="AB63" s="734"/>
      <c r="AC63" s="727"/>
      <c r="AD63" s="727"/>
      <c r="AE63" s="727"/>
      <c r="AF63" s="734"/>
      <c r="AG63" s="716"/>
      <c r="AH63" s="734"/>
      <c r="AI63" s="759"/>
      <c r="AJ63" s="734"/>
      <c r="AK63" s="734"/>
      <c r="AL63" s="734"/>
      <c r="AM63" s="734"/>
      <c r="AO63" s="1026"/>
      <c r="AP63" s="1024"/>
      <c r="AQ63" s="1024"/>
      <c r="AR63" s="1024"/>
      <c r="AS63" s="1026"/>
      <c r="AT63" s="734"/>
      <c r="AU63" s="734"/>
      <c r="AV63" s="716"/>
      <c r="AW63" s="716"/>
      <c r="AX63" s="1034"/>
      <c r="AY63" s="943"/>
      <c r="AZ63" s="716"/>
      <c r="BA63" s="1035"/>
      <c r="BB63" s="1035"/>
      <c r="BC63" s="716"/>
      <c r="BD63" s="716"/>
      <c r="BE63" s="716"/>
      <c r="BF63" s="716"/>
      <c r="BG63" s="716"/>
      <c r="BH63" s="716"/>
      <c r="BI63" s="716"/>
      <c r="BJ63" s="740"/>
      <c r="BK63" s="716"/>
    </row>
    <row r="64" spans="1:63" ht="18.75" customHeight="1" x14ac:dyDescent="0.25">
      <c r="A64" s="789"/>
      <c r="B64" s="968"/>
      <c r="C64" s="734"/>
      <c r="D64" s="1032"/>
      <c r="E64" s="864">
        <v>3647168</v>
      </c>
      <c r="F64" s="864">
        <v>3647170</v>
      </c>
      <c r="G64" s="864">
        <v>3647180</v>
      </c>
      <c r="H64" s="864">
        <v>3647169</v>
      </c>
      <c r="I64" s="1032"/>
      <c r="J64" s="734"/>
      <c r="K64" s="734"/>
      <c r="L64" s="716"/>
      <c r="M64" s="734"/>
      <c r="N64" s="734"/>
      <c r="O64" s="734"/>
      <c r="P64" s="1006"/>
      <c r="Q64" s="863"/>
      <c r="R64" s="968"/>
      <c r="S64" s="787"/>
      <c r="T64" s="716"/>
      <c r="U64" s="716"/>
      <c r="AA64" s="734"/>
      <c r="AB64" s="734"/>
      <c r="AC64" s="785"/>
      <c r="AD64" s="785"/>
      <c r="AE64" s="785"/>
      <c r="AF64" s="734"/>
      <c r="AG64" s="734"/>
      <c r="AH64" s="734"/>
      <c r="AI64" s="785"/>
      <c r="AJ64" s="785"/>
      <c r="AK64" s="785"/>
      <c r="AO64" s="759"/>
      <c r="AP64" s="1017"/>
      <c r="AQ64" s="1017"/>
      <c r="AR64" s="1017"/>
      <c r="AS64" s="1016"/>
      <c r="AT64" s="734"/>
      <c r="AU64" s="734"/>
      <c r="AV64" s="716"/>
      <c r="AW64" s="716"/>
      <c r="AX64" s="1036"/>
      <c r="AY64" s="943"/>
      <c r="AZ64" s="1037"/>
      <c r="BA64" s="1037"/>
      <c r="BB64" s="1037"/>
      <c r="BC64" s="716"/>
      <c r="BD64" s="716"/>
      <c r="BE64" s="716"/>
      <c r="BF64" s="716"/>
      <c r="BG64" s="716"/>
      <c r="BH64" s="716"/>
      <c r="BI64" s="716"/>
      <c r="BJ64" s="740"/>
      <c r="BK64" s="716"/>
    </row>
    <row r="65" spans="1:63" ht="18.75" customHeight="1" x14ac:dyDescent="0.25">
      <c r="A65" s="789"/>
      <c r="B65" s="759"/>
      <c r="C65" s="734"/>
      <c r="D65" s="759"/>
      <c r="E65" s="1028"/>
      <c r="F65" s="1028"/>
      <c r="G65" s="1028"/>
      <c r="H65" s="1028"/>
      <c r="I65" s="734"/>
      <c r="J65" s="734"/>
      <c r="K65" s="734"/>
      <c r="L65" s="716"/>
      <c r="M65" s="734"/>
      <c r="N65" s="734"/>
      <c r="O65" s="734"/>
      <c r="P65" s="1006"/>
      <c r="Q65" s="863"/>
      <c r="R65" s="968"/>
      <c r="S65" s="787"/>
      <c r="T65" s="716"/>
      <c r="U65" s="734"/>
      <c r="Z65" s="734"/>
      <c r="AA65" s="734"/>
      <c r="AB65" s="785"/>
      <c r="AC65" s="785"/>
      <c r="AD65" s="785"/>
      <c r="AE65" s="785"/>
      <c r="AF65" s="716"/>
      <c r="AG65" s="716"/>
      <c r="AH65" s="716"/>
      <c r="AI65" s="785"/>
      <c r="AJ65" s="785"/>
      <c r="AK65" s="785"/>
      <c r="AO65" s="1038"/>
      <c r="AP65" s="785"/>
      <c r="AQ65" s="734"/>
      <c r="AR65" s="734"/>
      <c r="AS65" s="734"/>
      <c r="AT65" s="734"/>
      <c r="AU65" s="734"/>
      <c r="AV65" s="943"/>
      <c r="AW65" s="943"/>
      <c r="AX65" s="1036"/>
      <c r="AY65" s="1035"/>
      <c r="AZ65" s="1037"/>
      <c r="BA65" s="807"/>
      <c r="BD65" s="785"/>
      <c r="BE65" s="716"/>
      <c r="BF65" s="716"/>
      <c r="BG65" s="716"/>
      <c r="BH65" s="716"/>
      <c r="BI65" s="716"/>
      <c r="BJ65" s="740"/>
      <c r="BK65" s="716"/>
    </row>
    <row r="66" spans="1:63" ht="18.75" customHeight="1" x14ac:dyDescent="0.25">
      <c r="A66" s="789"/>
      <c r="B66" s="734"/>
      <c r="C66" s="734"/>
      <c r="D66" s="716"/>
      <c r="E66" s="1025"/>
      <c r="F66" s="1025"/>
      <c r="G66" s="1025"/>
      <c r="H66" s="1025"/>
      <c r="I66" s="716"/>
      <c r="J66" s="734"/>
      <c r="K66" s="734"/>
      <c r="L66" s="716"/>
      <c r="M66" s="734"/>
      <c r="N66" s="734"/>
      <c r="O66" s="998"/>
      <c r="P66" s="1006"/>
      <c r="Q66" s="863"/>
      <c r="R66" s="785"/>
      <c r="S66" s="785"/>
      <c r="T66" s="716"/>
      <c r="U66" s="716"/>
      <c r="Z66" s="716"/>
      <c r="AA66" s="734"/>
      <c r="AB66" s="734"/>
      <c r="AC66" s="734"/>
      <c r="AD66" s="734"/>
      <c r="AE66" s="734"/>
      <c r="AF66" s="943"/>
      <c r="AG66" s="716"/>
      <c r="AH66" s="1039"/>
      <c r="AI66" s="785"/>
      <c r="AJ66" s="785"/>
      <c r="AK66" s="785"/>
      <c r="AL66" s="734"/>
      <c r="AM66" s="1040"/>
      <c r="AN66" s="734"/>
      <c r="AO66" s="1040"/>
      <c r="AP66" s="1041"/>
      <c r="AQ66" s="734"/>
      <c r="AR66" s="734"/>
      <c r="AS66" s="734"/>
      <c r="AT66" s="734"/>
      <c r="AU66" s="734"/>
      <c r="AV66" s="943"/>
      <c r="AW66" s="1042"/>
      <c r="AX66" s="943"/>
      <c r="AY66" s="1035"/>
      <c r="AZ66" s="1037"/>
      <c r="BA66" s="976"/>
      <c r="BD66" s="976"/>
      <c r="BE66" s="716"/>
      <c r="BF66" s="716"/>
      <c r="BG66" s="716"/>
      <c r="BH66" s="716"/>
      <c r="BI66" s="716"/>
      <c r="BJ66" s="740"/>
      <c r="BK66" s="716"/>
    </row>
    <row r="67" spans="1:63" ht="18.75" customHeight="1" thickBot="1" x14ac:dyDescent="0.3">
      <c r="A67" s="1043"/>
      <c r="B67" s="734"/>
      <c r="C67" s="734"/>
      <c r="D67" s="716"/>
      <c r="E67" s="1044"/>
      <c r="F67" s="1044"/>
      <c r="G67" s="1044"/>
      <c r="H67" s="1044"/>
      <c r="I67" s="716"/>
      <c r="J67" s="734"/>
      <c r="K67" s="734"/>
      <c r="L67" s="716"/>
      <c r="M67" s="734"/>
      <c r="N67" s="734"/>
      <c r="O67" s="998"/>
      <c r="P67" s="1006"/>
      <c r="Q67" s="785"/>
      <c r="R67" s="785"/>
      <c r="S67" s="785"/>
      <c r="T67" s="785"/>
      <c r="U67" s="716"/>
      <c r="V67" s="716"/>
      <c r="W67" s="716"/>
      <c r="X67" s="716"/>
      <c r="Y67" s="716"/>
      <c r="Z67" s="716"/>
      <c r="AA67" s="785"/>
      <c r="AB67" s="734"/>
      <c r="AC67" s="734"/>
      <c r="AD67" s="734"/>
      <c r="AE67" s="734"/>
      <c r="AF67" s="734"/>
      <c r="AG67" s="734"/>
      <c r="AH67" s="1045"/>
      <c r="AI67" s="1040"/>
      <c r="AJ67" s="734"/>
      <c r="AK67" s="1040"/>
      <c r="AL67" s="1038"/>
      <c r="AM67" s="1046"/>
      <c r="AN67" s="734"/>
      <c r="AO67" s="734"/>
      <c r="AP67" s="734"/>
      <c r="AQ67" s="734"/>
      <c r="AR67" s="734"/>
      <c r="AS67" s="734"/>
      <c r="AT67" s="734"/>
      <c r="AU67" s="734"/>
      <c r="AV67" s="734"/>
      <c r="AW67" s="1042"/>
      <c r="AX67" s="716"/>
      <c r="AY67" s="716"/>
      <c r="AZ67" s="716"/>
      <c r="BA67" s="976"/>
      <c r="BD67" s="976"/>
      <c r="BE67" s="716"/>
      <c r="BF67" s="716"/>
      <c r="BG67" s="716"/>
      <c r="BH67" s="716"/>
      <c r="BI67" s="716"/>
      <c r="BJ67" s="740"/>
      <c r="BK67" s="716"/>
    </row>
    <row r="68" spans="1:63" ht="18.75" customHeight="1" thickBot="1" x14ac:dyDescent="0.3">
      <c r="A68" s="1047" t="s">
        <v>231</v>
      </c>
      <c r="B68" s="734"/>
      <c r="C68" s="734"/>
      <c r="D68" s="716"/>
      <c r="E68" s="1025"/>
      <c r="F68" s="1025"/>
      <c r="G68" s="1025"/>
      <c r="H68" s="1025"/>
      <c r="I68" s="716"/>
      <c r="J68" s="734"/>
      <c r="K68" s="716"/>
      <c r="L68" s="716"/>
      <c r="M68" s="734"/>
      <c r="N68" s="734"/>
      <c r="O68" s="998"/>
      <c r="P68" s="1048"/>
      <c r="Q68" s="785"/>
      <c r="R68" s="785"/>
      <c r="S68" s="785"/>
      <c r="T68" s="785"/>
      <c r="U68" s="734"/>
      <c r="V68" s="734"/>
      <c r="W68" s="734"/>
      <c r="X68" s="734"/>
      <c r="Y68" s="734"/>
      <c r="Z68" s="734"/>
      <c r="AA68" s="716"/>
      <c r="AB68" s="734"/>
      <c r="AC68" s="734"/>
      <c r="AD68" s="734"/>
      <c r="AE68" s="734"/>
      <c r="AF68" s="734"/>
      <c r="AG68" s="734"/>
      <c r="AH68" s="1045"/>
      <c r="AI68" s="785"/>
      <c r="AJ68" s="1040"/>
      <c r="AK68" s="785"/>
      <c r="AL68" s="785"/>
      <c r="AM68" s="734"/>
      <c r="AN68" s="734"/>
      <c r="AO68" s="734"/>
      <c r="AP68" s="734"/>
      <c r="AQ68" s="734"/>
      <c r="AR68" s="734"/>
      <c r="AS68" s="734"/>
      <c r="AT68" s="734"/>
      <c r="AU68" s="734"/>
      <c r="AV68" s="734"/>
      <c r="AW68" s="1049"/>
      <c r="AX68" s="716"/>
      <c r="AY68" s="716"/>
      <c r="AZ68" s="716"/>
      <c r="BA68" s="716"/>
      <c r="BB68" s="716"/>
      <c r="BC68" s="716"/>
      <c r="BD68" s="716"/>
      <c r="BE68" s="716"/>
      <c r="BF68" s="716"/>
      <c r="BG68" s="716"/>
      <c r="BH68" s="716"/>
      <c r="BI68" s="716"/>
      <c r="BJ68" s="740"/>
      <c r="BK68" s="716"/>
    </row>
    <row r="69" spans="1:63" ht="18.75" customHeight="1" thickBot="1" x14ac:dyDescent="0.3">
      <c r="A69" s="940"/>
      <c r="B69" s="763"/>
      <c r="C69" s="734"/>
      <c r="D69" s="763"/>
      <c r="E69" s="894"/>
      <c r="F69" s="894"/>
      <c r="G69" s="894"/>
      <c r="H69" s="894"/>
      <c r="I69" s="797"/>
      <c r="J69" s="734"/>
      <c r="K69" s="716"/>
      <c r="L69" s="716"/>
      <c r="M69" s="716"/>
      <c r="N69" s="734"/>
      <c r="O69" s="998"/>
      <c r="P69" s="980"/>
      <c r="Q69" s="785"/>
      <c r="R69" s="785"/>
      <c r="S69" s="785"/>
      <c r="T69" s="785"/>
      <c r="U69" s="1050"/>
      <c r="V69" s="1050"/>
      <c r="W69" s="1050"/>
      <c r="X69" s="858"/>
      <c r="Y69" s="858"/>
      <c r="Z69" s="858"/>
      <c r="AA69" s="858"/>
      <c r="AB69" s="858"/>
      <c r="AC69" s="858"/>
      <c r="AD69" s="858"/>
      <c r="AE69" s="858"/>
      <c r="AF69" s="734"/>
      <c r="AG69" s="734"/>
      <c r="AH69" s="785"/>
      <c r="AI69" s="785"/>
      <c r="AJ69" s="1051"/>
      <c r="AK69" s="1051"/>
      <c r="AL69" s="1051"/>
      <c r="AM69" s="1051"/>
      <c r="AN69" s="1051"/>
      <c r="AO69" s="1050"/>
      <c r="AP69" s="1050"/>
      <c r="AQ69" s="1052"/>
      <c r="AR69" s="1050"/>
      <c r="AS69" s="1050"/>
      <c r="AT69" s="1050"/>
      <c r="AU69" s="1050"/>
      <c r="AV69" s="1050"/>
      <c r="AW69" s="1053"/>
      <c r="AX69" s="968"/>
      <c r="AY69" s="968"/>
      <c r="AZ69" s="968"/>
      <c r="BA69" s="968"/>
      <c r="BB69" s="968"/>
      <c r="BC69" s="716"/>
      <c r="BD69" s="716"/>
      <c r="BE69" s="716"/>
      <c r="BF69" s="716"/>
      <c r="BG69" s="716"/>
      <c r="BH69" s="716"/>
      <c r="BI69" s="716"/>
      <c r="BJ69" s="740"/>
      <c r="BK69" s="716"/>
    </row>
    <row r="70" spans="1:63" ht="18.75" customHeight="1" x14ac:dyDescent="0.25">
      <c r="A70" s="1054">
        <v>7056928</v>
      </c>
      <c r="B70" s="764"/>
      <c r="C70" s="914"/>
      <c r="D70" s="1055"/>
      <c r="E70" s="958">
        <v>3120133</v>
      </c>
      <c r="F70" s="958">
        <v>3122219</v>
      </c>
      <c r="G70" s="958">
        <v>3122215</v>
      </c>
      <c r="H70" s="958">
        <v>3122230</v>
      </c>
      <c r="I70" s="1055"/>
      <c r="J70" s="734"/>
      <c r="K70" s="772"/>
      <c r="L70" s="772"/>
      <c r="M70" s="772"/>
      <c r="N70" s="734"/>
      <c r="O70" s="998"/>
      <c r="P70" s="980"/>
      <c r="Q70" s="785"/>
      <c r="R70" s="785"/>
      <c r="S70" s="785"/>
      <c r="T70" s="785"/>
      <c r="U70" s="1056" t="s">
        <v>208</v>
      </c>
      <c r="V70" s="1057"/>
      <c r="W70" s="1057"/>
      <c r="X70" s="1057"/>
      <c r="Y70" s="1057"/>
      <c r="Z70" s="1057"/>
      <c r="AA70" s="1057"/>
      <c r="AB70" s="1058"/>
      <c r="AC70" s="1059" t="s">
        <v>320</v>
      </c>
      <c r="AD70" s="1060"/>
      <c r="AE70" s="1061"/>
      <c r="AF70" s="1062" t="s">
        <v>321</v>
      </c>
      <c r="AG70" s="1063"/>
      <c r="AH70" s="1063"/>
      <c r="AI70" s="1064"/>
      <c r="AJ70" s="785"/>
      <c r="AK70" s="785"/>
      <c r="AL70" s="785"/>
      <c r="AM70" s="785"/>
      <c r="AN70" s="785"/>
      <c r="AO70" s="734"/>
      <c r="AP70" s="785"/>
      <c r="AQ70" s="785"/>
      <c r="AR70" s="785"/>
      <c r="AS70" s="785"/>
      <c r="AT70" s="968"/>
      <c r="AU70" s="968"/>
      <c r="AV70" s="968"/>
      <c r="AW70" s="968"/>
      <c r="AX70" s="968"/>
      <c r="AY70" s="968"/>
      <c r="AZ70" s="968"/>
      <c r="BA70" s="968"/>
      <c r="BB70" s="968"/>
      <c r="BC70" s="716"/>
      <c r="BD70" s="716"/>
      <c r="BE70" s="716"/>
      <c r="BF70" s="716"/>
      <c r="BG70" s="716"/>
      <c r="BH70" s="716"/>
      <c r="BI70" s="716"/>
      <c r="BJ70" s="740"/>
      <c r="BK70" s="716"/>
    </row>
    <row r="71" spans="1:63" ht="18.75" customHeight="1" x14ac:dyDescent="0.25">
      <c r="A71" s="1054">
        <v>7056935</v>
      </c>
      <c r="B71" s="764"/>
      <c r="C71" s="803"/>
      <c r="D71" s="1055"/>
      <c r="E71" s="958">
        <v>3122212</v>
      </c>
      <c r="F71" s="958">
        <v>3120136</v>
      </c>
      <c r="G71" s="958">
        <v>3122213</v>
      </c>
      <c r="H71" s="958">
        <v>3122233</v>
      </c>
      <c r="I71" s="1055"/>
      <c r="J71" s="734"/>
      <c r="K71" s="772"/>
      <c r="L71" s="772"/>
      <c r="M71" s="772"/>
      <c r="N71" s="1065"/>
      <c r="O71" s="998"/>
      <c r="P71" s="1066"/>
      <c r="Q71" s="785"/>
      <c r="R71" s="785"/>
      <c r="S71" s="785"/>
      <c r="T71" s="785"/>
      <c r="U71" s="1067"/>
      <c r="V71" s="1068"/>
      <c r="W71" s="1068"/>
      <c r="X71" s="1068"/>
      <c r="Y71" s="1068"/>
      <c r="Z71" s="1068"/>
      <c r="AA71" s="1068"/>
      <c r="AB71" s="1069"/>
      <c r="AC71" s="1070"/>
      <c r="AD71" s="1071"/>
      <c r="AE71" s="1072"/>
      <c r="AF71" s="1073"/>
      <c r="AG71" s="1074"/>
      <c r="AH71" s="1074"/>
      <c r="AI71" s="1075"/>
      <c r="AJ71" s="785"/>
      <c r="AK71" s="785"/>
      <c r="AL71" s="785"/>
      <c r="AM71" s="1004"/>
      <c r="AN71" s="968"/>
      <c r="AO71" s="785"/>
      <c r="AP71" s="785"/>
      <c r="AQ71" s="785"/>
      <c r="AR71" s="785"/>
      <c r="AS71" s="785"/>
      <c r="AT71" s="785"/>
      <c r="AU71" s="785"/>
      <c r="AV71" s="785"/>
      <c r="AW71" s="785"/>
      <c r="AX71" s="716"/>
      <c r="AY71" s="716"/>
      <c r="AZ71" s="716"/>
      <c r="BA71" s="716"/>
      <c r="BB71" s="716"/>
      <c r="BC71" s="716"/>
      <c r="BD71" s="716"/>
      <c r="BE71" s="716"/>
      <c r="BF71" s="716"/>
      <c r="BG71" s="716"/>
      <c r="BH71" s="716"/>
      <c r="BI71" s="716"/>
      <c r="BJ71" s="740"/>
      <c r="BK71" s="716"/>
    </row>
    <row r="72" spans="1:63" ht="18.75" customHeight="1" x14ac:dyDescent="0.25">
      <c r="A72" s="1054">
        <v>7057020</v>
      </c>
      <c r="B72" s="764"/>
      <c r="C72" s="803"/>
      <c r="D72" s="759"/>
      <c r="E72" s="894"/>
      <c r="F72" s="894"/>
      <c r="G72" s="894"/>
      <c r="H72" s="894"/>
      <c r="I72" s="734"/>
      <c r="J72" s="734"/>
      <c r="K72" s="759"/>
      <c r="L72" s="716"/>
      <c r="M72" s="716"/>
      <c r="N72" s="1065"/>
      <c r="O72" s="759"/>
      <c r="P72" s="1076"/>
      <c r="Q72" s="1077"/>
      <c r="R72" s="1077"/>
      <c r="S72" s="785"/>
      <c r="T72" s="785"/>
      <c r="U72" s="1067"/>
      <c r="V72" s="1068"/>
      <c r="W72" s="1068"/>
      <c r="X72" s="1068"/>
      <c r="Y72" s="1068"/>
      <c r="Z72" s="1068"/>
      <c r="AA72" s="1068"/>
      <c r="AB72" s="1069"/>
      <c r="AC72" s="1070"/>
      <c r="AD72" s="1071"/>
      <c r="AE72" s="1061"/>
      <c r="AF72" s="1073"/>
      <c r="AG72" s="1074"/>
      <c r="AH72" s="1074"/>
      <c r="AI72" s="1075"/>
      <c r="AJ72" s="785"/>
      <c r="AK72" s="785"/>
      <c r="AL72" s="785"/>
      <c r="AM72" s="785"/>
      <c r="AN72" s="785"/>
      <c r="AO72" s="785"/>
      <c r="AP72" s="785"/>
      <c r="AQ72" s="785"/>
      <c r="AR72" s="785"/>
      <c r="AS72" s="785"/>
      <c r="AT72" s="785"/>
      <c r="AU72" s="785"/>
      <c r="AV72" s="785"/>
      <c r="AW72" s="785"/>
      <c r="AX72" s="716"/>
      <c r="AY72" s="716"/>
      <c r="AZ72" s="716"/>
      <c r="BA72" s="716"/>
      <c r="BB72" s="716"/>
      <c r="BC72" s="716"/>
      <c r="BD72" s="716"/>
      <c r="BE72" s="716"/>
      <c r="BF72" s="716"/>
      <c r="BG72" s="716"/>
      <c r="BH72" s="716"/>
      <c r="BI72" s="716"/>
      <c r="BJ72" s="740"/>
      <c r="BK72" s="716"/>
    </row>
    <row r="73" spans="1:63" ht="18.75" customHeight="1" thickBot="1" x14ac:dyDescent="0.3">
      <c r="A73" s="1054">
        <v>7056963</v>
      </c>
      <c r="B73" s="764"/>
      <c r="C73" s="803"/>
      <c r="D73" s="734"/>
      <c r="E73" s="1025"/>
      <c r="F73" s="1025"/>
      <c r="G73" s="1025"/>
      <c r="H73" s="1025"/>
      <c r="I73" s="734"/>
      <c r="J73" s="734"/>
      <c r="K73" s="716"/>
      <c r="L73" s="716"/>
      <c r="M73" s="716"/>
      <c r="N73" s="1065"/>
      <c r="O73" s="1078"/>
      <c r="P73" s="1079"/>
      <c r="Q73" s="1080"/>
      <c r="R73" s="1077"/>
      <c r="S73" s="734"/>
      <c r="T73" s="1080"/>
      <c r="U73" s="1081"/>
      <c r="V73" s="1082"/>
      <c r="W73" s="1082"/>
      <c r="X73" s="1082"/>
      <c r="Y73" s="1082"/>
      <c r="Z73" s="1082"/>
      <c r="AA73" s="1082"/>
      <c r="AB73" s="1083"/>
      <c r="AC73" s="1084"/>
      <c r="AD73" s="1085"/>
      <c r="AE73" s="1086"/>
      <c r="AF73" s="1087"/>
      <c r="AG73" s="1088"/>
      <c r="AH73" s="1088"/>
      <c r="AI73" s="1089"/>
      <c r="AJ73" s="1051"/>
      <c r="AK73" s="1051"/>
      <c r="AL73" s="1051"/>
      <c r="AM73" s="1051"/>
      <c r="AN73" s="1051"/>
      <c r="AO73" s="1051"/>
      <c r="AP73" s="1051"/>
      <c r="AQ73" s="1051"/>
      <c r="AR73" s="1051"/>
      <c r="AS73" s="1051"/>
      <c r="AT73" s="1051"/>
      <c r="AU73" s="1051"/>
      <c r="AV73" s="1051"/>
      <c r="AW73" s="1051"/>
      <c r="AX73" s="858"/>
      <c r="AY73" s="858"/>
      <c r="AZ73" s="858"/>
      <c r="BA73" s="858"/>
      <c r="BB73" s="858"/>
      <c r="BC73" s="858"/>
      <c r="BD73" s="858"/>
      <c r="BE73" s="858"/>
      <c r="BF73" s="858"/>
      <c r="BG73" s="858"/>
      <c r="BH73" s="858"/>
      <c r="BI73" s="858"/>
      <c r="BJ73" s="740"/>
      <c r="BK73" s="716"/>
    </row>
    <row r="74" spans="1:63" ht="18.75" customHeight="1" x14ac:dyDescent="0.25">
      <c r="A74" s="940"/>
      <c r="B74" s="759"/>
      <c r="C74" s="734"/>
      <c r="D74" s="734"/>
      <c r="E74" s="1090"/>
      <c r="F74" s="1090"/>
      <c r="G74" s="1090"/>
      <c r="H74" s="1090"/>
      <c r="I74" s="1065"/>
      <c r="J74" s="734"/>
      <c r="K74" s="1065"/>
      <c r="L74" s="734"/>
      <c r="M74" s="734"/>
      <c r="N74" s="734"/>
      <c r="O74" s="1091"/>
      <c r="P74" s="997"/>
      <c r="Q74" s="997"/>
      <c r="R74" s="1092"/>
      <c r="S74" s="1092"/>
      <c r="T74" s="968"/>
      <c r="U74" s="968"/>
      <c r="V74" s="968"/>
      <c r="W74" s="968"/>
      <c r="X74" s="928"/>
      <c r="Y74" s="928"/>
      <c r="Z74" s="928"/>
      <c r="AA74" s="928"/>
      <c r="AB74" s="968"/>
      <c r="AC74" s="968"/>
      <c r="AD74" s="968"/>
      <c r="AE74" s="968"/>
      <c r="AF74" s="968"/>
      <c r="AG74" s="968"/>
      <c r="AH74" s="968"/>
      <c r="AI74" s="968"/>
      <c r="AJ74" s="716"/>
      <c r="AK74" s="716"/>
      <c r="AL74" s="716"/>
      <c r="AM74" s="716"/>
      <c r="AN74" s="716"/>
      <c r="AO74" s="716"/>
      <c r="AP74" s="716"/>
      <c r="AQ74" s="716"/>
      <c r="AR74" s="716"/>
      <c r="AS74" s="716"/>
      <c r="AT74" s="716"/>
      <c r="AU74" s="716"/>
      <c r="AV74" s="716"/>
      <c r="AW74" s="716"/>
      <c r="AX74" s="716"/>
      <c r="AY74" s="716"/>
      <c r="AZ74" s="716"/>
      <c r="BA74" s="968"/>
      <c r="BB74" s="968"/>
      <c r="BC74" s="968"/>
      <c r="BD74" s="968"/>
      <c r="BE74" s="716"/>
      <c r="BF74" s="716"/>
      <c r="BG74" s="716"/>
      <c r="BH74" s="716"/>
      <c r="BI74" s="716"/>
      <c r="BJ74" s="716"/>
      <c r="BK74" s="716"/>
    </row>
    <row r="75" spans="1:63" ht="18.75" customHeight="1" x14ac:dyDescent="0.25">
      <c r="A75" s="1044"/>
      <c r="B75" s="1044"/>
      <c r="C75" s="734"/>
      <c r="D75" s="734"/>
      <c r="E75" s="734"/>
      <c r="F75" s="734"/>
      <c r="G75" s="734"/>
      <c r="H75" s="734"/>
      <c r="I75" s="1065"/>
      <c r="J75" s="734"/>
      <c r="K75" s="1065"/>
      <c r="L75" s="734"/>
      <c r="M75" s="734"/>
      <c r="N75" s="734"/>
      <c r="O75" s="1091"/>
      <c r="P75" s="1093"/>
      <c r="Q75" s="1093"/>
      <c r="R75" s="1093"/>
      <c r="S75" s="1093"/>
      <c r="T75" s="968"/>
      <c r="U75" s="968"/>
      <c r="V75" s="968"/>
      <c r="W75" s="968"/>
      <c r="X75" s="968"/>
      <c r="Y75" s="968"/>
      <c r="Z75" s="968"/>
      <c r="AA75" s="968"/>
      <c r="AB75" s="968"/>
      <c r="AC75" s="968"/>
      <c r="AD75" s="968"/>
      <c r="AE75" s="968"/>
      <c r="AF75" s="968"/>
      <c r="AG75" s="968"/>
      <c r="AH75" s="968"/>
      <c r="AI75" s="968"/>
      <c r="AJ75" s="968"/>
      <c r="AK75" s="968"/>
      <c r="AL75" s="968"/>
      <c r="AM75" s="968"/>
      <c r="AN75" s="1094"/>
      <c r="AO75" s="1094"/>
      <c r="AP75" s="1094"/>
      <c r="AQ75" s="1094"/>
      <c r="AR75" s="1094"/>
      <c r="AS75" s="1094"/>
      <c r="AT75" s="1094"/>
      <c r="AU75" s="1094"/>
      <c r="AV75" s="1094"/>
      <c r="AW75" s="1094"/>
      <c r="AX75" s="827"/>
      <c r="AY75" s="827"/>
      <c r="AZ75" s="827"/>
      <c r="BA75" s="827"/>
      <c r="BB75" s="827"/>
      <c r="BC75" s="827"/>
      <c r="BD75" s="827"/>
      <c r="BE75" s="827"/>
      <c r="BF75" s="827"/>
      <c r="BG75" s="827"/>
      <c r="BH75" s="827"/>
      <c r="BI75" s="827"/>
      <c r="BJ75" s="827"/>
      <c r="BK75" s="827"/>
    </row>
    <row r="76" spans="1:63" ht="18.75" customHeight="1" x14ac:dyDescent="0.25">
      <c r="A76" s="772"/>
      <c r="B76" s="997"/>
      <c r="C76" s="734"/>
      <c r="D76" s="734"/>
      <c r="E76" s="820"/>
      <c r="F76" s="820"/>
      <c r="G76" s="820"/>
      <c r="H76" s="820"/>
      <c r="I76" s="1095"/>
      <c r="J76" s="1095"/>
      <c r="K76" s="1095"/>
      <c r="L76" s="734"/>
      <c r="M76" s="734"/>
      <c r="N76" s="759"/>
      <c r="O76" s="1091"/>
      <c r="P76" s="734"/>
      <c r="Q76" s="734"/>
      <c r="R76" s="734"/>
      <c r="S76" s="734"/>
      <c r="T76" s="734"/>
      <c r="U76" s="734"/>
      <c r="V76" s="734"/>
      <c r="W76" s="734"/>
      <c r="X76" s="734"/>
      <c r="Y76" s="734"/>
      <c r="Z76" s="73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</row>
    <row r="77" spans="1:63" ht="18.75" customHeight="1" x14ac:dyDescent="0.25">
      <c r="A77" s="772"/>
      <c r="B77" s="1096"/>
      <c r="C77" s="1096"/>
      <c r="D77" s="734"/>
      <c r="E77" s="1097"/>
      <c r="F77" s="1097"/>
      <c r="G77" s="1097"/>
      <c r="H77" s="853"/>
      <c r="I77" s="1006"/>
      <c r="J77" s="1006"/>
      <c r="K77" s="1006"/>
      <c r="L77" s="734"/>
      <c r="M77" s="734"/>
      <c r="N77" s="772"/>
      <c r="O77" s="1091"/>
      <c r="P77" s="734"/>
      <c r="Q77" s="734"/>
      <c r="R77" s="734"/>
      <c r="S77" s="734"/>
      <c r="T77" s="734"/>
      <c r="U77" s="734"/>
      <c r="V77" s="734"/>
      <c r="W77" s="734"/>
      <c r="X77" s="734"/>
      <c r="Y77" s="734"/>
      <c r="Z77" s="734"/>
      <c r="AA77" s="734"/>
      <c r="AB77" s="734"/>
      <c r="AC77" s="734"/>
      <c r="AD77" s="734"/>
      <c r="AE77" s="734"/>
      <c r="AF77" s="734"/>
      <c r="AG77" s="734"/>
      <c r="AH77" s="734"/>
      <c r="AI77" s="734"/>
      <c r="AJ77" s="734"/>
      <c r="AK77" s="734"/>
      <c r="AL77" s="734"/>
      <c r="AM77" s="734"/>
      <c r="AN77" s="734"/>
      <c r="AO77" s="734"/>
      <c r="AP77" s="734"/>
      <c r="AQ77" s="734"/>
      <c r="AR77" s="734"/>
      <c r="AS77" s="734"/>
      <c r="AT77" s="734"/>
      <c r="AU77" s="734"/>
      <c r="AV77" s="734"/>
      <c r="AW77" s="734"/>
      <c r="AX77" s="734"/>
      <c r="AY77" s="734"/>
      <c r="AZ77" s="734"/>
      <c r="BA77" s="734"/>
      <c r="BB77" s="734"/>
      <c r="BC77" s="734"/>
      <c r="BD77" s="734"/>
      <c r="BE77" s="734"/>
      <c r="BF77" s="734"/>
      <c r="BG77" s="734"/>
      <c r="BH77" s="734"/>
      <c r="BI77" s="734"/>
      <c r="BJ77" s="734"/>
      <c r="BK77" s="734"/>
    </row>
    <row r="78" spans="1:63" ht="18.75" customHeight="1" x14ac:dyDescent="0.25">
      <c r="A78" s="772"/>
      <c r="B78" s="734"/>
      <c r="C78" s="734"/>
      <c r="D78" s="734"/>
      <c r="E78" s="1097"/>
      <c r="F78" s="1097"/>
      <c r="G78" s="1097"/>
      <c r="H78" s="853"/>
      <c r="I78" s="1006"/>
      <c r="J78" s="1006"/>
      <c r="K78" s="1006"/>
      <c r="L78" s="734"/>
      <c r="M78" s="734"/>
      <c r="N78" s="772"/>
      <c r="O78" s="1091"/>
      <c r="P78" s="734"/>
      <c r="Q78" s="734"/>
      <c r="R78" s="734"/>
      <c r="S78" s="734"/>
      <c r="T78" s="734"/>
      <c r="U78" s="734"/>
      <c r="V78" s="734"/>
      <c r="W78" s="734"/>
      <c r="X78" s="734"/>
      <c r="Y78" s="734"/>
      <c r="Z78" s="734"/>
      <c r="AA78" s="734"/>
      <c r="AB78" s="734"/>
      <c r="AC78" s="734"/>
      <c r="AD78" s="734"/>
      <c r="AE78" s="734"/>
      <c r="AF78" s="734"/>
      <c r="AG78" s="734"/>
      <c r="AH78" s="734"/>
      <c r="AI78" s="734"/>
      <c r="AJ78" s="734"/>
      <c r="AK78" s="734"/>
      <c r="AL78" s="734"/>
      <c r="AM78" s="734"/>
      <c r="AN78" s="734"/>
      <c r="AO78" s="734"/>
      <c r="AP78" s="734"/>
      <c r="AQ78" s="734"/>
      <c r="AR78" s="734"/>
      <c r="AS78" s="734"/>
      <c r="AT78" s="734"/>
      <c r="AU78" s="734"/>
      <c r="AV78" s="734"/>
      <c r="AW78" s="734"/>
      <c r="AX78" s="734"/>
      <c r="AY78" s="734"/>
      <c r="AZ78" s="734"/>
      <c r="BA78" s="734"/>
      <c r="BB78" s="734"/>
      <c r="BC78" s="734"/>
      <c r="BD78" s="734"/>
      <c r="BE78" s="734"/>
      <c r="BF78" s="734"/>
      <c r="BG78" s="734"/>
      <c r="BH78" s="734"/>
      <c r="BI78" s="734"/>
      <c r="BJ78" s="734"/>
      <c r="BK78" s="734"/>
    </row>
    <row r="79" spans="1:63" ht="18.75" customHeight="1" x14ac:dyDescent="0.25">
      <c r="A79" s="759"/>
      <c r="B79" s="734"/>
      <c r="C79" s="734"/>
      <c r="D79" s="734"/>
      <c r="E79" s="850"/>
      <c r="F79" s="820"/>
      <c r="G79" s="820"/>
      <c r="H79" s="820"/>
      <c r="I79" s="850"/>
      <c r="J79" s="820"/>
      <c r="K79" s="852"/>
      <c r="L79" s="734"/>
      <c r="M79" s="734"/>
      <c r="N79" s="772"/>
      <c r="O79" s="1091"/>
      <c r="P79" s="734"/>
      <c r="Q79" s="734"/>
      <c r="R79" s="734"/>
      <c r="S79" s="734"/>
      <c r="T79" s="734"/>
      <c r="U79" s="734"/>
      <c r="V79" s="734"/>
      <c r="W79" s="734"/>
      <c r="X79" s="734"/>
      <c r="Y79" s="734"/>
      <c r="Z79" s="734"/>
      <c r="AA79" s="734"/>
      <c r="AB79" s="734"/>
      <c r="AC79" s="734"/>
      <c r="AD79" s="734"/>
      <c r="AE79" s="734"/>
      <c r="AF79" s="734"/>
      <c r="AG79" s="734"/>
      <c r="AH79" s="734"/>
      <c r="AI79" s="734"/>
      <c r="AJ79" s="734"/>
      <c r="AK79" s="734"/>
      <c r="AL79" s="734"/>
      <c r="AM79" s="734"/>
      <c r="AN79" s="734"/>
      <c r="AO79" s="734"/>
      <c r="AP79" s="734"/>
      <c r="AQ79" s="734"/>
      <c r="AR79" s="734"/>
      <c r="AS79" s="734"/>
      <c r="AT79" s="734"/>
      <c r="AU79" s="734"/>
      <c r="AV79" s="734"/>
      <c r="AW79" s="734"/>
      <c r="AX79" s="734"/>
      <c r="AY79" s="734"/>
      <c r="AZ79" s="734"/>
      <c r="BA79" s="734"/>
      <c r="BB79" s="734"/>
      <c r="BC79" s="734"/>
      <c r="BD79" s="734"/>
      <c r="BE79" s="734"/>
      <c r="BF79" s="734"/>
      <c r="BG79" s="734"/>
      <c r="BH79" s="734"/>
      <c r="BI79" s="734"/>
      <c r="BJ79" s="734"/>
      <c r="BK79" s="734"/>
    </row>
    <row r="80" spans="1:63" ht="18.75" customHeight="1" x14ac:dyDescent="0.25">
      <c r="A80" s="734"/>
      <c r="B80" s="734"/>
      <c r="C80" s="734"/>
      <c r="D80" s="734"/>
      <c r="E80" s="734"/>
      <c r="F80" s="734"/>
      <c r="G80" s="734"/>
      <c r="H80" s="734"/>
      <c r="I80" s="734"/>
      <c r="J80" s="734"/>
      <c r="K80" s="716"/>
      <c r="L80" s="734"/>
      <c r="M80" s="734"/>
      <c r="N80" s="772"/>
      <c r="O80" s="1091"/>
      <c r="P80" s="734"/>
      <c r="Q80" s="734"/>
      <c r="R80" s="734"/>
      <c r="S80" s="734"/>
      <c r="T80" s="734"/>
      <c r="U80" s="734"/>
      <c r="V80" s="734"/>
      <c r="W80" s="734"/>
      <c r="X80" s="734"/>
      <c r="Y80" s="734"/>
      <c r="Z80" s="734"/>
      <c r="AA80" s="734"/>
      <c r="AB80" s="734"/>
      <c r="AC80" s="734"/>
      <c r="AD80" s="734"/>
      <c r="AE80" s="734"/>
      <c r="AF80" s="734"/>
      <c r="AG80" s="734"/>
      <c r="AH80" s="734"/>
      <c r="AI80" s="734"/>
      <c r="AJ80" s="734"/>
      <c r="AK80" s="734"/>
      <c r="AL80" s="734"/>
      <c r="AM80" s="734"/>
      <c r="AN80" s="734"/>
      <c r="AO80" s="734"/>
      <c r="AP80" s="734"/>
      <c r="AQ80" s="734"/>
      <c r="AR80" s="734"/>
      <c r="AS80" s="734"/>
      <c r="AT80" s="734"/>
      <c r="AU80" s="734"/>
      <c r="AV80" s="734"/>
      <c r="AW80" s="734"/>
      <c r="AX80" s="734"/>
      <c r="AY80" s="734"/>
      <c r="AZ80" s="734"/>
      <c r="BA80" s="734"/>
      <c r="BB80" s="734"/>
      <c r="BC80" s="734"/>
      <c r="BD80" s="734"/>
      <c r="BE80" s="734"/>
      <c r="BF80" s="734"/>
      <c r="BG80" s="734"/>
      <c r="BH80" s="734"/>
      <c r="BI80" s="734"/>
      <c r="BJ80" s="734"/>
      <c r="BK80" s="734"/>
    </row>
    <row r="81" spans="1:63" ht="18.75" customHeight="1" thickBot="1" x14ac:dyDescent="0.3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858"/>
      <c r="O81" s="1091"/>
      <c r="P81" s="734"/>
      <c r="Q81" s="734"/>
      <c r="R81" s="734"/>
      <c r="S81" s="734"/>
      <c r="T81" s="734"/>
      <c r="U81" s="734"/>
      <c r="V81" s="734"/>
      <c r="W81" s="734"/>
      <c r="X81" s="734"/>
      <c r="Y81" s="734"/>
      <c r="Z81" s="734"/>
      <c r="AA81" s="734"/>
      <c r="AB81" s="734"/>
      <c r="AC81" s="734"/>
      <c r="AD81" s="734"/>
      <c r="AE81" s="734"/>
      <c r="AF81" s="734"/>
      <c r="AG81" s="734"/>
      <c r="AH81" s="734"/>
      <c r="AI81" s="734"/>
      <c r="AJ81" s="734"/>
      <c r="AK81" s="734"/>
      <c r="AL81" s="734"/>
      <c r="AM81" s="734"/>
      <c r="AN81" s="734"/>
      <c r="AO81" s="734"/>
      <c r="AP81" s="734"/>
      <c r="AQ81" s="734"/>
      <c r="AR81" s="734"/>
      <c r="AS81" s="734"/>
      <c r="AT81" s="734"/>
      <c r="AU81" s="734"/>
      <c r="AV81" s="734"/>
      <c r="AW81" s="734"/>
      <c r="AX81" s="734"/>
      <c r="AY81" s="734"/>
      <c r="AZ81" s="734"/>
      <c r="BA81" s="734"/>
      <c r="BB81" s="734"/>
      <c r="BC81" s="734"/>
      <c r="BD81" s="734"/>
      <c r="BE81" s="734"/>
      <c r="BF81" s="734"/>
      <c r="BG81" s="734"/>
      <c r="BH81" s="734"/>
      <c r="BI81" s="734"/>
      <c r="BJ81" s="734"/>
      <c r="BK81" s="734"/>
    </row>
    <row r="82" spans="1:63" ht="18.75" customHeight="1" x14ac:dyDescent="0.25">
      <c r="A82" s="734"/>
      <c r="B82" s="734"/>
      <c r="C82" s="734"/>
      <c r="D82" s="734"/>
      <c r="E82" s="734"/>
      <c r="F82" s="734"/>
      <c r="G82" s="734"/>
      <c r="H82" s="734"/>
      <c r="I82" s="734"/>
      <c r="J82" s="734"/>
      <c r="K82" s="734"/>
      <c r="L82" s="734"/>
      <c r="M82" s="734"/>
      <c r="N82" s="734"/>
      <c r="O82" s="734"/>
      <c r="P82" s="734"/>
      <c r="Q82" s="734"/>
      <c r="R82" s="734"/>
      <c r="S82" s="734"/>
      <c r="T82" s="734"/>
      <c r="U82" s="734"/>
      <c r="V82" s="734"/>
      <c r="W82" s="734"/>
      <c r="X82" s="734"/>
      <c r="Y82" s="734"/>
      <c r="Z82" s="734"/>
      <c r="AA82" s="734"/>
      <c r="AB82" s="734"/>
      <c r="AC82" s="734"/>
      <c r="AD82" s="734"/>
      <c r="AE82" s="734"/>
      <c r="AF82" s="734"/>
      <c r="AG82" s="734"/>
      <c r="AH82" s="734"/>
      <c r="AI82" s="734"/>
      <c r="AJ82" s="734"/>
      <c r="AK82" s="734"/>
      <c r="AL82" s="734"/>
      <c r="AM82" s="734"/>
      <c r="AN82" s="734"/>
      <c r="AO82" s="734"/>
      <c r="AP82" s="734"/>
      <c r="AQ82" s="734"/>
      <c r="AR82" s="734"/>
      <c r="AS82" s="734"/>
      <c r="AT82" s="734"/>
      <c r="AU82" s="734"/>
      <c r="AV82" s="734"/>
      <c r="AW82" s="734"/>
      <c r="AX82" s="734"/>
      <c r="AY82" s="734"/>
      <c r="AZ82" s="734"/>
      <c r="BA82" s="734"/>
      <c r="BB82" s="734"/>
      <c r="BC82" s="734"/>
      <c r="BD82" s="734"/>
      <c r="BE82" s="734"/>
      <c r="BF82" s="734"/>
      <c r="BG82" s="734"/>
      <c r="BH82" s="734"/>
      <c r="BI82" s="734"/>
      <c r="BJ82" s="734"/>
      <c r="BK82" s="734"/>
    </row>
    <row r="83" spans="1:63" ht="18.75" customHeight="1" x14ac:dyDescent="0.25">
      <c r="A83" s="734"/>
      <c r="B83" s="734"/>
      <c r="C83" s="734"/>
      <c r="D83" s="734"/>
      <c r="E83" s="734"/>
      <c r="F83" s="734"/>
      <c r="G83" s="734"/>
      <c r="H83" s="734"/>
      <c r="I83" s="734"/>
      <c r="J83" s="734"/>
      <c r="K83" s="734"/>
      <c r="L83" s="734"/>
      <c r="M83" s="734"/>
      <c r="N83" s="734"/>
      <c r="O83" s="734"/>
      <c r="P83" s="734"/>
      <c r="Q83" s="734"/>
      <c r="R83" s="734"/>
      <c r="S83" s="734"/>
      <c r="T83" s="734"/>
      <c r="U83" s="734"/>
      <c r="V83" s="734"/>
      <c r="W83" s="734"/>
      <c r="X83" s="734"/>
      <c r="Y83" s="734"/>
      <c r="Z83" s="734"/>
      <c r="AA83" s="734"/>
      <c r="AB83" s="734"/>
      <c r="AC83" s="734"/>
      <c r="AD83" s="734"/>
      <c r="AE83" s="734"/>
      <c r="AF83" s="734"/>
      <c r="AG83" s="734"/>
      <c r="AH83" s="734"/>
      <c r="AI83" s="734"/>
      <c r="AJ83" s="734"/>
      <c r="AK83" s="734"/>
      <c r="AL83" s="734"/>
      <c r="AM83" s="734"/>
      <c r="AN83" s="734"/>
      <c r="AO83" s="734"/>
      <c r="AP83" s="734"/>
      <c r="AQ83" s="734"/>
      <c r="AR83" s="734"/>
      <c r="AS83" s="734"/>
      <c r="AT83" s="734"/>
      <c r="AU83" s="734"/>
      <c r="AV83" s="734"/>
      <c r="AW83" s="734"/>
      <c r="AX83" s="734"/>
      <c r="AY83" s="734"/>
      <c r="AZ83" s="734"/>
      <c r="BA83" s="734"/>
      <c r="BB83" s="734"/>
      <c r="BC83" s="734"/>
      <c r="BD83" s="734"/>
      <c r="BE83" s="734"/>
      <c r="BF83" s="734"/>
      <c r="BG83" s="734"/>
      <c r="BH83" s="734"/>
      <c r="BI83" s="734"/>
      <c r="BJ83" s="734"/>
      <c r="BK83" s="734"/>
    </row>
    <row r="84" spans="1:63" ht="18.75" customHeight="1" x14ac:dyDescent="0.25">
      <c r="A84" s="734"/>
      <c r="B84" s="734"/>
      <c r="C84" s="734"/>
      <c r="D84" s="734"/>
      <c r="E84" s="734"/>
      <c r="F84" s="734"/>
      <c r="G84" s="734"/>
      <c r="H84" s="734"/>
      <c r="I84" s="734"/>
      <c r="J84" s="734"/>
      <c r="K84" s="734"/>
      <c r="L84" s="734"/>
      <c r="M84" s="734"/>
      <c r="N84" s="734"/>
      <c r="O84" s="734"/>
      <c r="P84" s="734"/>
      <c r="Q84" s="734"/>
      <c r="R84" s="734"/>
      <c r="S84" s="734"/>
      <c r="T84" s="734"/>
      <c r="U84" s="734"/>
      <c r="V84" s="734"/>
      <c r="W84" s="734"/>
      <c r="X84" s="734"/>
      <c r="Y84" s="734"/>
      <c r="Z84" s="734"/>
      <c r="AA84" s="734"/>
      <c r="AB84" s="734"/>
      <c r="AC84" s="734"/>
      <c r="AD84" s="734"/>
      <c r="AE84" s="734"/>
      <c r="AF84" s="734"/>
      <c r="AG84" s="734"/>
      <c r="AH84" s="734"/>
      <c r="AI84" s="734"/>
      <c r="AJ84" s="734"/>
      <c r="AK84" s="734"/>
      <c r="AL84" s="734"/>
      <c r="AM84" s="734"/>
      <c r="AN84" s="734"/>
      <c r="AO84" s="734"/>
      <c r="AP84" s="734"/>
      <c r="AQ84" s="734"/>
      <c r="AR84" s="734"/>
      <c r="AS84" s="734"/>
      <c r="AT84" s="734"/>
      <c r="AU84" s="734"/>
      <c r="AV84" s="734"/>
      <c r="AW84" s="734"/>
      <c r="AX84" s="734"/>
      <c r="AY84" s="734"/>
      <c r="AZ84" s="734"/>
      <c r="BA84" s="734"/>
      <c r="BB84" s="734"/>
      <c r="BC84" s="734"/>
      <c r="BD84" s="734"/>
      <c r="BE84" s="734"/>
      <c r="BF84" s="734"/>
      <c r="BG84" s="734"/>
      <c r="BH84" s="734"/>
      <c r="BI84" s="734"/>
      <c r="BJ84" s="734"/>
      <c r="BK84" s="734"/>
    </row>
    <row r="85" spans="1:63" ht="18.75" customHeight="1" x14ac:dyDescent="0.25">
      <c r="A85" s="734"/>
      <c r="B85" s="734"/>
      <c r="C85" s="734"/>
      <c r="D85" s="734"/>
      <c r="E85" s="734"/>
      <c r="F85" s="734"/>
      <c r="G85" s="734"/>
      <c r="H85" s="734"/>
      <c r="I85" s="734"/>
      <c r="J85" s="734"/>
      <c r="K85" s="734"/>
      <c r="L85" s="734"/>
      <c r="M85" s="734"/>
      <c r="N85" s="734"/>
      <c r="O85" s="734"/>
      <c r="P85" s="734"/>
      <c r="Q85" s="734"/>
      <c r="R85" s="734"/>
      <c r="S85" s="734"/>
      <c r="T85" s="734"/>
      <c r="U85" s="734"/>
      <c r="V85" s="734"/>
      <c r="W85" s="734"/>
      <c r="X85" s="734"/>
      <c r="Y85" s="734"/>
      <c r="Z85" s="734"/>
      <c r="AA85" s="734"/>
      <c r="AB85" s="734"/>
      <c r="AC85" s="734"/>
      <c r="AD85" s="734"/>
      <c r="AE85" s="734"/>
      <c r="AF85" s="734"/>
      <c r="AG85" s="734"/>
      <c r="AH85" s="734"/>
      <c r="AI85" s="734"/>
      <c r="AJ85" s="734"/>
      <c r="AK85" s="734"/>
      <c r="AL85" s="734"/>
      <c r="AM85" s="734"/>
      <c r="AN85" s="734"/>
      <c r="AO85" s="734"/>
      <c r="AP85" s="734"/>
      <c r="AQ85" s="734"/>
      <c r="AR85" s="734"/>
      <c r="AS85" s="734"/>
      <c r="AT85" s="734"/>
      <c r="AU85" s="734"/>
      <c r="AV85" s="734"/>
      <c r="AW85" s="734"/>
      <c r="AX85" s="734"/>
      <c r="AY85" s="734"/>
      <c r="AZ85" s="734"/>
      <c r="BA85" s="734"/>
      <c r="BB85" s="734"/>
      <c r="BC85" s="734"/>
      <c r="BD85" s="734"/>
      <c r="BE85" s="734"/>
      <c r="BF85" s="734"/>
      <c r="BG85" s="734"/>
      <c r="BH85" s="734"/>
      <c r="BI85" s="734"/>
      <c r="BJ85" s="734"/>
      <c r="BK85" s="734"/>
    </row>
    <row r="86" spans="1:63" ht="18.75" customHeight="1" x14ac:dyDescent="0.25">
      <c r="A86" s="734"/>
      <c r="B86" s="734"/>
      <c r="C86" s="734"/>
      <c r="D86" s="734"/>
      <c r="E86" s="734"/>
      <c r="F86" s="734"/>
      <c r="G86" s="734"/>
      <c r="H86" s="734"/>
      <c r="I86" s="734"/>
      <c r="J86" s="734"/>
      <c r="K86" s="734"/>
      <c r="L86" s="734"/>
      <c r="M86" s="734"/>
      <c r="N86" s="734"/>
      <c r="O86" s="734"/>
      <c r="P86" s="734"/>
      <c r="Q86" s="734"/>
      <c r="R86" s="734"/>
      <c r="S86" s="734"/>
      <c r="T86" s="734"/>
      <c r="U86" s="734"/>
      <c r="V86" s="734"/>
      <c r="W86" s="734"/>
      <c r="X86" s="734"/>
      <c r="Y86" s="734"/>
      <c r="Z86" s="734"/>
      <c r="AA86" s="734"/>
      <c r="AB86" s="734"/>
      <c r="AC86" s="734"/>
      <c r="AD86" s="734"/>
      <c r="AE86" s="734"/>
      <c r="AF86" s="734"/>
      <c r="AG86" s="734"/>
      <c r="AH86" s="734"/>
      <c r="AI86" s="734"/>
      <c r="AJ86" s="734"/>
      <c r="AK86" s="734"/>
      <c r="AL86" s="734"/>
      <c r="AM86" s="734"/>
      <c r="AN86" s="734"/>
      <c r="AO86" s="734"/>
      <c r="AP86" s="734"/>
      <c r="AQ86" s="734"/>
      <c r="AR86" s="734"/>
      <c r="AS86" s="734"/>
      <c r="AT86" s="734"/>
      <c r="AU86" s="734"/>
      <c r="AV86" s="734"/>
      <c r="AW86" s="734"/>
      <c r="AX86" s="734"/>
      <c r="AY86" s="734"/>
      <c r="AZ86" s="734"/>
      <c r="BA86" s="734"/>
      <c r="BB86" s="734"/>
      <c r="BC86" s="734"/>
      <c r="BD86" s="734"/>
      <c r="BE86" s="734"/>
      <c r="BF86" s="734"/>
      <c r="BG86" s="734"/>
      <c r="BH86" s="734"/>
      <c r="BI86" s="734"/>
      <c r="BJ86" s="734"/>
      <c r="BK86" s="734"/>
    </row>
    <row r="87" spans="1:63" ht="18.75" customHeight="1" x14ac:dyDescent="0.25">
      <c r="A87" s="734"/>
      <c r="B87" s="734"/>
      <c r="C87" s="734"/>
      <c r="D87" s="734"/>
      <c r="E87" s="734"/>
      <c r="F87" s="734"/>
      <c r="G87" s="734"/>
      <c r="H87" s="734"/>
      <c r="I87" s="734"/>
      <c r="J87" s="734"/>
      <c r="K87" s="734"/>
      <c r="L87" s="734"/>
      <c r="M87" s="734"/>
      <c r="N87" s="734"/>
      <c r="O87" s="734"/>
      <c r="P87" s="734"/>
      <c r="Q87" s="734"/>
      <c r="R87" s="734"/>
      <c r="S87" s="734"/>
      <c r="T87" s="734"/>
      <c r="U87" s="734"/>
      <c r="V87" s="734"/>
      <c r="W87" s="734"/>
      <c r="X87" s="734"/>
      <c r="Y87" s="734"/>
      <c r="Z87" s="734"/>
      <c r="AA87" s="734"/>
      <c r="AB87" s="734"/>
      <c r="AC87" s="734"/>
      <c r="AD87" s="734"/>
      <c r="AE87" s="734"/>
      <c r="AF87" s="734"/>
      <c r="AG87" s="734"/>
      <c r="AH87" s="734"/>
      <c r="AI87" s="734"/>
      <c r="AJ87" s="734"/>
      <c r="AK87" s="734"/>
      <c r="AL87" s="734"/>
      <c r="AM87" s="734"/>
      <c r="AN87" s="734"/>
      <c r="AO87" s="734"/>
      <c r="AP87" s="734"/>
      <c r="AQ87" s="734"/>
      <c r="AR87" s="734"/>
      <c r="AS87" s="734"/>
      <c r="AT87" s="734"/>
      <c r="AU87" s="734"/>
      <c r="AV87" s="734"/>
      <c r="AW87" s="734"/>
      <c r="AX87" s="734"/>
      <c r="AY87" s="734"/>
      <c r="AZ87" s="734"/>
      <c r="BA87" s="734"/>
      <c r="BB87" s="734"/>
      <c r="BC87" s="734"/>
      <c r="BD87" s="734"/>
      <c r="BE87" s="734"/>
      <c r="BF87" s="734"/>
      <c r="BG87" s="734"/>
      <c r="BH87" s="734"/>
      <c r="BI87" s="734"/>
      <c r="BJ87" s="734"/>
      <c r="BK87" s="734"/>
    </row>
    <row r="88" spans="1:63" ht="18.75" customHeight="1" x14ac:dyDescent="0.25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  <c r="N88" s="734"/>
      <c r="O88" s="734"/>
      <c r="P88" s="734"/>
      <c r="Q88" s="734"/>
      <c r="R88" s="734"/>
      <c r="S88" s="734"/>
      <c r="T88" s="734"/>
      <c r="U88" s="734"/>
      <c r="V88" s="734"/>
      <c r="W88" s="734"/>
      <c r="X88" s="734"/>
      <c r="Y88" s="734"/>
      <c r="Z88" s="734"/>
      <c r="AA88" s="734"/>
      <c r="AB88" s="734"/>
      <c r="AC88" s="734"/>
      <c r="AD88" s="734"/>
      <c r="AE88" s="734"/>
      <c r="AF88" s="734"/>
      <c r="AG88" s="734"/>
      <c r="AH88" s="734"/>
      <c r="AI88" s="734"/>
      <c r="AJ88" s="734"/>
      <c r="AK88" s="734"/>
      <c r="AL88" s="734"/>
      <c r="AM88" s="734"/>
      <c r="AN88" s="734"/>
      <c r="AO88" s="734"/>
      <c r="AP88" s="734"/>
      <c r="AQ88" s="734"/>
      <c r="AR88" s="734"/>
      <c r="AS88" s="734"/>
      <c r="AT88" s="734"/>
      <c r="AU88" s="734"/>
      <c r="AV88" s="734"/>
      <c r="AW88" s="734"/>
      <c r="AX88" s="734"/>
      <c r="AY88" s="734"/>
      <c r="AZ88" s="734"/>
      <c r="BA88" s="734"/>
      <c r="BB88" s="734"/>
      <c r="BC88" s="734"/>
      <c r="BD88" s="734"/>
      <c r="BE88" s="734"/>
      <c r="BF88" s="734"/>
      <c r="BG88" s="734"/>
      <c r="BH88" s="734"/>
      <c r="BI88" s="734"/>
      <c r="BJ88" s="734"/>
      <c r="BK88" s="734"/>
    </row>
    <row r="89" spans="1:63" ht="18.75" customHeight="1" x14ac:dyDescent="0.25">
      <c r="A89" s="734"/>
      <c r="B89" s="734"/>
      <c r="C89" s="734"/>
      <c r="D89" s="734"/>
      <c r="E89" s="734"/>
      <c r="F89" s="734"/>
      <c r="G89" s="734"/>
      <c r="H89" s="734"/>
      <c r="I89" s="734"/>
      <c r="J89" s="734"/>
      <c r="K89" s="734"/>
      <c r="L89" s="734"/>
      <c r="M89" s="734"/>
      <c r="N89" s="734"/>
      <c r="O89" s="734"/>
      <c r="P89" s="734"/>
      <c r="Q89" s="734"/>
      <c r="R89" s="734"/>
      <c r="S89" s="734"/>
      <c r="T89" s="734"/>
      <c r="U89" s="734"/>
      <c r="V89" s="734"/>
      <c r="W89" s="734"/>
      <c r="X89" s="734"/>
      <c r="Y89" s="734"/>
      <c r="Z89" s="734"/>
      <c r="AA89" s="734"/>
      <c r="AB89" s="734"/>
      <c r="AC89" s="734"/>
      <c r="AD89" s="734"/>
      <c r="AE89" s="734"/>
      <c r="AF89" s="734"/>
      <c r="AG89" s="734"/>
      <c r="AH89" s="734"/>
      <c r="AI89" s="734"/>
      <c r="AJ89" s="734"/>
      <c r="AK89" s="734"/>
      <c r="AL89" s="734"/>
      <c r="AM89" s="734"/>
      <c r="AN89" s="734"/>
      <c r="AO89" s="734"/>
      <c r="AP89" s="734"/>
      <c r="AQ89" s="734"/>
      <c r="AR89" s="734"/>
      <c r="AS89" s="734"/>
      <c r="AT89" s="734"/>
      <c r="AU89" s="734"/>
      <c r="AV89" s="734"/>
      <c r="AW89" s="734"/>
      <c r="AX89" s="734"/>
      <c r="AY89" s="734"/>
      <c r="AZ89" s="734"/>
      <c r="BA89" s="734"/>
      <c r="BB89" s="734"/>
      <c r="BC89" s="734"/>
      <c r="BD89" s="734"/>
      <c r="BE89" s="734"/>
      <c r="BF89" s="734"/>
      <c r="BG89" s="734"/>
      <c r="BH89" s="734"/>
      <c r="BI89" s="734"/>
      <c r="BJ89" s="734"/>
      <c r="BK89" s="734"/>
    </row>
    <row r="90" spans="1:63" ht="18.75" customHeight="1" x14ac:dyDescent="0.25">
      <c r="A90" s="734"/>
      <c r="B90" s="734"/>
      <c r="C90" s="734"/>
      <c r="D90" s="734"/>
      <c r="E90" s="734"/>
      <c r="F90" s="734"/>
      <c r="G90" s="734"/>
      <c r="H90" s="734"/>
      <c r="I90" s="734"/>
      <c r="J90" s="734"/>
      <c r="K90" s="734"/>
      <c r="L90" s="734"/>
      <c r="M90" s="734"/>
      <c r="N90" s="734"/>
      <c r="O90" s="734"/>
      <c r="P90" s="734"/>
      <c r="Q90" s="734"/>
      <c r="R90" s="734"/>
      <c r="S90" s="734"/>
      <c r="T90" s="734"/>
      <c r="U90" s="734"/>
      <c r="V90" s="734"/>
      <c r="W90" s="734"/>
      <c r="X90" s="734"/>
      <c r="Y90" s="734"/>
      <c r="Z90" s="734"/>
      <c r="AA90" s="734"/>
      <c r="AB90" s="734"/>
      <c r="AC90" s="734"/>
      <c r="AD90" s="734"/>
      <c r="AE90" s="734"/>
      <c r="AF90" s="734"/>
      <c r="AG90" s="734"/>
      <c r="AH90" s="734"/>
      <c r="AI90" s="734"/>
      <c r="AJ90" s="734"/>
      <c r="AK90" s="734"/>
      <c r="AL90" s="734"/>
      <c r="AM90" s="734"/>
      <c r="AN90" s="734"/>
      <c r="AO90" s="734"/>
      <c r="AP90" s="734"/>
      <c r="AQ90" s="734"/>
      <c r="AR90" s="734"/>
      <c r="AS90" s="734"/>
      <c r="AT90" s="734"/>
      <c r="AU90" s="734"/>
      <c r="AV90" s="734"/>
      <c r="AW90" s="734"/>
      <c r="AX90" s="734"/>
      <c r="AY90" s="734"/>
      <c r="AZ90" s="734"/>
      <c r="BA90" s="734"/>
      <c r="BB90" s="734"/>
      <c r="BC90" s="734"/>
      <c r="BD90" s="734"/>
      <c r="BE90" s="734"/>
      <c r="BF90" s="734"/>
      <c r="BG90" s="734"/>
      <c r="BH90" s="734"/>
      <c r="BI90" s="734"/>
      <c r="BJ90" s="734"/>
      <c r="BK90" s="734"/>
    </row>
    <row r="91" spans="1:63" ht="18.75" customHeight="1" x14ac:dyDescent="0.25">
      <c r="A91" s="734"/>
      <c r="B91" s="734"/>
      <c r="C91" s="734"/>
      <c r="D91" s="734"/>
      <c r="E91" s="734"/>
      <c r="F91" s="734"/>
      <c r="G91" s="734"/>
      <c r="H91" s="734"/>
      <c r="I91" s="734"/>
      <c r="J91" s="734"/>
      <c r="K91" s="734"/>
      <c r="L91" s="734"/>
      <c r="M91" s="734"/>
      <c r="N91" s="734"/>
      <c r="O91" s="734"/>
      <c r="P91" s="734"/>
      <c r="Q91" s="734"/>
      <c r="R91" s="734"/>
      <c r="S91" s="734"/>
      <c r="T91" s="734"/>
      <c r="U91" s="734"/>
      <c r="V91" s="734"/>
      <c r="W91" s="734"/>
      <c r="X91" s="734"/>
      <c r="Y91" s="734"/>
      <c r="Z91" s="734"/>
      <c r="AA91" s="734"/>
      <c r="AB91" s="734"/>
      <c r="AC91" s="734"/>
      <c r="AD91" s="734"/>
      <c r="AE91" s="734"/>
      <c r="AF91" s="734"/>
      <c r="AG91" s="734"/>
      <c r="AH91" s="734"/>
      <c r="AI91" s="734"/>
      <c r="AJ91" s="734"/>
      <c r="AK91" s="734"/>
      <c r="AL91" s="734"/>
      <c r="AM91" s="734"/>
      <c r="AN91" s="734"/>
      <c r="AO91" s="734"/>
      <c r="AP91" s="734"/>
      <c r="AQ91" s="734"/>
      <c r="AR91" s="734"/>
      <c r="AS91" s="734"/>
      <c r="AT91" s="734"/>
      <c r="AU91" s="734"/>
      <c r="AV91" s="734"/>
      <c r="AW91" s="734"/>
      <c r="AX91" s="734"/>
      <c r="AY91" s="734"/>
      <c r="AZ91" s="734"/>
      <c r="BA91" s="734"/>
      <c r="BB91" s="734"/>
      <c r="BC91" s="734"/>
      <c r="BD91" s="734"/>
      <c r="BE91" s="734"/>
      <c r="BF91" s="734"/>
      <c r="BG91" s="734"/>
      <c r="BH91" s="734"/>
      <c r="BI91" s="734"/>
      <c r="BJ91" s="734"/>
      <c r="BK91" s="734"/>
    </row>
    <row r="92" spans="1:63" ht="18.75" customHeight="1" x14ac:dyDescent="0.25">
      <c r="A92" s="734"/>
      <c r="B92" s="734"/>
      <c r="C92" s="734"/>
      <c r="D92" s="734"/>
      <c r="E92" s="734"/>
      <c r="F92" s="734"/>
      <c r="G92" s="734"/>
      <c r="H92" s="734"/>
      <c r="I92" s="734"/>
      <c r="J92" s="734"/>
      <c r="K92" s="734"/>
      <c r="L92" s="734"/>
      <c r="M92" s="734"/>
      <c r="N92" s="734"/>
      <c r="O92" s="734"/>
      <c r="P92" s="734"/>
      <c r="Q92" s="734"/>
      <c r="R92" s="734"/>
      <c r="S92" s="734"/>
      <c r="T92" s="734"/>
      <c r="U92" s="734"/>
      <c r="V92" s="734"/>
      <c r="W92" s="734"/>
      <c r="X92" s="734"/>
      <c r="Y92" s="734"/>
      <c r="Z92" s="734"/>
      <c r="AA92" s="734"/>
      <c r="AB92" s="734"/>
      <c r="AC92" s="734"/>
      <c r="AD92" s="734"/>
      <c r="AE92" s="734"/>
      <c r="AF92" s="734"/>
      <c r="AG92" s="734"/>
      <c r="AH92" s="734"/>
      <c r="AI92" s="734"/>
      <c r="AJ92" s="734"/>
      <c r="AK92" s="734"/>
      <c r="AL92" s="734"/>
      <c r="AM92" s="734"/>
      <c r="AN92" s="734"/>
      <c r="AO92" s="734"/>
      <c r="AP92" s="734"/>
      <c r="AQ92" s="734"/>
      <c r="AR92" s="734"/>
      <c r="AS92" s="734"/>
      <c r="AT92" s="734"/>
      <c r="AU92" s="734"/>
      <c r="AV92" s="734"/>
      <c r="AW92" s="734"/>
      <c r="AX92" s="734"/>
      <c r="AY92" s="734"/>
      <c r="AZ92" s="734"/>
      <c r="BA92" s="734"/>
      <c r="BB92" s="734"/>
      <c r="BC92" s="734"/>
      <c r="BD92" s="734"/>
      <c r="BE92" s="734"/>
      <c r="BF92" s="734"/>
      <c r="BG92" s="734"/>
      <c r="BH92" s="734"/>
      <c r="BI92" s="734"/>
      <c r="BJ92" s="734"/>
      <c r="BK92" s="734"/>
    </row>
    <row r="93" spans="1:63" ht="18.75" customHeight="1" x14ac:dyDescent="0.25">
      <c r="A93" s="734"/>
      <c r="B93" s="734"/>
      <c r="C93" s="734"/>
      <c r="D93" s="734"/>
      <c r="E93" s="734"/>
      <c r="F93" s="734"/>
      <c r="G93" s="734"/>
      <c r="H93" s="734"/>
      <c r="I93" s="734"/>
      <c r="J93" s="734"/>
      <c r="K93" s="734"/>
      <c r="L93" s="734"/>
      <c r="M93" s="734"/>
      <c r="N93" s="734"/>
      <c r="O93" s="734"/>
      <c r="P93" s="734"/>
      <c r="Q93" s="734"/>
      <c r="R93" s="734"/>
      <c r="S93" s="734"/>
      <c r="T93" s="734"/>
      <c r="U93" s="734"/>
      <c r="V93" s="734"/>
      <c r="W93" s="734"/>
      <c r="X93" s="734"/>
      <c r="Y93" s="734"/>
      <c r="Z93" s="734"/>
      <c r="AA93" s="734"/>
      <c r="AB93" s="734"/>
      <c r="AC93" s="734"/>
      <c r="AD93" s="734"/>
      <c r="AE93" s="734"/>
      <c r="AF93" s="734"/>
      <c r="AG93" s="734"/>
      <c r="AH93" s="734"/>
      <c r="AI93" s="734"/>
      <c r="AJ93" s="734"/>
      <c r="AK93" s="734"/>
      <c r="AL93" s="734"/>
      <c r="AM93" s="734"/>
      <c r="AN93" s="734"/>
      <c r="AO93" s="734"/>
      <c r="AP93" s="734"/>
      <c r="AQ93" s="734"/>
      <c r="AR93" s="734"/>
      <c r="AS93" s="734"/>
      <c r="AT93" s="734"/>
      <c r="AU93" s="734"/>
      <c r="AV93" s="734"/>
      <c r="AW93" s="734"/>
      <c r="AX93" s="734"/>
      <c r="AY93" s="734"/>
      <c r="AZ93" s="734"/>
      <c r="BA93" s="734"/>
      <c r="BB93" s="734"/>
      <c r="BC93" s="734"/>
      <c r="BD93" s="734"/>
      <c r="BE93" s="734"/>
      <c r="BF93" s="734"/>
      <c r="BG93" s="734"/>
      <c r="BH93" s="734"/>
      <c r="BI93" s="734"/>
      <c r="BJ93" s="734"/>
      <c r="BK93" s="734"/>
    </row>
    <row r="94" spans="1:63" ht="18.75" customHeight="1" x14ac:dyDescent="0.25">
      <c r="A94" s="734"/>
      <c r="B94" s="734"/>
      <c r="C94" s="734"/>
      <c r="D94" s="734"/>
      <c r="E94" s="734"/>
      <c r="F94" s="734"/>
      <c r="G94" s="734"/>
      <c r="H94" s="734"/>
      <c r="I94" s="734"/>
      <c r="J94" s="734"/>
      <c r="K94" s="734"/>
      <c r="L94" s="734"/>
      <c r="M94" s="734"/>
      <c r="N94" s="734"/>
      <c r="O94" s="734"/>
      <c r="P94" s="734"/>
      <c r="Q94" s="734"/>
      <c r="R94" s="734"/>
      <c r="S94" s="734"/>
      <c r="T94" s="734"/>
      <c r="U94" s="734"/>
      <c r="V94" s="734"/>
      <c r="W94" s="734"/>
      <c r="X94" s="734"/>
      <c r="Y94" s="734"/>
      <c r="Z94" s="734"/>
      <c r="AA94" s="734"/>
      <c r="AB94" s="734"/>
      <c r="AC94" s="734"/>
      <c r="AD94" s="734"/>
      <c r="AE94" s="734"/>
      <c r="AF94" s="734"/>
      <c r="AG94" s="734"/>
      <c r="AH94" s="734"/>
      <c r="AI94" s="734"/>
      <c r="AJ94" s="734"/>
      <c r="AK94" s="734"/>
      <c r="AL94" s="734"/>
      <c r="AM94" s="734"/>
      <c r="AN94" s="734"/>
      <c r="AO94" s="734"/>
      <c r="AP94" s="734"/>
      <c r="AQ94" s="734"/>
      <c r="AR94" s="734"/>
      <c r="AS94" s="734"/>
      <c r="AT94" s="734"/>
      <c r="AU94" s="734"/>
      <c r="AV94" s="734"/>
      <c r="AW94" s="734"/>
      <c r="AX94" s="734"/>
      <c r="AY94" s="734"/>
      <c r="AZ94" s="734"/>
      <c r="BA94" s="734"/>
      <c r="BB94" s="734"/>
      <c r="BC94" s="734"/>
      <c r="BD94" s="734"/>
      <c r="BE94" s="734"/>
      <c r="BF94" s="734"/>
      <c r="BG94" s="734"/>
      <c r="BH94" s="734"/>
      <c r="BI94" s="734"/>
      <c r="BJ94" s="734"/>
      <c r="BK94" s="734"/>
    </row>
    <row r="95" spans="1:63" ht="18.75" customHeight="1" x14ac:dyDescent="0.25">
      <c r="A95" s="734"/>
      <c r="B95" s="734"/>
      <c r="C95" s="734"/>
      <c r="D95" s="734"/>
      <c r="E95" s="734"/>
      <c r="F95" s="734"/>
      <c r="G95" s="734"/>
      <c r="H95" s="734"/>
      <c r="I95" s="734"/>
      <c r="J95" s="734"/>
      <c r="K95" s="734"/>
      <c r="L95" s="734"/>
      <c r="M95" s="734"/>
      <c r="N95" s="734"/>
      <c r="O95" s="734"/>
      <c r="P95" s="734"/>
      <c r="Q95" s="734"/>
      <c r="R95" s="734"/>
      <c r="S95" s="734"/>
      <c r="T95" s="734"/>
      <c r="U95" s="734"/>
      <c r="V95" s="734"/>
      <c r="W95" s="734"/>
      <c r="X95" s="734"/>
      <c r="Y95" s="734"/>
      <c r="Z95" s="734"/>
      <c r="AA95" s="734"/>
      <c r="AB95" s="734"/>
      <c r="AC95" s="734"/>
      <c r="AD95" s="734"/>
      <c r="AE95" s="734"/>
      <c r="AF95" s="734"/>
      <c r="AG95" s="734"/>
      <c r="AH95" s="734"/>
      <c r="AI95" s="734"/>
      <c r="AJ95" s="734"/>
      <c r="AK95" s="734"/>
      <c r="AL95" s="734"/>
      <c r="AM95" s="734"/>
      <c r="AN95" s="734"/>
      <c r="AO95" s="734"/>
      <c r="AP95" s="734"/>
      <c r="AQ95" s="734"/>
      <c r="AR95" s="734"/>
      <c r="AS95" s="734"/>
      <c r="AT95" s="734"/>
      <c r="AU95" s="734"/>
      <c r="AV95" s="734"/>
      <c r="AW95" s="734"/>
      <c r="AX95" s="734"/>
      <c r="AY95" s="734"/>
      <c r="AZ95" s="734"/>
      <c r="BA95" s="734"/>
      <c r="BB95" s="734"/>
      <c r="BC95" s="734"/>
      <c r="BD95" s="734"/>
      <c r="BE95" s="734"/>
      <c r="BF95" s="734"/>
      <c r="BG95" s="734"/>
      <c r="BH95" s="734"/>
      <c r="BI95" s="734"/>
      <c r="BJ95" s="734"/>
      <c r="BK95" s="734"/>
    </row>
    <row r="96" spans="1:63" ht="18.75" customHeight="1" x14ac:dyDescent="0.25">
      <c r="A96" s="734"/>
      <c r="B96" s="734"/>
      <c r="C96" s="734"/>
      <c r="D96" s="734"/>
      <c r="E96" s="734"/>
      <c r="F96" s="734"/>
      <c r="G96" s="734"/>
      <c r="H96" s="734"/>
      <c r="I96" s="734"/>
      <c r="J96" s="734"/>
      <c r="K96" s="734"/>
      <c r="L96" s="734"/>
      <c r="M96" s="734"/>
      <c r="N96" s="734"/>
      <c r="O96" s="734"/>
      <c r="P96" s="734"/>
      <c r="Q96" s="734"/>
      <c r="R96" s="734"/>
      <c r="S96" s="734"/>
      <c r="T96" s="734"/>
      <c r="U96" s="734"/>
      <c r="V96" s="734"/>
      <c r="W96" s="734"/>
      <c r="X96" s="734"/>
      <c r="Y96" s="734"/>
      <c r="Z96" s="734"/>
      <c r="AA96" s="734"/>
      <c r="AB96" s="734"/>
      <c r="AC96" s="734"/>
      <c r="AD96" s="734"/>
      <c r="AE96" s="734"/>
      <c r="AF96" s="734"/>
      <c r="AG96" s="734"/>
      <c r="AH96" s="734"/>
      <c r="AI96" s="734"/>
      <c r="AJ96" s="734"/>
      <c r="AK96" s="734"/>
      <c r="AL96" s="734"/>
      <c r="AM96" s="734"/>
      <c r="AN96" s="734"/>
      <c r="AO96" s="734"/>
      <c r="AP96" s="734"/>
      <c r="AQ96" s="734"/>
      <c r="AR96" s="734"/>
      <c r="AS96" s="734"/>
      <c r="AT96" s="734"/>
      <c r="AU96" s="734"/>
      <c r="AV96" s="734"/>
      <c r="AW96" s="734"/>
      <c r="AX96" s="734"/>
      <c r="AY96" s="734"/>
      <c r="AZ96" s="734"/>
      <c r="BA96" s="734"/>
      <c r="BB96" s="734"/>
      <c r="BC96" s="734"/>
      <c r="BD96" s="734"/>
      <c r="BE96" s="734"/>
      <c r="BF96" s="734"/>
      <c r="BG96" s="734"/>
      <c r="BH96" s="734"/>
      <c r="BI96" s="734"/>
      <c r="BJ96" s="734"/>
      <c r="BK96" s="734"/>
    </row>
    <row r="97" spans="1:63" ht="18.75" customHeight="1" x14ac:dyDescent="0.25">
      <c r="A97" s="734"/>
      <c r="B97" s="734"/>
      <c r="C97" s="734"/>
      <c r="D97" s="734"/>
      <c r="E97" s="734"/>
      <c r="F97" s="734"/>
      <c r="G97" s="734"/>
      <c r="H97" s="734"/>
      <c r="I97" s="734"/>
      <c r="J97" s="734"/>
      <c r="K97" s="734"/>
      <c r="L97" s="734"/>
      <c r="M97" s="734"/>
      <c r="N97" s="734"/>
      <c r="O97" s="734"/>
      <c r="P97" s="734"/>
      <c r="Q97" s="734"/>
      <c r="R97" s="734"/>
      <c r="S97" s="734"/>
      <c r="T97" s="734"/>
      <c r="U97" s="734"/>
      <c r="V97" s="734"/>
      <c r="W97" s="734"/>
      <c r="X97" s="734"/>
      <c r="Y97" s="734"/>
      <c r="Z97" s="734"/>
      <c r="AA97" s="734"/>
      <c r="AB97" s="734"/>
      <c r="AC97" s="734"/>
      <c r="AD97" s="734"/>
      <c r="AE97" s="734"/>
      <c r="AF97" s="734"/>
      <c r="AG97" s="734"/>
      <c r="AH97" s="734"/>
      <c r="AI97" s="734"/>
      <c r="AJ97" s="734"/>
      <c r="AK97" s="734"/>
      <c r="AL97" s="734"/>
      <c r="AM97" s="734"/>
      <c r="AN97" s="734"/>
      <c r="AO97" s="734"/>
      <c r="AP97" s="734"/>
      <c r="AQ97" s="734"/>
      <c r="AR97" s="734"/>
      <c r="AS97" s="734"/>
      <c r="AT97" s="734"/>
      <c r="AU97" s="734"/>
      <c r="AV97" s="734"/>
      <c r="AW97" s="734"/>
      <c r="AX97" s="734"/>
      <c r="AY97" s="734"/>
      <c r="AZ97" s="734"/>
      <c r="BA97" s="734"/>
      <c r="BB97" s="734"/>
      <c r="BC97" s="734"/>
      <c r="BD97" s="734"/>
      <c r="BE97" s="734"/>
      <c r="BF97" s="734"/>
      <c r="BG97" s="734"/>
      <c r="BH97" s="734"/>
      <c r="BI97" s="734"/>
      <c r="BJ97" s="734"/>
      <c r="BK97" s="734"/>
    </row>
    <row r="98" spans="1:63" ht="18.75" customHeight="1" x14ac:dyDescent="0.25">
      <c r="A98" s="734"/>
      <c r="B98" s="734"/>
      <c r="C98" s="734"/>
      <c r="D98" s="734"/>
      <c r="E98" s="734"/>
      <c r="F98" s="734"/>
      <c r="G98" s="734"/>
      <c r="H98" s="734"/>
      <c r="I98" s="734"/>
      <c r="J98" s="734"/>
      <c r="K98" s="734"/>
      <c r="L98" s="734"/>
      <c r="M98" s="734"/>
      <c r="N98" s="734"/>
      <c r="O98" s="734"/>
      <c r="P98" s="734"/>
      <c r="Q98" s="734"/>
      <c r="R98" s="734"/>
      <c r="S98" s="734"/>
      <c r="T98" s="734"/>
      <c r="U98" s="734"/>
      <c r="V98" s="734"/>
      <c r="W98" s="734"/>
      <c r="X98" s="734"/>
      <c r="Y98" s="734"/>
      <c r="Z98" s="734"/>
      <c r="AA98" s="734"/>
      <c r="AB98" s="734"/>
      <c r="AC98" s="734"/>
      <c r="AD98" s="734"/>
      <c r="AE98" s="734"/>
      <c r="AF98" s="734"/>
      <c r="AG98" s="734"/>
      <c r="AH98" s="734"/>
      <c r="AI98" s="734"/>
      <c r="AJ98" s="734"/>
      <c r="AK98" s="734"/>
      <c r="AL98" s="734"/>
      <c r="AM98" s="734"/>
      <c r="AN98" s="734"/>
      <c r="AO98" s="734"/>
      <c r="AP98" s="734"/>
      <c r="AQ98" s="734"/>
      <c r="AR98" s="734"/>
      <c r="AS98" s="734"/>
      <c r="AT98" s="734"/>
      <c r="AU98" s="734"/>
      <c r="AV98" s="734"/>
      <c r="AW98" s="734"/>
      <c r="AX98" s="734"/>
      <c r="AY98" s="734"/>
      <c r="AZ98" s="734"/>
      <c r="BA98" s="734"/>
      <c r="BB98" s="734"/>
      <c r="BC98" s="734"/>
      <c r="BD98" s="734"/>
      <c r="BE98" s="734"/>
      <c r="BF98" s="734"/>
      <c r="BG98" s="734"/>
      <c r="BH98" s="734"/>
      <c r="BI98" s="734"/>
      <c r="BJ98" s="734"/>
      <c r="BK98" s="734"/>
    </row>
    <row r="99" spans="1:63" ht="18.75" customHeight="1" x14ac:dyDescent="0.25">
      <c r="A99" s="734"/>
      <c r="B99" s="734"/>
      <c r="C99" s="734"/>
      <c r="D99" s="734"/>
      <c r="E99" s="734"/>
      <c r="F99" s="734"/>
      <c r="G99" s="734"/>
      <c r="H99" s="734"/>
      <c r="I99" s="734"/>
      <c r="J99" s="734"/>
      <c r="K99" s="734"/>
      <c r="L99" s="734"/>
      <c r="M99" s="734"/>
      <c r="N99" s="734"/>
      <c r="O99" s="734"/>
      <c r="P99" s="734"/>
      <c r="Q99" s="734"/>
      <c r="R99" s="734"/>
      <c r="S99" s="734"/>
      <c r="T99" s="734"/>
      <c r="U99" s="734"/>
      <c r="V99" s="734"/>
      <c r="W99" s="734"/>
      <c r="X99" s="734"/>
      <c r="Y99" s="734"/>
      <c r="Z99" s="734"/>
      <c r="AA99" s="734"/>
      <c r="AB99" s="734"/>
      <c r="AC99" s="734"/>
      <c r="AD99" s="734"/>
      <c r="AE99" s="734"/>
      <c r="AF99" s="734"/>
      <c r="AG99" s="734"/>
      <c r="AH99" s="734"/>
      <c r="AI99" s="734"/>
      <c r="AJ99" s="734"/>
      <c r="AK99" s="734"/>
      <c r="AL99" s="734"/>
      <c r="AM99" s="734"/>
      <c r="AN99" s="734"/>
      <c r="AO99" s="734"/>
      <c r="AP99" s="734"/>
      <c r="AQ99" s="734"/>
      <c r="AR99" s="734"/>
      <c r="AS99" s="734"/>
      <c r="AT99" s="734"/>
      <c r="AU99" s="734"/>
      <c r="AV99" s="734"/>
      <c r="AW99" s="734"/>
      <c r="AX99" s="734"/>
      <c r="AY99" s="734"/>
      <c r="AZ99" s="734"/>
      <c r="BA99" s="734"/>
      <c r="BB99" s="734"/>
      <c r="BC99" s="734"/>
      <c r="BD99" s="734"/>
      <c r="BE99" s="734"/>
      <c r="BF99" s="734"/>
      <c r="BG99" s="734"/>
      <c r="BH99" s="734"/>
      <c r="BI99" s="734"/>
      <c r="BJ99" s="734"/>
      <c r="BK99" s="734"/>
    </row>
    <row r="100" spans="1:63" ht="18.75" customHeight="1" x14ac:dyDescent="0.25">
      <c r="A100" s="734"/>
      <c r="B100" s="734"/>
      <c r="C100" s="734"/>
      <c r="D100" s="734"/>
      <c r="E100" s="734"/>
      <c r="F100" s="734"/>
      <c r="G100" s="734"/>
      <c r="H100" s="734"/>
      <c r="I100" s="734"/>
      <c r="J100" s="734"/>
      <c r="K100" s="734"/>
      <c r="L100" s="734"/>
      <c r="M100" s="734"/>
      <c r="N100" s="734"/>
      <c r="O100" s="734"/>
      <c r="P100" s="734"/>
      <c r="Q100" s="734"/>
      <c r="R100" s="734"/>
      <c r="S100" s="734"/>
      <c r="T100" s="734"/>
      <c r="U100" s="734"/>
      <c r="V100" s="734"/>
      <c r="W100" s="734"/>
      <c r="X100" s="734"/>
      <c r="Y100" s="734"/>
      <c r="Z100" s="734"/>
      <c r="AA100" s="734"/>
      <c r="AB100" s="734"/>
      <c r="AC100" s="734"/>
      <c r="AD100" s="734"/>
      <c r="AE100" s="734"/>
      <c r="AF100" s="734"/>
      <c r="AG100" s="734"/>
      <c r="AH100" s="734"/>
      <c r="AI100" s="734"/>
      <c r="AJ100" s="734"/>
      <c r="AK100" s="734"/>
      <c r="AL100" s="734"/>
      <c r="AM100" s="734"/>
      <c r="AN100" s="734"/>
      <c r="AO100" s="734"/>
      <c r="AP100" s="734"/>
      <c r="AQ100" s="734"/>
      <c r="AR100" s="734"/>
      <c r="AS100" s="734"/>
      <c r="AT100" s="734"/>
      <c r="AU100" s="734"/>
      <c r="AV100" s="734"/>
      <c r="AW100" s="734"/>
      <c r="AX100" s="734"/>
      <c r="AY100" s="734"/>
      <c r="AZ100" s="734"/>
      <c r="BA100" s="734"/>
      <c r="BB100" s="734"/>
      <c r="BC100" s="734"/>
      <c r="BD100" s="734"/>
      <c r="BE100" s="734"/>
      <c r="BF100" s="734"/>
      <c r="BG100" s="734"/>
      <c r="BH100" s="734"/>
      <c r="BI100" s="734"/>
      <c r="BJ100" s="734"/>
      <c r="BK100" s="734"/>
    </row>
    <row r="101" spans="1:63" ht="18.75" customHeight="1" x14ac:dyDescent="0.25">
      <c r="A101" s="734"/>
      <c r="B101" s="734"/>
      <c r="C101" s="734"/>
      <c r="D101" s="734"/>
      <c r="E101" s="734"/>
      <c r="F101" s="734"/>
      <c r="G101" s="734"/>
      <c r="H101" s="734"/>
      <c r="I101" s="734"/>
      <c r="J101" s="734"/>
      <c r="K101" s="734"/>
      <c r="L101" s="734"/>
      <c r="M101" s="734"/>
      <c r="N101" s="734"/>
      <c r="O101" s="734"/>
      <c r="P101" s="734"/>
      <c r="Q101" s="734"/>
      <c r="R101" s="734"/>
      <c r="S101" s="734"/>
      <c r="T101" s="734"/>
      <c r="U101" s="734"/>
      <c r="V101" s="734"/>
      <c r="W101" s="734"/>
      <c r="X101" s="734"/>
      <c r="Y101" s="734"/>
      <c r="Z101" s="734"/>
      <c r="AA101" s="734"/>
      <c r="AB101" s="734"/>
      <c r="AC101" s="734"/>
      <c r="AD101" s="734"/>
      <c r="AE101" s="734"/>
      <c r="AF101" s="734"/>
      <c r="AG101" s="734"/>
      <c r="AH101" s="734"/>
      <c r="AI101" s="734"/>
      <c r="AJ101" s="734"/>
      <c r="AK101" s="734"/>
      <c r="AL101" s="734"/>
      <c r="AM101" s="734"/>
      <c r="AN101" s="734"/>
      <c r="AO101" s="734"/>
      <c r="AP101" s="734"/>
      <c r="AQ101" s="734"/>
      <c r="AR101" s="734"/>
      <c r="AS101" s="734"/>
      <c r="AT101" s="734"/>
      <c r="AU101" s="734"/>
      <c r="AV101" s="734"/>
      <c r="AW101" s="734"/>
      <c r="AX101" s="734"/>
      <c r="AY101" s="734"/>
      <c r="AZ101" s="734"/>
      <c r="BA101" s="734"/>
      <c r="BB101" s="734"/>
      <c r="BC101" s="734"/>
      <c r="BD101" s="734"/>
      <c r="BE101" s="734"/>
      <c r="BF101" s="734"/>
      <c r="BG101" s="734"/>
      <c r="BH101" s="734"/>
      <c r="BI101" s="734"/>
      <c r="BJ101" s="734"/>
      <c r="BK101" s="734"/>
    </row>
    <row r="102" spans="1:63" ht="18.75" customHeight="1" x14ac:dyDescent="0.25">
      <c r="A102" s="734"/>
      <c r="B102" s="734"/>
      <c r="C102" s="734"/>
      <c r="D102" s="734"/>
      <c r="E102" s="734"/>
      <c r="F102" s="734"/>
      <c r="G102" s="734"/>
      <c r="H102" s="734"/>
      <c r="I102" s="734"/>
      <c r="J102" s="734"/>
      <c r="K102" s="734"/>
      <c r="L102" s="734"/>
      <c r="M102" s="734"/>
      <c r="N102" s="734"/>
      <c r="O102" s="734"/>
      <c r="P102" s="734"/>
      <c r="Q102" s="734"/>
      <c r="R102" s="734"/>
      <c r="S102" s="734"/>
      <c r="T102" s="734"/>
      <c r="U102" s="734"/>
      <c r="V102" s="734"/>
      <c r="W102" s="734"/>
      <c r="X102" s="734"/>
      <c r="Y102" s="734"/>
      <c r="Z102" s="734"/>
      <c r="AA102" s="734"/>
      <c r="AB102" s="734"/>
      <c r="AC102" s="734"/>
      <c r="AD102" s="734"/>
      <c r="AE102" s="734"/>
      <c r="AF102" s="734"/>
      <c r="AG102" s="734"/>
      <c r="AH102" s="734"/>
      <c r="AI102" s="734"/>
      <c r="AJ102" s="734"/>
      <c r="AK102" s="734"/>
      <c r="AL102" s="734"/>
      <c r="AM102" s="734"/>
      <c r="AN102" s="734"/>
      <c r="AO102" s="734"/>
      <c r="AP102" s="734"/>
      <c r="AQ102" s="734"/>
      <c r="AR102" s="734"/>
      <c r="AS102" s="734"/>
      <c r="AT102" s="734"/>
      <c r="AU102" s="734"/>
      <c r="AV102" s="734"/>
      <c r="AW102" s="734"/>
      <c r="AX102" s="734"/>
      <c r="AY102" s="734"/>
      <c r="AZ102" s="734"/>
      <c r="BA102" s="734"/>
      <c r="BB102" s="734"/>
      <c r="BC102" s="734"/>
      <c r="BD102" s="734"/>
      <c r="BE102" s="734"/>
      <c r="BF102" s="734"/>
      <c r="BG102" s="734"/>
      <c r="BH102" s="734"/>
      <c r="BI102" s="734"/>
      <c r="BJ102" s="734"/>
      <c r="BK102" s="734"/>
    </row>
    <row r="103" spans="1:63" ht="18.75" customHeight="1" x14ac:dyDescent="0.25">
      <c r="A103" s="734"/>
      <c r="B103" s="734"/>
      <c r="C103" s="734"/>
      <c r="D103" s="734"/>
      <c r="E103" s="734"/>
      <c r="F103" s="734"/>
      <c r="G103" s="734"/>
      <c r="H103" s="734"/>
      <c r="I103" s="734"/>
      <c r="J103" s="734"/>
      <c r="K103" s="734"/>
      <c r="L103" s="734"/>
      <c r="M103" s="734"/>
      <c r="N103" s="734"/>
      <c r="O103" s="734"/>
      <c r="P103" s="734"/>
      <c r="Q103" s="734"/>
      <c r="R103" s="734"/>
      <c r="S103" s="734"/>
      <c r="T103" s="734"/>
      <c r="U103" s="734"/>
      <c r="V103" s="734"/>
      <c r="W103" s="734"/>
      <c r="X103" s="734"/>
      <c r="Y103" s="734"/>
      <c r="Z103" s="734"/>
      <c r="AA103" s="734"/>
      <c r="AB103" s="734"/>
      <c r="AC103" s="734"/>
      <c r="AD103" s="734"/>
      <c r="AE103" s="734"/>
      <c r="AF103" s="734"/>
      <c r="AG103" s="734"/>
      <c r="AH103" s="734"/>
      <c r="AI103" s="734"/>
      <c r="AJ103" s="734"/>
      <c r="AK103" s="734"/>
      <c r="AL103" s="734"/>
      <c r="AM103" s="734"/>
      <c r="AN103" s="734"/>
      <c r="AO103" s="734"/>
      <c r="AP103" s="734"/>
      <c r="AQ103" s="734"/>
      <c r="AR103" s="734"/>
      <c r="AS103" s="734"/>
      <c r="AT103" s="734"/>
      <c r="AU103" s="734"/>
      <c r="AV103" s="734"/>
      <c r="AW103" s="734"/>
      <c r="AX103" s="734"/>
      <c r="AY103" s="734"/>
      <c r="AZ103" s="734"/>
      <c r="BA103" s="734"/>
      <c r="BB103" s="734"/>
      <c r="BC103" s="734"/>
      <c r="BD103" s="734"/>
      <c r="BE103" s="734"/>
      <c r="BF103" s="734"/>
      <c r="BG103" s="734"/>
      <c r="BH103" s="734"/>
      <c r="BI103" s="734"/>
      <c r="BJ103" s="734"/>
      <c r="BK103" s="734"/>
    </row>
    <row r="104" spans="1:63" ht="18.75" customHeight="1" x14ac:dyDescent="0.25">
      <c r="A104" s="734"/>
      <c r="B104" s="734"/>
      <c r="C104" s="734"/>
      <c r="D104" s="734"/>
      <c r="E104" s="734"/>
      <c r="F104" s="734"/>
      <c r="G104" s="734"/>
      <c r="H104" s="734"/>
      <c r="I104" s="734"/>
      <c r="J104" s="734"/>
      <c r="K104" s="734"/>
      <c r="L104" s="734"/>
      <c r="M104" s="734"/>
      <c r="N104" s="734"/>
      <c r="O104" s="734"/>
      <c r="P104" s="734"/>
      <c r="Q104" s="734"/>
      <c r="R104" s="734"/>
      <c r="S104" s="734"/>
      <c r="T104" s="734"/>
      <c r="U104" s="734"/>
      <c r="V104" s="734"/>
      <c r="W104" s="734"/>
      <c r="X104" s="734"/>
      <c r="Y104" s="734"/>
      <c r="Z104" s="734"/>
      <c r="AA104" s="734"/>
      <c r="AB104" s="734"/>
      <c r="AC104" s="734"/>
      <c r="AD104" s="734"/>
      <c r="AE104" s="734"/>
      <c r="AF104" s="734"/>
      <c r="AG104" s="734"/>
      <c r="AH104" s="734"/>
      <c r="AI104" s="734"/>
      <c r="AJ104" s="734"/>
      <c r="AK104" s="734"/>
      <c r="AL104" s="734"/>
      <c r="AM104" s="734"/>
      <c r="AN104" s="734"/>
      <c r="AO104" s="734"/>
      <c r="AP104" s="734"/>
      <c r="AQ104" s="734"/>
      <c r="AR104" s="734"/>
      <c r="AS104" s="734"/>
      <c r="AT104" s="734"/>
      <c r="AU104" s="734"/>
      <c r="AV104" s="734"/>
      <c r="AW104" s="734"/>
      <c r="AX104" s="734"/>
      <c r="AY104" s="734"/>
      <c r="AZ104" s="734"/>
      <c r="BA104" s="734"/>
      <c r="BB104" s="734"/>
      <c r="BC104" s="734"/>
      <c r="BD104" s="734"/>
      <c r="BE104" s="734"/>
      <c r="BF104" s="734"/>
      <c r="BG104" s="734"/>
      <c r="BH104" s="734"/>
      <c r="BI104" s="734"/>
      <c r="BJ104" s="734"/>
      <c r="BK104" s="734"/>
    </row>
    <row r="105" spans="1:63" ht="18.75" customHeight="1" x14ac:dyDescent="0.25">
      <c r="A105" s="734"/>
      <c r="B105" s="734"/>
      <c r="C105" s="734"/>
      <c r="D105" s="734"/>
      <c r="E105" s="734"/>
      <c r="F105" s="734"/>
      <c r="G105" s="734"/>
      <c r="H105" s="734"/>
      <c r="I105" s="734"/>
      <c r="J105" s="734"/>
      <c r="K105" s="734"/>
      <c r="L105" s="734"/>
      <c r="M105" s="734"/>
      <c r="N105" s="734"/>
      <c r="O105" s="734"/>
      <c r="P105" s="734"/>
      <c r="Q105" s="734"/>
      <c r="R105" s="734"/>
      <c r="S105" s="734"/>
      <c r="T105" s="734"/>
      <c r="U105" s="734"/>
      <c r="V105" s="734"/>
      <c r="W105" s="734"/>
      <c r="X105" s="734"/>
      <c r="Y105" s="734"/>
      <c r="Z105" s="734"/>
      <c r="AA105" s="734"/>
      <c r="AB105" s="734"/>
      <c r="AC105" s="734"/>
      <c r="AD105" s="734"/>
      <c r="AE105" s="734"/>
      <c r="AF105" s="734"/>
      <c r="AG105" s="734"/>
      <c r="AH105" s="734"/>
      <c r="AI105" s="734"/>
      <c r="AJ105" s="734"/>
      <c r="AK105" s="734"/>
      <c r="AL105" s="734"/>
      <c r="AM105" s="734"/>
      <c r="AN105" s="734"/>
      <c r="AO105" s="734"/>
      <c r="AP105" s="734"/>
      <c r="AQ105" s="734"/>
      <c r="AR105" s="734"/>
      <c r="AS105" s="734"/>
      <c r="AT105" s="734"/>
      <c r="AU105" s="734"/>
      <c r="AV105" s="734"/>
      <c r="AW105" s="734"/>
      <c r="AX105" s="734"/>
      <c r="AY105" s="734"/>
      <c r="AZ105" s="734"/>
      <c r="BA105" s="734"/>
      <c r="BB105" s="734"/>
      <c r="BC105" s="734"/>
      <c r="BD105" s="734"/>
      <c r="BE105" s="734"/>
      <c r="BF105" s="734"/>
      <c r="BG105" s="734"/>
      <c r="BH105" s="734"/>
      <c r="BI105" s="734"/>
      <c r="BJ105" s="734"/>
      <c r="BK105" s="734"/>
    </row>
    <row r="106" spans="1:63" ht="18.75" customHeight="1" x14ac:dyDescent="0.25">
      <c r="A106" s="734"/>
      <c r="B106" s="734"/>
      <c r="C106" s="734"/>
      <c r="D106" s="734"/>
      <c r="E106" s="734"/>
      <c r="F106" s="734"/>
      <c r="G106" s="734"/>
      <c r="H106" s="734"/>
      <c r="I106" s="734"/>
      <c r="J106" s="734"/>
      <c r="K106" s="734"/>
      <c r="L106" s="734"/>
      <c r="M106" s="734"/>
      <c r="N106" s="734"/>
      <c r="O106" s="734"/>
      <c r="P106" s="734"/>
      <c r="Q106" s="734"/>
      <c r="R106" s="734"/>
      <c r="S106" s="734"/>
      <c r="T106" s="734"/>
      <c r="U106" s="734"/>
      <c r="V106" s="734"/>
      <c r="W106" s="734"/>
      <c r="X106" s="734"/>
      <c r="Y106" s="734"/>
      <c r="Z106" s="734"/>
      <c r="AA106" s="734"/>
      <c r="AB106" s="734"/>
      <c r="AC106" s="734"/>
      <c r="AD106" s="734"/>
      <c r="AE106" s="734"/>
      <c r="AF106" s="734"/>
      <c r="AG106" s="734"/>
      <c r="AH106" s="734"/>
      <c r="AI106" s="734"/>
      <c r="AJ106" s="734"/>
      <c r="AK106" s="734"/>
      <c r="AL106" s="734"/>
      <c r="AM106" s="734"/>
      <c r="AN106" s="734"/>
      <c r="AO106" s="734"/>
      <c r="AP106" s="734"/>
      <c r="AQ106" s="734"/>
      <c r="AR106" s="734"/>
      <c r="AS106" s="734"/>
      <c r="AT106" s="734"/>
      <c r="AU106" s="734"/>
      <c r="AV106" s="734"/>
      <c r="AW106" s="734"/>
      <c r="AX106" s="734"/>
      <c r="AY106" s="734"/>
      <c r="AZ106" s="734"/>
      <c r="BA106" s="734"/>
      <c r="BB106" s="734"/>
      <c r="BC106" s="734"/>
      <c r="BD106" s="734"/>
      <c r="BE106" s="734"/>
      <c r="BF106" s="734"/>
      <c r="BG106" s="734"/>
      <c r="BH106" s="734"/>
      <c r="BI106" s="734"/>
      <c r="BJ106" s="734"/>
      <c r="BK106" s="734"/>
    </row>
    <row r="107" spans="1:63" ht="18.75" customHeight="1" x14ac:dyDescent="0.25">
      <c r="A107" s="734"/>
      <c r="B107" s="734"/>
      <c r="C107" s="734"/>
      <c r="D107" s="734"/>
      <c r="E107" s="734"/>
      <c r="F107" s="734"/>
      <c r="G107" s="734"/>
      <c r="H107" s="734"/>
      <c r="I107" s="734"/>
      <c r="J107" s="734"/>
      <c r="K107" s="734"/>
      <c r="L107" s="734"/>
      <c r="M107" s="734"/>
      <c r="N107" s="734"/>
      <c r="O107" s="734"/>
      <c r="P107" s="734"/>
      <c r="Q107" s="734"/>
      <c r="R107" s="734"/>
      <c r="S107" s="734"/>
      <c r="T107" s="734"/>
      <c r="U107" s="734"/>
      <c r="V107" s="734"/>
      <c r="W107" s="734"/>
      <c r="X107" s="734"/>
      <c r="Y107" s="734"/>
      <c r="Z107" s="734"/>
      <c r="AA107" s="734"/>
      <c r="AB107" s="734"/>
      <c r="AC107" s="734"/>
      <c r="AD107" s="734"/>
      <c r="AE107" s="734"/>
      <c r="AF107" s="734"/>
      <c r="AG107" s="734"/>
      <c r="AH107" s="734"/>
      <c r="AI107" s="734"/>
      <c r="AJ107" s="734"/>
      <c r="AK107" s="734"/>
      <c r="AL107" s="734"/>
      <c r="AM107" s="734"/>
      <c r="AN107" s="734"/>
      <c r="AO107" s="734"/>
      <c r="AP107" s="734"/>
      <c r="AQ107" s="734"/>
      <c r="AR107" s="734"/>
      <c r="AS107" s="734"/>
      <c r="AT107" s="734"/>
      <c r="AU107" s="734"/>
      <c r="AV107" s="734"/>
      <c r="AW107" s="734"/>
      <c r="AX107" s="734"/>
      <c r="AY107" s="734"/>
      <c r="AZ107" s="734"/>
      <c r="BA107" s="734"/>
      <c r="BB107" s="734"/>
      <c r="BC107" s="734"/>
      <c r="BD107" s="734"/>
      <c r="BE107" s="734"/>
      <c r="BF107" s="734"/>
      <c r="BG107" s="734"/>
      <c r="BH107" s="734"/>
      <c r="BI107" s="734"/>
      <c r="BJ107" s="734"/>
      <c r="BK107" s="734"/>
    </row>
  </sheetData>
  <mergeCells count="54">
    <mergeCell ref="I76:K76"/>
    <mergeCell ref="AC63:AE63"/>
    <mergeCell ref="E67:H67"/>
    <mergeCell ref="U70:AB73"/>
    <mergeCell ref="AC70:AD73"/>
    <mergeCell ref="AF70:AI73"/>
    <mergeCell ref="A75:B75"/>
    <mergeCell ref="A53:B53"/>
    <mergeCell ref="AH53:AH54"/>
    <mergeCell ref="W55:Y55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BB48:BC48"/>
    <mergeCell ref="AB51:AE51"/>
    <mergeCell ref="W44:Z44"/>
    <mergeCell ref="A34:A37"/>
    <mergeCell ref="E34:H34"/>
    <mergeCell ref="L34:L39"/>
    <mergeCell ref="U35:W35"/>
    <mergeCell ref="C37:C38"/>
    <mergeCell ref="D37:D38"/>
    <mergeCell ref="I37:I38"/>
    <mergeCell ref="E26:H26"/>
    <mergeCell ref="AE26:AG26"/>
    <mergeCell ref="B28:D28"/>
    <mergeCell ref="BF30:BI45"/>
    <mergeCell ref="E31:H31"/>
    <mergeCell ref="K32:L32"/>
    <mergeCell ref="X38:X39"/>
    <mergeCell ref="L40:L42"/>
    <mergeCell ref="E41:I41"/>
    <mergeCell ref="Q43:R45"/>
    <mergeCell ref="A44:B44"/>
    <mergeCell ref="C44:C45"/>
    <mergeCell ref="D44:D45"/>
    <mergeCell ref="J44:J45"/>
    <mergeCell ref="K44:K45"/>
    <mergeCell ref="A1:BI1"/>
    <mergeCell ref="P3:R3"/>
    <mergeCell ref="B4:B9"/>
    <mergeCell ref="E6:G6"/>
    <mergeCell ref="N6:Q6"/>
    <mergeCell ref="U10:AU21"/>
    <mergeCell ref="N13:Q13"/>
    <mergeCell ref="O14:P14"/>
    <mergeCell ref="A16:B16"/>
    <mergeCell ref="L18:M18"/>
  </mergeCells>
  <phoneticPr fontId="0" type="noConversion"/>
  <conditionalFormatting sqref="N28">
    <cfRule type="duplicateValues" dxfId="147" priority="2"/>
  </conditionalFormatting>
  <conditionalFormatting sqref="N29">
    <cfRule type="duplicateValues" dxfId="146" priority="1"/>
  </conditionalFormatting>
  <conditionalFormatting sqref="O28">
    <cfRule type="duplicateValues" dxfId="145" priority="3"/>
  </conditionalFormatting>
  <conditionalFormatting sqref="U25">
    <cfRule type="duplicateValues" dxfId="144" priority="20"/>
  </conditionalFormatting>
  <conditionalFormatting sqref="V24">
    <cfRule type="duplicateValues" dxfId="143" priority="22"/>
  </conditionalFormatting>
  <conditionalFormatting sqref="V26">
    <cfRule type="duplicateValues" dxfId="142" priority="21"/>
  </conditionalFormatting>
  <conditionalFormatting sqref="W25">
    <cfRule type="duplicateValues" dxfId="141" priority="23"/>
  </conditionalFormatting>
  <conditionalFormatting sqref="W53">
    <cfRule type="duplicateValues" dxfId="140" priority="8"/>
  </conditionalFormatting>
  <conditionalFormatting sqref="W54">
    <cfRule type="duplicateValues" dxfId="139" priority="13"/>
  </conditionalFormatting>
  <conditionalFormatting sqref="X53">
    <cfRule type="duplicateValues" dxfId="138" priority="9"/>
  </conditionalFormatting>
  <conditionalFormatting sqref="X54">
    <cfRule type="duplicateValues" dxfId="137" priority="12"/>
  </conditionalFormatting>
  <conditionalFormatting sqref="Y53">
    <cfRule type="duplicateValues" dxfId="136" priority="10"/>
  </conditionalFormatting>
  <conditionalFormatting sqref="Y54">
    <cfRule type="duplicateValues" dxfId="135" priority="11"/>
  </conditionalFormatting>
  <conditionalFormatting sqref="AB30">
    <cfRule type="duplicateValues" dxfId="134" priority="19"/>
  </conditionalFormatting>
  <conditionalFormatting sqref="AB31">
    <cfRule type="duplicateValues" dxfId="133" priority="18"/>
  </conditionalFormatting>
  <conditionalFormatting sqref="AC30">
    <cfRule type="duplicateValues" dxfId="132" priority="17"/>
  </conditionalFormatting>
  <conditionalFormatting sqref="AC31">
    <cfRule type="duplicateValues" dxfId="131" priority="16"/>
  </conditionalFormatting>
  <conditionalFormatting sqref="AD30">
    <cfRule type="duplicateValues" dxfId="130" priority="15"/>
  </conditionalFormatting>
  <conditionalFormatting sqref="AD31">
    <cfRule type="duplicateValues" dxfId="129" priority="14"/>
  </conditionalFormatting>
  <conditionalFormatting sqref="AN31">
    <cfRule type="duplicateValues" dxfId="128" priority="5"/>
  </conditionalFormatting>
  <conditionalFormatting sqref="AO30">
    <cfRule type="duplicateValues" dxfId="127" priority="6"/>
  </conditionalFormatting>
  <conditionalFormatting sqref="AO32">
    <cfRule type="duplicateValues" dxfId="126" priority="7"/>
  </conditionalFormatting>
  <conditionalFormatting sqref="AP31">
    <cfRule type="duplicateValues" dxfId="125" priority="4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K522"/>
  <sheetViews>
    <sheetView topLeftCell="A88" zoomScale="40" zoomScaleNormal="40" workbookViewId="0">
      <selection activeCell="O117" sqref="O117"/>
    </sheetView>
  </sheetViews>
  <sheetFormatPr baseColWidth="10" defaultColWidth="16.7109375" defaultRowHeight="18.75" customHeight="1" x14ac:dyDescent="0.25"/>
  <cols>
    <col min="1" max="16384" width="16.7109375" style="3"/>
  </cols>
  <sheetData>
    <row r="1" spans="1:63" ht="18.75" customHeight="1" thickBot="1" x14ac:dyDescent="0.3">
      <c r="A1" s="543" t="s">
        <v>160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5"/>
      <c r="BJ1" s="2"/>
      <c r="BK1" s="2"/>
    </row>
    <row r="2" spans="1:63" ht="18.75" customHeigh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2"/>
      <c r="BD2" s="2"/>
      <c r="BE2" s="2"/>
      <c r="BF2" s="2"/>
      <c r="BG2" s="2"/>
      <c r="BH2" s="2"/>
      <c r="BI2" s="2"/>
      <c r="BJ2" s="2"/>
      <c r="BK2" s="2"/>
    </row>
    <row r="3" spans="1:63" ht="18.75" customHeight="1" thickBot="1" x14ac:dyDescent="0.3">
      <c r="A3" s="6" t="s">
        <v>161</v>
      </c>
      <c r="B3" s="7"/>
      <c r="C3" s="8"/>
      <c r="D3" s="8"/>
      <c r="E3" s="8"/>
      <c r="F3" s="8"/>
      <c r="G3" s="8"/>
      <c r="H3" s="8"/>
      <c r="I3" s="8"/>
      <c r="J3" s="8"/>
      <c r="K3" s="8"/>
      <c r="L3" s="9"/>
      <c r="M3" s="10"/>
      <c r="N3" s="11"/>
      <c r="O3" s="12" t="s">
        <v>162</v>
      </c>
      <c r="P3" s="546" t="s">
        <v>163</v>
      </c>
      <c r="Q3" s="546"/>
      <c r="R3" s="546"/>
      <c r="S3" s="14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2"/>
      <c r="BK3" s="2"/>
    </row>
    <row r="4" spans="1:63" ht="18.75" customHeight="1" x14ac:dyDescent="0.25">
      <c r="A4" s="15" t="s">
        <v>164</v>
      </c>
      <c r="B4" s="547" t="s">
        <v>165</v>
      </c>
      <c r="C4" s="16" t="s">
        <v>166</v>
      </c>
      <c r="D4" s="17" t="s">
        <v>167</v>
      </c>
      <c r="E4" s="17" t="s">
        <v>167</v>
      </c>
      <c r="F4" s="17" t="s">
        <v>167</v>
      </c>
      <c r="G4" s="17" t="s">
        <v>167</v>
      </c>
      <c r="H4" s="17" t="s">
        <v>167</v>
      </c>
      <c r="I4" s="17" t="s">
        <v>167</v>
      </c>
      <c r="J4" s="17" t="s">
        <v>167</v>
      </c>
      <c r="K4" s="17" t="s">
        <v>167</v>
      </c>
      <c r="L4" s="18"/>
      <c r="M4" s="19"/>
      <c r="N4" s="20"/>
      <c r="O4" s="21"/>
      <c r="P4" s="22" t="s">
        <v>67</v>
      </c>
      <c r="Q4" s="22" t="s">
        <v>67</v>
      </c>
      <c r="R4" s="22" t="s">
        <v>67</v>
      </c>
      <c r="S4" s="22" t="s">
        <v>67</v>
      </c>
      <c r="T4" s="23"/>
      <c r="U4" s="2"/>
      <c r="V4" s="18"/>
      <c r="W4" s="24"/>
      <c r="X4" s="24"/>
      <c r="Y4" s="24"/>
      <c r="Z4" s="24"/>
      <c r="AA4" s="2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5"/>
      <c r="BK4" s="2"/>
    </row>
    <row r="5" spans="1:63" ht="18.75" customHeight="1" x14ac:dyDescent="0.25">
      <c r="A5" s="15" t="s">
        <v>164</v>
      </c>
      <c r="B5" s="548"/>
      <c r="C5" s="26"/>
      <c r="D5" s="19"/>
      <c r="E5" s="19"/>
      <c r="F5" s="19"/>
      <c r="G5" s="19"/>
      <c r="H5" s="19"/>
      <c r="I5" s="19"/>
      <c r="J5" s="19"/>
      <c r="K5" s="19"/>
      <c r="L5" s="19"/>
      <c r="M5" s="27"/>
      <c r="N5" s="2"/>
      <c r="O5" s="28" t="s">
        <v>168</v>
      </c>
      <c r="P5" s="29" t="s">
        <v>169</v>
      </c>
      <c r="Q5" s="29" t="s">
        <v>169</v>
      </c>
      <c r="R5" s="29" t="s">
        <v>169</v>
      </c>
      <c r="S5" s="29" t="s">
        <v>169</v>
      </c>
      <c r="T5" s="30" t="s">
        <v>170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5"/>
      <c r="BK5" s="2"/>
    </row>
    <row r="6" spans="1:63" ht="18.75" customHeight="1" x14ac:dyDescent="0.25">
      <c r="A6" s="15" t="s">
        <v>164</v>
      </c>
      <c r="B6" s="548"/>
      <c r="C6" s="19"/>
      <c r="D6" s="31"/>
      <c r="E6" s="541" t="s">
        <v>171</v>
      </c>
      <c r="F6" s="541"/>
      <c r="G6" s="541"/>
      <c r="H6" s="31"/>
      <c r="I6" s="19"/>
      <c r="J6" s="19"/>
      <c r="K6" s="19"/>
      <c r="L6" s="19"/>
      <c r="M6" s="27"/>
      <c r="N6" s="539" t="s">
        <v>172</v>
      </c>
      <c r="O6" s="539"/>
      <c r="P6" s="539"/>
      <c r="Q6" s="539"/>
      <c r="R6" s="32">
        <v>3</v>
      </c>
      <c r="S6" s="32">
        <v>4</v>
      </c>
      <c r="T6" s="3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5"/>
      <c r="BK6" s="2"/>
    </row>
    <row r="7" spans="1:63" ht="18.75" customHeight="1" x14ac:dyDescent="0.25">
      <c r="A7" s="15" t="s">
        <v>164</v>
      </c>
      <c r="B7" s="548"/>
      <c r="C7" s="19"/>
      <c r="D7" s="34"/>
      <c r="E7" s="35">
        <v>1</v>
      </c>
      <c r="F7" s="35">
        <v>2</v>
      </c>
      <c r="G7" s="35">
        <v>3</v>
      </c>
      <c r="H7" s="36"/>
      <c r="I7" s="27"/>
      <c r="J7" s="27"/>
      <c r="K7" s="27"/>
      <c r="L7" s="27"/>
      <c r="M7" s="27"/>
      <c r="N7" s="37">
        <v>1</v>
      </c>
      <c r="O7" s="37">
        <v>2</v>
      </c>
      <c r="P7" s="37">
        <v>3</v>
      </c>
      <c r="Q7" s="37">
        <v>4</v>
      </c>
      <c r="R7" s="38">
        <v>1</v>
      </c>
      <c r="S7" s="39" t="s">
        <v>173</v>
      </c>
      <c r="T7" s="40" t="s">
        <v>174</v>
      </c>
      <c r="U7" s="41" t="s">
        <v>175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5"/>
      <c r="BK7" s="2"/>
    </row>
    <row r="8" spans="1:63" ht="18.75" customHeight="1" x14ac:dyDescent="0.25">
      <c r="A8" s="15" t="s">
        <v>164</v>
      </c>
      <c r="B8" s="548"/>
      <c r="C8" s="19"/>
      <c r="D8" s="42" t="s">
        <v>168</v>
      </c>
      <c r="E8" s="43" t="s">
        <v>176</v>
      </c>
      <c r="F8" s="43" t="s">
        <v>176</v>
      </c>
      <c r="G8" s="43" t="s">
        <v>176</v>
      </c>
      <c r="H8" s="44"/>
      <c r="I8" s="19"/>
      <c r="J8" s="19"/>
      <c r="K8" s="19"/>
      <c r="L8" s="19"/>
      <c r="M8" s="45" t="s">
        <v>170</v>
      </c>
      <c r="N8" s="46" t="s">
        <v>176</v>
      </c>
      <c r="O8" s="46" t="s">
        <v>176</v>
      </c>
      <c r="P8" s="46" t="s">
        <v>176</v>
      </c>
      <c r="Q8" s="46" t="s">
        <v>176</v>
      </c>
      <c r="R8" s="38">
        <v>2</v>
      </c>
      <c r="S8" s="39" t="s">
        <v>173</v>
      </c>
      <c r="T8" s="47" t="s">
        <v>174</v>
      </c>
      <c r="U8" s="2"/>
      <c r="V8" s="2"/>
      <c r="W8" s="2"/>
      <c r="X8" s="2"/>
      <c r="Y8" s="2"/>
      <c r="Z8" s="2"/>
      <c r="AA8" s="2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5"/>
      <c r="BK8" s="2"/>
    </row>
    <row r="9" spans="1:63" ht="18.75" customHeight="1" thickBot="1" x14ac:dyDescent="0.3">
      <c r="A9" s="15" t="s">
        <v>164</v>
      </c>
      <c r="B9" s="548"/>
      <c r="C9" s="19"/>
      <c r="D9" s="43"/>
      <c r="E9" s="48" t="s">
        <v>4</v>
      </c>
      <c r="F9" s="49" t="s">
        <v>2</v>
      </c>
      <c r="G9" s="49" t="s">
        <v>2</v>
      </c>
      <c r="H9" s="43"/>
      <c r="I9" s="19"/>
      <c r="J9" s="50" t="s">
        <v>177</v>
      </c>
      <c r="K9" s="50" t="s">
        <v>177</v>
      </c>
      <c r="L9" s="50" t="s">
        <v>177</v>
      </c>
      <c r="M9" s="51"/>
      <c r="N9" s="52" t="s">
        <v>133</v>
      </c>
      <c r="O9" s="52" t="s">
        <v>133</v>
      </c>
      <c r="P9" s="52" t="s">
        <v>133</v>
      </c>
      <c r="Q9" s="52" t="s">
        <v>133</v>
      </c>
      <c r="R9" s="51"/>
      <c r="S9" s="39" t="s">
        <v>173</v>
      </c>
      <c r="T9" s="47" t="s">
        <v>174</v>
      </c>
      <c r="U9" s="2"/>
      <c r="V9" s="2"/>
      <c r="W9" s="2"/>
      <c r="X9" s="2"/>
      <c r="Y9" s="2"/>
      <c r="Z9" s="2"/>
      <c r="AA9" s="2"/>
      <c r="AB9" s="24"/>
      <c r="AC9" s="24"/>
      <c r="AD9" s="24"/>
      <c r="AE9" s="24"/>
      <c r="AF9" s="53"/>
      <c r="AG9" s="53"/>
      <c r="AH9" s="24"/>
      <c r="AI9" s="24"/>
      <c r="AJ9" s="24"/>
      <c r="AK9" s="24"/>
      <c r="AL9" s="24"/>
      <c r="AM9" s="24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5"/>
      <c r="BK9" s="2"/>
    </row>
    <row r="10" spans="1:63" ht="18.75" customHeight="1" x14ac:dyDescent="0.25">
      <c r="A10" s="54" t="s">
        <v>178</v>
      </c>
      <c r="B10" s="19"/>
      <c r="C10" s="19"/>
      <c r="D10" s="43"/>
      <c r="E10" s="48" t="s">
        <v>4</v>
      </c>
      <c r="F10" s="49" t="s">
        <v>2</v>
      </c>
      <c r="G10" s="48" t="s">
        <v>4</v>
      </c>
      <c r="H10" s="43"/>
      <c r="I10" s="19"/>
      <c r="J10" s="50" t="s">
        <v>177</v>
      </c>
      <c r="K10" s="50" t="s">
        <v>177</v>
      </c>
      <c r="L10" s="50" t="s">
        <v>177</v>
      </c>
      <c r="M10" s="51"/>
      <c r="N10" s="55" t="s">
        <v>159</v>
      </c>
      <c r="O10" s="55" t="s">
        <v>159</v>
      </c>
      <c r="P10" s="55" t="s">
        <v>159</v>
      </c>
      <c r="Q10" s="55" t="s">
        <v>159</v>
      </c>
      <c r="R10" s="51"/>
      <c r="S10" s="39" t="s">
        <v>173</v>
      </c>
      <c r="T10" s="47" t="s">
        <v>174</v>
      </c>
      <c r="U10" s="530" t="s">
        <v>179</v>
      </c>
      <c r="V10" s="531"/>
      <c r="W10" s="531"/>
      <c r="X10" s="531"/>
      <c r="Y10" s="531"/>
      <c r="Z10" s="531"/>
      <c r="AA10" s="531"/>
      <c r="AB10" s="531"/>
      <c r="AC10" s="531"/>
      <c r="AD10" s="531"/>
      <c r="AE10" s="531"/>
      <c r="AF10" s="531"/>
      <c r="AG10" s="531"/>
      <c r="AH10" s="531"/>
      <c r="AI10" s="531"/>
      <c r="AJ10" s="531"/>
      <c r="AK10" s="531"/>
      <c r="AL10" s="531"/>
      <c r="AM10" s="531"/>
      <c r="AN10" s="531"/>
      <c r="AO10" s="531"/>
      <c r="AP10" s="531"/>
      <c r="AQ10" s="531"/>
      <c r="AR10" s="531"/>
      <c r="AS10" s="531"/>
      <c r="AT10" s="531"/>
      <c r="AU10" s="53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5"/>
      <c r="BK10" s="2"/>
    </row>
    <row r="11" spans="1:63" ht="18.75" customHeight="1" x14ac:dyDescent="0.25">
      <c r="A11" s="54" t="s">
        <v>178</v>
      </c>
      <c r="B11" s="19" t="s">
        <v>180</v>
      </c>
      <c r="C11" s="19"/>
      <c r="D11" s="56" t="s">
        <v>181</v>
      </c>
      <c r="E11" s="43" t="s">
        <v>176</v>
      </c>
      <c r="F11" s="43" t="s">
        <v>176</v>
      </c>
      <c r="G11" s="43" t="s">
        <v>176</v>
      </c>
      <c r="H11" s="57"/>
      <c r="I11" s="19"/>
      <c r="J11" s="41" t="s">
        <v>182</v>
      </c>
      <c r="K11" s="19"/>
      <c r="L11" s="19"/>
      <c r="M11" s="41" t="s">
        <v>183</v>
      </c>
      <c r="N11" s="46" t="s">
        <v>176</v>
      </c>
      <c r="O11" s="46" t="s">
        <v>176</v>
      </c>
      <c r="P11" s="46" t="s">
        <v>176</v>
      </c>
      <c r="Q11" s="46" t="s">
        <v>176</v>
      </c>
      <c r="R11" s="38">
        <v>5</v>
      </c>
      <c r="S11" s="39" t="s">
        <v>173</v>
      </c>
      <c r="T11" s="47" t="s">
        <v>174</v>
      </c>
      <c r="U11" s="533"/>
      <c r="V11" s="534"/>
      <c r="W11" s="534"/>
      <c r="X11" s="534"/>
      <c r="Y11" s="534"/>
      <c r="Z11" s="534"/>
      <c r="AA11" s="534"/>
      <c r="AB11" s="534"/>
      <c r="AC11" s="534"/>
      <c r="AD11" s="534"/>
      <c r="AE11" s="534"/>
      <c r="AF11" s="534"/>
      <c r="AG11" s="534"/>
      <c r="AH11" s="534"/>
      <c r="AI11" s="534"/>
      <c r="AJ11" s="534"/>
      <c r="AK11" s="534"/>
      <c r="AL11" s="534"/>
      <c r="AM11" s="534"/>
      <c r="AN11" s="534"/>
      <c r="AO11" s="534"/>
      <c r="AP11" s="534"/>
      <c r="AQ11" s="534"/>
      <c r="AR11" s="534"/>
      <c r="AS11" s="534"/>
      <c r="AT11" s="534"/>
      <c r="AU11" s="535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5"/>
      <c r="BK11" s="2"/>
    </row>
    <row r="12" spans="1:63" ht="18.75" customHeight="1" x14ac:dyDescent="0.25">
      <c r="A12" s="54" t="s">
        <v>178</v>
      </c>
      <c r="B12" s="19"/>
      <c r="C12" s="19"/>
      <c r="D12" s="44"/>
      <c r="E12" s="35">
        <v>6</v>
      </c>
      <c r="F12" s="35">
        <v>5</v>
      </c>
      <c r="G12" s="35">
        <v>4</v>
      </c>
      <c r="H12" s="36"/>
      <c r="I12" s="19"/>
      <c r="J12" s="19"/>
      <c r="K12" s="19"/>
      <c r="L12" s="19"/>
      <c r="M12" s="19"/>
      <c r="N12" s="37">
        <v>8</v>
      </c>
      <c r="O12" s="37">
        <v>7</v>
      </c>
      <c r="P12" s="37">
        <v>6</v>
      </c>
      <c r="Q12" s="37">
        <v>5</v>
      </c>
      <c r="R12" s="38">
        <v>6</v>
      </c>
      <c r="S12" s="39"/>
      <c r="T12" s="47" t="s">
        <v>174</v>
      </c>
      <c r="U12" s="533"/>
      <c r="V12" s="534"/>
      <c r="W12" s="534"/>
      <c r="X12" s="534"/>
      <c r="Y12" s="534"/>
      <c r="Z12" s="534"/>
      <c r="AA12" s="534"/>
      <c r="AB12" s="534"/>
      <c r="AC12" s="534"/>
      <c r="AD12" s="534"/>
      <c r="AE12" s="534"/>
      <c r="AF12" s="534"/>
      <c r="AG12" s="534"/>
      <c r="AH12" s="534"/>
      <c r="AI12" s="534"/>
      <c r="AJ12" s="534"/>
      <c r="AK12" s="534"/>
      <c r="AL12" s="534"/>
      <c r="AM12" s="534"/>
      <c r="AN12" s="534"/>
      <c r="AO12" s="534"/>
      <c r="AP12" s="534"/>
      <c r="AQ12" s="534"/>
      <c r="AR12" s="534"/>
      <c r="AS12" s="534"/>
      <c r="AT12" s="534"/>
      <c r="AU12" s="535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5"/>
      <c r="BK12" s="2"/>
    </row>
    <row r="13" spans="1:63" ht="18.75" customHeight="1" x14ac:dyDescent="0.25">
      <c r="A13" s="54" t="s">
        <v>178</v>
      </c>
      <c r="B13" s="41" t="s">
        <v>184</v>
      </c>
      <c r="C13" s="19"/>
      <c r="D13" s="2"/>
      <c r="H13" s="60"/>
      <c r="I13" s="19"/>
      <c r="J13" s="19"/>
      <c r="K13" s="19"/>
      <c r="L13" s="19"/>
      <c r="M13" s="19"/>
      <c r="N13" s="539" t="s">
        <v>185</v>
      </c>
      <c r="O13" s="539"/>
      <c r="P13" s="539"/>
      <c r="Q13" s="539"/>
      <c r="R13" s="38">
        <v>7</v>
      </c>
      <c r="S13" s="39" t="s">
        <v>173</v>
      </c>
      <c r="T13" s="47" t="s">
        <v>174</v>
      </c>
      <c r="U13" s="533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34"/>
      <c r="AJ13" s="534"/>
      <c r="AK13" s="534"/>
      <c r="AL13" s="534"/>
      <c r="AM13" s="534"/>
      <c r="AN13" s="534"/>
      <c r="AO13" s="534"/>
      <c r="AP13" s="534"/>
      <c r="AQ13" s="534"/>
      <c r="AR13" s="534"/>
      <c r="AS13" s="534"/>
      <c r="AT13" s="534"/>
      <c r="AU13" s="535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5"/>
      <c r="BK13" s="2"/>
    </row>
    <row r="14" spans="1:63" ht="18.75" customHeight="1" x14ac:dyDescent="0.25">
      <c r="A14" s="61"/>
      <c r="B14" s="19"/>
      <c r="C14" s="2"/>
      <c r="D14" s="62"/>
      <c r="E14" s="63" t="s">
        <v>186</v>
      </c>
      <c r="F14" s="62"/>
      <c r="G14" s="63" t="s">
        <v>187</v>
      </c>
      <c r="H14" s="19"/>
      <c r="I14" s="19"/>
      <c r="J14" s="19"/>
      <c r="K14" s="64" t="s">
        <v>188</v>
      </c>
      <c r="L14" s="64" t="s">
        <v>188</v>
      </c>
      <c r="M14" s="65"/>
      <c r="N14" s="19"/>
      <c r="O14" s="540" t="s">
        <v>189</v>
      </c>
      <c r="P14" s="540"/>
      <c r="Q14" s="19"/>
      <c r="R14" s="38">
        <v>8</v>
      </c>
      <c r="S14" s="39" t="s">
        <v>173</v>
      </c>
      <c r="T14" s="47" t="s">
        <v>174</v>
      </c>
      <c r="U14" s="533"/>
      <c r="V14" s="534"/>
      <c r="W14" s="534"/>
      <c r="X14" s="534"/>
      <c r="Y14" s="534"/>
      <c r="Z14" s="534"/>
      <c r="AA14" s="534"/>
      <c r="AB14" s="534"/>
      <c r="AC14" s="534"/>
      <c r="AD14" s="534"/>
      <c r="AE14" s="534"/>
      <c r="AF14" s="534"/>
      <c r="AG14" s="534"/>
      <c r="AH14" s="534"/>
      <c r="AI14" s="534"/>
      <c r="AJ14" s="534"/>
      <c r="AK14" s="534"/>
      <c r="AL14" s="534"/>
      <c r="AM14" s="534"/>
      <c r="AN14" s="534"/>
      <c r="AO14" s="534"/>
      <c r="AP14" s="534"/>
      <c r="AQ14" s="534"/>
      <c r="AR14" s="534"/>
      <c r="AS14" s="534"/>
      <c r="AT14" s="534"/>
      <c r="AU14" s="535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5"/>
      <c r="BK14" s="2"/>
    </row>
    <row r="15" spans="1:63" ht="18.75" customHeight="1" x14ac:dyDescent="0.25">
      <c r="A15" s="41" t="s">
        <v>190</v>
      </c>
      <c r="C15" s="41"/>
      <c r="D15" s="19"/>
      <c r="E15" s="54" t="s">
        <v>178</v>
      </c>
      <c r="F15" s="54" t="s">
        <v>178</v>
      </c>
      <c r="G15" s="66" t="s">
        <v>178</v>
      </c>
      <c r="H15" s="19"/>
      <c r="I15" s="19"/>
      <c r="J15" s="19"/>
      <c r="K15" s="64" t="s">
        <v>188</v>
      </c>
      <c r="L15" s="64" t="s">
        <v>188</v>
      </c>
      <c r="M15" s="65"/>
      <c r="N15" s="54" t="s">
        <v>191</v>
      </c>
      <c r="O15" s="54" t="s">
        <v>191</v>
      </c>
      <c r="P15" s="54" t="s">
        <v>191</v>
      </c>
      <c r="Q15" s="54" t="s">
        <v>191</v>
      </c>
      <c r="R15" s="38">
        <v>9</v>
      </c>
      <c r="S15" s="39" t="s">
        <v>173</v>
      </c>
      <c r="T15" s="47" t="s">
        <v>174</v>
      </c>
      <c r="U15" s="533"/>
      <c r="V15" s="534"/>
      <c r="W15" s="534"/>
      <c r="X15" s="534"/>
      <c r="Y15" s="534"/>
      <c r="Z15" s="534"/>
      <c r="AA15" s="534"/>
      <c r="AB15" s="534"/>
      <c r="AC15" s="534"/>
      <c r="AD15" s="534"/>
      <c r="AE15" s="534"/>
      <c r="AF15" s="534"/>
      <c r="AG15" s="534"/>
      <c r="AH15" s="534"/>
      <c r="AI15" s="534"/>
      <c r="AJ15" s="534"/>
      <c r="AK15" s="534"/>
      <c r="AL15" s="534"/>
      <c r="AM15" s="534"/>
      <c r="AN15" s="534"/>
      <c r="AO15" s="534"/>
      <c r="AP15" s="534"/>
      <c r="AQ15" s="534"/>
      <c r="AR15" s="534"/>
      <c r="AS15" s="534"/>
      <c r="AT15" s="534"/>
      <c r="AU15" s="535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5"/>
      <c r="BK15" s="2"/>
    </row>
    <row r="16" spans="1:63" ht="18.75" customHeight="1" x14ac:dyDescent="0.25">
      <c r="A16" s="541" t="s">
        <v>192</v>
      </c>
      <c r="B16" s="541"/>
      <c r="C16" s="31"/>
      <c r="D16" s="56" t="s">
        <v>193</v>
      </c>
      <c r="E16" s="54" t="s">
        <v>178</v>
      </c>
      <c r="F16" s="54" t="s">
        <v>178</v>
      </c>
      <c r="G16" s="66" t="s">
        <v>178</v>
      </c>
      <c r="H16" s="19"/>
      <c r="I16" s="19"/>
      <c r="J16" s="19"/>
      <c r="K16" s="64" t="s">
        <v>188</v>
      </c>
      <c r="L16" s="64" t="s">
        <v>188</v>
      </c>
      <c r="M16" s="18"/>
      <c r="N16" s="54" t="s">
        <v>191</v>
      </c>
      <c r="O16" s="54" t="s">
        <v>191</v>
      </c>
      <c r="P16" s="54" t="s">
        <v>191</v>
      </c>
      <c r="Q16" s="54" t="s">
        <v>191</v>
      </c>
      <c r="R16" s="38">
        <v>10</v>
      </c>
      <c r="S16" s="39" t="s">
        <v>173</v>
      </c>
      <c r="T16" s="47" t="s">
        <v>174</v>
      </c>
      <c r="U16" s="533"/>
      <c r="V16" s="534"/>
      <c r="W16" s="534"/>
      <c r="X16" s="534"/>
      <c r="Y16" s="534"/>
      <c r="Z16" s="534"/>
      <c r="AA16" s="534"/>
      <c r="AB16" s="534"/>
      <c r="AC16" s="534"/>
      <c r="AD16" s="534"/>
      <c r="AE16" s="534"/>
      <c r="AF16" s="534"/>
      <c r="AG16" s="534"/>
      <c r="AH16" s="534"/>
      <c r="AI16" s="534"/>
      <c r="AJ16" s="534"/>
      <c r="AK16" s="534"/>
      <c r="AL16" s="534"/>
      <c r="AM16" s="534"/>
      <c r="AN16" s="534"/>
      <c r="AO16" s="534"/>
      <c r="AP16" s="534"/>
      <c r="AQ16" s="534"/>
      <c r="AR16" s="534"/>
      <c r="AS16" s="534"/>
      <c r="AT16" s="534"/>
      <c r="AU16" s="535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5"/>
      <c r="BK16" s="2"/>
    </row>
    <row r="17" spans="1:63" ht="18.75" customHeight="1" x14ac:dyDescent="0.25">
      <c r="A17" s="43"/>
      <c r="B17" s="42" t="s">
        <v>194</v>
      </c>
      <c r="C17" s="31"/>
      <c r="D17" s="67"/>
      <c r="E17" s="19"/>
      <c r="F17" s="19"/>
      <c r="G17" s="63" t="s">
        <v>195</v>
      </c>
      <c r="H17" s="19"/>
      <c r="I17" s="19"/>
      <c r="J17" s="19"/>
      <c r="K17" s="41" t="s">
        <v>196</v>
      </c>
      <c r="L17" s="41"/>
      <c r="M17" s="65"/>
      <c r="N17" s="41" t="s">
        <v>197</v>
      </c>
      <c r="O17" s="18"/>
      <c r="P17" s="19"/>
      <c r="Q17" s="19"/>
      <c r="R17" s="38">
        <v>11</v>
      </c>
      <c r="S17" s="39" t="s">
        <v>173</v>
      </c>
      <c r="T17" s="68" t="s">
        <v>174</v>
      </c>
      <c r="U17" s="533"/>
      <c r="V17" s="534"/>
      <c r="W17" s="534"/>
      <c r="X17" s="534"/>
      <c r="Y17" s="534"/>
      <c r="Z17" s="534"/>
      <c r="AA17" s="534"/>
      <c r="AB17" s="534"/>
      <c r="AC17" s="534"/>
      <c r="AD17" s="534"/>
      <c r="AE17" s="534"/>
      <c r="AF17" s="534"/>
      <c r="AG17" s="534"/>
      <c r="AH17" s="534"/>
      <c r="AI17" s="534"/>
      <c r="AJ17" s="534"/>
      <c r="AK17" s="534"/>
      <c r="AL17" s="534"/>
      <c r="AM17" s="534"/>
      <c r="AN17" s="534"/>
      <c r="AO17" s="534"/>
      <c r="AP17" s="534"/>
      <c r="AQ17" s="534"/>
      <c r="AR17" s="534"/>
      <c r="AS17" s="534"/>
      <c r="AT17" s="534"/>
      <c r="AU17" s="535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5"/>
      <c r="BK17" s="2"/>
    </row>
    <row r="18" spans="1:63" ht="18.75" customHeight="1" thickBot="1" x14ac:dyDescent="0.3">
      <c r="A18" s="49" t="s">
        <v>2</v>
      </c>
      <c r="B18" s="43" t="s">
        <v>176</v>
      </c>
      <c r="C18" s="69">
        <v>1</v>
      </c>
      <c r="D18" s="31"/>
      <c r="E18" s="19"/>
      <c r="F18" s="19"/>
      <c r="G18" s="19"/>
      <c r="H18" s="19"/>
      <c r="I18" s="19"/>
      <c r="J18" s="19"/>
      <c r="K18" s="19"/>
      <c r="L18" s="542" t="s">
        <v>198</v>
      </c>
      <c r="M18" s="542"/>
      <c r="N18" s="19"/>
      <c r="O18" s="19"/>
      <c r="P18" s="70"/>
      <c r="Q18" s="19"/>
      <c r="R18" s="19"/>
      <c r="S18" s="71"/>
      <c r="T18" s="33"/>
      <c r="U18" s="533"/>
      <c r="V18" s="534"/>
      <c r="W18" s="534"/>
      <c r="X18" s="534"/>
      <c r="Y18" s="534"/>
      <c r="Z18" s="534"/>
      <c r="AA18" s="534"/>
      <c r="AB18" s="534"/>
      <c r="AC18" s="534"/>
      <c r="AD18" s="534"/>
      <c r="AE18" s="534"/>
      <c r="AF18" s="534"/>
      <c r="AG18" s="534"/>
      <c r="AH18" s="534"/>
      <c r="AI18" s="534"/>
      <c r="AJ18" s="534"/>
      <c r="AK18" s="534"/>
      <c r="AL18" s="534"/>
      <c r="AM18" s="534"/>
      <c r="AN18" s="534"/>
      <c r="AO18" s="534"/>
      <c r="AP18" s="534"/>
      <c r="AQ18" s="534"/>
      <c r="AR18" s="534"/>
      <c r="AS18" s="534"/>
      <c r="AT18" s="534"/>
      <c r="AU18" s="535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5"/>
      <c r="BK18" s="2"/>
    </row>
    <row r="19" spans="1:63" ht="18.75" customHeight="1" x14ac:dyDescent="0.25">
      <c r="A19" s="49" t="s">
        <v>2</v>
      </c>
      <c r="B19" s="43" t="s">
        <v>176</v>
      </c>
      <c r="C19" s="69">
        <v>2</v>
      </c>
      <c r="D19" s="31"/>
      <c r="E19" s="19"/>
      <c r="F19" s="19"/>
      <c r="G19" s="19"/>
      <c r="H19" s="19"/>
      <c r="I19" s="19"/>
      <c r="J19" s="19"/>
      <c r="K19" s="45" t="s">
        <v>194</v>
      </c>
      <c r="L19" s="72"/>
      <c r="M19" s="72"/>
      <c r="N19" s="73" t="s">
        <v>199</v>
      </c>
      <c r="O19" s="19"/>
      <c r="P19" s="65"/>
      <c r="Q19" s="19"/>
      <c r="R19" s="70"/>
      <c r="S19" s="70"/>
      <c r="T19" s="41" t="s">
        <v>200</v>
      </c>
      <c r="U19" s="533"/>
      <c r="V19" s="534"/>
      <c r="W19" s="534"/>
      <c r="X19" s="534"/>
      <c r="Y19" s="534"/>
      <c r="Z19" s="534"/>
      <c r="AA19" s="534"/>
      <c r="AB19" s="534"/>
      <c r="AC19" s="534"/>
      <c r="AD19" s="534"/>
      <c r="AE19" s="534"/>
      <c r="AF19" s="534"/>
      <c r="AG19" s="534"/>
      <c r="AH19" s="534"/>
      <c r="AI19" s="534"/>
      <c r="AJ19" s="534"/>
      <c r="AK19" s="534"/>
      <c r="AL19" s="534"/>
      <c r="AM19" s="534"/>
      <c r="AN19" s="534"/>
      <c r="AO19" s="534"/>
      <c r="AP19" s="534"/>
      <c r="AQ19" s="534"/>
      <c r="AR19" s="534"/>
      <c r="AS19" s="534"/>
      <c r="AT19" s="534"/>
      <c r="AU19" s="535"/>
      <c r="AV19" s="74"/>
      <c r="AW19" s="74"/>
      <c r="AX19" s="74"/>
      <c r="AY19" s="74"/>
      <c r="AZ19" s="74"/>
      <c r="BA19" s="74"/>
      <c r="BB19" s="74"/>
      <c r="BC19" s="74"/>
      <c r="BD19" s="74"/>
      <c r="BE19" s="75"/>
      <c r="BF19" s="25"/>
      <c r="BG19" s="2"/>
      <c r="BH19" s="2"/>
      <c r="BI19" s="2"/>
      <c r="BJ19" s="25"/>
      <c r="BK19" s="2"/>
    </row>
    <row r="20" spans="1:63" ht="18.75" customHeight="1" x14ac:dyDescent="0.25">
      <c r="A20" s="48" t="s">
        <v>4</v>
      </c>
      <c r="B20" s="43" t="s">
        <v>176</v>
      </c>
      <c r="C20" s="69">
        <v>3</v>
      </c>
      <c r="D20" s="31"/>
      <c r="E20" s="19"/>
      <c r="F20" s="19"/>
      <c r="G20" s="19"/>
      <c r="H20" s="19"/>
      <c r="I20" s="19"/>
      <c r="J20" s="76">
        <v>1</v>
      </c>
      <c r="K20" s="77" t="s">
        <v>176</v>
      </c>
      <c r="L20" s="78" t="s">
        <v>112</v>
      </c>
      <c r="M20" s="78" t="s">
        <v>112</v>
      </c>
      <c r="N20" s="77" t="s">
        <v>176</v>
      </c>
      <c r="O20" s="79">
        <v>8</v>
      </c>
      <c r="P20" s="65"/>
      <c r="Q20" s="2"/>
      <c r="R20" s="19"/>
      <c r="S20" s="80" t="s">
        <v>201</v>
      </c>
      <c r="T20" s="81">
        <v>1</v>
      </c>
      <c r="U20" s="533"/>
      <c r="V20" s="534"/>
      <c r="W20" s="534"/>
      <c r="X20" s="534"/>
      <c r="Y20" s="534"/>
      <c r="Z20" s="534"/>
      <c r="AA20" s="534"/>
      <c r="AB20" s="534"/>
      <c r="AC20" s="534"/>
      <c r="AD20" s="534"/>
      <c r="AE20" s="534"/>
      <c r="AF20" s="534"/>
      <c r="AG20" s="534"/>
      <c r="AH20" s="534"/>
      <c r="AI20" s="534"/>
      <c r="AJ20" s="534"/>
      <c r="AK20" s="534"/>
      <c r="AL20" s="534"/>
      <c r="AM20" s="534"/>
      <c r="AN20" s="534"/>
      <c r="AO20" s="534"/>
      <c r="AP20" s="534"/>
      <c r="AQ20" s="534"/>
      <c r="AR20" s="534"/>
      <c r="AS20" s="534"/>
      <c r="AT20" s="534"/>
      <c r="AU20" s="535"/>
      <c r="AV20" s="2"/>
      <c r="AW20" s="2"/>
      <c r="AX20" s="2"/>
      <c r="AY20" s="2"/>
      <c r="AZ20" s="2"/>
      <c r="BA20" s="2"/>
      <c r="BB20" s="2"/>
      <c r="BC20" s="2"/>
      <c r="BD20" s="2"/>
      <c r="BE20" s="82"/>
      <c r="BF20" s="25"/>
      <c r="BG20" s="2"/>
      <c r="BH20" s="2"/>
      <c r="BI20" s="2"/>
      <c r="BJ20" s="25"/>
      <c r="BK20" s="2"/>
    </row>
    <row r="21" spans="1:63" ht="18.75" customHeight="1" thickBot="1" x14ac:dyDescent="0.3">
      <c r="A21" s="48" t="s">
        <v>4</v>
      </c>
      <c r="B21" s="43" t="s">
        <v>176</v>
      </c>
      <c r="C21" s="69">
        <v>4</v>
      </c>
      <c r="D21" s="31"/>
      <c r="E21" s="41" t="s">
        <v>202</v>
      </c>
      <c r="F21" s="19"/>
      <c r="G21" s="19"/>
      <c r="H21" s="19"/>
      <c r="I21" s="19"/>
      <c r="J21" s="76">
        <v>2</v>
      </c>
      <c r="K21" s="77" t="s">
        <v>176</v>
      </c>
      <c r="L21" s="78" t="s">
        <v>112</v>
      </c>
      <c r="M21" s="78" t="s">
        <v>112</v>
      </c>
      <c r="N21" s="77" t="s">
        <v>176</v>
      </c>
      <c r="O21" s="79">
        <v>7</v>
      </c>
      <c r="P21" s="65"/>
      <c r="Q21" s="83"/>
      <c r="R21" s="19"/>
      <c r="S21" s="81">
        <v>2</v>
      </c>
      <c r="T21" s="84" t="s">
        <v>173</v>
      </c>
      <c r="U21" s="536"/>
      <c r="V21" s="537"/>
      <c r="W21" s="537"/>
      <c r="X21" s="537"/>
      <c r="Y21" s="537"/>
      <c r="Z21" s="537"/>
      <c r="AA21" s="537"/>
      <c r="AB21" s="537"/>
      <c r="AC21" s="537"/>
      <c r="AD21" s="537"/>
      <c r="AE21" s="537"/>
      <c r="AF21" s="537"/>
      <c r="AG21" s="537"/>
      <c r="AH21" s="537"/>
      <c r="AI21" s="537"/>
      <c r="AJ21" s="537"/>
      <c r="AK21" s="537"/>
      <c r="AL21" s="537"/>
      <c r="AM21" s="537"/>
      <c r="AN21" s="537"/>
      <c r="AO21" s="537"/>
      <c r="AP21" s="537"/>
      <c r="AQ21" s="537"/>
      <c r="AR21" s="537"/>
      <c r="AS21" s="537"/>
      <c r="AT21" s="537"/>
      <c r="AU21" s="538"/>
      <c r="AV21" s="2"/>
      <c r="AW21" s="2"/>
      <c r="AX21" s="2"/>
      <c r="AY21" s="2"/>
      <c r="AZ21" s="2"/>
      <c r="BA21" s="2"/>
      <c r="BB21" s="2"/>
      <c r="BC21" s="2"/>
      <c r="BD21" s="2"/>
      <c r="BE21" s="82"/>
      <c r="BF21" s="25"/>
      <c r="BG21" s="2"/>
      <c r="BH21" s="2"/>
      <c r="BI21" s="2"/>
      <c r="BJ21" s="25"/>
      <c r="BK21" s="2"/>
    </row>
    <row r="22" spans="1:63" ht="18.75" customHeight="1" thickBot="1" x14ac:dyDescent="0.3">
      <c r="A22" s="85" t="s">
        <v>25</v>
      </c>
      <c r="B22" s="86" t="s">
        <v>176</v>
      </c>
      <c r="C22" s="69">
        <v>5</v>
      </c>
      <c r="D22" s="87" t="s">
        <v>203</v>
      </c>
      <c r="E22" s="54" t="s">
        <v>178</v>
      </c>
      <c r="F22" s="54" t="s">
        <v>178</v>
      </c>
      <c r="G22" s="54" t="s">
        <v>178</v>
      </c>
      <c r="H22" s="2"/>
      <c r="I22" s="2"/>
      <c r="J22" s="76">
        <v>3</v>
      </c>
      <c r="K22" s="77" t="s">
        <v>176</v>
      </c>
      <c r="L22" s="78" t="s">
        <v>112</v>
      </c>
      <c r="M22" s="78" t="s">
        <v>112</v>
      </c>
      <c r="N22" s="77" t="s">
        <v>176</v>
      </c>
      <c r="O22" s="79">
        <v>6</v>
      </c>
      <c r="P22" s="65"/>
      <c r="Q22" s="65"/>
      <c r="R22" s="81">
        <v>3</v>
      </c>
      <c r="S22" s="84" t="s">
        <v>173</v>
      </c>
      <c r="T22" s="88" t="s">
        <v>174</v>
      </c>
      <c r="U22" s="58"/>
      <c r="V22" s="41"/>
      <c r="W22" s="58"/>
      <c r="X22" s="58"/>
      <c r="Y22" s="58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58"/>
      <c r="AP22" s="58"/>
      <c r="AQ22" s="58"/>
      <c r="AR22" s="58"/>
      <c r="AS22" s="58"/>
      <c r="AT22" s="58"/>
      <c r="AU22" s="59"/>
      <c r="AV22" s="25"/>
      <c r="AW22" s="2"/>
      <c r="AX22" s="2"/>
      <c r="AY22" s="2"/>
      <c r="AZ22" s="2"/>
      <c r="BA22" s="2"/>
      <c r="BB22" s="2"/>
      <c r="BC22" s="2"/>
      <c r="BD22" s="2"/>
      <c r="BE22" s="82"/>
      <c r="BF22" s="25"/>
      <c r="BG22" s="2"/>
      <c r="BH22" s="2"/>
      <c r="BI22" s="2"/>
      <c r="BJ22" s="25"/>
      <c r="BK22" s="2"/>
    </row>
    <row r="23" spans="1:63" ht="18.75" customHeight="1" thickBot="1" x14ac:dyDescent="0.3">
      <c r="A23" s="85" t="s">
        <v>25</v>
      </c>
      <c r="B23" s="86" t="s">
        <v>176</v>
      </c>
      <c r="C23" s="69">
        <v>6</v>
      </c>
      <c r="D23" s="31"/>
      <c r="E23" s="54" t="s">
        <v>178</v>
      </c>
      <c r="F23" s="54" t="s">
        <v>178</v>
      </c>
      <c r="G23" s="54" t="s">
        <v>178</v>
      </c>
      <c r="H23" s="89"/>
      <c r="I23" s="2"/>
      <c r="J23" s="76">
        <v>4</v>
      </c>
      <c r="K23" s="77" t="s">
        <v>176</v>
      </c>
      <c r="L23" s="78" t="s">
        <v>112</v>
      </c>
      <c r="M23" s="78" t="s">
        <v>112</v>
      </c>
      <c r="N23" s="77" t="s">
        <v>176</v>
      </c>
      <c r="O23" s="79">
        <v>5</v>
      </c>
      <c r="P23" s="65"/>
      <c r="Q23" s="81">
        <v>4</v>
      </c>
      <c r="R23" s="84" t="s">
        <v>173</v>
      </c>
      <c r="S23" s="88" t="s">
        <v>174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5"/>
      <c r="AW23" s="2"/>
      <c r="AX23" s="2"/>
      <c r="AY23" s="2"/>
      <c r="AZ23" s="2"/>
      <c r="BA23" s="2"/>
      <c r="BB23" s="2"/>
      <c r="BC23" s="2"/>
      <c r="BD23" s="2"/>
      <c r="BE23" s="82"/>
      <c r="BF23" s="25"/>
      <c r="BG23" s="2"/>
      <c r="BH23" s="2"/>
      <c r="BI23" s="2"/>
      <c r="BJ23" s="25"/>
      <c r="BK23" s="2"/>
    </row>
    <row r="24" spans="1:63" ht="18.75" customHeight="1" thickBot="1" x14ac:dyDescent="0.3">
      <c r="A24" s="85" t="s">
        <v>25</v>
      </c>
      <c r="B24" s="86" t="s">
        <v>176</v>
      </c>
      <c r="C24" s="90">
        <v>7</v>
      </c>
      <c r="D24" s="91"/>
      <c r="F24" s="92"/>
      <c r="G24" s="92"/>
      <c r="H24" s="93"/>
      <c r="I24" s="2"/>
      <c r="J24" s="2"/>
      <c r="K24" s="41" t="s">
        <v>204</v>
      </c>
      <c r="L24" s="72"/>
      <c r="M24" s="72"/>
      <c r="N24" s="94"/>
      <c r="O24" s="65"/>
      <c r="P24" s="81">
        <v>5</v>
      </c>
      <c r="Q24" s="84" t="s">
        <v>173</v>
      </c>
      <c r="R24" s="88" t="s">
        <v>174</v>
      </c>
      <c r="S24" s="95" t="s">
        <v>205</v>
      </c>
      <c r="T24" s="41" t="s">
        <v>206</v>
      </c>
      <c r="U24" s="91"/>
      <c r="V24" s="96" t="s">
        <v>207</v>
      </c>
      <c r="W24" s="91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25"/>
      <c r="AW24" s="2"/>
      <c r="AX24" s="2"/>
      <c r="AY24" s="2"/>
      <c r="AZ24" s="2"/>
      <c r="BA24" s="97" t="s">
        <v>208</v>
      </c>
      <c r="BB24" s="2"/>
      <c r="BC24" s="2"/>
      <c r="BD24" s="2"/>
      <c r="BE24" s="82"/>
      <c r="BF24" s="25"/>
      <c r="BG24" s="98"/>
      <c r="BH24" s="98"/>
      <c r="BI24" s="99"/>
      <c r="BJ24" s="25"/>
      <c r="BK24" s="2"/>
    </row>
    <row r="25" spans="1:63" ht="18.75" customHeight="1" thickBot="1" x14ac:dyDescent="0.3">
      <c r="A25" s="100" t="s">
        <v>23</v>
      </c>
      <c r="B25" s="86" t="s">
        <v>176</v>
      </c>
      <c r="C25" s="90">
        <v>8</v>
      </c>
      <c r="D25" s="31"/>
      <c r="E25" s="101"/>
      <c r="F25" s="101"/>
      <c r="G25" s="101"/>
      <c r="H25" s="101"/>
      <c r="I25" s="101"/>
      <c r="J25" s="2"/>
      <c r="K25" s="102"/>
      <c r="L25" s="19"/>
      <c r="M25" s="19"/>
      <c r="N25" s="103"/>
      <c r="O25" s="103"/>
      <c r="P25" s="84" t="s">
        <v>173</v>
      </c>
      <c r="Q25" s="88" t="s">
        <v>174</v>
      </c>
      <c r="R25" s="95" t="s">
        <v>205</v>
      </c>
      <c r="S25" s="63"/>
      <c r="T25" s="19"/>
      <c r="U25" s="96" t="s">
        <v>207</v>
      </c>
      <c r="V25" s="91"/>
      <c r="W25" s="96" t="s">
        <v>207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25"/>
      <c r="AW25" s="2"/>
      <c r="AX25" s="2"/>
      <c r="AY25" s="2"/>
      <c r="AZ25" s="2"/>
      <c r="BA25" s="2"/>
      <c r="BB25" s="2"/>
      <c r="BC25" s="2"/>
      <c r="BD25" s="2"/>
      <c r="BE25" s="82"/>
      <c r="BF25" s="25"/>
      <c r="BG25" s="2"/>
      <c r="BH25" s="2"/>
      <c r="BI25" s="2"/>
      <c r="BJ25" s="25"/>
      <c r="BK25" s="2"/>
    </row>
    <row r="26" spans="1:63" ht="18.75" customHeight="1" thickBot="1" x14ac:dyDescent="0.3">
      <c r="A26" s="100" t="s">
        <v>23</v>
      </c>
      <c r="B26" s="86" t="s">
        <v>176</v>
      </c>
      <c r="C26" s="90">
        <v>9</v>
      </c>
      <c r="D26" s="31"/>
      <c r="E26" s="549" t="s">
        <v>209</v>
      </c>
      <c r="F26" s="549"/>
      <c r="G26" s="549"/>
      <c r="H26" s="549"/>
      <c r="I26" s="93"/>
      <c r="J26" s="104"/>
      <c r="K26" s="105"/>
      <c r="L26" s="106"/>
      <c r="M26" s="106"/>
      <c r="N26" s="106"/>
      <c r="O26" s="106"/>
      <c r="P26" s="88" t="s">
        <v>174</v>
      </c>
      <c r="Q26" s="95" t="s">
        <v>205</v>
      </c>
      <c r="R26" s="63"/>
      <c r="S26" s="19"/>
      <c r="T26" s="19"/>
      <c r="U26" s="91"/>
      <c r="V26" s="96" t="s">
        <v>207</v>
      </c>
      <c r="W26" s="91"/>
      <c r="X26" s="19"/>
      <c r="Y26" s="19"/>
      <c r="Z26" s="19"/>
      <c r="AA26" s="19"/>
      <c r="AB26" s="19"/>
      <c r="AC26" s="19"/>
      <c r="AD26" s="19"/>
      <c r="AE26" s="550"/>
      <c r="AF26" s="550"/>
      <c r="AG26" s="550"/>
      <c r="AH26" s="19"/>
      <c r="AI26" s="19"/>
      <c r="AJ26" s="19"/>
      <c r="AK26" s="19"/>
      <c r="AL26" s="19"/>
      <c r="AT26" s="19"/>
      <c r="AU26" s="19"/>
      <c r="AV26" s="25"/>
      <c r="AW26" s="2"/>
      <c r="AX26" s="2"/>
      <c r="AY26" s="2"/>
      <c r="AZ26" s="2"/>
      <c r="BA26" s="2"/>
      <c r="BB26" s="2"/>
      <c r="BC26" s="2"/>
      <c r="BD26" s="2"/>
      <c r="BE26" s="82"/>
      <c r="BF26" s="25"/>
      <c r="BG26" s="2"/>
      <c r="BH26" s="2"/>
      <c r="BI26" s="2"/>
      <c r="BJ26" s="25"/>
      <c r="BK26" s="2"/>
    </row>
    <row r="27" spans="1:63" ht="18.75" customHeight="1" thickBot="1" x14ac:dyDescent="0.3">
      <c r="A27" s="100" t="s">
        <v>23</v>
      </c>
      <c r="B27" s="86" t="s">
        <v>176</v>
      </c>
      <c r="C27" s="90">
        <v>10</v>
      </c>
      <c r="D27" s="31"/>
      <c r="E27" s="107" t="s">
        <v>210</v>
      </c>
      <c r="F27" s="107" t="s">
        <v>210</v>
      </c>
      <c r="G27" s="107" t="s">
        <v>210</v>
      </c>
      <c r="H27" s="107" t="s">
        <v>210</v>
      </c>
      <c r="I27" s="108"/>
      <c r="J27" s="19"/>
      <c r="L27" s="45" t="s">
        <v>211</v>
      </c>
      <c r="M27" s="46"/>
      <c r="N27" s="109"/>
      <c r="O27" s="110"/>
      <c r="P27" s="95" t="s">
        <v>205</v>
      </c>
      <c r="Q27" s="63"/>
      <c r="R27" s="6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11"/>
      <c r="AG27" s="19"/>
      <c r="AH27" s="19"/>
      <c r="AI27" s="19"/>
      <c r="AJ27" s="19"/>
      <c r="AK27" s="19"/>
      <c r="AL27" s="19"/>
      <c r="AM27" s="19"/>
      <c r="AN27" s="19"/>
      <c r="AO27" s="19"/>
      <c r="AT27" s="19"/>
      <c r="AU27" s="19"/>
      <c r="AV27" s="25"/>
      <c r="AW27" s="2"/>
      <c r="AX27" s="2"/>
      <c r="AY27" s="2"/>
      <c r="AZ27" s="2"/>
      <c r="BA27" s="2"/>
      <c r="BB27" s="2"/>
      <c r="BC27" s="2"/>
      <c r="BD27" s="2"/>
      <c r="BE27" s="82"/>
      <c r="BF27" s="25"/>
      <c r="BG27" s="2"/>
      <c r="BH27" s="2"/>
      <c r="BI27" s="2"/>
      <c r="BJ27" s="25"/>
      <c r="BK27" s="2"/>
    </row>
    <row r="28" spans="1:63" ht="18.75" customHeight="1" x14ac:dyDescent="0.25">
      <c r="A28" s="42" t="s">
        <v>211</v>
      </c>
      <c r="B28" s="541" t="s">
        <v>198</v>
      </c>
      <c r="C28" s="541"/>
      <c r="D28" s="541"/>
      <c r="E28" s="107" t="s">
        <v>210</v>
      </c>
      <c r="F28" s="107" t="s">
        <v>210</v>
      </c>
      <c r="G28" s="107" t="s">
        <v>210</v>
      </c>
      <c r="H28" s="107" t="s">
        <v>210</v>
      </c>
      <c r="I28" s="112"/>
      <c r="J28" s="19"/>
      <c r="K28" s="76">
        <v>1</v>
      </c>
      <c r="L28" s="46" t="s">
        <v>176</v>
      </c>
      <c r="M28" s="113" t="s">
        <v>159</v>
      </c>
      <c r="N28" s="114" t="s">
        <v>212</v>
      </c>
      <c r="O28" s="114" t="s">
        <v>212</v>
      </c>
      <c r="P28" s="63"/>
      <c r="Q28" s="65"/>
      <c r="R28" s="19"/>
      <c r="S28" s="19"/>
      <c r="T28" s="19"/>
      <c r="U28" s="111">
        <v>1</v>
      </c>
      <c r="V28" s="111">
        <v>2</v>
      </c>
      <c r="W28" s="111">
        <v>3</v>
      </c>
      <c r="X28" s="19"/>
      <c r="Y28" s="19"/>
      <c r="Z28" s="19"/>
      <c r="AA28" s="19"/>
      <c r="AB28" s="19"/>
      <c r="AC28" s="63"/>
      <c r="AE28" s="83"/>
      <c r="AF28" s="115"/>
      <c r="AG28" s="19"/>
      <c r="AH28" s="19"/>
      <c r="AI28" s="63"/>
      <c r="AJ28" s="2"/>
      <c r="AK28" s="2"/>
      <c r="AL28" s="2"/>
      <c r="AM28" s="19"/>
      <c r="AN28" s="19"/>
      <c r="AO28" s="19"/>
      <c r="AT28" s="2"/>
      <c r="AU28" s="19"/>
      <c r="AV28" s="25"/>
      <c r="AW28" s="2"/>
      <c r="AX28" s="2"/>
      <c r="AY28" s="2"/>
      <c r="AZ28" s="2"/>
      <c r="BA28" s="2"/>
      <c r="BB28" s="2"/>
      <c r="BC28" s="2"/>
      <c r="BD28" s="2"/>
      <c r="BE28" s="82"/>
      <c r="BF28" s="25"/>
      <c r="BG28" s="2"/>
      <c r="BH28" s="2"/>
      <c r="BI28" s="2"/>
      <c r="BJ28" s="25"/>
      <c r="BK28" s="2"/>
    </row>
    <row r="29" spans="1:63" ht="18.75" customHeight="1" thickBot="1" x14ac:dyDescent="0.3">
      <c r="A29" s="116" t="s">
        <v>131</v>
      </c>
      <c r="B29" s="117" t="s">
        <v>176</v>
      </c>
      <c r="C29" s="118">
        <v>1</v>
      </c>
      <c r="D29" s="112"/>
      <c r="E29" s="119"/>
      <c r="F29" s="119"/>
      <c r="G29" s="119"/>
      <c r="H29" s="119"/>
      <c r="I29" s="112"/>
      <c r="J29" s="19"/>
      <c r="K29" s="76">
        <v>2</v>
      </c>
      <c r="L29" s="46" t="s">
        <v>176</v>
      </c>
      <c r="M29" s="113" t="s">
        <v>159</v>
      </c>
      <c r="N29" s="114" t="s">
        <v>212</v>
      </c>
      <c r="O29" s="120" t="s">
        <v>213</v>
      </c>
      <c r="P29" s="63"/>
      <c r="Q29" s="65"/>
      <c r="R29" s="63"/>
      <c r="S29" s="19"/>
      <c r="T29" s="83" t="s">
        <v>214</v>
      </c>
      <c r="U29" s="121" t="s">
        <v>176</v>
      </c>
      <c r="V29" s="121" t="s">
        <v>176</v>
      </c>
      <c r="W29" s="121" t="s">
        <v>176</v>
      </c>
      <c r="X29" s="73" t="s">
        <v>215</v>
      </c>
      <c r="Y29" s="120" t="s">
        <v>216</v>
      </c>
      <c r="Z29"/>
      <c r="AA29" s="122"/>
      <c r="AB29" s="122"/>
      <c r="AC29" s="1"/>
      <c r="AE29" s="123"/>
      <c r="AF29" s="124"/>
      <c r="AG29" s="123"/>
      <c r="AH29" s="19"/>
      <c r="AM29" s="19"/>
      <c r="AN29" s="19"/>
      <c r="AO29" s="19"/>
      <c r="AT29" s="2"/>
      <c r="AU29" s="19"/>
      <c r="AV29" s="125"/>
      <c r="AW29" s="126"/>
      <c r="AX29" s="126"/>
      <c r="AY29" s="126"/>
      <c r="AZ29" s="126"/>
      <c r="BA29" s="126"/>
      <c r="BB29" s="126"/>
      <c r="BC29" s="126"/>
      <c r="BD29" s="126"/>
      <c r="BE29" s="127"/>
      <c r="BF29" s="25"/>
      <c r="BG29" s="2"/>
      <c r="BH29" s="2"/>
      <c r="BI29" s="82"/>
      <c r="BJ29" s="25"/>
      <c r="BK29" s="128"/>
    </row>
    <row r="30" spans="1:63" ht="18.75" customHeight="1" x14ac:dyDescent="0.25">
      <c r="A30" s="116" t="s">
        <v>131</v>
      </c>
      <c r="B30" s="117" t="s">
        <v>176</v>
      </c>
      <c r="C30" s="118">
        <v>2</v>
      </c>
      <c r="D30" s="129"/>
      <c r="E30" s="94"/>
      <c r="F30" s="94"/>
      <c r="G30" s="94"/>
      <c r="H30" s="94"/>
      <c r="I30" s="2"/>
      <c r="J30" s="19"/>
      <c r="K30" s="76">
        <v>3</v>
      </c>
      <c r="L30" s="46" t="s">
        <v>176</v>
      </c>
      <c r="M30" s="113" t="s">
        <v>159</v>
      </c>
      <c r="N30" s="58"/>
      <c r="O30" s="130"/>
      <c r="P30" s="63"/>
      <c r="Q30" s="65"/>
      <c r="R30" s="63"/>
      <c r="S30" s="19"/>
      <c r="T30" s="121"/>
      <c r="U30" s="131" t="s">
        <v>138</v>
      </c>
      <c r="V30" s="131" t="s">
        <v>138</v>
      </c>
      <c r="W30" s="131" t="s">
        <v>138</v>
      </c>
      <c r="X30" s="121"/>
      <c r="Y30"/>
      <c r="AB30" s="132" t="s">
        <v>217</v>
      </c>
      <c r="AC30" s="132" t="s">
        <v>217</v>
      </c>
      <c r="AD30" s="132" t="s">
        <v>217</v>
      </c>
      <c r="AE30" s="124"/>
      <c r="AF30" s="41"/>
      <c r="AG30" s="124"/>
      <c r="AH30" s="115"/>
      <c r="AI30" s="19"/>
      <c r="AJ30" s="133" t="s">
        <v>205</v>
      </c>
      <c r="AK30" s="2"/>
      <c r="AM30" s="19"/>
      <c r="AN30"/>
      <c r="AO30" s="134" t="s">
        <v>218</v>
      </c>
      <c r="AP30"/>
      <c r="AQ30"/>
      <c r="AR30"/>
      <c r="AS30"/>
      <c r="AT30"/>
      <c r="AU30" s="91"/>
      <c r="AV30" s="63"/>
      <c r="AW30" s="41" t="s">
        <v>219</v>
      </c>
      <c r="AX30" s="54" t="s">
        <v>178</v>
      </c>
      <c r="AY30" s="54" t="s">
        <v>178</v>
      </c>
      <c r="AZ30" s="54" t="s">
        <v>178</v>
      </c>
      <c r="BA30" s="54" t="s">
        <v>178</v>
      </c>
      <c r="BB30" s="54" t="s">
        <v>178</v>
      </c>
      <c r="BC30" s="15" t="s">
        <v>164</v>
      </c>
      <c r="BD30" s="15" t="s">
        <v>164</v>
      </c>
      <c r="BE30" s="15" t="s">
        <v>164</v>
      </c>
      <c r="BF30" s="551" t="s">
        <v>208</v>
      </c>
      <c r="BG30" s="552"/>
      <c r="BH30" s="552"/>
      <c r="BI30" s="553"/>
      <c r="BJ30" s="25"/>
      <c r="BK30" s="128"/>
    </row>
    <row r="31" spans="1:63" ht="18.75" customHeight="1" x14ac:dyDescent="0.25">
      <c r="A31" s="135" t="s">
        <v>129</v>
      </c>
      <c r="B31" s="117" t="s">
        <v>176</v>
      </c>
      <c r="C31" s="118">
        <v>3</v>
      </c>
      <c r="D31" s="2"/>
      <c r="E31" s="540" t="s">
        <v>220</v>
      </c>
      <c r="F31" s="540"/>
      <c r="G31" s="540"/>
      <c r="H31" s="540"/>
      <c r="I31" s="19"/>
      <c r="J31" s="19"/>
      <c r="K31" s="76">
        <v>4</v>
      </c>
      <c r="L31" s="46" t="s">
        <v>176</v>
      </c>
      <c r="M31" s="113" t="s">
        <v>159</v>
      </c>
      <c r="N31" s="120" t="s">
        <v>221</v>
      </c>
      <c r="O31" s="1"/>
      <c r="P31" s="63"/>
      <c r="Q31" s="65"/>
      <c r="R31" s="63"/>
      <c r="S31" s="19"/>
      <c r="T31" s="121"/>
      <c r="U31" s="131" t="s">
        <v>138</v>
      </c>
      <c r="V31" s="131" t="s">
        <v>138</v>
      </c>
      <c r="W31" s="131" t="s">
        <v>138</v>
      </c>
      <c r="X31" s="121"/>
      <c r="Y31"/>
      <c r="AB31" s="132" t="s">
        <v>217</v>
      </c>
      <c r="AC31" s="132" t="s">
        <v>217</v>
      </c>
      <c r="AD31" s="132" t="s">
        <v>217</v>
      </c>
      <c r="AE31" s="123"/>
      <c r="AF31" s="124"/>
      <c r="AG31" s="123"/>
      <c r="AH31" s="63"/>
      <c r="AI31" s="133" t="s">
        <v>205</v>
      </c>
      <c r="AJ31" s="41" t="s">
        <v>222</v>
      </c>
      <c r="AK31" s="133" t="s">
        <v>205</v>
      </c>
      <c r="AM31" s="19"/>
      <c r="AN31" s="134" t="s">
        <v>218</v>
      </c>
      <c r="AO31"/>
      <c r="AP31" s="134" t="s">
        <v>218</v>
      </c>
      <c r="AQ31" s="122"/>
      <c r="AR31" s="15" t="s">
        <v>164</v>
      </c>
      <c r="AS31" s="15" t="s">
        <v>164</v>
      </c>
      <c r="AT31" s="15" t="s">
        <v>164</v>
      </c>
      <c r="AU31" s="91"/>
      <c r="AV31" s="65"/>
      <c r="AW31" s="65"/>
      <c r="AX31" s="65"/>
      <c r="AY31" s="65"/>
      <c r="AZ31" s="65"/>
      <c r="BA31" s="65"/>
      <c r="BB31" s="63"/>
      <c r="BC31" s="63"/>
      <c r="BD31" s="63"/>
      <c r="BE31" s="41" t="s">
        <v>223</v>
      </c>
      <c r="BF31" s="554"/>
      <c r="BG31" s="555"/>
      <c r="BH31" s="555"/>
      <c r="BI31" s="556"/>
      <c r="BJ31" s="25"/>
      <c r="BK31" s="136"/>
    </row>
    <row r="32" spans="1:63" ht="18.75" customHeight="1" thickBot="1" x14ac:dyDescent="0.3">
      <c r="A32" s="137" t="s">
        <v>129</v>
      </c>
      <c r="B32" s="117" t="s">
        <v>176</v>
      </c>
      <c r="C32" s="118">
        <v>4</v>
      </c>
      <c r="D32" s="2"/>
      <c r="E32" s="107" t="s">
        <v>210</v>
      </c>
      <c r="F32" s="107" t="s">
        <v>210</v>
      </c>
      <c r="G32" s="107" t="s">
        <v>210</v>
      </c>
      <c r="H32" s="107" t="s">
        <v>210</v>
      </c>
      <c r="I32" s="19"/>
      <c r="J32" s="63"/>
      <c r="K32" s="542" t="s">
        <v>185</v>
      </c>
      <c r="L32" s="542"/>
      <c r="M32" s="46"/>
      <c r="N32" s="138" t="s">
        <v>224</v>
      </c>
      <c r="O32" s="139"/>
      <c r="P32" s="63"/>
      <c r="Q32" s="65"/>
      <c r="R32" s="63"/>
      <c r="S32" s="2"/>
      <c r="T32" s="41" t="s">
        <v>225</v>
      </c>
      <c r="U32" s="121" t="s">
        <v>176</v>
      </c>
      <c r="V32" s="121" t="s">
        <v>176</v>
      </c>
      <c r="W32" s="121" t="s">
        <v>176</v>
      </c>
      <c r="Y32" s="91"/>
      <c r="Z32" s="91"/>
      <c r="AA32" s="140"/>
      <c r="AB32" s="122"/>
      <c r="AC32" s="1"/>
      <c r="AF32" s="115"/>
      <c r="AI32" s="19"/>
      <c r="AJ32" s="133" t="s">
        <v>205</v>
      </c>
      <c r="AK32" s="63"/>
      <c r="AM32" s="19"/>
      <c r="AN32" s="122"/>
      <c r="AO32" s="134" t="s">
        <v>218</v>
      </c>
      <c r="AP32" s="122"/>
      <c r="AQ32" s="91"/>
      <c r="AR32" s="15" t="s">
        <v>164</v>
      </c>
      <c r="AS32" s="15" t="s">
        <v>164</v>
      </c>
      <c r="AT32" s="15" t="s">
        <v>164</v>
      </c>
      <c r="AU32" s="91"/>
      <c r="AV32" s="63"/>
      <c r="AW32" s="63"/>
      <c r="AX32" s="63"/>
      <c r="AY32" s="63"/>
      <c r="AZ32" s="63"/>
      <c r="BA32" s="63"/>
      <c r="BB32" s="63"/>
      <c r="BC32" s="63"/>
      <c r="BD32" s="63"/>
      <c r="BE32" s="41" t="s">
        <v>226</v>
      </c>
      <c r="BF32" s="554"/>
      <c r="BG32" s="555"/>
      <c r="BH32" s="555"/>
      <c r="BI32" s="556"/>
      <c r="BJ32" s="25"/>
      <c r="BK32" s="136"/>
    </row>
    <row r="33" spans="1:63" ht="18.75" customHeight="1" thickBot="1" x14ac:dyDescent="0.3">
      <c r="A33" s="141"/>
      <c r="B33" s="73" t="s">
        <v>227</v>
      </c>
      <c r="C33" s="102"/>
      <c r="D33" s="41" t="s">
        <v>228</v>
      </c>
      <c r="E33" s="107" t="s">
        <v>210</v>
      </c>
      <c r="F33" s="107" t="s">
        <v>210</v>
      </c>
      <c r="G33" s="107" t="s">
        <v>210</v>
      </c>
      <c r="H33" s="107" t="s">
        <v>210</v>
      </c>
      <c r="I33" s="19"/>
      <c r="J33" s="65"/>
      <c r="K33" s="19"/>
      <c r="L33" s="41" t="s">
        <v>229</v>
      </c>
      <c r="M33" s="142"/>
      <c r="N33" s="143" t="s">
        <v>224</v>
      </c>
      <c r="O33" s="1" t="s">
        <v>230</v>
      </c>
      <c r="P33" s="63"/>
      <c r="Q33" s="19"/>
      <c r="R33" s="63"/>
      <c r="S33" s="2"/>
      <c r="T33" s="19"/>
      <c r="U33" s="111">
        <v>6</v>
      </c>
      <c r="V33" s="111">
        <v>5</v>
      </c>
      <c r="W33" s="111">
        <v>4</v>
      </c>
      <c r="X33" s="19"/>
      <c r="Y33" s="140"/>
      <c r="Z33" s="140"/>
      <c r="AA33" s="122"/>
      <c r="AB33" s="122"/>
      <c r="AC33" s="91"/>
      <c r="AD33" s="2"/>
      <c r="AE33" s="63"/>
      <c r="AF33" s="111"/>
      <c r="AG33" s="63"/>
      <c r="AH33" s="63"/>
      <c r="AI33" s="2"/>
      <c r="AJ33" s="19"/>
      <c r="AK33" s="19"/>
      <c r="AN33" s="122"/>
      <c r="AO33" s="91"/>
      <c r="AP33" s="144"/>
      <c r="AQ33" s="91"/>
      <c r="AR33" s="91"/>
      <c r="AS33" s="1"/>
      <c r="AT33" s="1"/>
      <c r="AU33" s="91"/>
      <c r="AV33" s="19"/>
      <c r="AW33" s="19"/>
      <c r="AX33" s="19"/>
      <c r="AY33" s="63"/>
      <c r="AZ33" s="63"/>
      <c r="BA33" s="63"/>
      <c r="BB33" s="63"/>
      <c r="BC33" s="63"/>
      <c r="BD33" s="63"/>
      <c r="BE33" s="145" t="s">
        <v>191</v>
      </c>
      <c r="BF33" s="554"/>
      <c r="BG33" s="555"/>
      <c r="BH33" s="555"/>
      <c r="BI33" s="556"/>
      <c r="BJ33" s="25"/>
      <c r="BK33" s="128"/>
    </row>
    <row r="34" spans="1:63" ht="18.75" customHeight="1" x14ac:dyDescent="0.25">
      <c r="A34" s="569" t="s">
        <v>231</v>
      </c>
      <c r="B34" s="41" t="s">
        <v>232</v>
      </c>
      <c r="C34" s="19"/>
      <c r="D34" s="105"/>
      <c r="E34" s="572" t="s">
        <v>233</v>
      </c>
      <c r="F34" s="572"/>
      <c r="G34" s="572"/>
      <c r="H34" s="572"/>
      <c r="I34" s="146"/>
      <c r="J34" s="2"/>
      <c r="K34" s="19"/>
      <c r="L34" s="573" t="s">
        <v>234</v>
      </c>
      <c r="M34" s="147" t="s">
        <v>205</v>
      </c>
      <c r="N34" s="138" t="s">
        <v>224</v>
      </c>
      <c r="O34" s="91"/>
      <c r="P34" s="19"/>
      <c r="Q34" s="65"/>
      <c r="R34" s="65"/>
      <c r="S34" s="2"/>
      <c r="T34" s="63"/>
      <c r="U34" s="63"/>
      <c r="V34" s="63"/>
      <c r="W34" s="63"/>
      <c r="X34" s="19"/>
      <c r="Y34" s="122"/>
      <c r="AB34" s="122"/>
      <c r="AC34" s="122"/>
      <c r="AD34" s="122"/>
      <c r="AE34" s="1"/>
      <c r="AN34" s="13" t="s">
        <v>198</v>
      </c>
      <c r="AO34" s="13"/>
      <c r="AP34" s="13"/>
      <c r="AQ34" s="19"/>
      <c r="AR34" s="19"/>
      <c r="AS34" s="19"/>
      <c r="AT34" s="19"/>
      <c r="AU34" s="19"/>
      <c r="AV34" s="19"/>
      <c r="AW34" s="54" t="s">
        <v>191</v>
      </c>
      <c r="AX34" s="54" t="s">
        <v>191</v>
      </c>
      <c r="AY34" s="54" t="s">
        <v>191</v>
      </c>
      <c r="AZ34" s="19"/>
      <c r="BA34" s="54" t="s">
        <v>191</v>
      </c>
      <c r="BB34" s="54" t="s">
        <v>191</v>
      </c>
      <c r="BC34" s="54" t="s">
        <v>191</v>
      </c>
      <c r="BD34" s="63"/>
      <c r="BE34" s="54" t="s">
        <v>191</v>
      </c>
      <c r="BF34" s="554"/>
      <c r="BG34" s="555"/>
      <c r="BH34" s="555"/>
      <c r="BI34" s="556"/>
      <c r="BJ34" s="25"/>
      <c r="BK34" s="128"/>
    </row>
    <row r="35" spans="1:63" ht="18.75" customHeight="1" x14ac:dyDescent="0.25">
      <c r="A35" s="570"/>
      <c r="B35" s="19"/>
      <c r="C35" s="19"/>
      <c r="D35" s="105"/>
      <c r="E35" s="37">
        <v>1</v>
      </c>
      <c r="F35" s="37">
        <v>2</v>
      </c>
      <c r="G35" s="37">
        <v>3</v>
      </c>
      <c r="H35" s="37">
        <v>4</v>
      </c>
      <c r="I35" s="148"/>
      <c r="J35" s="2"/>
      <c r="K35" s="19"/>
      <c r="L35" s="573"/>
      <c r="M35" s="147" t="s">
        <v>205</v>
      </c>
      <c r="N35" s="138" t="s">
        <v>224</v>
      </c>
      <c r="O35" s="91"/>
      <c r="P35" s="19"/>
      <c r="Q35" s="65"/>
      <c r="R35" s="65"/>
      <c r="S35" s="2"/>
      <c r="T35" s="63"/>
      <c r="U35" s="546" t="s">
        <v>198</v>
      </c>
      <c r="V35" s="546"/>
      <c r="W35" s="546"/>
      <c r="X35" s="19"/>
      <c r="Y35" s="122"/>
      <c r="AB35" s="91"/>
      <c r="AC35" s="149"/>
      <c r="AD35" s="91"/>
      <c r="AE35" s="1"/>
      <c r="AO35" s="111">
        <v>1</v>
      </c>
      <c r="AQ35" s="19"/>
      <c r="AR35" s="19"/>
      <c r="AS35" s="19"/>
      <c r="AT35" s="19"/>
      <c r="AU35" s="19"/>
      <c r="AV35" s="19"/>
      <c r="AW35" s="54" t="s">
        <v>191</v>
      </c>
      <c r="AX35" s="54" t="s">
        <v>191</v>
      </c>
      <c r="AY35" s="54" t="s">
        <v>191</v>
      </c>
      <c r="AZ35" s="19"/>
      <c r="BA35" s="54" t="s">
        <v>191</v>
      </c>
      <c r="BB35" s="54" t="s">
        <v>191</v>
      </c>
      <c r="BC35" s="54" t="s">
        <v>191</v>
      </c>
      <c r="BD35" s="63"/>
      <c r="BE35" s="54" t="s">
        <v>191</v>
      </c>
      <c r="BF35" s="554"/>
      <c r="BG35" s="555"/>
      <c r="BH35" s="555"/>
      <c r="BI35" s="556"/>
      <c r="BJ35" s="150"/>
      <c r="BK35" s="2"/>
    </row>
    <row r="36" spans="1:63" ht="18.75" customHeight="1" x14ac:dyDescent="0.25">
      <c r="A36" s="570"/>
      <c r="B36" s="19"/>
      <c r="C36" s="2"/>
      <c r="D36" s="45" t="s">
        <v>235</v>
      </c>
      <c r="E36" s="151" t="s">
        <v>236</v>
      </c>
      <c r="F36" s="151" t="s">
        <v>236</v>
      </c>
      <c r="G36" s="151" t="s">
        <v>236</v>
      </c>
      <c r="H36" s="151" t="s">
        <v>236</v>
      </c>
      <c r="I36" s="73" t="s">
        <v>237</v>
      </c>
      <c r="J36" s="19"/>
      <c r="K36" s="19"/>
      <c r="L36" s="573"/>
      <c r="M36" s="147" t="s">
        <v>205</v>
      </c>
      <c r="N36" s="152" t="s">
        <v>238</v>
      </c>
      <c r="O36" s="91"/>
      <c r="P36" s="19"/>
      <c r="Q36" s="63"/>
      <c r="R36" s="63"/>
      <c r="S36" s="2"/>
      <c r="T36" s="153"/>
      <c r="U36" s="111">
        <v>1</v>
      </c>
      <c r="V36" s="111">
        <v>2</v>
      </c>
      <c r="W36" s="111">
        <v>3</v>
      </c>
      <c r="X36" s="154"/>
      <c r="Y36"/>
      <c r="AC36" s="155"/>
      <c r="AD36" s="91"/>
      <c r="AE36" s="149"/>
      <c r="AH36" s="19"/>
      <c r="AN36" s="83" t="s">
        <v>239</v>
      </c>
      <c r="AO36" s="51" t="s">
        <v>176</v>
      </c>
      <c r="AQ36" s="19"/>
      <c r="AR36" s="19"/>
      <c r="AS36" s="41" t="s">
        <v>240</v>
      </c>
      <c r="AT36" s="63"/>
      <c r="AU36" s="63"/>
      <c r="AW36" s="41" t="s">
        <v>241</v>
      </c>
      <c r="AX36" s="19"/>
      <c r="AY36" s="19"/>
      <c r="AZ36" s="19"/>
      <c r="BA36" s="41" t="s">
        <v>242</v>
      </c>
      <c r="BB36" s="19"/>
      <c r="BC36" s="156"/>
      <c r="BD36" s="63"/>
      <c r="BE36" s="54" t="s">
        <v>191</v>
      </c>
      <c r="BF36" s="554"/>
      <c r="BG36" s="555"/>
      <c r="BH36" s="555"/>
      <c r="BI36" s="556"/>
      <c r="BJ36" s="25"/>
      <c r="BK36" s="157"/>
    </row>
    <row r="37" spans="1:63" ht="18.75" customHeight="1" thickBot="1" x14ac:dyDescent="0.3">
      <c r="A37" s="571"/>
      <c r="B37" s="19"/>
      <c r="C37" s="574"/>
      <c r="D37" s="575"/>
      <c r="E37" s="158" t="s">
        <v>9</v>
      </c>
      <c r="F37" s="159" t="s">
        <v>9</v>
      </c>
      <c r="G37" s="159" t="s">
        <v>9</v>
      </c>
      <c r="H37" s="159" t="s">
        <v>9</v>
      </c>
      <c r="I37" s="576"/>
      <c r="J37" s="19"/>
      <c r="K37" s="19"/>
      <c r="L37" s="573"/>
      <c r="M37" s="147" t="s">
        <v>205</v>
      </c>
      <c r="N37" s="138" t="s">
        <v>224</v>
      </c>
      <c r="O37" s="161" t="s">
        <v>243</v>
      </c>
      <c r="P37" s="19"/>
      <c r="Q37" s="65"/>
      <c r="R37" s="63"/>
      <c r="S37" s="2"/>
      <c r="T37" s="83" t="s">
        <v>244</v>
      </c>
      <c r="U37" s="121" t="s">
        <v>176</v>
      </c>
      <c r="V37" s="121" t="s">
        <v>176</v>
      </c>
      <c r="W37" s="121" t="s">
        <v>176</v>
      </c>
      <c r="X37" s="73" t="s">
        <v>245</v>
      </c>
      <c r="Y37"/>
      <c r="AB37" s="122" t="s">
        <v>246</v>
      </c>
      <c r="AN37" s="51"/>
      <c r="AO37" s="162" t="s">
        <v>137</v>
      </c>
      <c r="AP37" s="51"/>
      <c r="AQ37" s="19"/>
      <c r="AR37" s="19"/>
      <c r="AS37" s="63" t="s">
        <v>186</v>
      </c>
      <c r="AT37" s="63" t="s">
        <v>247</v>
      </c>
      <c r="AU37" s="63" t="s">
        <v>248</v>
      </c>
      <c r="AV37" s="63" t="s">
        <v>165</v>
      </c>
      <c r="AW37" s="19"/>
      <c r="AX37" s="19"/>
      <c r="AZ37" s="19"/>
      <c r="BA37" s="19"/>
      <c r="BB37" s="19"/>
      <c r="BC37" s="19"/>
      <c r="BD37" s="63"/>
      <c r="BE37" s="54" t="s">
        <v>191</v>
      </c>
      <c r="BF37" s="554"/>
      <c r="BG37" s="555"/>
      <c r="BH37" s="555"/>
      <c r="BI37" s="556"/>
      <c r="BJ37" s="25"/>
      <c r="BK37" s="157"/>
    </row>
    <row r="38" spans="1:63" ht="18.75" customHeight="1" x14ac:dyDescent="0.25">
      <c r="A38" s="163" t="s">
        <v>178</v>
      </c>
      <c r="B38" s="164"/>
      <c r="C38" s="574"/>
      <c r="D38" s="575"/>
      <c r="E38" s="159" t="s">
        <v>9</v>
      </c>
      <c r="F38" s="159" t="s">
        <v>9</v>
      </c>
      <c r="G38" s="159" t="s">
        <v>9</v>
      </c>
      <c r="H38" s="159" t="s">
        <v>9</v>
      </c>
      <c r="I38" s="576"/>
      <c r="J38" s="19"/>
      <c r="K38" s="165"/>
      <c r="L38" s="573"/>
      <c r="M38" s="147" t="s">
        <v>205</v>
      </c>
      <c r="N38" s="138" t="s">
        <v>224</v>
      </c>
      <c r="O38" s="155"/>
      <c r="P38" s="19"/>
      <c r="Q38" s="19"/>
      <c r="R38" s="63"/>
      <c r="S38" s="2"/>
      <c r="T38" s="72"/>
      <c r="U38" s="166" t="s">
        <v>61</v>
      </c>
      <c r="V38" s="166" t="s">
        <v>61</v>
      </c>
      <c r="W38" s="167" t="s">
        <v>25</v>
      </c>
      <c r="X38" s="560" t="s">
        <v>249</v>
      </c>
      <c r="Y38"/>
      <c r="AB38" s="138" t="s">
        <v>224</v>
      </c>
      <c r="AC38" s="138" t="s">
        <v>224</v>
      </c>
      <c r="AD38" s="138" t="s">
        <v>224</v>
      </c>
      <c r="AE38" s="138" t="s">
        <v>224</v>
      </c>
      <c r="AI38" s="107" t="s">
        <v>210</v>
      </c>
      <c r="AJ38" s="107" t="s">
        <v>210</v>
      </c>
      <c r="AK38" s="107" t="s">
        <v>210</v>
      </c>
      <c r="AL38" s="168">
        <v>4</v>
      </c>
      <c r="AM38" s="51" t="s">
        <v>176</v>
      </c>
      <c r="AN38" s="162" t="s">
        <v>137</v>
      </c>
      <c r="AO38" s="41" t="s">
        <v>250</v>
      </c>
      <c r="AP38" s="162" t="s">
        <v>137</v>
      </c>
      <c r="AQ38" s="51" t="s">
        <v>176</v>
      </c>
      <c r="AR38" s="169">
        <v>2</v>
      </c>
      <c r="AS38" s="54" t="s">
        <v>178</v>
      </c>
      <c r="AT38" s="54" t="s">
        <v>178</v>
      </c>
      <c r="AU38" s="54" t="s">
        <v>178</v>
      </c>
      <c r="AV38" s="54" t="s">
        <v>178</v>
      </c>
      <c r="AX38" s="15" t="s">
        <v>164</v>
      </c>
      <c r="AY38" s="15" t="s">
        <v>164</v>
      </c>
      <c r="AZ38" s="19"/>
      <c r="BA38" s="133" t="s">
        <v>205</v>
      </c>
      <c r="BB38" s="133" t="s">
        <v>205</v>
      </c>
      <c r="BC38" s="133" t="s">
        <v>205</v>
      </c>
      <c r="BD38" s="63"/>
      <c r="BE38" s="41" t="s">
        <v>251</v>
      </c>
      <c r="BF38" s="554"/>
      <c r="BG38" s="555"/>
      <c r="BH38" s="555"/>
      <c r="BI38" s="556"/>
      <c r="BJ38" s="150"/>
      <c r="BK38" s="2"/>
    </row>
    <row r="39" spans="1:63" ht="18.75" customHeight="1" thickBot="1" x14ac:dyDescent="0.3">
      <c r="A39" s="54" t="s">
        <v>178</v>
      </c>
      <c r="B39" s="164"/>
      <c r="C39" s="170"/>
      <c r="D39" s="41" t="s">
        <v>252</v>
      </c>
      <c r="E39" s="151" t="s">
        <v>236</v>
      </c>
      <c r="F39" s="151" t="s">
        <v>236</v>
      </c>
      <c r="G39" s="151" t="s">
        <v>236</v>
      </c>
      <c r="H39" s="151" t="s">
        <v>236</v>
      </c>
      <c r="I39" s="98"/>
      <c r="J39" s="19"/>
      <c r="K39" s="165"/>
      <c r="L39" s="573"/>
      <c r="M39" s="147" t="s">
        <v>205</v>
      </c>
      <c r="N39" s="138" t="s">
        <v>224</v>
      </c>
      <c r="O39" s="65"/>
      <c r="P39" s="171"/>
      <c r="Q39" s="63"/>
      <c r="R39" s="63"/>
      <c r="S39" s="2"/>
      <c r="T39" s="72"/>
      <c r="U39" s="166" t="s">
        <v>61</v>
      </c>
      <c r="V39" s="166" t="s">
        <v>61</v>
      </c>
      <c r="W39" s="167" t="s">
        <v>25</v>
      </c>
      <c r="X39" s="561"/>
      <c r="Y39" s="19"/>
      <c r="AB39" s="143" t="s">
        <v>224</v>
      </c>
      <c r="AC39" s="138" t="s">
        <v>224</v>
      </c>
      <c r="AD39" s="138" t="s">
        <v>224</v>
      </c>
      <c r="AE39" s="138" t="s">
        <v>224</v>
      </c>
      <c r="AI39" s="107" t="s">
        <v>210</v>
      </c>
      <c r="AJ39" s="107" t="s">
        <v>210</v>
      </c>
      <c r="AK39" s="107" t="s">
        <v>210</v>
      </c>
      <c r="AN39" s="51"/>
      <c r="AO39" s="162" t="s">
        <v>137</v>
      </c>
      <c r="AP39" s="51"/>
      <c r="AQ39" s="19"/>
      <c r="AR39" s="19"/>
      <c r="AS39" s="54" t="s">
        <v>178</v>
      </c>
      <c r="AT39" s="54" t="s">
        <v>178</v>
      </c>
      <c r="AU39" s="54" t="s">
        <v>178</v>
      </c>
      <c r="AV39" s="54" t="s">
        <v>178</v>
      </c>
      <c r="AX39" s="15" t="s">
        <v>164</v>
      </c>
      <c r="AY39" s="15" t="s">
        <v>164</v>
      </c>
      <c r="AZ39" s="19"/>
      <c r="BA39" s="133" t="s">
        <v>205</v>
      </c>
      <c r="BB39" s="133" t="s">
        <v>205</v>
      </c>
      <c r="BC39" s="133" t="s">
        <v>205</v>
      </c>
      <c r="BD39" s="63"/>
      <c r="BE39" s="172"/>
      <c r="BF39" s="554"/>
      <c r="BG39" s="555"/>
      <c r="BH39" s="555"/>
      <c r="BI39" s="556"/>
      <c r="BJ39" s="25"/>
      <c r="BK39" s="2"/>
    </row>
    <row r="40" spans="1:63" ht="18.75" customHeight="1" x14ac:dyDescent="0.25">
      <c r="A40" s="54" t="s">
        <v>178</v>
      </c>
      <c r="B40" s="164"/>
      <c r="C40" s="170"/>
      <c r="D40" s="105"/>
      <c r="E40" s="37">
        <v>8</v>
      </c>
      <c r="F40" s="37">
        <v>7</v>
      </c>
      <c r="G40" s="37">
        <v>6</v>
      </c>
      <c r="H40" s="37">
        <v>5</v>
      </c>
      <c r="I40" s="105"/>
      <c r="J40" s="2"/>
      <c r="K40" s="165"/>
      <c r="L40" s="562" t="s">
        <v>253</v>
      </c>
      <c r="M40" s="173" t="s">
        <v>210</v>
      </c>
      <c r="N40" s="138" t="s">
        <v>224</v>
      </c>
      <c r="O40" s="65"/>
      <c r="P40" s="174"/>
      <c r="Q40" s="65"/>
      <c r="R40" s="65"/>
      <c r="S40" s="2"/>
      <c r="T40" s="41" t="s">
        <v>254</v>
      </c>
      <c r="U40" s="121" t="s">
        <v>176</v>
      </c>
      <c r="V40" s="121" t="s">
        <v>176</v>
      </c>
      <c r="W40" s="121" t="s">
        <v>176</v>
      </c>
      <c r="X40" s="175"/>
      <c r="Y40" s="41" t="s">
        <v>255</v>
      </c>
      <c r="AB40" s="19"/>
      <c r="AC40" s="19"/>
      <c r="AD40" s="2"/>
      <c r="AI40" s="41" t="s">
        <v>256</v>
      </c>
      <c r="AN40" s="19"/>
      <c r="AO40" s="51" t="s">
        <v>176</v>
      </c>
      <c r="AP40" s="19"/>
      <c r="AQ40" s="19"/>
      <c r="AR40" s="19"/>
      <c r="AS40" s="63" t="s">
        <v>257</v>
      </c>
      <c r="AT40" s="63"/>
      <c r="AU40" s="63" t="s">
        <v>258</v>
      </c>
      <c r="AV40" s="63"/>
      <c r="AX40" s="41" t="s">
        <v>259</v>
      </c>
      <c r="AY40" s="19"/>
      <c r="AZ40" s="19"/>
      <c r="BA40" s="41" t="s">
        <v>260</v>
      </c>
      <c r="BB40" s="19"/>
      <c r="BC40" s="19"/>
      <c r="BD40" s="19"/>
      <c r="BE40" s="172"/>
      <c r="BF40" s="554"/>
      <c r="BG40" s="555"/>
      <c r="BH40" s="555"/>
      <c r="BI40" s="556"/>
      <c r="BJ40" s="25"/>
      <c r="BK40" s="2"/>
    </row>
    <row r="41" spans="1:63" ht="18.75" customHeight="1" x14ac:dyDescent="0.25">
      <c r="A41" s="41" t="s">
        <v>261</v>
      </c>
      <c r="B41" s="19"/>
      <c r="C41" s="19"/>
      <c r="D41" s="2"/>
      <c r="E41" s="542" t="s">
        <v>233</v>
      </c>
      <c r="F41" s="542"/>
      <c r="G41" s="542"/>
      <c r="H41" s="542"/>
      <c r="I41" s="542"/>
      <c r="J41" s="2"/>
      <c r="K41" s="176"/>
      <c r="L41" s="562"/>
      <c r="M41" s="173" t="s">
        <v>210</v>
      </c>
      <c r="N41" s="138" t="s">
        <v>224</v>
      </c>
      <c r="O41" s="65"/>
      <c r="P41" s="174"/>
      <c r="Q41" s="63"/>
      <c r="R41" s="63"/>
      <c r="S41" s="2"/>
      <c r="T41" s="177"/>
      <c r="U41" s="111">
        <v>1</v>
      </c>
      <c r="V41" s="111">
        <v>2</v>
      </c>
      <c r="W41" s="111">
        <v>3</v>
      </c>
      <c r="X41" s="2"/>
      <c r="Y41" s="19"/>
      <c r="AB41" s="19"/>
      <c r="AC41" s="19"/>
      <c r="AD41" s="2"/>
      <c r="AN41" s="19"/>
      <c r="AO41" s="111">
        <v>3</v>
      </c>
      <c r="AP41" s="63"/>
      <c r="AQ41" s="19"/>
      <c r="AR41" s="19"/>
      <c r="AS41" s="41" t="s">
        <v>262</v>
      </c>
      <c r="AT41" s="19"/>
      <c r="AU41" s="65"/>
      <c r="AV41" s="19"/>
      <c r="AZ41" s="19"/>
      <c r="BA41" s="63"/>
      <c r="BB41" s="63"/>
      <c r="BC41" s="63"/>
      <c r="BD41" s="63"/>
      <c r="BE41" s="172"/>
      <c r="BF41" s="554"/>
      <c r="BG41" s="555"/>
      <c r="BH41" s="555"/>
      <c r="BI41" s="556"/>
      <c r="BJ41" s="25"/>
      <c r="BK41" s="2"/>
    </row>
    <row r="42" spans="1:63" ht="18.75" customHeight="1" thickBot="1" x14ac:dyDescent="0.3">
      <c r="A42" s="26"/>
      <c r="B42" s="2"/>
      <c r="C42" s="170"/>
      <c r="D42" s="2"/>
      <c r="E42" s="37">
        <v>1</v>
      </c>
      <c r="F42" s="37">
        <v>2</v>
      </c>
      <c r="G42" s="37">
        <v>3</v>
      </c>
      <c r="H42" s="37">
        <v>4</v>
      </c>
      <c r="I42" s="37">
        <v>5</v>
      </c>
      <c r="J42" s="2"/>
      <c r="K42" s="176"/>
      <c r="L42" s="562"/>
      <c r="M42" s="173" t="s">
        <v>210</v>
      </c>
      <c r="N42" s="138" t="s">
        <v>224</v>
      </c>
      <c r="O42" s="178"/>
      <c r="P42" s="178"/>
      <c r="Q42" s="19"/>
      <c r="R42" s="19"/>
      <c r="S42" s="179"/>
      <c r="T42" s="63"/>
      <c r="X42" s="180"/>
      <c r="Y42" s="19"/>
      <c r="Z42" s="19"/>
      <c r="AA42" s="105"/>
      <c r="AB42" s="16"/>
      <c r="AE42" s="19"/>
      <c r="AS42" s="19"/>
      <c r="AT42" s="19"/>
      <c r="AU42" s="19"/>
      <c r="AV42" s="65"/>
      <c r="AW42" s="65"/>
      <c r="AX42" s="19"/>
      <c r="AY42" s="19"/>
      <c r="AZ42" s="19"/>
      <c r="BA42" s="19"/>
      <c r="BB42" s="19"/>
      <c r="BC42" s="19"/>
      <c r="BD42" s="92"/>
      <c r="BE42" s="172"/>
      <c r="BF42" s="554"/>
      <c r="BG42" s="555"/>
      <c r="BH42" s="555"/>
      <c r="BI42" s="556"/>
      <c r="BJ42" s="25"/>
      <c r="BK42" s="2"/>
    </row>
    <row r="43" spans="1:63" ht="18.75" customHeight="1" x14ac:dyDescent="0.25">
      <c r="A43" s="26"/>
      <c r="B43" s="19"/>
      <c r="C43" s="170"/>
      <c r="D43" s="45" t="s">
        <v>263</v>
      </c>
      <c r="E43" s="151" t="s">
        <v>236</v>
      </c>
      <c r="F43" s="151" t="s">
        <v>236</v>
      </c>
      <c r="G43" s="151" t="s">
        <v>236</v>
      </c>
      <c r="H43" s="151" t="s">
        <v>236</v>
      </c>
      <c r="I43" s="151" t="s">
        <v>236</v>
      </c>
      <c r="J43" s="73" t="s">
        <v>264</v>
      </c>
      <c r="K43" s="176"/>
      <c r="L43" s="91"/>
      <c r="M43" s="120" t="s">
        <v>265</v>
      </c>
      <c r="N43" s="63"/>
      <c r="O43" s="19"/>
      <c r="P43" s="181"/>
      <c r="Q43" s="563" t="s">
        <v>266</v>
      </c>
      <c r="R43" s="564"/>
      <c r="S43" s="179"/>
      <c r="T43" s="2"/>
      <c r="U43" s="2"/>
      <c r="V43" s="105"/>
      <c r="W43" s="105"/>
      <c r="X43" s="105"/>
      <c r="Y43" s="2"/>
      <c r="Z43" s="2"/>
      <c r="AA43" s="2"/>
      <c r="AB43" s="2"/>
      <c r="AC43" s="2"/>
      <c r="AD43" s="2"/>
      <c r="AE43" s="105"/>
      <c r="AF43" s="105"/>
      <c r="AG43" s="105"/>
      <c r="AH43" s="105"/>
      <c r="AI43" s="105"/>
      <c r="AJ43" s="105"/>
      <c r="AK43" s="19"/>
      <c r="AL43" s="19"/>
      <c r="AM43" s="19"/>
      <c r="AN43" s="105"/>
      <c r="AO43" s="105"/>
      <c r="AP43" s="19"/>
      <c r="AQ43" s="105"/>
      <c r="AR43" s="105"/>
      <c r="AS43" s="105"/>
      <c r="AT43" s="105"/>
      <c r="AU43" s="2"/>
      <c r="AV43" s="2"/>
      <c r="AW43" s="2"/>
      <c r="AX43" s="2"/>
      <c r="AY43" s="2"/>
      <c r="AZ43" s="2"/>
      <c r="BA43" s="2"/>
      <c r="BD43" s="2"/>
      <c r="BE43" s="172"/>
      <c r="BF43" s="554"/>
      <c r="BG43" s="555"/>
      <c r="BH43" s="555"/>
      <c r="BI43" s="556"/>
      <c r="BJ43" s="25"/>
      <c r="BK43" s="2"/>
    </row>
    <row r="44" spans="1:63" ht="18.75" customHeight="1" x14ac:dyDescent="0.25">
      <c r="A44" s="577" t="s">
        <v>172</v>
      </c>
      <c r="B44" s="542"/>
      <c r="C44" s="574"/>
      <c r="D44" s="578"/>
      <c r="E44" s="182" t="s">
        <v>11</v>
      </c>
      <c r="F44" s="183" t="s">
        <v>11</v>
      </c>
      <c r="G44" s="182" t="s">
        <v>11</v>
      </c>
      <c r="H44" s="182" t="s">
        <v>11</v>
      </c>
      <c r="I44" s="182" t="s">
        <v>11</v>
      </c>
      <c r="J44" s="579"/>
      <c r="K44" s="580"/>
      <c r="L44" s="2"/>
      <c r="M44" s="2"/>
      <c r="N44" s="105"/>
      <c r="O44" s="19"/>
      <c r="P44" s="19"/>
      <c r="Q44" s="565"/>
      <c r="R44" s="566"/>
      <c r="S44" s="179"/>
      <c r="T44" s="2"/>
      <c r="U44" s="2"/>
      <c r="V44" s="105"/>
      <c r="W44" s="604" t="s">
        <v>267</v>
      </c>
      <c r="X44" s="604"/>
      <c r="Y44" s="604"/>
      <c r="Z44" s="604"/>
      <c r="AA44" s="105"/>
      <c r="AB44" s="546" t="s">
        <v>171</v>
      </c>
      <c r="AC44" s="546"/>
      <c r="AD44" s="546"/>
      <c r="AE44" s="546"/>
      <c r="AF44" s="105"/>
      <c r="AG44" s="105"/>
      <c r="AH44" s="105"/>
      <c r="AI44" s="105"/>
      <c r="AJ44" s="105"/>
      <c r="AK44" s="2"/>
      <c r="AL44" s="105"/>
      <c r="AM44" s="105"/>
      <c r="AN44" s="550"/>
      <c r="AO44" s="550"/>
      <c r="AP44" s="550"/>
      <c r="AU44" s="19"/>
      <c r="AV44" s="546" t="s">
        <v>171</v>
      </c>
      <c r="AW44" s="546"/>
      <c r="AX44" s="546"/>
      <c r="AY44" s="2"/>
      <c r="AZ44" s="19"/>
      <c r="BA44" s="19"/>
      <c r="BD44" s="2"/>
      <c r="BE44" s="172"/>
      <c r="BF44" s="554"/>
      <c r="BG44" s="555"/>
      <c r="BH44" s="555"/>
      <c r="BI44" s="556"/>
      <c r="BJ44" s="25"/>
      <c r="BK44" s="2"/>
    </row>
    <row r="45" spans="1:63" ht="18.75" customHeight="1" thickBot="1" x14ac:dyDescent="0.3">
      <c r="A45" s="184"/>
      <c r="B45" s="45" t="s">
        <v>268</v>
      </c>
      <c r="C45" s="574"/>
      <c r="D45" s="578"/>
      <c r="E45" s="182" t="s">
        <v>11</v>
      </c>
      <c r="F45" s="183" t="s">
        <v>11</v>
      </c>
      <c r="G45" s="182" t="s">
        <v>11</v>
      </c>
      <c r="H45" s="182" t="s">
        <v>11</v>
      </c>
      <c r="I45" s="185" t="s">
        <v>11</v>
      </c>
      <c r="J45" s="579"/>
      <c r="K45" s="580"/>
      <c r="L45" s="2"/>
      <c r="M45" s="2"/>
      <c r="N45" s="105"/>
      <c r="O45" s="2"/>
      <c r="P45" s="65"/>
      <c r="Q45" s="567"/>
      <c r="R45" s="568"/>
      <c r="S45" s="179"/>
      <c r="T45" s="2"/>
      <c r="U45" s="2"/>
      <c r="V45" s="19"/>
      <c r="W45" s="111">
        <v>1</v>
      </c>
      <c r="X45" s="111">
        <v>2</v>
      </c>
      <c r="Y45" s="111">
        <v>3</v>
      </c>
      <c r="Z45" s="111">
        <v>4</v>
      </c>
      <c r="AA45" s="111"/>
      <c r="AB45" s="111">
        <v>1</v>
      </c>
      <c r="AC45" s="111">
        <v>2</v>
      </c>
      <c r="AD45" s="111">
        <v>3</v>
      </c>
      <c r="AE45" s="111">
        <v>4</v>
      </c>
      <c r="AF45" s="104"/>
      <c r="AG45" s="65"/>
      <c r="AH45" s="65"/>
      <c r="AI45" s="65"/>
      <c r="AJ45" s="65"/>
      <c r="AK45" s="19"/>
      <c r="AL45" s="19"/>
      <c r="AM45" s="19"/>
      <c r="AN45" s="19"/>
      <c r="AO45" s="19"/>
      <c r="AP45" s="19"/>
      <c r="AU45" s="19"/>
      <c r="AV45" s="111">
        <v>1</v>
      </c>
      <c r="AW45" s="111">
        <v>2</v>
      </c>
      <c r="AX45" s="111">
        <v>3</v>
      </c>
      <c r="AY45" s="2"/>
      <c r="AZ45" s="19"/>
      <c r="BA45" s="19"/>
      <c r="BB45" s="19"/>
      <c r="BC45" s="2"/>
      <c r="BD45" s="2"/>
      <c r="BE45" s="186"/>
      <c r="BF45" s="557"/>
      <c r="BG45" s="558"/>
      <c r="BH45" s="558"/>
      <c r="BI45" s="559"/>
      <c r="BJ45" s="25"/>
      <c r="BK45" s="2"/>
    </row>
    <row r="46" spans="1:63" ht="18.75" customHeight="1" thickBot="1" x14ac:dyDescent="0.3">
      <c r="A46" s="187" t="s">
        <v>84</v>
      </c>
      <c r="B46" s="46" t="s">
        <v>176</v>
      </c>
      <c r="C46" s="169">
        <v>1</v>
      </c>
      <c r="D46" s="41" t="s">
        <v>269</v>
      </c>
      <c r="E46" s="151" t="s">
        <v>236</v>
      </c>
      <c r="F46" s="151" t="s">
        <v>236</v>
      </c>
      <c r="G46" s="151" t="s">
        <v>236</v>
      </c>
      <c r="H46" s="151" t="s">
        <v>236</v>
      </c>
      <c r="I46" s="151" t="s">
        <v>236</v>
      </c>
      <c r="J46" s="105"/>
      <c r="K46" s="188"/>
      <c r="L46" s="2"/>
      <c r="M46" s="2"/>
      <c r="N46" s="105"/>
      <c r="O46" s="2"/>
      <c r="P46" s="65"/>
      <c r="Q46" s="189"/>
      <c r="R46" s="190" t="s">
        <v>270</v>
      </c>
      <c r="S46" s="179"/>
      <c r="T46" s="2"/>
      <c r="U46" s="2"/>
      <c r="V46" s="83" t="s">
        <v>271</v>
      </c>
      <c r="W46" s="151" t="s">
        <v>176</v>
      </c>
      <c r="X46" s="151" t="s">
        <v>176</v>
      </c>
      <c r="Y46" s="151" t="s">
        <v>176</v>
      </c>
      <c r="Z46" s="151" t="s">
        <v>176</v>
      </c>
      <c r="AA46" s="83" t="s">
        <v>272</v>
      </c>
      <c r="AB46" s="151" t="s">
        <v>176</v>
      </c>
      <c r="AC46" s="151" t="s">
        <v>176</v>
      </c>
      <c r="AD46" s="151" t="s">
        <v>176</v>
      </c>
      <c r="AE46" s="151" t="s">
        <v>176</v>
      </c>
      <c r="AF46" s="73" t="s">
        <v>273</v>
      </c>
      <c r="AG46" s="65"/>
      <c r="AH46" s="63"/>
      <c r="AI46" s="593" t="s">
        <v>220</v>
      </c>
      <c r="AJ46" s="593"/>
      <c r="AK46" s="593"/>
      <c r="AL46" s="19"/>
      <c r="AM46" s="19"/>
      <c r="AN46" s="19"/>
      <c r="AO46" s="19"/>
      <c r="AP46" s="19"/>
      <c r="AU46" s="83" t="s">
        <v>274</v>
      </c>
      <c r="AV46" s="121" t="s">
        <v>176</v>
      </c>
      <c r="AW46" s="121" t="s">
        <v>176</v>
      </c>
      <c r="AX46" s="121" t="s">
        <v>176</v>
      </c>
      <c r="AY46" s="73" t="s">
        <v>275</v>
      </c>
      <c r="AZ46" s="19"/>
      <c r="BA46" s="19"/>
      <c r="BB46" s="19"/>
      <c r="BC46" s="2"/>
      <c r="BD46" s="2"/>
      <c r="BE46" s="19"/>
      <c r="BF46" s="594" t="s">
        <v>276</v>
      </c>
      <c r="BG46" s="595"/>
      <c r="BH46" s="595"/>
      <c r="BI46" s="596"/>
      <c r="BJ46" s="25"/>
      <c r="BK46" s="2"/>
    </row>
    <row r="47" spans="1:63" ht="18.75" customHeight="1" thickBot="1" x14ac:dyDescent="0.3">
      <c r="A47" s="187" t="s">
        <v>84</v>
      </c>
      <c r="B47" s="46" t="s">
        <v>176</v>
      </c>
      <c r="C47" s="79">
        <v>2</v>
      </c>
      <c r="D47" s="186"/>
      <c r="E47" s="37">
        <v>10</v>
      </c>
      <c r="F47" s="37">
        <v>9</v>
      </c>
      <c r="G47" s="37">
        <v>8</v>
      </c>
      <c r="H47" s="37">
        <v>7</v>
      </c>
      <c r="I47" s="37">
        <v>6</v>
      </c>
      <c r="J47" s="2"/>
      <c r="K47" s="2"/>
      <c r="L47" s="19"/>
      <c r="M47" s="2"/>
      <c r="N47" s="2"/>
      <c r="O47" s="63"/>
      <c r="P47" s="191"/>
      <c r="Q47" s="192" t="s">
        <v>224</v>
      </c>
      <c r="R47" s="19"/>
      <c r="S47" s="179"/>
      <c r="T47" s="2"/>
      <c r="U47" s="2"/>
      <c r="V47" s="193"/>
      <c r="W47" s="194" t="s">
        <v>156</v>
      </c>
      <c r="X47" s="194" t="s">
        <v>156</v>
      </c>
      <c r="Y47" s="194" t="s">
        <v>156</v>
      </c>
      <c r="Z47" s="194" t="s">
        <v>156</v>
      </c>
      <c r="AA47" s="195"/>
      <c r="AB47" s="182" t="s">
        <v>11</v>
      </c>
      <c r="AC47" s="182" t="s">
        <v>11</v>
      </c>
      <c r="AD47" s="182" t="s">
        <v>11</v>
      </c>
      <c r="AE47" s="182" t="s">
        <v>11</v>
      </c>
      <c r="AF47" s="195"/>
      <c r="AG47" s="19"/>
      <c r="AH47" s="19"/>
      <c r="AI47" s="107" t="s">
        <v>210</v>
      </c>
      <c r="AJ47" s="107" t="s">
        <v>210</v>
      </c>
      <c r="AK47" s="107" t="s">
        <v>210</v>
      </c>
      <c r="AL47" s="19"/>
      <c r="AM47" s="19"/>
      <c r="AN47" s="107" t="s">
        <v>210</v>
      </c>
      <c r="AO47" s="19"/>
      <c r="AP47" s="19"/>
      <c r="AU47" s="72"/>
      <c r="AV47" s="196" t="s">
        <v>102</v>
      </c>
      <c r="AW47" s="196" t="s">
        <v>102</v>
      </c>
      <c r="AX47" s="196" t="s">
        <v>102</v>
      </c>
      <c r="AY47" s="72"/>
      <c r="AZ47" s="19"/>
      <c r="BA47" s="19"/>
      <c r="BB47" s="19"/>
      <c r="BC47" s="2"/>
      <c r="BD47" s="2"/>
      <c r="BE47" s="186"/>
      <c r="BF47" s="597"/>
      <c r="BG47" s="598"/>
      <c r="BH47" s="598"/>
      <c r="BI47" s="599"/>
      <c r="BJ47" s="25"/>
      <c r="BK47" s="2"/>
    </row>
    <row r="48" spans="1:63" ht="18.75" customHeight="1" x14ac:dyDescent="0.25">
      <c r="A48" s="187" t="s">
        <v>84</v>
      </c>
      <c r="B48" s="46" t="s">
        <v>176</v>
      </c>
      <c r="C48" s="79">
        <v>3</v>
      </c>
      <c r="D48" s="180"/>
      <c r="E48" s="539" t="s">
        <v>198</v>
      </c>
      <c r="F48" s="539"/>
      <c r="G48" s="539"/>
      <c r="H48" s="539"/>
      <c r="I48" s="153"/>
      <c r="J48" s="153"/>
      <c r="K48" s="2"/>
      <c r="L48" s="19"/>
      <c r="P48" s="197" t="s">
        <v>224</v>
      </c>
      <c r="Q48" s="198"/>
      <c r="R48" s="19"/>
      <c r="S48" s="179"/>
      <c r="T48" s="2"/>
      <c r="U48" s="2"/>
      <c r="V48" s="193"/>
      <c r="W48" s="194" t="s">
        <v>156</v>
      </c>
      <c r="X48" s="194" t="s">
        <v>156</v>
      </c>
      <c r="Y48" s="194" t="s">
        <v>156</v>
      </c>
      <c r="Z48" s="194" t="s">
        <v>156</v>
      </c>
      <c r="AA48" s="195"/>
      <c r="AB48" s="182" t="s">
        <v>11</v>
      </c>
      <c r="AC48" s="182" t="s">
        <v>11</v>
      </c>
      <c r="AD48" s="159" t="s">
        <v>9</v>
      </c>
      <c r="AE48" s="159" t="s">
        <v>9</v>
      </c>
      <c r="AF48" s="195"/>
      <c r="AG48" s="19"/>
      <c r="AH48" s="19"/>
      <c r="AI48" s="107" t="s">
        <v>210</v>
      </c>
      <c r="AJ48" s="107" t="s">
        <v>210</v>
      </c>
      <c r="AK48" s="107" t="s">
        <v>210</v>
      </c>
      <c r="AL48" s="19"/>
      <c r="AM48" s="107" t="s">
        <v>210</v>
      </c>
      <c r="AN48" s="41" t="s">
        <v>277</v>
      </c>
      <c r="AO48" s="107" t="s">
        <v>210</v>
      </c>
      <c r="AP48" s="19"/>
      <c r="AU48" s="72"/>
      <c r="AV48" s="196" t="s">
        <v>102</v>
      </c>
      <c r="AW48" s="196" t="s">
        <v>102</v>
      </c>
      <c r="AX48" s="196" t="s">
        <v>102</v>
      </c>
      <c r="AY48" s="72"/>
      <c r="AZ48" s="19"/>
      <c r="BA48" s="19"/>
      <c r="BB48" s="603"/>
      <c r="BC48" s="603"/>
      <c r="BD48" s="2"/>
      <c r="BE48" s="186"/>
      <c r="BF48" s="597"/>
      <c r="BG48" s="598"/>
      <c r="BH48" s="598"/>
      <c r="BI48" s="599"/>
      <c r="BJ48" s="25"/>
      <c r="BK48" s="2"/>
    </row>
    <row r="49" spans="1:63" ht="18.75" customHeight="1" x14ac:dyDescent="0.25">
      <c r="A49" s="187" t="s">
        <v>84</v>
      </c>
      <c r="B49" s="51" t="s">
        <v>176</v>
      </c>
      <c r="C49" s="79">
        <v>4</v>
      </c>
      <c r="D49" s="199"/>
      <c r="E49" s="37">
        <v>1</v>
      </c>
      <c r="F49" s="37">
        <v>2</v>
      </c>
      <c r="G49" s="37">
        <v>3</v>
      </c>
      <c r="H49" s="37">
        <v>4</v>
      </c>
      <c r="I49" s="93"/>
      <c r="J49" s="153"/>
      <c r="K49" s="2"/>
      <c r="L49" s="19"/>
      <c r="P49" s="200" t="s">
        <v>224</v>
      </c>
      <c r="Q49" s="19"/>
      <c r="R49" s="179"/>
      <c r="S49" s="179"/>
      <c r="U49" s="2"/>
      <c r="V49" s="73" t="s">
        <v>278</v>
      </c>
      <c r="W49" s="151" t="s">
        <v>176</v>
      </c>
      <c r="X49" s="151" t="s">
        <v>176</v>
      </c>
      <c r="Y49" s="151" t="s">
        <v>176</v>
      </c>
      <c r="Z49" s="151" t="s">
        <v>176</v>
      </c>
      <c r="AA49" s="41" t="s">
        <v>279</v>
      </c>
      <c r="AB49" s="151" t="s">
        <v>176</v>
      </c>
      <c r="AC49" s="151" t="s">
        <v>176</v>
      </c>
      <c r="AD49" s="151" t="s">
        <v>176</v>
      </c>
      <c r="AE49" s="151" t="s">
        <v>176</v>
      </c>
      <c r="AF49" s="41" t="s">
        <v>280</v>
      </c>
      <c r="AG49" s="63"/>
      <c r="AH49" s="63"/>
      <c r="AI49" s="41" t="s">
        <v>281</v>
      </c>
      <c r="AJ49" s="19"/>
      <c r="AK49" s="19"/>
      <c r="AL49" s="19"/>
      <c r="AM49" s="19"/>
      <c r="AN49" s="107" t="s">
        <v>210</v>
      </c>
      <c r="AO49" s="19"/>
      <c r="AP49" s="19"/>
      <c r="AU49" s="41" t="s">
        <v>282</v>
      </c>
      <c r="AV49" s="121" t="s">
        <v>176</v>
      </c>
      <c r="AW49" s="121" t="s">
        <v>176</v>
      </c>
      <c r="AX49" s="121" t="s">
        <v>176</v>
      </c>
      <c r="AY49" s="19"/>
      <c r="AZ49" s="19"/>
      <c r="BA49" s="19"/>
      <c r="BB49" s="111"/>
      <c r="BC49" s="111"/>
      <c r="BD49" s="201"/>
      <c r="BE49" s="202"/>
      <c r="BF49" s="597"/>
      <c r="BG49" s="598"/>
      <c r="BH49" s="598"/>
      <c r="BI49" s="599"/>
      <c r="BJ49" s="25"/>
      <c r="BK49" s="2"/>
    </row>
    <row r="50" spans="1:63" ht="18.75" customHeight="1" x14ac:dyDescent="0.25">
      <c r="A50" s="184"/>
      <c r="B50" s="203" t="s">
        <v>283</v>
      </c>
      <c r="C50" s="181"/>
      <c r="D50" s="45" t="s">
        <v>284</v>
      </c>
      <c r="E50" s="204" t="s">
        <v>176</v>
      </c>
      <c r="F50" s="204" t="s">
        <v>176</v>
      </c>
      <c r="G50" s="204" t="s">
        <v>176</v>
      </c>
      <c r="H50" s="204" t="s">
        <v>176</v>
      </c>
      <c r="I50" s="73" t="s">
        <v>285</v>
      </c>
      <c r="J50" s="153"/>
      <c r="K50" s="2"/>
      <c r="L50" s="19"/>
      <c r="P50" s="200" t="s">
        <v>224</v>
      </c>
      <c r="Q50" s="179"/>
      <c r="R50" s="179"/>
      <c r="S50" s="65"/>
      <c r="T50" s="2"/>
      <c r="U50" s="2"/>
      <c r="V50" s="2"/>
      <c r="W50" s="111">
        <v>8</v>
      </c>
      <c r="X50" s="111">
        <v>7</v>
      </c>
      <c r="Y50" s="111">
        <v>6</v>
      </c>
      <c r="Z50" s="111">
        <v>5</v>
      </c>
      <c r="AA50" s="111"/>
      <c r="AB50" s="111">
        <v>8</v>
      </c>
      <c r="AC50" s="111">
        <v>7</v>
      </c>
      <c r="AD50" s="111">
        <v>6</v>
      </c>
      <c r="AE50" s="111">
        <v>5</v>
      </c>
      <c r="AF50" s="2"/>
      <c r="AG50" s="63"/>
      <c r="AH50" s="63"/>
      <c r="AI50" s="205"/>
      <c r="AJ50" s="63"/>
      <c r="AK50" s="63"/>
      <c r="AL50" s="19"/>
      <c r="AM50" s="19"/>
      <c r="AN50" s="19"/>
      <c r="AO50" s="19"/>
      <c r="AP50" s="19"/>
      <c r="AU50" s="2"/>
      <c r="AV50" s="111">
        <v>6</v>
      </c>
      <c r="AW50" s="111">
        <v>5</v>
      </c>
      <c r="AX50" s="111">
        <v>4</v>
      </c>
      <c r="AY50" s="206"/>
      <c r="AZ50" s="19"/>
      <c r="BA50" s="19"/>
      <c r="BC50" s="207"/>
      <c r="BD50" s="63"/>
      <c r="BE50" s="206"/>
      <c r="BF50" s="597"/>
      <c r="BG50" s="598"/>
      <c r="BH50" s="598"/>
      <c r="BI50" s="599"/>
      <c r="BJ50" s="25"/>
      <c r="BK50" s="2"/>
    </row>
    <row r="51" spans="1:63" ht="18.75" customHeight="1" x14ac:dyDescent="0.25">
      <c r="A51" s="208"/>
      <c r="B51" s="26"/>
      <c r="C51" s="181"/>
      <c r="D51" s="209"/>
      <c r="E51" s="210" t="s">
        <v>27</v>
      </c>
      <c r="F51" s="210" t="s">
        <v>27</v>
      </c>
      <c r="G51" s="210" t="s">
        <v>27</v>
      </c>
      <c r="H51" s="210" t="s">
        <v>27</v>
      </c>
      <c r="I51" s="209"/>
      <c r="J51" s="63"/>
      <c r="K51" s="2"/>
      <c r="L51" s="2"/>
      <c r="P51" s="211"/>
      <c r="Q51" s="179"/>
      <c r="R51" s="179"/>
      <c r="S51" s="65"/>
      <c r="T51" s="2"/>
      <c r="U51" s="2"/>
      <c r="V51" s="2"/>
      <c r="Z51" s="99"/>
      <c r="AA51" s="19"/>
      <c r="AB51" s="546" t="s">
        <v>172</v>
      </c>
      <c r="AC51" s="546"/>
      <c r="AD51" s="546"/>
      <c r="AE51" s="546"/>
      <c r="AF51" s="2"/>
      <c r="AG51" s="63"/>
      <c r="AH51" s="63"/>
      <c r="AI51" s="212">
        <v>1</v>
      </c>
      <c r="AJ51" s="212">
        <v>2</v>
      </c>
      <c r="AK51" s="212">
        <v>3</v>
      </c>
      <c r="AL51" s="19"/>
      <c r="AM51" s="19"/>
      <c r="AN51" s="19"/>
      <c r="AO51" s="63"/>
      <c r="AP51" s="212">
        <v>1</v>
      </c>
      <c r="AQ51" s="212">
        <v>2</v>
      </c>
      <c r="AR51" s="212">
        <v>3</v>
      </c>
      <c r="AS51" s="19"/>
      <c r="AT51" s="19"/>
      <c r="AU51" s="19"/>
      <c r="AV51" s="19"/>
      <c r="AW51" s="19"/>
      <c r="AX51" s="2"/>
      <c r="AY51" s="2"/>
      <c r="AZ51" s="2"/>
      <c r="BA51" s="2"/>
      <c r="BD51" s="201"/>
      <c r="BE51" s="213"/>
      <c r="BF51" s="597"/>
      <c r="BG51" s="598"/>
      <c r="BH51" s="598"/>
      <c r="BI51" s="599"/>
      <c r="BJ51" s="25"/>
      <c r="BK51" s="2"/>
    </row>
    <row r="52" spans="1:63" ht="18.75" customHeight="1" thickBot="1" x14ac:dyDescent="0.3">
      <c r="A52" s="26"/>
      <c r="B52" s="19"/>
      <c r="C52" s="19"/>
      <c r="D52" s="209"/>
      <c r="E52" s="210" t="s">
        <v>27</v>
      </c>
      <c r="F52" s="210" t="s">
        <v>27</v>
      </c>
      <c r="G52" s="210" t="s">
        <v>27</v>
      </c>
      <c r="H52" s="210" t="s">
        <v>27</v>
      </c>
      <c r="I52" s="209"/>
      <c r="J52" s="63"/>
      <c r="K52" s="2"/>
      <c r="L52" s="2"/>
      <c r="P52" s="211"/>
      <c r="Q52" s="179"/>
      <c r="R52" s="179"/>
      <c r="S52" s="65"/>
      <c r="T52" s="2"/>
      <c r="U52" s="2"/>
      <c r="W52" s="120" t="s">
        <v>286</v>
      </c>
      <c r="X52" s="1"/>
      <c r="Y52" s="1"/>
      <c r="AA52" s="83" t="s">
        <v>287</v>
      </c>
      <c r="AB52" s="51" t="s">
        <v>176</v>
      </c>
      <c r="AC52" s="51" t="s">
        <v>176</v>
      </c>
      <c r="AD52" s="51" t="s">
        <v>176</v>
      </c>
      <c r="AE52" s="51" t="s">
        <v>176</v>
      </c>
      <c r="AF52" s="2"/>
      <c r="AG52" s="214"/>
      <c r="AH52" s="215" t="s">
        <v>194</v>
      </c>
      <c r="AI52" s="39" t="s">
        <v>173</v>
      </c>
      <c r="AJ52" s="39" t="s">
        <v>173</v>
      </c>
      <c r="AK52" s="39" t="s">
        <v>173</v>
      </c>
      <c r="AL52" s="216" t="s">
        <v>288</v>
      </c>
      <c r="AM52" s="19"/>
      <c r="AN52" s="19"/>
      <c r="AO52" s="217" t="s">
        <v>211</v>
      </c>
      <c r="AP52" s="39" t="s">
        <v>173</v>
      </c>
      <c r="AQ52" s="39" t="s">
        <v>173</v>
      </c>
      <c r="AR52" s="39" t="s">
        <v>173</v>
      </c>
      <c r="AS52" s="218"/>
      <c r="AT52" s="19"/>
      <c r="AU52" s="19"/>
      <c r="AV52" s="19"/>
      <c r="AW52" s="19"/>
      <c r="AX52" s="2"/>
      <c r="AY52" s="2"/>
      <c r="AZ52" s="2"/>
      <c r="BA52" s="2"/>
      <c r="BD52" s="63"/>
      <c r="BE52" s="156"/>
      <c r="BF52" s="597"/>
      <c r="BG52" s="598"/>
      <c r="BH52" s="598"/>
      <c r="BI52" s="599"/>
      <c r="BJ52" s="25"/>
      <c r="BK52" s="2"/>
    </row>
    <row r="53" spans="1:63" ht="18.75" customHeight="1" x14ac:dyDescent="0.25">
      <c r="A53" s="542" t="s">
        <v>198</v>
      </c>
      <c r="B53" s="542"/>
      <c r="C53" s="2"/>
      <c r="D53" s="41" t="s">
        <v>289</v>
      </c>
      <c r="E53" s="204" t="s">
        <v>176</v>
      </c>
      <c r="F53" s="204" t="s">
        <v>176</v>
      </c>
      <c r="G53" s="204" t="s">
        <v>176</v>
      </c>
      <c r="H53" s="204" t="s">
        <v>176</v>
      </c>
      <c r="I53" s="219"/>
      <c r="J53" s="63"/>
      <c r="K53" s="2"/>
      <c r="L53" s="2"/>
      <c r="O53" s="41" t="s">
        <v>290</v>
      </c>
      <c r="P53" s="211"/>
      <c r="Q53" s="179"/>
      <c r="R53" s="179"/>
      <c r="S53" s="65"/>
      <c r="T53" s="2"/>
      <c r="U53" s="2"/>
      <c r="W53" s="220" t="s">
        <v>291</v>
      </c>
      <c r="X53" s="220" t="s">
        <v>291</v>
      </c>
      <c r="Y53" s="220" t="s">
        <v>291</v>
      </c>
      <c r="AA53" s="184"/>
      <c r="AB53" s="52" t="s">
        <v>133</v>
      </c>
      <c r="AC53" s="52" t="s">
        <v>133</v>
      </c>
      <c r="AD53" s="52" t="s">
        <v>133</v>
      </c>
      <c r="AE53" s="52" t="s">
        <v>133</v>
      </c>
      <c r="AF53" s="184"/>
      <c r="AG53" s="221"/>
      <c r="AH53" s="615" t="s">
        <v>292</v>
      </c>
      <c r="AI53" s="222" t="s">
        <v>174</v>
      </c>
      <c r="AJ53" s="222" t="s">
        <v>174</v>
      </c>
      <c r="AK53" s="222" t="s">
        <v>174</v>
      </c>
      <c r="AL53" s="223"/>
      <c r="AM53" s="221"/>
      <c r="AN53" s="221"/>
      <c r="AO53" s="223"/>
      <c r="AP53" s="222" t="s">
        <v>174</v>
      </c>
      <c r="AQ53" s="222" t="s">
        <v>174</v>
      </c>
      <c r="AR53" s="222" t="s">
        <v>174</v>
      </c>
      <c r="AS53" s="223"/>
      <c r="AT53" s="221"/>
      <c r="AU53" s="19"/>
      <c r="AV53" s="224" t="s">
        <v>205</v>
      </c>
      <c r="AW53" s="224" t="s">
        <v>205</v>
      </c>
      <c r="AX53" s="224" t="s">
        <v>205</v>
      </c>
      <c r="AY53" s="2"/>
      <c r="AZ53" s="2"/>
      <c r="BA53" s="2"/>
      <c r="BB53" s="207"/>
      <c r="BC53" s="207"/>
      <c r="BD53" s="19"/>
      <c r="BE53" s="63"/>
      <c r="BF53" s="597"/>
      <c r="BG53" s="598"/>
      <c r="BH53" s="598"/>
      <c r="BI53" s="599"/>
      <c r="BJ53" s="25"/>
      <c r="BK53" s="2"/>
    </row>
    <row r="54" spans="1:63" ht="18.75" customHeight="1" thickBot="1" x14ac:dyDescent="0.3">
      <c r="A54" s="225"/>
      <c r="B54" s="45" t="s">
        <v>293</v>
      </c>
      <c r="C54" s="2"/>
      <c r="D54" s="226"/>
      <c r="E54" s="37">
        <v>8</v>
      </c>
      <c r="F54" s="37">
        <v>7</v>
      </c>
      <c r="G54" s="37">
        <v>6</v>
      </c>
      <c r="H54" s="37">
        <v>5</v>
      </c>
      <c r="I54" s="19"/>
      <c r="J54" s="63"/>
      <c r="K54" s="2"/>
      <c r="L54" s="2"/>
      <c r="M54" s="2"/>
      <c r="N54" s="2"/>
      <c r="O54" s="227" t="s">
        <v>224</v>
      </c>
      <c r="P54" s="211"/>
      <c r="Q54" s="179"/>
      <c r="R54" s="179"/>
      <c r="S54" s="65"/>
      <c r="U54" s="2"/>
      <c r="W54" s="220" t="s">
        <v>291</v>
      </c>
      <c r="X54" s="220" t="s">
        <v>291</v>
      </c>
      <c r="Y54" s="220" t="s">
        <v>291</v>
      </c>
      <c r="AA54" s="184"/>
      <c r="AB54" s="228" t="s">
        <v>84</v>
      </c>
      <c r="AC54" s="228" t="s">
        <v>84</v>
      </c>
      <c r="AD54" s="228" t="s">
        <v>84</v>
      </c>
      <c r="AE54" s="228" t="s">
        <v>84</v>
      </c>
      <c r="AF54" s="184"/>
      <c r="AG54" s="221"/>
      <c r="AH54" s="616"/>
      <c r="AI54" s="222" t="s">
        <v>174</v>
      </c>
      <c r="AJ54" s="222" t="s">
        <v>174</v>
      </c>
      <c r="AK54" s="222" t="s">
        <v>174</v>
      </c>
      <c r="AL54" s="223"/>
      <c r="AM54" s="221"/>
      <c r="AN54" s="221"/>
      <c r="AO54" s="223"/>
      <c r="AP54" s="222" t="s">
        <v>174</v>
      </c>
      <c r="AQ54" s="222" t="s">
        <v>174</v>
      </c>
      <c r="AR54" s="222" t="s">
        <v>174</v>
      </c>
      <c r="AS54" s="223"/>
      <c r="AT54" s="221"/>
      <c r="AU54" s="19"/>
      <c r="AV54" s="224" t="s">
        <v>205</v>
      </c>
      <c r="AW54" s="224" t="s">
        <v>205</v>
      </c>
      <c r="AX54" s="224" t="s">
        <v>205</v>
      </c>
      <c r="AY54" s="2"/>
      <c r="AZ54" s="2"/>
      <c r="BA54" s="2"/>
      <c r="BB54" s="111"/>
      <c r="BC54" s="111"/>
      <c r="BD54" s="19"/>
      <c r="BE54" s="19"/>
      <c r="BF54" s="597"/>
      <c r="BG54" s="598"/>
      <c r="BH54" s="598"/>
      <c r="BI54" s="599"/>
      <c r="BJ54" s="25"/>
      <c r="BK54" s="2"/>
    </row>
    <row r="55" spans="1:63" ht="18.75" customHeight="1" x14ac:dyDescent="0.25">
      <c r="A55" s="210" t="s">
        <v>27</v>
      </c>
      <c r="B55" s="204" t="s">
        <v>176</v>
      </c>
      <c r="C55" s="169">
        <v>1</v>
      </c>
      <c r="D55" s="229"/>
      <c r="E55" s="133" t="s">
        <v>205</v>
      </c>
      <c r="F55" s="133" t="s">
        <v>205</v>
      </c>
      <c r="G55" s="133" t="s">
        <v>205</v>
      </c>
      <c r="H55" s="133" t="s">
        <v>205</v>
      </c>
      <c r="I55" s="19" t="s">
        <v>294</v>
      </c>
      <c r="J55" s="63"/>
      <c r="K55" s="2"/>
      <c r="L55" s="2"/>
      <c r="M55" s="2"/>
      <c r="N55" s="19"/>
      <c r="O55" s="227" t="s">
        <v>224</v>
      </c>
      <c r="P55" s="230" t="s">
        <v>295</v>
      </c>
      <c r="Q55" s="179"/>
      <c r="R55" s="179"/>
      <c r="S55" s="65"/>
      <c r="U55" s="2"/>
      <c r="W55" s="617" t="s">
        <v>296</v>
      </c>
      <c r="X55" s="617"/>
      <c r="Y55" s="617"/>
      <c r="AA55" s="41" t="s">
        <v>297</v>
      </c>
      <c r="AB55" s="51" t="s">
        <v>176</v>
      </c>
      <c r="AC55" s="51" t="s">
        <v>176</v>
      </c>
      <c r="AD55" s="51" t="s">
        <v>176</v>
      </c>
      <c r="AE55" s="51" t="s">
        <v>176</v>
      </c>
      <c r="AF55" s="2"/>
      <c r="AG55" s="63"/>
      <c r="AH55" s="221"/>
      <c r="AI55" s="39" t="s">
        <v>173</v>
      </c>
      <c r="AJ55" s="39" t="s">
        <v>173</v>
      </c>
      <c r="AK55" s="39" t="s">
        <v>173</v>
      </c>
      <c r="AL55" s="221"/>
      <c r="AM55" s="19"/>
      <c r="AN55" s="19"/>
      <c r="AO55" s="221"/>
      <c r="AP55" s="39" t="s">
        <v>173</v>
      </c>
      <c r="AQ55" s="39" t="s">
        <v>173</v>
      </c>
      <c r="AR55" s="39" t="s">
        <v>173</v>
      </c>
      <c r="AS55" s="221"/>
      <c r="AT55" s="65"/>
      <c r="AU55" s="19"/>
      <c r="AV55" s="41" t="s">
        <v>298</v>
      </c>
      <c r="AW55" s="19"/>
      <c r="AX55" s="2"/>
      <c r="AY55" s="2"/>
      <c r="AZ55" s="2"/>
      <c r="BA55" s="2"/>
      <c r="BB55" s="231"/>
      <c r="BC55" s="186"/>
      <c r="BD55" s="2"/>
      <c r="BE55" s="2"/>
      <c r="BF55" s="597"/>
      <c r="BG55" s="598"/>
      <c r="BH55" s="598"/>
      <c r="BI55" s="599"/>
      <c r="BJ55" s="25"/>
      <c r="BK55" s="2"/>
    </row>
    <row r="56" spans="1:63" ht="18.75" customHeight="1" thickBot="1" x14ac:dyDescent="0.3">
      <c r="A56" s="210" t="s">
        <v>27</v>
      </c>
      <c r="B56" s="204" t="s">
        <v>176</v>
      </c>
      <c r="C56" s="79">
        <v>2</v>
      </c>
      <c r="D56" s="41" t="s">
        <v>299</v>
      </c>
      <c r="E56" s="133" t="s">
        <v>205</v>
      </c>
      <c r="F56" s="133" t="s">
        <v>205</v>
      </c>
      <c r="G56" s="133" t="s">
        <v>205</v>
      </c>
      <c r="H56" s="133" t="s">
        <v>205</v>
      </c>
      <c r="I56" s="2"/>
      <c r="J56" s="2"/>
      <c r="K56" s="2"/>
      <c r="L56" s="2"/>
      <c r="M56" s="2"/>
      <c r="N56" s="19"/>
      <c r="O56" s="232" t="s">
        <v>217</v>
      </c>
      <c r="P56" s="233" t="s">
        <v>164</v>
      </c>
      <c r="Q56" s="179"/>
      <c r="R56" s="179"/>
      <c r="S56" s="65"/>
      <c r="U56" s="2"/>
      <c r="V56" s="91"/>
      <c r="W56" s="91"/>
      <c r="X56" s="91"/>
      <c r="Y56" s="91"/>
      <c r="Z56" s="19"/>
      <c r="AA56" s="19"/>
      <c r="AB56" s="111">
        <v>8</v>
      </c>
      <c r="AC56" s="111">
        <v>7</v>
      </c>
      <c r="AD56" s="111">
        <v>6</v>
      </c>
      <c r="AE56" s="111">
        <v>5</v>
      </c>
      <c r="AF56" s="19"/>
      <c r="AG56" s="19"/>
      <c r="AH56" s="41" t="s">
        <v>300</v>
      </c>
      <c r="AI56" s="212">
        <v>6</v>
      </c>
      <c r="AJ56" s="212">
        <v>5</v>
      </c>
      <c r="AK56" s="212">
        <v>4</v>
      </c>
      <c r="AL56" s="63"/>
      <c r="AM56" s="19"/>
      <c r="AN56" s="19"/>
      <c r="AO56" s="41" t="s">
        <v>301</v>
      </c>
      <c r="AP56" s="212">
        <v>6</v>
      </c>
      <c r="AQ56" s="212">
        <v>5</v>
      </c>
      <c r="AR56" s="212">
        <v>4</v>
      </c>
      <c r="AS56" s="19"/>
      <c r="AT56" s="63"/>
      <c r="AU56" s="19"/>
      <c r="AV56" s="19"/>
      <c r="AW56" s="19"/>
      <c r="AX56" s="2"/>
      <c r="AY56" s="2"/>
      <c r="AZ56" s="2"/>
      <c r="BA56" s="2"/>
      <c r="BB56" s="231"/>
      <c r="BC56" s="186"/>
      <c r="BD56" s="2"/>
      <c r="BE56" s="2"/>
      <c r="BF56" s="600"/>
      <c r="BG56" s="601"/>
      <c r="BH56" s="601"/>
      <c r="BI56" s="602"/>
      <c r="BJ56" s="25"/>
      <c r="BK56" s="2"/>
    </row>
    <row r="57" spans="1:63" ht="18.75" customHeight="1" thickBot="1" x14ac:dyDescent="0.3">
      <c r="A57" s="210" t="s">
        <v>27</v>
      </c>
      <c r="B57" s="204" t="s">
        <v>176</v>
      </c>
      <c r="C57" s="79">
        <v>3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32" t="s">
        <v>217</v>
      </c>
      <c r="P57" s="233" t="s">
        <v>164</v>
      </c>
      <c r="Q57" s="130"/>
      <c r="R57" s="65"/>
      <c r="S57" s="65"/>
      <c r="U57" s="2"/>
      <c r="V57" s="1"/>
      <c r="W57" s="1"/>
      <c r="X57" s="1"/>
      <c r="Y57" s="1"/>
      <c r="Z57" s="63"/>
      <c r="AA57" s="63"/>
      <c r="AB57" s="19"/>
      <c r="AC57" s="111">
        <v>1</v>
      </c>
      <c r="AD57" s="111">
        <v>2</v>
      </c>
      <c r="AE57" s="111">
        <v>3</v>
      </c>
      <c r="AF57" s="19"/>
      <c r="AG57" s="19"/>
      <c r="AH57" s="19"/>
      <c r="AI57" s="234"/>
      <c r="AJ57" s="234"/>
      <c r="AK57" s="234"/>
      <c r="AL57" s="2"/>
      <c r="AM57" s="2"/>
      <c r="AN57" s="19"/>
      <c r="AP57" s="19"/>
      <c r="AQ57" s="19"/>
      <c r="AR57" s="19"/>
      <c r="AS57" s="19"/>
      <c r="AT57" s="19"/>
      <c r="AU57" s="19"/>
      <c r="AV57" s="19"/>
      <c r="AW57" s="63"/>
      <c r="AX57" s="98"/>
      <c r="AY57" s="2"/>
      <c r="AZ57" s="186"/>
      <c r="BA57" s="186"/>
      <c r="BB57" s="186"/>
      <c r="BC57" s="186"/>
      <c r="BD57" s="2"/>
      <c r="BE57" s="2"/>
      <c r="BF57" s="2"/>
      <c r="BG57" s="2"/>
      <c r="BH57" s="2"/>
      <c r="BI57" s="581" t="s">
        <v>231</v>
      </c>
      <c r="BJ57" s="25"/>
      <c r="BK57" s="2"/>
    </row>
    <row r="58" spans="1:63" ht="18.75" customHeight="1" x14ac:dyDescent="0.25">
      <c r="A58" s="210" t="s">
        <v>27</v>
      </c>
      <c r="B58" s="204" t="s">
        <v>176</v>
      </c>
      <c r="C58" s="79">
        <v>4</v>
      </c>
      <c r="D58" s="19"/>
      <c r="E58" s="15" t="s">
        <v>164</v>
      </c>
      <c r="F58" s="15" t="s">
        <v>164</v>
      </c>
      <c r="G58" s="15" t="s">
        <v>164</v>
      </c>
      <c r="H58" s="19" t="s">
        <v>302</v>
      </c>
      <c r="I58" s="19"/>
      <c r="J58" s="19"/>
      <c r="K58" s="19"/>
      <c r="L58" s="19"/>
      <c r="M58" s="19"/>
      <c r="N58" s="19"/>
      <c r="O58" s="232" t="s">
        <v>217</v>
      </c>
      <c r="P58" s="233" t="s">
        <v>164</v>
      </c>
      <c r="Q58" s="130"/>
      <c r="R58" s="65"/>
      <c r="S58" s="65"/>
      <c r="T58" s="2"/>
      <c r="U58" s="2"/>
      <c r="W58" s="235" t="s">
        <v>177</v>
      </c>
      <c r="X58" s="235" t="s">
        <v>177</v>
      </c>
      <c r="Y58" s="235" t="s">
        <v>177</v>
      </c>
      <c r="Z58" s="235" t="s">
        <v>177</v>
      </c>
      <c r="AA58" s="19"/>
      <c r="AB58" s="83" t="s">
        <v>303</v>
      </c>
      <c r="AC58" s="77" t="s">
        <v>176</v>
      </c>
      <c r="AD58" s="77" t="s">
        <v>176</v>
      </c>
      <c r="AE58" s="77" t="s">
        <v>176</v>
      </c>
      <c r="AF58" s="73" t="s">
        <v>199</v>
      </c>
      <c r="AG58" s="19"/>
      <c r="AH58" s="19"/>
      <c r="AI58" s="63"/>
      <c r="AJ58" s="63"/>
      <c r="AK58" s="19"/>
      <c r="AL58" s="19"/>
      <c r="AM58" s="19"/>
      <c r="AN58" s="234"/>
      <c r="AO58" s="19"/>
      <c r="AP58" s="19"/>
      <c r="AQ58" s="19"/>
      <c r="AR58" s="19"/>
      <c r="AS58" s="19"/>
      <c r="AT58" s="19"/>
      <c r="AU58" s="19"/>
      <c r="AV58" s="2"/>
      <c r="AW58" s="2"/>
      <c r="AX58" s="583" t="s">
        <v>304</v>
      </c>
      <c r="AY58" s="584"/>
      <c r="AZ58" s="584"/>
      <c r="BA58" s="584"/>
      <c r="BB58" s="584"/>
      <c r="BC58" s="585"/>
      <c r="BD58" s="2"/>
      <c r="BE58" s="2"/>
      <c r="BF58" s="2"/>
      <c r="BG58" s="2"/>
      <c r="BH58" s="2"/>
      <c r="BI58" s="581"/>
      <c r="BJ58" s="25"/>
      <c r="BK58" s="2"/>
    </row>
    <row r="59" spans="1:63" ht="18.75" customHeight="1" thickBot="1" x14ac:dyDescent="0.3">
      <c r="A59" s="208" t="s">
        <v>305</v>
      </c>
      <c r="B59" s="41" t="s">
        <v>306</v>
      </c>
      <c r="C59" s="19"/>
      <c r="D59" s="41" t="s">
        <v>307</v>
      </c>
      <c r="E59" s="15" t="s">
        <v>164</v>
      </c>
      <c r="F59" s="15" t="s">
        <v>164</v>
      </c>
      <c r="G59" s="15" t="s">
        <v>164</v>
      </c>
      <c r="H59" s="19"/>
      <c r="I59" s="19"/>
      <c r="J59" s="19"/>
      <c r="K59" s="19"/>
      <c r="L59" s="19"/>
      <c r="M59" s="19"/>
      <c r="N59" s="19"/>
      <c r="O59" s="232" t="s">
        <v>217</v>
      </c>
      <c r="P59" s="233" t="s">
        <v>164</v>
      </c>
      <c r="Q59" s="130"/>
      <c r="R59" s="65"/>
      <c r="S59" s="65"/>
      <c r="T59" s="2"/>
      <c r="U59" s="2"/>
      <c r="W59" s="235" t="s">
        <v>177</v>
      </c>
      <c r="X59" s="235" t="s">
        <v>177</v>
      </c>
      <c r="Y59" s="235" t="s">
        <v>177</v>
      </c>
      <c r="Z59" s="235" t="s">
        <v>177</v>
      </c>
      <c r="AA59" s="19"/>
      <c r="AB59" s="121"/>
      <c r="AC59" s="78" t="s">
        <v>112</v>
      </c>
      <c r="AD59" s="78" t="s">
        <v>112</v>
      </c>
      <c r="AE59" s="78" t="s">
        <v>112</v>
      </c>
      <c r="AF59" s="121"/>
      <c r="AG59" s="19"/>
      <c r="AH59" s="19"/>
      <c r="AI59" s="19"/>
      <c r="AJ59" s="19"/>
      <c r="AK59" s="19"/>
      <c r="AL59" s="19"/>
      <c r="AM59" s="19"/>
      <c r="AN59" s="19"/>
      <c r="AO59" s="236"/>
      <c r="AP59" s="237">
        <v>1</v>
      </c>
      <c r="AQ59" s="237">
        <v>2</v>
      </c>
      <c r="AR59" s="237">
        <v>3</v>
      </c>
      <c r="AS59" s="238"/>
      <c r="AT59" s="19"/>
      <c r="AU59" s="19"/>
      <c r="AV59" s="2"/>
      <c r="AW59" s="2"/>
      <c r="AX59" s="586"/>
      <c r="AY59" s="587"/>
      <c r="AZ59" s="587"/>
      <c r="BA59" s="587"/>
      <c r="BB59" s="587"/>
      <c r="BC59" s="588"/>
      <c r="BD59" s="125"/>
      <c r="BE59" s="126"/>
      <c r="BF59" s="126"/>
      <c r="BG59" s="126"/>
      <c r="BH59" s="127"/>
      <c r="BI59" s="582"/>
      <c r="BJ59" s="25"/>
      <c r="BK59" s="2"/>
    </row>
    <row r="60" spans="1:63" ht="18.75" customHeight="1" x14ac:dyDescent="0.25">
      <c r="A60" s="66" t="s">
        <v>178</v>
      </c>
      <c r="B60" s="41" t="s">
        <v>308</v>
      </c>
      <c r="C60" s="19"/>
      <c r="D60" s="2"/>
      <c r="E60" s="592" t="s">
        <v>198</v>
      </c>
      <c r="F60" s="592"/>
      <c r="G60" s="592"/>
      <c r="H60" s="592"/>
      <c r="I60" s="2"/>
      <c r="J60" s="2"/>
      <c r="K60" s="2"/>
      <c r="L60" s="2"/>
      <c r="M60" s="2"/>
      <c r="N60" s="19"/>
      <c r="O60" s="232" t="s">
        <v>217</v>
      </c>
      <c r="P60" s="233" t="s">
        <v>164</v>
      </c>
      <c r="Q60" s="130"/>
      <c r="R60" s="65"/>
      <c r="S60" s="65"/>
      <c r="T60" s="2"/>
      <c r="U60" s="2"/>
      <c r="W60" s="120" t="s">
        <v>265</v>
      </c>
      <c r="X60" s="91"/>
      <c r="Y60" s="91"/>
      <c r="Z60" s="91"/>
      <c r="AA60" s="19"/>
      <c r="AB60" s="121"/>
      <c r="AC60" s="78" t="s">
        <v>112</v>
      </c>
      <c r="AD60" s="78" t="s">
        <v>112</v>
      </c>
      <c r="AE60" s="78" t="s">
        <v>112</v>
      </c>
      <c r="AF60" s="121"/>
      <c r="AG60" s="2"/>
      <c r="AH60" s="19"/>
      <c r="AI60" s="19"/>
      <c r="AJ60" s="19"/>
      <c r="AK60" s="19"/>
      <c r="AL60" s="19"/>
      <c r="AM60" s="19"/>
      <c r="AN60" s="19"/>
      <c r="AO60" s="215" t="s">
        <v>309</v>
      </c>
      <c r="AP60" s="239" t="s">
        <v>173</v>
      </c>
      <c r="AQ60" s="239" t="s">
        <v>173</v>
      </c>
      <c r="AR60" s="239" t="s">
        <v>173</v>
      </c>
      <c r="AS60" s="218"/>
      <c r="AT60" s="19"/>
      <c r="AU60" s="19"/>
      <c r="AV60" s="2"/>
      <c r="AW60" s="2"/>
      <c r="AX60" s="586"/>
      <c r="AY60" s="587"/>
      <c r="AZ60" s="587"/>
      <c r="BA60" s="587"/>
      <c r="BB60" s="587"/>
      <c r="BC60" s="588"/>
      <c r="BD60" s="2"/>
      <c r="BE60" s="2"/>
      <c r="BF60" s="2"/>
      <c r="BG60" s="2"/>
      <c r="BH60" s="2"/>
      <c r="BI60" s="2"/>
      <c r="BJ60" s="25"/>
      <c r="BK60" s="2"/>
    </row>
    <row r="61" spans="1:63" ht="18.75" customHeight="1" x14ac:dyDescent="0.25">
      <c r="A61" s="66" t="s">
        <v>178</v>
      </c>
      <c r="B61" s="19"/>
      <c r="C61" s="19"/>
      <c r="D61" s="19"/>
      <c r="E61" s="240">
        <v>1</v>
      </c>
      <c r="F61" s="240">
        <v>2</v>
      </c>
      <c r="G61" s="240">
        <v>3</v>
      </c>
      <c r="H61" s="240">
        <v>4</v>
      </c>
      <c r="I61" s="19"/>
      <c r="J61" s="19"/>
      <c r="K61" s="19"/>
      <c r="L61" s="2"/>
      <c r="M61" s="2"/>
      <c r="N61" s="19"/>
      <c r="O61" s="232" t="s">
        <v>217</v>
      </c>
      <c r="P61" s="233" t="s">
        <v>164</v>
      </c>
      <c r="Q61" s="63"/>
      <c r="R61" s="65"/>
      <c r="S61" s="65"/>
      <c r="T61" s="2"/>
      <c r="U61" s="2"/>
      <c r="W61" s="2"/>
      <c r="X61" s="63"/>
      <c r="AA61" s="63"/>
      <c r="AB61" s="41" t="s">
        <v>310</v>
      </c>
      <c r="AC61" s="77" t="s">
        <v>176</v>
      </c>
      <c r="AD61" s="77" t="s">
        <v>176</v>
      </c>
      <c r="AE61" s="77" t="s">
        <v>176</v>
      </c>
      <c r="AF61" s="2"/>
      <c r="AG61" s="19"/>
      <c r="AH61" s="19"/>
      <c r="AI61" s="241" t="s">
        <v>167</v>
      </c>
      <c r="AJ61" s="241" t="s">
        <v>167</v>
      </c>
      <c r="AK61" s="241" t="s">
        <v>167</v>
      </c>
      <c r="AL61" s="19"/>
      <c r="AM61" s="19"/>
      <c r="AN61" s="242"/>
      <c r="AO61" s="243"/>
      <c r="AP61" s="222" t="s">
        <v>174</v>
      </c>
      <c r="AQ61" s="222" t="s">
        <v>174</v>
      </c>
      <c r="AR61" s="222" t="s">
        <v>174</v>
      </c>
      <c r="AS61" s="243"/>
      <c r="AT61" s="218"/>
      <c r="AU61" s="19"/>
      <c r="AV61" s="2"/>
      <c r="AW61" s="2"/>
      <c r="AX61" s="586"/>
      <c r="AY61" s="587"/>
      <c r="AZ61" s="587"/>
      <c r="BA61" s="587"/>
      <c r="BB61" s="587"/>
      <c r="BC61" s="588"/>
      <c r="BD61" s="2"/>
      <c r="BE61" s="2"/>
      <c r="BF61" s="2"/>
      <c r="BG61" s="2"/>
      <c r="BH61" s="2"/>
      <c r="BI61" s="2"/>
      <c r="BJ61" s="25"/>
      <c r="BK61" s="2"/>
    </row>
    <row r="62" spans="1:63" ht="18.75" customHeight="1" thickBot="1" x14ac:dyDescent="0.3">
      <c r="A62" s="66" t="s">
        <v>178</v>
      </c>
      <c r="B62" s="199"/>
      <c r="C62" s="19"/>
      <c r="D62" s="45" t="s">
        <v>311</v>
      </c>
      <c r="E62" s="244" t="s">
        <v>176</v>
      </c>
      <c r="F62" s="244" t="s">
        <v>176</v>
      </c>
      <c r="G62" s="244" t="s">
        <v>176</v>
      </c>
      <c r="H62" s="244" t="s">
        <v>176</v>
      </c>
      <c r="I62" s="73" t="s">
        <v>312</v>
      </c>
      <c r="J62" s="19"/>
      <c r="K62" s="19"/>
      <c r="L62" s="2"/>
      <c r="M62" s="2"/>
      <c r="N62" s="19"/>
      <c r="O62" s="41" t="s">
        <v>313</v>
      </c>
      <c r="P62" s="233" t="s">
        <v>164</v>
      </c>
      <c r="Q62" s="63"/>
      <c r="R62" s="65"/>
      <c r="S62" s="65"/>
      <c r="T62" s="2"/>
      <c r="U62" s="2"/>
      <c r="V62" s="2"/>
      <c r="AA62" s="63"/>
      <c r="AB62" s="63"/>
      <c r="AC62" s="111">
        <v>6</v>
      </c>
      <c r="AD62" s="111">
        <v>5</v>
      </c>
      <c r="AE62" s="111">
        <v>4</v>
      </c>
      <c r="AF62" s="19"/>
      <c r="AG62" s="19"/>
      <c r="AH62" s="19"/>
      <c r="AI62" s="241" t="s">
        <v>167</v>
      </c>
      <c r="AJ62" s="241" t="s">
        <v>167</v>
      </c>
      <c r="AK62" s="241" t="s">
        <v>167</v>
      </c>
      <c r="AL62" s="19"/>
      <c r="AM62" s="19"/>
      <c r="AN62" s="242"/>
      <c r="AO62" s="243"/>
      <c r="AP62" s="222" t="s">
        <v>174</v>
      </c>
      <c r="AQ62" s="222" t="s">
        <v>174</v>
      </c>
      <c r="AR62" s="222" t="s">
        <v>174</v>
      </c>
      <c r="AS62" s="243"/>
      <c r="AT62" s="218"/>
      <c r="AU62" s="19"/>
      <c r="AV62" s="2"/>
      <c r="AW62" s="2"/>
      <c r="AX62" s="589"/>
      <c r="AY62" s="590"/>
      <c r="AZ62" s="590"/>
      <c r="BA62" s="590"/>
      <c r="BB62" s="590"/>
      <c r="BC62" s="591"/>
      <c r="BD62" s="2"/>
      <c r="BE62" s="2"/>
      <c r="BF62" s="2"/>
      <c r="BG62" s="2"/>
      <c r="BH62" s="2"/>
      <c r="BI62" s="2"/>
      <c r="BJ62" s="25"/>
      <c r="BK62" s="2"/>
    </row>
    <row r="63" spans="1:63" ht="18.75" customHeight="1" x14ac:dyDescent="0.25">
      <c r="A63" s="66" t="s">
        <v>178</v>
      </c>
      <c r="B63" s="199"/>
      <c r="C63" s="19"/>
      <c r="D63" s="245"/>
      <c r="E63" s="246" t="s">
        <v>146</v>
      </c>
      <c r="F63" s="246" t="s">
        <v>146</v>
      </c>
      <c r="G63" s="246" t="s">
        <v>146</v>
      </c>
      <c r="H63" s="246" t="s">
        <v>146</v>
      </c>
      <c r="I63" s="245"/>
      <c r="J63" s="19"/>
      <c r="K63" s="19"/>
      <c r="L63" s="2"/>
      <c r="M63" s="2"/>
      <c r="N63" s="19"/>
      <c r="O63" s="19"/>
      <c r="P63" s="233" t="s">
        <v>164</v>
      </c>
      <c r="Q63" s="63"/>
      <c r="R63" s="199"/>
      <c r="S63" s="65"/>
      <c r="T63" s="2"/>
      <c r="U63" s="2"/>
      <c r="AA63" s="19"/>
      <c r="AB63" s="19"/>
      <c r="AC63" s="546" t="s">
        <v>198</v>
      </c>
      <c r="AD63" s="546"/>
      <c r="AE63" s="546"/>
      <c r="AF63" s="19"/>
      <c r="AG63" s="2"/>
      <c r="AH63" s="19"/>
      <c r="AI63" s="41" t="s">
        <v>314</v>
      </c>
      <c r="AJ63" s="19"/>
      <c r="AK63" s="19"/>
      <c r="AL63" s="19"/>
      <c r="AM63" s="19"/>
      <c r="AO63" s="242"/>
      <c r="AP63" s="239" t="s">
        <v>173</v>
      </c>
      <c r="AQ63" s="239" t="s">
        <v>173</v>
      </c>
      <c r="AR63" s="239" t="s">
        <v>173</v>
      </c>
      <c r="AS63" s="242"/>
      <c r="AT63" s="19"/>
      <c r="AU63" s="19"/>
      <c r="AV63" s="2"/>
      <c r="AW63" s="2"/>
      <c r="AX63" s="247"/>
      <c r="AY63" s="186"/>
      <c r="AZ63" s="2"/>
      <c r="BA63" s="248"/>
      <c r="BB63" s="248"/>
      <c r="BC63" s="2"/>
      <c r="BD63" s="2"/>
      <c r="BE63" s="2"/>
      <c r="BF63" s="2"/>
      <c r="BG63" s="2"/>
      <c r="BH63" s="2"/>
      <c r="BI63" s="2"/>
      <c r="BJ63" s="25"/>
      <c r="BK63" s="2"/>
    </row>
    <row r="64" spans="1:63" ht="18.75" customHeight="1" x14ac:dyDescent="0.25">
      <c r="A64" s="66" t="s">
        <v>178</v>
      </c>
      <c r="B64" s="199"/>
      <c r="C64" s="19"/>
      <c r="D64" s="245"/>
      <c r="E64" s="131" t="s">
        <v>138</v>
      </c>
      <c r="F64" s="131" t="s">
        <v>138</v>
      </c>
      <c r="G64" s="131" t="s">
        <v>138</v>
      </c>
      <c r="H64" s="131" t="s">
        <v>138</v>
      </c>
      <c r="I64" s="245"/>
      <c r="J64" s="19"/>
      <c r="K64" s="19"/>
      <c r="L64" s="2"/>
      <c r="M64" s="19"/>
      <c r="N64" s="19"/>
      <c r="O64" s="19"/>
      <c r="P64" s="233" t="s">
        <v>164</v>
      </c>
      <c r="Q64" s="130"/>
      <c r="R64" s="199"/>
      <c r="S64" s="65"/>
      <c r="T64" s="2"/>
      <c r="U64" s="2"/>
      <c r="AA64" s="19"/>
      <c r="AB64" s="19"/>
      <c r="AC64" s="63"/>
      <c r="AD64" s="63"/>
      <c r="AE64" s="63"/>
      <c r="AF64" s="19"/>
      <c r="AG64" s="19"/>
      <c r="AH64" s="19"/>
      <c r="AI64" s="63"/>
      <c r="AJ64" s="63"/>
      <c r="AK64" s="63"/>
      <c r="AO64" s="41" t="s">
        <v>315</v>
      </c>
      <c r="AP64" s="237">
        <v>6</v>
      </c>
      <c r="AQ64" s="237">
        <v>5</v>
      </c>
      <c r="AR64" s="237">
        <v>4</v>
      </c>
      <c r="AS64" s="236"/>
      <c r="AT64" s="19"/>
      <c r="AU64" s="19"/>
      <c r="AV64" s="2"/>
      <c r="AW64" s="2"/>
      <c r="AX64" s="249"/>
      <c r="AY64" s="186"/>
      <c r="AZ64" s="250"/>
      <c r="BA64" s="250"/>
      <c r="BB64" s="250"/>
      <c r="BC64" s="2"/>
      <c r="BD64" s="2"/>
      <c r="BE64" s="2"/>
      <c r="BF64" s="2"/>
      <c r="BG64" s="2"/>
      <c r="BH64" s="2"/>
      <c r="BI64" s="2"/>
      <c r="BJ64" s="25"/>
      <c r="BK64" s="2"/>
    </row>
    <row r="65" spans="1:63" ht="18.75" customHeight="1" x14ac:dyDescent="0.25">
      <c r="A65" s="66" t="s">
        <v>178</v>
      </c>
      <c r="B65" s="41" t="s">
        <v>316</v>
      </c>
      <c r="C65" s="19"/>
      <c r="D65" s="41" t="s">
        <v>317</v>
      </c>
      <c r="E65" s="244" t="s">
        <v>176</v>
      </c>
      <c r="F65" s="244" t="s">
        <v>176</v>
      </c>
      <c r="G65" s="244" t="s">
        <v>176</v>
      </c>
      <c r="H65" s="244" t="s">
        <v>176</v>
      </c>
      <c r="I65" s="19"/>
      <c r="J65" s="19"/>
      <c r="K65" s="19"/>
      <c r="L65" s="2"/>
      <c r="M65" s="19"/>
      <c r="N65" s="19"/>
      <c r="O65" s="19"/>
      <c r="P65" s="233" t="s">
        <v>164</v>
      </c>
      <c r="Q65" s="130"/>
      <c r="R65" s="199"/>
      <c r="S65" s="65"/>
      <c r="T65" s="2"/>
      <c r="U65" s="19"/>
      <c r="Z65" s="19"/>
      <c r="AA65" s="19"/>
      <c r="AB65" s="63"/>
      <c r="AC65" s="63"/>
      <c r="AD65" s="63"/>
      <c r="AE65" s="63"/>
      <c r="AF65" s="2"/>
      <c r="AG65" s="2"/>
      <c r="AH65" s="2"/>
      <c r="AI65" s="63"/>
      <c r="AJ65" s="63"/>
      <c r="AK65" s="63"/>
      <c r="AO65" s="251"/>
      <c r="AP65" s="63"/>
      <c r="AQ65" s="19"/>
      <c r="AR65" s="19"/>
      <c r="AS65" s="19"/>
      <c r="AT65" s="19"/>
      <c r="AU65" s="19"/>
      <c r="AV65" s="186"/>
      <c r="AW65" s="186"/>
      <c r="AX65" s="249"/>
      <c r="AY65" s="248"/>
      <c r="AZ65" s="250"/>
      <c r="BA65" s="83"/>
      <c r="BD65" s="63"/>
      <c r="BE65" s="2"/>
      <c r="BF65" s="2"/>
      <c r="BG65" s="2"/>
      <c r="BH65" s="2"/>
      <c r="BI65" s="2"/>
      <c r="BJ65" s="25"/>
      <c r="BK65" s="2"/>
    </row>
    <row r="66" spans="1:63" ht="18.75" customHeight="1" x14ac:dyDescent="0.25">
      <c r="A66" s="66" t="s">
        <v>178</v>
      </c>
      <c r="B66" s="19"/>
      <c r="C66" s="19"/>
      <c r="D66" s="2"/>
      <c r="E66" s="240">
        <v>8</v>
      </c>
      <c r="F66" s="240">
        <v>7</v>
      </c>
      <c r="G66" s="240">
        <v>6</v>
      </c>
      <c r="H66" s="240">
        <v>5</v>
      </c>
      <c r="I66" s="2"/>
      <c r="J66" s="19"/>
      <c r="K66" s="19"/>
      <c r="L66" s="2"/>
      <c r="M66" s="19"/>
      <c r="N66" s="19"/>
      <c r="O66" s="227" t="s">
        <v>224</v>
      </c>
      <c r="P66" s="233" t="s">
        <v>164</v>
      </c>
      <c r="Q66" s="130"/>
      <c r="R66" s="63"/>
      <c r="S66" s="63"/>
      <c r="T66" s="2"/>
      <c r="U66" s="2"/>
      <c r="Z66" s="2"/>
      <c r="AA66" s="19"/>
      <c r="AB66" s="19"/>
      <c r="AC66" s="19"/>
      <c r="AD66" s="19"/>
      <c r="AE66" s="19"/>
      <c r="AF66" s="186"/>
      <c r="AG66" s="2"/>
      <c r="AH66" s="252"/>
      <c r="AI66" s="63"/>
      <c r="AJ66" s="63"/>
      <c r="AK66" s="63"/>
      <c r="AL66" s="19"/>
      <c r="AM66" s="253"/>
      <c r="AN66" s="19"/>
      <c r="AO66" s="253"/>
      <c r="AP66" s="254"/>
      <c r="AQ66" s="19"/>
      <c r="AR66" s="19"/>
      <c r="AS66" s="19"/>
      <c r="AT66" s="19"/>
      <c r="AU66" s="19"/>
      <c r="AV66" s="186"/>
      <c r="AW66" s="255"/>
      <c r="AX66" s="186"/>
      <c r="AY66" s="248"/>
      <c r="AZ66" s="250"/>
      <c r="BA66" s="207"/>
      <c r="BD66" s="207"/>
      <c r="BE66" s="2"/>
      <c r="BF66" s="2"/>
      <c r="BG66" s="2"/>
      <c r="BH66" s="2"/>
      <c r="BI66" s="2"/>
      <c r="BJ66" s="25"/>
      <c r="BK66" s="2"/>
    </row>
    <row r="67" spans="1:63" ht="18.75" customHeight="1" thickBot="1" x14ac:dyDescent="0.3">
      <c r="A67" s="256" t="s">
        <v>178</v>
      </c>
      <c r="B67" s="19"/>
      <c r="C67" s="19"/>
      <c r="D67" s="2"/>
      <c r="E67" s="614" t="s">
        <v>267</v>
      </c>
      <c r="F67" s="614"/>
      <c r="G67" s="614"/>
      <c r="H67" s="614"/>
      <c r="I67" s="2"/>
      <c r="J67" s="19"/>
      <c r="K67" s="19"/>
      <c r="L67" s="2"/>
      <c r="M67" s="19"/>
      <c r="N67" s="19"/>
      <c r="O67" s="227" t="s">
        <v>224</v>
      </c>
      <c r="P67" s="233" t="s">
        <v>164</v>
      </c>
      <c r="Q67" s="63"/>
      <c r="R67" s="63"/>
      <c r="S67" s="63"/>
      <c r="T67" s="63"/>
      <c r="U67" s="2"/>
      <c r="V67" s="2"/>
      <c r="W67" s="2"/>
      <c r="X67" s="2"/>
      <c r="Y67" s="2"/>
      <c r="Z67" s="2"/>
      <c r="AA67" s="63"/>
      <c r="AB67" s="19"/>
      <c r="AC67" s="19"/>
      <c r="AD67" s="19"/>
      <c r="AE67" s="19"/>
      <c r="AF67" s="19"/>
      <c r="AG67" s="19"/>
      <c r="AH67" s="257"/>
      <c r="AI67" s="253"/>
      <c r="AJ67" s="19"/>
      <c r="AK67" s="253"/>
      <c r="AL67" s="251"/>
      <c r="AM67" s="258"/>
      <c r="AN67" s="19"/>
      <c r="AO67" s="19"/>
      <c r="AP67" s="19"/>
      <c r="AQ67" s="19"/>
      <c r="AR67" s="19"/>
      <c r="AS67" s="19"/>
      <c r="AT67" s="19"/>
      <c r="AU67" s="19"/>
      <c r="AV67" s="19"/>
      <c r="AW67" s="255"/>
      <c r="AX67" s="2"/>
      <c r="AY67" s="2"/>
      <c r="AZ67" s="2"/>
      <c r="BA67" s="207"/>
      <c r="BD67" s="207"/>
      <c r="BE67" s="2"/>
      <c r="BF67" s="2"/>
      <c r="BG67" s="2"/>
      <c r="BH67" s="2"/>
      <c r="BI67" s="2"/>
      <c r="BJ67" s="25"/>
      <c r="BK67" s="2"/>
    </row>
    <row r="68" spans="1:63" ht="18.75" customHeight="1" thickBot="1" x14ac:dyDescent="0.3">
      <c r="A68" s="259" t="s">
        <v>231</v>
      </c>
      <c r="B68" s="19"/>
      <c r="C68" s="19"/>
      <c r="D68" s="2"/>
      <c r="E68" s="240">
        <v>1</v>
      </c>
      <c r="F68" s="240">
        <v>2</v>
      </c>
      <c r="G68" s="240">
        <v>3</v>
      </c>
      <c r="H68" s="240">
        <v>4</v>
      </c>
      <c r="I68" s="2"/>
      <c r="J68" s="19"/>
      <c r="K68" s="2"/>
      <c r="L68" s="2"/>
      <c r="M68" s="19"/>
      <c r="N68" s="19"/>
      <c r="O68" s="227" t="s">
        <v>224</v>
      </c>
      <c r="P68" s="260"/>
      <c r="Q68" s="63"/>
      <c r="R68" s="63"/>
      <c r="S68" s="63"/>
      <c r="T68" s="63"/>
      <c r="U68" s="19"/>
      <c r="V68" s="19"/>
      <c r="W68" s="19"/>
      <c r="X68" s="19"/>
      <c r="Y68" s="19"/>
      <c r="Z68" s="19"/>
      <c r="AA68" s="2"/>
      <c r="AB68" s="19"/>
      <c r="AC68" s="19"/>
      <c r="AD68" s="19"/>
      <c r="AE68" s="19"/>
      <c r="AF68" s="19"/>
      <c r="AG68" s="19"/>
      <c r="AH68" s="257"/>
      <c r="AI68" s="63"/>
      <c r="AJ68" s="253"/>
      <c r="AK68" s="63"/>
      <c r="AL68" s="63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261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5"/>
      <c r="BK68" s="2"/>
    </row>
    <row r="69" spans="1:63" ht="18.75" customHeight="1" thickBot="1" x14ac:dyDescent="0.3">
      <c r="A69" s="184"/>
      <c r="B69" s="45" t="s">
        <v>318</v>
      </c>
      <c r="C69" s="19"/>
      <c r="D69" s="45" t="s">
        <v>319</v>
      </c>
      <c r="E69" s="151" t="s">
        <v>176</v>
      </c>
      <c r="F69" s="151" t="s">
        <v>176</v>
      </c>
      <c r="G69" s="151" t="s">
        <v>176</v>
      </c>
      <c r="H69" s="151" t="s">
        <v>176</v>
      </c>
      <c r="I69" s="73" t="s">
        <v>278</v>
      </c>
      <c r="J69" s="19"/>
      <c r="K69" s="2"/>
      <c r="L69" s="2"/>
      <c r="M69" s="2"/>
      <c r="N69" s="19"/>
      <c r="O69" s="227" t="s">
        <v>224</v>
      </c>
      <c r="P69" s="211"/>
      <c r="Q69" s="63"/>
      <c r="R69" s="63"/>
      <c r="S69" s="63"/>
      <c r="T69" s="63"/>
      <c r="U69" s="262"/>
      <c r="V69" s="262"/>
      <c r="W69" s="262"/>
      <c r="X69" s="126"/>
      <c r="Y69" s="126"/>
      <c r="Z69" s="126"/>
      <c r="AA69" s="126"/>
      <c r="AB69" s="126"/>
      <c r="AC69" s="126"/>
      <c r="AD69" s="126"/>
      <c r="AE69" s="126"/>
      <c r="AF69" s="19"/>
      <c r="AG69" s="19"/>
      <c r="AH69" s="63"/>
      <c r="AI69" s="63"/>
      <c r="AJ69" s="263"/>
      <c r="AK69" s="263"/>
      <c r="AL69" s="263"/>
      <c r="AM69" s="263"/>
      <c r="AN69" s="263"/>
      <c r="AO69" s="262"/>
      <c r="AP69" s="262"/>
      <c r="AQ69" s="264" t="s">
        <v>224</v>
      </c>
      <c r="AR69" s="262"/>
      <c r="AS69" s="262"/>
      <c r="AT69" s="262"/>
      <c r="AU69" s="262"/>
      <c r="AV69" s="262"/>
      <c r="AW69" s="265"/>
      <c r="AX69" s="199"/>
      <c r="AY69" s="199"/>
      <c r="AZ69" s="199"/>
      <c r="BA69" s="199"/>
      <c r="BB69" s="199"/>
      <c r="BC69" s="2"/>
      <c r="BD69" s="2"/>
      <c r="BE69" s="2"/>
      <c r="BF69" s="2"/>
      <c r="BG69" s="2"/>
      <c r="BH69" s="2"/>
      <c r="BI69" s="2"/>
      <c r="BJ69" s="25"/>
      <c r="BK69" s="2"/>
    </row>
    <row r="70" spans="1:63" ht="18.75" customHeight="1" x14ac:dyDescent="0.25">
      <c r="A70" s="266" t="s">
        <v>133</v>
      </c>
      <c r="B70" s="46" t="s">
        <v>176</v>
      </c>
      <c r="C70" s="169">
        <v>1</v>
      </c>
      <c r="D70" s="160"/>
      <c r="E70" s="194" t="s">
        <v>156</v>
      </c>
      <c r="F70" s="194" t="s">
        <v>156</v>
      </c>
      <c r="G70" s="194" t="s">
        <v>156</v>
      </c>
      <c r="H70" s="194" t="s">
        <v>156</v>
      </c>
      <c r="I70" s="160"/>
      <c r="J70" s="19"/>
      <c r="K70" s="54" t="s">
        <v>178</v>
      </c>
      <c r="L70" s="54" t="s">
        <v>178</v>
      </c>
      <c r="M70" s="54" t="s">
        <v>178</v>
      </c>
      <c r="N70" s="19"/>
      <c r="O70" s="227" t="s">
        <v>224</v>
      </c>
      <c r="P70" s="211"/>
      <c r="Q70" s="63"/>
      <c r="R70" s="63"/>
      <c r="S70" s="63"/>
      <c r="T70" s="63"/>
      <c r="U70" s="619" t="s">
        <v>208</v>
      </c>
      <c r="V70" s="620"/>
      <c r="W70" s="620"/>
      <c r="X70" s="620"/>
      <c r="Y70" s="620"/>
      <c r="Z70" s="620"/>
      <c r="AA70" s="620"/>
      <c r="AB70" s="621"/>
      <c r="AC70" s="628" t="s">
        <v>320</v>
      </c>
      <c r="AD70" s="629"/>
      <c r="AE70" s="267"/>
      <c r="AF70" s="605" t="s">
        <v>321</v>
      </c>
      <c r="AG70" s="606"/>
      <c r="AH70" s="606"/>
      <c r="AI70" s="607"/>
      <c r="AJ70" s="63"/>
      <c r="AK70" s="63"/>
      <c r="AL70" s="63"/>
      <c r="AM70" s="63"/>
      <c r="AN70" s="63"/>
      <c r="AO70" s="19"/>
      <c r="AP70" s="63"/>
      <c r="AQ70" s="63"/>
      <c r="AR70" s="63"/>
      <c r="AS70" s="63"/>
      <c r="AT70" s="199"/>
      <c r="AU70" s="199"/>
      <c r="AV70" s="199"/>
      <c r="AW70" s="199"/>
      <c r="AX70" s="199"/>
      <c r="AY70" s="199"/>
      <c r="AZ70" s="199"/>
      <c r="BA70" s="199"/>
      <c r="BB70" s="199"/>
      <c r="BC70" s="2"/>
      <c r="BD70" s="2"/>
      <c r="BE70" s="2"/>
      <c r="BF70" s="2"/>
      <c r="BG70" s="2"/>
      <c r="BH70" s="2"/>
      <c r="BI70" s="2"/>
      <c r="BJ70" s="25"/>
      <c r="BK70" s="2"/>
    </row>
    <row r="71" spans="1:63" ht="18.75" customHeight="1" x14ac:dyDescent="0.25">
      <c r="A71" s="266" t="s">
        <v>133</v>
      </c>
      <c r="B71" s="46" t="s">
        <v>176</v>
      </c>
      <c r="C71" s="79">
        <v>2</v>
      </c>
      <c r="D71" s="160"/>
      <c r="E71" s="194" t="s">
        <v>156</v>
      </c>
      <c r="F71" s="194" t="s">
        <v>156</v>
      </c>
      <c r="G71" s="194" t="s">
        <v>156</v>
      </c>
      <c r="H71" s="194" t="s">
        <v>156</v>
      </c>
      <c r="I71" s="160"/>
      <c r="J71" s="19"/>
      <c r="K71" s="54" t="s">
        <v>178</v>
      </c>
      <c r="L71" s="54" t="s">
        <v>178</v>
      </c>
      <c r="M71" s="54" t="s">
        <v>178</v>
      </c>
      <c r="N71" s="268"/>
      <c r="O71" s="227" t="s">
        <v>224</v>
      </c>
      <c r="P71" s="269"/>
      <c r="Q71" s="63"/>
      <c r="R71" s="63"/>
      <c r="S71" s="63"/>
      <c r="T71" s="63"/>
      <c r="U71" s="622"/>
      <c r="V71" s="623"/>
      <c r="W71" s="623"/>
      <c r="X71" s="623"/>
      <c r="Y71" s="623"/>
      <c r="Z71" s="623"/>
      <c r="AA71" s="623"/>
      <c r="AB71" s="624"/>
      <c r="AC71" s="630"/>
      <c r="AD71" s="631"/>
      <c r="AE71" s="270"/>
      <c r="AF71" s="608"/>
      <c r="AG71" s="609"/>
      <c r="AH71" s="609"/>
      <c r="AI71" s="610"/>
      <c r="AJ71" s="63"/>
      <c r="AK71" s="63"/>
      <c r="AL71" s="63"/>
      <c r="AM71" s="231"/>
      <c r="AN71" s="199"/>
      <c r="AO71" s="63"/>
      <c r="AP71" s="63"/>
      <c r="AQ71" s="63"/>
      <c r="AR71" s="63"/>
      <c r="AS71" s="63"/>
      <c r="AT71" s="63"/>
      <c r="AU71" s="63"/>
      <c r="AV71" s="63"/>
      <c r="AW71" s="63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5"/>
      <c r="BK71" s="2"/>
    </row>
    <row r="72" spans="1:63" ht="18.75" customHeight="1" x14ac:dyDescent="0.25">
      <c r="A72" s="266" t="s">
        <v>133</v>
      </c>
      <c r="B72" s="46" t="s">
        <v>176</v>
      </c>
      <c r="C72" s="79">
        <v>3</v>
      </c>
      <c r="D72" s="41" t="s">
        <v>322</v>
      </c>
      <c r="E72" s="151" t="s">
        <v>176</v>
      </c>
      <c r="F72" s="151" t="s">
        <v>176</v>
      </c>
      <c r="G72" s="151" t="s">
        <v>176</v>
      </c>
      <c r="H72" s="151" t="s">
        <v>176</v>
      </c>
      <c r="I72" s="19"/>
      <c r="J72" s="19"/>
      <c r="K72" s="41" t="s">
        <v>323</v>
      </c>
      <c r="L72" s="2"/>
      <c r="M72" s="2"/>
      <c r="N72" s="268"/>
      <c r="O72" s="41" t="s">
        <v>324</v>
      </c>
      <c r="P72" s="271"/>
      <c r="Q72" s="272"/>
      <c r="R72" s="272"/>
      <c r="S72" s="63"/>
      <c r="T72" s="63"/>
      <c r="U72" s="622"/>
      <c r="V72" s="623"/>
      <c r="W72" s="623"/>
      <c r="X72" s="623"/>
      <c r="Y72" s="623"/>
      <c r="Z72" s="623"/>
      <c r="AA72" s="623"/>
      <c r="AB72" s="624"/>
      <c r="AC72" s="630"/>
      <c r="AD72" s="631"/>
      <c r="AE72" s="267"/>
      <c r="AF72" s="608"/>
      <c r="AG72" s="609"/>
      <c r="AH72" s="609"/>
      <c r="AI72" s="610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5"/>
      <c r="BK72" s="2"/>
    </row>
    <row r="73" spans="1:63" ht="18.75" customHeight="1" thickBot="1" x14ac:dyDescent="0.3">
      <c r="A73" s="266" t="s">
        <v>133</v>
      </c>
      <c r="B73" s="46" t="s">
        <v>176</v>
      </c>
      <c r="C73" s="79">
        <v>4</v>
      </c>
      <c r="D73" s="19"/>
      <c r="E73" s="240">
        <v>8</v>
      </c>
      <c r="F73" s="240">
        <v>7</v>
      </c>
      <c r="G73" s="240">
        <v>6</v>
      </c>
      <c r="H73" s="240">
        <v>5</v>
      </c>
      <c r="I73" s="19"/>
      <c r="J73" s="19"/>
      <c r="K73" s="2"/>
      <c r="L73" s="2"/>
      <c r="M73" s="2"/>
      <c r="N73" s="268"/>
      <c r="O73" s="273"/>
      <c r="P73" s="274"/>
      <c r="Q73" s="273"/>
      <c r="R73" s="272"/>
      <c r="S73" s="19"/>
      <c r="T73" s="273"/>
      <c r="U73" s="625"/>
      <c r="V73" s="626"/>
      <c r="W73" s="626"/>
      <c r="X73" s="626"/>
      <c r="Y73" s="626"/>
      <c r="Z73" s="626"/>
      <c r="AA73" s="626"/>
      <c r="AB73" s="627"/>
      <c r="AC73" s="632"/>
      <c r="AD73" s="633"/>
      <c r="AE73" s="275"/>
      <c r="AF73" s="611"/>
      <c r="AG73" s="612"/>
      <c r="AH73" s="612"/>
      <c r="AI73" s="61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25"/>
      <c r="BK73" s="2"/>
    </row>
    <row r="74" spans="1:63" ht="18.75" customHeight="1" x14ac:dyDescent="0.25">
      <c r="A74" s="184"/>
      <c r="B74" s="41" t="s">
        <v>325</v>
      </c>
      <c r="C74" s="19"/>
      <c r="D74" s="19"/>
      <c r="E74" s="276"/>
      <c r="F74" s="276"/>
      <c r="G74" s="276"/>
      <c r="H74" s="276"/>
      <c r="I74" s="268"/>
      <c r="J74" s="19"/>
      <c r="K74" s="268"/>
      <c r="L74" s="19"/>
      <c r="M74" s="19"/>
      <c r="N74" s="19"/>
      <c r="O74" s="277"/>
      <c r="P74" s="226"/>
      <c r="Q74" s="226"/>
      <c r="R74" s="278"/>
      <c r="S74" s="278"/>
      <c r="T74" s="199"/>
      <c r="U74" s="199"/>
      <c r="V74" s="199"/>
      <c r="W74" s="199"/>
      <c r="X74" s="180"/>
      <c r="Y74" s="180"/>
      <c r="Z74" s="180"/>
      <c r="AA74" s="180"/>
      <c r="AB74" s="199"/>
      <c r="AC74" s="199"/>
      <c r="AD74" s="199"/>
      <c r="AE74" s="199"/>
      <c r="AF74" s="199"/>
      <c r="AG74" s="199"/>
      <c r="AH74" s="199"/>
      <c r="AI74" s="199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99"/>
      <c r="BB74" s="199"/>
      <c r="BC74" s="199"/>
      <c r="BD74" s="199"/>
      <c r="BE74" s="2"/>
      <c r="BF74" s="2"/>
      <c r="BG74" s="2"/>
      <c r="BH74" s="2"/>
      <c r="BI74" s="2"/>
      <c r="BJ74" s="2"/>
      <c r="BK74" s="2"/>
    </row>
    <row r="75" spans="1:63" ht="18.75" customHeight="1" x14ac:dyDescent="0.25">
      <c r="A75" s="614" t="s">
        <v>326</v>
      </c>
      <c r="B75" s="614"/>
      <c r="C75" s="19"/>
      <c r="D75" s="19"/>
      <c r="E75" s="19"/>
      <c r="F75" s="19"/>
      <c r="G75" s="19"/>
      <c r="H75" s="19"/>
      <c r="I75" s="268"/>
      <c r="J75" s="19"/>
      <c r="K75" s="268"/>
      <c r="L75" s="19"/>
      <c r="M75" s="19"/>
      <c r="N75" s="19"/>
      <c r="O75" s="277"/>
      <c r="P75" s="279"/>
      <c r="Q75" s="279"/>
      <c r="R75" s="279"/>
      <c r="S75" s="27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</row>
    <row r="76" spans="1:63" ht="18.75" customHeight="1" x14ac:dyDescent="0.25">
      <c r="A76" s="54" t="s">
        <v>178</v>
      </c>
      <c r="B76" s="226"/>
      <c r="C76" s="19"/>
      <c r="D76" s="19"/>
      <c r="E76" s="91"/>
      <c r="F76" s="91"/>
      <c r="G76" s="91"/>
      <c r="H76" s="91"/>
      <c r="I76" s="618" t="s">
        <v>327</v>
      </c>
      <c r="J76" s="618"/>
      <c r="K76" s="618"/>
      <c r="L76" s="19"/>
      <c r="M76" s="19"/>
      <c r="N76" s="41" t="s">
        <v>328</v>
      </c>
      <c r="O76" s="277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spans="1:63" ht="18.75" customHeight="1" x14ac:dyDescent="0.25">
      <c r="A77" s="54" t="s">
        <v>178</v>
      </c>
      <c r="B77" s="281"/>
      <c r="C77" s="281"/>
      <c r="D77" s="19"/>
      <c r="E77" s="282" t="s">
        <v>224</v>
      </c>
      <c r="F77" s="282" t="s">
        <v>224</v>
      </c>
      <c r="G77" s="282" t="s">
        <v>224</v>
      </c>
      <c r="H77" s="122"/>
      <c r="I77" s="233" t="s">
        <v>164</v>
      </c>
      <c r="J77" s="233" t="s">
        <v>164</v>
      </c>
      <c r="K77" s="233" t="s">
        <v>164</v>
      </c>
      <c r="L77" s="19"/>
      <c r="M77" s="19"/>
      <c r="N77" s="54" t="s">
        <v>178</v>
      </c>
      <c r="O77" s="277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spans="1:63" ht="18.75" customHeight="1" x14ac:dyDescent="0.25">
      <c r="A78" s="54" t="s">
        <v>178</v>
      </c>
      <c r="B78" s="19"/>
      <c r="C78" s="19"/>
      <c r="D78" s="19"/>
      <c r="E78" s="282" t="s">
        <v>224</v>
      </c>
      <c r="F78" s="282" t="s">
        <v>224</v>
      </c>
      <c r="G78" s="282" t="s">
        <v>224</v>
      </c>
      <c r="H78" s="122"/>
      <c r="I78" s="233" t="s">
        <v>164</v>
      </c>
      <c r="J78" s="233" t="s">
        <v>164</v>
      </c>
      <c r="K78" s="233" t="s">
        <v>164</v>
      </c>
      <c r="L78" s="19"/>
      <c r="M78" s="19"/>
      <c r="N78" s="54" t="s">
        <v>178</v>
      </c>
      <c r="O78" s="277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spans="1:63" ht="18.75" customHeight="1" x14ac:dyDescent="0.25">
      <c r="A79" s="41" t="s">
        <v>329</v>
      </c>
      <c r="B79" s="19"/>
      <c r="C79" s="19"/>
      <c r="D79" s="19"/>
      <c r="E79" s="120" t="s">
        <v>330</v>
      </c>
      <c r="F79" s="91"/>
      <c r="G79" s="91"/>
      <c r="H79" s="91"/>
      <c r="I79" s="120" t="s">
        <v>331</v>
      </c>
      <c r="J79" s="91"/>
      <c r="K79"/>
      <c r="L79" s="19"/>
      <c r="M79" s="19"/>
      <c r="N79" s="54" t="s">
        <v>178</v>
      </c>
      <c r="O79" s="277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spans="1:63" ht="18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2"/>
      <c r="L80" s="19"/>
      <c r="M80" s="19"/>
      <c r="N80" s="54" t="s">
        <v>178</v>
      </c>
      <c r="O80" s="277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spans="1:63" ht="18.75" customHeight="1" thickBo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26"/>
      <c r="O81" s="277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spans="1:63" ht="18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spans="1:63" ht="18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spans="1:63" ht="18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spans="1:63" ht="18.7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spans="1:63" ht="18.7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spans="1:63" ht="18.7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spans="1:63" ht="18.7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spans="1:63" ht="18.7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spans="1:63" ht="18.7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spans="1:63" ht="18.7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spans="1:63" ht="18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spans="1:63" ht="18.7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spans="1:63" ht="18.7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spans="1:63" ht="18.7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spans="1:63" ht="18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spans="1:63" ht="18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spans="1:63" ht="18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spans="1:63" ht="18.7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spans="1:63" ht="18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spans="1:63" ht="18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spans="1:63" ht="18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spans="1:63" ht="18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spans="1:63" ht="18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spans="1:63" ht="18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spans="1:63" ht="18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spans="1:63" ht="18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  <row r="114" spans="1:29" ht="18.75" customHeight="1" thickBot="1" x14ac:dyDescent="0.3"/>
    <row r="115" spans="1:29" ht="18.75" customHeight="1" thickBot="1" x14ac:dyDescent="0.3">
      <c r="A115" s="638" t="s">
        <v>332</v>
      </c>
      <c r="B115" s="639"/>
      <c r="C115" s="639"/>
      <c r="D115" s="639"/>
      <c r="E115" s="639"/>
      <c r="F115" s="639"/>
      <c r="G115" s="639"/>
      <c r="H115" s="639"/>
      <c r="I115" s="640"/>
      <c r="J115" s="641">
        <f>SUM(F123,O123,F226,O226)</f>
        <v>474</v>
      </c>
      <c r="K115" s="642"/>
      <c r="L115" s="642"/>
      <c r="M115" s="643"/>
      <c r="N115" s="283"/>
      <c r="O115" s="283"/>
      <c r="P115" s="283"/>
      <c r="Q115" s="283"/>
      <c r="R115" s="283"/>
      <c r="S115" s="283"/>
      <c r="T115" s="644" t="s">
        <v>333</v>
      </c>
      <c r="U115" s="644"/>
      <c r="V115" s="644"/>
      <c r="W115" s="644"/>
      <c r="X115" s="283"/>
      <c r="Y115" s="283"/>
      <c r="Z115" s="644" t="s">
        <v>334</v>
      </c>
      <c r="AA115" s="644"/>
      <c r="AB115" s="644"/>
      <c r="AC115" s="644"/>
    </row>
    <row r="116" spans="1:29" ht="18.75" customHeight="1" x14ac:dyDescent="0.3">
      <c r="A116" s="284" t="s">
        <v>335</v>
      </c>
      <c r="B116" s="285"/>
      <c r="C116" s="285"/>
      <c r="D116" s="285"/>
      <c r="E116" s="285"/>
      <c r="F116" s="285"/>
      <c r="G116" s="285"/>
      <c r="H116" s="285"/>
      <c r="I116" s="285"/>
      <c r="J116" s="286"/>
      <c r="K116" s="286"/>
      <c r="L116" s="286"/>
      <c r="M116" s="286"/>
      <c r="N116" s="283"/>
      <c r="O116" s="283"/>
      <c r="P116" s="283"/>
      <c r="Q116" s="283"/>
      <c r="R116" s="283"/>
      <c r="S116" s="283"/>
      <c r="T116" s="645" t="s">
        <v>336</v>
      </c>
      <c r="U116" s="645"/>
      <c r="V116" s="645" t="s">
        <v>337</v>
      </c>
      <c r="W116" s="645"/>
      <c r="X116" s="283"/>
      <c r="Y116" s="283"/>
      <c r="Z116" s="645" t="s">
        <v>336</v>
      </c>
      <c r="AA116" s="645"/>
      <c r="AB116" s="645" t="s">
        <v>337</v>
      </c>
      <c r="AC116" s="645"/>
    </row>
    <row r="117" spans="1:29" ht="18.75" customHeight="1" x14ac:dyDescent="0.3">
      <c r="A117" s="283"/>
      <c r="B117" s="283"/>
      <c r="C117" s="283"/>
      <c r="D117" s="283"/>
      <c r="E117" s="283"/>
      <c r="F117" s="283"/>
      <c r="G117" s="283"/>
      <c r="H117" s="283"/>
      <c r="I117" s="283"/>
      <c r="K117" s="283"/>
      <c r="L117" s="283"/>
      <c r="M117" s="287"/>
      <c r="N117" s="283"/>
      <c r="O117" s="283"/>
      <c r="P117" s="283"/>
      <c r="Q117" s="283"/>
      <c r="R117" s="283"/>
      <c r="S117" s="283"/>
      <c r="T117" s="654">
        <v>45041</v>
      </c>
      <c r="U117" s="654"/>
      <c r="V117" s="634" t="s">
        <v>338</v>
      </c>
      <c r="W117" s="634"/>
      <c r="X117" s="283"/>
      <c r="Y117" s="283"/>
      <c r="Z117" s="654">
        <v>45174</v>
      </c>
      <c r="AA117" s="654"/>
      <c r="AB117" s="634" t="s">
        <v>339</v>
      </c>
      <c r="AC117" s="634"/>
    </row>
    <row r="118" spans="1:29" ht="18.75" customHeight="1" x14ac:dyDescent="0.35">
      <c r="K118" s="283"/>
      <c r="L118" s="288"/>
      <c r="M118" s="289"/>
      <c r="N118" s="283"/>
      <c r="O118" s="283"/>
      <c r="P118" s="283"/>
      <c r="Q118" s="283"/>
      <c r="R118" s="283"/>
      <c r="S118" s="283"/>
      <c r="T118" s="290" t="s">
        <v>340</v>
      </c>
      <c r="U118" s="291" t="s">
        <v>341</v>
      </c>
      <c r="X118" s="635" t="s">
        <v>342</v>
      </c>
      <c r="Y118" s="636"/>
      <c r="Z118" s="290" t="s">
        <v>343</v>
      </c>
      <c r="AA118" s="291" t="s">
        <v>341</v>
      </c>
    </row>
    <row r="119" spans="1:29" ht="18.75" customHeight="1" x14ac:dyDescent="0.25">
      <c r="A119" s="637" t="s">
        <v>344</v>
      </c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7"/>
      <c r="P119" s="637"/>
      <c r="Q119" s="637"/>
      <c r="R119" s="283"/>
      <c r="S119" s="283"/>
      <c r="T119" s="292" t="s">
        <v>345</v>
      </c>
      <c r="U119" s="293" t="str">
        <f>IF(ISBLANK(U118)," ",IFERROR(VLOOKUP(U118,#REF!,13,0),""))</f>
        <v/>
      </c>
      <c r="V119" s="283"/>
      <c r="W119" s="283"/>
      <c r="X119" s="283"/>
      <c r="Y119" s="283"/>
      <c r="Z119" s="294" t="s">
        <v>345</v>
      </c>
      <c r="AA119" s="293" t="str">
        <f>IF(ISBLANK(AA118)," ",IFERROR(VLOOKUP(AA118,#REF!,13,0),""))</f>
        <v/>
      </c>
      <c r="AB119" s="295"/>
      <c r="AC119" s="295"/>
    </row>
    <row r="120" spans="1:29" ht="18.75" customHeight="1" thickBot="1" x14ac:dyDescent="0.3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83"/>
      <c r="S120" s="283"/>
      <c r="T120" s="297" t="s">
        <v>346</v>
      </c>
      <c r="U120" s="298" t="str">
        <f>IF(ISBLANK(U118)," ",IFERROR(VLOOKUP(U118,#REF!,4,0),""))</f>
        <v/>
      </c>
      <c r="V120" s="283"/>
      <c r="W120" s="283"/>
      <c r="X120" s="283"/>
      <c r="Y120" s="283"/>
      <c r="Z120" s="297" t="s">
        <v>346</v>
      </c>
      <c r="AA120" s="298" t="str">
        <f>IF(ISBLANK(AA118)," ",IFERROR(VLOOKUP(AA118,#REF!,4,0),""))</f>
        <v/>
      </c>
      <c r="AB120" s="295"/>
      <c r="AC120" s="295"/>
    </row>
    <row r="121" spans="1:29" ht="18.75" customHeight="1" thickBot="1" x14ac:dyDescent="0.3">
      <c r="A121" s="296"/>
      <c r="B121" s="296"/>
      <c r="C121" s="296"/>
      <c r="D121" s="296"/>
      <c r="E121" s="646" t="s">
        <v>347</v>
      </c>
      <c r="F121" s="647"/>
      <c r="G121" s="647"/>
      <c r="H121" s="647"/>
      <c r="I121" s="648"/>
      <c r="J121" s="649">
        <f>SUM(F123,O123)</f>
        <v>150</v>
      </c>
      <c r="K121" s="650"/>
      <c r="L121" s="296"/>
      <c r="M121" s="296"/>
      <c r="N121" s="296"/>
      <c r="O121" s="296"/>
      <c r="P121" s="296"/>
      <c r="Q121" s="296"/>
      <c r="R121" s="283"/>
      <c r="S121" s="283"/>
      <c r="T121" s="299" t="s">
        <v>348</v>
      </c>
      <c r="U121" s="300" t="str">
        <f>IF(ISBLANK(U118)," ",IFERROR(VLOOKUP(U118,#REF!,14,0),""))</f>
        <v/>
      </c>
      <c r="X121" s="283"/>
      <c r="Y121" s="283"/>
      <c r="Z121" s="299" t="s">
        <v>348</v>
      </c>
      <c r="AA121" s="300" t="str">
        <f>IF(ISBLANK(AA118)," ",IFERROR(VLOOKUP(AA118,#REF!,14,0),""))</f>
        <v/>
      </c>
    </row>
    <row r="122" spans="1:29" ht="18.75" customHeight="1" thickBot="1" x14ac:dyDescent="0.3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283"/>
      <c r="S122" s="283"/>
      <c r="T122" s="302" t="s">
        <v>349</v>
      </c>
      <c r="U122" s="303" t="str">
        <f>IF(ISBLANK(U118)," ",IFERROR(VLOOKUP(U118,#REF!,11,0),""))</f>
        <v/>
      </c>
      <c r="Z122" s="302" t="s">
        <v>349</v>
      </c>
      <c r="AA122" s="303" t="str">
        <f>IF(ISBLANK(AA118)," ",IFERROR(VLOOKUP(AA118,#REF!,11,0),""))</f>
        <v/>
      </c>
    </row>
    <row r="123" spans="1:29" ht="18.75" customHeight="1" thickBot="1" x14ac:dyDescent="0.4">
      <c r="A123" s="651" t="s">
        <v>350</v>
      </c>
      <c r="B123" s="652"/>
      <c r="C123" s="652"/>
      <c r="D123" s="652"/>
      <c r="E123" s="653"/>
      <c r="F123" s="649">
        <f>G215</f>
        <v>98</v>
      </c>
      <c r="G123" s="650"/>
      <c r="H123" s="283"/>
      <c r="I123" s="283"/>
      <c r="J123" s="651" t="s">
        <v>351</v>
      </c>
      <c r="K123" s="652"/>
      <c r="L123" s="652"/>
      <c r="M123" s="652"/>
      <c r="N123" s="653"/>
      <c r="O123" s="649">
        <f>P215</f>
        <v>52</v>
      </c>
      <c r="P123" s="650"/>
      <c r="Q123" s="283"/>
      <c r="R123" s="283"/>
      <c r="S123" s="283"/>
      <c r="T123" s="304" t="s">
        <v>352</v>
      </c>
      <c r="U123" s="305" t="str">
        <f>IF(ISBLANK(U118)," ",IFERROR(VLOOKUP(U118,#REF!,15,0),""))</f>
        <v/>
      </c>
      <c r="Z123" s="304" t="s">
        <v>352</v>
      </c>
      <c r="AA123" s="305" t="str">
        <f>IF(ISBLANK(AA118)," ",IFERROR(VLOOKUP(AA118,#REF!,15,0),""))</f>
        <v/>
      </c>
    </row>
    <row r="124" spans="1:29" ht="18.75" customHeight="1" x14ac:dyDescent="0.3">
      <c r="R124" s="283"/>
      <c r="S124" s="283"/>
      <c r="T124" s="306" t="s">
        <v>353</v>
      </c>
      <c r="U124" s="307" t="str">
        <f>IF(ISBLANK(U118)," ",IFERROR(VLOOKUP(U118,#REF!,16,0),""))</f>
        <v/>
      </c>
      <c r="V124" s="308"/>
      <c r="W124" s="283"/>
      <c r="X124" s="283"/>
      <c r="Y124" s="287"/>
      <c r="Z124" s="306" t="s">
        <v>353</v>
      </c>
      <c r="AA124" s="307" t="str">
        <f>IF(ISBLANK(AA118)," ",IFERROR(VLOOKUP(AA118,#REF!,16,0),""))</f>
        <v/>
      </c>
      <c r="AB124" s="295"/>
      <c r="AC124" s="295"/>
    </row>
    <row r="125" spans="1:29" ht="18.75" customHeight="1" x14ac:dyDescent="0.3">
      <c r="R125" s="283"/>
      <c r="S125" s="283"/>
      <c r="T125" s="309" t="s">
        <v>354</v>
      </c>
      <c r="U125" s="310" t="str">
        <f>IF(ISBLANK(U118)," ",IFERROR(VLOOKUP(U118,#REF!,17,0),""))</f>
        <v/>
      </c>
      <c r="V125" s="308"/>
      <c r="W125" s="283"/>
      <c r="X125" s="283"/>
      <c r="Y125" s="287"/>
      <c r="Z125" s="309" t="s">
        <v>354</v>
      </c>
      <c r="AA125" s="310" t="str">
        <f>IF(ISBLANK(AA118)," ",IFERROR(VLOOKUP(AA118,#REF!,17,0),""))</f>
        <v/>
      </c>
      <c r="AB125" s="295"/>
      <c r="AC125" s="295"/>
    </row>
    <row r="126" spans="1:29" ht="18.75" customHeight="1" thickBot="1" x14ac:dyDescent="0.35">
      <c r="R126" s="283"/>
      <c r="S126" s="283"/>
      <c r="T126" s="311"/>
      <c r="U126" s="308"/>
      <c r="V126" s="308"/>
      <c r="W126" s="283"/>
      <c r="X126" s="283"/>
      <c r="Y126" s="287"/>
      <c r="Z126" s="288"/>
      <c r="AA126" s="289"/>
      <c r="AB126" s="295"/>
      <c r="AC126" s="295"/>
    </row>
    <row r="127" spans="1:29" ht="18.75" customHeight="1" thickBot="1" x14ac:dyDescent="0.3">
      <c r="A127" s="659" t="s">
        <v>355</v>
      </c>
      <c r="B127" s="660"/>
      <c r="C127" s="660"/>
      <c r="D127" s="660"/>
      <c r="E127" s="660"/>
      <c r="F127" s="661"/>
      <c r="G127" s="312" t="s">
        <v>341</v>
      </c>
      <c r="J127" s="659" t="s">
        <v>355</v>
      </c>
      <c r="K127" s="660"/>
      <c r="L127" s="660"/>
      <c r="M127" s="660"/>
      <c r="N127" s="660"/>
      <c r="O127" s="661"/>
      <c r="P127" s="312" t="s">
        <v>341</v>
      </c>
      <c r="Q127" s="313" t="s">
        <v>356</v>
      </c>
      <c r="R127" s="283"/>
      <c r="S127" s="283"/>
      <c r="T127" s="662" t="s">
        <v>357</v>
      </c>
      <c r="U127" s="663"/>
      <c r="V127" s="663"/>
      <c r="W127" s="663"/>
      <c r="X127" s="663"/>
      <c r="Y127" s="663"/>
      <c r="Z127" s="663"/>
      <c r="AA127" s="663"/>
      <c r="AB127" s="663"/>
      <c r="AC127" s="664"/>
    </row>
    <row r="128" spans="1:29" ht="18.75" customHeight="1" x14ac:dyDescent="0.25">
      <c r="A128" s="657" t="s">
        <v>22</v>
      </c>
      <c r="B128" s="658"/>
      <c r="C128" s="658"/>
      <c r="D128" s="316" t="s">
        <v>358</v>
      </c>
      <c r="E128" s="317"/>
      <c r="F128" s="318" t="s">
        <v>23</v>
      </c>
      <c r="G128" s="319">
        <f>COUNTIF($A$4:$T$22,F128)+COUNTIF($A$24:$R$24,F128)+COUNTIF($A$25:$Q$25,F128)+COUNTIF($A$26:$M$42,F128)+COUNTIF($A$23:$S$23,F128)+COUNTIF($A$43:$O$81,F128)+COUNTIF($P$43:$P$47,F128)+COUNTIF($N$26:$O$27,F128)</f>
        <v>3</v>
      </c>
      <c r="J128" s="657" t="s">
        <v>22</v>
      </c>
      <c r="K128" s="658"/>
      <c r="L128" s="658"/>
      <c r="M128" s="316" t="s">
        <v>358</v>
      </c>
      <c r="N128" s="317"/>
      <c r="O128" s="318" t="s">
        <v>23</v>
      </c>
      <c r="P128" s="319">
        <f>COUNTIF($P$26:$S$27,O128)+COUNTIF($R$24:$S$25,O128)+COUNTIF($P$47:$S$73,O128)+COUNTIF($T$22:$BI$73,O128)+COUNTIF($N$28:$S$42,O128)</f>
        <v>0</v>
      </c>
      <c r="Q128" s="320">
        <f t="shared" ref="Q128:Q214" si="0">G128+P128</f>
        <v>3</v>
      </c>
      <c r="R128" s="283"/>
      <c r="S128" s="283"/>
      <c r="T128" s="665"/>
      <c r="U128" s="666"/>
      <c r="V128" s="666"/>
      <c r="W128" s="666"/>
      <c r="X128" s="666"/>
      <c r="Y128" s="666"/>
      <c r="Z128" s="666"/>
      <c r="AA128" s="666"/>
      <c r="AB128" s="666"/>
      <c r="AC128" s="667"/>
    </row>
    <row r="129" spans="1:29" ht="18.75" customHeight="1" x14ac:dyDescent="0.25">
      <c r="A129" s="657" t="s">
        <v>60</v>
      </c>
      <c r="B129" s="658"/>
      <c r="C129" s="658"/>
      <c r="D129" s="316" t="s">
        <v>358</v>
      </c>
      <c r="E129" s="317"/>
      <c r="F129" s="166" t="s">
        <v>61</v>
      </c>
      <c r="G129" s="319">
        <f t="shared" ref="G129:G130" si="1">COUNTIF($A$4:$T$22,F129)+COUNTIF($A$24:$R$24,F129)+COUNTIF($A$25:$Q$25,F129)+COUNTIF($A$26:$M$42,F129)+COUNTIF($A$23:$S$23,F129)+COUNTIF($A$43:$O$81,F129)+COUNTIF($P$43:$P$47,F129)+COUNTIF($N$26:$O$27,F129)</f>
        <v>0</v>
      </c>
      <c r="J129" s="657" t="s">
        <v>60</v>
      </c>
      <c r="K129" s="658"/>
      <c r="L129" s="658"/>
      <c r="M129" s="316" t="s">
        <v>358</v>
      </c>
      <c r="N129" s="317"/>
      <c r="O129" s="166" t="s">
        <v>61</v>
      </c>
      <c r="P129" s="319">
        <f t="shared" ref="P129:P130" si="2">COUNTIF($P$26:$S$27,O129)+COUNTIF($R$24:$S$25,O129)+COUNTIF($P$47:$S$73,O129)+COUNTIF($T$22:$BI$73,O129)+COUNTIF($N$28:$S$42,O129)</f>
        <v>4</v>
      </c>
      <c r="Q129" s="321">
        <f t="shared" si="0"/>
        <v>4</v>
      </c>
      <c r="R129" s="283"/>
      <c r="S129" s="283"/>
      <c r="T129" s="668"/>
      <c r="U129" s="669"/>
      <c r="V129" s="669"/>
      <c r="W129" s="669"/>
      <c r="X129" s="669"/>
      <c r="Y129" s="669"/>
      <c r="Z129" s="669"/>
      <c r="AA129" s="669"/>
      <c r="AB129" s="669"/>
      <c r="AC129" s="670"/>
    </row>
    <row r="130" spans="1:29" ht="18.75" customHeight="1" x14ac:dyDescent="0.25">
      <c r="A130" s="657" t="s">
        <v>24</v>
      </c>
      <c r="B130" s="658"/>
      <c r="C130" s="658"/>
      <c r="D130" s="316" t="s">
        <v>358</v>
      </c>
      <c r="E130" s="317"/>
      <c r="F130" s="322" t="s">
        <v>25</v>
      </c>
      <c r="G130" s="319">
        <f t="shared" si="1"/>
        <v>3</v>
      </c>
      <c r="J130" s="657" t="s">
        <v>24</v>
      </c>
      <c r="K130" s="658"/>
      <c r="L130" s="658"/>
      <c r="M130" s="316" t="s">
        <v>358</v>
      </c>
      <c r="N130" s="317"/>
      <c r="O130" s="322" t="s">
        <v>25</v>
      </c>
      <c r="P130" s="319">
        <f t="shared" si="2"/>
        <v>2</v>
      </c>
      <c r="Q130" s="321">
        <f t="shared" si="0"/>
        <v>5</v>
      </c>
      <c r="R130" s="283"/>
      <c r="S130" s="283"/>
      <c r="T130" s="668"/>
      <c r="U130" s="669"/>
      <c r="V130" s="669"/>
      <c r="W130" s="669"/>
      <c r="X130" s="669"/>
      <c r="Y130" s="669"/>
      <c r="Z130" s="669"/>
      <c r="AA130" s="669"/>
      <c r="AB130" s="669"/>
      <c r="AC130" s="670"/>
    </row>
    <row r="131" spans="1:29" ht="18.75" customHeight="1" x14ac:dyDescent="0.25">
      <c r="A131" s="655"/>
      <c r="B131" s="656"/>
      <c r="C131" s="656"/>
      <c r="D131" s="323"/>
      <c r="E131" s="324"/>
      <c r="F131" s="325"/>
      <c r="G131" s="326"/>
      <c r="J131" s="655"/>
      <c r="K131" s="656"/>
      <c r="L131" s="656"/>
      <c r="M131" s="323"/>
      <c r="N131" s="324"/>
      <c r="O131" s="325"/>
      <c r="P131" s="326"/>
      <c r="Q131" s="327"/>
      <c r="R131" s="283"/>
      <c r="S131" s="283"/>
      <c r="T131" s="668"/>
      <c r="U131" s="669"/>
      <c r="V131" s="669"/>
      <c r="W131" s="669"/>
      <c r="X131" s="669"/>
      <c r="Y131" s="669"/>
      <c r="Z131" s="669"/>
      <c r="AA131" s="669"/>
      <c r="AB131" s="669"/>
      <c r="AC131" s="670"/>
    </row>
    <row r="132" spans="1:29" ht="18.75" customHeight="1" x14ac:dyDescent="0.25">
      <c r="A132" s="657" t="s">
        <v>26</v>
      </c>
      <c r="B132" s="658"/>
      <c r="C132" s="658"/>
      <c r="D132" s="316" t="s">
        <v>359</v>
      </c>
      <c r="E132" s="317"/>
      <c r="F132" s="328" t="s">
        <v>27</v>
      </c>
      <c r="G132" s="319">
        <f t="shared" ref="G132:G134" si="3">COUNTIF($A$4:$T$22,F132)+COUNTIF($A$24:$R$24,F132)+COUNTIF($A$25:$Q$25,F132)+COUNTIF($A$26:$M$42,F132)+COUNTIF($A$23:$S$23,F132)+COUNTIF($A$43:$O$81,F132)+COUNTIF($P$43:$P$47,F132)+COUNTIF($N$26:$O$27,F132)</f>
        <v>12</v>
      </c>
      <c r="J132" s="657" t="s">
        <v>26</v>
      </c>
      <c r="K132" s="658"/>
      <c r="L132" s="658"/>
      <c r="M132" s="316" t="s">
        <v>359</v>
      </c>
      <c r="N132" s="317"/>
      <c r="O132" s="328" t="s">
        <v>27</v>
      </c>
      <c r="P132" s="319">
        <f t="shared" ref="P132:P134" si="4">COUNTIF($P$26:$S$27,O132)+COUNTIF($R$24:$S$25,O132)+COUNTIF($P$47:$S$73,O132)+COUNTIF($T$22:$BI$73,O132)+COUNTIF($N$28:$S$42,O132)</f>
        <v>0</v>
      </c>
      <c r="Q132" s="321">
        <f t="shared" ref="Q132:Q134" si="5">G132+P132</f>
        <v>12</v>
      </c>
      <c r="R132" s="283"/>
      <c r="S132" s="283"/>
      <c r="T132" s="668"/>
      <c r="U132" s="669"/>
      <c r="V132" s="669"/>
      <c r="W132" s="669"/>
      <c r="X132" s="669"/>
      <c r="Y132" s="669"/>
      <c r="Z132" s="669"/>
      <c r="AA132" s="669"/>
      <c r="AB132" s="669"/>
      <c r="AC132" s="670"/>
    </row>
    <row r="133" spans="1:29" ht="18.75" customHeight="1" x14ac:dyDescent="0.25">
      <c r="A133" s="657" t="s">
        <v>62</v>
      </c>
      <c r="B133" s="658"/>
      <c r="C133" s="658"/>
      <c r="D133" s="316" t="s">
        <v>360</v>
      </c>
      <c r="E133" s="317"/>
      <c r="F133" s="329" t="s">
        <v>63</v>
      </c>
      <c r="G133" s="319">
        <f t="shared" si="3"/>
        <v>0</v>
      </c>
      <c r="J133" s="657" t="s">
        <v>62</v>
      </c>
      <c r="K133" s="658"/>
      <c r="L133" s="658"/>
      <c r="M133" s="316" t="s">
        <v>360</v>
      </c>
      <c r="N133" s="317"/>
      <c r="O133" s="329" t="s">
        <v>63</v>
      </c>
      <c r="P133" s="319">
        <f t="shared" si="4"/>
        <v>0</v>
      </c>
      <c r="Q133" s="321">
        <f t="shared" si="5"/>
        <v>0</v>
      </c>
      <c r="R133" s="283"/>
      <c r="S133" s="283"/>
      <c r="T133" s="668"/>
      <c r="U133" s="669"/>
      <c r="V133" s="669"/>
      <c r="W133" s="669"/>
      <c r="X133" s="669"/>
      <c r="Y133" s="669"/>
      <c r="Z133" s="669"/>
      <c r="AA133" s="669"/>
      <c r="AB133" s="669"/>
      <c r="AC133" s="670"/>
    </row>
    <row r="134" spans="1:29" ht="18.75" customHeight="1" x14ac:dyDescent="0.25">
      <c r="A134" s="657" t="s">
        <v>64</v>
      </c>
      <c r="B134" s="658"/>
      <c r="C134" s="658"/>
      <c r="D134" s="316" t="s">
        <v>358</v>
      </c>
      <c r="E134" s="317"/>
      <c r="F134" s="330" t="s">
        <v>65</v>
      </c>
      <c r="G134" s="319">
        <f t="shared" si="3"/>
        <v>0</v>
      </c>
      <c r="J134" s="657" t="s">
        <v>64</v>
      </c>
      <c r="K134" s="658"/>
      <c r="L134" s="658"/>
      <c r="M134" s="316" t="s">
        <v>358</v>
      </c>
      <c r="N134" s="317"/>
      <c r="O134" s="330" t="s">
        <v>65</v>
      </c>
      <c r="P134" s="319">
        <f t="shared" si="4"/>
        <v>0</v>
      </c>
      <c r="Q134" s="321">
        <f t="shared" si="5"/>
        <v>0</v>
      </c>
      <c r="R134" s="283"/>
      <c r="S134" s="283"/>
      <c r="T134" s="668"/>
      <c r="U134" s="669"/>
      <c r="V134" s="669"/>
      <c r="W134" s="669"/>
      <c r="X134" s="669"/>
      <c r="Y134" s="669"/>
      <c r="Z134" s="669"/>
      <c r="AA134" s="669"/>
      <c r="AB134" s="669"/>
      <c r="AC134" s="670"/>
    </row>
    <row r="135" spans="1:29" ht="18.75" customHeight="1" x14ac:dyDescent="0.25">
      <c r="A135" s="655"/>
      <c r="B135" s="656"/>
      <c r="C135" s="656"/>
      <c r="D135" s="323"/>
      <c r="E135" s="324"/>
      <c r="F135" s="325"/>
      <c r="G135" s="326"/>
      <c r="J135" s="655"/>
      <c r="K135" s="656"/>
      <c r="L135" s="656"/>
      <c r="M135" s="323"/>
      <c r="N135" s="324"/>
      <c r="O135" s="325"/>
      <c r="P135" s="326"/>
      <c r="Q135" s="327"/>
      <c r="R135" s="283"/>
      <c r="S135" s="283"/>
      <c r="T135" s="668"/>
      <c r="U135" s="669"/>
      <c r="V135" s="669"/>
      <c r="W135" s="669"/>
      <c r="X135" s="669"/>
      <c r="Y135" s="669"/>
      <c r="Z135" s="669"/>
      <c r="AA135" s="669"/>
      <c r="AB135" s="669"/>
      <c r="AC135" s="670"/>
    </row>
    <row r="136" spans="1:29" ht="18.75" customHeight="1" x14ac:dyDescent="0.25">
      <c r="A136" s="657" t="s">
        <v>105</v>
      </c>
      <c r="B136" s="658"/>
      <c r="C136" s="658"/>
      <c r="D136" s="316" t="s">
        <v>361</v>
      </c>
      <c r="E136" s="317"/>
      <c r="F136" s="331" t="s">
        <v>104</v>
      </c>
      <c r="G136" s="319">
        <f t="shared" ref="G136:G139" si="6">COUNTIF($A$4:$T$22,F136)+COUNTIF($A$24:$R$24,F136)+COUNTIF($A$25:$Q$25,F136)+COUNTIF($A$26:$M$42,F136)+COUNTIF($A$23:$S$23,F136)+COUNTIF($A$43:$O$81,F136)+COUNTIF($P$43:$P$47,F136)+COUNTIF($N$26:$O$27,F136)</f>
        <v>0</v>
      </c>
      <c r="J136" s="657" t="s">
        <v>105</v>
      </c>
      <c r="K136" s="658"/>
      <c r="L136" s="658"/>
      <c r="M136" s="316" t="s">
        <v>361</v>
      </c>
      <c r="N136" s="317"/>
      <c r="O136" s="331" t="s">
        <v>104</v>
      </c>
      <c r="P136" s="319">
        <f t="shared" ref="P136:P139" si="7">COUNTIF($P$26:$S$27,O136)+COUNTIF($R$24:$S$25,O136)+COUNTIF($P$47:$S$73,O136)+COUNTIF($T$22:$BI$73,O136)+COUNTIF($N$28:$S$42,O136)</f>
        <v>0</v>
      </c>
      <c r="Q136" s="321">
        <f t="shared" ref="Q136:Q139" si="8">G136+P136</f>
        <v>0</v>
      </c>
      <c r="R136" s="283"/>
      <c r="S136" s="283"/>
      <c r="T136" s="668"/>
      <c r="U136" s="669"/>
      <c r="V136" s="669"/>
      <c r="W136" s="669"/>
      <c r="X136" s="669"/>
      <c r="Y136" s="669"/>
      <c r="Z136" s="669"/>
      <c r="AA136" s="669"/>
      <c r="AB136" s="669"/>
      <c r="AC136" s="670"/>
    </row>
    <row r="137" spans="1:29" ht="18.75" customHeight="1" x14ac:dyDescent="0.25">
      <c r="A137" s="657" t="s">
        <v>78</v>
      </c>
      <c r="B137" s="658"/>
      <c r="C137" s="658"/>
      <c r="D137" s="316" t="s">
        <v>361</v>
      </c>
      <c r="E137" s="317"/>
      <c r="F137" s="332" t="s">
        <v>77</v>
      </c>
      <c r="G137" s="319">
        <f t="shared" si="6"/>
        <v>0</v>
      </c>
      <c r="J137" s="657" t="s">
        <v>78</v>
      </c>
      <c r="K137" s="658"/>
      <c r="L137" s="658"/>
      <c r="M137" s="316" t="s">
        <v>361</v>
      </c>
      <c r="N137" s="317"/>
      <c r="O137" s="332" t="s">
        <v>77</v>
      </c>
      <c r="P137" s="319">
        <f t="shared" si="7"/>
        <v>0</v>
      </c>
      <c r="Q137" s="321">
        <f t="shared" si="8"/>
        <v>0</v>
      </c>
      <c r="R137" s="283"/>
      <c r="S137" s="283"/>
      <c r="T137" s="668"/>
      <c r="U137" s="669"/>
      <c r="V137" s="669"/>
      <c r="W137" s="669"/>
      <c r="X137" s="669"/>
      <c r="Y137" s="669"/>
      <c r="Z137" s="669"/>
      <c r="AA137" s="669"/>
      <c r="AB137" s="669"/>
      <c r="AC137" s="670"/>
    </row>
    <row r="138" spans="1:29" ht="18.75" customHeight="1" x14ac:dyDescent="0.25">
      <c r="A138" s="657" t="s">
        <v>79</v>
      </c>
      <c r="B138" s="658"/>
      <c r="C138" s="658"/>
      <c r="D138" s="316" t="s">
        <v>361</v>
      </c>
      <c r="E138" s="317"/>
      <c r="F138" s="333" t="s">
        <v>76</v>
      </c>
      <c r="G138" s="319">
        <f t="shared" si="6"/>
        <v>0</v>
      </c>
      <c r="J138" s="657" t="s">
        <v>79</v>
      </c>
      <c r="K138" s="658"/>
      <c r="L138" s="658"/>
      <c r="M138" s="316" t="s">
        <v>361</v>
      </c>
      <c r="N138" s="317"/>
      <c r="O138" s="333" t="s">
        <v>76</v>
      </c>
      <c r="P138" s="319">
        <f t="shared" si="7"/>
        <v>0</v>
      </c>
      <c r="Q138" s="321">
        <f t="shared" si="8"/>
        <v>0</v>
      </c>
      <c r="R138" s="283"/>
      <c r="S138" s="283"/>
      <c r="T138" s="668"/>
      <c r="U138" s="669"/>
      <c r="V138" s="669"/>
      <c r="W138" s="669"/>
      <c r="X138" s="669"/>
      <c r="Y138" s="669"/>
      <c r="Z138" s="669"/>
      <c r="AA138" s="669"/>
      <c r="AB138" s="669"/>
      <c r="AC138" s="670"/>
    </row>
    <row r="139" spans="1:29" ht="18.75" customHeight="1" x14ac:dyDescent="0.25">
      <c r="A139" s="657" t="s">
        <v>140</v>
      </c>
      <c r="B139" s="658"/>
      <c r="C139" s="658"/>
      <c r="D139" s="316" t="s">
        <v>361</v>
      </c>
      <c r="E139" s="317"/>
      <c r="F139" s="334" t="s">
        <v>106</v>
      </c>
      <c r="G139" s="319">
        <f t="shared" si="6"/>
        <v>0</v>
      </c>
      <c r="J139" s="657" t="s">
        <v>140</v>
      </c>
      <c r="K139" s="658"/>
      <c r="L139" s="658"/>
      <c r="M139" s="316" t="s">
        <v>361</v>
      </c>
      <c r="N139" s="317"/>
      <c r="O139" s="334" t="s">
        <v>106</v>
      </c>
      <c r="P139" s="319">
        <f t="shared" si="7"/>
        <v>0</v>
      </c>
      <c r="Q139" s="321">
        <f t="shared" si="8"/>
        <v>0</v>
      </c>
      <c r="R139" s="283"/>
      <c r="S139" s="283"/>
      <c r="T139" s="668"/>
      <c r="U139" s="669"/>
      <c r="V139" s="669"/>
      <c r="W139" s="669"/>
      <c r="X139" s="669"/>
      <c r="Y139" s="669"/>
      <c r="Z139" s="669"/>
      <c r="AA139" s="669"/>
      <c r="AB139" s="669"/>
      <c r="AC139" s="670"/>
    </row>
    <row r="140" spans="1:29" ht="18.75" customHeight="1" x14ac:dyDescent="0.25">
      <c r="A140" s="655"/>
      <c r="B140" s="656"/>
      <c r="C140" s="656"/>
      <c r="D140" s="323"/>
      <c r="E140" s="324"/>
      <c r="F140" s="325"/>
      <c r="G140" s="326"/>
      <c r="J140" s="655"/>
      <c r="K140" s="656"/>
      <c r="L140" s="656"/>
      <c r="M140" s="323"/>
      <c r="N140" s="324"/>
      <c r="O140" s="325"/>
      <c r="P140" s="326"/>
      <c r="Q140" s="327"/>
      <c r="R140" s="283"/>
      <c r="S140" s="283"/>
      <c r="T140" s="668"/>
      <c r="U140" s="669"/>
      <c r="V140" s="669"/>
      <c r="W140" s="669"/>
      <c r="X140" s="669"/>
      <c r="Y140" s="669"/>
      <c r="Z140" s="669"/>
      <c r="AA140" s="669"/>
      <c r="AB140" s="669"/>
      <c r="AC140" s="670"/>
    </row>
    <row r="141" spans="1:29" ht="18.75" customHeight="1" thickBot="1" x14ac:dyDescent="0.3">
      <c r="A141" s="657" t="s">
        <v>108</v>
      </c>
      <c r="B141" s="658"/>
      <c r="C141" s="658"/>
      <c r="D141" s="316"/>
      <c r="E141" s="317"/>
      <c r="F141" s="335" t="s">
        <v>107</v>
      </c>
      <c r="G141" s="319">
        <f t="shared" ref="G141:G154" si="9">COUNTIF($A$4:$T$22,F141)+COUNTIF($A$24:$R$24,F141)+COUNTIF($A$25:$Q$25,F141)+COUNTIF($A$26:$M$42,F141)+COUNTIF($A$23:$S$23,F141)+COUNTIF($A$43:$O$81,F141)+COUNTIF($P$43:$P$47,F141)+COUNTIF($N$26:$O$27,F141)</f>
        <v>0</v>
      </c>
      <c r="J141" s="657" t="s">
        <v>108</v>
      </c>
      <c r="K141" s="658"/>
      <c r="L141" s="658"/>
      <c r="M141" s="316"/>
      <c r="N141" s="317"/>
      <c r="O141" s="335" t="s">
        <v>107</v>
      </c>
      <c r="P141" s="319">
        <f t="shared" ref="P141:P154" si="10">COUNTIF($P$26:$S$27,O141)+COUNTIF($R$24:$S$25,O141)+COUNTIF($P$47:$S$73,O141)+COUNTIF($T$22:$BI$73,O141)+COUNTIF($N$28:$S$42,O141)</f>
        <v>0</v>
      </c>
      <c r="Q141" s="321">
        <f t="shared" ref="Q141:Q154" si="11">G141+P141</f>
        <v>0</v>
      </c>
      <c r="R141" s="283"/>
      <c r="S141" s="283"/>
      <c r="T141" s="671"/>
      <c r="U141" s="672"/>
      <c r="V141" s="672"/>
      <c r="W141" s="672"/>
      <c r="X141" s="672"/>
      <c r="Y141" s="672"/>
      <c r="Z141" s="672"/>
      <c r="AA141" s="672"/>
      <c r="AB141" s="672"/>
      <c r="AC141" s="673"/>
    </row>
    <row r="142" spans="1:29" ht="18.75" customHeight="1" x14ac:dyDescent="0.25">
      <c r="A142" s="657" t="s">
        <v>81</v>
      </c>
      <c r="B142" s="674"/>
      <c r="C142" s="674"/>
      <c r="D142" s="316" t="s">
        <v>360</v>
      </c>
      <c r="E142" s="317"/>
      <c r="F142" s="336" t="s">
        <v>80</v>
      </c>
      <c r="G142" s="319">
        <f t="shared" si="9"/>
        <v>0</v>
      </c>
      <c r="J142" s="657" t="s">
        <v>81</v>
      </c>
      <c r="K142" s="674"/>
      <c r="L142" s="674"/>
      <c r="M142" s="316" t="s">
        <v>360</v>
      </c>
      <c r="N142" s="317"/>
      <c r="O142" s="336" t="s">
        <v>80</v>
      </c>
      <c r="P142" s="319">
        <f t="shared" si="10"/>
        <v>0</v>
      </c>
      <c r="Q142" s="321">
        <f t="shared" si="11"/>
        <v>0</v>
      </c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95"/>
      <c r="AC142" s="295"/>
    </row>
    <row r="143" spans="1:29" ht="18.75" customHeight="1" x14ac:dyDescent="0.25">
      <c r="A143" s="657" t="s">
        <v>132</v>
      </c>
      <c r="B143" s="674"/>
      <c r="C143" s="674"/>
      <c r="D143" s="316" t="s">
        <v>362</v>
      </c>
      <c r="E143" s="317"/>
      <c r="F143" s="337" t="s">
        <v>133</v>
      </c>
      <c r="G143" s="319">
        <f t="shared" si="9"/>
        <v>8</v>
      </c>
      <c r="J143" s="657" t="s">
        <v>132</v>
      </c>
      <c r="K143" s="674"/>
      <c r="L143" s="674"/>
      <c r="M143" s="316" t="s">
        <v>362</v>
      </c>
      <c r="N143" s="317"/>
      <c r="O143" s="337" t="s">
        <v>133</v>
      </c>
      <c r="P143" s="319">
        <f t="shared" si="10"/>
        <v>4</v>
      </c>
      <c r="Q143" s="321">
        <f t="shared" si="11"/>
        <v>12</v>
      </c>
      <c r="R143" s="283"/>
      <c r="S143" s="283"/>
      <c r="U143" s="283"/>
      <c r="V143" s="283"/>
      <c r="AC143" s="283"/>
    </row>
    <row r="144" spans="1:29" ht="18.75" customHeight="1" x14ac:dyDescent="0.25">
      <c r="A144" s="657" t="s">
        <v>141</v>
      </c>
      <c r="B144" s="674"/>
      <c r="C144" s="674"/>
      <c r="D144" s="316"/>
      <c r="E144" s="317"/>
      <c r="F144" s="338" t="s">
        <v>142</v>
      </c>
      <c r="G144" s="319">
        <f t="shared" si="9"/>
        <v>0</v>
      </c>
      <c r="J144" s="657" t="s">
        <v>141</v>
      </c>
      <c r="K144" s="674"/>
      <c r="L144" s="674"/>
      <c r="M144" s="316"/>
      <c r="N144" s="317"/>
      <c r="O144" s="338" t="s">
        <v>142</v>
      </c>
      <c r="P144" s="319">
        <f t="shared" si="10"/>
        <v>0</v>
      </c>
      <c r="Q144" s="321">
        <f t="shared" si="11"/>
        <v>0</v>
      </c>
      <c r="R144" s="283"/>
      <c r="S144" s="283"/>
      <c r="AC144" s="283"/>
    </row>
    <row r="145" spans="1:29" ht="18.75" customHeight="1" x14ac:dyDescent="0.3">
      <c r="A145" s="657" t="s">
        <v>143</v>
      </c>
      <c r="B145" s="674"/>
      <c r="C145" s="674"/>
      <c r="D145" s="316"/>
      <c r="E145" s="317"/>
      <c r="F145" s="339" t="s">
        <v>144</v>
      </c>
      <c r="G145" s="319">
        <f t="shared" si="9"/>
        <v>0</v>
      </c>
      <c r="J145" s="657" t="s">
        <v>143</v>
      </c>
      <c r="K145" s="674"/>
      <c r="L145" s="674"/>
      <c r="M145" s="316"/>
      <c r="N145" s="317"/>
      <c r="O145" s="339" t="s">
        <v>144</v>
      </c>
      <c r="P145" s="319">
        <f t="shared" si="10"/>
        <v>0</v>
      </c>
      <c r="Q145" s="321">
        <f t="shared" si="11"/>
        <v>0</v>
      </c>
      <c r="R145" s="283"/>
      <c r="S145" s="311"/>
      <c r="AC145" s="283"/>
    </row>
    <row r="146" spans="1:29" ht="18.75" customHeight="1" x14ac:dyDescent="0.3">
      <c r="A146" s="657" t="s">
        <v>145</v>
      </c>
      <c r="B146" s="674"/>
      <c r="C146" s="674"/>
      <c r="D146" s="316"/>
      <c r="E146" s="317"/>
      <c r="F146" s="246" t="s">
        <v>146</v>
      </c>
      <c r="G146" s="319">
        <f t="shared" si="9"/>
        <v>4</v>
      </c>
      <c r="J146" s="657" t="s">
        <v>145</v>
      </c>
      <c r="K146" s="674"/>
      <c r="L146" s="674"/>
      <c r="M146" s="316"/>
      <c r="N146" s="317"/>
      <c r="O146" s="246" t="s">
        <v>146</v>
      </c>
      <c r="P146" s="319">
        <f t="shared" si="10"/>
        <v>0</v>
      </c>
      <c r="Q146" s="321">
        <f t="shared" si="11"/>
        <v>4</v>
      </c>
      <c r="R146" s="283"/>
      <c r="S146" s="311"/>
      <c r="AC146" s="283"/>
    </row>
    <row r="147" spans="1:29" ht="18.75" customHeight="1" x14ac:dyDescent="0.3">
      <c r="A147" s="657" t="s">
        <v>147</v>
      </c>
      <c r="B147" s="674"/>
      <c r="C147" s="674"/>
      <c r="D147" s="316"/>
      <c r="E147" s="317"/>
      <c r="F147" s="340" t="s">
        <v>138</v>
      </c>
      <c r="G147" s="319">
        <f t="shared" si="9"/>
        <v>4</v>
      </c>
      <c r="J147" s="657" t="s">
        <v>147</v>
      </c>
      <c r="K147" s="674"/>
      <c r="L147" s="674"/>
      <c r="M147" s="316"/>
      <c r="N147" s="317"/>
      <c r="O147" s="340" t="s">
        <v>138</v>
      </c>
      <c r="P147" s="319">
        <f t="shared" si="10"/>
        <v>6</v>
      </c>
      <c r="Q147" s="321">
        <f t="shared" si="11"/>
        <v>10</v>
      </c>
      <c r="R147" s="283"/>
      <c r="S147" s="311"/>
      <c r="AC147" s="283"/>
    </row>
    <row r="148" spans="1:29" ht="18.75" customHeight="1" x14ac:dyDescent="0.3">
      <c r="A148" s="657" t="s">
        <v>148</v>
      </c>
      <c r="B148" s="674"/>
      <c r="C148" s="674"/>
      <c r="D148" s="316" t="s">
        <v>362</v>
      </c>
      <c r="E148" s="317"/>
      <c r="F148" s="341" t="s">
        <v>109</v>
      </c>
      <c r="G148" s="319">
        <f t="shared" si="9"/>
        <v>0</v>
      </c>
      <c r="J148" s="657" t="s">
        <v>148</v>
      </c>
      <c r="K148" s="674"/>
      <c r="L148" s="674"/>
      <c r="M148" s="316" t="s">
        <v>362</v>
      </c>
      <c r="N148" s="317"/>
      <c r="O148" s="341" t="s">
        <v>109</v>
      </c>
      <c r="P148" s="319">
        <f t="shared" si="10"/>
        <v>0</v>
      </c>
      <c r="Q148" s="321">
        <f t="shared" si="11"/>
        <v>0</v>
      </c>
      <c r="R148" s="283"/>
      <c r="S148" s="311"/>
      <c r="AC148" s="283"/>
    </row>
    <row r="149" spans="1:29" ht="18.75" customHeight="1" x14ac:dyDescent="0.3">
      <c r="A149" s="657" t="s">
        <v>149</v>
      </c>
      <c r="B149" s="674"/>
      <c r="C149" s="674"/>
      <c r="D149" s="316"/>
      <c r="E149" s="317"/>
      <c r="F149" s="342" t="s">
        <v>139</v>
      </c>
      <c r="G149" s="319">
        <f t="shared" si="9"/>
        <v>0</v>
      </c>
      <c r="J149" s="657" t="s">
        <v>149</v>
      </c>
      <c r="K149" s="674"/>
      <c r="L149" s="674"/>
      <c r="M149" s="316"/>
      <c r="N149" s="317"/>
      <c r="O149" s="342" t="s">
        <v>139</v>
      </c>
      <c r="P149" s="319">
        <f t="shared" si="10"/>
        <v>0</v>
      </c>
      <c r="Q149" s="321">
        <f t="shared" si="11"/>
        <v>0</v>
      </c>
      <c r="R149" s="283"/>
      <c r="S149" s="311"/>
      <c r="AC149" s="283"/>
    </row>
    <row r="150" spans="1:29" ht="18.75" customHeight="1" x14ac:dyDescent="0.3">
      <c r="A150" s="657" t="s">
        <v>83</v>
      </c>
      <c r="B150" s="674"/>
      <c r="C150" s="674"/>
      <c r="D150" s="316" t="s">
        <v>358</v>
      </c>
      <c r="E150" s="317"/>
      <c r="F150" s="343" t="s">
        <v>82</v>
      </c>
      <c r="G150" s="319">
        <f t="shared" si="9"/>
        <v>0</v>
      </c>
      <c r="J150" s="657" t="s">
        <v>83</v>
      </c>
      <c r="K150" s="674"/>
      <c r="L150" s="674"/>
      <c r="M150" s="316" t="s">
        <v>358</v>
      </c>
      <c r="N150" s="317"/>
      <c r="O150" s="343" t="s">
        <v>82</v>
      </c>
      <c r="P150" s="319">
        <f t="shared" si="10"/>
        <v>0</v>
      </c>
      <c r="Q150" s="321">
        <f t="shared" si="11"/>
        <v>0</v>
      </c>
      <c r="R150" s="283"/>
      <c r="S150" s="311"/>
      <c r="AC150" s="283"/>
    </row>
    <row r="151" spans="1:29" ht="18.75" customHeight="1" x14ac:dyDescent="0.3">
      <c r="A151" s="657" t="s">
        <v>150</v>
      </c>
      <c r="B151" s="674"/>
      <c r="C151" s="674"/>
      <c r="D151" s="316"/>
      <c r="E151" s="317"/>
      <c r="F151" s="344" t="s">
        <v>151</v>
      </c>
      <c r="G151" s="319">
        <f t="shared" si="9"/>
        <v>0</v>
      </c>
      <c r="J151" s="657" t="s">
        <v>150</v>
      </c>
      <c r="K151" s="674"/>
      <c r="L151" s="674"/>
      <c r="M151" s="316"/>
      <c r="N151" s="317"/>
      <c r="O151" s="344" t="s">
        <v>151</v>
      </c>
      <c r="P151" s="319">
        <f t="shared" si="10"/>
        <v>0</v>
      </c>
      <c r="Q151" s="321">
        <f t="shared" si="11"/>
        <v>0</v>
      </c>
      <c r="R151" s="283"/>
      <c r="S151" s="311"/>
      <c r="AC151" s="283"/>
    </row>
    <row r="152" spans="1:29" ht="18.75" customHeight="1" x14ac:dyDescent="0.3">
      <c r="A152" s="657" t="s">
        <v>111</v>
      </c>
      <c r="B152" s="674"/>
      <c r="C152" s="674"/>
      <c r="D152" s="316"/>
      <c r="E152" s="317"/>
      <c r="F152" s="345" t="s">
        <v>110</v>
      </c>
      <c r="G152" s="319">
        <f t="shared" si="9"/>
        <v>0</v>
      </c>
      <c r="J152" s="657" t="s">
        <v>111</v>
      </c>
      <c r="K152" s="674"/>
      <c r="L152" s="674"/>
      <c r="M152" s="316"/>
      <c r="N152" s="317"/>
      <c r="O152" s="345" t="s">
        <v>110</v>
      </c>
      <c r="P152" s="319">
        <f t="shared" si="10"/>
        <v>0</v>
      </c>
      <c r="Q152" s="321">
        <f t="shared" si="11"/>
        <v>0</v>
      </c>
      <c r="R152" s="283"/>
      <c r="S152" s="311"/>
      <c r="U152" s="283"/>
      <c r="V152" s="283"/>
      <c r="AC152" s="283"/>
    </row>
    <row r="153" spans="1:29" ht="18.75" customHeight="1" x14ac:dyDescent="0.3">
      <c r="A153" s="657" t="s">
        <v>152</v>
      </c>
      <c r="B153" s="674"/>
      <c r="C153" s="674"/>
      <c r="D153" s="316" t="s">
        <v>362</v>
      </c>
      <c r="E153" s="317"/>
      <c r="F153" s="346" t="s">
        <v>123</v>
      </c>
      <c r="G153" s="319">
        <f t="shared" si="9"/>
        <v>0</v>
      </c>
      <c r="J153" s="657" t="s">
        <v>152</v>
      </c>
      <c r="K153" s="674"/>
      <c r="L153" s="674"/>
      <c r="M153" s="316" t="s">
        <v>362</v>
      </c>
      <c r="N153" s="317"/>
      <c r="O153" s="346" t="s">
        <v>123</v>
      </c>
      <c r="P153" s="319">
        <f t="shared" si="10"/>
        <v>0</v>
      </c>
      <c r="Q153" s="321">
        <f t="shared" si="11"/>
        <v>0</v>
      </c>
      <c r="R153" s="283"/>
      <c r="S153" s="311"/>
      <c r="U153" s="283"/>
      <c r="V153" s="283"/>
      <c r="AC153" s="283"/>
    </row>
    <row r="154" spans="1:29" ht="18.75" customHeight="1" x14ac:dyDescent="0.3">
      <c r="A154" s="657" t="s">
        <v>85</v>
      </c>
      <c r="B154" s="674"/>
      <c r="C154" s="674"/>
      <c r="D154" s="316" t="s">
        <v>362</v>
      </c>
      <c r="E154" s="317"/>
      <c r="F154" s="347" t="s">
        <v>84</v>
      </c>
      <c r="G154" s="319">
        <f t="shared" si="9"/>
        <v>4</v>
      </c>
      <c r="J154" s="657" t="s">
        <v>85</v>
      </c>
      <c r="K154" s="674"/>
      <c r="L154" s="674"/>
      <c r="M154" s="316" t="s">
        <v>362</v>
      </c>
      <c r="N154" s="317"/>
      <c r="O154" s="347" t="s">
        <v>84</v>
      </c>
      <c r="P154" s="319">
        <f t="shared" si="10"/>
        <v>4</v>
      </c>
      <c r="Q154" s="321">
        <f t="shared" si="11"/>
        <v>8</v>
      </c>
      <c r="R154" s="283"/>
      <c r="S154" s="311"/>
      <c r="U154" s="283"/>
      <c r="V154" s="283"/>
      <c r="AC154" s="283"/>
    </row>
    <row r="155" spans="1:29" ht="18.75" customHeight="1" x14ac:dyDescent="0.3">
      <c r="A155" s="655"/>
      <c r="B155" s="656"/>
      <c r="C155" s="656"/>
      <c r="D155" s="323"/>
      <c r="E155" s="324"/>
      <c r="F155" s="348"/>
      <c r="G155" s="326"/>
      <c r="J155" s="655"/>
      <c r="K155" s="656"/>
      <c r="L155" s="656"/>
      <c r="M155" s="323"/>
      <c r="N155" s="324"/>
      <c r="O155" s="325"/>
      <c r="P155" s="349"/>
      <c r="Q155" s="327"/>
      <c r="R155" s="283"/>
      <c r="S155" s="311"/>
      <c r="U155" s="283"/>
      <c r="V155" s="283"/>
      <c r="AC155" s="283"/>
    </row>
    <row r="156" spans="1:29" ht="18.75" customHeight="1" x14ac:dyDescent="0.3">
      <c r="A156" s="657" t="s">
        <v>68</v>
      </c>
      <c r="B156" s="658"/>
      <c r="C156" s="658"/>
      <c r="D156" s="350"/>
      <c r="E156" s="351"/>
      <c r="F156" s="352" t="s">
        <v>69</v>
      </c>
      <c r="G156" s="319">
        <f t="shared" ref="G156:G157" si="12">COUNTIF($A$4:$T$22,F156)+COUNTIF($A$24:$R$24,F156)+COUNTIF($A$25:$Q$25,F156)+COUNTIF($A$26:$M$42,F156)+COUNTIF($A$23:$S$23,F156)+COUNTIF($A$43:$O$81,F156)+COUNTIF($P$43:$P$47,F156)+COUNTIF($N$26:$O$27,F156)</f>
        <v>0</v>
      </c>
      <c r="J156" s="657" t="s">
        <v>68</v>
      </c>
      <c r="K156" s="658"/>
      <c r="L156" s="658"/>
      <c r="M156" s="350"/>
      <c r="N156" s="351"/>
      <c r="O156" s="352" t="s">
        <v>69</v>
      </c>
      <c r="P156" s="319">
        <f t="shared" ref="P156:P157" si="13">COUNTIF($P$26:$S$27,O156)+COUNTIF($R$24:$S$25,O156)+COUNTIF($P$47:$S$73,O156)+COUNTIF($T$22:$BI$73,O156)+COUNTIF($N$28:$S$42,O156)</f>
        <v>0</v>
      </c>
      <c r="Q156" s="321">
        <f t="shared" ref="Q156:Q157" si="14">G156+P156</f>
        <v>0</v>
      </c>
      <c r="R156" s="283"/>
      <c r="S156" s="311"/>
      <c r="U156" s="283"/>
      <c r="V156" s="283"/>
      <c r="AC156" s="283"/>
    </row>
    <row r="157" spans="1:29" ht="18.75" customHeight="1" x14ac:dyDescent="0.25">
      <c r="A157" s="657" t="s">
        <v>87</v>
      </c>
      <c r="B157" s="658"/>
      <c r="C157" s="658"/>
      <c r="D157" s="350" t="s">
        <v>359</v>
      </c>
      <c r="E157" s="351"/>
      <c r="F157" s="353" t="s">
        <v>86</v>
      </c>
      <c r="G157" s="319">
        <f t="shared" si="12"/>
        <v>0</v>
      </c>
      <c r="J157" s="657" t="s">
        <v>87</v>
      </c>
      <c r="K157" s="658"/>
      <c r="L157" s="658"/>
      <c r="M157" s="350" t="s">
        <v>359</v>
      </c>
      <c r="N157" s="351"/>
      <c r="O157" s="353" t="s">
        <v>86</v>
      </c>
      <c r="P157" s="319">
        <f t="shared" si="13"/>
        <v>0</v>
      </c>
      <c r="Q157" s="321">
        <f t="shared" si="14"/>
        <v>0</v>
      </c>
      <c r="U157" s="283"/>
      <c r="V157" s="283"/>
      <c r="AC157" s="283"/>
    </row>
    <row r="158" spans="1:29" ht="18.75" customHeight="1" x14ac:dyDescent="0.25">
      <c r="A158" s="655"/>
      <c r="B158" s="656"/>
      <c r="C158" s="656"/>
      <c r="D158" s="323"/>
      <c r="E158" s="324"/>
      <c r="F158" s="325"/>
      <c r="G158" s="326"/>
      <c r="J158" s="655"/>
      <c r="K158" s="656"/>
      <c r="L158" s="656"/>
      <c r="M158" s="323"/>
      <c r="N158" s="324"/>
      <c r="O158" s="325"/>
      <c r="P158" s="326"/>
      <c r="Q158" s="327"/>
      <c r="U158" s="283"/>
      <c r="V158" s="283"/>
      <c r="AC158" s="283"/>
    </row>
    <row r="159" spans="1:29" ht="18.75" customHeight="1" x14ac:dyDescent="0.25">
      <c r="A159" s="657" t="s">
        <v>89</v>
      </c>
      <c r="B159" s="658"/>
      <c r="C159" s="658"/>
      <c r="D159" s="316" t="s">
        <v>358</v>
      </c>
      <c r="E159" s="317"/>
      <c r="F159" s="354" t="s">
        <v>88</v>
      </c>
      <c r="G159" s="319">
        <f t="shared" ref="G159:G168" si="15">COUNTIF($A$4:$T$22,F159)+COUNTIF($A$24:$R$24,F159)+COUNTIF($A$25:$Q$25,F159)+COUNTIF($A$26:$M$42,F159)+COUNTIF($A$23:$S$23,F159)+COUNTIF($A$43:$O$81,F159)+COUNTIF($P$43:$P$47,F159)+COUNTIF($N$26:$O$27,F159)</f>
        <v>0</v>
      </c>
      <c r="J159" s="657" t="s">
        <v>89</v>
      </c>
      <c r="K159" s="658"/>
      <c r="L159" s="658"/>
      <c r="M159" s="316" t="s">
        <v>358</v>
      </c>
      <c r="N159" s="317"/>
      <c r="O159" s="354" t="s">
        <v>88</v>
      </c>
      <c r="P159" s="319">
        <f t="shared" ref="P159:P168" si="16">COUNTIF($P$26:$S$27,O159)+COUNTIF($R$24:$S$25,O159)+COUNTIF($P$47:$S$73,O159)+COUNTIF($T$22:$BI$73,O159)+COUNTIF($N$28:$S$42,O159)</f>
        <v>0</v>
      </c>
      <c r="Q159" s="321">
        <f t="shared" ref="Q159:Q168" si="17">G159+P159</f>
        <v>0</v>
      </c>
      <c r="U159" s="283"/>
      <c r="V159" s="283"/>
      <c r="AC159" s="283"/>
    </row>
    <row r="160" spans="1:29" ht="18.75" customHeight="1" x14ac:dyDescent="0.25">
      <c r="A160" s="657" t="s">
        <v>91</v>
      </c>
      <c r="B160" s="658"/>
      <c r="C160" s="658"/>
      <c r="D160" s="316" t="s">
        <v>359</v>
      </c>
      <c r="E160" s="317"/>
      <c r="F160" s="355" t="s">
        <v>90</v>
      </c>
      <c r="G160" s="319">
        <f t="shared" si="15"/>
        <v>0</v>
      </c>
      <c r="J160" s="657" t="s">
        <v>91</v>
      </c>
      <c r="K160" s="658"/>
      <c r="L160" s="658"/>
      <c r="M160" s="316" t="s">
        <v>359</v>
      </c>
      <c r="N160" s="317"/>
      <c r="O160" s="355" t="s">
        <v>90</v>
      </c>
      <c r="P160" s="319">
        <f t="shared" si="16"/>
        <v>0</v>
      </c>
      <c r="Q160" s="321">
        <f t="shared" si="17"/>
        <v>0</v>
      </c>
      <c r="U160" s="283"/>
      <c r="V160" s="283"/>
      <c r="AC160" s="283"/>
    </row>
    <row r="161" spans="1:29" ht="18.75" customHeight="1" x14ac:dyDescent="0.25">
      <c r="A161" s="657" t="s">
        <v>125</v>
      </c>
      <c r="B161" s="658"/>
      <c r="C161" s="658"/>
      <c r="D161" s="316"/>
      <c r="E161" s="317"/>
      <c r="F161" s="356" t="s">
        <v>124</v>
      </c>
      <c r="G161" s="319">
        <f t="shared" si="15"/>
        <v>0</v>
      </c>
      <c r="J161" s="657" t="s">
        <v>125</v>
      </c>
      <c r="K161" s="658"/>
      <c r="L161" s="658"/>
      <c r="M161" s="316"/>
      <c r="N161" s="317"/>
      <c r="O161" s="356" t="s">
        <v>124</v>
      </c>
      <c r="P161" s="319">
        <f t="shared" si="16"/>
        <v>0</v>
      </c>
      <c r="Q161" s="321">
        <f t="shared" si="17"/>
        <v>0</v>
      </c>
      <c r="U161" s="283"/>
      <c r="V161" s="283"/>
      <c r="AC161" s="283"/>
    </row>
    <row r="162" spans="1:29" ht="18.75" customHeight="1" x14ac:dyDescent="0.25">
      <c r="A162" s="657" t="s">
        <v>93</v>
      </c>
      <c r="B162" s="658"/>
      <c r="C162" s="658"/>
      <c r="D162" s="316"/>
      <c r="E162" s="317"/>
      <c r="F162" s="357" t="s">
        <v>92</v>
      </c>
      <c r="G162" s="319">
        <f t="shared" si="15"/>
        <v>0</v>
      </c>
      <c r="J162" s="657" t="s">
        <v>93</v>
      </c>
      <c r="K162" s="658"/>
      <c r="L162" s="658"/>
      <c r="M162" s="316"/>
      <c r="N162" s="317"/>
      <c r="O162" s="357" t="s">
        <v>92</v>
      </c>
      <c r="P162" s="319">
        <f t="shared" si="16"/>
        <v>0</v>
      </c>
      <c r="Q162" s="321">
        <f t="shared" si="17"/>
        <v>0</v>
      </c>
      <c r="R162" s="283"/>
      <c r="S162" s="283"/>
      <c r="U162" s="283"/>
      <c r="V162" s="283"/>
      <c r="AC162" s="283"/>
    </row>
    <row r="163" spans="1:29" ht="18.75" customHeight="1" x14ac:dyDescent="0.25">
      <c r="A163" s="657" t="s">
        <v>95</v>
      </c>
      <c r="B163" s="658"/>
      <c r="C163" s="658"/>
      <c r="D163" s="316"/>
      <c r="E163" s="351"/>
      <c r="F163" s="358" t="s">
        <v>94</v>
      </c>
      <c r="G163" s="319">
        <f t="shared" si="15"/>
        <v>0</v>
      </c>
      <c r="J163" s="657" t="s">
        <v>95</v>
      </c>
      <c r="K163" s="658"/>
      <c r="L163" s="658"/>
      <c r="M163" s="316"/>
      <c r="N163" s="351"/>
      <c r="O163" s="358" t="s">
        <v>94</v>
      </c>
      <c r="P163" s="319">
        <f t="shared" si="16"/>
        <v>0</v>
      </c>
      <c r="Q163" s="321">
        <f t="shared" si="17"/>
        <v>0</v>
      </c>
      <c r="U163" s="283"/>
      <c r="V163" s="283"/>
      <c r="AC163" s="283"/>
    </row>
    <row r="164" spans="1:29" ht="18.75" customHeight="1" x14ac:dyDescent="0.25">
      <c r="A164" s="657" t="s">
        <v>97</v>
      </c>
      <c r="B164" s="658"/>
      <c r="C164" s="658"/>
      <c r="D164" s="316"/>
      <c r="E164" s="351"/>
      <c r="F164" s="359" t="s">
        <v>96</v>
      </c>
      <c r="G164" s="319">
        <f t="shared" si="15"/>
        <v>0</v>
      </c>
      <c r="J164" s="657" t="s">
        <v>97</v>
      </c>
      <c r="K164" s="658"/>
      <c r="L164" s="658"/>
      <c r="M164" s="316"/>
      <c r="N164" s="351"/>
      <c r="O164" s="359" t="s">
        <v>96</v>
      </c>
      <c r="P164" s="319">
        <f t="shared" si="16"/>
        <v>0</v>
      </c>
      <c r="Q164" s="321">
        <f t="shared" si="17"/>
        <v>0</v>
      </c>
      <c r="U164" s="283"/>
      <c r="V164" s="283"/>
      <c r="AC164" s="283"/>
    </row>
    <row r="165" spans="1:29" ht="18.75" customHeight="1" x14ac:dyDescent="0.25">
      <c r="A165" s="657" t="s">
        <v>99</v>
      </c>
      <c r="B165" s="658"/>
      <c r="C165" s="658"/>
      <c r="D165" s="316"/>
      <c r="E165" s="351"/>
      <c r="F165" s="360" t="s">
        <v>98</v>
      </c>
      <c r="G165" s="319">
        <f t="shared" si="15"/>
        <v>0</v>
      </c>
      <c r="J165" s="657" t="s">
        <v>99</v>
      </c>
      <c r="K165" s="658"/>
      <c r="L165" s="658"/>
      <c r="M165" s="316"/>
      <c r="N165" s="351"/>
      <c r="O165" s="360" t="s">
        <v>98</v>
      </c>
      <c r="P165" s="319">
        <f t="shared" si="16"/>
        <v>0</v>
      </c>
      <c r="Q165" s="321">
        <f t="shared" si="17"/>
        <v>0</v>
      </c>
      <c r="U165" s="283"/>
      <c r="V165" s="283"/>
      <c r="AC165" s="283"/>
    </row>
    <row r="166" spans="1:29" ht="18.75" customHeight="1" x14ac:dyDescent="0.25">
      <c r="A166" s="657" t="s">
        <v>101</v>
      </c>
      <c r="B166" s="658"/>
      <c r="C166" s="658"/>
      <c r="D166" s="316"/>
      <c r="E166" s="351"/>
      <c r="F166" s="361" t="s">
        <v>100</v>
      </c>
      <c r="G166" s="319">
        <f t="shared" si="15"/>
        <v>0</v>
      </c>
      <c r="J166" s="657" t="s">
        <v>101</v>
      </c>
      <c r="K166" s="658"/>
      <c r="L166" s="658"/>
      <c r="M166" s="316"/>
      <c r="N166" s="351"/>
      <c r="O166" s="361" t="s">
        <v>100</v>
      </c>
      <c r="P166" s="319">
        <f t="shared" si="16"/>
        <v>0</v>
      </c>
      <c r="Q166" s="321">
        <f t="shared" si="17"/>
        <v>0</v>
      </c>
      <c r="U166" s="283"/>
      <c r="V166" s="283"/>
      <c r="AC166" s="283"/>
    </row>
    <row r="167" spans="1:29" ht="18.75" customHeight="1" x14ac:dyDescent="0.25">
      <c r="A167" s="657" t="s">
        <v>153</v>
      </c>
      <c r="B167" s="658"/>
      <c r="C167" s="658"/>
      <c r="D167" s="316" t="s">
        <v>358</v>
      </c>
      <c r="E167" s="317"/>
      <c r="F167" s="362" t="s">
        <v>112</v>
      </c>
      <c r="G167" s="319">
        <f t="shared" si="15"/>
        <v>8</v>
      </c>
      <c r="J167" s="657" t="s">
        <v>153</v>
      </c>
      <c r="K167" s="658"/>
      <c r="L167" s="658"/>
      <c r="M167" s="316" t="s">
        <v>358</v>
      </c>
      <c r="N167" s="317"/>
      <c r="O167" s="362" t="s">
        <v>112</v>
      </c>
      <c r="P167" s="319">
        <f t="shared" si="16"/>
        <v>6</v>
      </c>
      <c r="Q167" s="321">
        <f t="shared" si="17"/>
        <v>14</v>
      </c>
      <c r="U167" s="283"/>
      <c r="V167" s="283"/>
      <c r="AC167" s="283"/>
    </row>
    <row r="168" spans="1:29" ht="18.75" customHeight="1" x14ac:dyDescent="0.25">
      <c r="A168" s="657" t="s">
        <v>154</v>
      </c>
      <c r="B168" s="658"/>
      <c r="C168" s="658"/>
      <c r="D168" s="316" t="s">
        <v>358</v>
      </c>
      <c r="E168" s="351"/>
      <c r="F168" s="363" t="s">
        <v>137</v>
      </c>
      <c r="G168" s="319">
        <f t="shared" si="15"/>
        <v>0</v>
      </c>
      <c r="J168" s="657" t="s">
        <v>154</v>
      </c>
      <c r="K168" s="658"/>
      <c r="L168" s="658"/>
      <c r="M168" s="316" t="s">
        <v>358</v>
      </c>
      <c r="N168" s="351"/>
      <c r="O168" s="363" t="s">
        <v>137</v>
      </c>
      <c r="P168" s="319">
        <f t="shared" si="16"/>
        <v>4</v>
      </c>
      <c r="Q168" s="321">
        <f t="shared" si="17"/>
        <v>4</v>
      </c>
      <c r="U168" s="283"/>
      <c r="V168" s="283"/>
      <c r="AC168" s="283"/>
    </row>
    <row r="169" spans="1:29" ht="18.75" customHeight="1" x14ac:dyDescent="0.25">
      <c r="A169" s="655"/>
      <c r="B169" s="656"/>
      <c r="C169" s="656"/>
      <c r="D169" s="323"/>
      <c r="E169" s="324"/>
      <c r="F169" s="325"/>
      <c r="G169" s="326"/>
      <c r="J169" s="655"/>
      <c r="K169" s="656"/>
      <c r="L169" s="656"/>
      <c r="M169" s="323"/>
      <c r="N169" s="324"/>
      <c r="O169" s="325"/>
      <c r="P169" s="326"/>
      <c r="Q169" s="327"/>
      <c r="U169" s="283"/>
      <c r="V169" s="283"/>
      <c r="AC169" s="283"/>
    </row>
    <row r="170" spans="1:29" ht="18.75" customHeight="1" x14ac:dyDescent="0.25">
      <c r="A170" s="657" t="s">
        <v>52</v>
      </c>
      <c r="B170" s="658"/>
      <c r="C170" s="658"/>
      <c r="D170" s="316" t="s">
        <v>363</v>
      </c>
      <c r="E170" s="317"/>
      <c r="F170" s="364" t="s">
        <v>53</v>
      </c>
      <c r="G170" s="319">
        <f t="shared" ref="G170:G174" si="18">COUNTIF($A$4:$T$22,F170)+COUNTIF($A$24:$R$24,F170)+COUNTIF($A$25:$Q$25,F170)+COUNTIF($A$26:$M$42,F170)+COUNTIF($A$23:$S$23,F170)+COUNTIF($A$43:$O$81,F170)+COUNTIF($P$43:$P$47,F170)+COUNTIF($N$26:$O$27,F170)</f>
        <v>0</v>
      </c>
      <c r="J170" s="657" t="s">
        <v>52</v>
      </c>
      <c r="K170" s="658"/>
      <c r="L170" s="658"/>
      <c r="M170" s="316" t="s">
        <v>363</v>
      </c>
      <c r="N170" s="317"/>
      <c r="O170" s="364" t="s">
        <v>53</v>
      </c>
      <c r="P170" s="319">
        <f t="shared" ref="P170:P174" si="19">COUNTIF($P$26:$S$27,O170)+COUNTIF($R$24:$S$25,O170)+COUNTIF($P$47:$S$73,O170)+COUNTIF($T$22:$BI$73,O170)+COUNTIF($N$28:$S$42,O170)</f>
        <v>0</v>
      </c>
      <c r="Q170" s="321">
        <f t="shared" ref="Q170" si="20">G170+P170</f>
        <v>0</v>
      </c>
      <c r="U170" s="283"/>
      <c r="V170" s="283"/>
      <c r="AC170" s="283"/>
    </row>
    <row r="171" spans="1:29" ht="18.75" customHeight="1" x14ac:dyDescent="0.25">
      <c r="A171" s="657" t="s">
        <v>54</v>
      </c>
      <c r="B171" s="658"/>
      <c r="C171" s="658"/>
      <c r="D171" s="316" t="s">
        <v>363</v>
      </c>
      <c r="E171" s="351"/>
      <c r="F171" s="365" t="s">
        <v>55</v>
      </c>
      <c r="G171" s="319">
        <f t="shared" si="18"/>
        <v>0</v>
      </c>
      <c r="J171" s="657" t="s">
        <v>54</v>
      </c>
      <c r="K171" s="658"/>
      <c r="L171" s="658"/>
      <c r="M171" s="316" t="s">
        <v>363</v>
      </c>
      <c r="N171" s="351"/>
      <c r="O171" s="365" t="s">
        <v>55</v>
      </c>
      <c r="P171" s="319">
        <f t="shared" si="19"/>
        <v>0</v>
      </c>
      <c r="Q171" s="321">
        <f t="shared" si="0"/>
        <v>0</v>
      </c>
      <c r="U171" s="283"/>
      <c r="V171" s="283"/>
      <c r="AC171" s="283"/>
    </row>
    <row r="172" spans="1:29" ht="18.75" customHeight="1" x14ac:dyDescent="0.25">
      <c r="A172" s="657" t="s">
        <v>56</v>
      </c>
      <c r="B172" s="658"/>
      <c r="C172" s="658"/>
      <c r="D172" s="316" t="s">
        <v>363</v>
      </c>
      <c r="E172" s="351"/>
      <c r="F172" s="366" t="s">
        <v>57</v>
      </c>
      <c r="G172" s="319">
        <f t="shared" si="18"/>
        <v>0</v>
      </c>
      <c r="J172" s="657" t="s">
        <v>56</v>
      </c>
      <c r="K172" s="658"/>
      <c r="L172" s="658"/>
      <c r="M172" s="316" t="s">
        <v>363</v>
      </c>
      <c r="N172" s="351"/>
      <c r="O172" s="366" t="s">
        <v>57</v>
      </c>
      <c r="P172" s="319">
        <f t="shared" si="19"/>
        <v>0</v>
      </c>
      <c r="Q172" s="321">
        <f t="shared" si="0"/>
        <v>0</v>
      </c>
      <c r="AC172" s="295"/>
    </row>
    <row r="173" spans="1:29" ht="18.75" customHeight="1" x14ac:dyDescent="0.25">
      <c r="A173" s="657" t="s">
        <v>19</v>
      </c>
      <c r="B173" s="658"/>
      <c r="C173" s="658"/>
      <c r="D173" s="316" t="s">
        <v>363</v>
      </c>
      <c r="E173" s="351"/>
      <c r="F173" s="367" t="s">
        <v>16</v>
      </c>
      <c r="G173" s="319">
        <f t="shared" si="18"/>
        <v>0</v>
      </c>
      <c r="J173" s="657" t="s">
        <v>19</v>
      </c>
      <c r="K173" s="658"/>
      <c r="L173" s="658"/>
      <c r="M173" s="316" t="s">
        <v>363</v>
      </c>
      <c r="N173" s="351"/>
      <c r="O173" s="367" t="s">
        <v>16</v>
      </c>
      <c r="P173" s="319">
        <f t="shared" si="19"/>
        <v>0</v>
      </c>
      <c r="Q173" s="321">
        <f t="shared" si="0"/>
        <v>0</v>
      </c>
      <c r="AC173" s="295"/>
    </row>
    <row r="174" spans="1:29" ht="18.75" customHeight="1" x14ac:dyDescent="0.25">
      <c r="A174" s="657" t="s">
        <v>58</v>
      </c>
      <c r="B174" s="658"/>
      <c r="C174" s="658"/>
      <c r="D174" s="316" t="s">
        <v>363</v>
      </c>
      <c r="E174" s="351"/>
      <c r="F174" s="368" t="s">
        <v>59</v>
      </c>
      <c r="G174" s="319">
        <f t="shared" si="18"/>
        <v>0</v>
      </c>
      <c r="J174" s="657" t="s">
        <v>58</v>
      </c>
      <c r="K174" s="658"/>
      <c r="L174" s="658"/>
      <c r="M174" s="316" t="s">
        <v>363</v>
      </c>
      <c r="N174" s="351"/>
      <c r="O174" s="368" t="s">
        <v>59</v>
      </c>
      <c r="P174" s="319">
        <f t="shared" si="19"/>
        <v>0</v>
      </c>
      <c r="Q174" s="321">
        <f t="shared" si="0"/>
        <v>0</v>
      </c>
      <c r="R174" s="283"/>
      <c r="AB174" s="295"/>
      <c r="AC174" s="295"/>
    </row>
    <row r="175" spans="1:29" ht="18.75" customHeight="1" x14ac:dyDescent="0.25">
      <c r="A175" s="655"/>
      <c r="B175" s="656"/>
      <c r="C175" s="656"/>
      <c r="D175" s="323"/>
      <c r="E175" s="324"/>
      <c r="F175" s="325"/>
      <c r="G175" s="326"/>
      <c r="J175" s="655"/>
      <c r="K175" s="656"/>
      <c r="L175" s="656"/>
      <c r="M175" s="323"/>
      <c r="N175" s="324"/>
      <c r="O175" s="325"/>
      <c r="P175" s="326"/>
      <c r="Q175" s="327"/>
      <c r="R175" s="283"/>
      <c r="AB175" s="295"/>
      <c r="AC175" s="295"/>
    </row>
    <row r="176" spans="1:29" ht="18.75" customHeight="1" x14ac:dyDescent="0.25">
      <c r="A176" s="657" t="s">
        <v>66</v>
      </c>
      <c r="B176" s="658"/>
      <c r="C176" s="658"/>
      <c r="D176" s="316"/>
      <c r="E176" s="317"/>
      <c r="F176" s="369" t="s">
        <v>67</v>
      </c>
      <c r="G176" s="319">
        <f t="shared" ref="G176:G214" si="21">COUNTIF($A$4:$T$22,F176)+COUNTIF($A$24:$R$24,F176)+COUNTIF($A$25:$Q$25,F176)+COUNTIF($A$26:$M$42,F176)+COUNTIF($A$23:$S$23,F176)+COUNTIF($A$43:$O$81,F176)+COUNTIF($P$43:$P$47,F176)+COUNTIF($N$26:$O$27,F176)</f>
        <v>4</v>
      </c>
      <c r="J176" s="657" t="s">
        <v>66</v>
      </c>
      <c r="K176" s="658"/>
      <c r="L176" s="658"/>
      <c r="M176" s="316"/>
      <c r="N176" s="317"/>
      <c r="O176" s="369" t="s">
        <v>67</v>
      </c>
      <c r="P176" s="319">
        <f t="shared" ref="P176:P214" si="22">COUNTIF($P$26:$S$27,O176)+COUNTIF($R$24:$S$25,O176)+COUNTIF($P$47:$S$73,O176)+COUNTIF($T$22:$BI$73,O176)+COUNTIF($N$28:$S$42,O176)</f>
        <v>0</v>
      </c>
      <c r="Q176" s="321">
        <f t="shared" ref="Q176" si="23">G176+P176</f>
        <v>4</v>
      </c>
      <c r="R176" s="283"/>
      <c r="AB176" s="295"/>
      <c r="AC176" s="295"/>
    </row>
    <row r="177" spans="1:29" ht="18.75" customHeight="1" x14ac:dyDescent="0.25">
      <c r="A177" s="657" t="s">
        <v>20</v>
      </c>
      <c r="B177" s="658"/>
      <c r="C177" s="658"/>
      <c r="D177" s="316"/>
      <c r="E177" s="317"/>
      <c r="F177" s="370" t="s">
        <v>21</v>
      </c>
      <c r="G177" s="319">
        <f t="shared" si="21"/>
        <v>0</v>
      </c>
      <c r="J177" s="657" t="s">
        <v>20</v>
      </c>
      <c r="K177" s="658"/>
      <c r="L177" s="658"/>
      <c r="M177" s="316"/>
      <c r="N177" s="317"/>
      <c r="O177" s="370" t="s">
        <v>21</v>
      </c>
      <c r="P177" s="319">
        <f t="shared" si="22"/>
        <v>0</v>
      </c>
      <c r="Q177" s="321">
        <f t="shared" si="0"/>
        <v>0</v>
      </c>
      <c r="R177" s="283"/>
      <c r="AB177" s="295"/>
      <c r="AC177" s="295"/>
    </row>
    <row r="178" spans="1:29" ht="18.75" customHeight="1" x14ac:dyDescent="0.25">
      <c r="A178" s="657" t="s">
        <v>126</v>
      </c>
      <c r="B178" s="658"/>
      <c r="C178" s="658"/>
      <c r="D178" s="316"/>
      <c r="E178" s="317"/>
      <c r="F178" s="371" t="s">
        <v>127</v>
      </c>
      <c r="G178" s="319">
        <f t="shared" si="21"/>
        <v>0</v>
      </c>
      <c r="J178" s="657" t="s">
        <v>126</v>
      </c>
      <c r="K178" s="658"/>
      <c r="L178" s="658"/>
      <c r="M178" s="316"/>
      <c r="N178" s="317"/>
      <c r="O178" s="371" t="s">
        <v>127</v>
      </c>
      <c r="P178" s="319">
        <f t="shared" si="22"/>
        <v>0</v>
      </c>
      <c r="Q178" s="321">
        <f t="shared" si="0"/>
        <v>0</v>
      </c>
      <c r="R178" s="283"/>
      <c r="AB178" s="295"/>
      <c r="AC178" s="295"/>
    </row>
    <row r="179" spans="1:29" ht="18.75" customHeight="1" x14ac:dyDescent="0.25">
      <c r="A179" s="657" t="s">
        <v>14</v>
      </c>
      <c r="B179" s="658"/>
      <c r="C179" s="658"/>
      <c r="D179" s="316"/>
      <c r="E179" s="317"/>
      <c r="F179" s="372" t="s">
        <v>13</v>
      </c>
      <c r="G179" s="319">
        <f t="shared" si="21"/>
        <v>0</v>
      </c>
      <c r="J179" s="657" t="s">
        <v>14</v>
      </c>
      <c r="K179" s="658"/>
      <c r="L179" s="658"/>
      <c r="M179" s="316"/>
      <c r="N179" s="317"/>
      <c r="O179" s="372" t="s">
        <v>13</v>
      </c>
      <c r="P179" s="319">
        <f t="shared" si="22"/>
        <v>0</v>
      </c>
      <c r="Q179" s="321">
        <f t="shared" si="0"/>
        <v>0</v>
      </c>
      <c r="R179" s="283"/>
      <c r="AB179" s="295"/>
      <c r="AC179" s="295"/>
    </row>
    <row r="180" spans="1:29" ht="18.75" customHeight="1" x14ac:dyDescent="0.25">
      <c r="A180" s="657" t="s">
        <v>28</v>
      </c>
      <c r="B180" s="658"/>
      <c r="C180" s="658"/>
      <c r="D180" s="316"/>
      <c r="E180" s="317"/>
      <c r="F180" s="373" t="s">
        <v>29</v>
      </c>
      <c r="G180" s="319">
        <f t="shared" si="21"/>
        <v>0</v>
      </c>
      <c r="J180" s="657" t="s">
        <v>28</v>
      </c>
      <c r="K180" s="658"/>
      <c r="L180" s="658"/>
      <c r="M180" s="316"/>
      <c r="N180" s="317"/>
      <c r="O180" s="373" t="s">
        <v>29</v>
      </c>
      <c r="P180" s="319">
        <f t="shared" si="22"/>
        <v>0</v>
      </c>
      <c r="Q180" s="321">
        <f t="shared" si="0"/>
        <v>0</v>
      </c>
      <c r="R180" s="283"/>
      <c r="AB180" s="295"/>
      <c r="AC180" s="295"/>
    </row>
    <row r="181" spans="1:29" ht="18.75" customHeight="1" x14ac:dyDescent="0.25">
      <c r="A181" s="657" t="s">
        <v>155</v>
      </c>
      <c r="B181" s="658"/>
      <c r="C181" s="658"/>
      <c r="D181" s="316"/>
      <c r="E181" s="317"/>
      <c r="F181" s="374" t="s">
        <v>156</v>
      </c>
      <c r="G181" s="319">
        <f t="shared" si="21"/>
        <v>8</v>
      </c>
      <c r="J181" s="657" t="s">
        <v>155</v>
      </c>
      <c r="K181" s="658"/>
      <c r="L181" s="658"/>
      <c r="M181" s="316"/>
      <c r="N181" s="317"/>
      <c r="O181" s="374" t="s">
        <v>156</v>
      </c>
      <c r="P181" s="319">
        <f t="shared" si="22"/>
        <v>8</v>
      </c>
      <c r="Q181" s="321">
        <f t="shared" si="0"/>
        <v>16</v>
      </c>
      <c r="R181" s="283"/>
      <c r="AB181" s="295"/>
      <c r="AC181" s="295"/>
    </row>
    <row r="182" spans="1:29" ht="18.75" customHeight="1" x14ac:dyDescent="0.25">
      <c r="A182" s="314" t="s">
        <v>114</v>
      </c>
      <c r="B182" s="315"/>
      <c r="C182" s="315"/>
      <c r="D182" s="316"/>
      <c r="E182" s="317"/>
      <c r="F182" s="375" t="s">
        <v>113</v>
      </c>
      <c r="G182" s="319">
        <f t="shared" si="21"/>
        <v>0</v>
      </c>
      <c r="J182" s="314" t="s">
        <v>114</v>
      </c>
      <c r="K182" s="315"/>
      <c r="L182" s="315"/>
      <c r="M182" s="316"/>
      <c r="N182" s="317"/>
      <c r="O182" s="375" t="s">
        <v>113</v>
      </c>
      <c r="P182" s="319">
        <f t="shared" si="22"/>
        <v>0</v>
      </c>
      <c r="Q182" s="321">
        <f t="shared" si="0"/>
        <v>0</v>
      </c>
      <c r="R182" s="283"/>
      <c r="AB182" s="295"/>
      <c r="AC182" s="295"/>
    </row>
    <row r="183" spans="1:29" ht="18.75" customHeight="1" x14ac:dyDescent="0.25">
      <c r="A183" s="657" t="s">
        <v>116</v>
      </c>
      <c r="B183" s="658"/>
      <c r="C183" s="658"/>
      <c r="D183" s="316"/>
      <c r="E183" s="317"/>
      <c r="F183" s="376" t="s">
        <v>115</v>
      </c>
      <c r="G183" s="319">
        <f t="shared" si="21"/>
        <v>0</v>
      </c>
      <c r="J183" s="657" t="s">
        <v>116</v>
      </c>
      <c r="K183" s="658"/>
      <c r="L183" s="658"/>
      <c r="M183" s="316"/>
      <c r="N183" s="317"/>
      <c r="O183" s="376" t="s">
        <v>115</v>
      </c>
      <c r="P183" s="319">
        <f t="shared" si="22"/>
        <v>0</v>
      </c>
      <c r="Q183" s="321">
        <f t="shared" si="0"/>
        <v>0</v>
      </c>
      <c r="R183" s="283"/>
      <c r="AB183" s="295"/>
      <c r="AC183" s="295"/>
    </row>
    <row r="184" spans="1:29" ht="18.75" customHeight="1" x14ac:dyDescent="0.25">
      <c r="A184" s="657" t="s">
        <v>30</v>
      </c>
      <c r="B184" s="658"/>
      <c r="C184" s="658"/>
      <c r="D184" s="350"/>
      <c r="E184" s="351"/>
      <c r="F184" s="377" t="s">
        <v>31</v>
      </c>
      <c r="G184" s="319">
        <f t="shared" si="21"/>
        <v>0</v>
      </c>
      <c r="J184" s="657" t="s">
        <v>30</v>
      </c>
      <c r="K184" s="658"/>
      <c r="L184" s="658"/>
      <c r="M184" s="350"/>
      <c r="N184" s="351"/>
      <c r="O184" s="377" t="s">
        <v>31</v>
      </c>
      <c r="P184" s="319">
        <f t="shared" si="22"/>
        <v>0</v>
      </c>
      <c r="Q184" s="321">
        <f t="shared" si="0"/>
        <v>0</v>
      </c>
      <c r="R184" s="283"/>
      <c r="AB184" s="295"/>
      <c r="AC184" s="295"/>
    </row>
    <row r="185" spans="1:29" ht="18.75" customHeight="1" x14ac:dyDescent="0.25">
      <c r="A185" s="657" t="s">
        <v>32</v>
      </c>
      <c r="B185" s="658"/>
      <c r="C185" s="658"/>
      <c r="D185" s="350"/>
      <c r="E185" s="351"/>
      <c r="F185" s="378" t="s">
        <v>33</v>
      </c>
      <c r="G185" s="319">
        <f t="shared" si="21"/>
        <v>0</v>
      </c>
      <c r="J185" s="657" t="s">
        <v>32</v>
      </c>
      <c r="K185" s="658"/>
      <c r="L185" s="658"/>
      <c r="M185" s="350"/>
      <c r="N185" s="351"/>
      <c r="O185" s="378" t="s">
        <v>33</v>
      </c>
      <c r="P185" s="319">
        <f t="shared" si="22"/>
        <v>0</v>
      </c>
      <c r="Q185" s="321">
        <f t="shared" si="0"/>
        <v>0</v>
      </c>
      <c r="R185" s="283"/>
      <c r="AB185" s="295"/>
      <c r="AC185" s="295"/>
    </row>
    <row r="186" spans="1:29" ht="18.75" customHeight="1" x14ac:dyDescent="0.25">
      <c r="A186" s="657" t="s">
        <v>34</v>
      </c>
      <c r="B186" s="658"/>
      <c r="C186" s="658"/>
      <c r="D186" s="350"/>
      <c r="E186" s="351"/>
      <c r="F186" s="379" t="s">
        <v>35</v>
      </c>
      <c r="G186" s="319">
        <f t="shared" si="21"/>
        <v>0</v>
      </c>
      <c r="J186" s="657" t="s">
        <v>34</v>
      </c>
      <c r="K186" s="658"/>
      <c r="L186" s="658"/>
      <c r="M186" s="350"/>
      <c r="N186" s="351"/>
      <c r="O186" s="379" t="s">
        <v>35</v>
      </c>
      <c r="P186" s="319">
        <f t="shared" si="22"/>
        <v>0</v>
      </c>
      <c r="Q186" s="321">
        <f t="shared" si="0"/>
        <v>0</v>
      </c>
      <c r="R186" s="283"/>
      <c r="AB186" s="295"/>
      <c r="AC186" s="295"/>
    </row>
    <row r="187" spans="1:29" ht="18.75" customHeight="1" x14ac:dyDescent="0.25">
      <c r="A187" s="657" t="s">
        <v>36</v>
      </c>
      <c r="B187" s="658"/>
      <c r="C187" s="658"/>
      <c r="D187" s="350"/>
      <c r="E187" s="351"/>
      <c r="F187" s="380" t="s">
        <v>37</v>
      </c>
      <c r="G187" s="319">
        <f t="shared" si="21"/>
        <v>0</v>
      </c>
      <c r="J187" s="657" t="s">
        <v>36</v>
      </c>
      <c r="K187" s="658"/>
      <c r="L187" s="658"/>
      <c r="M187" s="350"/>
      <c r="N187" s="351"/>
      <c r="O187" s="380" t="s">
        <v>37</v>
      </c>
      <c r="P187" s="319">
        <f t="shared" si="22"/>
        <v>0</v>
      </c>
      <c r="Q187" s="321">
        <f t="shared" si="0"/>
        <v>0</v>
      </c>
      <c r="R187" s="283"/>
      <c r="AB187" s="295"/>
      <c r="AC187" s="295"/>
    </row>
    <row r="188" spans="1:29" ht="18.75" customHeight="1" x14ac:dyDescent="0.25">
      <c r="A188" s="657" t="s">
        <v>6</v>
      </c>
      <c r="B188" s="658"/>
      <c r="C188" s="658"/>
      <c r="D188" s="350"/>
      <c r="E188" s="351"/>
      <c r="F188" s="381" t="s">
        <v>7</v>
      </c>
      <c r="G188" s="319">
        <f t="shared" si="21"/>
        <v>0</v>
      </c>
      <c r="J188" s="657" t="s">
        <v>6</v>
      </c>
      <c r="K188" s="658"/>
      <c r="L188" s="658"/>
      <c r="M188" s="350"/>
      <c r="N188" s="351"/>
      <c r="O188" s="381" t="s">
        <v>7</v>
      </c>
      <c r="P188" s="319">
        <f t="shared" si="22"/>
        <v>0</v>
      </c>
      <c r="Q188" s="321">
        <f t="shared" si="0"/>
        <v>0</v>
      </c>
      <c r="R188" s="283"/>
      <c r="AB188" s="295"/>
      <c r="AC188" s="295"/>
    </row>
    <row r="189" spans="1:29" ht="18.75" customHeight="1" x14ac:dyDescent="0.25">
      <c r="A189" s="657" t="s">
        <v>70</v>
      </c>
      <c r="B189" s="658"/>
      <c r="C189" s="658"/>
      <c r="D189" s="350"/>
      <c r="E189" s="351"/>
      <c r="F189" s="382" t="s">
        <v>71</v>
      </c>
      <c r="G189" s="319">
        <f t="shared" si="21"/>
        <v>0</v>
      </c>
      <c r="J189" s="657" t="s">
        <v>70</v>
      </c>
      <c r="K189" s="658"/>
      <c r="L189" s="658"/>
      <c r="M189" s="350"/>
      <c r="N189" s="351"/>
      <c r="O189" s="382" t="s">
        <v>71</v>
      </c>
      <c r="P189" s="319">
        <f t="shared" si="22"/>
        <v>0</v>
      </c>
      <c r="Q189" s="321">
        <f t="shared" si="0"/>
        <v>0</v>
      </c>
      <c r="R189" s="283"/>
      <c r="AB189" s="295"/>
      <c r="AC189" s="295"/>
    </row>
    <row r="190" spans="1:29" ht="18.75" customHeight="1" x14ac:dyDescent="0.25">
      <c r="A190" s="657" t="s">
        <v>118</v>
      </c>
      <c r="B190" s="658"/>
      <c r="C190" s="658"/>
      <c r="D190" s="350"/>
      <c r="E190" s="351"/>
      <c r="F190" s="383" t="s">
        <v>117</v>
      </c>
      <c r="G190" s="319">
        <f t="shared" si="21"/>
        <v>0</v>
      </c>
      <c r="J190" s="657" t="s">
        <v>118</v>
      </c>
      <c r="K190" s="658"/>
      <c r="L190" s="658"/>
      <c r="M190" s="350"/>
      <c r="N190" s="351"/>
      <c r="O190" s="383" t="s">
        <v>117</v>
      </c>
      <c r="P190" s="319">
        <f t="shared" si="22"/>
        <v>0</v>
      </c>
      <c r="Q190" s="321">
        <f t="shared" si="0"/>
        <v>0</v>
      </c>
      <c r="R190" s="283"/>
      <c r="AB190" s="295"/>
      <c r="AC190" s="295"/>
    </row>
    <row r="191" spans="1:29" ht="18.75" customHeight="1" x14ac:dyDescent="0.25">
      <c r="A191" s="657" t="s">
        <v>157</v>
      </c>
      <c r="B191" s="658"/>
      <c r="C191" s="658"/>
      <c r="D191" s="350"/>
      <c r="E191" s="351"/>
      <c r="F191" s="384" t="s">
        <v>134</v>
      </c>
      <c r="G191" s="319">
        <f t="shared" si="21"/>
        <v>0</v>
      </c>
      <c r="J191" s="657" t="s">
        <v>157</v>
      </c>
      <c r="K191" s="658"/>
      <c r="L191" s="658"/>
      <c r="M191" s="350"/>
      <c r="N191" s="351"/>
      <c r="O191" s="384" t="s">
        <v>134</v>
      </c>
      <c r="P191" s="319">
        <f t="shared" si="22"/>
        <v>0</v>
      </c>
      <c r="Q191" s="321">
        <f t="shared" si="0"/>
        <v>0</v>
      </c>
      <c r="R191" s="283"/>
      <c r="AB191" s="295"/>
      <c r="AC191" s="295"/>
    </row>
    <row r="192" spans="1:29" ht="18.75" customHeight="1" x14ac:dyDescent="0.25">
      <c r="A192" s="657" t="s">
        <v>72</v>
      </c>
      <c r="B192" s="658"/>
      <c r="C192" s="658"/>
      <c r="D192" s="350"/>
      <c r="E192" s="351"/>
      <c r="F192" s="385" t="s">
        <v>73</v>
      </c>
      <c r="G192" s="319">
        <f t="shared" si="21"/>
        <v>0</v>
      </c>
      <c r="J192" s="657" t="s">
        <v>72</v>
      </c>
      <c r="K192" s="658"/>
      <c r="L192" s="658"/>
      <c r="M192" s="350"/>
      <c r="N192" s="351"/>
      <c r="O192" s="385" t="s">
        <v>73</v>
      </c>
      <c r="P192" s="319">
        <f t="shared" si="22"/>
        <v>0</v>
      </c>
      <c r="Q192" s="321">
        <f t="shared" si="0"/>
        <v>0</v>
      </c>
      <c r="R192" s="283"/>
      <c r="AB192" s="295"/>
      <c r="AC192" s="295"/>
    </row>
    <row r="193" spans="1:29" ht="18.75" customHeight="1" x14ac:dyDescent="0.25">
      <c r="A193" s="657" t="s">
        <v>8</v>
      </c>
      <c r="B193" s="658"/>
      <c r="C193" s="658"/>
      <c r="D193" s="350"/>
      <c r="E193" s="351"/>
      <c r="F193" s="357" t="s">
        <v>9</v>
      </c>
      <c r="G193" s="319">
        <f t="shared" si="21"/>
        <v>8</v>
      </c>
      <c r="J193" s="657" t="s">
        <v>8</v>
      </c>
      <c r="K193" s="658"/>
      <c r="L193" s="658"/>
      <c r="M193" s="350"/>
      <c r="N193" s="351"/>
      <c r="O193" s="357" t="s">
        <v>9</v>
      </c>
      <c r="P193" s="319">
        <f t="shared" si="22"/>
        <v>2</v>
      </c>
      <c r="Q193" s="321">
        <f t="shared" si="0"/>
        <v>10</v>
      </c>
      <c r="R193" s="283"/>
      <c r="AB193" s="295"/>
      <c r="AC193" s="295"/>
    </row>
    <row r="194" spans="1:29" ht="18.75" customHeight="1" x14ac:dyDescent="0.25">
      <c r="A194" s="657" t="s">
        <v>38</v>
      </c>
      <c r="B194" s="658"/>
      <c r="C194" s="658"/>
      <c r="D194" s="350"/>
      <c r="E194" s="351"/>
      <c r="F194" s="386" t="s">
        <v>39</v>
      </c>
      <c r="G194" s="319">
        <f t="shared" si="21"/>
        <v>0</v>
      </c>
      <c r="J194" s="657" t="s">
        <v>38</v>
      </c>
      <c r="K194" s="658"/>
      <c r="L194" s="658"/>
      <c r="M194" s="350"/>
      <c r="N194" s="351"/>
      <c r="O194" s="386" t="s">
        <v>39</v>
      </c>
      <c r="P194" s="319">
        <f t="shared" si="22"/>
        <v>0</v>
      </c>
      <c r="Q194" s="321">
        <f t="shared" si="0"/>
        <v>0</v>
      </c>
      <c r="R194" s="283"/>
      <c r="AB194" s="295"/>
      <c r="AC194" s="295"/>
    </row>
    <row r="195" spans="1:29" ht="18.75" customHeight="1" x14ac:dyDescent="0.25">
      <c r="A195" s="657" t="s">
        <v>128</v>
      </c>
      <c r="B195" s="658"/>
      <c r="C195" s="658"/>
      <c r="D195" s="350"/>
      <c r="E195" s="351"/>
      <c r="F195" s="387" t="s">
        <v>129</v>
      </c>
      <c r="G195" s="319">
        <f t="shared" si="21"/>
        <v>2</v>
      </c>
      <c r="J195" s="657" t="s">
        <v>128</v>
      </c>
      <c r="K195" s="658"/>
      <c r="L195" s="658"/>
      <c r="M195" s="350"/>
      <c r="N195" s="351"/>
      <c r="O195" s="387" t="s">
        <v>129</v>
      </c>
      <c r="P195" s="319">
        <f t="shared" si="22"/>
        <v>0</v>
      </c>
      <c r="Q195" s="321">
        <f>G195+P195</f>
        <v>2</v>
      </c>
      <c r="R195" s="283"/>
      <c r="AB195" s="295"/>
      <c r="AC195" s="295"/>
    </row>
    <row r="196" spans="1:29" ht="18.75" customHeight="1" x14ac:dyDescent="0.25">
      <c r="A196" s="657" t="s">
        <v>10</v>
      </c>
      <c r="B196" s="658"/>
      <c r="C196" s="658"/>
      <c r="D196" s="350"/>
      <c r="E196" s="351"/>
      <c r="F196" s="388" t="s">
        <v>11</v>
      </c>
      <c r="G196" s="319">
        <f t="shared" si="21"/>
        <v>10</v>
      </c>
      <c r="J196" s="657" t="s">
        <v>10</v>
      </c>
      <c r="K196" s="658"/>
      <c r="L196" s="658"/>
      <c r="M196" s="350"/>
      <c r="N196" s="351"/>
      <c r="O196" s="388" t="s">
        <v>11</v>
      </c>
      <c r="P196" s="319">
        <f t="shared" si="22"/>
        <v>6</v>
      </c>
      <c r="Q196" s="321">
        <f t="shared" si="0"/>
        <v>16</v>
      </c>
      <c r="R196" s="283"/>
      <c r="AB196" s="295"/>
      <c r="AC196" s="295"/>
    </row>
    <row r="197" spans="1:29" ht="18.75" customHeight="1" x14ac:dyDescent="0.25">
      <c r="A197" s="657" t="s">
        <v>40</v>
      </c>
      <c r="B197" s="658"/>
      <c r="C197" s="658"/>
      <c r="D197" s="350"/>
      <c r="E197" s="351"/>
      <c r="F197" s="389" t="s">
        <v>41</v>
      </c>
      <c r="G197" s="319">
        <f t="shared" si="21"/>
        <v>0</v>
      </c>
      <c r="J197" s="657" t="s">
        <v>40</v>
      </c>
      <c r="K197" s="658"/>
      <c r="L197" s="658"/>
      <c r="M197" s="350"/>
      <c r="N197" s="351"/>
      <c r="O197" s="389" t="s">
        <v>41</v>
      </c>
      <c r="P197" s="319">
        <f t="shared" si="22"/>
        <v>0</v>
      </c>
      <c r="Q197" s="321">
        <f t="shared" si="0"/>
        <v>0</v>
      </c>
      <c r="R197" s="283"/>
      <c r="AB197" s="295"/>
      <c r="AC197" s="295"/>
    </row>
    <row r="198" spans="1:29" ht="18.75" customHeight="1" x14ac:dyDescent="0.25">
      <c r="A198" s="657" t="s">
        <v>130</v>
      </c>
      <c r="B198" s="658"/>
      <c r="C198" s="658"/>
      <c r="D198" s="350"/>
      <c r="E198" s="351"/>
      <c r="F198" s="390" t="s">
        <v>131</v>
      </c>
      <c r="G198" s="319">
        <f t="shared" si="21"/>
        <v>2</v>
      </c>
      <c r="J198" s="657" t="s">
        <v>130</v>
      </c>
      <c r="K198" s="658"/>
      <c r="L198" s="658"/>
      <c r="M198" s="350"/>
      <c r="N198" s="351"/>
      <c r="O198" s="390" t="s">
        <v>131</v>
      </c>
      <c r="P198" s="319">
        <f t="shared" si="22"/>
        <v>0</v>
      </c>
      <c r="Q198" s="321">
        <f t="shared" si="0"/>
        <v>2</v>
      </c>
      <c r="R198" s="283"/>
      <c r="AB198" s="295"/>
      <c r="AC198" s="295"/>
    </row>
    <row r="199" spans="1:29" ht="18.75" customHeight="1" x14ac:dyDescent="0.25">
      <c r="A199" s="657" t="s">
        <v>74</v>
      </c>
      <c r="B199" s="658"/>
      <c r="C199" s="658"/>
      <c r="D199" s="316"/>
      <c r="E199" s="317"/>
      <c r="F199" s="391" t="s">
        <v>75</v>
      </c>
      <c r="G199" s="319">
        <f t="shared" si="21"/>
        <v>0</v>
      </c>
      <c r="J199" s="657" t="s">
        <v>74</v>
      </c>
      <c r="K199" s="658"/>
      <c r="L199" s="658"/>
      <c r="M199" s="316"/>
      <c r="N199" s="317"/>
      <c r="O199" s="391" t="s">
        <v>75</v>
      </c>
      <c r="P199" s="319">
        <f t="shared" si="22"/>
        <v>0</v>
      </c>
      <c r="Q199" s="321">
        <f t="shared" si="0"/>
        <v>0</v>
      </c>
      <c r="R199" s="283"/>
      <c r="AB199" s="295"/>
      <c r="AC199" s="295"/>
    </row>
    <row r="200" spans="1:29" ht="18.75" customHeight="1" x14ac:dyDescent="0.25">
      <c r="A200" s="657" t="s">
        <v>158</v>
      </c>
      <c r="B200" s="658"/>
      <c r="C200" s="658"/>
      <c r="D200" s="316"/>
      <c r="E200" s="351"/>
      <c r="F200" s="392" t="s">
        <v>159</v>
      </c>
      <c r="G200" s="319">
        <f t="shared" si="21"/>
        <v>8</v>
      </c>
      <c r="J200" s="657" t="s">
        <v>158</v>
      </c>
      <c r="K200" s="658"/>
      <c r="L200" s="658"/>
      <c r="M200" s="316"/>
      <c r="N200" s="351"/>
      <c r="O200" s="392" t="s">
        <v>159</v>
      </c>
      <c r="P200" s="319">
        <f t="shared" si="22"/>
        <v>0</v>
      </c>
      <c r="Q200" s="321">
        <f t="shared" si="0"/>
        <v>8</v>
      </c>
      <c r="R200" s="283"/>
      <c r="AB200" s="295"/>
      <c r="AC200" s="295"/>
    </row>
    <row r="201" spans="1:29" ht="18.75" customHeight="1" x14ac:dyDescent="0.25">
      <c r="A201" s="657" t="s">
        <v>1</v>
      </c>
      <c r="B201" s="658"/>
      <c r="C201" s="658"/>
      <c r="D201" s="316"/>
      <c r="E201" s="317"/>
      <c r="F201" s="393" t="s">
        <v>0</v>
      </c>
      <c r="G201" s="319">
        <f t="shared" si="21"/>
        <v>0</v>
      </c>
      <c r="J201" s="657" t="s">
        <v>1</v>
      </c>
      <c r="K201" s="658"/>
      <c r="L201" s="658"/>
      <c r="M201" s="316"/>
      <c r="N201" s="317"/>
      <c r="O201" s="393" t="s">
        <v>0</v>
      </c>
      <c r="P201" s="319">
        <f t="shared" si="22"/>
        <v>0</v>
      </c>
      <c r="Q201" s="321">
        <f t="shared" si="0"/>
        <v>0</v>
      </c>
      <c r="R201" s="283"/>
      <c r="AB201" s="295"/>
      <c r="AC201" s="295"/>
    </row>
    <row r="202" spans="1:29" ht="18.75" customHeight="1" x14ac:dyDescent="0.25">
      <c r="A202" s="657" t="s">
        <v>3</v>
      </c>
      <c r="B202" s="658"/>
      <c r="C202" s="658"/>
      <c r="D202" s="316"/>
      <c r="E202" s="317"/>
      <c r="F202" s="394" t="s">
        <v>2</v>
      </c>
      <c r="G202" s="319">
        <f t="shared" si="21"/>
        <v>5</v>
      </c>
      <c r="J202" s="657" t="s">
        <v>3</v>
      </c>
      <c r="K202" s="658"/>
      <c r="L202" s="658"/>
      <c r="M202" s="316"/>
      <c r="N202" s="317"/>
      <c r="O202" s="394" t="s">
        <v>2</v>
      </c>
      <c r="P202" s="319">
        <f t="shared" si="22"/>
        <v>0</v>
      </c>
      <c r="Q202" s="321">
        <f t="shared" si="0"/>
        <v>5</v>
      </c>
      <c r="R202" s="283"/>
      <c r="AB202" s="295"/>
      <c r="AC202" s="295"/>
    </row>
    <row r="203" spans="1:29" ht="18.75" customHeight="1" x14ac:dyDescent="0.25">
      <c r="A203" s="657" t="s">
        <v>42</v>
      </c>
      <c r="B203" s="658"/>
      <c r="C203" s="658"/>
      <c r="D203" s="316"/>
      <c r="E203" s="317"/>
      <c r="F203" s="395" t="s">
        <v>43</v>
      </c>
      <c r="G203" s="319">
        <f t="shared" si="21"/>
        <v>0</v>
      </c>
      <c r="J203" s="657" t="s">
        <v>42</v>
      </c>
      <c r="K203" s="658"/>
      <c r="L203" s="658"/>
      <c r="M203" s="316"/>
      <c r="N203" s="317"/>
      <c r="O203" s="395" t="s">
        <v>43</v>
      </c>
      <c r="P203" s="319">
        <f t="shared" si="22"/>
        <v>0</v>
      </c>
      <c r="Q203" s="321">
        <f t="shared" si="0"/>
        <v>0</v>
      </c>
      <c r="R203" s="283"/>
      <c r="AB203" s="295"/>
      <c r="AC203" s="295"/>
    </row>
    <row r="204" spans="1:29" ht="18.75" customHeight="1" x14ac:dyDescent="0.25">
      <c r="A204" s="657" t="s">
        <v>44</v>
      </c>
      <c r="B204" s="658"/>
      <c r="C204" s="658"/>
      <c r="D204" s="316"/>
      <c r="E204" s="317"/>
      <c r="F204" s="395" t="s">
        <v>45</v>
      </c>
      <c r="G204" s="319">
        <f t="shared" si="21"/>
        <v>0</v>
      </c>
      <c r="J204" s="657" t="s">
        <v>44</v>
      </c>
      <c r="K204" s="658"/>
      <c r="L204" s="658"/>
      <c r="M204" s="316"/>
      <c r="N204" s="317"/>
      <c r="O204" s="395" t="s">
        <v>45</v>
      </c>
      <c r="P204" s="319">
        <f t="shared" si="22"/>
        <v>0</v>
      </c>
      <c r="Q204" s="321">
        <f t="shared" si="0"/>
        <v>0</v>
      </c>
      <c r="R204" s="283"/>
      <c r="AB204" s="295"/>
      <c r="AC204" s="295"/>
    </row>
    <row r="205" spans="1:29" ht="18.75" customHeight="1" x14ac:dyDescent="0.25">
      <c r="A205" s="657" t="s">
        <v>46</v>
      </c>
      <c r="B205" s="658"/>
      <c r="C205" s="658"/>
      <c r="D205" s="316"/>
      <c r="E205" s="317"/>
      <c r="F205" s="395" t="s">
        <v>47</v>
      </c>
      <c r="G205" s="319">
        <f t="shared" si="21"/>
        <v>0</v>
      </c>
      <c r="J205" s="657" t="s">
        <v>46</v>
      </c>
      <c r="K205" s="658"/>
      <c r="L205" s="658"/>
      <c r="M205" s="316"/>
      <c r="N205" s="317"/>
      <c r="O205" s="395" t="s">
        <v>47</v>
      </c>
      <c r="P205" s="319">
        <f t="shared" si="22"/>
        <v>0</v>
      </c>
      <c r="Q205" s="321">
        <f t="shared" si="0"/>
        <v>0</v>
      </c>
      <c r="R205" s="283"/>
      <c r="AB205" s="295"/>
      <c r="AC205" s="295"/>
    </row>
    <row r="206" spans="1:29" ht="18.75" customHeight="1" x14ac:dyDescent="0.25">
      <c r="A206" s="657" t="s">
        <v>5</v>
      </c>
      <c r="B206" s="658"/>
      <c r="C206" s="658"/>
      <c r="D206" s="316"/>
      <c r="E206" s="317"/>
      <c r="F206" s="396" t="s">
        <v>4</v>
      </c>
      <c r="G206" s="319">
        <f t="shared" si="21"/>
        <v>5</v>
      </c>
      <c r="J206" s="657" t="s">
        <v>5</v>
      </c>
      <c r="K206" s="658"/>
      <c r="L206" s="658"/>
      <c r="M206" s="316"/>
      <c r="N206" s="317"/>
      <c r="O206" s="396" t="s">
        <v>4</v>
      </c>
      <c r="P206" s="319">
        <f t="shared" si="22"/>
        <v>0</v>
      </c>
      <c r="Q206" s="321">
        <f t="shared" si="0"/>
        <v>5</v>
      </c>
      <c r="R206" s="283"/>
      <c r="AB206" s="295"/>
      <c r="AC206" s="295"/>
    </row>
    <row r="207" spans="1:29" ht="18.75" customHeight="1" x14ac:dyDescent="0.25">
      <c r="A207" s="657" t="s">
        <v>17</v>
      </c>
      <c r="B207" s="658"/>
      <c r="C207" s="658"/>
      <c r="D207" s="316"/>
      <c r="E207" s="317"/>
      <c r="F207" s="334" t="s">
        <v>18</v>
      </c>
      <c r="G207" s="319">
        <f t="shared" si="21"/>
        <v>0</v>
      </c>
      <c r="J207" s="657" t="s">
        <v>17</v>
      </c>
      <c r="K207" s="658"/>
      <c r="L207" s="658"/>
      <c r="M207" s="316"/>
      <c r="N207" s="317"/>
      <c r="O207" s="334" t="s">
        <v>18</v>
      </c>
      <c r="P207" s="319">
        <f t="shared" si="22"/>
        <v>0</v>
      </c>
      <c r="Q207" s="321">
        <f t="shared" si="0"/>
        <v>0</v>
      </c>
      <c r="R207" s="283"/>
      <c r="AB207" s="295"/>
      <c r="AC207" s="295"/>
    </row>
    <row r="208" spans="1:29" ht="18.75" customHeight="1" x14ac:dyDescent="0.25">
      <c r="A208" s="314" t="s">
        <v>120</v>
      </c>
      <c r="B208" s="315"/>
      <c r="C208" s="315"/>
      <c r="D208" s="316"/>
      <c r="E208" s="351"/>
      <c r="F208" s="397" t="s">
        <v>119</v>
      </c>
      <c r="G208" s="319">
        <f t="shared" si="21"/>
        <v>0</v>
      </c>
      <c r="J208" s="314" t="s">
        <v>120</v>
      </c>
      <c r="K208" s="315"/>
      <c r="L208" s="315"/>
      <c r="M208" s="316"/>
      <c r="N208" s="351"/>
      <c r="O208" s="397" t="s">
        <v>119</v>
      </c>
      <c r="P208" s="319">
        <f t="shared" si="22"/>
        <v>0</v>
      </c>
      <c r="Q208" s="321">
        <f t="shared" si="0"/>
        <v>0</v>
      </c>
      <c r="R208" s="283"/>
      <c r="AB208" s="295"/>
      <c r="AC208" s="295"/>
    </row>
    <row r="209" spans="1:29" ht="18.75" customHeight="1" x14ac:dyDescent="0.25">
      <c r="A209" s="657" t="s">
        <v>136</v>
      </c>
      <c r="B209" s="658"/>
      <c r="C209" s="658"/>
      <c r="D209" s="316"/>
      <c r="E209" s="317"/>
      <c r="F209" s="398" t="s">
        <v>135</v>
      </c>
      <c r="G209" s="319">
        <f t="shared" si="21"/>
        <v>0</v>
      </c>
      <c r="J209" s="657" t="s">
        <v>136</v>
      </c>
      <c r="K209" s="658"/>
      <c r="L209" s="658"/>
      <c r="M209" s="316"/>
      <c r="N209" s="317"/>
      <c r="O209" s="398" t="s">
        <v>135</v>
      </c>
      <c r="P209" s="319">
        <f t="shared" si="22"/>
        <v>0</v>
      </c>
      <c r="Q209" s="321">
        <f t="shared" si="0"/>
        <v>0</v>
      </c>
      <c r="R209" s="283"/>
      <c r="AB209" s="295"/>
      <c r="AC209" s="295"/>
    </row>
    <row r="210" spans="1:29" ht="18.75" customHeight="1" x14ac:dyDescent="0.25">
      <c r="A210" s="314" t="s">
        <v>103</v>
      </c>
      <c r="B210" s="315"/>
      <c r="C210" s="315"/>
      <c r="D210" s="316"/>
      <c r="E210" s="351"/>
      <c r="F210" s="399" t="s">
        <v>102</v>
      </c>
      <c r="G210" s="319">
        <f t="shared" si="21"/>
        <v>0</v>
      </c>
      <c r="J210" s="314" t="s">
        <v>103</v>
      </c>
      <c r="K210" s="315"/>
      <c r="L210" s="315"/>
      <c r="M210" s="316"/>
      <c r="N210" s="351"/>
      <c r="O210" s="399" t="s">
        <v>102</v>
      </c>
      <c r="P210" s="319">
        <f t="shared" si="22"/>
        <v>6</v>
      </c>
      <c r="Q210" s="321">
        <f t="shared" si="0"/>
        <v>6</v>
      </c>
      <c r="R210" s="283"/>
      <c r="AB210" s="295"/>
      <c r="AC210" s="295"/>
    </row>
    <row r="211" spans="1:29" ht="18.75" customHeight="1" x14ac:dyDescent="0.25">
      <c r="A211" s="657" t="s">
        <v>48</v>
      </c>
      <c r="B211" s="658"/>
      <c r="C211" s="658"/>
      <c r="D211" s="350"/>
      <c r="E211" s="351"/>
      <c r="F211" s="400" t="s">
        <v>49</v>
      </c>
      <c r="G211" s="319">
        <f t="shared" si="21"/>
        <v>0</v>
      </c>
      <c r="J211" s="657" t="s">
        <v>48</v>
      </c>
      <c r="K211" s="658"/>
      <c r="L211" s="658"/>
      <c r="M211" s="350"/>
      <c r="N211" s="351"/>
      <c r="O211" s="400" t="s">
        <v>49</v>
      </c>
      <c r="P211" s="319">
        <f t="shared" si="22"/>
        <v>0</v>
      </c>
      <c r="Q211" s="321">
        <f t="shared" si="0"/>
        <v>0</v>
      </c>
      <c r="R211" s="283"/>
      <c r="AB211" s="295"/>
      <c r="AC211" s="295"/>
    </row>
    <row r="212" spans="1:29" ht="18.75" customHeight="1" x14ac:dyDescent="0.25">
      <c r="A212" s="657" t="s">
        <v>50</v>
      </c>
      <c r="B212" s="658"/>
      <c r="C212" s="658"/>
      <c r="D212" s="350"/>
      <c r="E212" s="351"/>
      <c r="F212" s="401" t="s">
        <v>51</v>
      </c>
      <c r="G212" s="319">
        <f t="shared" si="21"/>
        <v>0</v>
      </c>
      <c r="J212" s="657" t="s">
        <v>50</v>
      </c>
      <c r="K212" s="658"/>
      <c r="L212" s="658"/>
      <c r="M212" s="350"/>
      <c r="N212" s="351"/>
      <c r="O212" s="401" t="s">
        <v>51</v>
      </c>
      <c r="P212" s="319">
        <f t="shared" si="22"/>
        <v>0</v>
      </c>
      <c r="Q212" s="321">
        <f t="shared" si="0"/>
        <v>0</v>
      </c>
      <c r="R212" s="283"/>
      <c r="AB212" s="295"/>
      <c r="AC212" s="295"/>
    </row>
    <row r="213" spans="1:29" ht="18.75" customHeight="1" x14ac:dyDescent="0.25">
      <c r="A213" s="657" t="s">
        <v>15</v>
      </c>
      <c r="B213" s="658"/>
      <c r="C213" s="658"/>
      <c r="D213" s="350"/>
      <c r="E213" s="351"/>
      <c r="F213" s="402" t="s">
        <v>12</v>
      </c>
      <c r="G213" s="319">
        <f t="shared" si="21"/>
        <v>0</v>
      </c>
      <c r="J213" s="657" t="s">
        <v>15</v>
      </c>
      <c r="K213" s="658"/>
      <c r="L213" s="658"/>
      <c r="M213" s="350"/>
      <c r="N213" s="351"/>
      <c r="O213" s="402" t="s">
        <v>12</v>
      </c>
      <c r="P213" s="319">
        <f t="shared" si="22"/>
        <v>0</v>
      </c>
      <c r="Q213" s="321">
        <f t="shared" si="0"/>
        <v>0</v>
      </c>
      <c r="R213" s="283"/>
      <c r="AB213" s="295"/>
      <c r="AC213" s="295"/>
    </row>
    <row r="214" spans="1:29" ht="18.75" customHeight="1" x14ac:dyDescent="0.25">
      <c r="A214" s="657" t="s">
        <v>122</v>
      </c>
      <c r="B214" s="658"/>
      <c r="C214" s="658"/>
      <c r="D214" s="350"/>
      <c r="E214" s="351"/>
      <c r="F214" s="403" t="s">
        <v>121</v>
      </c>
      <c r="G214" s="319">
        <f t="shared" si="21"/>
        <v>0</v>
      </c>
      <c r="J214" s="657" t="s">
        <v>122</v>
      </c>
      <c r="K214" s="658"/>
      <c r="L214" s="658"/>
      <c r="M214" s="350"/>
      <c r="N214" s="351"/>
      <c r="O214" s="403" t="s">
        <v>121</v>
      </c>
      <c r="P214" s="319">
        <f t="shared" si="22"/>
        <v>0</v>
      </c>
      <c r="Q214" s="321">
        <f t="shared" si="0"/>
        <v>0</v>
      </c>
      <c r="R214" s="283"/>
      <c r="AB214" s="295"/>
      <c r="AC214" s="295"/>
    </row>
    <row r="215" spans="1:29" ht="18.75" customHeight="1" x14ac:dyDescent="0.25">
      <c r="A215" s="678" t="s">
        <v>341</v>
      </c>
      <c r="B215" s="679"/>
      <c r="C215" s="680"/>
      <c r="D215" s="404"/>
      <c r="E215" s="317"/>
      <c r="F215" s="405"/>
      <c r="G215" s="321">
        <f>SUM(G128:G214)</f>
        <v>98</v>
      </c>
      <c r="J215" s="678" t="s">
        <v>341</v>
      </c>
      <c r="K215" s="679"/>
      <c r="L215" s="679"/>
      <c r="M215" s="404"/>
      <c r="N215" s="317"/>
      <c r="O215" s="406"/>
      <c r="P215" s="321">
        <f>SUM(P128:P214)</f>
        <v>52</v>
      </c>
      <c r="Q215" s="321">
        <f>SUM(Q128:Q214)</f>
        <v>150</v>
      </c>
      <c r="R215" s="283"/>
      <c r="AB215" s="295"/>
      <c r="AC215" s="295"/>
    </row>
    <row r="216" spans="1:29" ht="18.75" customHeight="1" x14ac:dyDescent="0.25">
      <c r="R216" s="283"/>
      <c r="AB216" s="295"/>
      <c r="AC216" s="295"/>
    </row>
    <row r="217" spans="1:29" ht="18.75" customHeight="1" x14ac:dyDescent="0.25">
      <c r="A217" s="681" t="s">
        <v>364</v>
      </c>
      <c r="B217" s="681"/>
      <c r="C217" s="681"/>
      <c r="D217" s="681"/>
      <c r="E217" s="681"/>
      <c r="F217" s="681"/>
      <c r="G217" s="681"/>
      <c r="H217" s="681"/>
      <c r="I217" s="681"/>
      <c r="J217" s="681"/>
      <c r="K217" s="681"/>
      <c r="L217" s="681"/>
      <c r="M217" s="681"/>
      <c r="N217" s="681"/>
      <c r="O217" s="681"/>
      <c r="P217" s="681"/>
      <c r="Q217" s="681"/>
      <c r="R217" s="283"/>
      <c r="AB217" s="295"/>
      <c r="AC217" s="295"/>
    </row>
    <row r="218" spans="1:29" ht="18.75" customHeight="1" x14ac:dyDescent="0.25">
      <c r="A218" s="681"/>
      <c r="B218" s="681"/>
      <c r="C218" s="681"/>
      <c r="D218" s="681"/>
      <c r="E218" s="681"/>
      <c r="F218" s="681"/>
      <c r="G218" s="681"/>
      <c r="H218" s="681"/>
      <c r="I218" s="681"/>
      <c r="J218" s="681"/>
      <c r="K218" s="681"/>
      <c r="L218" s="681"/>
      <c r="M218" s="681"/>
      <c r="N218" s="681"/>
      <c r="O218" s="681"/>
      <c r="P218" s="681"/>
      <c r="Q218" s="681"/>
      <c r="R218" s="283"/>
      <c r="AB218" s="295"/>
      <c r="AC218" s="295"/>
    </row>
    <row r="219" spans="1:29" ht="18.75" customHeight="1" x14ac:dyDescent="0.25">
      <c r="R219" s="283"/>
      <c r="AB219" s="295"/>
      <c r="AC219" s="295"/>
    </row>
    <row r="220" spans="1:29" ht="18.75" customHeight="1" x14ac:dyDescent="0.25">
      <c r="R220" s="283"/>
      <c r="AB220" s="295"/>
      <c r="AC220" s="295"/>
    </row>
    <row r="221" spans="1:29" ht="18.75" customHeight="1" x14ac:dyDescent="0.25">
      <c r="A221" s="682" t="s">
        <v>365</v>
      </c>
      <c r="B221" s="682"/>
      <c r="C221" s="682"/>
      <c r="D221" s="682"/>
      <c r="E221" s="682"/>
      <c r="F221" s="682"/>
      <c r="G221" s="682"/>
      <c r="H221" s="682"/>
      <c r="I221" s="682"/>
      <c r="J221" s="682"/>
      <c r="K221" s="682"/>
      <c r="L221" s="682"/>
      <c r="M221" s="682"/>
      <c r="N221" s="682"/>
      <c r="O221" s="682"/>
      <c r="P221" s="682"/>
      <c r="Q221" s="682"/>
      <c r="R221" s="283"/>
      <c r="AB221" s="295"/>
      <c r="AC221" s="295"/>
    </row>
    <row r="222" spans="1:29" ht="18.75" customHeight="1" x14ac:dyDescent="0.25">
      <c r="A222" s="682"/>
      <c r="B222" s="682"/>
      <c r="C222" s="682"/>
      <c r="D222" s="682"/>
      <c r="E222" s="682"/>
      <c r="F222" s="682"/>
      <c r="G222" s="682"/>
      <c r="H222" s="682"/>
      <c r="I222" s="682"/>
      <c r="J222" s="682"/>
      <c r="K222" s="682"/>
      <c r="L222" s="682"/>
      <c r="M222" s="682"/>
      <c r="N222" s="682"/>
      <c r="O222" s="682"/>
      <c r="P222" s="682"/>
      <c r="Q222" s="682"/>
      <c r="R222" s="283"/>
      <c r="AB222" s="295"/>
      <c r="AC222" s="295"/>
    </row>
    <row r="223" spans="1:29" ht="18.75" customHeight="1" x14ac:dyDescent="0.25">
      <c r="Q223" s="283"/>
      <c r="R223" s="283"/>
      <c r="AB223" s="295"/>
      <c r="AC223" s="295"/>
    </row>
    <row r="224" spans="1:29" ht="18.75" customHeight="1" x14ac:dyDescent="0.25">
      <c r="R224" s="283"/>
      <c r="AB224" s="295"/>
      <c r="AC224" s="295"/>
    </row>
    <row r="225" spans="1:29" ht="18.75" customHeight="1" thickBot="1" x14ac:dyDescent="0.3">
      <c r="R225" s="283"/>
      <c r="AB225" s="295"/>
      <c r="AC225" s="295"/>
    </row>
    <row r="226" spans="1:29" ht="18.75" customHeight="1" thickBot="1" x14ac:dyDescent="0.4">
      <c r="A226" s="675" t="s">
        <v>366</v>
      </c>
      <c r="B226" s="676"/>
      <c r="C226" s="676"/>
      <c r="D226" s="676"/>
      <c r="E226" s="677"/>
      <c r="F226" s="649">
        <f>SUM(F228,F230)</f>
        <v>155</v>
      </c>
      <c r="G226" s="650"/>
      <c r="J226" s="675" t="s">
        <v>367</v>
      </c>
      <c r="K226" s="676"/>
      <c r="L226" s="676"/>
      <c r="M226" s="676"/>
      <c r="N226" s="677"/>
      <c r="O226" s="649">
        <f>SUM(O228,O230)</f>
        <v>169</v>
      </c>
      <c r="P226" s="650"/>
      <c r="R226" s="283"/>
      <c r="AB226" s="295"/>
      <c r="AC226" s="295"/>
    </row>
    <row r="227" spans="1:29" ht="18.75" customHeight="1" thickBot="1" x14ac:dyDescent="0.4">
      <c r="A227" s="409"/>
      <c r="B227" s="409"/>
      <c r="C227" s="409"/>
      <c r="D227" s="409"/>
      <c r="E227" s="409"/>
      <c r="F227" s="410"/>
      <c r="G227" s="410"/>
      <c r="J227" s="409"/>
      <c r="K227" s="409"/>
      <c r="L227" s="409"/>
      <c r="M227" s="409"/>
      <c r="N227" s="409"/>
      <c r="O227" s="410"/>
      <c r="P227" s="410"/>
      <c r="R227" s="283"/>
      <c r="AB227" s="295"/>
      <c r="AC227" s="295"/>
    </row>
    <row r="228" spans="1:29" ht="18.75" customHeight="1" thickBot="1" x14ac:dyDescent="0.4">
      <c r="A228" s="675" t="s">
        <v>368</v>
      </c>
      <c r="B228" s="676"/>
      <c r="C228" s="676"/>
      <c r="D228" s="676"/>
      <c r="E228" s="677"/>
      <c r="F228" s="649">
        <f>SUM(D236:D259)</f>
        <v>24</v>
      </c>
      <c r="G228" s="650"/>
      <c r="J228" s="675" t="s">
        <v>369</v>
      </c>
      <c r="K228" s="676"/>
      <c r="L228" s="676"/>
      <c r="M228" s="676"/>
      <c r="N228" s="677"/>
      <c r="O228" s="649">
        <f>SUM(M236:M259)</f>
        <v>24</v>
      </c>
      <c r="P228" s="650"/>
      <c r="R228" s="283"/>
      <c r="AB228" s="295"/>
      <c r="AC228" s="295"/>
    </row>
    <row r="229" spans="1:29" ht="18.75" customHeight="1" thickBot="1" x14ac:dyDescent="0.4">
      <c r="A229" s="409"/>
      <c r="B229" s="409"/>
      <c r="C229" s="409"/>
      <c r="D229" s="409"/>
      <c r="E229" s="409"/>
      <c r="F229" s="410"/>
      <c r="G229" s="410"/>
      <c r="J229" s="409"/>
      <c r="K229" s="409"/>
      <c r="L229" s="409"/>
      <c r="M229" s="409"/>
      <c r="N229" s="409"/>
      <c r="O229" s="410"/>
      <c r="P229" s="410"/>
      <c r="R229" s="283"/>
      <c r="AB229" s="295"/>
      <c r="AC229" s="295"/>
    </row>
    <row r="230" spans="1:29" ht="18.75" customHeight="1" thickBot="1" x14ac:dyDescent="0.4">
      <c r="A230" s="675" t="s">
        <v>370</v>
      </c>
      <c r="B230" s="676"/>
      <c r="C230" s="676"/>
      <c r="D230" s="676"/>
      <c r="E230" s="677"/>
      <c r="F230" s="649">
        <f>SUM(D261:D332)</f>
        <v>131</v>
      </c>
      <c r="G230" s="650"/>
      <c r="J230" s="675" t="s">
        <v>371</v>
      </c>
      <c r="K230" s="676"/>
      <c r="L230" s="676"/>
      <c r="M230" s="676"/>
      <c r="N230" s="677"/>
      <c r="O230" s="649">
        <f>SUM(M261:M332)</f>
        <v>145</v>
      </c>
      <c r="P230" s="650"/>
      <c r="R230" s="283"/>
    </row>
    <row r="231" spans="1:29" ht="18.75" customHeight="1" x14ac:dyDescent="0.25">
      <c r="A231" s="283"/>
      <c r="B231" s="283"/>
      <c r="C231" s="283"/>
      <c r="D231" s="283"/>
      <c r="E231" s="283"/>
      <c r="F231" s="283"/>
      <c r="G231" s="283"/>
      <c r="I231" s="283"/>
      <c r="J231" s="283"/>
      <c r="K231" s="283"/>
      <c r="L231" s="283"/>
      <c r="M231" s="287"/>
      <c r="N231" s="283"/>
      <c r="O231" s="283"/>
      <c r="P231" s="283"/>
      <c r="Q231" s="283"/>
      <c r="R231" s="283"/>
    </row>
    <row r="232" spans="1:29" ht="18.75" customHeight="1" thickBot="1" x14ac:dyDescent="0.4">
      <c r="A232" s="409"/>
      <c r="B232" s="409"/>
      <c r="C232" s="409"/>
      <c r="D232" s="409"/>
      <c r="E232" s="409"/>
      <c r="F232" s="410"/>
      <c r="G232" s="410"/>
      <c r="J232" s="409"/>
      <c r="K232" s="409"/>
      <c r="L232" s="409"/>
      <c r="M232" s="409"/>
      <c r="N232" s="409"/>
      <c r="O232" s="410"/>
      <c r="P232" s="410"/>
      <c r="R232" s="283"/>
    </row>
    <row r="233" spans="1:29" ht="18.75" customHeight="1" thickTop="1" thickBot="1" x14ac:dyDescent="0.3">
      <c r="O233" s="283"/>
      <c r="P233" s="687" t="s">
        <v>372</v>
      </c>
      <c r="Q233" s="688"/>
      <c r="R233" s="283"/>
    </row>
    <row r="234" spans="1:29" ht="18.75" customHeight="1" thickTop="1" thickBot="1" x14ac:dyDescent="0.35">
      <c r="A234" s="689" t="s">
        <v>373</v>
      </c>
      <c r="B234" s="690"/>
      <c r="C234" s="690"/>
      <c r="D234" s="411" t="s">
        <v>374</v>
      </c>
      <c r="E234" s="691" t="s">
        <v>341</v>
      </c>
      <c r="F234" s="692"/>
      <c r="J234" s="689" t="s">
        <v>373</v>
      </c>
      <c r="K234" s="690"/>
      <c r="L234" s="690"/>
      <c r="M234" s="411" t="s">
        <v>374</v>
      </c>
      <c r="N234" s="691" t="s">
        <v>341</v>
      </c>
      <c r="O234" s="692"/>
      <c r="P234" s="412" t="s">
        <v>374</v>
      </c>
      <c r="Q234" s="413" t="s">
        <v>375</v>
      </c>
    </row>
    <row r="235" spans="1:29" ht="18.75" customHeight="1" thickBot="1" x14ac:dyDescent="0.3">
      <c r="A235" s="693" t="s">
        <v>376</v>
      </c>
      <c r="B235" s="693"/>
      <c r="C235" s="694"/>
      <c r="D235" s="693"/>
      <c r="E235" s="649">
        <f>SUM(D236:D259)</f>
        <v>24</v>
      </c>
      <c r="F235" s="650"/>
      <c r="J235" s="693" t="s">
        <v>376</v>
      </c>
      <c r="K235" s="693"/>
      <c r="L235" s="694"/>
      <c r="M235" s="693"/>
      <c r="N235" s="649">
        <f>SUM(M236:M259)</f>
        <v>24</v>
      </c>
      <c r="O235" s="650"/>
      <c r="P235" s="695" t="s">
        <v>377</v>
      </c>
      <c r="Q235" s="696"/>
    </row>
    <row r="236" spans="1:29" ht="18.75" customHeight="1" x14ac:dyDescent="0.25">
      <c r="A236" s="683" t="s">
        <v>378</v>
      </c>
      <c r="B236" s="684"/>
      <c r="C236" s="414" t="s">
        <v>174</v>
      </c>
      <c r="D236" s="319">
        <f>COUNTIF($A$4:$T$22,C236)+COUNTIF($A$24:$R$24,C236)+COUNTIF($A$25:$Q$25,C236)+COUNTIF($A$26:$M$42,C236)+COUNTIF($A$23:$S$23,C236)+COUNTIF($A$43:$O$81,C236)+COUNTIF($P$43:$P$47,C236)+COUNTIF($N$26:$P$26,C236)</f>
        <v>16</v>
      </c>
      <c r="J236" s="683" t="s">
        <v>378</v>
      </c>
      <c r="K236" s="684"/>
      <c r="L236" s="414" t="s">
        <v>174</v>
      </c>
      <c r="M236" s="319">
        <f>COUNTIF($R$25:$S$27,L236)+COUNTIF($S$24,L236)+COUNTIF($P$47:$S$73,L236)+COUNTIF($T$23:$BI$73,L236)+COUNTIF($N$28:$S$42,L236)+COUNTIF($Q$26:$Q$27,L236)+COUNTIF($P$27:$P$27,L236)</f>
        <v>18</v>
      </c>
      <c r="N236" s="283"/>
      <c r="O236" s="283"/>
      <c r="P236" s="415">
        <f>D236+M236</f>
        <v>34</v>
      </c>
      <c r="Q236" s="416" t="str">
        <f>IFERROR(P236/$J$4,"")</f>
        <v/>
      </c>
    </row>
    <row r="237" spans="1:29" ht="18.75" customHeight="1" x14ac:dyDescent="0.25">
      <c r="A237" s="685" t="s">
        <v>379</v>
      </c>
      <c r="B237" s="686"/>
      <c r="C237" s="417" t="s">
        <v>379</v>
      </c>
      <c r="D237" s="319">
        <f t="shared" ref="D237:D259" si="24">COUNTIF($A$4:$T$22,C237)+COUNTIF($A$24:$R$24,C237)+COUNTIF($A$25:$Q$25,C237)+COUNTIF($A$26:$M$42,C237)+COUNTIF($A$23:$S$23,C237)+COUNTIF($A$43:$O$81,C237)+COUNTIF($P$43:$P$47,C237)+COUNTIF($N$26:$O$27,C237)</f>
        <v>0</v>
      </c>
      <c r="J237" s="685" t="s">
        <v>379</v>
      </c>
      <c r="K237" s="686"/>
      <c r="L237" s="417" t="s">
        <v>379</v>
      </c>
      <c r="M237" s="319">
        <f t="shared" ref="M237:M259" si="25">COUNTIF($P$26:$S$27,L237)+COUNTIF($R$24:$S$25,L237)+COUNTIF($P$47:$S$73,L237)+COUNTIF($T$22:$BI$73,L237)+COUNTIF($N$28:$S$42,L237)</f>
        <v>0</v>
      </c>
      <c r="N237" s="283"/>
      <c r="O237" s="283"/>
      <c r="P237" s="415">
        <f t="shared" ref="P237:P259" si="26">D237+M237</f>
        <v>0</v>
      </c>
      <c r="Q237" s="416" t="str">
        <f t="shared" ref="Q237:Q304" si="27">IFERROR(P237/$J$4,"")</f>
        <v/>
      </c>
    </row>
    <row r="238" spans="1:29" ht="18.75" customHeight="1" x14ac:dyDescent="0.25">
      <c r="A238" s="685" t="s">
        <v>380</v>
      </c>
      <c r="B238" s="686" t="s">
        <v>380</v>
      </c>
      <c r="C238" s="418" t="s">
        <v>381</v>
      </c>
      <c r="D238" s="319">
        <f t="shared" si="24"/>
        <v>0</v>
      </c>
      <c r="J238" s="685" t="s">
        <v>380</v>
      </c>
      <c r="K238" s="686" t="s">
        <v>380</v>
      </c>
      <c r="L238" s="418" t="s">
        <v>381</v>
      </c>
      <c r="M238" s="319">
        <f t="shared" si="25"/>
        <v>0</v>
      </c>
      <c r="N238" s="283"/>
      <c r="O238" s="283"/>
      <c r="P238" s="415">
        <f t="shared" si="26"/>
        <v>0</v>
      </c>
      <c r="Q238" s="416" t="str">
        <f t="shared" si="27"/>
        <v/>
      </c>
    </row>
    <row r="239" spans="1:29" ht="18.75" customHeight="1" x14ac:dyDescent="0.25">
      <c r="A239" s="685" t="s">
        <v>382</v>
      </c>
      <c r="B239" s="686" t="s">
        <v>382</v>
      </c>
      <c r="C239" s="419" t="s">
        <v>383</v>
      </c>
      <c r="D239" s="319">
        <f t="shared" si="24"/>
        <v>0</v>
      </c>
      <c r="J239" s="685" t="s">
        <v>382</v>
      </c>
      <c r="K239" s="686" t="s">
        <v>382</v>
      </c>
      <c r="L239" s="419" t="s">
        <v>383</v>
      </c>
      <c r="M239" s="319">
        <f t="shared" si="25"/>
        <v>0</v>
      </c>
      <c r="N239" s="283"/>
      <c r="O239" s="283"/>
      <c r="P239" s="415">
        <f t="shared" si="26"/>
        <v>0</v>
      </c>
      <c r="Q239" s="416" t="str">
        <f t="shared" si="27"/>
        <v/>
      </c>
    </row>
    <row r="240" spans="1:29" ht="18.75" customHeight="1" x14ac:dyDescent="0.25">
      <c r="A240" s="685" t="s">
        <v>384</v>
      </c>
      <c r="B240" s="686" t="s">
        <v>384</v>
      </c>
      <c r="C240" s="420" t="s">
        <v>385</v>
      </c>
      <c r="D240" s="319">
        <f t="shared" si="24"/>
        <v>0</v>
      </c>
      <c r="J240" s="685" t="s">
        <v>384</v>
      </c>
      <c r="K240" s="686" t="s">
        <v>384</v>
      </c>
      <c r="L240" s="420" t="s">
        <v>385</v>
      </c>
      <c r="M240" s="319">
        <f t="shared" si="25"/>
        <v>0</v>
      </c>
      <c r="N240" s="283"/>
      <c r="O240" s="283"/>
      <c r="P240" s="415">
        <f t="shared" si="26"/>
        <v>0</v>
      </c>
      <c r="Q240" s="416" t="str">
        <f t="shared" si="27"/>
        <v/>
      </c>
    </row>
    <row r="241" spans="1:17" ht="18.75" customHeight="1" x14ac:dyDescent="0.25">
      <c r="A241" s="685" t="s">
        <v>167</v>
      </c>
      <c r="B241" s="686" t="s">
        <v>167</v>
      </c>
      <c r="C241" s="421" t="s">
        <v>167</v>
      </c>
      <c r="D241" s="319">
        <f t="shared" si="24"/>
        <v>8</v>
      </c>
      <c r="J241" s="685" t="s">
        <v>167</v>
      </c>
      <c r="K241" s="686" t="s">
        <v>167</v>
      </c>
      <c r="L241" s="421" t="s">
        <v>167</v>
      </c>
      <c r="M241" s="319">
        <f t="shared" si="25"/>
        <v>6</v>
      </c>
      <c r="N241" s="283"/>
      <c r="O241" s="283"/>
      <c r="P241" s="415">
        <f t="shared" si="26"/>
        <v>14</v>
      </c>
      <c r="Q241" s="416" t="str">
        <f t="shared" si="27"/>
        <v/>
      </c>
    </row>
    <row r="242" spans="1:17" ht="18.75" customHeight="1" x14ac:dyDescent="0.25">
      <c r="A242" s="685" t="s">
        <v>386</v>
      </c>
      <c r="B242" s="686" t="s">
        <v>386</v>
      </c>
      <c r="C242" s="422" t="s">
        <v>386</v>
      </c>
      <c r="D242" s="319">
        <f t="shared" si="24"/>
        <v>0</v>
      </c>
      <c r="J242" s="685" t="s">
        <v>386</v>
      </c>
      <c r="K242" s="686" t="s">
        <v>386</v>
      </c>
      <c r="L242" s="422" t="s">
        <v>386</v>
      </c>
      <c r="M242" s="319">
        <f t="shared" si="25"/>
        <v>0</v>
      </c>
      <c r="N242" s="283"/>
      <c r="O242" s="283"/>
      <c r="P242" s="415">
        <f t="shared" si="26"/>
        <v>0</v>
      </c>
      <c r="Q242" s="416" t="str">
        <f t="shared" si="27"/>
        <v/>
      </c>
    </row>
    <row r="243" spans="1:17" ht="18.75" customHeight="1" x14ac:dyDescent="0.25">
      <c r="A243" s="685" t="s">
        <v>387</v>
      </c>
      <c r="B243" s="686" t="s">
        <v>387</v>
      </c>
      <c r="C243" s="423" t="s">
        <v>388</v>
      </c>
      <c r="D243" s="319">
        <f t="shared" si="24"/>
        <v>0</v>
      </c>
      <c r="J243" s="685" t="s">
        <v>387</v>
      </c>
      <c r="K243" s="686" t="s">
        <v>387</v>
      </c>
      <c r="L243" s="423" t="s">
        <v>388</v>
      </c>
      <c r="M243" s="319">
        <f t="shared" si="25"/>
        <v>0</v>
      </c>
      <c r="N243" s="283"/>
      <c r="O243" s="283"/>
      <c r="P243" s="415">
        <f t="shared" si="26"/>
        <v>0</v>
      </c>
      <c r="Q243" s="416" t="str">
        <f t="shared" si="27"/>
        <v/>
      </c>
    </row>
    <row r="244" spans="1:17" ht="18.75" customHeight="1" x14ac:dyDescent="0.25">
      <c r="A244" s="685" t="s">
        <v>389</v>
      </c>
      <c r="B244" s="686" t="s">
        <v>389</v>
      </c>
      <c r="C244" s="424" t="s">
        <v>390</v>
      </c>
      <c r="D244" s="319">
        <f t="shared" si="24"/>
        <v>0</v>
      </c>
      <c r="J244" s="685" t="s">
        <v>389</v>
      </c>
      <c r="K244" s="686" t="s">
        <v>389</v>
      </c>
      <c r="L244" s="424" t="s">
        <v>390</v>
      </c>
      <c r="M244" s="319">
        <f t="shared" si="25"/>
        <v>0</v>
      </c>
      <c r="N244" s="283"/>
      <c r="O244" s="283"/>
      <c r="P244" s="415">
        <f t="shared" si="26"/>
        <v>0</v>
      </c>
      <c r="Q244" s="416" t="str">
        <f t="shared" si="27"/>
        <v/>
      </c>
    </row>
    <row r="245" spans="1:17" ht="18.75" customHeight="1" x14ac:dyDescent="0.25">
      <c r="A245" s="685" t="s">
        <v>391</v>
      </c>
      <c r="B245" s="686" t="s">
        <v>391</v>
      </c>
      <c r="C245" s="425" t="s">
        <v>392</v>
      </c>
      <c r="D245" s="319">
        <f t="shared" si="24"/>
        <v>0</v>
      </c>
      <c r="J245" s="685" t="s">
        <v>391</v>
      </c>
      <c r="K245" s="686" t="s">
        <v>391</v>
      </c>
      <c r="L245" s="425" t="s">
        <v>392</v>
      </c>
      <c r="M245" s="319">
        <f t="shared" si="25"/>
        <v>0</v>
      </c>
      <c r="N245" s="283"/>
      <c r="O245" s="283"/>
      <c r="P245" s="415">
        <f t="shared" si="26"/>
        <v>0</v>
      </c>
      <c r="Q245" s="416" t="str">
        <f t="shared" si="27"/>
        <v/>
      </c>
    </row>
    <row r="246" spans="1:17" ht="18.75" customHeight="1" x14ac:dyDescent="0.25">
      <c r="A246" s="685" t="s">
        <v>393</v>
      </c>
      <c r="B246" s="686" t="s">
        <v>393</v>
      </c>
      <c r="C246" s="426" t="s">
        <v>394</v>
      </c>
      <c r="D246" s="319">
        <f t="shared" si="24"/>
        <v>0</v>
      </c>
      <c r="J246" s="685" t="s">
        <v>393</v>
      </c>
      <c r="K246" s="686" t="s">
        <v>393</v>
      </c>
      <c r="L246" s="426" t="s">
        <v>394</v>
      </c>
      <c r="M246" s="319">
        <f t="shared" si="25"/>
        <v>0</v>
      </c>
      <c r="N246" s="283"/>
      <c r="O246" s="283"/>
      <c r="P246" s="415">
        <f t="shared" si="26"/>
        <v>0</v>
      </c>
      <c r="Q246" s="416" t="str">
        <f t="shared" si="27"/>
        <v/>
      </c>
    </row>
    <row r="247" spans="1:17" ht="18.75" customHeight="1" x14ac:dyDescent="0.25">
      <c r="A247" s="685" t="s">
        <v>395</v>
      </c>
      <c r="B247" s="686" t="s">
        <v>395</v>
      </c>
      <c r="C247" s="427" t="s">
        <v>395</v>
      </c>
      <c r="D247" s="319">
        <f t="shared" si="24"/>
        <v>0</v>
      </c>
      <c r="J247" s="685" t="s">
        <v>395</v>
      </c>
      <c r="K247" s="686" t="s">
        <v>395</v>
      </c>
      <c r="L247" s="427" t="s">
        <v>395</v>
      </c>
      <c r="M247" s="319">
        <f t="shared" si="25"/>
        <v>0</v>
      </c>
      <c r="N247" s="283"/>
      <c r="O247" s="283"/>
      <c r="P247" s="415">
        <f t="shared" si="26"/>
        <v>0</v>
      </c>
      <c r="Q247" s="416" t="str">
        <f t="shared" si="27"/>
        <v/>
      </c>
    </row>
    <row r="248" spans="1:17" ht="18.75" customHeight="1" x14ac:dyDescent="0.25">
      <c r="A248" s="685" t="s">
        <v>396</v>
      </c>
      <c r="B248" s="686" t="s">
        <v>396</v>
      </c>
      <c r="C248" s="428" t="s">
        <v>397</v>
      </c>
      <c r="D248" s="319">
        <f t="shared" si="24"/>
        <v>0</v>
      </c>
      <c r="J248" s="685" t="s">
        <v>396</v>
      </c>
      <c r="K248" s="686" t="s">
        <v>396</v>
      </c>
      <c r="L248" s="428" t="s">
        <v>397</v>
      </c>
      <c r="M248" s="319">
        <f t="shared" si="25"/>
        <v>0</v>
      </c>
      <c r="N248" s="283"/>
      <c r="O248" s="283"/>
      <c r="P248" s="415">
        <f t="shared" si="26"/>
        <v>0</v>
      </c>
      <c r="Q248" s="416" t="str">
        <f t="shared" si="27"/>
        <v/>
      </c>
    </row>
    <row r="249" spans="1:17" ht="18.75" customHeight="1" x14ac:dyDescent="0.25">
      <c r="A249" s="685" t="s">
        <v>398</v>
      </c>
      <c r="B249" s="686" t="s">
        <v>398</v>
      </c>
      <c r="C249" s="429" t="s">
        <v>399</v>
      </c>
      <c r="D249" s="319">
        <f t="shared" si="24"/>
        <v>0</v>
      </c>
      <c r="J249" s="685" t="s">
        <v>398</v>
      </c>
      <c r="K249" s="686" t="s">
        <v>398</v>
      </c>
      <c r="L249" s="429" t="s">
        <v>399</v>
      </c>
      <c r="M249" s="319">
        <f t="shared" si="25"/>
        <v>0</v>
      </c>
      <c r="N249" s="283"/>
      <c r="O249" s="283"/>
      <c r="P249" s="415">
        <f t="shared" si="26"/>
        <v>0</v>
      </c>
      <c r="Q249" s="416" t="str">
        <f t="shared" si="27"/>
        <v/>
      </c>
    </row>
    <row r="250" spans="1:17" ht="18.75" customHeight="1" x14ac:dyDescent="0.25">
      <c r="A250" s="685" t="s">
        <v>400</v>
      </c>
      <c r="B250" s="686" t="s">
        <v>400</v>
      </c>
      <c r="C250" s="430" t="s">
        <v>401</v>
      </c>
      <c r="D250" s="319">
        <f t="shared" si="24"/>
        <v>0</v>
      </c>
      <c r="J250" s="685" t="s">
        <v>400</v>
      </c>
      <c r="K250" s="686" t="s">
        <v>400</v>
      </c>
      <c r="L250" s="430" t="s">
        <v>401</v>
      </c>
      <c r="M250" s="319">
        <f t="shared" si="25"/>
        <v>0</v>
      </c>
      <c r="N250" s="283"/>
      <c r="O250" s="283"/>
      <c r="P250" s="415">
        <f t="shared" si="26"/>
        <v>0</v>
      </c>
      <c r="Q250" s="416" t="str">
        <f t="shared" si="27"/>
        <v/>
      </c>
    </row>
    <row r="251" spans="1:17" ht="18.75" customHeight="1" x14ac:dyDescent="0.25">
      <c r="A251" s="685" t="s">
        <v>402</v>
      </c>
      <c r="B251" s="686" t="s">
        <v>402</v>
      </c>
      <c r="C251" s="431" t="s">
        <v>403</v>
      </c>
      <c r="D251" s="319">
        <f t="shared" si="24"/>
        <v>0</v>
      </c>
      <c r="J251" s="685" t="s">
        <v>402</v>
      </c>
      <c r="K251" s="686" t="s">
        <v>402</v>
      </c>
      <c r="L251" s="431" t="s">
        <v>403</v>
      </c>
      <c r="M251" s="319">
        <f t="shared" si="25"/>
        <v>0</v>
      </c>
      <c r="N251" s="283"/>
      <c r="O251" s="283"/>
      <c r="P251" s="415">
        <f t="shared" si="26"/>
        <v>0</v>
      </c>
      <c r="Q251" s="416" t="str">
        <f t="shared" si="27"/>
        <v/>
      </c>
    </row>
    <row r="252" spans="1:17" ht="18.75" customHeight="1" x14ac:dyDescent="0.25">
      <c r="A252" s="685" t="s">
        <v>404</v>
      </c>
      <c r="B252" s="686"/>
      <c r="C252" s="432" t="s">
        <v>405</v>
      </c>
      <c r="D252" s="319">
        <f t="shared" si="24"/>
        <v>0</v>
      </c>
      <c r="J252" s="685" t="s">
        <v>404</v>
      </c>
      <c r="K252" s="686"/>
      <c r="L252" s="432" t="s">
        <v>405</v>
      </c>
      <c r="M252" s="319">
        <f t="shared" si="25"/>
        <v>0</v>
      </c>
      <c r="N252" s="283"/>
      <c r="O252" s="283"/>
      <c r="P252" s="415">
        <f t="shared" si="26"/>
        <v>0</v>
      </c>
      <c r="Q252" s="416" t="str">
        <f t="shared" si="27"/>
        <v/>
      </c>
    </row>
    <row r="253" spans="1:17" ht="18.75" customHeight="1" x14ac:dyDescent="0.25">
      <c r="A253" s="685" t="s">
        <v>177</v>
      </c>
      <c r="B253" s="686" t="s">
        <v>177</v>
      </c>
      <c r="C253" s="433" t="s">
        <v>406</v>
      </c>
      <c r="D253" s="319">
        <f t="shared" si="24"/>
        <v>0</v>
      </c>
      <c r="J253" s="685" t="s">
        <v>177</v>
      </c>
      <c r="K253" s="686" t="s">
        <v>177</v>
      </c>
      <c r="L253" s="433" t="s">
        <v>406</v>
      </c>
      <c r="M253" s="319">
        <f t="shared" si="25"/>
        <v>0</v>
      </c>
      <c r="N253" s="283"/>
      <c r="O253" s="283"/>
      <c r="P253" s="415">
        <f t="shared" si="26"/>
        <v>0</v>
      </c>
      <c r="Q253" s="416" t="str">
        <f t="shared" si="27"/>
        <v/>
      </c>
    </row>
    <row r="254" spans="1:17" ht="18.75" customHeight="1" x14ac:dyDescent="0.25">
      <c r="A254" s="685" t="s">
        <v>407</v>
      </c>
      <c r="B254" s="686" t="s">
        <v>407</v>
      </c>
      <c r="C254" s="434" t="s">
        <v>408</v>
      </c>
      <c r="D254" s="319">
        <f t="shared" si="24"/>
        <v>0</v>
      </c>
      <c r="J254" s="685" t="s">
        <v>407</v>
      </c>
      <c r="K254" s="686" t="s">
        <v>407</v>
      </c>
      <c r="L254" s="434" t="s">
        <v>408</v>
      </c>
      <c r="M254" s="319">
        <f t="shared" si="25"/>
        <v>0</v>
      </c>
      <c r="N254" s="283"/>
      <c r="O254" s="283"/>
      <c r="P254" s="415">
        <f t="shared" si="26"/>
        <v>0</v>
      </c>
      <c r="Q254" s="416" t="str">
        <f t="shared" si="27"/>
        <v/>
      </c>
    </row>
    <row r="255" spans="1:17" ht="18.75" customHeight="1" x14ac:dyDescent="0.25">
      <c r="A255" s="685" t="s">
        <v>409</v>
      </c>
      <c r="B255" s="686"/>
      <c r="C255" s="435" t="s">
        <v>410</v>
      </c>
      <c r="D255" s="319">
        <f t="shared" si="24"/>
        <v>0</v>
      </c>
      <c r="J255" s="685" t="s">
        <v>409</v>
      </c>
      <c r="K255" s="686"/>
      <c r="L255" s="435" t="s">
        <v>410</v>
      </c>
      <c r="M255" s="319">
        <f t="shared" si="25"/>
        <v>0</v>
      </c>
      <c r="N255" s="283"/>
      <c r="O255" s="283"/>
      <c r="P255" s="415">
        <f t="shared" si="26"/>
        <v>0</v>
      </c>
      <c r="Q255" s="416" t="str">
        <f t="shared" si="27"/>
        <v/>
      </c>
    </row>
    <row r="256" spans="1:17" ht="18.75" customHeight="1" x14ac:dyDescent="0.25">
      <c r="A256" s="685" t="s">
        <v>411</v>
      </c>
      <c r="B256" s="686" t="s">
        <v>411</v>
      </c>
      <c r="C256" s="436" t="s">
        <v>412</v>
      </c>
      <c r="D256" s="319">
        <f t="shared" si="24"/>
        <v>0</v>
      </c>
      <c r="J256" s="685" t="s">
        <v>411</v>
      </c>
      <c r="K256" s="686" t="s">
        <v>411</v>
      </c>
      <c r="L256" s="436" t="s">
        <v>412</v>
      </c>
      <c r="M256" s="319">
        <f t="shared" si="25"/>
        <v>0</v>
      </c>
      <c r="N256" s="283"/>
      <c r="O256" s="283"/>
      <c r="P256" s="415">
        <f t="shared" si="26"/>
        <v>0</v>
      </c>
      <c r="Q256" s="416" t="str">
        <f t="shared" si="27"/>
        <v/>
      </c>
    </row>
    <row r="257" spans="1:17" ht="18.75" customHeight="1" x14ac:dyDescent="0.25">
      <c r="A257" s="685" t="s">
        <v>413</v>
      </c>
      <c r="B257" s="686" t="s">
        <v>414</v>
      </c>
      <c r="C257" s="437" t="s">
        <v>415</v>
      </c>
      <c r="D257" s="319">
        <f t="shared" si="24"/>
        <v>0</v>
      </c>
      <c r="J257" s="685" t="s">
        <v>413</v>
      </c>
      <c r="K257" s="686" t="s">
        <v>414</v>
      </c>
      <c r="L257" s="437" t="s">
        <v>415</v>
      </c>
      <c r="M257" s="319">
        <f t="shared" si="25"/>
        <v>0</v>
      </c>
      <c r="N257" s="283"/>
      <c r="O257" s="283"/>
      <c r="P257" s="415">
        <f t="shared" si="26"/>
        <v>0</v>
      </c>
      <c r="Q257" s="416" t="str">
        <f t="shared" si="27"/>
        <v/>
      </c>
    </row>
    <row r="258" spans="1:17" ht="18.75" customHeight="1" x14ac:dyDescent="0.25">
      <c r="A258" s="685" t="s">
        <v>416</v>
      </c>
      <c r="B258" s="686" t="s">
        <v>417</v>
      </c>
      <c r="C258" s="438" t="s">
        <v>418</v>
      </c>
      <c r="D258" s="319">
        <f t="shared" si="24"/>
        <v>0</v>
      </c>
      <c r="J258" s="685" t="s">
        <v>416</v>
      </c>
      <c r="K258" s="686"/>
      <c r="L258" s="438" t="s">
        <v>418</v>
      </c>
      <c r="M258" s="319">
        <f t="shared" si="25"/>
        <v>0</v>
      </c>
      <c r="N258" s="283"/>
      <c r="O258" s="283"/>
      <c r="P258" s="415">
        <f t="shared" si="26"/>
        <v>0</v>
      </c>
      <c r="Q258" s="416" t="str">
        <f t="shared" si="27"/>
        <v/>
      </c>
    </row>
    <row r="259" spans="1:17" ht="18.75" customHeight="1" thickBot="1" x14ac:dyDescent="0.3">
      <c r="A259" s="685" t="s">
        <v>419</v>
      </c>
      <c r="B259" s="686" t="s">
        <v>417</v>
      </c>
      <c r="C259" s="437" t="s">
        <v>420</v>
      </c>
      <c r="D259" s="319">
        <f t="shared" si="24"/>
        <v>0</v>
      </c>
      <c r="J259" s="685" t="s">
        <v>419</v>
      </c>
      <c r="K259" s="686" t="s">
        <v>417</v>
      </c>
      <c r="L259" s="437" t="s">
        <v>420</v>
      </c>
      <c r="M259" s="319">
        <f t="shared" si="25"/>
        <v>0</v>
      </c>
      <c r="N259" s="283"/>
      <c r="O259" s="283"/>
      <c r="P259" s="415">
        <f t="shared" si="26"/>
        <v>0</v>
      </c>
      <c r="Q259" s="416" t="str">
        <f t="shared" si="27"/>
        <v/>
      </c>
    </row>
    <row r="260" spans="1:17" ht="18.75" customHeight="1" thickBot="1" x14ac:dyDescent="0.3">
      <c r="A260" s="697" t="s">
        <v>421</v>
      </c>
      <c r="B260" s="697"/>
      <c r="C260" s="697"/>
      <c r="D260" s="697"/>
      <c r="E260" s="649">
        <f>SUM(D261:D328)</f>
        <v>112</v>
      </c>
      <c r="F260" s="650"/>
      <c r="J260" s="697" t="s">
        <v>421</v>
      </c>
      <c r="K260" s="697"/>
      <c r="L260" s="697"/>
      <c r="M260" s="698"/>
      <c r="N260" s="649">
        <f>SUM(M261:M328)</f>
        <v>125</v>
      </c>
      <c r="O260" s="650"/>
      <c r="P260" s="695" t="s">
        <v>422</v>
      </c>
      <c r="Q260" s="696"/>
    </row>
    <row r="261" spans="1:17" ht="18.75" customHeight="1" x14ac:dyDescent="0.25">
      <c r="A261" s="685" t="s">
        <v>423</v>
      </c>
      <c r="B261" s="686"/>
      <c r="C261" s="439" t="s">
        <v>178</v>
      </c>
      <c r="D261" s="319">
        <f t="shared" ref="D261:D324" si="28">COUNTIF($A$4:$T$22,C261)+COUNTIF($A$24:$R$24,C261)+COUNTIF($A$25:$Q$25,C261)+COUNTIF($A$26:$M$42,C261)+COUNTIF($A$23:$S$23,C261)+COUNTIF($A$43:$O$81,C261)+COUNTIF($P$43:$P$47,C261)+COUNTIF($N$26:$O$27,C261)</f>
        <v>40</v>
      </c>
      <c r="J261" s="685" t="s">
        <v>423</v>
      </c>
      <c r="K261" s="686"/>
      <c r="L261" s="439" t="s">
        <v>178</v>
      </c>
      <c r="M261" s="319">
        <f t="shared" ref="M261:M324" si="29">COUNTIF($P$26:$S$27,L261)+COUNTIF($R$24:$S$25,L261)+COUNTIF($P$47:$S$73,L261)+COUNTIF($T$22:$BI$73,L261)+COUNTIF($N$28:$S$42,L261)</f>
        <v>13</v>
      </c>
      <c r="N261" s="283"/>
      <c r="O261" s="283"/>
      <c r="P261" s="415">
        <f t="shared" ref="P261:P324" si="30">D261+M261</f>
        <v>53</v>
      </c>
      <c r="Q261" s="416" t="str">
        <f t="shared" si="27"/>
        <v/>
      </c>
    </row>
    <row r="262" spans="1:17" ht="18.75" customHeight="1" x14ac:dyDescent="0.25">
      <c r="A262" s="685" t="s">
        <v>424</v>
      </c>
      <c r="B262" s="686"/>
      <c r="C262" s="440" t="s">
        <v>425</v>
      </c>
      <c r="D262" s="319">
        <f t="shared" si="28"/>
        <v>0</v>
      </c>
      <c r="J262" s="685" t="s">
        <v>424</v>
      </c>
      <c r="K262" s="686"/>
      <c r="L262" s="440" t="s">
        <v>425</v>
      </c>
      <c r="M262" s="319">
        <f t="shared" si="29"/>
        <v>0</v>
      </c>
      <c r="N262" s="283"/>
      <c r="O262" s="283"/>
      <c r="P262" s="415">
        <f t="shared" si="30"/>
        <v>0</v>
      </c>
      <c r="Q262" s="416" t="str">
        <f t="shared" si="27"/>
        <v/>
      </c>
    </row>
    <row r="263" spans="1:17" ht="18.75" customHeight="1" x14ac:dyDescent="0.25">
      <c r="A263" s="685" t="s">
        <v>426</v>
      </c>
      <c r="B263" s="686"/>
      <c r="C263" s="441" t="s">
        <v>427</v>
      </c>
      <c r="D263" s="319">
        <f t="shared" si="28"/>
        <v>0</v>
      </c>
      <c r="J263" s="685" t="s">
        <v>426</v>
      </c>
      <c r="K263" s="686"/>
      <c r="L263" s="441" t="s">
        <v>427</v>
      </c>
      <c r="M263" s="319">
        <f t="shared" si="29"/>
        <v>0</v>
      </c>
      <c r="N263" s="283"/>
      <c r="O263" s="283"/>
      <c r="P263" s="415">
        <f t="shared" si="30"/>
        <v>0</v>
      </c>
      <c r="Q263" s="416" t="str">
        <f t="shared" si="27"/>
        <v/>
      </c>
    </row>
    <row r="264" spans="1:17" ht="18.75" customHeight="1" x14ac:dyDescent="0.25">
      <c r="A264" s="685" t="s">
        <v>428</v>
      </c>
      <c r="B264" s="686"/>
      <c r="C264" s="442" t="s">
        <v>429</v>
      </c>
      <c r="D264" s="319">
        <f t="shared" si="28"/>
        <v>0</v>
      </c>
      <c r="J264" s="685" t="s">
        <v>428</v>
      </c>
      <c r="K264" s="686"/>
      <c r="L264" s="442" t="s">
        <v>429</v>
      </c>
      <c r="M264" s="319">
        <f t="shared" si="29"/>
        <v>0</v>
      </c>
      <c r="N264" s="283"/>
      <c r="O264" s="283"/>
      <c r="P264" s="415">
        <f t="shared" si="30"/>
        <v>0</v>
      </c>
      <c r="Q264" s="416" t="str">
        <f t="shared" si="27"/>
        <v/>
      </c>
    </row>
    <row r="265" spans="1:17" ht="18.75" customHeight="1" x14ac:dyDescent="0.25">
      <c r="A265" s="685" t="s">
        <v>177</v>
      </c>
      <c r="B265" s="686"/>
      <c r="C265" s="433" t="s">
        <v>177</v>
      </c>
      <c r="D265" s="319">
        <f t="shared" si="28"/>
        <v>6</v>
      </c>
      <c r="J265" s="685" t="s">
        <v>177</v>
      </c>
      <c r="K265" s="686"/>
      <c r="L265" s="433" t="s">
        <v>177</v>
      </c>
      <c r="M265" s="319">
        <f t="shared" si="29"/>
        <v>8</v>
      </c>
      <c r="N265" s="283"/>
      <c r="O265" s="283"/>
      <c r="P265" s="415">
        <f t="shared" si="30"/>
        <v>14</v>
      </c>
      <c r="Q265" s="416" t="str">
        <f t="shared" si="27"/>
        <v/>
      </c>
    </row>
    <row r="266" spans="1:17" ht="18.75" customHeight="1" x14ac:dyDescent="0.25">
      <c r="A266" s="685" t="s">
        <v>430</v>
      </c>
      <c r="B266" s="686"/>
      <c r="C266" s="443" t="s">
        <v>191</v>
      </c>
      <c r="D266" s="319">
        <f t="shared" si="28"/>
        <v>8</v>
      </c>
      <c r="J266" s="685" t="s">
        <v>430</v>
      </c>
      <c r="K266" s="686"/>
      <c r="L266" s="443" t="s">
        <v>191</v>
      </c>
      <c r="M266" s="319">
        <f t="shared" si="29"/>
        <v>17</v>
      </c>
      <c r="N266" s="283"/>
      <c r="O266" s="283"/>
      <c r="P266" s="415">
        <f t="shared" si="30"/>
        <v>25</v>
      </c>
      <c r="Q266" s="416" t="str">
        <f t="shared" si="27"/>
        <v/>
      </c>
    </row>
    <row r="267" spans="1:17" ht="18.75" customHeight="1" x14ac:dyDescent="0.25">
      <c r="A267" s="685" t="s">
        <v>431</v>
      </c>
      <c r="B267" s="686"/>
      <c r="C267" s="444" t="s">
        <v>432</v>
      </c>
      <c r="D267" s="319">
        <f t="shared" si="28"/>
        <v>0</v>
      </c>
      <c r="J267" s="685" t="s">
        <v>431</v>
      </c>
      <c r="K267" s="686"/>
      <c r="L267" s="444" t="s">
        <v>432</v>
      </c>
      <c r="M267" s="319">
        <f t="shared" si="29"/>
        <v>0</v>
      </c>
      <c r="N267" s="283"/>
      <c r="O267" s="283"/>
      <c r="P267" s="415">
        <f t="shared" si="30"/>
        <v>0</v>
      </c>
      <c r="Q267" s="416" t="str">
        <f t="shared" si="27"/>
        <v/>
      </c>
    </row>
    <row r="268" spans="1:17" ht="18.75" customHeight="1" x14ac:dyDescent="0.25">
      <c r="A268" s="685" t="s">
        <v>433</v>
      </c>
      <c r="B268" s="686"/>
      <c r="C268" s="445" t="s">
        <v>433</v>
      </c>
      <c r="D268" s="319">
        <f t="shared" si="28"/>
        <v>0</v>
      </c>
      <c r="J268" s="685" t="s">
        <v>433</v>
      </c>
      <c r="K268" s="686"/>
      <c r="L268" s="445" t="s">
        <v>433</v>
      </c>
      <c r="M268" s="319">
        <f t="shared" si="29"/>
        <v>0</v>
      </c>
      <c r="N268" s="283"/>
      <c r="O268" s="283"/>
      <c r="P268" s="415">
        <f t="shared" si="30"/>
        <v>0</v>
      </c>
      <c r="Q268" s="416" t="str">
        <f t="shared" si="27"/>
        <v/>
      </c>
    </row>
    <row r="269" spans="1:17" ht="18.75" customHeight="1" x14ac:dyDescent="0.25">
      <c r="A269" s="685" t="s">
        <v>434</v>
      </c>
      <c r="B269" s="686"/>
      <c r="C269" s="446" t="s">
        <v>212</v>
      </c>
      <c r="D269" s="319">
        <f t="shared" si="28"/>
        <v>0</v>
      </c>
      <c r="J269" s="685" t="s">
        <v>434</v>
      </c>
      <c r="K269" s="686"/>
      <c r="L269" s="446" t="s">
        <v>212</v>
      </c>
      <c r="M269" s="319">
        <f t="shared" si="29"/>
        <v>3</v>
      </c>
      <c r="N269" s="283"/>
      <c r="O269" s="283"/>
      <c r="P269" s="415">
        <f t="shared" si="30"/>
        <v>3</v>
      </c>
      <c r="Q269" s="416" t="str">
        <f t="shared" si="27"/>
        <v/>
      </c>
    </row>
    <row r="270" spans="1:17" ht="18.75" customHeight="1" x14ac:dyDescent="0.25">
      <c r="A270" s="685" t="s">
        <v>435</v>
      </c>
      <c r="B270" s="686"/>
      <c r="C270" s="447" t="s">
        <v>436</v>
      </c>
      <c r="D270" s="319">
        <f t="shared" si="28"/>
        <v>0</v>
      </c>
      <c r="J270" s="685" t="s">
        <v>435</v>
      </c>
      <c r="K270" s="686"/>
      <c r="L270" s="447" t="s">
        <v>436</v>
      </c>
      <c r="M270" s="319">
        <f t="shared" si="29"/>
        <v>0</v>
      </c>
      <c r="N270" s="283"/>
      <c r="O270" s="283"/>
      <c r="P270" s="415">
        <f t="shared" si="30"/>
        <v>0</v>
      </c>
      <c r="Q270" s="416" t="str">
        <f t="shared" si="27"/>
        <v/>
      </c>
    </row>
    <row r="271" spans="1:17" ht="18.75" customHeight="1" x14ac:dyDescent="0.25">
      <c r="A271" s="685" t="s">
        <v>437</v>
      </c>
      <c r="B271" s="686"/>
      <c r="C271" s="448" t="s">
        <v>437</v>
      </c>
      <c r="D271" s="319">
        <f t="shared" si="28"/>
        <v>0</v>
      </c>
      <c r="J271" s="685" t="s">
        <v>437</v>
      </c>
      <c r="K271" s="686"/>
      <c r="L271" s="448" t="s">
        <v>437</v>
      </c>
      <c r="M271" s="319">
        <f t="shared" si="29"/>
        <v>0</v>
      </c>
      <c r="N271" s="283"/>
      <c r="O271" s="283"/>
      <c r="P271" s="415">
        <f t="shared" si="30"/>
        <v>0</v>
      </c>
      <c r="Q271" s="416" t="str">
        <f t="shared" si="27"/>
        <v/>
      </c>
    </row>
    <row r="272" spans="1:17" ht="18.75" customHeight="1" x14ac:dyDescent="0.25">
      <c r="A272" s="685" t="s">
        <v>438</v>
      </c>
      <c r="B272" s="686"/>
      <c r="C272" s="449" t="s">
        <v>188</v>
      </c>
      <c r="D272" s="319">
        <f t="shared" si="28"/>
        <v>6</v>
      </c>
      <c r="J272" s="685" t="s">
        <v>438</v>
      </c>
      <c r="K272" s="686"/>
      <c r="L272" s="449" t="s">
        <v>188</v>
      </c>
      <c r="M272" s="319">
        <f t="shared" si="29"/>
        <v>0</v>
      </c>
      <c r="N272" s="283"/>
      <c r="O272" s="283"/>
      <c r="P272" s="415">
        <f t="shared" si="30"/>
        <v>6</v>
      </c>
      <c r="Q272" s="416" t="str">
        <f t="shared" si="27"/>
        <v/>
      </c>
    </row>
    <row r="273" spans="1:17" ht="18.75" customHeight="1" x14ac:dyDescent="0.25">
      <c r="A273" s="685" t="s">
        <v>439</v>
      </c>
      <c r="B273" s="686"/>
      <c r="C273" s="450" t="s">
        <v>440</v>
      </c>
      <c r="D273" s="319">
        <f t="shared" si="28"/>
        <v>0</v>
      </c>
      <c r="J273" s="685" t="s">
        <v>439</v>
      </c>
      <c r="K273" s="686"/>
      <c r="L273" s="450" t="s">
        <v>440</v>
      </c>
      <c r="M273" s="319">
        <f t="shared" si="29"/>
        <v>0</v>
      </c>
      <c r="N273" s="283"/>
      <c r="O273" s="283"/>
      <c r="P273" s="415">
        <f t="shared" si="30"/>
        <v>0</v>
      </c>
      <c r="Q273" s="416" t="str">
        <f t="shared" si="27"/>
        <v/>
      </c>
    </row>
    <row r="274" spans="1:17" ht="18.75" customHeight="1" x14ac:dyDescent="0.25">
      <c r="A274" s="685" t="s">
        <v>441</v>
      </c>
      <c r="B274" s="686"/>
      <c r="C274" s="440" t="s">
        <v>442</v>
      </c>
      <c r="D274" s="319">
        <f t="shared" si="28"/>
        <v>0</v>
      </c>
      <c r="J274" s="685" t="s">
        <v>441</v>
      </c>
      <c r="K274" s="686"/>
      <c r="L274" s="440" t="s">
        <v>442</v>
      </c>
      <c r="M274" s="319">
        <f t="shared" si="29"/>
        <v>0</v>
      </c>
      <c r="N274" s="283"/>
      <c r="O274" s="283"/>
      <c r="P274" s="415">
        <f t="shared" si="30"/>
        <v>0</v>
      </c>
      <c r="Q274" s="416"/>
    </row>
    <row r="275" spans="1:17" ht="18.75" customHeight="1" x14ac:dyDescent="0.25">
      <c r="A275" s="685" t="s">
        <v>443</v>
      </c>
      <c r="B275" s="686"/>
      <c r="C275" s="451" t="s">
        <v>444</v>
      </c>
      <c r="D275" s="319">
        <f t="shared" si="28"/>
        <v>0</v>
      </c>
      <c r="J275" s="685" t="s">
        <v>443</v>
      </c>
      <c r="K275" s="686"/>
      <c r="L275" s="451" t="s">
        <v>444</v>
      </c>
      <c r="M275" s="319">
        <f t="shared" si="29"/>
        <v>0</v>
      </c>
      <c r="N275" s="283"/>
      <c r="O275" s="283"/>
      <c r="P275" s="415">
        <f t="shared" si="30"/>
        <v>0</v>
      </c>
      <c r="Q275" s="416" t="str">
        <f t="shared" si="27"/>
        <v/>
      </c>
    </row>
    <row r="276" spans="1:17" ht="18.75" customHeight="1" x14ac:dyDescent="0.25">
      <c r="A276" s="685" t="s">
        <v>445</v>
      </c>
      <c r="B276" s="686"/>
      <c r="C276" s="429" t="s">
        <v>446</v>
      </c>
      <c r="D276" s="319">
        <f t="shared" si="28"/>
        <v>0</v>
      </c>
      <c r="J276" s="685" t="s">
        <v>445</v>
      </c>
      <c r="K276" s="686"/>
      <c r="L276" s="429" t="s">
        <v>446</v>
      </c>
      <c r="M276" s="319">
        <f t="shared" si="29"/>
        <v>0</v>
      </c>
      <c r="N276" s="283"/>
      <c r="O276" s="283"/>
      <c r="P276" s="415">
        <f t="shared" si="30"/>
        <v>0</v>
      </c>
      <c r="Q276" s="416" t="str">
        <f t="shared" si="27"/>
        <v/>
      </c>
    </row>
    <row r="277" spans="1:17" ht="18.75" customHeight="1" x14ac:dyDescent="0.25">
      <c r="A277" s="685" t="s">
        <v>396</v>
      </c>
      <c r="B277" s="686"/>
      <c r="C277" s="452" t="s">
        <v>447</v>
      </c>
      <c r="D277" s="319">
        <f t="shared" si="28"/>
        <v>0</v>
      </c>
      <c r="J277" s="685" t="s">
        <v>396</v>
      </c>
      <c r="K277" s="686"/>
      <c r="L277" s="452" t="s">
        <v>447</v>
      </c>
      <c r="M277" s="319">
        <f t="shared" si="29"/>
        <v>0</v>
      </c>
      <c r="N277" s="283"/>
      <c r="O277" s="283"/>
      <c r="P277" s="415">
        <f t="shared" si="30"/>
        <v>0</v>
      </c>
      <c r="Q277" s="416" t="str">
        <f t="shared" si="27"/>
        <v/>
      </c>
    </row>
    <row r="278" spans="1:17" ht="18.75" customHeight="1" x14ac:dyDescent="0.25">
      <c r="A278" s="685" t="s">
        <v>448</v>
      </c>
      <c r="B278" s="686"/>
      <c r="C278" s="453" t="s">
        <v>449</v>
      </c>
      <c r="D278" s="319">
        <f t="shared" si="28"/>
        <v>0</v>
      </c>
      <c r="J278" s="685" t="s">
        <v>448</v>
      </c>
      <c r="K278" s="686"/>
      <c r="L278" s="453" t="s">
        <v>449</v>
      </c>
      <c r="M278" s="319">
        <f t="shared" si="29"/>
        <v>0</v>
      </c>
      <c r="N278" s="283"/>
      <c r="O278" s="283"/>
      <c r="P278" s="415">
        <f t="shared" si="30"/>
        <v>0</v>
      </c>
      <c r="Q278" s="416" t="str">
        <f t="shared" si="27"/>
        <v/>
      </c>
    </row>
    <row r="279" spans="1:17" ht="18.75" customHeight="1" x14ac:dyDescent="0.25">
      <c r="A279" s="685" t="s">
        <v>450</v>
      </c>
      <c r="B279" s="686"/>
      <c r="C279" s="454" t="s">
        <v>451</v>
      </c>
      <c r="D279" s="319">
        <f t="shared" si="28"/>
        <v>0</v>
      </c>
      <c r="J279" s="685" t="s">
        <v>450</v>
      </c>
      <c r="K279" s="686"/>
      <c r="L279" s="454" t="s">
        <v>451</v>
      </c>
      <c r="M279" s="319">
        <f t="shared" si="29"/>
        <v>0</v>
      </c>
      <c r="N279" s="283"/>
      <c r="O279" s="283"/>
      <c r="P279" s="415">
        <f t="shared" si="30"/>
        <v>0</v>
      </c>
      <c r="Q279" s="416" t="str">
        <f t="shared" si="27"/>
        <v/>
      </c>
    </row>
    <row r="280" spans="1:17" ht="18.75" customHeight="1" x14ac:dyDescent="0.25">
      <c r="A280" s="685" t="s">
        <v>452</v>
      </c>
      <c r="B280" s="686"/>
      <c r="C280" s="455" t="s">
        <v>453</v>
      </c>
      <c r="D280" s="319">
        <f t="shared" si="28"/>
        <v>0</v>
      </c>
      <c r="J280" s="685" t="s">
        <v>452</v>
      </c>
      <c r="K280" s="686"/>
      <c r="L280" s="455" t="s">
        <v>453</v>
      </c>
      <c r="M280" s="319">
        <f t="shared" si="29"/>
        <v>0</v>
      </c>
      <c r="N280" s="283"/>
      <c r="O280" s="283"/>
      <c r="P280" s="415">
        <f t="shared" si="30"/>
        <v>0</v>
      </c>
      <c r="Q280" s="416" t="str">
        <f t="shared" si="27"/>
        <v/>
      </c>
    </row>
    <row r="281" spans="1:17" ht="18.75" customHeight="1" x14ac:dyDescent="0.25">
      <c r="A281" s="685" t="s">
        <v>454</v>
      </c>
      <c r="B281" s="686"/>
      <c r="C281" s="456" t="s">
        <v>455</v>
      </c>
      <c r="D281" s="319">
        <f t="shared" si="28"/>
        <v>0</v>
      </c>
      <c r="J281" s="685" t="s">
        <v>454</v>
      </c>
      <c r="K281" s="686"/>
      <c r="L281" s="456" t="s">
        <v>455</v>
      </c>
      <c r="M281" s="319">
        <f t="shared" si="29"/>
        <v>0</v>
      </c>
      <c r="N281" s="283"/>
      <c r="O281" s="283"/>
      <c r="P281" s="415">
        <f t="shared" si="30"/>
        <v>0</v>
      </c>
      <c r="Q281" s="416" t="str">
        <f t="shared" si="27"/>
        <v/>
      </c>
    </row>
    <row r="282" spans="1:17" ht="18.75" customHeight="1" x14ac:dyDescent="0.25">
      <c r="A282" s="685" t="s">
        <v>456</v>
      </c>
      <c r="B282" s="686"/>
      <c r="C282" s="457" t="s">
        <v>457</v>
      </c>
      <c r="D282" s="319">
        <f t="shared" si="28"/>
        <v>0</v>
      </c>
      <c r="J282" s="685" t="s">
        <v>456</v>
      </c>
      <c r="K282" s="686"/>
      <c r="L282" s="457" t="s">
        <v>457</v>
      </c>
      <c r="M282" s="319">
        <f t="shared" si="29"/>
        <v>0</v>
      </c>
      <c r="N282" s="283"/>
      <c r="O282" s="283"/>
      <c r="P282" s="415">
        <f t="shared" si="30"/>
        <v>0</v>
      </c>
      <c r="Q282" s="416" t="str">
        <f t="shared" si="27"/>
        <v/>
      </c>
    </row>
    <row r="283" spans="1:17" ht="18.75" customHeight="1" x14ac:dyDescent="0.25">
      <c r="A283" s="685" t="s">
        <v>458</v>
      </c>
      <c r="B283" s="686"/>
      <c r="C283" s="458" t="s">
        <v>458</v>
      </c>
      <c r="D283" s="319">
        <f t="shared" si="28"/>
        <v>0</v>
      </c>
      <c r="J283" s="685" t="s">
        <v>458</v>
      </c>
      <c r="K283" s="686"/>
      <c r="L283" s="458" t="s">
        <v>458</v>
      </c>
      <c r="M283" s="319">
        <f t="shared" si="29"/>
        <v>0</v>
      </c>
      <c r="N283" s="283"/>
      <c r="O283" s="283"/>
      <c r="P283" s="415">
        <f t="shared" si="30"/>
        <v>0</v>
      </c>
      <c r="Q283" s="416" t="str">
        <f t="shared" si="27"/>
        <v/>
      </c>
    </row>
    <row r="284" spans="1:17" ht="18.75" customHeight="1" x14ac:dyDescent="0.25">
      <c r="A284" s="685" t="s">
        <v>459</v>
      </c>
      <c r="B284" s="686"/>
      <c r="C284" s="459" t="s">
        <v>460</v>
      </c>
      <c r="D284" s="319">
        <f t="shared" si="28"/>
        <v>0</v>
      </c>
      <c r="J284" s="685" t="s">
        <v>459</v>
      </c>
      <c r="K284" s="686"/>
      <c r="L284" s="459" t="s">
        <v>460</v>
      </c>
      <c r="M284" s="319">
        <f t="shared" si="29"/>
        <v>0</v>
      </c>
      <c r="N284" s="283"/>
      <c r="O284" s="283"/>
      <c r="P284" s="415">
        <f t="shared" si="30"/>
        <v>0</v>
      </c>
      <c r="Q284" s="416" t="str">
        <f t="shared" si="27"/>
        <v/>
      </c>
    </row>
    <row r="285" spans="1:17" ht="18.75" customHeight="1" x14ac:dyDescent="0.25">
      <c r="A285" s="685" t="s">
        <v>461</v>
      </c>
      <c r="B285" s="686"/>
      <c r="C285" s="460" t="s">
        <v>462</v>
      </c>
      <c r="D285" s="319">
        <f t="shared" si="28"/>
        <v>0</v>
      </c>
      <c r="J285" s="685" t="s">
        <v>461</v>
      </c>
      <c r="K285" s="686"/>
      <c r="L285" s="460" t="s">
        <v>462</v>
      </c>
      <c r="M285" s="319">
        <f t="shared" si="29"/>
        <v>0</v>
      </c>
      <c r="N285" s="283"/>
      <c r="O285" s="283"/>
      <c r="P285" s="415">
        <f t="shared" si="30"/>
        <v>0</v>
      </c>
      <c r="Q285" s="416" t="str">
        <f t="shared" si="27"/>
        <v/>
      </c>
    </row>
    <row r="286" spans="1:17" ht="18.75" customHeight="1" x14ac:dyDescent="0.25">
      <c r="A286" s="685" t="s">
        <v>463</v>
      </c>
      <c r="B286" s="686"/>
      <c r="C286" s="461" t="s">
        <v>464</v>
      </c>
      <c r="D286" s="319">
        <f t="shared" si="28"/>
        <v>0</v>
      </c>
      <c r="J286" s="685" t="s">
        <v>463</v>
      </c>
      <c r="K286" s="686"/>
      <c r="L286" s="461" t="s">
        <v>464</v>
      </c>
      <c r="M286" s="319">
        <f t="shared" si="29"/>
        <v>0</v>
      </c>
      <c r="N286" s="283"/>
      <c r="O286" s="283"/>
      <c r="P286" s="415">
        <f t="shared" si="30"/>
        <v>0</v>
      </c>
      <c r="Q286" s="416"/>
    </row>
    <row r="287" spans="1:17" ht="18.75" customHeight="1" x14ac:dyDescent="0.25">
      <c r="A287" s="685" t="s">
        <v>465</v>
      </c>
      <c r="B287" s="686"/>
      <c r="C287" s="462" t="s">
        <v>466</v>
      </c>
      <c r="D287" s="319">
        <f t="shared" si="28"/>
        <v>0</v>
      </c>
      <c r="J287" s="685" t="s">
        <v>465</v>
      </c>
      <c r="K287" s="686"/>
      <c r="L287" s="462" t="s">
        <v>466</v>
      </c>
      <c r="M287" s="319">
        <f t="shared" si="29"/>
        <v>0</v>
      </c>
      <c r="N287" s="283"/>
      <c r="O287" s="283"/>
      <c r="P287" s="415">
        <f t="shared" si="30"/>
        <v>0</v>
      </c>
      <c r="Q287" s="416" t="str">
        <f t="shared" ref="Q287" si="31">IFERROR(P287/$J$4,"")</f>
        <v/>
      </c>
    </row>
    <row r="288" spans="1:17" ht="18.75" customHeight="1" x14ac:dyDescent="0.25">
      <c r="A288" s="685" t="s">
        <v>467</v>
      </c>
      <c r="B288" s="686"/>
      <c r="C288" s="463" t="s">
        <v>468</v>
      </c>
      <c r="D288" s="319">
        <f t="shared" si="28"/>
        <v>0</v>
      </c>
      <c r="J288" s="685" t="s">
        <v>467</v>
      </c>
      <c r="K288" s="686"/>
      <c r="L288" s="463" t="s">
        <v>468</v>
      </c>
      <c r="M288" s="319">
        <f t="shared" si="29"/>
        <v>0</v>
      </c>
      <c r="N288" s="283"/>
      <c r="O288" s="283"/>
      <c r="P288" s="415">
        <f t="shared" si="30"/>
        <v>0</v>
      </c>
      <c r="Q288" s="416" t="str">
        <f t="shared" si="27"/>
        <v/>
      </c>
    </row>
    <row r="289" spans="1:17" ht="18.75" customHeight="1" x14ac:dyDescent="0.25">
      <c r="A289" s="685" t="s">
        <v>469</v>
      </c>
      <c r="B289" s="686"/>
      <c r="C289" s="464" t="s">
        <v>470</v>
      </c>
      <c r="D289" s="319">
        <f t="shared" si="28"/>
        <v>0</v>
      </c>
      <c r="J289" s="685" t="s">
        <v>469</v>
      </c>
      <c r="K289" s="686"/>
      <c r="L289" s="464" t="s">
        <v>470</v>
      </c>
      <c r="M289" s="319">
        <f t="shared" si="29"/>
        <v>0</v>
      </c>
      <c r="N289" s="283"/>
      <c r="O289" s="283"/>
      <c r="P289" s="415">
        <f t="shared" si="30"/>
        <v>0</v>
      </c>
      <c r="Q289" s="416" t="str">
        <f t="shared" si="27"/>
        <v/>
      </c>
    </row>
    <row r="290" spans="1:17" ht="18.75" customHeight="1" x14ac:dyDescent="0.25">
      <c r="A290" s="685" t="s">
        <v>224</v>
      </c>
      <c r="B290" s="686"/>
      <c r="C290" s="465" t="s">
        <v>224</v>
      </c>
      <c r="D290" s="319">
        <f t="shared" si="28"/>
        <v>14</v>
      </c>
      <c r="J290" s="685" t="s">
        <v>224</v>
      </c>
      <c r="K290" s="686"/>
      <c r="L290" s="465" t="s">
        <v>224</v>
      </c>
      <c r="M290" s="319">
        <f t="shared" si="29"/>
        <v>23</v>
      </c>
      <c r="N290" s="283"/>
      <c r="O290" s="283"/>
      <c r="P290" s="415">
        <f t="shared" si="30"/>
        <v>37</v>
      </c>
      <c r="Q290" s="416" t="str">
        <f t="shared" si="27"/>
        <v/>
      </c>
    </row>
    <row r="291" spans="1:17" ht="18.75" customHeight="1" x14ac:dyDescent="0.25">
      <c r="A291" s="685" t="s">
        <v>471</v>
      </c>
      <c r="B291" s="686"/>
      <c r="C291" s="466" t="s">
        <v>472</v>
      </c>
      <c r="D291" s="319">
        <f t="shared" si="28"/>
        <v>0</v>
      </c>
      <c r="J291" s="685" t="s">
        <v>471</v>
      </c>
      <c r="K291" s="686"/>
      <c r="L291" s="466" t="s">
        <v>472</v>
      </c>
      <c r="M291" s="319">
        <f t="shared" si="29"/>
        <v>0</v>
      </c>
      <c r="N291" s="283"/>
      <c r="O291" s="283"/>
      <c r="P291" s="415">
        <f t="shared" si="30"/>
        <v>0</v>
      </c>
      <c r="Q291" s="416" t="str">
        <f t="shared" si="27"/>
        <v/>
      </c>
    </row>
    <row r="292" spans="1:17" ht="18.75" customHeight="1" x14ac:dyDescent="0.25">
      <c r="A292" s="685" t="s">
        <v>473</v>
      </c>
      <c r="B292" s="686"/>
      <c r="C292" s="467" t="s">
        <v>474</v>
      </c>
      <c r="D292" s="319">
        <f t="shared" si="28"/>
        <v>0</v>
      </c>
      <c r="J292" s="685" t="s">
        <v>473</v>
      </c>
      <c r="K292" s="686"/>
      <c r="L292" s="467" t="s">
        <v>474</v>
      </c>
      <c r="M292" s="319">
        <f t="shared" si="29"/>
        <v>0</v>
      </c>
      <c r="N292" s="283"/>
      <c r="O292" s="283"/>
      <c r="P292" s="415">
        <f t="shared" si="30"/>
        <v>0</v>
      </c>
      <c r="Q292" s="416" t="str">
        <f t="shared" si="27"/>
        <v/>
      </c>
    </row>
    <row r="293" spans="1:17" ht="18.75" customHeight="1" x14ac:dyDescent="0.25">
      <c r="A293" s="685" t="s">
        <v>475</v>
      </c>
      <c r="B293" s="686"/>
      <c r="C293" s="468" t="s">
        <v>476</v>
      </c>
      <c r="D293" s="319">
        <f t="shared" si="28"/>
        <v>0</v>
      </c>
      <c r="J293" s="685" t="s">
        <v>475</v>
      </c>
      <c r="K293" s="686"/>
      <c r="L293" s="468" t="s">
        <v>476</v>
      </c>
      <c r="M293" s="319">
        <f t="shared" si="29"/>
        <v>0</v>
      </c>
      <c r="N293" s="283"/>
      <c r="O293" s="283"/>
      <c r="P293" s="415">
        <f t="shared" si="30"/>
        <v>0</v>
      </c>
      <c r="Q293" s="416" t="str">
        <f t="shared" si="27"/>
        <v/>
      </c>
    </row>
    <row r="294" spans="1:17" ht="18.75" customHeight="1" x14ac:dyDescent="0.25">
      <c r="A294" s="685" t="s">
        <v>477</v>
      </c>
      <c r="B294" s="686"/>
      <c r="C294" s="468" t="s">
        <v>478</v>
      </c>
      <c r="D294" s="319">
        <f t="shared" si="28"/>
        <v>0</v>
      </c>
      <c r="J294" s="685" t="s">
        <v>477</v>
      </c>
      <c r="K294" s="686"/>
      <c r="L294" s="468" t="s">
        <v>478</v>
      </c>
      <c r="M294" s="319">
        <f t="shared" si="29"/>
        <v>0</v>
      </c>
      <c r="N294" s="283"/>
      <c r="O294" s="283"/>
      <c r="P294" s="415">
        <f t="shared" si="30"/>
        <v>0</v>
      </c>
      <c r="Q294" s="416" t="str">
        <f t="shared" si="27"/>
        <v/>
      </c>
    </row>
    <row r="295" spans="1:17" ht="18.75" customHeight="1" x14ac:dyDescent="0.25">
      <c r="A295" s="685" t="s">
        <v>479</v>
      </c>
      <c r="B295" s="686"/>
      <c r="C295" s="134" t="s">
        <v>480</v>
      </c>
      <c r="D295" s="319">
        <f t="shared" si="28"/>
        <v>0</v>
      </c>
      <c r="J295" s="685" t="s">
        <v>479</v>
      </c>
      <c r="K295" s="686"/>
      <c r="L295" s="134" t="s">
        <v>480</v>
      </c>
      <c r="M295" s="319">
        <f t="shared" si="29"/>
        <v>0</v>
      </c>
      <c r="N295" s="283"/>
      <c r="O295" s="283"/>
      <c r="P295" s="415">
        <f t="shared" si="30"/>
        <v>0</v>
      </c>
      <c r="Q295" s="416" t="str">
        <f t="shared" si="27"/>
        <v/>
      </c>
    </row>
    <row r="296" spans="1:17" ht="18.75" customHeight="1" x14ac:dyDescent="0.25">
      <c r="A296" s="685" t="s">
        <v>481</v>
      </c>
      <c r="B296" s="686"/>
      <c r="C296" s="469" t="s">
        <v>482</v>
      </c>
      <c r="D296" s="319">
        <f t="shared" si="28"/>
        <v>0</v>
      </c>
      <c r="J296" s="685" t="s">
        <v>481</v>
      </c>
      <c r="K296" s="686"/>
      <c r="L296" s="469" t="s">
        <v>482</v>
      </c>
      <c r="M296" s="319">
        <f t="shared" si="29"/>
        <v>0</v>
      </c>
      <c r="N296" s="283"/>
      <c r="O296" s="283"/>
      <c r="P296" s="415">
        <f t="shared" si="30"/>
        <v>0</v>
      </c>
      <c r="Q296" s="416" t="str">
        <f t="shared" si="27"/>
        <v/>
      </c>
    </row>
    <row r="297" spans="1:17" ht="18.75" customHeight="1" x14ac:dyDescent="0.25">
      <c r="A297" s="685" t="s">
        <v>483</v>
      </c>
      <c r="B297" s="686"/>
      <c r="C297" s="469" t="s">
        <v>484</v>
      </c>
      <c r="D297" s="319">
        <f t="shared" si="28"/>
        <v>0</v>
      </c>
      <c r="J297" s="685" t="s">
        <v>483</v>
      </c>
      <c r="K297" s="686"/>
      <c r="L297" s="469" t="s">
        <v>484</v>
      </c>
      <c r="M297" s="319">
        <f t="shared" si="29"/>
        <v>0</v>
      </c>
      <c r="N297" s="283"/>
      <c r="O297" s="283"/>
      <c r="P297" s="415">
        <f t="shared" si="30"/>
        <v>0</v>
      </c>
      <c r="Q297" s="416" t="str">
        <f t="shared" si="27"/>
        <v/>
      </c>
    </row>
    <row r="298" spans="1:17" ht="18.75" customHeight="1" x14ac:dyDescent="0.25">
      <c r="A298" s="685" t="s">
        <v>485</v>
      </c>
      <c r="B298" s="686"/>
      <c r="C298" s="470" t="s">
        <v>486</v>
      </c>
      <c r="D298" s="319">
        <f t="shared" si="28"/>
        <v>0</v>
      </c>
      <c r="J298" s="685" t="s">
        <v>485</v>
      </c>
      <c r="K298" s="686"/>
      <c r="L298" s="470" t="s">
        <v>486</v>
      </c>
      <c r="M298" s="319">
        <f t="shared" si="29"/>
        <v>0</v>
      </c>
      <c r="N298" s="283"/>
      <c r="O298" s="283"/>
      <c r="P298" s="415">
        <f t="shared" si="30"/>
        <v>0</v>
      </c>
      <c r="Q298" s="416" t="str">
        <f t="shared" si="27"/>
        <v/>
      </c>
    </row>
    <row r="299" spans="1:17" ht="18.75" customHeight="1" x14ac:dyDescent="0.25">
      <c r="A299" s="685" t="s">
        <v>487</v>
      </c>
      <c r="B299" s="686"/>
      <c r="C299" s="471" t="s">
        <v>488</v>
      </c>
      <c r="D299" s="319">
        <f t="shared" si="28"/>
        <v>0</v>
      </c>
      <c r="J299" s="685" t="s">
        <v>487</v>
      </c>
      <c r="K299" s="686"/>
      <c r="L299" s="471" t="s">
        <v>488</v>
      </c>
      <c r="M299" s="319">
        <f t="shared" si="29"/>
        <v>0</v>
      </c>
      <c r="N299" s="283"/>
      <c r="O299" s="283"/>
      <c r="P299" s="415">
        <f t="shared" si="30"/>
        <v>0</v>
      </c>
      <c r="Q299" s="416" t="str">
        <f t="shared" si="27"/>
        <v/>
      </c>
    </row>
    <row r="300" spans="1:17" ht="18.75" customHeight="1" x14ac:dyDescent="0.25">
      <c r="A300" s="685" t="s">
        <v>489</v>
      </c>
      <c r="B300" s="686"/>
      <c r="C300" s="472" t="s">
        <v>490</v>
      </c>
      <c r="D300" s="319">
        <f t="shared" si="28"/>
        <v>0</v>
      </c>
      <c r="J300" s="685" t="s">
        <v>489</v>
      </c>
      <c r="K300" s="686"/>
      <c r="L300" s="472" t="s">
        <v>490</v>
      </c>
      <c r="M300" s="319">
        <f t="shared" si="29"/>
        <v>0</v>
      </c>
      <c r="N300" s="283"/>
      <c r="O300" s="283"/>
      <c r="P300" s="415">
        <f t="shared" si="30"/>
        <v>0</v>
      </c>
      <c r="Q300" s="416" t="str">
        <f t="shared" si="27"/>
        <v/>
      </c>
    </row>
    <row r="301" spans="1:17" ht="18.75" customHeight="1" x14ac:dyDescent="0.25">
      <c r="A301" s="685" t="s">
        <v>205</v>
      </c>
      <c r="B301" s="686"/>
      <c r="C301" s="473" t="s">
        <v>205</v>
      </c>
      <c r="D301" s="319">
        <f t="shared" si="28"/>
        <v>14</v>
      </c>
      <c r="J301" s="685" t="s">
        <v>205</v>
      </c>
      <c r="K301" s="686"/>
      <c r="L301" s="473" t="s">
        <v>205</v>
      </c>
      <c r="M301" s="319">
        <f t="shared" si="29"/>
        <v>20</v>
      </c>
      <c r="N301" s="283"/>
      <c r="O301" s="283"/>
      <c r="P301" s="415">
        <f t="shared" si="30"/>
        <v>34</v>
      </c>
      <c r="Q301" s="416" t="str">
        <f t="shared" si="27"/>
        <v/>
      </c>
    </row>
    <row r="302" spans="1:17" ht="18.75" customHeight="1" x14ac:dyDescent="0.25">
      <c r="A302" s="685" t="s">
        <v>491</v>
      </c>
      <c r="B302" s="686"/>
      <c r="C302" s="474" t="s">
        <v>492</v>
      </c>
      <c r="D302" s="319">
        <f t="shared" si="28"/>
        <v>0</v>
      </c>
      <c r="J302" s="685" t="s">
        <v>491</v>
      </c>
      <c r="K302" s="686"/>
      <c r="L302" s="474" t="s">
        <v>492</v>
      </c>
      <c r="M302" s="319">
        <f t="shared" si="29"/>
        <v>0</v>
      </c>
      <c r="N302" s="283"/>
      <c r="O302" s="283"/>
      <c r="P302" s="415">
        <f t="shared" si="30"/>
        <v>0</v>
      </c>
      <c r="Q302" s="416" t="str">
        <f t="shared" si="27"/>
        <v/>
      </c>
    </row>
    <row r="303" spans="1:17" ht="18.75" customHeight="1" x14ac:dyDescent="0.25">
      <c r="A303" s="685" t="s">
        <v>493</v>
      </c>
      <c r="B303" s="686"/>
      <c r="C303" s="475" t="s">
        <v>494</v>
      </c>
      <c r="D303" s="319">
        <f t="shared" si="28"/>
        <v>0</v>
      </c>
      <c r="J303" s="685" t="s">
        <v>493</v>
      </c>
      <c r="K303" s="686"/>
      <c r="L303" s="475" t="s">
        <v>494</v>
      </c>
      <c r="M303" s="319">
        <f t="shared" si="29"/>
        <v>0</v>
      </c>
      <c r="N303" s="283"/>
      <c r="O303" s="283"/>
      <c r="P303" s="415">
        <f t="shared" si="30"/>
        <v>0</v>
      </c>
      <c r="Q303" s="416" t="str">
        <f t="shared" si="27"/>
        <v/>
      </c>
    </row>
    <row r="304" spans="1:17" ht="18.75" customHeight="1" x14ac:dyDescent="0.25">
      <c r="A304" s="685" t="s">
        <v>495</v>
      </c>
      <c r="B304" s="686"/>
      <c r="C304" s="438" t="s">
        <v>496</v>
      </c>
      <c r="D304" s="319">
        <f t="shared" si="28"/>
        <v>0</v>
      </c>
      <c r="J304" s="685" t="s">
        <v>495</v>
      </c>
      <c r="K304" s="686"/>
      <c r="L304" s="438" t="s">
        <v>496</v>
      </c>
      <c r="M304" s="319">
        <f t="shared" si="29"/>
        <v>0</v>
      </c>
      <c r="N304" s="283"/>
      <c r="O304" s="283"/>
      <c r="P304" s="415">
        <f t="shared" si="30"/>
        <v>0</v>
      </c>
      <c r="Q304" s="416" t="str">
        <f t="shared" si="27"/>
        <v/>
      </c>
    </row>
    <row r="305" spans="1:17" ht="18.75" customHeight="1" x14ac:dyDescent="0.25">
      <c r="A305" s="685" t="s">
        <v>417</v>
      </c>
      <c r="B305" s="686"/>
      <c r="C305" s="438" t="s">
        <v>497</v>
      </c>
      <c r="D305" s="319">
        <f t="shared" si="28"/>
        <v>0</v>
      </c>
      <c r="J305" s="685" t="s">
        <v>417</v>
      </c>
      <c r="K305" s="686"/>
      <c r="L305" s="438" t="s">
        <v>497</v>
      </c>
      <c r="M305" s="319">
        <f t="shared" si="29"/>
        <v>0</v>
      </c>
      <c r="N305" s="283"/>
      <c r="O305" s="283"/>
      <c r="P305" s="415">
        <f t="shared" si="30"/>
        <v>0</v>
      </c>
      <c r="Q305" s="416" t="str">
        <f t="shared" ref="Q305:Q332" si="32">IFERROR(P305/$J$4,"")</f>
        <v/>
      </c>
    </row>
    <row r="306" spans="1:17" ht="18.75" customHeight="1" x14ac:dyDescent="0.25">
      <c r="A306" s="685" t="s">
        <v>498</v>
      </c>
      <c r="B306" s="686"/>
      <c r="C306" s="438" t="s">
        <v>499</v>
      </c>
      <c r="D306" s="319">
        <f t="shared" si="28"/>
        <v>0</v>
      </c>
      <c r="J306" s="685" t="s">
        <v>498</v>
      </c>
      <c r="K306" s="686"/>
      <c r="L306" s="438" t="s">
        <v>499</v>
      </c>
      <c r="M306" s="319">
        <f t="shared" si="29"/>
        <v>0</v>
      </c>
      <c r="N306" s="283"/>
      <c r="O306" s="283"/>
      <c r="P306" s="415">
        <f t="shared" si="30"/>
        <v>0</v>
      </c>
      <c r="Q306" s="416" t="str">
        <f t="shared" si="32"/>
        <v/>
      </c>
    </row>
    <row r="307" spans="1:17" ht="18.75" customHeight="1" x14ac:dyDescent="0.25">
      <c r="A307" s="685" t="s">
        <v>500</v>
      </c>
      <c r="B307" s="686"/>
      <c r="C307" s="476" t="s">
        <v>501</v>
      </c>
      <c r="D307" s="319">
        <f t="shared" si="28"/>
        <v>0</v>
      </c>
      <c r="J307" s="685" t="s">
        <v>500</v>
      </c>
      <c r="K307" s="686"/>
      <c r="L307" s="476" t="s">
        <v>501</v>
      </c>
      <c r="M307" s="319">
        <f t="shared" si="29"/>
        <v>0</v>
      </c>
      <c r="N307" s="283"/>
      <c r="O307" s="283"/>
      <c r="P307" s="415">
        <f t="shared" si="30"/>
        <v>0</v>
      </c>
      <c r="Q307" s="416" t="str">
        <f t="shared" si="32"/>
        <v/>
      </c>
    </row>
    <row r="308" spans="1:17" ht="18.75" customHeight="1" x14ac:dyDescent="0.25">
      <c r="A308" s="685" t="s">
        <v>502</v>
      </c>
      <c r="B308" s="686"/>
      <c r="C308" s="477" t="s">
        <v>502</v>
      </c>
      <c r="D308" s="319">
        <f t="shared" si="28"/>
        <v>0</v>
      </c>
      <c r="J308" s="685" t="s">
        <v>502</v>
      </c>
      <c r="K308" s="686"/>
      <c r="L308" s="477" t="s">
        <v>502</v>
      </c>
      <c r="M308" s="319">
        <f t="shared" si="29"/>
        <v>0</v>
      </c>
      <c r="N308" s="283"/>
      <c r="O308" s="283"/>
      <c r="P308" s="415">
        <f t="shared" si="30"/>
        <v>0</v>
      </c>
      <c r="Q308" s="416" t="str">
        <f t="shared" si="32"/>
        <v/>
      </c>
    </row>
    <row r="309" spans="1:17" ht="18.75" customHeight="1" x14ac:dyDescent="0.25">
      <c r="A309" s="685" t="s">
        <v>503</v>
      </c>
      <c r="B309" s="686"/>
      <c r="C309" s="424" t="s">
        <v>217</v>
      </c>
      <c r="D309" s="319">
        <f t="shared" si="28"/>
        <v>6</v>
      </c>
      <c r="J309" s="685" t="s">
        <v>503</v>
      </c>
      <c r="K309" s="686"/>
      <c r="L309" s="424" t="s">
        <v>217</v>
      </c>
      <c r="M309" s="319">
        <f t="shared" si="29"/>
        <v>6</v>
      </c>
      <c r="N309" s="283"/>
      <c r="O309" s="283"/>
      <c r="P309" s="415">
        <f t="shared" si="30"/>
        <v>12</v>
      </c>
      <c r="Q309" s="416" t="str">
        <f t="shared" si="32"/>
        <v/>
      </c>
    </row>
    <row r="310" spans="1:17" ht="18.75" customHeight="1" x14ac:dyDescent="0.25">
      <c r="A310" s="685" t="s">
        <v>504</v>
      </c>
      <c r="B310" s="686"/>
      <c r="C310" s="478" t="s">
        <v>505</v>
      </c>
      <c r="D310" s="319">
        <f t="shared" si="28"/>
        <v>0</v>
      </c>
      <c r="J310" s="685" t="s">
        <v>504</v>
      </c>
      <c r="K310" s="686"/>
      <c r="L310" s="478" t="s">
        <v>505</v>
      </c>
      <c r="M310" s="319">
        <f t="shared" si="29"/>
        <v>0</v>
      </c>
      <c r="N310" s="283"/>
      <c r="O310" s="283"/>
      <c r="P310" s="415">
        <f t="shared" si="30"/>
        <v>0</v>
      </c>
      <c r="Q310" s="416" t="str">
        <f t="shared" si="32"/>
        <v/>
      </c>
    </row>
    <row r="311" spans="1:17" ht="18.75" customHeight="1" x14ac:dyDescent="0.25">
      <c r="A311" s="685" t="s">
        <v>506</v>
      </c>
      <c r="B311" s="686"/>
      <c r="C311" s="479" t="s">
        <v>207</v>
      </c>
      <c r="D311" s="319">
        <f t="shared" si="28"/>
        <v>0</v>
      </c>
      <c r="J311" s="685" t="s">
        <v>506</v>
      </c>
      <c r="K311" s="686"/>
      <c r="L311" s="479" t="s">
        <v>207</v>
      </c>
      <c r="M311" s="319">
        <f t="shared" si="29"/>
        <v>4</v>
      </c>
      <c r="N311" s="283"/>
      <c r="O311" s="283"/>
      <c r="P311" s="415">
        <f t="shared" si="30"/>
        <v>4</v>
      </c>
      <c r="Q311" s="416" t="str">
        <f t="shared" si="32"/>
        <v/>
      </c>
    </row>
    <row r="312" spans="1:17" ht="18.75" customHeight="1" x14ac:dyDescent="0.25">
      <c r="A312" s="685" t="s">
        <v>507</v>
      </c>
      <c r="B312" s="686"/>
      <c r="C312" s="480" t="s">
        <v>508</v>
      </c>
      <c r="D312" s="319">
        <f t="shared" si="28"/>
        <v>0</v>
      </c>
      <c r="J312" s="685" t="s">
        <v>507</v>
      </c>
      <c r="K312" s="686"/>
      <c r="L312" s="480" t="s">
        <v>508</v>
      </c>
      <c r="M312" s="319">
        <f t="shared" si="29"/>
        <v>0</v>
      </c>
      <c r="N312" s="283"/>
      <c r="O312" s="283"/>
      <c r="P312" s="415">
        <f t="shared" si="30"/>
        <v>0</v>
      </c>
      <c r="Q312" s="416" t="str">
        <f t="shared" si="32"/>
        <v/>
      </c>
    </row>
    <row r="313" spans="1:17" ht="18.75" customHeight="1" x14ac:dyDescent="0.25">
      <c r="A313" s="685" t="s">
        <v>509</v>
      </c>
      <c r="B313" s="686"/>
      <c r="C313" s="481" t="s">
        <v>291</v>
      </c>
      <c r="D313" s="319">
        <f t="shared" si="28"/>
        <v>0</v>
      </c>
      <c r="J313" s="685" t="s">
        <v>509</v>
      </c>
      <c r="K313" s="686"/>
      <c r="L313" s="481" t="s">
        <v>291</v>
      </c>
      <c r="M313" s="319">
        <f t="shared" si="29"/>
        <v>6</v>
      </c>
      <c r="N313" s="283"/>
      <c r="O313" s="283"/>
      <c r="P313" s="415">
        <f t="shared" si="30"/>
        <v>6</v>
      </c>
      <c r="Q313" s="416" t="str">
        <f t="shared" si="32"/>
        <v/>
      </c>
    </row>
    <row r="314" spans="1:17" ht="18.75" customHeight="1" x14ac:dyDescent="0.25">
      <c r="A314" s="685" t="s">
        <v>510</v>
      </c>
      <c r="B314" s="686"/>
      <c r="C314" s="478" t="s">
        <v>511</v>
      </c>
      <c r="D314" s="319">
        <f t="shared" si="28"/>
        <v>0</v>
      </c>
      <c r="J314" s="685" t="s">
        <v>510</v>
      </c>
      <c r="K314" s="686"/>
      <c r="L314" s="478" t="s">
        <v>511</v>
      </c>
      <c r="M314" s="319">
        <f t="shared" si="29"/>
        <v>0</v>
      </c>
      <c r="N314" s="283"/>
      <c r="O314" s="283"/>
      <c r="P314" s="415">
        <f t="shared" si="30"/>
        <v>0</v>
      </c>
      <c r="Q314" s="416" t="str">
        <f t="shared" si="32"/>
        <v/>
      </c>
    </row>
    <row r="315" spans="1:17" ht="18.75" customHeight="1" x14ac:dyDescent="0.25">
      <c r="A315" s="685" t="s">
        <v>512</v>
      </c>
      <c r="B315" s="686"/>
      <c r="C315" s="482" t="s">
        <v>513</v>
      </c>
      <c r="D315" s="319">
        <f t="shared" si="28"/>
        <v>0</v>
      </c>
      <c r="J315" s="685" t="s">
        <v>512</v>
      </c>
      <c r="K315" s="686"/>
      <c r="L315" s="482" t="s">
        <v>513</v>
      </c>
      <c r="M315" s="319">
        <f t="shared" si="29"/>
        <v>0</v>
      </c>
      <c r="N315" s="283"/>
      <c r="O315" s="283"/>
      <c r="P315" s="415">
        <f t="shared" si="30"/>
        <v>0</v>
      </c>
      <c r="Q315" s="416" t="str">
        <f t="shared" si="32"/>
        <v/>
      </c>
    </row>
    <row r="316" spans="1:17" ht="18.75" customHeight="1" x14ac:dyDescent="0.25">
      <c r="A316" s="685" t="s">
        <v>514</v>
      </c>
      <c r="B316" s="686"/>
      <c r="C316" s="483" t="s">
        <v>515</v>
      </c>
      <c r="D316" s="319">
        <f t="shared" si="28"/>
        <v>0</v>
      </c>
      <c r="J316" s="685" t="s">
        <v>514</v>
      </c>
      <c r="K316" s="686"/>
      <c r="L316" s="483" t="s">
        <v>515</v>
      </c>
      <c r="M316" s="319">
        <f t="shared" si="29"/>
        <v>0</v>
      </c>
      <c r="N316" s="283"/>
      <c r="O316" s="283"/>
      <c r="P316" s="415">
        <f t="shared" si="30"/>
        <v>0</v>
      </c>
      <c r="Q316" s="416" t="str">
        <f t="shared" si="32"/>
        <v/>
      </c>
    </row>
    <row r="317" spans="1:17" ht="18.75" customHeight="1" x14ac:dyDescent="0.25">
      <c r="A317" s="685" t="s">
        <v>516</v>
      </c>
      <c r="B317" s="686"/>
      <c r="C317" s="484" t="s">
        <v>517</v>
      </c>
      <c r="D317" s="319">
        <f t="shared" si="28"/>
        <v>0</v>
      </c>
      <c r="J317" s="685" t="s">
        <v>516</v>
      </c>
      <c r="K317" s="686"/>
      <c r="L317" s="484" t="s">
        <v>517</v>
      </c>
      <c r="M317" s="319">
        <f t="shared" si="29"/>
        <v>0</v>
      </c>
      <c r="N317" s="283"/>
      <c r="O317" s="283"/>
      <c r="P317" s="415">
        <f t="shared" si="30"/>
        <v>0</v>
      </c>
      <c r="Q317" s="416" t="str">
        <f t="shared" si="32"/>
        <v/>
      </c>
    </row>
    <row r="318" spans="1:17" ht="18.75" customHeight="1" x14ac:dyDescent="0.25">
      <c r="A318" s="685" t="s">
        <v>518</v>
      </c>
      <c r="B318" s="686"/>
      <c r="C318" s="485" t="s">
        <v>519</v>
      </c>
      <c r="D318" s="319">
        <f t="shared" si="28"/>
        <v>0</v>
      </c>
      <c r="J318" s="685" t="s">
        <v>518</v>
      </c>
      <c r="K318" s="686"/>
      <c r="L318" s="485" t="s">
        <v>519</v>
      </c>
      <c r="M318" s="319">
        <f t="shared" si="29"/>
        <v>0</v>
      </c>
      <c r="N318" s="283"/>
      <c r="O318" s="283"/>
      <c r="P318" s="415">
        <f t="shared" si="30"/>
        <v>0</v>
      </c>
      <c r="Q318" s="416" t="str">
        <f t="shared" si="32"/>
        <v/>
      </c>
    </row>
    <row r="319" spans="1:17" ht="18.75" customHeight="1" x14ac:dyDescent="0.25">
      <c r="A319" s="685" t="s">
        <v>414</v>
      </c>
      <c r="B319" s="686"/>
      <c r="C319" s="485" t="s">
        <v>414</v>
      </c>
      <c r="D319" s="319">
        <f t="shared" si="28"/>
        <v>0</v>
      </c>
      <c r="J319" s="685" t="s">
        <v>414</v>
      </c>
      <c r="K319" s="686"/>
      <c r="L319" s="485" t="s">
        <v>414</v>
      </c>
      <c r="M319" s="319">
        <f t="shared" si="29"/>
        <v>0</v>
      </c>
      <c r="N319" s="283"/>
      <c r="O319" s="283"/>
      <c r="P319" s="415">
        <f t="shared" si="30"/>
        <v>0</v>
      </c>
      <c r="Q319" s="416" t="str">
        <f t="shared" si="32"/>
        <v/>
      </c>
    </row>
    <row r="320" spans="1:17" ht="18.75" customHeight="1" x14ac:dyDescent="0.25">
      <c r="A320" s="685" t="s">
        <v>384</v>
      </c>
      <c r="B320" s="686"/>
      <c r="C320" s="486" t="s">
        <v>520</v>
      </c>
      <c r="D320" s="319">
        <f t="shared" si="28"/>
        <v>0</v>
      </c>
      <c r="J320" s="685" t="s">
        <v>384</v>
      </c>
      <c r="K320" s="686"/>
      <c r="L320" s="486" t="s">
        <v>520</v>
      </c>
      <c r="M320" s="319">
        <f t="shared" si="29"/>
        <v>0</v>
      </c>
      <c r="N320" s="283"/>
      <c r="O320" s="283"/>
      <c r="P320" s="415">
        <f t="shared" si="30"/>
        <v>0</v>
      </c>
      <c r="Q320" s="416" t="str">
        <f t="shared" si="32"/>
        <v/>
      </c>
    </row>
    <row r="321" spans="1:17" ht="18.75" customHeight="1" x14ac:dyDescent="0.25">
      <c r="A321" s="685" t="s">
        <v>521</v>
      </c>
      <c r="B321" s="686"/>
      <c r="C321" s="15" t="s">
        <v>164</v>
      </c>
      <c r="D321" s="319">
        <f t="shared" si="28"/>
        <v>18</v>
      </c>
      <c r="J321" s="685" t="s">
        <v>521</v>
      </c>
      <c r="K321" s="686"/>
      <c r="L321" s="15" t="s">
        <v>164</v>
      </c>
      <c r="M321" s="319">
        <f t="shared" si="29"/>
        <v>25</v>
      </c>
      <c r="N321" s="283"/>
      <c r="O321" s="283"/>
      <c r="P321" s="415">
        <f t="shared" si="30"/>
        <v>43</v>
      </c>
      <c r="Q321" s="416" t="str">
        <f t="shared" si="32"/>
        <v/>
      </c>
    </row>
    <row r="322" spans="1:17" ht="18.75" customHeight="1" x14ac:dyDescent="0.25">
      <c r="A322" s="685" t="s">
        <v>522</v>
      </c>
      <c r="B322" s="686"/>
      <c r="C322" s="487" t="s">
        <v>523</v>
      </c>
      <c r="D322" s="319">
        <f t="shared" si="28"/>
        <v>0</v>
      </c>
      <c r="J322" s="685" t="s">
        <v>522</v>
      </c>
      <c r="K322" s="686"/>
      <c r="L322" s="487" t="s">
        <v>523</v>
      </c>
      <c r="M322" s="319">
        <f t="shared" si="29"/>
        <v>0</v>
      </c>
      <c r="N322" s="283"/>
      <c r="O322" s="283"/>
      <c r="P322" s="415">
        <f t="shared" si="30"/>
        <v>0</v>
      </c>
      <c r="Q322" s="416" t="str">
        <f t="shared" si="32"/>
        <v/>
      </c>
    </row>
    <row r="323" spans="1:17" ht="18.75" customHeight="1" x14ac:dyDescent="0.25">
      <c r="A323" s="685" t="s">
        <v>524</v>
      </c>
      <c r="B323" s="686"/>
      <c r="C323" s="488" t="s">
        <v>525</v>
      </c>
      <c r="D323" s="319">
        <f t="shared" si="28"/>
        <v>0</v>
      </c>
      <c r="J323" s="685" t="s">
        <v>524</v>
      </c>
      <c r="K323" s="686"/>
      <c r="L323" s="488" t="s">
        <v>525</v>
      </c>
      <c r="M323" s="319">
        <f t="shared" si="29"/>
        <v>0</v>
      </c>
      <c r="N323" s="283"/>
      <c r="O323" s="283"/>
      <c r="P323" s="415">
        <f t="shared" si="30"/>
        <v>0</v>
      </c>
      <c r="Q323" s="416" t="str">
        <f t="shared" si="32"/>
        <v/>
      </c>
    </row>
    <row r="324" spans="1:17" ht="18.75" customHeight="1" x14ac:dyDescent="0.25">
      <c r="A324" s="685" t="s">
        <v>526</v>
      </c>
      <c r="B324" s="686"/>
      <c r="C324" s="488" t="s">
        <v>527</v>
      </c>
      <c r="D324" s="319">
        <f t="shared" si="28"/>
        <v>0</v>
      </c>
      <c r="J324" s="685" t="s">
        <v>526</v>
      </c>
      <c r="K324" s="686"/>
      <c r="L324" s="488" t="s">
        <v>527</v>
      </c>
      <c r="M324" s="319">
        <f t="shared" si="29"/>
        <v>0</v>
      </c>
      <c r="N324" s="283"/>
      <c r="O324" s="283"/>
      <c r="P324" s="415">
        <f t="shared" si="30"/>
        <v>0</v>
      </c>
      <c r="Q324" s="416" t="str">
        <f t="shared" si="32"/>
        <v/>
      </c>
    </row>
    <row r="325" spans="1:17" ht="18.75" customHeight="1" x14ac:dyDescent="0.25">
      <c r="A325" s="685" t="s">
        <v>528</v>
      </c>
      <c r="B325" s="686"/>
      <c r="C325" s="489" t="s">
        <v>529</v>
      </c>
      <c r="D325" s="319">
        <f t="shared" ref="D325:D332" si="33">COUNTIF($A$4:$T$22,C325)+COUNTIF($A$24:$R$24,C325)+COUNTIF($A$25:$Q$25,C325)+COUNTIF($A$26:$M$42,C325)+COUNTIF($A$23:$S$23,C325)+COUNTIF($A$43:$O$81,C325)+COUNTIF($P$43:$P$47,C325)+COUNTIF($N$26:$O$27,C325)</f>
        <v>0</v>
      </c>
      <c r="J325" s="685" t="s">
        <v>528</v>
      </c>
      <c r="K325" s="686"/>
      <c r="L325" s="489" t="s">
        <v>529</v>
      </c>
      <c r="M325" s="319">
        <f t="shared" ref="M325:M332" si="34">COUNTIF($P$26:$S$27,L325)+COUNTIF($R$24:$S$25,L325)+COUNTIF($P$47:$S$73,L325)+COUNTIF($T$22:$BI$73,L325)+COUNTIF($N$28:$S$42,L325)</f>
        <v>0</v>
      </c>
      <c r="N325" s="283"/>
      <c r="O325" s="283"/>
      <c r="P325" s="415">
        <f t="shared" ref="P325:P332" si="35">D325+M325</f>
        <v>0</v>
      </c>
      <c r="Q325" s="416" t="str">
        <f t="shared" si="32"/>
        <v/>
      </c>
    </row>
    <row r="326" spans="1:17" ht="18.75" customHeight="1" x14ac:dyDescent="0.25">
      <c r="A326" s="685" t="s">
        <v>530</v>
      </c>
      <c r="B326" s="686"/>
      <c r="C326" s="481" t="s">
        <v>531</v>
      </c>
      <c r="D326" s="319">
        <f t="shared" si="33"/>
        <v>0</v>
      </c>
      <c r="J326" s="685" t="s">
        <v>530</v>
      </c>
      <c r="K326" s="686"/>
      <c r="L326" s="481" t="s">
        <v>531</v>
      </c>
      <c r="M326" s="319">
        <f t="shared" si="34"/>
        <v>0</v>
      </c>
      <c r="N326" s="283"/>
      <c r="O326" s="283"/>
      <c r="P326" s="415">
        <f t="shared" si="35"/>
        <v>0</v>
      </c>
      <c r="Q326" s="416" t="str">
        <f t="shared" si="32"/>
        <v/>
      </c>
    </row>
    <row r="327" spans="1:17" ht="18.75" customHeight="1" x14ac:dyDescent="0.25">
      <c r="A327" s="685" t="s">
        <v>532</v>
      </c>
      <c r="B327" s="686"/>
      <c r="C327" s="487" t="s">
        <v>533</v>
      </c>
      <c r="D327" s="319">
        <f t="shared" si="33"/>
        <v>0</v>
      </c>
      <c r="J327" s="685" t="s">
        <v>532</v>
      </c>
      <c r="K327" s="686"/>
      <c r="L327" s="487" t="s">
        <v>533</v>
      </c>
      <c r="M327" s="319">
        <f t="shared" si="34"/>
        <v>0</v>
      </c>
      <c r="N327" s="283"/>
      <c r="O327" s="283"/>
      <c r="P327" s="415">
        <f t="shared" si="35"/>
        <v>0</v>
      </c>
      <c r="Q327" s="416" t="str">
        <f t="shared" si="32"/>
        <v/>
      </c>
    </row>
    <row r="328" spans="1:17" ht="18.75" customHeight="1" x14ac:dyDescent="0.25">
      <c r="A328" s="685" t="s">
        <v>534</v>
      </c>
      <c r="B328" s="686"/>
      <c r="C328" s="490" t="s">
        <v>535</v>
      </c>
      <c r="D328" s="319">
        <f t="shared" si="33"/>
        <v>0</v>
      </c>
      <c r="J328" s="685" t="s">
        <v>534</v>
      </c>
      <c r="K328" s="686"/>
      <c r="L328" s="490" t="s">
        <v>535</v>
      </c>
      <c r="M328" s="319">
        <f t="shared" si="34"/>
        <v>0</v>
      </c>
      <c r="P328" s="415">
        <f t="shared" si="35"/>
        <v>0</v>
      </c>
      <c r="Q328" s="416" t="str">
        <f t="shared" si="32"/>
        <v/>
      </c>
    </row>
    <row r="329" spans="1:17" ht="18.75" customHeight="1" x14ac:dyDescent="0.25">
      <c r="A329" s="685" t="s">
        <v>536</v>
      </c>
      <c r="B329" s="686"/>
      <c r="C329" s="491" t="s">
        <v>536</v>
      </c>
      <c r="D329" s="319">
        <f t="shared" si="33"/>
        <v>0</v>
      </c>
      <c r="J329" s="685" t="s">
        <v>536</v>
      </c>
      <c r="K329" s="686"/>
      <c r="L329" s="491" t="s">
        <v>536</v>
      </c>
      <c r="M329" s="319">
        <f t="shared" si="34"/>
        <v>0</v>
      </c>
      <c r="P329" s="415">
        <f t="shared" si="35"/>
        <v>0</v>
      </c>
      <c r="Q329" s="416" t="str">
        <f t="shared" si="32"/>
        <v/>
      </c>
    </row>
    <row r="330" spans="1:17" ht="18.75" customHeight="1" x14ac:dyDescent="0.25">
      <c r="A330" s="685" t="s">
        <v>537</v>
      </c>
      <c r="B330" s="686"/>
      <c r="C330" s="425" t="s">
        <v>210</v>
      </c>
      <c r="D330" s="319">
        <f t="shared" si="33"/>
        <v>19</v>
      </c>
      <c r="J330" s="685" t="s">
        <v>537</v>
      </c>
      <c r="K330" s="686"/>
      <c r="L330" s="425" t="s">
        <v>210</v>
      </c>
      <c r="M330" s="319">
        <f t="shared" si="34"/>
        <v>16</v>
      </c>
      <c r="P330" s="415">
        <f t="shared" si="35"/>
        <v>35</v>
      </c>
      <c r="Q330" s="416" t="str">
        <f t="shared" si="32"/>
        <v/>
      </c>
    </row>
    <row r="331" spans="1:17" ht="18.75" customHeight="1" x14ac:dyDescent="0.25">
      <c r="A331" s="685" t="s">
        <v>538</v>
      </c>
      <c r="B331" s="686"/>
      <c r="C331" s="134" t="s">
        <v>218</v>
      </c>
      <c r="D331" s="319">
        <f t="shared" si="33"/>
        <v>0</v>
      </c>
      <c r="J331" s="685" t="s">
        <v>538</v>
      </c>
      <c r="K331" s="686"/>
      <c r="L331" s="134" t="s">
        <v>218</v>
      </c>
      <c r="M331" s="319">
        <f t="shared" si="34"/>
        <v>4</v>
      </c>
      <c r="P331" s="415">
        <f t="shared" si="35"/>
        <v>4</v>
      </c>
      <c r="Q331" s="416" t="str">
        <f t="shared" si="32"/>
        <v/>
      </c>
    </row>
    <row r="332" spans="1:17" ht="18.75" customHeight="1" thickBot="1" x14ac:dyDescent="0.3">
      <c r="A332" s="685" t="s">
        <v>539</v>
      </c>
      <c r="B332" s="686"/>
      <c r="C332" s="492" t="s">
        <v>540</v>
      </c>
      <c r="D332" s="319">
        <f t="shared" si="33"/>
        <v>0</v>
      </c>
      <c r="J332" s="685" t="s">
        <v>539</v>
      </c>
      <c r="K332" s="686"/>
      <c r="L332" s="492" t="s">
        <v>540</v>
      </c>
      <c r="M332" s="319">
        <f t="shared" si="34"/>
        <v>0</v>
      </c>
      <c r="P332" s="415">
        <f t="shared" si="35"/>
        <v>0</v>
      </c>
      <c r="Q332" s="493" t="str">
        <f t="shared" si="32"/>
        <v/>
      </c>
    </row>
    <row r="333" spans="1:17" ht="18.75" customHeight="1" thickTop="1" x14ac:dyDescent="0.25"/>
    <row r="338" spans="1:17" ht="18.75" customHeight="1" x14ac:dyDescent="0.25">
      <c r="A338" s="702" t="s">
        <v>541</v>
      </c>
      <c r="B338" s="702"/>
      <c r="C338" s="702"/>
      <c r="D338" s="702"/>
      <c r="E338" s="702"/>
      <c r="F338" s="702"/>
      <c r="G338" s="702"/>
      <c r="H338" s="702"/>
      <c r="I338" s="702"/>
      <c r="J338" s="702"/>
      <c r="K338" s="702"/>
      <c r="L338" s="702"/>
      <c r="M338" s="702"/>
      <c r="N338" s="702"/>
      <c r="O338" s="702"/>
      <c r="P338" s="702"/>
      <c r="Q338" s="702"/>
    </row>
    <row r="339" spans="1:17" ht="18.75" customHeight="1" x14ac:dyDescent="0.25">
      <c r="A339" s="702"/>
      <c r="B339" s="702"/>
      <c r="C339" s="702"/>
      <c r="D339" s="702"/>
      <c r="E339" s="702"/>
      <c r="F339" s="702"/>
      <c r="G339" s="702"/>
      <c r="H339" s="702"/>
      <c r="I339" s="702"/>
      <c r="J339" s="702"/>
      <c r="K339" s="702"/>
      <c r="L339" s="702"/>
      <c r="M339" s="702"/>
      <c r="N339" s="702"/>
      <c r="O339" s="702"/>
      <c r="P339" s="702"/>
      <c r="Q339" s="702"/>
    </row>
    <row r="340" spans="1:17" ht="18.75" customHeight="1" thickBot="1" x14ac:dyDescent="0.3"/>
    <row r="341" spans="1:17" ht="18.75" customHeight="1" thickBot="1" x14ac:dyDescent="0.3">
      <c r="A341" s="703" t="s">
        <v>542</v>
      </c>
      <c r="B341" s="704"/>
      <c r="C341" s="704"/>
      <c r="D341" s="705"/>
      <c r="E341" s="494">
        <f>F343+O343</f>
        <v>11</v>
      </c>
    </row>
    <row r="342" spans="1:17" ht="18.75" customHeight="1" thickBot="1" x14ac:dyDescent="0.3"/>
    <row r="343" spans="1:17" ht="18.75" customHeight="1" thickBot="1" x14ac:dyDescent="0.4">
      <c r="A343" s="675" t="s">
        <v>543</v>
      </c>
      <c r="B343" s="676"/>
      <c r="C343" s="676"/>
      <c r="D343" s="676"/>
      <c r="E343" s="677"/>
      <c r="F343" s="649">
        <f>SUM(E453,E374,E478,E486,E492,E506,E518)</f>
        <v>5</v>
      </c>
      <c r="G343" s="650"/>
      <c r="J343" s="675" t="s">
        <v>544</v>
      </c>
      <c r="K343" s="676"/>
      <c r="L343" s="676"/>
      <c r="M343" s="676"/>
      <c r="N343" s="677"/>
      <c r="O343" s="649">
        <f>SUM(N374,N453,N478,N486,N492,N506,N518)</f>
        <v>6</v>
      </c>
      <c r="P343" s="650"/>
    </row>
    <row r="344" spans="1:17" ht="18.75" customHeight="1" thickBot="1" x14ac:dyDescent="0.4">
      <c r="A344" s="407"/>
      <c r="B344" s="408"/>
      <c r="C344" s="408"/>
      <c r="D344" s="408"/>
      <c r="E344" s="409"/>
      <c r="F344" s="409"/>
      <c r="G344" s="409"/>
      <c r="J344" s="409"/>
      <c r="K344" s="409"/>
      <c r="L344" s="409"/>
      <c r="M344" s="409"/>
      <c r="N344" s="409"/>
      <c r="O344" s="409"/>
      <c r="P344" s="409"/>
      <c r="Q344" s="409"/>
    </row>
    <row r="345" spans="1:17" ht="18.75" customHeight="1" thickBot="1" x14ac:dyDescent="0.3">
      <c r="A345" s="699" t="s">
        <v>545</v>
      </c>
      <c r="B345" s="700"/>
      <c r="C345" s="700"/>
      <c r="D345" s="701"/>
      <c r="J345" s="699" t="s">
        <v>545</v>
      </c>
      <c r="K345" s="700"/>
      <c r="L345" s="700"/>
      <c r="M345" s="701"/>
    </row>
    <row r="346" spans="1:17" ht="18.75" customHeight="1" x14ac:dyDescent="0.25">
      <c r="A346" s="706" t="s">
        <v>546</v>
      </c>
      <c r="B346" s="707"/>
      <c r="C346" s="708"/>
      <c r="D346" s="73" t="s">
        <v>547</v>
      </c>
      <c r="E346" s="495">
        <f t="shared" ref="E346:E373" si="36">COUNTIF($A$4:$T$22,D346)+COUNTIF($A$24:$R$24,D346)+COUNTIF($A$25:$Q$25,D346)+COUNTIF($A$26:$M$42,D346)+COUNTIF($A$23:$S$23,D346)+COUNTIF($A$43:$O$79,D346)+COUNTIF($P$43:$P$47,D346)+COUNTIF($N$26:$O$27,D346)</f>
        <v>0</v>
      </c>
      <c r="J346" s="706" t="s">
        <v>546</v>
      </c>
      <c r="K346" s="707"/>
      <c r="L346" s="708"/>
      <c r="M346" s="73" t="s">
        <v>547</v>
      </c>
      <c r="N346" s="495">
        <f t="shared" ref="N346:N373" si="37">COUNTIF($P$26:$S$27,M346)+COUNTIF($R$24:$S$25,M346)+COUNTIF($P$47:$S$73,M346)+COUNTIF($T$22:$BI$73,M346)+COUNTIF($N$28:$S$42,M346)</f>
        <v>0</v>
      </c>
    </row>
    <row r="347" spans="1:17" ht="18.75" customHeight="1" x14ac:dyDescent="0.25">
      <c r="A347" s="706" t="s">
        <v>548</v>
      </c>
      <c r="B347" s="707"/>
      <c r="C347" s="708"/>
      <c r="D347" s="73" t="s">
        <v>549</v>
      </c>
      <c r="E347" s="495">
        <f t="shared" si="36"/>
        <v>0</v>
      </c>
      <c r="J347" s="706" t="s">
        <v>548</v>
      </c>
      <c r="K347" s="707"/>
      <c r="L347" s="708"/>
      <c r="M347" s="73" t="s">
        <v>549</v>
      </c>
      <c r="N347" s="495">
        <f t="shared" si="37"/>
        <v>0</v>
      </c>
    </row>
    <row r="348" spans="1:17" ht="18.75" customHeight="1" x14ac:dyDescent="0.25">
      <c r="A348" s="706" t="s">
        <v>550</v>
      </c>
      <c r="B348" s="707"/>
      <c r="C348" s="708"/>
      <c r="D348" s="73" t="s">
        <v>551</v>
      </c>
      <c r="E348" s="495">
        <f t="shared" si="36"/>
        <v>0</v>
      </c>
      <c r="J348" s="706" t="s">
        <v>550</v>
      </c>
      <c r="K348" s="707"/>
      <c r="L348" s="708"/>
      <c r="M348" s="73" t="s">
        <v>551</v>
      </c>
      <c r="N348" s="495">
        <f t="shared" si="37"/>
        <v>0</v>
      </c>
    </row>
    <row r="349" spans="1:17" ht="18.75" customHeight="1" x14ac:dyDescent="0.25">
      <c r="A349" s="706" t="s">
        <v>552</v>
      </c>
      <c r="B349" s="707"/>
      <c r="C349" s="708"/>
      <c r="D349" s="73" t="s">
        <v>553</v>
      </c>
      <c r="E349" s="495">
        <f t="shared" si="36"/>
        <v>0</v>
      </c>
      <c r="J349" s="706" t="s">
        <v>552</v>
      </c>
      <c r="K349" s="707"/>
      <c r="L349" s="708"/>
      <c r="M349" s="73" t="s">
        <v>553</v>
      </c>
      <c r="N349" s="495">
        <f t="shared" si="37"/>
        <v>0</v>
      </c>
    </row>
    <row r="350" spans="1:17" ht="18.75" customHeight="1" x14ac:dyDescent="0.25">
      <c r="A350" s="706" t="s">
        <v>554</v>
      </c>
      <c r="B350" s="707"/>
      <c r="C350" s="708"/>
      <c r="D350" s="73" t="s">
        <v>555</v>
      </c>
      <c r="E350" s="495">
        <f t="shared" si="36"/>
        <v>0</v>
      </c>
      <c r="J350" s="706" t="s">
        <v>554</v>
      </c>
      <c r="K350" s="707"/>
      <c r="L350" s="708"/>
      <c r="M350" s="73" t="s">
        <v>555</v>
      </c>
      <c r="N350" s="495">
        <f t="shared" si="37"/>
        <v>0</v>
      </c>
    </row>
    <row r="351" spans="1:17" ht="18.75" customHeight="1" x14ac:dyDescent="0.25">
      <c r="A351" s="706" t="s">
        <v>556</v>
      </c>
      <c r="B351" s="707"/>
      <c r="C351" s="708"/>
      <c r="D351" s="73" t="s">
        <v>557</v>
      </c>
      <c r="E351" s="495">
        <f t="shared" si="36"/>
        <v>0</v>
      </c>
      <c r="J351" s="706" t="s">
        <v>556</v>
      </c>
      <c r="K351" s="707"/>
      <c r="L351" s="708"/>
      <c r="M351" s="73" t="s">
        <v>557</v>
      </c>
      <c r="N351" s="495">
        <f t="shared" si="37"/>
        <v>0</v>
      </c>
    </row>
    <row r="352" spans="1:17" ht="18.75" customHeight="1" x14ac:dyDescent="0.25">
      <c r="A352" s="706" t="s">
        <v>558</v>
      </c>
      <c r="B352" s="707"/>
      <c r="C352" s="708"/>
      <c r="D352" s="73" t="s">
        <v>559</v>
      </c>
      <c r="E352" s="495">
        <f t="shared" si="36"/>
        <v>0</v>
      </c>
      <c r="J352" s="706" t="s">
        <v>558</v>
      </c>
      <c r="K352" s="707"/>
      <c r="L352" s="708"/>
      <c r="M352" s="73" t="s">
        <v>559</v>
      </c>
      <c r="N352" s="495">
        <f t="shared" si="37"/>
        <v>0</v>
      </c>
    </row>
    <row r="353" spans="1:14" ht="18.75" customHeight="1" x14ac:dyDescent="0.25">
      <c r="A353" s="706" t="s">
        <v>560</v>
      </c>
      <c r="B353" s="707"/>
      <c r="C353" s="708"/>
      <c r="D353" s="73" t="s">
        <v>561</v>
      </c>
      <c r="E353" s="495">
        <f t="shared" si="36"/>
        <v>0</v>
      </c>
      <c r="J353" s="706" t="s">
        <v>560</v>
      </c>
      <c r="K353" s="707"/>
      <c r="L353" s="708"/>
      <c r="M353" s="73" t="s">
        <v>561</v>
      </c>
      <c r="N353" s="495">
        <f t="shared" si="37"/>
        <v>0</v>
      </c>
    </row>
    <row r="354" spans="1:14" ht="18.75" customHeight="1" x14ac:dyDescent="0.25">
      <c r="A354" s="706" t="s">
        <v>562</v>
      </c>
      <c r="B354" s="707"/>
      <c r="C354" s="708"/>
      <c r="D354" s="73" t="s">
        <v>563</v>
      </c>
      <c r="E354" s="495">
        <f t="shared" si="36"/>
        <v>0</v>
      </c>
      <c r="J354" s="706" t="s">
        <v>562</v>
      </c>
      <c r="K354" s="707"/>
      <c r="L354" s="708"/>
      <c r="M354" s="73" t="s">
        <v>563</v>
      </c>
      <c r="N354" s="495">
        <f t="shared" si="37"/>
        <v>0</v>
      </c>
    </row>
    <row r="355" spans="1:14" ht="18.75" customHeight="1" x14ac:dyDescent="0.25">
      <c r="A355" s="706" t="s">
        <v>564</v>
      </c>
      <c r="B355" s="707"/>
      <c r="C355" s="708"/>
      <c r="D355" s="73" t="s">
        <v>565</v>
      </c>
      <c r="E355" s="495">
        <f t="shared" si="36"/>
        <v>0</v>
      </c>
      <c r="J355" s="706" t="s">
        <v>564</v>
      </c>
      <c r="K355" s="707"/>
      <c r="L355" s="708"/>
      <c r="M355" s="73" t="s">
        <v>565</v>
      </c>
      <c r="N355" s="495">
        <f t="shared" si="37"/>
        <v>0</v>
      </c>
    </row>
    <row r="356" spans="1:14" ht="18.75" customHeight="1" x14ac:dyDescent="0.25">
      <c r="A356" s="706" t="s">
        <v>566</v>
      </c>
      <c r="B356" s="707"/>
      <c r="C356" s="708"/>
      <c r="D356" s="73" t="s">
        <v>567</v>
      </c>
      <c r="E356" s="495">
        <f t="shared" si="36"/>
        <v>0</v>
      </c>
      <c r="J356" s="706" t="s">
        <v>566</v>
      </c>
      <c r="K356" s="707"/>
      <c r="L356" s="708"/>
      <c r="M356" s="73" t="s">
        <v>567</v>
      </c>
      <c r="N356" s="495">
        <f t="shared" si="37"/>
        <v>0</v>
      </c>
    </row>
    <row r="357" spans="1:14" ht="18.75" customHeight="1" x14ac:dyDescent="0.25">
      <c r="A357" s="706" t="s">
        <v>568</v>
      </c>
      <c r="B357" s="707"/>
      <c r="C357" s="708"/>
      <c r="D357" s="73" t="s">
        <v>569</v>
      </c>
      <c r="E357" s="495">
        <f t="shared" si="36"/>
        <v>0</v>
      </c>
      <c r="J357" s="706" t="s">
        <v>568</v>
      </c>
      <c r="K357" s="707"/>
      <c r="L357" s="708"/>
      <c r="M357" s="73" t="s">
        <v>569</v>
      </c>
      <c r="N357" s="495">
        <f t="shared" si="37"/>
        <v>0</v>
      </c>
    </row>
    <row r="358" spans="1:14" ht="18.75" customHeight="1" x14ac:dyDescent="0.25">
      <c r="A358" s="706" t="s">
        <v>570</v>
      </c>
      <c r="B358" s="707"/>
      <c r="C358" s="708"/>
      <c r="D358" s="73" t="s">
        <v>571</v>
      </c>
      <c r="E358" s="495">
        <f t="shared" si="36"/>
        <v>0</v>
      </c>
      <c r="J358" s="706" t="s">
        <v>570</v>
      </c>
      <c r="K358" s="707"/>
      <c r="L358" s="708"/>
      <c r="M358" s="73" t="s">
        <v>571</v>
      </c>
      <c r="N358" s="495">
        <f t="shared" si="37"/>
        <v>0</v>
      </c>
    </row>
    <row r="359" spans="1:14" ht="18.75" customHeight="1" x14ac:dyDescent="0.25">
      <c r="A359" s="706" t="s">
        <v>572</v>
      </c>
      <c r="B359" s="707"/>
      <c r="C359" s="708"/>
      <c r="D359" s="73" t="s">
        <v>573</v>
      </c>
      <c r="E359" s="495">
        <f t="shared" si="36"/>
        <v>0</v>
      </c>
      <c r="J359" s="706" t="s">
        <v>572</v>
      </c>
      <c r="K359" s="707"/>
      <c r="L359" s="708"/>
      <c r="M359" s="73" t="s">
        <v>573</v>
      </c>
      <c r="N359" s="495">
        <f t="shared" si="37"/>
        <v>0</v>
      </c>
    </row>
    <row r="360" spans="1:14" ht="18.75" customHeight="1" x14ac:dyDescent="0.25">
      <c r="A360" s="706" t="s">
        <v>574</v>
      </c>
      <c r="B360" s="707"/>
      <c r="C360" s="708"/>
      <c r="D360" s="73" t="s">
        <v>575</v>
      </c>
      <c r="E360" s="495">
        <f t="shared" si="36"/>
        <v>0</v>
      </c>
      <c r="J360" s="706" t="s">
        <v>574</v>
      </c>
      <c r="K360" s="707"/>
      <c r="L360" s="708"/>
      <c r="M360" s="73" t="s">
        <v>575</v>
      </c>
      <c r="N360" s="495">
        <f t="shared" si="37"/>
        <v>0</v>
      </c>
    </row>
    <row r="361" spans="1:14" ht="18.75" customHeight="1" x14ac:dyDescent="0.25">
      <c r="A361" s="706" t="s">
        <v>576</v>
      </c>
      <c r="B361" s="707"/>
      <c r="C361" s="708"/>
      <c r="D361" s="73" t="s">
        <v>577</v>
      </c>
      <c r="E361" s="495">
        <f t="shared" si="36"/>
        <v>0</v>
      </c>
      <c r="J361" s="706" t="s">
        <v>576</v>
      </c>
      <c r="K361" s="707"/>
      <c r="L361" s="708"/>
      <c r="M361" s="73" t="s">
        <v>577</v>
      </c>
      <c r="N361" s="495">
        <f t="shared" si="37"/>
        <v>0</v>
      </c>
    </row>
    <row r="362" spans="1:14" ht="18.75" customHeight="1" x14ac:dyDescent="0.25">
      <c r="A362" s="706" t="s">
        <v>578</v>
      </c>
      <c r="B362" s="707"/>
      <c r="C362" s="708"/>
      <c r="D362" s="73" t="s">
        <v>579</v>
      </c>
      <c r="E362" s="495">
        <f t="shared" si="36"/>
        <v>0</v>
      </c>
      <c r="J362" s="706" t="s">
        <v>578</v>
      </c>
      <c r="K362" s="707"/>
      <c r="L362" s="708"/>
      <c r="M362" s="73" t="s">
        <v>579</v>
      </c>
      <c r="N362" s="495">
        <f t="shared" si="37"/>
        <v>0</v>
      </c>
    </row>
    <row r="363" spans="1:14" ht="18.75" customHeight="1" x14ac:dyDescent="0.25">
      <c r="A363" s="706" t="s">
        <v>580</v>
      </c>
      <c r="B363" s="707"/>
      <c r="C363" s="708"/>
      <c r="D363" s="73" t="s">
        <v>581</v>
      </c>
      <c r="E363" s="495">
        <f t="shared" si="36"/>
        <v>0</v>
      </c>
      <c r="J363" s="706" t="s">
        <v>580</v>
      </c>
      <c r="K363" s="707"/>
      <c r="L363" s="708"/>
      <c r="M363" s="73" t="s">
        <v>581</v>
      </c>
      <c r="N363" s="495">
        <f t="shared" si="37"/>
        <v>0</v>
      </c>
    </row>
    <row r="364" spans="1:14" ht="18.75" customHeight="1" x14ac:dyDescent="0.25">
      <c r="A364" s="706" t="s">
        <v>582</v>
      </c>
      <c r="B364" s="707"/>
      <c r="C364" s="708"/>
      <c r="D364" s="73" t="s">
        <v>583</v>
      </c>
      <c r="E364" s="495">
        <f t="shared" si="36"/>
        <v>0</v>
      </c>
      <c r="J364" s="706" t="s">
        <v>582</v>
      </c>
      <c r="K364" s="707"/>
      <c r="L364" s="708"/>
      <c r="M364" s="73" t="s">
        <v>583</v>
      </c>
      <c r="N364" s="495">
        <f t="shared" si="37"/>
        <v>0</v>
      </c>
    </row>
    <row r="365" spans="1:14" ht="18.75" customHeight="1" x14ac:dyDescent="0.25">
      <c r="A365" s="706" t="s">
        <v>584</v>
      </c>
      <c r="B365" s="707"/>
      <c r="C365" s="708"/>
      <c r="D365" s="73" t="s">
        <v>585</v>
      </c>
      <c r="E365" s="495">
        <f t="shared" si="36"/>
        <v>0</v>
      </c>
      <c r="J365" s="706" t="s">
        <v>584</v>
      </c>
      <c r="K365" s="707"/>
      <c r="L365" s="708"/>
      <c r="M365" s="73" t="s">
        <v>585</v>
      </c>
      <c r="N365" s="495">
        <f t="shared" si="37"/>
        <v>0</v>
      </c>
    </row>
    <row r="366" spans="1:14" ht="18.75" customHeight="1" x14ac:dyDescent="0.25">
      <c r="A366" s="706" t="s">
        <v>586</v>
      </c>
      <c r="B366" s="707"/>
      <c r="C366" s="708"/>
      <c r="D366" s="73" t="s">
        <v>587</v>
      </c>
      <c r="E366" s="495">
        <f t="shared" si="36"/>
        <v>0</v>
      </c>
      <c r="J366" s="706" t="s">
        <v>586</v>
      </c>
      <c r="K366" s="707"/>
      <c r="L366" s="708"/>
      <c r="M366" s="73" t="s">
        <v>587</v>
      </c>
      <c r="N366" s="495">
        <f t="shared" si="37"/>
        <v>0</v>
      </c>
    </row>
    <row r="367" spans="1:14" ht="18.75" customHeight="1" x14ac:dyDescent="0.25">
      <c r="A367" s="706" t="s">
        <v>588</v>
      </c>
      <c r="B367" s="707"/>
      <c r="C367" s="708"/>
      <c r="D367" s="73" t="s">
        <v>589</v>
      </c>
      <c r="E367" s="495">
        <f t="shared" si="36"/>
        <v>0</v>
      </c>
      <c r="J367" s="706" t="s">
        <v>588</v>
      </c>
      <c r="K367" s="707"/>
      <c r="L367" s="708"/>
      <c r="M367" s="73" t="s">
        <v>589</v>
      </c>
      <c r="N367" s="495">
        <f t="shared" si="37"/>
        <v>0</v>
      </c>
    </row>
    <row r="368" spans="1:14" ht="18.75" customHeight="1" x14ac:dyDescent="0.25">
      <c r="A368" s="706" t="s">
        <v>590</v>
      </c>
      <c r="B368" s="707"/>
      <c r="C368" s="708"/>
      <c r="D368" s="73" t="s">
        <v>591</v>
      </c>
      <c r="E368" s="495">
        <f t="shared" si="36"/>
        <v>0</v>
      </c>
      <c r="J368" s="706" t="s">
        <v>590</v>
      </c>
      <c r="K368" s="707"/>
      <c r="L368" s="708"/>
      <c r="M368" s="73" t="s">
        <v>591</v>
      </c>
      <c r="N368" s="495">
        <f t="shared" si="37"/>
        <v>0</v>
      </c>
    </row>
    <row r="369" spans="1:14" ht="18.75" customHeight="1" x14ac:dyDescent="0.25">
      <c r="A369" s="706" t="s">
        <v>592</v>
      </c>
      <c r="B369" s="707"/>
      <c r="C369" s="708"/>
      <c r="D369" s="73" t="s">
        <v>593</v>
      </c>
      <c r="E369" s="495">
        <f t="shared" si="36"/>
        <v>0</v>
      </c>
      <c r="J369" s="706" t="s">
        <v>592</v>
      </c>
      <c r="K369" s="707"/>
      <c r="L369" s="708"/>
      <c r="M369" s="73" t="s">
        <v>593</v>
      </c>
      <c r="N369" s="495">
        <f t="shared" si="37"/>
        <v>0</v>
      </c>
    </row>
    <row r="370" spans="1:14" ht="18.75" customHeight="1" x14ac:dyDescent="0.25">
      <c r="A370" s="706" t="s">
        <v>594</v>
      </c>
      <c r="B370" s="707"/>
      <c r="C370" s="708"/>
      <c r="D370" s="73" t="s">
        <v>595</v>
      </c>
      <c r="E370" s="495">
        <f t="shared" si="36"/>
        <v>0</v>
      </c>
      <c r="J370" s="706" t="s">
        <v>594</v>
      </c>
      <c r="K370" s="707"/>
      <c r="L370" s="708"/>
      <c r="M370" s="73" t="s">
        <v>595</v>
      </c>
      <c r="N370" s="495">
        <f t="shared" si="37"/>
        <v>0</v>
      </c>
    </row>
    <row r="371" spans="1:14" ht="18.75" customHeight="1" x14ac:dyDescent="0.25">
      <c r="A371" s="706" t="s">
        <v>596</v>
      </c>
      <c r="B371" s="707"/>
      <c r="C371" s="708"/>
      <c r="D371" s="73" t="s">
        <v>597</v>
      </c>
      <c r="E371" s="495">
        <f t="shared" si="36"/>
        <v>0</v>
      </c>
      <c r="J371" s="706" t="s">
        <v>596</v>
      </c>
      <c r="K371" s="707"/>
      <c r="L371" s="708"/>
      <c r="M371" s="73" t="s">
        <v>597</v>
      </c>
      <c r="N371" s="495">
        <f t="shared" si="37"/>
        <v>0</v>
      </c>
    </row>
    <row r="372" spans="1:14" ht="18.75" customHeight="1" x14ac:dyDescent="0.25">
      <c r="A372" s="706" t="s">
        <v>598</v>
      </c>
      <c r="B372" s="707"/>
      <c r="C372" s="708"/>
      <c r="D372" s="73" t="s">
        <v>599</v>
      </c>
      <c r="E372" s="495">
        <f t="shared" si="36"/>
        <v>0</v>
      </c>
      <c r="J372" s="706" t="s">
        <v>598</v>
      </c>
      <c r="K372" s="707"/>
      <c r="L372" s="708"/>
      <c r="M372" s="73" t="s">
        <v>599</v>
      </c>
      <c r="N372" s="495">
        <f t="shared" si="37"/>
        <v>0</v>
      </c>
    </row>
    <row r="373" spans="1:14" ht="18.75" customHeight="1" x14ac:dyDescent="0.25">
      <c r="A373" s="706" t="s">
        <v>600</v>
      </c>
      <c r="B373" s="707"/>
      <c r="C373" s="708"/>
      <c r="D373" s="73" t="s">
        <v>601</v>
      </c>
      <c r="E373" s="495">
        <f t="shared" si="36"/>
        <v>0</v>
      </c>
      <c r="J373" s="706" t="s">
        <v>600</v>
      </c>
      <c r="K373" s="707"/>
      <c r="L373" s="708"/>
      <c r="M373" s="73" t="s">
        <v>601</v>
      </c>
      <c r="N373" s="495">
        <f t="shared" si="37"/>
        <v>0</v>
      </c>
    </row>
    <row r="374" spans="1:14" ht="18.75" customHeight="1" thickBot="1" x14ac:dyDescent="0.3">
      <c r="A374" s="709" t="s">
        <v>341</v>
      </c>
      <c r="B374" s="709"/>
      <c r="C374" s="709"/>
      <c r="D374" s="709"/>
      <c r="E374" s="496">
        <f>SUM(E346:E373)</f>
        <v>0</v>
      </c>
      <c r="J374" s="709" t="s">
        <v>341</v>
      </c>
      <c r="K374" s="709"/>
      <c r="L374" s="709"/>
      <c r="M374" s="709"/>
      <c r="N374" s="496">
        <f>SUM(N346:N373)</f>
        <v>0</v>
      </c>
    </row>
    <row r="375" spans="1:14" ht="18.75" customHeight="1" thickBot="1" x14ac:dyDescent="0.3">
      <c r="A375" s="699" t="s">
        <v>602</v>
      </c>
      <c r="B375" s="700"/>
      <c r="C375" s="700"/>
      <c r="D375" s="701"/>
      <c r="J375" s="699" t="s">
        <v>602</v>
      </c>
      <c r="K375" s="700"/>
      <c r="L375" s="700"/>
      <c r="M375" s="701"/>
    </row>
    <row r="376" spans="1:14" ht="18.75" customHeight="1" x14ac:dyDescent="0.25">
      <c r="A376" s="706" t="s">
        <v>603</v>
      </c>
      <c r="B376" s="707"/>
      <c r="C376" s="708"/>
      <c r="D376" s="73" t="s">
        <v>604</v>
      </c>
      <c r="E376" s="495">
        <f t="shared" ref="E376:E439" si="38">COUNTIF($A$4:$T$22,D376)+COUNTIF($A$24:$R$24,D376)+COUNTIF($A$25:$Q$25,D376)+COUNTIF($A$26:$M$42,D376)+COUNTIF($A$23:$S$23,D376)+COUNTIF($A$43:$O$79,D376)+COUNTIF($P$43:$P$47,D376)+COUNTIF($N$26:$O$27,D376)</f>
        <v>0</v>
      </c>
      <c r="J376" s="706" t="s">
        <v>603</v>
      </c>
      <c r="K376" s="707"/>
      <c r="L376" s="708"/>
      <c r="M376" s="73" t="s">
        <v>604</v>
      </c>
      <c r="N376" s="495">
        <f t="shared" ref="N376:N439" si="39">COUNTIF($P$26:$S$27,M376)+COUNTIF($R$24:$S$25,M376)+COUNTIF($P$47:$S$73,M376)+COUNTIF($T$22:$BI$73,M376)+COUNTIF($N$28:$S$42,M376)</f>
        <v>0</v>
      </c>
    </row>
    <row r="377" spans="1:14" ht="18.75" customHeight="1" x14ac:dyDescent="0.25">
      <c r="A377" s="706" t="s">
        <v>605</v>
      </c>
      <c r="B377" s="707"/>
      <c r="C377" s="708"/>
      <c r="D377" s="73" t="s">
        <v>245</v>
      </c>
      <c r="E377" s="495">
        <f t="shared" si="38"/>
        <v>0</v>
      </c>
      <c r="J377" s="706" t="s">
        <v>605</v>
      </c>
      <c r="K377" s="707"/>
      <c r="L377" s="708"/>
      <c r="M377" s="73" t="s">
        <v>245</v>
      </c>
      <c r="N377" s="495">
        <f t="shared" si="39"/>
        <v>1</v>
      </c>
    </row>
    <row r="378" spans="1:14" ht="18.75" customHeight="1" x14ac:dyDescent="0.25">
      <c r="A378" s="706" t="s">
        <v>606</v>
      </c>
      <c r="B378" s="707"/>
      <c r="C378" s="708"/>
      <c r="D378" s="73" t="s">
        <v>607</v>
      </c>
      <c r="E378" s="495">
        <f t="shared" si="38"/>
        <v>0</v>
      </c>
      <c r="J378" s="706" t="s">
        <v>606</v>
      </c>
      <c r="K378" s="707"/>
      <c r="L378" s="708"/>
      <c r="M378" s="73" t="s">
        <v>607</v>
      </c>
      <c r="N378" s="495">
        <f t="shared" si="39"/>
        <v>0</v>
      </c>
    </row>
    <row r="379" spans="1:14" ht="18.75" customHeight="1" x14ac:dyDescent="0.25">
      <c r="A379" s="706" t="s">
        <v>608</v>
      </c>
      <c r="B379" s="707"/>
      <c r="C379" s="708"/>
      <c r="D379" s="73" t="s">
        <v>609</v>
      </c>
      <c r="E379" s="495">
        <f t="shared" si="38"/>
        <v>0</v>
      </c>
      <c r="J379" s="706" t="s">
        <v>608</v>
      </c>
      <c r="K379" s="707"/>
      <c r="L379" s="708"/>
      <c r="M379" s="73" t="s">
        <v>609</v>
      </c>
      <c r="N379" s="495">
        <f t="shared" si="39"/>
        <v>0</v>
      </c>
    </row>
    <row r="380" spans="1:14" ht="18.75" customHeight="1" x14ac:dyDescent="0.25">
      <c r="A380" s="706" t="s">
        <v>610</v>
      </c>
      <c r="B380" s="707"/>
      <c r="C380" s="708"/>
      <c r="D380" s="73" t="s">
        <v>285</v>
      </c>
      <c r="E380" s="495">
        <f t="shared" si="38"/>
        <v>1</v>
      </c>
      <c r="J380" s="706" t="s">
        <v>610</v>
      </c>
      <c r="K380" s="707"/>
      <c r="L380" s="708"/>
      <c r="M380" s="73" t="s">
        <v>285</v>
      </c>
      <c r="N380" s="495">
        <f t="shared" si="39"/>
        <v>0</v>
      </c>
    </row>
    <row r="381" spans="1:14" ht="18.75" customHeight="1" x14ac:dyDescent="0.25">
      <c r="A381" s="706" t="s">
        <v>611</v>
      </c>
      <c r="B381" s="707"/>
      <c r="C381" s="708"/>
      <c r="D381" s="73" t="s">
        <v>612</v>
      </c>
      <c r="E381" s="495">
        <f t="shared" si="38"/>
        <v>0</v>
      </c>
      <c r="J381" s="706" t="s">
        <v>611</v>
      </c>
      <c r="K381" s="707"/>
      <c r="L381" s="708"/>
      <c r="M381" s="73" t="s">
        <v>612</v>
      </c>
      <c r="N381" s="495">
        <f t="shared" si="39"/>
        <v>0</v>
      </c>
    </row>
    <row r="382" spans="1:14" ht="18.75" customHeight="1" x14ac:dyDescent="0.25">
      <c r="A382" s="706" t="s">
        <v>613</v>
      </c>
      <c r="B382" s="707"/>
      <c r="C382" s="708"/>
      <c r="D382" s="73" t="s">
        <v>614</v>
      </c>
      <c r="E382" s="495">
        <f t="shared" si="38"/>
        <v>0</v>
      </c>
      <c r="J382" s="706" t="s">
        <v>613</v>
      </c>
      <c r="K382" s="707"/>
      <c r="L382" s="708"/>
      <c r="M382" s="73" t="s">
        <v>614</v>
      </c>
      <c r="N382" s="495">
        <f t="shared" si="39"/>
        <v>0</v>
      </c>
    </row>
    <row r="383" spans="1:14" ht="18.75" customHeight="1" x14ac:dyDescent="0.25">
      <c r="A383" s="706" t="s">
        <v>615</v>
      </c>
      <c r="B383" s="707"/>
      <c r="C383" s="708"/>
      <c r="D383" s="73" t="s">
        <v>616</v>
      </c>
      <c r="E383" s="495">
        <f t="shared" si="38"/>
        <v>0</v>
      </c>
      <c r="J383" s="706" t="s">
        <v>615</v>
      </c>
      <c r="K383" s="707"/>
      <c r="L383" s="708"/>
      <c r="M383" s="73" t="s">
        <v>616</v>
      </c>
      <c r="N383" s="495">
        <f t="shared" si="39"/>
        <v>0</v>
      </c>
    </row>
    <row r="384" spans="1:14" ht="18.75" customHeight="1" x14ac:dyDescent="0.25">
      <c r="A384" s="706" t="s">
        <v>617</v>
      </c>
      <c r="B384" s="707"/>
      <c r="C384" s="708"/>
      <c r="D384" s="73" t="s">
        <v>278</v>
      </c>
      <c r="E384" s="495">
        <f t="shared" si="38"/>
        <v>1</v>
      </c>
      <c r="J384" s="706" t="s">
        <v>617</v>
      </c>
      <c r="K384" s="707"/>
      <c r="L384" s="708"/>
      <c r="M384" s="73" t="s">
        <v>278</v>
      </c>
      <c r="N384" s="495">
        <f t="shared" si="39"/>
        <v>1</v>
      </c>
    </row>
    <row r="385" spans="1:17" ht="18.75" customHeight="1" x14ac:dyDescent="0.25">
      <c r="A385" s="706" t="s">
        <v>618</v>
      </c>
      <c r="B385" s="707"/>
      <c r="C385" s="708"/>
      <c r="D385" s="73" t="s">
        <v>619</v>
      </c>
      <c r="E385" s="495">
        <f t="shared" si="38"/>
        <v>0</v>
      </c>
      <c r="J385" s="706" t="s">
        <v>618</v>
      </c>
      <c r="K385" s="707"/>
      <c r="L385" s="708"/>
      <c r="M385" s="73" t="s">
        <v>619</v>
      </c>
      <c r="N385" s="495">
        <f t="shared" si="39"/>
        <v>0</v>
      </c>
    </row>
    <row r="386" spans="1:17" ht="18.75" customHeight="1" x14ac:dyDescent="0.25">
      <c r="A386" s="706" t="s">
        <v>620</v>
      </c>
      <c r="B386" s="707"/>
      <c r="C386" s="708"/>
      <c r="D386" s="73" t="s">
        <v>215</v>
      </c>
      <c r="E386" s="495">
        <f t="shared" si="38"/>
        <v>0</v>
      </c>
      <c r="J386" s="706" t="s">
        <v>620</v>
      </c>
      <c r="K386" s="707"/>
      <c r="L386" s="708"/>
      <c r="M386" s="73" t="s">
        <v>215</v>
      </c>
      <c r="N386" s="495">
        <f t="shared" si="39"/>
        <v>1</v>
      </c>
    </row>
    <row r="387" spans="1:17" ht="18.75" customHeight="1" x14ac:dyDescent="0.25">
      <c r="A387" s="706" t="s">
        <v>621</v>
      </c>
      <c r="B387" s="707"/>
      <c r="C387" s="708"/>
      <c r="D387" s="73" t="s">
        <v>622</v>
      </c>
      <c r="E387" s="495">
        <f t="shared" si="38"/>
        <v>0</v>
      </c>
      <c r="J387" s="706" t="s">
        <v>621</v>
      </c>
      <c r="K387" s="707"/>
      <c r="L387" s="708"/>
      <c r="M387" s="73" t="s">
        <v>622</v>
      </c>
      <c r="N387" s="495">
        <f t="shared" si="39"/>
        <v>0</v>
      </c>
    </row>
    <row r="388" spans="1:17" ht="18.75" customHeight="1" x14ac:dyDescent="0.25">
      <c r="A388" s="706" t="s">
        <v>623</v>
      </c>
      <c r="B388" s="707"/>
      <c r="C388" s="708"/>
      <c r="D388" s="73" t="s">
        <v>624</v>
      </c>
      <c r="E388" s="495">
        <f t="shared" si="38"/>
        <v>0</v>
      </c>
      <c r="J388" s="706" t="s">
        <v>623</v>
      </c>
      <c r="K388" s="707"/>
      <c r="L388" s="708"/>
      <c r="M388" s="73" t="s">
        <v>624</v>
      </c>
      <c r="N388" s="495">
        <f t="shared" si="39"/>
        <v>0</v>
      </c>
    </row>
    <row r="389" spans="1:17" ht="18.75" customHeight="1" x14ac:dyDescent="0.25">
      <c r="A389" s="706" t="s">
        <v>625</v>
      </c>
      <c r="B389" s="707"/>
      <c r="C389" s="708"/>
      <c r="D389" s="73" t="s">
        <v>626</v>
      </c>
      <c r="E389" s="495">
        <f t="shared" si="38"/>
        <v>0</v>
      </c>
      <c r="J389" s="706" t="s">
        <v>625</v>
      </c>
      <c r="K389" s="707"/>
      <c r="L389" s="708"/>
      <c r="M389" s="73" t="s">
        <v>626</v>
      </c>
      <c r="N389" s="495">
        <f t="shared" si="39"/>
        <v>0</v>
      </c>
    </row>
    <row r="390" spans="1:17" ht="18.75" customHeight="1" x14ac:dyDescent="0.25">
      <c r="A390" s="706" t="s">
        <v>627</v>
      </c>
      <c r="B390" s="707"/>
      <c r="C390" s="708"/>
      <c r="D390" s="73" t="s">
        <v>628</v>
      </c>
      <c r="E390" s="495">
        <f t="shared" si="38"/>
        <v>0</v>
      </c>
      <c r="J390" s="706" t="s">
        <v>627</v>
      </c>
      <c r="K390" s="707"/>
      <c r="L390" s="708"/>
      <c r="M390" s="73" t="s">
        <v>628</v>
      </c>
      <c r="N390" s="495">
        <f t="shared" si="39"/>
        <v>0</v>
      </c>
    </row>
    <row r="391" spans="1:17" ht="18.75" customHeight="1" x14ac:dyDescent="0.25">
      <c r="A391" s="706" t="s">
        <v>629</v>
      </c>
      <c r="B391" s="707"/>
      <c r="C391" s="708"/>
      <c r="D391" s="73" t="s">
        <v>630</v>
      </c>
      <c r="E391" s="495">
        <f t="shared" si="38"/>
        <v>0</v>
      </c>
      <c r="J391" s="706" t="s">
        <v>629</v>
      </c>
      <c r="K391" s="707"/>
      <c r="L391" s="708"/>
      <c r="M391" s="73" t="s">
        <v>630</v>
      </c>
      <c r="N391" s="495">
        <f t="shared" si="39"/>
        <v>0</v>
      </c>
    </row>
    <row r="392" spans="1:17" ht="18.75" customHeight="1" x14ac:dyDescent="0.25">
      <c r="A392" s="706" t="s">
        <v>631</v>
      </c>
      <c r="B392" s="707"/>
      <c r="C392" s="708"/>
      <c r="D392" s="73" t="s">
        <v>237</v>
      </c>
      <c r="E392" s="495">
        <f t="shared" si="38"/>
        <v>1</v>
      </c>
      <c r="J392" s="706" t="s">
        <v>631</v>
      </c>
      <c r="K392" s="707"/>
      <c r="L392" s="708"/>
      <c r="M392" s="73" t="s">
        <v>237</v>
      </c>
      <c r="N392" s="495">
        <f t="shared" si="39"/>
        <v>0</v>
      </c>
    </row>
    <row r="393" spans="1:17" ht="18.75" customHeight="1" x14ac:dyDescent="0.25">
      <c r="A393" s="706" t="s">
        <v>632</v>
      </c>
      <c r="B393" s="707"/>
      <c r="C393" s="708"/>
      <c r="D393" s="73" t="s">
        <v>633</v>
      </c>
      <c r="E393" s="495">
        <f t="shared" si="38"/>
        <v>0</v>
      </c>
      <c r="J393" s="706" t="s">
        <v>632</v>
      </c>
      <c r="K393" s="707"/>
      <c r="L393" s="708"/>
      <c r="M393" s="73" t="s">
        <v>633</v>
      </c>
      <c r="N393" s="495">
        <f t="shared" si="39"/>
        <v>0</v>
      </c>
      <c r="O393" s="19"/>
      <c r="P393" s="19"/>
      <c r="Q393" s="19"/>
    </row>
    <row r="394" spans="1:17" ht="18.75" customHeight="1" x14ac:dyDescent="0.25">
      <c r="A394" s="706" t="s">
        <v>634</v>
      </c>
      <c r="B394" s="707"/>
      <c r="C394" s="708"/>
      <c r="D394" s="73" t="s">
        <v>635</v>
      </c>
      <c r="E394" s="495">
        <f t="shared" si="38"/>
        <v>0</v>
      </c>
      <c r="J394" s="706" t="s">
        <v>634</v>
      </c>
      <c r="K394" s="707"/>
      <c r="L394" s="708"/>
      <c r="M394" s="73" t="s">
        <v>635</v>
      </c>
      <c r="N394" s="495">
        <f t="shared" si="39"/>
        <v>0</v>
      </c>
    </row>
    <row r="395" spans="1:17" ht="18.75" customHeight="1" x14ac:dyDescent="0.25">
      <c r="A395" s="706" t="s">
        <v>636</v>
      </c>
      <c r="B395" s="707"/>
      <c r="C395" s="708"/>
      <c r="D395" s="73" t="s">
        <v>264</v>
      </c>
      <c r="E395" s="495">
        <f t="shared" si="38"/>
        <v>1</v>
      </c>
      <c r="J395" s="706" t="s">
        <v>636</v>
      </c>
      <c r="K395" s="707"/>
      <c r="L395" s="708"/>
      <c r="M395" s="73" t="s">
        <v>264</v>
      </c>
      <c r="N395" s="495">
        <f t="shared" si="39"/>
        <v>0</v>
      </c>
    </row>
    <row r="396" spans="1:17" ht="18.75" customHeight="1" x14ac:dyDescent="0.25">
      <c r="A396" s="706" t="s">
        <v>637</v>
      </c>
      <c r="B396" s="707"/>
      <c r="C396" s="708"/>
      <c r="D396" s="73" t="s">
        <v>638</v>
      </c>
      <c r="E396" s="495">
        <f t="shared" si="38"/>
        <v>0</v>
      </c>
      <c r="J396" s="706" t="s">
        <v>637</v>
      </c>
      <c r="K396" s="707"/>
      <c r="L396" s="708"/>
      <c r="M396" s="73" t="s">
        <v>638</v>
      </c>
      <c r="N396" s="495">
        <f t="shared" si="39"/>
        <v>0</v>
      </c>
    </row>
    <row r="397" spans="1:17" ht="18.75" customHeight="1" x14ac:dyDescent="0.25">
      <c r="A397" s="706" t="s">
        <v>639</v>
      </c>
      <c r="B397" s="707"/>
      <c r="C397" s="708"/>
      <c r="D397" s="73" t="s">
        <v>640</v>
      </c>
      <c r="E397" s="495">
        <f t="shared" si="38"/>
        <v>0</v>
      </c>
      <c r="J397" s="706" t="s">
        <v>639</v>
      </c>
      <c r="K397" s="707"/>
      <c r="L397" s="708"/>
      <c r="M397" s="73" t="s">
        <v>640</v>
      </c>
      <c r="N397" s="495">
        <f t="shared" si="39"/>
        <v>0</v>
      </c>
    </row>
    <row r="398" spans="1:17" ht="18.75" customHeight="1" x14ac:dyDescent="0.25">
      <c r="A398" s="706" t="s">
        <v>641</v>
      </c>
      <c r="B398" s="707"/>
      <c r="C398" s="708"/>
      <c r="D398" s="73" t="s">
        <v>642</v>
      </c>
      <c r="E398" s="495">
        <f t="shared" si="38"/>
        <v>0</v>
      </c>
      <c r="J398" s="706" t="s">
        <v>641</v>
      </c>
      <c r="K398" s="707"/>
      <c r="L398" s="708"/>
      <c r="M398" s="73" t="s">
        <v>642</v>
      </c>
      <c r="N398" s="495">
        <f t="shared" si="39"/>
        <v>0</v>
      </c>
    </row>
    <row r="399" spans="1:17" ht="18.75" customHeight="1" x14ac:dyDescent="0.25">
      <c r="A399" s="706" t="s">
        <v>643</v>
      </c>
      <c r="B399" s="707"/>
      <c r="C399" s="708"/>
      <c r="D399" s="73" t="s">
        <v>644</v>
      </c>
      <c r="E399" s="495">
        <f t="shared" si="38"/>
        <v>0</v>
      </c>
      <c r="J399" s="706" t="s">
        <v>643</v>
      </c>
      <c r="K399" s="707"/>
      <c r="L399" s="708"/>
      <c r="M399" s="73" t="s">
        <v>644</v>
      </c>
      <c r="N399" s="495">
        <f t="shared" si="39"/>
        <v>0</v>
      </c>
    </row>
    <row r="400" spans="1:17" ht="18.75" customHeight="1" x14ac:dyDescent="0.25">
      <c r="A400" s="706" t="s">
        <v>645</v>
      </c>
      <c r="B400" s="707"/>
      <c r="C400" s="708"/>
      <c r="D400" s="73" t="s">
        <v>646</v>
      </c>
      <c r="E400" s="495">
        <f t="shared" si="38"/>
        <v>0</v>
      </c>
      <c r="J400" s="706" t="s">
        <v>645</v>
      </c>
      <c r="K400" s="707"/>
      <c r="L400" s="708"/>
      <c r="M400" s="73" t="s">
        <v>646</v>
      </c>
      <c r="N400" s="495">
        <f t="shared" si="39"/>
        <v>0</v>
      </c>
    </row>
    <row r="401" spans="1:14" ht="18.75" customHeight="1" x14ac:dyDescent="0.25">
      <c r="A401" s="706" t="s">
        <v>647</v>
      </c>
      <c r="B401" s="707"/>
      <c r="C401" s="708"/>
      <c r="D401" s="73" t="s">
        <v>648</v>
      </c>
      <c r="E401" s="495">
        <f t="shared" si="38"/>
        <v>0</v>
      </c>
      <c r="J401" s="706" t="s">
        <v>647</v>
      </c>
      <c r="K401" s="707"/>
      <c r="L401" s="708"/>
      <c r="M401" s="73" t="s">
        <v>648</v>
      </c>
      <c r="N401" s="495">
        <f t="shared" si="39"/>
        <v>0</v>
      </c>
    </row>
    <row r="402" spans="1:14" ht="18.75" customHeight="1" x14ac:dyDescent="0.25">
      <c r="A402" s="706" t="s">
        <v>649</v>
      </c>
      <c r="B402" s="707"/>
      <c r="C402" s="708"/>
      <c r="D402" s="73" t="s">
        <v>273</v>
      </c>
      <c r="E402" s="495">
        <f t="shared" si="38"/>
        <v>0</v>
      </c>
      <c r="J402" s="706" t="s">
        <v>649</v>
      </c>
      <c r="K402" s="707"/>
      <c r="L402" s="708"/>
      <c r="M402" s="73" t="s">
        <v>273</v>
      </c>
      <c r="N402" s="495">
        <f t="shared" si="39"/>
        <v>1</v>
      </c>
    </row>
    <row r="403" spans="1:14" ht="18.75" customHeight="1" x14ac:dyDescent="0.25">
      <c r="A403" s="706" t="s">
        <v>650</v>
      </c>
      <c r="B403" s="707"/>
      <c r="C403" s="708"/>
      <c r="D403" s="73" t="s">
        <v>651</v>
      </c>
      <c r="E403" s="495">
        <f t="shared" si="38"/>
        <v>0</v>
      </c>
      <c r="J403" s="706" t="s">
        <v>650</v>
      </c>
      <c r="K403" s="707"/>
      <c r="L403" s="708"/>
      <c r="M403" s="73" t="s">
        <v>651</v>
      </c>
      <c r="N403" s="495">
        <f t="shared" si="39"/>
        <v>0</v>
      </c>
    </row>
    <row r="404" spans="1:14" ht="18.75" customHeight="1" x14ac:dyDescent="0.25">
      <c r="A404" s="706" t="s">
        <v>652</v>
      </c>
      <c r="B404" s="707"/>
      <c r="C404" s="708"/>
      <c r="D404" s="73" t="s">
        <v>653</v>
      </c>
      <c r="E404" s="495">
        <f t="shared" si="38"/>
        <v>0</v>
      </c>
      <c r="J404" s="706" t="s">
        <v>652</v>
      </c>
      <c r="K404" s="707"/>
      <c r="L404" s="708"/>
      <c r="M404" s="73" t="s">
        <v>653</v>
      </c>
      <c r="N404" s="495">
        <f t="shared" si="39"/>
        <v>0</v>
      </c>
    </row>
    <row r="405" spans="1:14" ht="18.75" customHeight="1" x14ac:dyDescent="0.25">
      <c r="A405" s="706" t="s">
        <v>654</v>
      </c>
      <c r="B405" s="707"/>
      <c r="C405" s="708"/>
      <c r="D405" s="73" t="s">
        <v>655</v>
      </c>
      <c r="E405" s="495">
        <f t="shared" si="38"/>
        <v>0</v>
      </c>
      <c r="J405" s="706" t="s">
        <v>654</v>
      </c>
      <c r="K405" s="707"/>
      <c r="L405" s="708"/>
      <c r="M405" s="73" t="s">
        <v>655</v>
      </c>
      <c r="N405" s="495">
        <f t="shared" si="39"/>
        <v>0</v>
      </c>
    </row>
    <row r="406" spans="1:14" ht="18.75" customHeight="1" x14ac:dyDescent="0.25">
      <c r="A406" s="706" t="s">
        <v>656</v>
      </c>
      <c r="B406" s="707"/>
      <c r="C406" s="708"/>
      <c r="D406" s="73" t="s">
        <v>657</v>
      </c>
      <c r="E406" s="495">
        <f t="shared" si="38"/>
        <v>0</v>
      </c>
      <c r="J406" s="706" t="s">
        <v>656</v>
      </c>
      <c r="K406" s="707"/>
      <c r="L406" s="708"/>
      <c r="M406" s="73" t="s">
        <v>657</v>
      </c>
      <c r="N406" s="495">
        <f t="shared" si="39"/>
        <v>0</v>
      </c>
    </row>
    <row r="407" spans="1:14" ht="18.75" customHeight="1" x14ac:dyDescent="0.25">
      <c r="A407" s="706" t="s">
        <v>658</v>
      </c>
      <c r="B407" s="707"/>
      <c r="C407" s="708"/>
      <c r="D407" s="73" t="s">
        <v>659</v>
      </c>
      <c r="E407" s="495">
        <f t="shared" si="38"/>
        <v>0</v>
      </c>
      <c r="J407" s="706" t="s">
        <v>658</v>
      </c>
      <c r="K407" s="707"/>
      <c r="L407" s="708"/>
      <c r="M407" s="73" t="s">
        <v>659</v>
      </c>
      <c r="N407" s="495">
        <f t="shared" si="39"/>
        <v>0</v>
      </c>
    </row>
    <row r="408" spans="1:14" ht="18.75" customHeight="1" x14ac:dyDescent="0.25">
      <c r="A408" s="706" t="s">
        <v>660</v>
      </c>
      <c r="B408" s="707"/>
      <c r="C408" s="708"/>
      <c r="D408" s="73" t="s">
        <v>661</v>
      </c>
      <c r="E408" s="495">
        <f t="shared" si="38"/>
        <v>0</v>
      </c>
      <c r="J408" s="706" t="s">
        <v>660</v>
      </c>
      <c r="K408" s="707"/>
      <c r="L408" s="708"/>
      <c r="M408" s="73" t="s">
        <v>661</v>
      </c>
      <c r="N408" s="495">
        <f t="shared" si="39"/>
        <v>0</v>
      </c>
    </row>
    <row r="409" spans="1:14" ht="18.75" customHeight="1" x14ac:dyDescent="0.25">
      <c r="A409" s="706" t="s">
        <v>662</v>
      </c>
      <c r="B409" s="707"/>
      <c r="C409" s="708"/>
      <c r="D409" s="73" t="s">
        <v>663</v>
      </c>
      <c r="E409" s="495">
        <f t="shared" si="38"/>
        <v>0</v>
      </c>
      <c r="J409" s="706" t="s">
        <v>662</v>
      </c>
      <c r="K409" s="707"/>
      <c r="L409" s="708"/>
      <c r="M409" s="73" t="s">
        <v>663</v>
      </c>
      <c r="N409" s="495">
        <f t="shared" si="39"/>
        <v>0</v>
      </c>
    </row>
    <row r="410" spans="1:14" ht="18.75" customHeight="1" x14ac:dyDescent="0.25">
      <c r="A410" s="706" t="s">
        <v>664</v>
      </c>
      <c r="B410" s="707"/>
      <c r="C410" s="708"/>
      <c r="D410" s="73" t="s">
        <v>665</v>
      </c>
      <c r="E410" s="495">
        <f t="shared" si="38"/>
        <v>0</v>
      </c>
      <c r="J410" s="706" t="s">
        <v>664</v>
      </c>
      <c r="K410" s="707"/>
      <c r="L410" s="708"/>
      <c r="M410" s="73" t="s">
        <v>665</v>
      </c>
      <c r="N410" s="495">
        <f t="shared" si="39"/>
        <v>0</v>
      </c>
    </row>
    <row r="411" spans="1:14" ht="18.75" customHeight="1" x14ac:dyDescent="0.25">
      <c r="A411" s="706" t="s">
        <v>666</v>
      </c>
      <c r="B411" s="707"/>
      <c r="C411" s="708"/>
      <c r="D411" s="73" t="s">
        <v>667</v>
      </c>
      <c r="E411" s="495">
        <f t="shared" si="38"/>
        <v>0</v>
      </c>
      <c r="J411" s="706" t="s">
        <v>666</v>
      </c>
      <c r="K411" s="707"/>
      <c r="L411" s="708"/>
      <c r="M411" s="73" t="s">
        <v>667</v>
      </c>
      <c r="N411" s="495">
        <f t="shared" si="39"/>
        <v>0</v>
      </c>
    </row>
    <row r="412" spans="1:14" ht="18.75" customHeight="1" x14ac:dyDescent="0.25">
      <c r="A412" s="706" t="s">
        <v>668</v>
      </c>
      <c r="B412" s="707"/>
      <c r="C412" s="708"/>
      <c r="D412" s="73" t="s">
        <v>669</v>
      </c>
      <c r="E412" s="495">
        <f t="shared" si="38"/>
        <v>0</v>
      </c>
      <c r="J412" s="706" t="s">
        <v>668</v>
      </c>
      <c r="K412" s="707"/>
      <c r="L412" s="708"/>
      <c r="M412" s="73" t="s">
        <v>669</v>
      </c>
      <c r="N412" s="495">
        <f t="shared" si="39"/>
        <v>0</v>
      </c>
    </row>
    <row r="413" spans="1:14" ht="18.75" customHeight="1" x14ac:dyDescent="0.25">
      <c r="A413" s="706" t="s">
        <v>670</v>
      </c>
      <c r="B413" s="707"/>
      <c r="C413" s="708"/>
      <c r="D413" s="73" t="s">
        <v>671</v>
      </c>
      <c r="E413" s="495">
        <f t="shared" si="38"/>
        <v>0</v>
      </c>
      <c r="J413" s="706" t="s">
        <v>670</v>
      </c>
      <c r="K413" s="707"/>
      <c r="L413" s="708"/>
      <c r="M413" s="73" t="s">
        <v>671</v>
      </c>
      <c r="N413" s="495">
        <f t="shared" si="39"/>
        <v>0</v>
      </c>
    </row>
    <row r="414" spans="1:14" ht="18.75" customHeight="1" x14ac:dyDescent="0.25">
      <c r="A414" s="706" t="s">
        <v>672</v>
      </c>
      <c r="B414" s="707"/>
      <c r="C414" s="708"/>
      <c r="D414" s="73" t="s">
        <v>673</v>
      </c>
      <c r="E414" s="495">
        <f t="shared" si="38"/>
        <v>0</v>
      </c>
      <c r="J414" s="706" t="s">
        <v>672</v>
      </c>
      <c r="K414" s="707"/>
      <c r="L414" s="708"/>
      <c r="M414" s="73" t="s">
        <v>673</v>
      </c>
      <c r="N414" s="495">
        <f t="shared" si="39"/>
        <v>0</v>
      </c>
    </row>
    <row r="415" spans="1:14" ht="18.75" customHeight="1" x14ac:dyDescent="0.25">
      <c r="A415" s="706" t="s">
        <v>674</v>
      </c>
      <c r="B415" s="707"/>
      <c r="C415" s="708"/>
      <c r="D415" s="73" t="s">
        <v>675</v>
      </c>
      <c r="E415" s="495">
        <f t="shared" si="38"/>
        <v>0</v>
      </c>
      <c r="J415" s="706" t="s">
        <v>674</v>
      </c>
      <c r="K415" s="707"/>
      <c r="L415" s="708"/>
      <c r="M415" s="73" t="s">
        <v>675</v>
      </c>
      <c r="N415" s="495">
        <f t="shared" si="39"/>
        <v>0</v>
      </c>
    </row>
    <row r="416" spans="1:14" ht="18.75" customHeight="1" x14ac:dyDescent="0.25">
      <c r="A416" s="706" t="s">
        <v>676</v>
      </c>
      <c r="B416" s="707"/>
      <c r="C416" s="708"/>
      <c r="D416" s="73" t="s">
        <v>677</v>
      </c>
      <c r="E416" s="495">
        <f t="shared" si="38"/>
        <v>0</v>
      </c>
      <c r="J416" s="706" t="s">
        <v>676</v>
      </c>
      <c r="K416" s="707"/>
      <c r="L416" s="708"/>
      <c r="M416" s="73" t="s">
        <v>677</v>
      </c>
      <c r="N416" s="495">
        <f t="shared" si="39"/>
        <v>0</v>
      </c>
    </row>
    <row r="417" spans="1:14" ht="18.75" customHeight="1" x14ac:dyDescent="0.25">
      <c r="A417" s="706" t="s">
        <v>678</v>
      </c>
      <c r="B417" s="707"/>
      <c r="C417" s="708"/>
      <c r="D417" s="73" t="s">
        <v>679</v>
      </c>
      <c r="E417" s="495">
        <f t="shared" si="38"/>
        <v>0</v>
      </c>
      <c r="F417" s="19"/>
      <c r="G417" s="19"/>
      <c r="H417" s="19"/>
      <c r="I417" s="19"/>
      <c r="J417" s="706" t="s">
        <v>678</v>
      </c>
      <c r="K417" s="707"/>
      <c r="L417" s="708"/>
      <c r="M417" s="73" t="s">
        <v>679</v>
      </c>
      <c r="N417" s="495">
        <f t="shared" si="39"/>
        <v>0</v>
      </c>
    </row>
    <row r="418" spans="1:14" ht="18.75" customHeight="1" x14ac:dyDescent="0.25">
      <c r="A418" s="706" t="s">
        <v>680</v>
      </c>
      <c r="B418" s="707"/>
      <c r="C418" s="708"/>
      <c r="D418" s="73" t="s">
        <v>681</v>
      </c>
      <c r="E418" s="495">
        <f t="shared" si="38"/>
        <v>0</v>
      </c>
      <c r="J418" s="706" t="s">
        <v>680</v>
      </c>
      <c r="K418" s="707"/>
      <c r="L418" s="708"/>
      <c r="M418" s="73" t="s">
        <v>681</v>
      </c>
      <c r="N418" s="495">
        <f t="shared" si="39"/>
        <v>0</v>
      </c>
    </row>
    <row r="419" spans="1:14" ht="18.75" customHeight="1" x14ac:dyDescent="0.25">
      <c r="A419" s="706" t="s">
        <v>682</v>
      </c>
      <c r="B419" s="707"/>
      <c r="C419" s="708"/>
      <c r="D419" s="73" t="s">
        <v>683</v>
      </c>
      <c r="E419" s="495">
        <f t="shared" si="38"/>
        <v>0</v>
      </c>
      <c r="J419" s="706" t="s">
        <v>682</v>
      </c>
      <c r="K419" s="707"/>
      <c r="L419" s="708"/>
      <c r="M419" s="73" t="s">
        <v>683</v>
      </c>
      <c r="N419" s="495">
        <f t="shared" si="39"/>
        <v>0</v>
      </c>
    </row>
    <row r="420" spans="1:14" ht="18.75" customHeight="1" x14ac:dyDescent="0.25">
      <c r="A420" s="706" t="s">
        <v>684</v>
      </c>
      <c r="B420" s="707"/>
      <c r="C420" s="708"/>
      <c r="D420" s="73" t="s">
        <v>685</v>
      </c>
      <c r="E420" s="495">
        <f t="shared" si="38"/>
        <v>0</v>
      </c>
      <c r="J420" s="706" t="s">
        <v>684</v>
      </c>
      <c r="K420" s="707"/>
      <c r="L420" s="708"/>
      <c r="M420" s="73" t="s">
        <v>685</v>
      </c>
      <c r="N420" s="495">
        <f t="shared" si="39"/>
        <v>0</v>
      </c>
    </row>
    <row r="421" spans="1:14" ht="18.75" customHeight="1" x14ac:dyDescent="0.25">
      <c r="A421" s="706" t="s">
        <v>686</v>
      </c>
      <c r="B421" s="707"/>
      <c r="C421" s="708"/>
      <c r="D421" s="73" t="s">
        <v>687</v>
      </c>
      <c r="E421" s="495">
        <f t="shared" si="38"/>
        <v>0</v>
      </c>
      <c r="F421" s="19"/>
      <c r="G421" s="19"/>
      <c r="H421" s="19"/>
      <c r="I421" s="19"/>
      <c r="J421" s="706" t="s">
        <v>686</v>
      </c>
      <c r="K421" s="707"/>
      <c r="L421" s="708"/>
      <c r="M421" s="73" t="s">
        <v>687</v>
      </c>
      <c r="N421" s="495">
        <f t="shared" si="39"/>
        <v>0</v>
      </c>
    </row>
    <row r="422" spans="1:14" ht="18.75" customHeight="1" x14ac:dyDescent="0.25">
      <c r="A422" s="706" t="s">
        <v>688</v>
      </c>
      <c r="B422" s="707"/>
      <c r="C422" s="708"/>
      <c r="D422" s="73" t="s">
        <v>689</v>
      </c>
      <c r="E422" s="495">
        <f t="shared" si="38"/>
        <v>0</v>
      </c>
      <c r="J422" s="706" t="s">
        <v>688</v>
      </c>
      <c r="K422" s="707"/>
      <c r="L422" s="708"/>
      <c r="M422" s="73" t="s">
        <v>689</v>
      </c>
      <c r="N422" s="495">
        <f t="shared" si="39"/>
        <v>0</v>
      </c>
    </row>
    <row r="423" spans="1:14" ht="18.75" customHeight="1" x14ac:dyDescent="0.25">
      <c r="A423" s="706" t="s">
        <v>690</v>
      </c>
      <c r="B423" s="707"/>
      <c r="C423" s="708"/>
      <c r="D423" s="73" t="s">
        <v>691</v>
      </c>
      <c r="E423" s="495">
        <f t="shared" si="38"/>
        <v>0</v>
      </c>
      <c r="J423" s="706" t="s">
        <v>690</v>
      </c>
      <c r="K423" s="707"/>
      <c r="L423" s="708"/>
      <c r="M423" s="73" t="s">
        <v>691</v>
      </c>
      <c r="N423" s="495">
        <f t="shared" si="39"/>
        <v>0</v>
      </c>
    </row>
    <row r="424" spans="1:14" ht="18.75" customHeight="1" x14ac:dyDescent="0.25">
      <c r="A424" s="706" t="s">
        <v>690</v>
      </c>
      <c r="B424" s="707"/>
      <c r="C424" s="708"/>
      <c r="D424" s="73" t="s">
        <v>691</v>
      </c>
      <c r="E424" s="495">
        <f t="shared" si="38"/>
        <v>0</v>
      </c>
      <c r="J424" s="706" t="s">
        <v>690</v>
      </c>
      <c r="K424" s="707"/>
      <c r="L424" s="708"/>
      <c r="M424" s="73" t="s">
        <v>691</v>
      </c>
      <c r="N424" s="495">
        <f t="shared" si="39"/>
        <v>0</v>
      </c>
    </row>
    <row r="425" spans="1:14" ht="18.75" customHeight="1" x14ac:dyDescent="0.25">
      <c r="A425" s="706" t="s">
        <v>692</v>
      </c>
      <c r="B425" s="707"/>
      <c r="C425" s="708"/>
      <c r="D425" s="73" t="s">
        <v>693</v>
      </c>
      <c r="E425" s="495">
        <f t="shared" si="38"/>
        <v>0</v>
      </c>
      <c r="J425" s="706" t="s">
        <v>692</v>
      </c>
      <c r="K425" s="707"/>
      <c r="L425" s="708"/>
      <c r="M425" s="73" t="s">
        <v>693</v>
      </c>
      <c r="N425" s="495">
        <f t="shared" si="39"/>
        <v>0</v>
      </c>
    </row>
    <row r="426" spans="1:14" ht="18.75" customHeight="1" x14ac:dyDescent="0.25">
      <c r="A426" s="706" t="s">
        <v>694</v>
      </c>
      <c r="B426" s="707"/>
      <c r="C426" s="708"/>
      <c r="D426" s="73" t="s">
        <v>695</v>
      </c>
      <c r="E426" s="495">
        <f t="shared" si="38"/>
        <v>0</v>
      </c>
      <c r="J426" s="706" t="s">
        <v>694</v>
      </c>
      <c r="K426" s="707"/>
      <c r="L426" s="708"/>
      <c r="M426" s="73" t="s">
        <v>695</v>
      </c>
      <c r="N426" s="495">
        <f t="shared" si="39"/>
        <v>0</v>
      </c>
    </row>
    <row r="427" spans="1:14" ht="18.75" customHeight="1" x14ac:dyDescent="0.25">
      <c r="A427" s="706" t="s">
        <v>696</v>
      </c>
      <c r="B427" s="707"/>
      <c r="C427" s="708"/>
      <c r="D427" s="73" t="s">
        <v>697</v>
      </c>
      <c r="E427" s="495">
        <f t="shared" si="38"/>
        <v>0</v>
      </c>
      <c r="J427" s="706" t="s">
        <v>696</v>
      </c>
      <c r="K427" s="707"/>
      <c r="L427" s="708"/>
      <c r="M427" s="73" t="s">
        <v>697</v>
      </c>
      <c r="N427" s="495">
        <f t="shared" si="39"/>
        <v>0</v>
      </c>
    </row>
    <row r="428" spans="1:14" ht="18.75" customHeight="1" x14ac:dyDescent="0.25">
      <c r="A428" s="706" t="s">
        <v>698</v>
      </c>
      <c r="B428" s="707"/>
      <c r="C428" s="708"/>
      <c r="D428" s="73" t="s">
        <v>699</v>
      </c>
      <c r="E428" s="495">
        <f t="shared" si="38"/>
        <v>0</v>
      </c>
      <c r="J428" s="706" t="s">
        <v>698</v>
      </c>
      <c r="K428" s="707"/>
      <c r="L428" s="708"/>
      <c r="M428" s="73" t="s">
        <v>699</v>
      </c>
      <c r="N428" s="495">
        <f t="shared" si="39"/>
        <v>0</v>
      </c>
    </row>
    <row r="429" spans="1:14" ht="18.75" customHeight="1" x14ac:dyDescent="0.25">
      <c r="A429" s="706" t="s">
        <v>700</v>
      </c>
      <c r="B429" s="707"/>
      <c r="C429" s="708"/>
      <c r="D429" s="73" t="s">
        <v>701</v>
      </c>
      <c r="E429" s="495">
        <f t="shared" si="38"/>
        <v>0</v>
      </c>
      <c r="J429" s="706" t="s">
        <v>700</v>
      </c>
      <c r="K429" s="707"/>
      <c r="L429" s="708"/>
      <c r="M429" s="73" t="s">
        <v>701</v>
      </c>
      <c r="N429" s="495">
        <f t="shared" si="39"/>
        <v>0</v>
      </c>
    </row>
    <row r="430" spans="1:14" ht="18.75" customHeight="1" x14ac:dyDescent="0.25">
      <c r="A430" s="706" t="s">
        <v>702</v>
      </c>
      <c r="B430" s="707"/>
      <c r="C430" s="708"/>
      <c r="D430" s="73" t="s">
        <v>703</v>
      </c>
      <c r="E430" s="495">
        <f t="shared" si="38"/>
        <v>0</v>
      </c>
      <c r="J430" s="706" t="s">
        <v>702</v>
      </c>
      <c r="K430" s="707"/>
      <c r="L430" s="708"/>
      <c r="M430" s="73" t="s">
        <v>703</v>
      </c>
      <c r="N430" s="495">
        <f t="shared" si="39"/>
        <v>0</v>
      </c>
    </row>
    <row r="431" spans="1:14" ht="18.75" customHeight="1" x14ac:dyDescent="0.25">
      <c r="A431" s="706" t="s">
        <v>704</v>
      </c>
      <c r="B431" s="707"/>
      <c r="C431" s="708"/>
      <c r="D431" s="73" t="s">
        <v>705</v>
      </c>
      <c r="E431" s="495">
        <f t="shared" si="38"/>
        <v>0</v>
      </c>
      <c r="J431" s="706" t="s">
        <v>704</v>
      </c>
      <c r="K431" s="707"/>
      <c r="L431" s="708"/>
      <c r="M431" s="73" t="s">
        <v>705</v>
      </c>
      <c r="N431" s="495">
        <f t="shared" si="39"/>
        <v>0</v>
      </c>
    </row>
    <row r="432" spans="1:14" ht="18.75" customHeight="1" x14ac:dyDescent="0.25">
      <c r="A432" s="706" t="s">
        <v>706</v>
      </c>
      <c r="B432" s="707"/>
      <c r="C432" s="708"/>
      <c r="D432" s="73" t="s">
        <v>707</v>
      </c>
      <c r="E432" s="495">
        <f t="shared" si="38"/>
        <v>0</v>
      </c>
      <c r="J432" s="706" t="s">
        <v>706</v>
      </c>
      <c r="K432" s="707"/>
      <c r="L432" s="708"/>
      <c r="M432" s="73" t="s">
        <v>707</v>
      </c>
      <c r="N432" s="495">
        <f t="shared" si="39"/>
        <v>0</v>
      </c>
    </row>
    <row r="433" spans="1:14" ht="18.75" customHeight="1" x14ac:dyDescent="0.25">
      <c r="A433" s="706" t="s">
        <v>708</v>
      </c>
      <c r="B433" s="707"/>
      <c r="C433" s="708"/>
      <c r="D433" s="73" t="s">
        <v>707</v>
      </c>
      <c r="E433" s="495">
        <f t="shared" si="38"/>
        <v>0</v>
      </c>
      <c r="J433" s="706" t="s">
        <v>708</v>
      </c>
      <c r="K433" s="707"/>
      <c r="L433" s="708"/>
      <c r="M433" s="73" t="s">
        <v>707</v>
      </c>
      <c r="N433" s="495">
        <f t="shared" si="39"/>
        <v>0</v>
      </c>
    </row>
    <row r="434" spans="1:14" ht="18.75" customHeight="1" x14ac:dyDescent="0.25">
      <c r="A434" s="706" t="s">
        <v>709</v>
      </c>
      <c r="B434" s="707"/>
      <c r="C434" s="708"/>
      <c r="D434" s="73" t="s">
        <v>275</v>
      </c>
      <c r="E434" s="495">
        <f t="shared" si="38"/>
        <v>0</v>
      </c>
      <c r="J434" s="706" t="s">
        <v>709</v>
      </c>
      <c r="K434" s="707"/>
      <c r="L434" s="708"/>
      <c r="M434" s="73" t="s">
        <v>275</v>
      </c>
      <c r="N434" s="495">
        <f t="shared" si="39"/>
        <v>1</v>
      </c>
    </row>
    <row r="435" spans="1:14" ht="18.75" customHeight="1" x14ac:dyDescent="0.25">
      <c r="A435" s="706" t="s">
        <v>710</v>
      </c>
      <c r="B435" s="707"/>
      <c r="C435" s="708"/>
      <c r="D435" s="73" t="s">
        <v>711</v>
      </c>
      <c r="E435" s="495">
        <f t="shared" si="38"/>
        <v>0</v>
      </c>
      <c r="J435" s="706" t="s">
        <v>710</v>
      </c>
      <c r="K435" s="707"/>
      <c r="L435" s="708"/>
      <c r="M435" s="73" t="s">
        <v>711</v>
      </c>
      <c r="N435" s="495">
        <f t="shared" si="39"/>
        <v>0</v>
      </c>
    </row>
    <row r="436" spans="1:14" ht="18.75" customHeight="1" x14ac:dyDescent="0.25">
      <c r="A436" s="706" t="s">
        <v>712</v>
      </c>
      <c r="B436" s="707"/>
      <c r="C436" s="708"/>
      <c r="D436" s="73" t="s">
        <v>713</v>
      </c>
      <c r="E436" s="495">
        <f t="shared" si="38"/>
        <v>0</v>
      </c>
      <c r="J436" s="706" t="s">
        <v>712</v>
      </c>
      <c r="K436" s="707"/>
      <c r="L436" s="708"/>
      <c r="M436" s="73" t="s">
        <v>713</v>
      </c>
      <c r="N436" s="495">
        <f t="shared" si="39"/>
        <v>0</v>
      </c>
    </row>
    <row r="437" spans="1:14" ht="18.75" customHeight="1" x14ac:dyDescent="0.25">
      <c r="A437" s="706" t="s">
        <v>714</v>
      </c>
      <c r="B437" s="707"/>
      <c r="C437" s="708"/>
      <c r="D437" s="73" t="s">
        <v>715</v>
      </c>
      <c r="E437" s="495">
        <f t="shared" si="38"/>
        <v>0</v>
      </c>
      <c r="J437" s="706" t="s">
        <v>714</v>
      </c>
      <c r="K437" s="707"/>
      <c r="L437" s="708"/>
      <c r="M437" s="73" t="s">
        <v>715</v>
      </c>
      <c r="N437" s="495">
        <f t="shared" si="39"/>
        <v>0</v>
      </c>
    </row>
    <row r="438" spans="1:14" ht="18.75" customHeight="1" x14ac:dyDescent="0.25">
      <c r="A438" s="706" t="s">
        <v>716</v>
      </c>
      <c r="B438" s="707"/>
      <c r="C438" s="708"/>
      <c r="D438" s="73" t="s">
        <v>717</v>
      </c>
      <c r="E438" s="495">
        <f t="shared" si="38"/>
        <v>0</v>
      </c>
      <c r="J438" s="706" t="s">
        <v>716</v>
      </c>
      <c r="K438" s="707"/>
      <c r="L438" s="708"/>
      <c r="M438" s="73" t="s">
        <v>717</v>
      </c>
      <c r="N438" s="495">
        <f t="shared" si="39"/>
        <v>0</v>
      </c>
    </row>
    <row r="439" spans="1:14" ht="18.75" customHeight="1" x14ac:dyDescent="0.25">
      <c r="A439" s="706" t="s">
        <v>718</v>
      </c>
      <c r="B439" s="707"/>
      <c r="C439" s="708"/>
      <c r="D439" s="73" t="s">
        <v>719</v>
      </c>
      <c r="E439" s="495">
        <f t="shared" si="38"/>
        <v>0</v>
      </c>
      <c r="J439" s="706" t="s">
        <v>718</v>
      </c>
      <c r="K439" s="707"/>
      <c r="L439" s="708"/>
      <c r="M439" s="73" t="s">
        <v>719</v>
      </c>
      <c r="N439" s="495">
        <f t="shared" si="39"/>
        <v>0</v>
      </c>
    </row>
    <row r="440" spans="1:14" ht="18.75" customHeight="1" x14ac:dyDescent="0.25">
      <c r="A440" s="706" t="s">
        <v>720</v>
      </c>
      <c r="B440" s="707"/>
      <c r="C440" s="708"/>
      <c r="D440" s="73" t="s">
        <v>721</v>
      </c>
      <c r="E440" s="495">
        <f t="shared" ref="E440:E452" si="40">COUNTIF($A$4:$T$22,D440)+COUNTIF($A$24:$R$24,D440)+COUNTIF($A$25:$Q$25,D440)+COUNTIF($A$26:$M$42,D440)+COUNTIF($A$23:$S$23,D440)+COUNTIF($A$43:$O$79,D440)+COUNTIF($P$43:$P$47,D440)+COUNTIF($N$26:$O$27,D440)</f>
        <v>0</v>
      </c>
      <c r="J440" s="706" t="s">
        <v>720</v>
      </c>
      <c r="K440" s="707"/>
      <c r="L440" s="708"/>
      <c r="M440" s="73" t="s">
        <v>721</v>
      </c>
      <c r="N440" s="495">
        <f t="shared" ref="N440:N452" si="41">COUNTIF($P$26:$S$27,M440)+COUNTIF($R$24:$S$25,M440)+COUNTIF($P$47:$S$73,M440)+COUNTIF($T$22:$BI$73,M440)+COUNTIF($N$28:$S$42,M440)</f>
        <v>0</v>
      </c>
    </row>
    <row r="441" spans="1:14" ht="18.75" customHeight="1" x14ac:dyDescent="0.25">
      <c r="A441" s="706" t="s">
        <v>722</v>
      </c>
      <c r="B441" s="707"/>
      <c r="C441" s="708"/>
      <c r="D441" s="73" t="s">
        <v>723</v>
      </c>
      <c r="E441" s="495">
        <f t="shared" si="40"/>
        <v>0</v>
      </c>
      <c r="J441" s="706" t="s">
        <v>722</v>
      </c>
      <c r="K441" s="707"/>
      <c r="L441" s="708"/>
      <c r="M441" s="73" t="s">
        <v>723</v>
      </c>
      <c r="N441" s="495">
        <f t="shared" si="41"/>
        <v>0</v>
      </c>
    </row>
    <row r="442" spans="1:14" ht="18.75" customHeight="1" x14ac:dyDescent="0.25">
      <c r="A442" s="706" t="s">
        <v>724</v>
      </c>
      <c r="B442" s="707"/>
      <c r="C442" s="708"/>
      <c r="D442" s="73" t="s">
        <v>725</v>
      </c>
      <c r="E442" s="495">
        <f t="shared" si="40"/>
        <v>0</v>
      </c>
      <c r="J442" s="706" t="s">
        <v>724</v>
      </c>
      <c r="K442" s="707"/>
      <c r="L442" s="708"/>
      <c r="M442" s="73" t="s">
        <v>725</v>
      </c>
      <c r="N442" s="495">
        <f t="shared" si="41"/>
        <v>0</v>
      </c>
    </row>
    <row r="443" spans="1:14" ht="18.75" customHeight="1" x14ac:dyDescent="0.25">
      <c r="A443" s="706" t="s">
        <v>726</v>
      </c>
      <c r="B443" s="707"/>
      <c r="C443" s="708"/>
      <c r="D443" s="73" t="s">
        <v>199</v>
      </c>
      <c r="E443" s="495">
        <f t="shared" si="40"/>
        <v>1</v>
      </c>
      <c r="J443" s="706" t="s">
        <v>726</v>
      </c>
      <c r="K443" s="707"/>
      <c r="L443" s="708"/>
      <c r="M443" s="73" t="s">
        <v>199</v>
      </c>
      <c r="N443" s="495">
        <f t="shared" si="41"/>
        <v>1</v>
      </c>
    </row>
    <row r="444" spans="1:14" ht="18.75" customHeight="1" x14ac:dyDescent="0.25">
      <c r="A444" s="706" t="s">
        <v>727</v>
      </c>
      <c r="B444" s="707"/>
      <c r="C444" s="708"/>
      <c r="D444" s="73" t="s">
        <v>728</v>
      </c>
      <c r="E444" s="495">
        <f t="shared" si="40"/>
        <v>0</v>
      </c>
      <c r="J444" s="706" t="s">
        <v>727</v>
      </c>
      <c r="K444" s="707"/>
      <c r="L444" s="708"/>
      <c r="M444" s="73" t="s">
        <v>728</v>
      </c>
      <c r="N444" s="495">
        <f t="shared" si="41"/>
        <v>0</v>
      </c>
    </row>
    <row r="445" spans="1:14" ht="18.75" customHeight="1" x14ac:dyDescent="0.25">
      <c r="A445" s="706" t="s">
        <v>729</v>
      </c>
      <c r="B445" s="707"/>
      <c r="C445" s="708"/>
      <c r="D445" s="73" t="s">
        <v>730</v>
      </c>
      <c r="E445" s="495">
        <f t="shared" si="40"/>
        <v>0</v>
      </c>
      <c r="J445" s="706" t="s">
        <v>729</v>
      </c>
      <c r="K445" s="707"/>
      <c r="L445" s="708"/>
      <c r="M445" s="73" t="s">
        <v>730</v>
      </c>
      <c r="N445" s="495">
        <f t="shared" si="41"/>
        <v>0</v>
      </c>
    </row>
    <row r="446" spans="1:14" ht="18.75" customHeight="1" x14ac:dyDescent="0.25">
      <c r="A446" s="706" t="s">
        <v>731</v>
      </c>
      <c r="B446" s="707"/>
      <c r="C446" s="708"/>
      <c r="D446" s="73" t="s">
        <v>732</v>
      </c>
      <c r="E446" s="495">
        <f t="shared" si="40"/>
        <v>0</v>
      </c>
      <c r="J446" s="706" t="s">
        <v>731</v>
      </c>
      <c r="K446" s="707"/>
      <c r="L446" s="708"/>
      <c r="M446" s="73" t="s">
        <v>732</v>
      </c>
      <c r="N446" s="495">
        <f t="shared" si="41"/>
        <v>0</v>
      </c>
    </row>
    <row r="447" spans="1:14" ht="18.75" customHeight="1" x14ac:dyDescent="0.25">
      <c r="A447" s="706" t="s">
        <v>733</v>
      </c>
      <c r="B447" s="707"/>
      <c r="C447" s="708"/>
      <c r="D447" s="73" t="s">
        <v>734</v>
      </c>
      <c r="E447" s="495">
        <f t="shared" si="40"/>
        <v>0</v>
      </c>
      <c r="J447" s="706" t="s">
        <v>733</v>
      </c>
      <c r="K447" s="707"/>
      <c r="L447" s="708"/>
      <c r="M447" s="73" t="s">
        <v>734</v>
      </c>
      <c r="N447" s="495">
        <f t="shared" si="41"/>
        <v>0</v>
      </c>
    </row>
    <row r="448" spans="1:14" ht="18.75" customHeight="1" x14ac:dyDescent="0.25">
      <c r="A448" s="706" t="s">
        <v>735</v>
      </c>
      <c r="B448" s="707"/>
      <c r="C448" s="708"/>
      <c r="D448" s="73" t="s">
        <v>736</v>
      </c>
      <c r="E448" s="495">
        <f t="shared" si="40"/>
        <v>0</v>
      </c>
      <c r="J448" s="706" t="s">
        <v>735</v>
      </c>
      <c r="K448" s="707"/>
      <c r="L448" s="708"/>
      <c r="M448" s="73" t="s">
        <v>736</v>
      </c>
      <c r="N448" s="495">
        <f t="shared" si="41"/>
        <v>0</v>
      </c>
    </row>
    <row r="449" spans="1:17" ht="18.75" customHeight="1" x14ac:dyDescent="0.25">
      <c r="A449" s="706" t="s">
        <v>737</v>
      </c>
      <c r="B449" s="707"/>
      <c r="C449" s="708"/>
      <c r="D449" s="73" t="s">
        <v>738</v>
      </c>
      <c r="E449" s="495">
        <f t="shared" si="40"/>
        <v>0</v>
      </c>
      <c r="J449" s="706" t="s">
        <v>737</v>
      </c>
      <c r="K449" s="707"/>
      <c r="L449" s="708"/>
      <c r="M449" s="73" t="s">
        <v>738</v>
      </c>
      <c r="N449" s="495">
        <f t="shared" si="41"/>
        <v>0</v>
      </c>
      <c r="O449" s="19"/>
      <c r="P449" s="19"/>
      <c r="Q449" s="19"/>
    </row>
    <row r="450" spans="1:17" ht="18.75" customHeight="1" x14ac:dyDescent="0.25">
      <c r="A450" s="706" t="s">
        <v>739</v>
      </c>
      <c r="B450" s="707"/>
      <c r="C450" s="708"/>
      <c r="D450" s="73" t="s">
        <v>740</v>
      </c>
      <c r="E450" s="495">
        <f t="shared" si="40"/>
        <v>0</v>
      </c>
      <c r="J450" s="706" t="s">
        <v>739</v>
      </c>
      <c r="K450" s="707"/>
      <c r="L450" s="708"/>
      <c r="M450" s="73" t="s">
        <v>740</v>
      </c>
      <c r="N450" s="495">
        <f t="shared" si="41"/>
        <v>0</v>
      </c>
    </row>
    <row r="451" spans="1:17" ht="18.75" customHeight="1" x14ac:dyDescent="0.25">
      <c r="A451" s="706" t="s">
        <v>741</v>
      </c>
      <c r="B451" s="707"/>
      <c r="C451" s="708"/>
      <c r="D451" s="73" t="s">
        <v>742</v>
      </c>
      <c r="E451" s="495">
        <f t="shared" si="40"/>
        <v>0</v>
      </c>
      <c r="J451" s="706" t="s">
        <v>741</v>
      </c>
      <c r="K451" s="707"/>
      <c r="L451" s="708"/>
      <c r="M451" s="73" t="s">
        <v>742</v>
      </c>
      <c r="N451" s="495">
        <f t="shared" si="41"/>
        <v>0</v>
      </c>
    </row>
    <row r="452" spans="1:17" ht="18.75" customHeight="1" x14ac:dyDescent="0.25">
      <c r="A452" s="706" t="s">
        <v>743</v>
      </c>
      <c r="B452" s="707"/>
      <c r="C452" s="708"/>
      <c r="D452" s="73" t="s">
        <v>744</v>
      </c>
      <c r="E452" s="495">
        <f t="shared" si="40"/>
        <v>0</v>
      </c>
      <c r="J452" s="706" t="s">
        <v>743</v>
      </c>
      <c r="K452" s="707"/>
      <c r="L452" s="708"/>
      <c r="M452" s="73" t="s">
        <v>744</v>
      </c>
      <c r="N452" s="495">
        <f t="shared" si="41"/>
        <v>0</v>
      </c>
    </row>
    <row r="453" spans="1:17" ht="18.75" customHeight="1" thickBot="1" x14ac:dyDescent="0.3">
      <c r="A453" s="710" t="s">
        <v>341</v>
      </c>
      <c r="B453" s="711"/>
      <c r="C453" s="711"/>
      <c r="D453" s="712"/>
      <c r="E453" s="496">
        <f>SUM(E376:E452)</f>
        <v>5</v>
      </c>
      <c r="J453" s="709" t="s">
        <v>341</v>
      </c>
      <c r="K453" s="709"/>
      <c r="L453" s="709"/>
      <c r="M453" s="709"/>
      <c r="N453" s="496">
        <f>SUM(N376:N452)</f>
        <v>6</v>
      </c>
    </row>
    <row r="454" spans="1:17" ht="18.75" customHeight="1" thickBot="1" x14ac:dyDescent="0.3">
      <c r="A454" s="699" t="s">
        <v>745</v>
      </c>
      <c r="B454" s="700"/>
      <c r="C454" s="700"/>
      <c r="D454" s="701"/>
      <c r="J454" s="699" t="s">
        <v>745</v>
      </c>
      <c r="K454" s="700"/>
      <c r="L454" s="700"/>
      <c r="M454" s="701"/>
    </row>
    <row r="455" spans="1:17" ht="18.75" customHeight="1" x14ac:dyDescent="0.25">
      <c r="A455" s="706" t="s">
        <v>746</v>
      </c>
      <c r="B455" s="707"/>
      <c r="C455" s="708"/>
      <c r="D455" s="73" t="s">
        <v>747</v>
      </c>
      <c r="E455" s="495">
        <f t="shared" ref="E455:E477" si="42">COUNTIF($A$4:$T$22,D455)+COUNTIF($A$24:$R$24,D455)+COUNTIF($A$25:$Q$25,D455)+COUNTIF($A$26:$M$42,D455)+COUNTIF($A$23:$S$23,D455)+COUNTIF($A$43:$O$79,D455)+COUNTIF($P$43:$P$47,D455)+COUNTIF($N$26:$O$27,D455)</f>
        <v>0</v>
      </c>
      <c r="J455" s="706" t="s">
        <v>746</v>
      </c>
      <c r="K455" s="707"/>
      <c r="L455" s="708"/>
      <c r="M455" s="73" t="s">
        <v>747</v>
      </c>
      <c r="N455" s="495">
        <f t="shared" ref="N455:N477" si="43">COUNTIF($P$26:$S$27,M455)+COUNTIF($R$24:$S$25,M455)+COUNTIF($P$47:$S$73,M455)+COUNTIF($T$22:$BI$73,M455)+COUNTIF($N$28:$S$42,M455)</f>
        <v>0</v>
      </c>
    </row>
    <row r="456" spans="1:17" ht="18.75" customHeight="1" x14ac:dyDescent="0.25">
      <c r="A456" s="706" t="s">
        <v>748</v>
      </c>
      <c r="B456" s="707"/>
      <c r="C456" s="708"/>
      <c r="D456" s="73" t="s">
        <v>749</v>
      </c>
      <c r="E456" s="495">
        <f t="shared" si="42"/>
        <v>0</v>
      </c>
      <c r="J456" s="706" t="s">
        <v>748</v>
      </c>
      <c r="K456" s="707"/>
      <c r="L456" s="708"/>
      <c r="M456" s="73" t="s">
        <v>749</v>
      </c>
      <c r="N456" s="495">
        <f t="shared" si="43"/>
        <v>0</v>
      </c>
    </row>
    <row r="457" spans="1:17" ht="18.75" customHeight="1" x14ac:dyDescent="0.25">
      <c r="A457" s="706" t="s">
        <v>750</v>
      </c>
      <c r="B457" s="707"/>
      <c r="C457" s="708"/>
      <c r="D457" s="73" t="s">
        <v>751</v>
      </c>
      <c r="E457" s="495">
        <f t="shared" si="42"/>
        <v>0</v>
      </c>
      <c r="J457" s="706" t="s">
        <v>750</v>
      </c>
      <c r="K457" s="707"/>
      <c r="L457" s="708"/>
      <c r="M457" s="73" t="s">
        <v>751</v>
      </c>
      <c r="N457" s="495">
        <f t="shared" si="43"/>
        <v>0</v>
      </c>
      <c r="O457" s="19"/>
      <c r="P457" s="19"/>
      <c r="Q457" s="19"/>
    </row>
    <row r="458" spans="1:17" ht="18.75" customHeight="1" x14ac:dyDescent="0.25">
      <c r="A458" s="706" t="s">
        <v>752</v>
      </c>
      <c r="B458" s="707"/>
      <c r="C458" s="708"/>
      <c r="D458" s="73" t="s">
        <v>753</v>
      </c>
      <c r="E458" s="495">
        <f t="shared" si="42"/>
        <v>0</v>
      </c>
      <c r="J458" s="706" t="s">
        <v>752</v>
      </c>
      <c r="K458" s="707"/>
      <c r="L458" s="708"/>
      <c r="M458" s="73" t="s">
        <v>753</v>
      </c>
      <c r="N458" s="495">
        <f t="shared" si="43"/>
        <v>0</v>
      </c>
    </row>
    <row r="459" spans="1:17" ht="18.75" customHeight="1" x14ac:dyDescent="0.25">
      <c r="A459" s="706" t="s">
        <v>754</v>
      </c>
      <c r="B459" s="707"/>
      <c r="C459" s="708"/>
      <c r="D459" s="73" t="s">
        <v>755</v>
      </c>
      <c r="E459" s="495">
        <f t="shared" si="42"/>
        <v>0</v>
      </c>
      <c r="J459" s="706" t="s">
        <v>754</v>
      </c>
      <c r="K459" s="707"/>
      <c r="L459" s="708"/>
      <c r="M459" s="73" t="s">
        <v>755</v>
      </c>
      <c r="N459" s="495">
        <f t="shared" si="43"/>
        <v>0</v>
      </c>
    </row>
    <row r="460" spans="1:17" ht="18.75" customHeight="1" x14ac:dyDescent="0.25">
      <c r="A460" s="706" t="s">
        <v>756</v>
      </c>
      <c r="B460" s="707"/>
      <c r="C460" s="708"/>
      <c r="D460" s="73" t="s">
        <v>757</v>
      </c>
      <c r="E460" s="495">
        <f t="shared" si="42"/>
        <v>0</v>
      </c>
      <c r="J460" s="706" t="s">
        <v>756</v>
      </c>
      <c r="K460" s="707"/>
      <c r="L460" s="708"/>
      <c r="M460" s="73" t="s">
        <v>757</v>
      </c>
      <c r="N460" s="495">
        <f t="shared" si="43"/>
        <v>0</v>
      </c>
    </row>
    <row r="461" spans="1:17" ht="18.75" customHeight="1" x14ac:dyDescent="0.25">
      <c r="A461" s="706" t="s">
        <v>758</v>
      </c>
      <c r="B461" s="707"/>
      <c r="C461" s="708"/>
      <c r="D461" s="73" t="s">
        <v>759</v>
      </c>
      <c r="E461" s="495">
        <f t="shared" si="42"/>
        <v>0</v>
      </c>
      <c r="J461" s="706" t="s">
        <v>758</v>
      </c>
      <c r="K461" s="707"/>
      <c r="L461" s="708"/>
      <c r="M461" s="73" t="s">
        <v>759</v>
      </c>
      <c r="N461" s="495">
        <f t="shared" si="43"/>
        <v>0</v>
      </c>
      <c r="O461" s="19"/>
      <c r="P461" s="19"/>
      <c r="Q461" s="19"/>
    </row>
    <row r="462" spans="1:17" ht="18.75" customHeight="1" x14ac:dyDescent="0.25">
      <c r="A462" s="706" t="s">
        <v>760</v>
      </c>
      <c r="B462" s="707"/>
      <c r="C462" s="708"/>
      <c r="D462" s="73" t="s">
        <v>761</v>
      </c>
      <c r="E462" s="495">
        <f t="shared" si="42"/>
        <v>0</v>
      </c>
      <c r="J462" s="706" t="s">
        <v>760</v>
      </c>
      <c r="K462" s="707"/>
      <c r="L462" s="708"/>
      <c r="M462" s="73" t="s">
        <v>761</v>
      </c>
      <c r="N462" s="495">
        <f t="shared" si="43"/>
        <v>0</v>
      </c>
    </row>
    <row r="463" spans="1:17" ht="18.75" customHeight="1" x14ac:dyDescent="0.25">
      <c r="A463" s="706" t="s">
        <v>125</v>
      </c>
      <c r="B463" s="707"/>
      <c r="C463" s="708"/>
      <c r="D463" s="73" t="s">
        <v>762</v>
      </c>
      <c r="E463" s="495">
        <f t="shared" si="42"/>
        <v>0</v>
      </c>
      <c r="J463" s="706" t="s">
        <v>125</v>
      </c>
      <c r="K463" s="707"/>
      <c r="L463" s="708"/>
      <c r="M463" s="73" t="s">
        <v>762</v>
      </c>
      <c r="N463" s="495">
        <f t="shared" si="43"/>
        <v>0</v>
      </c>
    </row>
    <row r="464" spans="1:17" ht="18.75" customHeight="1" x14ac:dyDescent="0.25">
      <c r="A464" s="706" t="s">
        <v>763</v>
      </c>
      <c r="B464" s="707"/>
      <c r="C464" s="708"/>
      <c r="D464" s="73" t="s">
        <v>764</v>
      </c>
      <c r="E464" s="495">
        <f t="shared" si="42"/>
        <v>0</v>
      </c>
      <c r="J464" s="706" t="s">
        <v>763</v>
      </c>
      <c r="K464" s="707"/>
      <c r="L464" s="708"/>
      <c r="M464" s="73" t="s">
        <v>764</v>
      </c>
      <c r="N464" s="495">
        <f t="shared" si="43"/>
        <v>0</v>
      </c>
      <c r="O464" s="19"/>
      <c r="P464" s="19"/>
      <c r="Q464" s="19"/>
    </row>
    <row r="465" spans="1:14" ht="18.75" customHeight="1" x14ac:dyDescent="0.25">
      <c r="A465" s="706" t="s">
        <v>765</v>
      </c>
      <c r="B465" s="707"/>
      <c r="C465" s="708"/>
      <c r="D465" s="73" t="s">
        <v>766</v>
      </c>
      <c r="E465" s="495">
        <f t="shared" si="42"/>
        <v>0</v>
      </c>
      <c r="J465" s="706" t="s">
        <v>765</v>
      </c>
      <c r="K465" s="707"/>
      <c r="L465" s="708"/>
      <c r="M465" s="73" t="s">
        <v>766</v>
      </c>
      <c r="N465" s="495">
        <f t="shared" si="43"/>
        <v>0</v>
      </c>
    </row>
    <row r="466" spans="1:14" ht="18.75" customHeight="1" x14ac:dyDescent="0.25">
      <c r="A466" s="706" t="s">
        <v>767</v>
      </c>
      <c r="B466" s="707"/>
      <c r="C466" s="708"/>
      <c r="D466" s="73" t="s">
        <v>768</v>
      </c>
      <c r="E466" s="495">
        <f t="shared" si="42"/>
        <v>0</v>
      </c>
      <c r="J466" s="706" t="s">
        <v>767</v>
      </c>
      <c r="K466" s="707"/>
      <c r="L466" s="708"/>
      <c r="M466" s="73" t="s">
        <v>768</v>
      </c>
      <c r="N466" s="495">
        <f t="shared" si="43"/>
        <v>0</v>
      </c>
    </row>
    <row r="467" spans="1:14" ht="18.75" customHeight="1" x14ac:dyDescent="0.25">
      <c r="A467" s="706" t="s">
        <v>769</v>
      </c>
      <c r="B467" s="707"/>
      <c r="C467" s="708"/>
      <c r="D467" s="73" t="s">
        <v>770</v>
      </c>
      <c r="E467" s="495">
        <f t="shared" si="42"/>
        <v>0</v>
      </c>
      <c r="J467" s="706" t="s">
        <v>769</v>
      </c>
      <c r="K467" s="707"/>
      <c r="L467" s="708"/>
      <c r="M467" s="73" t="s">
        <v>770</v>
      </c>
      <c r="N467" s="495">
        <f t="shared" si="43"/>
        <v>0</v>
      </c>
    </row>
    <row r="468" spans="1:14" ht="18.75" customHeight="1" x14ac:dyDescent="0.25">
      <c r="A468" s="706" t="s">
        <v>118</v>
      </c>
      <c r="B468" s="707"/>
      <c r="C468" s="708"/>
      <c r="D468" s="73" t="s">
        <v>771</v>
      </c>
      <c r="E468" s="495">
        <f t="shared" si="42"/>
        <v>0</v>
      </c>
      <c r="J468" s="706" t="s">
        <v>118</v>
      </c>
      <c r="K468" s="707"/>
      <c r="L468" s="708"/>
      <c r="M468" s="73" t="s">
        <v>771</v>
      </c>
      <c r="N468" s="495">
        <f t="shared" si="43"/>
        <v>0</v>
      </c>
    </row>
    <row r="469" spans="1:14" ht="18.75" customHeight="1" x14ac:dyDescent="0.25">
      <c r="A469" s="706" t="s">
        <v>772</v>
      </c>
      <c r="B469" s="707"/>
      <c r="C469" s="708"/>
      <c r="D469" s="73" t="s">
        <v>773</v>
      </c>
      <c r="E469" s="495">
        <f t="shared" si="42"/>
        <v>0</v>
      </c>
      <c r="J469" s="706" t="s">
        <v>772</v>
      </c>
      <c r="K469" s="707"/>
      <c r="L469" s="708"/>
      <c r="M469" s="73" t="s">
        <v>773</v>
      </c>
      <c r="N469" s="495">
        <f t="shared" si="43"/>
        <v>0</v>
      </c>
    </row>
    <row r="470" spans="1:14" ht="18.75" customHeight="1" x14ac:dyDescent="0.25">
      <c r="A470" s="706" t="s">
        <v>774</v>
      </c>
      <c r="B470" s="707"/>
      <c r="C470" s="708"/>
      <c r="D470" s="73" t="s">
        <v>775</v>
      </c>
      <c r="E470" s="495">
        <f t="shared" si="42"/>
        <v>0</v>
      </c>
      <c r="J470" s="706" t="s">
        <v>774</v>
      </c>
      <c r="K470" s="707"/>
      <c r="L470" s="708"/>
      <c r="M470" s="73" t="s">
        <v>775</v>
      </c>
      <c r="N470" s="495">
        <f t="shared" si="43"/>
        <v>0</v>
      </c>
    </row>
    <row r="471" spans="1:14" ht="18.75" customHeight="1" x14ac:dyDescent="0.25">
      <c r="A471" s="706" t="s">
        <v>776</v>
      </c>
      <c r="B471" s="707"/>
      <c r="C471" s="708"/>
      <c r="D471" s="73" t="s">
        <v>777</v>
      </c>
      <c r="E471" s="495">
        <f t="shared" si="42"/>
        <v>0</v>
      </c>
      <c r="J471" s="706" t="s">
        <v>776</v>
      </c>
      <c r="K471" s="707"/>
      <c r="L471" s="708"/>
      <c r="M471" s="73" t="s">
        <v>777</v>
      </c>
      <c r="N471" s="495">
        <f t="shared" si="43"/>
        <v>0</v>
      </c>
    </row>
    <row r="472" spans="1:14" ht="18.75" customHeight="1" x14ac:dyDescent="0.25">
      <c r="A472" s="706" t="s">
        <v>778</v>
      </c>
      <c r="B472" s="707"/>
      <c r="C472" s="708"/>
      <c r="D472" s="73" t="s">
        <v>779</v>
      </c>
      <c r="E472" s="495">
        <f t="shared" si="42"/>
        <v>0</v>
      </c>
      <c r="J472" s="706" t="s">
        <v>778</v>
      </c>
      <c r="K472" s="707"/>
      <c r="L472" s="708"/>
      <c r="M472" s="73" t="s">
        <v>779</v>
      </c>
      <c r="N472" s="495">
        <f t="shared" si="43"/>
        <v>0</v>
      </c>
    </row>
    <row r="473" spans="1:14" ht="18.75" customHeight="1" x14ac:dyDescent="0.25">
      <c r="A473" s="706" t="s">
        <v>780</v>
      </c>
      <c r="B473" s="707"/>
      <c r="C473" s="708"/>
      <c r="D473" s="73" t="s">
        <v>781</v>
      </c>
      <c r="E473" s="495">
        <f t="shared" si="42"/>
        <v>0</v>
      </c>
      <c r="J473" s="706" t="s">
        <v>780</v>
      </c>
      <c r="K473" s="707"/>
      <c r="L473" s="708"/>
      <c r="M473" s="73" t="s">
        <v>781</v>
      </c>
      <c r="N473" s="495">
        <f t="shared" si="43"/>
        <v>0</v>
      </c>
    </row>
    <row r="474" spans="1:14" ht="18.75" customHeight="1" x14ac:dyDescent="0.25">
      <c r="A474" s="706" t="s">
        <v>103</v>
      </c>
      <c r="B474" s="707"/>
      <c r="C474" s="708"/>
      <c r="D474" s="73" t="s">
        <v>782</v>
      </c>
      <c r="E474" s="495">
        <f t="shared" si="42"/>
        <v>0</v>
      </c>
      <c r="J474" s="706" t="s">
        <v>103</v>
      </c>
      <c r="K474" s="707"/>
      <c r="L474" s="708"/>
      <c r="M474" s="73" t="s">
        <v>782</v>
      </c>
      <c r="N474" s="495">
        <f t="shared" si="43"/>
        <v>0</v>
      </c>
    </row>
    <row r="475" spans="1:14" ht="18.75" customHeight="1" x14ac:dyDescent="0.25">
      <c r="A475" s="706" t="s">
        <v>783</v>
      </c>
      <c r="B475" s="707"/>
      <c r="C475" s="708"/>
      <c r="D475" s="73" t="s">
        <v>784</v>
      </c>
      <c r="E475" s="495">
        <f t="shared" si="42"/>
        <v>0</v>
      </c>
      <c r="J475" s="706" t="s">
        <v>783</v>
      </c>
      <c r="K475" s="707"/>
      <c r="L475" s="708"/>
      <c r="M475" s="73" t="s">
        <v>784</v>
      </c>
      <c r="N475" s="495">
        <f t="shared" si="43"/>
        <v>0</v>
      </c>
    </row>
    <row r="476" spans="1:14" ht="18.75" customHeight="1" x14ac:dyDescent="0.25">
      <c r="A476" s="706" t="s">
        <v>785</v>
      </c>
      <c r="B476" s="707"/>
      <c r="C476" s="708"/>
      <c r="D476" s="73" t="s">
        <v>786</v>
      </c>
      <c r="E476" s="495">
        <f t="shared" si="42"/>
        <v>0</v>
      </c>
      <c r="J476" s="706" t="s">
        <v>785</v>
      </c>
      <c r="K476" s="707"/>
      <c r="L476" s="708"/>
      <c r="M476" s="73" t="s">
        <v>786</v>
      </c>
      <c r="N476" s="495">
        <f t="shared" si="43"/>
        <v>0</v>
      </c>
    </row>
    <row r="477" spans="1:14" ht="18.75" customHeight="1" x14ac:dyDescent="0.25">
      <c r="A477" s="706" t="s">
        <v>787</v>
      </c>
      <c r="B477" s="707"/>
      <c r="C477" s="708"/>
      <c r="D477" s="73" t="s">
        <v>788</v>
      </c>
      <c r="E477" s="495">
        <f t="shared" si="42"/>
        <v>0</v>
      </c>
      <c r="J477" s="706" t="s">
        <v>787</v>
      </c>
      <c r="K477" s="707"/>
      <c r="L477" s="708"/>
      <c r="M477" s="73" t="s">
        <v>788</v>
      </c>
      <c r="N477" s="495">
        <f t="shared" si="43"/>
        <v>0</v>
      </c>
    </row>
    <row r="478" spans="1:14" ht="18.75" customHeight="1" thickBot="1" x14ac:dyDescent="0.3">
      <c r="A478" s="709" t="s">
        <v>341</v>
      </c>
      <c r="B478" s="709"/>
      <c r="C478" s="709"/>
      <c r="D478" s="709"/>
      <c r="E478" s="496">
        <f>SUM(E455:E477)</f>
        <v>0</v>
      </c>
      <c r="J478" s="709" t="s">
        <v>341</v>
      </c>
      <c r="K478" s="709"/>
      <c r="L478" s="709"/>
      <c r="M478" s="709"/>
      <c r="N478" s="496">
        <f>SUM(N455:N477)</f>
        <v>0</v>
      </c>
    </row>
    <row r="479" spans="1:14" ht="18.75" customHeight="1" thickBot="1" x14ac:dyDescent="0.3">
      <c r="A479" s="699" t="s">
        <v>789</v>
      </c>
      <c r="B479" s="700"/>
      <c r="C479" s="700"/>
      <c r="D479" s="701"/>
      <c r="F479" s="19"/>
      <c r="G479" s="19"/>
      <c r="H479" s="19"/>
      <c r="I479" s="19"/>
      <c r="J479" s="699" t="s">
        <v>789</v>
      </c>
      <c r="K479" s="700"/>
      <c r="L479" s="700"/>
      <c r="M479" s="701"/>
    </row>
    <row r="480" spans="1:14" ht="18.75" customHeight="1" x14ac:dyDescent="0.25">
      <c r="A480" s="706" t="s">
        <v>546</v>
      </c>
      <c r="B480" s="707"/>
      <c r="C480" s="708"/>
      <c r="D480" s="73" t="s">
        <v>790</v>
      </c>
      <c r="E480" s="495">
        <f t="shared" ref="E480:E485" si="44">COUNTIF($A$4:$T$22,D480)+COUNTIF($A$24:$R$24,D480)+COUNTIF($A$25:$Q$25,D480)+COUNTIF($A$26:$M$42,D480)+COUNTIF($A$23:$S$23,D480)+COUNTIF($A$43:$O$79,D480)+COUNTIF($P$43:$P$47,D480)+COUNTIF($N$26:$O$27,D480)</f>
        <v>0</v>
      </c>
      <c r="J480" s="706" t="s">
        <v>546</v>
      </c>
      <c r="K480" s="707"/>
      <c r="L480" s="708"/>
      <c r="M480" s="73" t="s">
        <v>790</v>
      </c>
      <c r="N480" s="495">
        <f t="shared" ref="N480:N485" si="45">COUNTIF($P$26:$S$27,M480)+COUNTIF($R$24:$S$25,M480)+COUNTIF($P$47:$S$73,M480)+COUNTIF($T$22:$BI$73,M480)+COUNTIF($N$28:$S$42,M480)</f>
        <v>0</v>
      </c>
    </row>
    <row r="481" spans="1:14" ht="18.75" customHeight="1" x14ac:dyDescent="0.25">
      <c r="A481" s="706" t="s">
        <v>603</v>
      </c>
      <c r="B481" s="707"/>
      <c r="C481" s="708"/>
      <c r="D481" s="73" t="s">
        <v>791</v>
      </c>
      <c r="E481" s="495">
        <f t="shared" si="44"/>
        <v>0</v>
      </c>
      <c r="J481" s="706" t="s">
        <v>603</v>
      </c>
      <c r="K481" s="707"/>
      <c r="L481" s="708"/>
      <c r="M481" s="73" t="s">
        <v>791</v>
      </c>
      <c r="N481" s="495">
        <f t="shared" si="45"/>
        <v>0</v>
      </c>
    </row>
    <row r="482" spans="1:14" ht="18.75" customHeight="1" x14ac:dyDescent="0.25">
      <c r="A482" s="706" t="s">
        <v>570</v>
      </c>
      <c r="B482" s="707"/>
      <c r="C482" s="708"/>
      <c r="D482" s="73" t="s">
        <v>792</v>
      </c>
      <c r="E482" s="495">
        <f t="shared" si="44"/>
        <v>0</v>
      </c>
      <c r="J482" s="706" t="s">
        <v>570</v>
      </c>
      <c r="K482" s="707"/>
      <c r="L482" s="708"/>
      <c r="M482" s="73" t="s">
        <v>792</v>
      </c>
      <c r="N482" s="495">
        <f t="shared" si="45"/>
        <v>0</v>
      </c>
    </row>
    <row r="483" spans="1:14" ht="18.75" customHeight="1" x14ac:dyDescent="0.25">
      <c r="A483" s="706" t="s">
        <v>631</v>
      </c>
      <c r="B483" s="707"/>
      <c r="C483" s="708"/>
      <c r="D483" s="73" t="s">
        <v>793</v>
      </c>
      <c r="E483" s="495">
        <f t="shared" si="44"/>
        <v>0</v>
      </c>
      <c r="J483" s="706" t="s">
        <v>631</v>
      </c>
      <c r="K483" s="707"/>
      <c r="L483" s="708"/>
      <c r="M483" s="73" t="s">
        <v>793</v>
      </c>
      <c r="N483" s="495">
        <f t="shared" si="45"/>
        <v>0</v>
      </c>
    </row>
    <row r="484" spans="1:14" ht="18.75" customHeight="1" x14ac:dyDescent="0.25">
      <c r="A484" s="706" t="s">
        <v>578</v>
      </c>
      <c r="B484" s="707"/>
      <c r="C484" s="708"/>
      <c r="D484" s="73" t="s">
        <v>794</v>
      </c>
      <c r="E484" s="495">
        <f t="shared" si="44"/>
        <v>0</v>
      </c>
      <c r="J484" s="706" t="s">
        <v>578</v>
      </c>
      <c r="K484" s="707"/>
      <c r="L484" s="708"/>
      <c r="M484" s="73" t="s">
        <v>794</v>
      </c>
      <c r="N484" s="495">
        <f t="shared" si="45"/>
        <v>0</v>
      </c>
    </row>
    <row r="485" spans="1:14" ht="18.75" customHeight="1" x14ac:dyDescent="0.25">
      <c r="A485" s="706" t="s">
        <v>636</v>
      </c>
      <c r="B485" s="707"/>
      <c r="C485" s="708"/>
      <c r="D485" s="73" t="s">
        <v>795</v>
      </c>
      <c r="E485" s="495">
        <f t="shared" si="44"/>
        <v>0</v>
      </c>
      <c r="J485" s="706" t="s">
        <v>636</v>
      </c>
      <c r="K485" s="707"/>
      <c r="L485" s="708"/>
      <c r="M485" s="73" t="s">
        <v>795</v>
      </c>
      <c r="N485" s="495">
        <f t="shared" si="45"/>
        <v>0</v>
      </c>
    </row>
    <row r="486" spans="1:14" ht="18.75" customHeight="1" thickBot="1" x14ac:dyDescent="0.3">
      <c r="A486" s="709" t="s">
        <v>341</v>
      </c>
      <c r="B486" s="709"/>
      <c r="C486" s="709"/>
      <c r="D486" s="709"/>
      <c r="E486" s="496">
        <f>SUM(E480:E484)</f>
        <v>0</v>
      </c>
      <c r="J486" s="709" t="s">
        <v>341</v>
      </c>
      <c r="K486" s="709"/>
      <c r="L486" s="709"/>
      <c r="M486" s="709"/>
      <c r="N486" s="496">
        <f>SUM(N480:N484)</f>
        <v>0</v>
      </c>
    </row>
    <row r="487" spans="1:14" ht="18.75" customHeight="1" thickBot="1" x14ac:dyDescent="0.3">
      <c r="A487" s="699" t="s">
        <v>14</v>
      </c>
      <c r="B487" s="700"/>
      <c r="C487" s="700"/>
      <c r="D487" s="701"/>
      <c r="F487" s="19"/>
      <c r="G487" s="19"/>
      <c r="H487" s="19"/>
      <c r="I487" s="19"/>
      <c r="J487" s="699" t="s">
        <v>14</v>
      </c>
      <c r="K487" s="700"/>
      <c r="L487" s="700"/>
      <c r="M487" s="701"/>
    </row>
    <row r="488" spans="1:14" ht="18.75" customHeight="1" x14ac:dyDescent="0.25">
      <c r="A488" s="706" t="s">
        <v>546</v>
      </c>
      <c r="B488" s="707"/>
      <c r="C488" s="708"/>
      <c r="D488" s="73" t="s">
        <v>796</v>
      </c>
      <c r="E488" s="495">
        <f>COUNTIF($A$4:$T$22,D488)+COUNTIF($A$24:$R$24,D488)+COUNTIF($A$25:$Q$25,D488)+COUNTIF($A$26:$M$42,D488)+COUNTIF($A$23:$S$23,D488)+COUNTIF($A$43:$O$79,D488)+COUNTIF($P$43:$P$47,D488)+COUNTIF($N$26:$O$27,D488)</f>
        <v>0</v>
      </c>
      <c r="J488" s="706" t="s">
        <v>546</v>
      </c>
      <c r="K488" s="707"/>
      <c r="L488" s="708"/>
      <c r="M488" s="73" t="s">
        <v>796</v>
      </c>
      <c r="N488" s="495">
        <f>COUNTIF($P$26:$S$27,M488)+COUNTIF($R$24:$S$25,M488)+COUNTIF($P$47:$S$73,M488)+COUNTIF($T$22:$BI$73,M488)+COUNTIF($N$28:$S$42,M488)</f>
        <v>0</v>
      </c>
    </row>
    <row r="489" spans="1:14" ht="18.75" customHeight="1" x14ac:dyDescent="0.25">
      <c r="A489" s="706" t="s">
        <v>603</v>
      </c>
      <c r="B489" s="707"/>
      <c r="C489" s="708"/>
      <c r="D489" s="73" t="s">
        <v>797</v>
      </c>
      <c r="E489" s="495">
        <f>COUNTIF($A$4:$T$22,D489)+COUNTIF($A$24:$R$24,D489)+COUNTIF($A$25:$Q$25,D489)+COUNTIF($A$26:$M$42,D489)+COUNTIF($A$23:$S$23,D489)+COUNTIF($A$43:$O$79,D489)+COUNTIF($P$43:$P$47,D489)+COUNTIF($N$26:$O$27,D489)</f>
        <v>0</v>
      </c>
      <c r="J489" s="706" t="s">
        <v>603</v>
      </c>
      <c r="K489" s="707"/>
      <c r="L489" s="708"/>
      <c r="M489" s="73" t="s">
        <v>797</v>
      </c>
      <c r="N489" s="495">
        <f>COUNTIF($P$26:$S$27,M489)+COUNTIF($R$24:$S$25,M489)+COUNTIF($P$47:$S$73,M489)+COUNTIF($T$22:$BI$73,M489)+COUNTIF($N$28:$S$42,M489)</f>
        <v>0</v>
      </c>
    </row>
    <row r="490" spans="1:14" ht="18.75" customHeight="1" x14ac:dyDescent="0.25">
      <c r="A490" s="706" t="s">
        <v>798</v>
      </c>
      <c r="B490" s="707"/>
      <c r="C490" s="708"/>
      <c r="D490" s="73" t="s">
        <v>799</v>
      </c>
      <c r="E490" s="495">
        <f>COUNTIF($A$4:$T$22,D490)+COUNTIF($A$24:$R$24,D490)+COUNTIF($A$25:$Q$25,D490)+COUNTIF($A$26:$M$42,D490)+COUNTIF($A$23:$S$23,D490)+COUNTIF($A$43:$O$79,D490)+COUNTIF($P$43:$P$47,D490)+COUNTIF($N$26:$O$27,D490)</f>
        <v>0</v>
      </c>
      <c r="J490" s="706" t="s">
        <v>798</v>
      </c>
      <c r="K490" s="707"/>
      <c r="L490" s="708"/>
      <c r="M490" s="73" t="s">
        <v>799</v>
      </c>
      <c r="N490" s="495">
        <f>COUNTIF($P$26:$S$27,M490)+COUNTIF($R$24:$S$25,M490)+COUNTIF($P$47:$S$73,M490)+COUNTIF($T$22:$BI$73,M490)+COUNTIF($N$28:$S$42,M490)</f>
        <v>0</v>
      </c>
    </row>
    <row r="491" spans="1:14" ht="18.75" customHeight="1" x14ac:dyDescent="0.25">
      <c r="A491" s="706" t="s">
        <v>800</v>
      </c>
      <c r="B491" s="707"/>
      <c r="C491" s="708"/>
      <c r="D491" s="73" t="s">
        <v>801</v>
      </c>
      <c r="E491" s="495">
        <f>COUNTIF($A$4:$T$22,D491)+COUNTIF($A$24:$R$24,D491)+COUNTIF($A$25:$Q$25,D491)+COUNTIF($A$26:$M$42,D491)+COUNTIF($A$23:$S$23,D491)+COUNTIF($A$43:$O$79,D491)+COUNTIF($P$43:$P$47,D491)+COUNTIF($N$26:$O$27,D491)</f>
        <v>0</v>
      </c>
      <c r="J491" s="706" t="s">
        <v>800</v>
      </c>
      <c r="K491" s="707"/>
      <c r="L491" s="708"/>
      <c r="M491" s="73" t="s">
        <v>801</v>
      </c>
      <c r="N491" s="495">
        <f>COUNTIF($P$26:$S$27,M491)+COUNTIF($R$24:$S$25,M491)+COUNTIF($P$47:$S$73,M491)+COUNTIF($T$22:$BI$73,M491)+COUNTIF($N$28:$S$42,M491)</f>
        <v>0</v>
      </c>
    </row>
    <row r="492" spans="1:14" ht="18.75" customHeight="1" thickBot="1" x14ac:dyDescent="0.3">
      <c r="A492" s="709" t="s">
        <v>341</v>
      </c>
      <c r="B492" s="709"/>
      <c r="C492" s="709"/>
      <c r="D492" s="709"/>
      <c r="E492" s="496">
        <f>SUM(E488:E491)</f>
        <v>0</v>
      </c>
      <c r="J492" s="709" t="s">
        <v>341</v>
      </c>
      <c r="K492" s="709"/>
      <c r="L492" s="709"/>
      <c r="M492" s="709"/>
      <c r="N492" s="496">
        <f>SUM(N488:N491)</f>
        <v>0</v>
      </c>
    </row>
    <row r="493" spans="1:14" ht="18.75" customHeight="1" thickBot="1" x14ac:dyDescent="0.3">
      <c r="A493" s="699" t="s">
        <v>802</v>
      </c>
      <c r="B493" s="700"/>
      <c r="C493" s="700"/>
      <c r="D493" s="701"/>
      <c r="F493" s="19"/>
      <c r="G493" s="19"/>
      <c r="H493" s="19"/>
      <c r="I493" s="19"/>
      <c r="J493" s="699" t="s">
        <v>802</v>
      </c>
      <c r="K493" s="700"/>
      <c r="L493" s="700"/>
      <c r="M493" s="701"/>
    </row>
    <row r="494" spans="1:14" ht="18.75" customHeight="1" x14ac:dyDescent="0.25">
      <c r="A494" s="706" t="s">
        <v>52</v>
      </c>
      <c r="B494" s="707"/>
      <c r="C494" s="708"/>
      <c r="D494" s="73" t="s">
        <v>803</v>
      </c>
      <c r="E494" s="495">
        <f t="shared" ref="E494:E505" si="46">COUNTIF($A$4:$T$22,D494)+COUNTIF($A$24:$R$24,D494)+COUNTIF($A$25:$Q$25,D494)+COUNTIF($A$26:$M$42,D494)+COUNTIF($A$23:$S$23,D494)+COUNTIF($A$43:$O$79,D494)+COUNTIF($P$43:$P$47,D494)+COUNTIF($N$26:$O$27,D494)</f>
        <v>0</v>
      </c>
      <c r="J494" s="706" t="s">
        <v>52</v>
      </c>
      <c r="K494" s="707"/>
      <c r="L494" s="708"/>
      <c r="M494" s="73" t="s">
        <v>803</v>
      </c>
      <c r="N494" s="495">
        <f t="shared" ref="N494:N505" si="47">COUNTIF($P$26:$S$27,M494)+COUNTIF($R$24:$S$25,M494)+COUNTIF($P$47:$S$73,M494)+COUNTIF($T$22:$BI$73,M494)+COUNTIF($N$28:$S$42,M494)</f>
        <v>0</v>
      </c>
    </row>
    <row r="495" spans="1:14" ht="18.75" customHeight="1" x14ac:dyDescent="0.25">
      <c r="A495" s="706" t="s">
        <v>750</v>
      </c>
      <c r="B495" s="707"/>
      <c r="C495" s="708"/>
      <c r="D495" s="73" t="s">
        <v>804</v>
      </c>
      <c r="E495" s="495">
        <f t="shared" si="46"/>
        <v>0</v>
      </c>
      <c r="J495" s="706" t="s">
        <v>750</v>
      </c>
      <c r="K495" s="707"/>
      <c r="L495" s="708"/>
      <c r="M495" s="73" t="s">
        <v>804</v>
      </c>
      <c r="N495" s="495">
        <f t="shared" si="47"/>
        <v>0</v>
      </c>
    </row>
    <row r="496" spans="1:14" ht="18.75" customHeight="1" x14ac:dyDescent="0.25">
      <c r="A496" s="706" t="s">
        <v>805</v>
      </c>
      <c r="B496" s="707"/>
      <c r="C496" s="708"/>
      <c r="D496" s="73" t="s">
        <v>806</v>
      </c>
      <c r="E496" s="495">
        <f t="shared" si="46"/>
        <v>0</v>
      </c>
      <c r="J496" s="706" t="s">
        <v>805</v>
      </c>
      <c r="K496" s="707"/>
      <c r="L496" s="708"/>
      <c r="M496" s="73" t="s">
        <v>806</v>
      </c>
      <c r="N496" s="495">
        <f t="shared" si="47"/>
        <v>0</v>
      </c>
    </row>
    <row r="497" spans="1:14" ht="18.75" customHeight="1" x14ac:dyDescent="0.25">
      <c r="A497" s="706" t="s">
        <v>66</v>
      </c>
      <c r="B497" s="707"/>
      <c r="C497" s="708"/>
      <c r="D497" s="73" t="s">
        <v>807</v>
      </c>
      <c r="E497" s="495">
        <f t="shared" si="46"/>
        <v>0</v>
      </c>
      <c r="J497" s="706" t="s">
        <v>66</v>
      </c>
      <c r="K497" s="707"/>
      <c r="L497" s="708"/>
      <c r="M497" s="73" t="s">
        <v>807</v>
      </c>
      <c r="N497" s="495">
        <f t="shared" si="47"/>
        <v>0</v>
      </c>
    </row>
    <row r="498" spans="1:14" ht="18.75" customHeight="1" x14ac:dyDescent="0.25">
      <c r="A498" s="706" t="s">
        <v>125</v>
      </c>
      <c r="B498" s="707"/>
      <c r="C498" s="708"/>
      <c r="D498" s="73" t="s">
        <v>808</v>
      </c>
      <c r="E498" s="495">
        <f t="shared" si="46"/>
        <v>0</v>
      </c>
      <c r="J498" s="706" t="s">
        <v>125</v>
      </c>
      <c r="K498" s="707"/>
      <c r="L498" s="708"/>
      <c r="M498" s="73" t="s">
        <v>808</v>
      </c>
      <c r="N498" s="495">
        <f t="shared" si="47"/>
        <v>0</v>
      </c>
    </row>
    <row r="499" spans="1:14" ht="18.75" customHeight="1" x14ac:dyDescent="0.25">
      <c r="A499" s="706" t="s">
        <v>68</v>
      </c>
      <c r="B499" s="707"/>
      <c r="C499" s="708"/>
      <c r="D499" s="73" t="s">
        <v>809</v>
      </c>
      <c r="E499" s="495">
        <f t="shared" si="46"/>
        <v>0</v>
      </c>
      <c r="J499" s="706" t="s">
        <v>68</v>
      </c>
      <c r="K499" s="707"/>
      <c r="L499" s="708"/>
      <c r="M499" s="73" t="s">
        <v>809</v>
      </c>
      <c r="N499" s="495">
        <f t="shared" si="47"/>
        <v>0</v>
      </c>
    </row>
    <row r="500" spans="1:14" ht="18.75" customHeight="1" x14ac:dyDescent="0.25">
      <c r="A500" s="706" t="s">
        <v>8</v>
      </c>
      <c r="B500" s="707"/>
      <c r="C500" s="708"/>
      <c r="D500" s="73" t="s">
        <v>810</v>
      </c>
      <c r="E500" s="495">
        <f t="shared" si="46"/>
        <v>0</v>
      </c>
      <c r="J500" s="706" t="s">
        <v>8</v>
      </c>
      <c r="K500" s="707"/>
      <c r="L500" s="708"/>
      <c r="M500" s="73" t="s">
        <v>810</v>
      </c>
      <c r="N500" s="495">
        <f t="shared" si="47"/>
        <v>0</v>
      </c>
    </row>
    <row r="501" spans="1:14" ht="18.75" customHeight="1" x14ac:dyDescent="0.25">
      <c r="A501" s="706" t="s">
        <v>10</v>
      </c>
      <c r="B501" s="707"/>
      <c r="C501" s="708"/>
      <c r="D501" s="73" t="s">
        <v>811</v>
      </c>
      <c r="E501" s="495">
        <f t="shared" si="46"/>
        <v>0</v>
      </c>
      <c r="J501" s="706" t="s">
        <v>10</v>
      </c>
      <c r="K501" s="707"/>
      <c r="L501" s="708"/>
      <c r="M501" s="73" t="s">
        <v>811</v>
      </c>
      <c r="N501" s="495">
        <f t="shared" si="47"/>
        <v>0</v>
      </c>
    </row>
    <row r="502" spans="1:14" ht="18.75" customHeight="1" x14ac:dyDescent="0.25">
      <c r="A502" s="706" t="s">
        <v>812</v>
      </c>
      <c r="B502" s="707"/>
      <c r="C502" s="708"/>
      <c r="D502" s="73" t="s">
        <v>813</v>
      </c>
      <c r="E502" s="495">
        <f t="shared" si="46"/>
        <v>0</v>
      </c>
      <c r="J502" s="706" t="s">
        <v>812</v>
      </c>
      <c r="K502" s="707"/>
      <c r="L502" s="708"/>
      <c r="M502" s="73" t="s">
        <v>813</v>
      </c>
      <c r="N502" s="495">
        <f t="shared" si="47"/>
        <v>0</v>
      </c>
    </row>
    <row r="503" spans="1:14" ht="18.75" customHeight="1" x14ac:dyDescent="0.25">
      <c r="A503" s="706" t="s">
        <v>118</v>
      </c>
      <c r="B503" s="707"/>
      <c r="C503" s="708"/>
      <c r="D503" s="73" t="s">
        <v>814</v>
      </c>
      <c r="E503" s="495">
        <f t="shared" si="46"/>
        <v>0</v>
      </c>
      <c r="J503" s="706" t="s">
        <v>118</v>
      </c>
      <c r="K503" s="707"/>
      <c r="L503" s="708"/>
      <c r="M503" s="73" t="s">
        <v>814</v>
      </c>
      <c r="N503" s="495">
        <f t="shared" si="47"/>
        <v>0</v>
      </c>
    </row>
    <row r="504" spans="1:14" ht="18.75" customHeight="1" x14ac:dyDescent="0.25">
      <c r="A504" s="706" t="s">
        <v>785</v>
      </c>
      <c r="B504" s="707"/>
      <c r="C504" s="708"/>
      <c r="D504" s="73" t="s">
        <v>815</v>
      </c>
      <c r="E504" s="495">
        <f t="shared" si="46"/>
        <v>0</v>
      </c>
      <c r="J504" s="706" t="s">
        <v>785</v>
      </c>
      <c r="K504" s="707"/>
      <c r="L504" s="708"/>
      <c r="M504" s="73" t="s">
        <v>815</v>
      </c>
      <c r="N504" s="495">
        <f t="shared" si="47"/>
        <v>0</v>
      </c>
    </row>
    <row r="505" spans="1:14" ht="18.75" customHeight="1" x14ac:dyDescent="0.25">
      <c r="A505" s="706" t="s">
        <v>103</v>
      </c>
      <c r="B505" s="707"/>
      <c r="C505" s="708"/>
      <c r="D505" s="73" t="s">
        <v>816</v>
      </c>
      <c r="E505" s="495">
        <f t="shared" si="46"/>
        <v>0</v>
      </c>
      <c r="J505" s="706" t="s">
        <v>103</v>
      </c>
      <c r="K505" s="707"/>
      <c r="L505" s="708"/>
      <c r="M505" s="73" t="s">
        <v>816</v>
      </c>
      <c r="N505" s="495">
        <f t="shared" si="47"/>
        <v>0</v>
      </c>
    </row>
    <row r="506" spans="1:14" ht="18.75" customHeight="1" thickBot="1" x14ac:dyDescent="0.3">
      <c r="A506" s="709" t="s">
        <v>341</v>
      </c>
      <c r="B506" s="709"/>
      <c r="C506" s="709"/>
      <c r="D506" s="709"/>
      <c r="E506" s="496">
        <f>SUM(E505:E505)</f>
        <v>0</v>
      </c>
      <c r="J506" s="709" t="s">
        <v>341</v>
      </c>
      <c r="K506" s="709"/>
      <c r="L506" s="709"/>
      <c r="M506" s="709"/>
      <c r="N506" s="496">
        <f>SUM(N505:N505)</f>
        <v>0</v>
      </c>
    </row>
    <row r="507" spans="1:14" ht="18.75" customHeight="1" thickBot="1" x14ac:dyDescent="0.3">
      <c r="A507" s="699" t="s">
        <v>817</v>
      </c>
      <c r="B507" s="700"/>
      <c r="C507" s="700"/>
      <c r="D507" s="701"/>
      <c r="F507" s="19"/>
      <c r="G507" s="19"/>
      <c r="H507" s="19"/>
      <c r="I507" s="19"/>
      <c r="J507" s="699" t="s">
        <v>817</v>
      </c>
      <c r="K507" s="700"/>
      <c r="L507" s="700"/>
      <c r="M507" s="701"/>
    </row>
    <row r="508" spans="1:14" ht="18.75" customHeight="1" x14ac:dyDescent="0.25">
      <c r="A508" s="706" t="s">
        <v>818</v>
      </c>
      <c r="B508" s="707"/>
      <c r="C508" s="708"/>
      <c r="D508" s="73" t="s">
        <v>819</v>
      </c>
      <c r="E508" s="495">
        <f t="shared" ref="E508:E517" si="48">COUNTIF($A$4:$T$22,D508)+COUNTIF($A$24:$R$24,D508)+COUNTIF($A$25:$Q$25,D508)+COUNTIF($A$26:$M$42,D508)+COUNTIF($A$23:$S$23,D508)+COUNTIF($A$43:$O$79,D508)+COUNTIF($P$43:$P$47,D508)+COUNTIF($N$26:$O$27,D508)</f>
        <v>0</v>
      </c>
      <c r="J508" s="706" t="s">
        <v>818</v>
      </c>
      <c r="K508" s="707"/>
      <c r="L508" s="708"/>
      <c r="M508" s="73" t="s">
        <v>819</v>
      </c>
      <c r="N508" s="495">
        <f t="shared" ref="N508:N517" si="49">COUNTIF($P$26:$S$27,M508)+COUNTIF($R$24:$S$25,M508)+COUNTIF($P$47:$S$73,M508)+COUNTIF($T$22:$BI$73,M508)+COUNTIF($N$28:$S$42,M508)</f>
        <v>0</v>
      </c>
    </row>
    <row r="509" spans="1:14" ht="18.75" customHeight="1" x14ac:dyDescent="0.25">
      <c r="A509" s="706" t="s">
        <v>820</v>
      </c>
      <c r="B509" s="707"/>
      <c r="C509" s="708"/>
      <c r="D509" s="73" t="s">
        <v>821</v>
      </c>
      <c r="E509" s="495">
        <f t="shared" si="48"/>
        <v>0</v>
      </c>
      <c r="J509" s="706" t="s">
        <v>820</v>
      </c>
      <c r="K509" s="707"/>
      <c r="L509" s="708"/>
      <c r="M509" s="73" t="s">
        <v>821</v>
      </c>
      <c r="N509" s="495">
        <f t="shared" si="49"/>
        <v>0</v>
      </c>
    </row>
    <row r="510" spans="1:14" ht="18.75" customHeight="1" x14ac:dyDescent="0.25">
      <c r="A510" s="706" t="s">
        <v>822</v>
      </c>
      <c r="B510" s="707"/>
      <c r="C510" s="708"/>
      <c r="D510" s="73" t="s">
        <v>823</v>
      </c>
      <c r="E510" s="495">
        <f t="shared" si="48"/>
        <v>0</v>
      </c>
      <c r="J510" s="706" t="s">
        <v>822</v>
      </c>
      <c r="K510" s="707"/>
      <c r="L510" s="708"/>
      <c r="M510" s="73" t="s">
        <v>823</v>
      </c>
      <c r="N510" s="495">
        <f t="shared" si="49"/>
        <v>0</v>
      </c>
    </row>
    <row r="511" spans="1:14" ht="18.75" customHeight="1" x14ac:dyDescent="0.25">
      <c r="A511" s="706" t="s">
        <v>824</v>
      </c>
      <c r="B511" s="707"/>
      <c r="C511" s="708"/>
      <c r="D511" s="73" t="s">
        <v>825</v>
      </c>
      <c r="E511" s="495">
        <f t="shared" si="48"/>
        <v>0</v>
      </c>
      <c r="J511" s="706" t="s">
        <v>824</v>
      </c>
      <c r="K511" s="707"/>
      <c r="L511" s="708"/>
      <c r="M511" s="73" t="s">
        <v>825</v>
      </c>
      <c r="N511" s="495">
        <f t="shared" si="49"/>
        <v>0</v>
      </c>
    </row>
    <row r="512" spans="1:14" ht="18.75" customHeight="1" x14ac:dyDescent="0.25">
      <c r="A512" s="706" t="s">
        <v>826</v>
      </c>
      <c r="B512" s="707"/>
      <c r="C512" s="708"/>
      <c r="D512" s="73" t="s">
        <v>827</v>
      </c>
      <c r="E512" s="495">
        <f t="shared" si="48"/>
        <v>0</v>
      </c>
      <c r="J512" s="706" t="s">
        <v>826</v>
      </c>
      <c r="K512" s="707"/>
      <c r="L512" s="708"/>
      <c r="M512" s="73" t="s">
        <v>827</v>
      </c>
      <c r="N512" s="495">
        <f t="shared" si="49"/>
        <v>0</v>
      </c>
    </row>
    <row r="513" spans="1:31" ht="18.75" customHeight="1" x14ac:dyDescent="0.25">
      <c r="A513" s="706" t="s">
        <v>828</v>
      </c>
      <c r="B513" s="707"/>
      <c r="C513" s="708"/>
      <c r="D513" s="73" t="s">
        <v>829</v>
      </c>
      <c r="E513" s="495">
        <f t="shared" si="48"/>
        <v>0</v>
      </c>
      <c r="J513" s="706" t="s">
        <v>828</v>
      </c>
      <c r="K513" s="707"/>
      <c r="L513" s="708"/>
      <c r="M513" s="73" t="s">
        <v>829</v>
      </c>
      <c r="N513" s="495">
        <f t="shared" si="49"/>
        <v>0</v>
      </c>
    </row>
    <row r="514" spans="1:31" ht="18.75" customHeight="1" x14ac:dyDescent="0.25">
      <c r="A514" s="706" t="s">
        <v>830</v>
      </c>
      <c r="B514" s="707"/>
      <c r="C514" s="708"/>
      <c r="D514" s="73" t="s">
        <v>831</v>
      </c>
      <c r="E514" s="495">
        <f t="shared" si="48"/>
        <v>0</v>
      </c>
      <c r="J514" s="706" t="s">
        <v>830</v>
      </c>
      <c r="K514" s="707"/>
      <c r="L514" s="708"/>
      <c r="M514" s="73" t="s">
        <v>831</v>
      </c>
      <c r="N514" s="495">
        <f t="shared" si="49"/>
        <v>0</v>
      </c>
    </row>
    <row r="515" spans="1:31" ht="18.75" customHeight="1" x14ac:dyDescent="0.25">
      <c r="A515" s="706" t="s">
        <v>832</v>
      </c>
      <c r="B515" s="707"/>
      <c r="C515" s="708"/>
      <c r="D515" s="73" t="s">
        <v>833</v>
      </c>
      <c r="E515" s="495">
        <f t="shared" si="48"/>
        <v>0</v>
      </c>
      <c r="J515" s="706" t="s">
        <v>832</v>
      </c>
      <c r="K515" s="707"/>
      <c r="L515" s="708"/>
      <c r="M515" s="73" t="s">
        <v>833</v>
      </c>
      <c r="N515" s="495">
        <f t="shared" si="49"/>
        <v>0</v>
      </c>
    </row>
    <row r="516" spans="1:31" ht="18.75" customHeight="1" x14ac:dyDescent="0.25">
      <c r="A516" s="706" t="s">
        <v>834</v>
      </c>
      <c r="B516" s="707"/>
      <c r="C516" s="708"/>
      <c r="D516" s="73" t="s">
        <v>835</v>
      </c>
      <c r="E516" s="495">
        <f t="shared" si="48"/>
        <v>0</v>
      </c>
      <c r="J516" s="706" t="s">
        <v>834</v>
      </c>
      <c r="K516" s="707"/>
      <c r="L516" s="708"/>
      <c r="M516" s="73" t="s">
        <v>835</v>
      </c>
      <c r="N516" s="495">
        <f t="shared" si="49"/>
        <v>0</v>
      </c>
    </row>
    <row r="517" spans="1:31" ht="18.75" customHeight="1" x14ac:dyDescent="0.25">
      <c r="A517" s="706" t="s">
        <v>836</v>
      </c>
      <c r="B517" s="707"/>
      <c r="C517" s="708"/>
      <c r="D517" s="73" t="s">
        <v>837</v>
      </c>
      <c r="E517" s="495">
        <f t="shared" si="48"/>
        <v>0</v>
      </c>
      <c r="J517" s="706" t="s">
        <v>836</v>
      </c>
      <c r="K517" s="707"/>
      <c r="L517" s="708"/>
      <c r="M517" s="73" t="s">
        <v>837</v>
      </c>
      <c r="N517" s="495">
        <f t="shared" si="49"/>
        <v>0</v>
      </c>
    </row>
    <row r="518" spans="1:31" ht="18.75" customHeight="1" x14ac:dyDescent="0.25">
      <c r="A518" s="709" t="s">
        <v>341</v>
      </c>
      <c r="B518" s="709"/>
      <c r="C518" s="709"/>
      <c r="D518" s="709"/>
      <c r="E518" s="496">
        <f>SUM(E508:E517)</f>
        <v>0</v>
      </c>
      <c r="J518" s="709" t="s">
        <v>341</v>
      </c>
      <c r="K518" s="709"/>
      <c r="L518" s="709"/>
      <c r="M518" s="709"/>
      <c r="N518" s="496">
        <f>SUM(N508:N517)</f>
        <v>0</v>
      </c>
    </row>
    <row r="522" spans="1:31" ht="18.75" customHeight="1" x14ac:dyDescent="0.25">
      <c r="AE522" s="497" t="s">
        <v>838</v>
      </c>
    </row>
  </sheetData>
  <mergeCells count="823">
    <mergeCell ref="A517:C517"/>
    <mergeCell ref="J517:L517"/>
    <mergeCell ref="A518:D518"/>
    <mergeCell ref="J518:M518"/>
    <mergeCell ref="A514:C514"/>
    <mergeCell ref="J514:L514"/>
    <mergeCell ref="A515:C515"/>
    <mergeCell ref="J515:L515"/>
    <mergeCell ref="A516:C516"/>
    <mergeCell ref="J516:L516"/>
    <mergeCell ref="A511:C511"/>
    <mergeCell ref="J511:L511"/>
    <mergeCell ref="A512:C512"/>
    <mergeCell ref="J512:L512"/>
    <mergeCell ref="A513:C513"/>
    <mergeCell ref="J513:L513"/>
    <mergeCell ref="A508:C508"/>
    <mergeCell ref="J508:L508"/>
    <mergeCell ref="A509:C509"/>
    <mergeCell ref="J509:L509"/>
    <mergeCell ref="A510:C510"/>
    <mergeCell ref="J510:L510"/>
    <mergeCell ref="A505:C505"/>
    <mergeCell ref="J505:L505"/>
    <mergeCell ref="A506:D506"/>
    <mergeCell ref="J506:M506"/>
    <mergeCell ref="A507:D507"/>
    <mergeCell ref="J507:M507"/>
    <mergeCell ref="A502:C502"/>
    <mergeCell ref="J502:L502"/>
    <mergeCell ref="A503:C503"/>
    <mergeCell ref="J503:L503"/>
    <mergeCell ref="A504:C504"/>
    <mergeCell ref="J504:L504"/>
    <mergeCell ref="A499:C499"/>
    <mergeCell ref="J499:L499"/>
    <mergeCell ref="A500:C500"/>
    <mergeCell ref="J500:L500"/>
    <mergeCell ref="A501:C501"/>
    <mergeCell ref="J501:L501"/>
    <mergeCell ref="A496:C496"/>
    <mergeCell ref="J496:L496"/>
    <mergeCell ref="A497:C497"/>
    <mergeCell ref="J497:L497"/>
    <mergeCell ref="A498:C498"/>
    <mergeCell ref="J498:L498"/>
    <mergeCell ref="A493:D493"/>
    <mergeCell ref="J493:M493"/>
    <mergeCell ref="A494:C494"/>
    <mergeCell ref="J494:L494"/>
    <mergeCell ref="A495:C495"/>
    <mergeCell ref="J495:L495"/>
    <mergeCell ref="A490:C490"/>
    <mergeCell ref="J490:L490"/>
    <mergeCell ref="A491:C491"/>
    <mergeCell ref="J491:L491"/>
    <mergeCell ref="A492:D492"/>
    <mergeCell ref="J492:M492"/>
    <mergeCell ref="A487:D487"/>
    <mergeCell ref="J487:M487"/>
    <mergeCell ref="A488:C488"/>
    <mergeCell ref="J488:L488"/>
    <mergeCell ref="A489:C489"/>
    <mergeCell ref="J489:L489"/>
    <mergeCell ref="A484:C484"/>
    <mergeCell ref="J484:L484"/>
    <mergeCell ref="A485:C485"/>
    <mergeCell ref="J485:L485"/>
    <mergeCell ref="A486:D486"/>
    <mergeCell ref="J486:M486"/>
    <mergeCell ref="A481:C481"/>
    <mergeCell ref="J481:L481"/>
    <mergeCell ref="A482:C482"/>
    <mergeCell ref="J482:L482"/>
    <mergeCell ref="A483:C483"/>
    <mergeCell ref="J483:L483"/>
    <mergeCell ref="A478:D478"/>
    <mergeCell ref="J478:M478"/>
    <mergeCell ref="A479:D479"/>
    <mergeCell ref="J479:M479"/>
    <mergeCell ref="A480:C480"/>
    <mergeCell ref="J480:L480"/>
    <mergeCell ref="A475:C475"/>
    <mergeCell ref="J475:L475"/>
    <mergeCell ref="A476:C476"/>
    <mergeCell ref="J476:L476"/>
    <mergeCell ref="A477:C477"/>
    <mergeCell ref="J477:L477"/>
    <mergeCell ref="A472:C472"/>
    <mergeCell ref="J472:L472"/>
    <mergeCell ref="A473:C473"/>
    <mergeCell ref="J473:L473"/>
    <mergeCell ref="A474:C474"/>
    <mergeCell ref="J474:L474"/>
    <mergeCell ref="A469:C469"/>
    <mergeCell ref="J469:L469"/>
    <mergeCell ref="A470:C470"/>
    <mergeCell ref="J470:L470"/>
    <mergeCell ref="A471:C471"/>
    <mergeCell ref="J471:L471"/>
    <mergeCell ref="A466:C466"/>
    <mergeCell ref="J466:L466"/>
    <mergeCell ref="A467:C467"/>
    <mergeCell ref="J467:L467"/>
    <mergeCell ref="A468:C468"/>
    <mergeCell ref="J468:L468"/>
    <mergeCell ref="A463:C463"/>
    <mergeCell ref="J463:L463"/>
    <mergeCell ref="A464:C464"/>
    <mergeCell ref="J464:L464"/>
    <mergeCell ref="A465:C465"/>
    <mergeCell ref="J465:L465"/>
    <mergeCell ref="A460:C460"/>
    <mergeCell ref="J460:L460"/>
    <mergeCell ref="A461:C461"/>
    <mergeCell ref="J461:L461"/>
    <mergeCell ref="A462:C462"/>
    <mergeCell ref="J462:L462"/>
    <mergeCell ref="A457:C457"/>
    <mergeCell ref="J457:L457"/>
    <mergeCell ref="A458:C458"/>
    <mergeCell ref="J458:L458"/>
    <mergeCell ref="A459:C459"/>
    <mergeCell ref="J459:L459"/>
    <mergeCell ref="A454:D454"/>
    <mergeCell ref="J454:M454"/>
    <mergeCell ref="A455:C455"/>
    <mergeCell ref="J455:L455"/>
    <mergeCell ref="A456:C456"/>
    <mergeCell ref="J456:L456"/>
    <mergeCell ref="A451:C451"/>
    <mergeCell ref="J451:L451"/>
    <mergeCell ref="A452:C452"/>
    <mergeCell ref="J452:L452"/>
    <mergeCell ref="A453:D453"/>
    <mergeCell ref="J453:M453"/>
    <mergeCell ref="A448:C448"/>
    <mergeCell ref="J448:L448"/>
    <mergeCell ref="A449:C449"/>
    <mergeCell ref="J449:L449"/>
    <mergeCell ref="A450:C450"/>
    <mergeCell ref="J450:L450"/>
    <mergeCell ref="A445:C445"/>
    <mergeCell ref="J445:L445"/>
    <mergeCell ref="A446:C446"/>
    <mergeCell ref="J446:L446"/>
    <mergeCell ref="A447:C447"/>
    <mergeCell ref="J447:L447"/>
    <mergeCell ref="A442:C442"/>
    <mergeCell ref="J442:L442"/>
    <mergeCell ref="A443:C443"/>
    <mergeCell ref="J443:L443"/>
    <mergeCell ref="A444:C444"/>
    <mergeCell ref="J444:L444"/>
    <mergeCell ref="A439:C439"/>
    <mergeCell ref="J439:L439"/>
    <mergeCell ref="A440:C440"/>
    <mergeCell ref="J440:L440"/>
    <mergeCell ref="A441:C441"/>
    <mergeCell ref="J441:L441"/>
    <mergeCell ref="A436:C436"/>
    <mergeCell ref="J436:L436"/>
    <mergeCell ref="A437:C437"/>
    <mergeCell ref="J437:L437"/>
    <mergeCell ref="A438:C438"/>
    <mergeCell ref="J438:L438"/>
    <mergeCell ref="A433:C433"/>
    <mergeCell ref="J433:L433"/>
    <mergeCell ref="A434:C434"/>
    <mergeCell ref="J434:L434"/>
    <mergeCell ref="A435:C435"/>
    <mergeCell ref="J435:L435"/>
    <mergeCell ref="A430:C430"/>
    <mergeCell ref="J430:L430"/>
    <mergeCell ref="A431:C431"/>
    <mergeCell ref="J431:L431"/>
    <mergeCell ref="A432:C432"/>
    <mergeCell ref="J432:L432"/>
    <mergeCell ref="A427:C427"/>
    <mergeCell ref="J427:L427"/>
    <mergeCell ref="A428:C428"/>
    <mergeCell ref="J428:L428"/>
    <mergeCell ref="A429:C429"/>
    <mergeCell ref="J429:L429"/>
    <mergeCell ref="A424:C424"/>
    <mergeCell ref="J424:L424"/>
    <mergeCell ref="A425:C425"/>
    <mergeCell ref="J425:L425"/>
    <mergeCell ref="A426:C426"/>
    <mergeCell ref="J426:L426"/>
    <mergeCell ref="A421:C421"/>
    <mergeCell ref="J421:L421"/>
    <mergeCell ref="A422:C422"/>
    <mergeCell ref="J422:L422"/>
    <mergeCell ref="A423:C423"/>
    <mergeCell ref="J423:L423"/>
    <mergeCell ref="A418:C418"/>
    <mergeCell ref="J418:L418"/>
    <mergeCell ref="A419:C419"/>
    <mergeCell ref="J419:L419"/>
    <mergeCell ref="A420:C420"/>
    <mergeCell ref="J420:L420"/>
    <mergeCell ref="A415:C415"/>
    <mergeCell ref="J415:L415"/>
    <mergeCell ref="A416:C416"/>
    <mergeCell ref="J416:L416"/>
    <mergeCell ref="A417:C417"/>
    <mergeCell ref="J417:L417"/>
    <mergeCell ref="A412:C412"/>
    <mergeCell ref="J412:L412"/>
    <mergeCell ref="A413:C413"/>
    <mergeCell ref="J413:L413"/>
    <mergeCell ref="A414:C414"/>
    <mergeCell ref="J414:L414"/>
    <mergeCell ref="A409:C409"/>
    <mergeCell ref="J409:L409"/>
    <mergeCell ref="A410:C410"/>
    <mergeCell ref="J410:L410"/>
    <mergeCell ref="A411:C411"/>
    <mergeCell ref="J411:L411"/>
    <mergeCell ref="A406:C406"/>
    <mergeCell ref="J406:L406"/>
    <mergeCell ref="A407:C407"/>
    <mergeCell ref="J407:L407"/>
    <mergeCell ref="A408:C408"/>
    <mergeCell ref="J408:L408"/>
    <mergeCell ref="A403:C403"/>
    <mergeCell ref="J403:L403"/>
    <mergeCell ref="A404:C404"/>
    <mergeCell ref="J404:L404"/>
    <mergeCell ref="A405:C405"/>
    <mergeCell ref="J405:L405"/>
    <mergeCell ref="A400:C400"/>
    <mergeCell ref="J400:L400"/>
    <mergeCell ref="A401:C401"/>
    <mergeCell ref="J401:L401"/>
    <mergeCell ref="A402:C402"/>
    <mergeCell ref="J402:L402"/>
    <mergeCell ref="A397:C397"/>
    <mergeCell ref="J397:L397"/>
    <mergeCell ref="A398:C398"/>
    <mergeCell ref="J398:L398"/>
    <mergeCell ref="A399:C399"/>
    <mergeCell ref="J399:L399"/>
    <mergeCell ref="A394:C394"/>
    <mergeCell ref="J394:L394"/>
    <mergeCell ref="A395:C395"/>
    <mergeCell ref="J395:L395"/>
    <mergeCell ref="A396:C396"/>
    <mergeCell ref="J396:L396"/>
    <mergeCell ref="A391:C391"/>
    <mergeCell ref="J391:L391"/>
    <mergeCell ref="A392:C392"/>
    <mergeCell ref="J392:L392"/>
    <mergeCell ref="A393:C393"/>
    <mergeCell ref="J393:L393"/>
    <mergeCell ref="A388:C388"/>
    <mergeCell ref="J388:L388"/>
    <mergeCell ref="A389:C389"/>
    <mergeCell ref="J389:L389"/>
    <mergeCell ref="A390:C390"/>
    <mergeCell ref="J390:L390"/>
    <mergeCell ref="A385:C385"/>
    <mergeCell ref="J385:L385"/>
    <mergeCell ref="A386:C386"/>
    <mergeCell ref="J386:L386"/>
    <mergeCell ref="A387:C387"/>
    <mergeCell ref="J387:L387"/>
    <mergeCell ref="A382:C382"/>
    <mergeCell ref="J382:L382"/>
    <mergeCell ref="A383:C383"/>
    <mergeCell ref="J383:L383"/>
    <mergeCell ref="A384:C384"/>
    <mergeCell ref="J384:L384"/>
    <mergeCell ref="A379:C379"/>
    <mergeCell ref="J379:L379"/>
    <mergeCell ref="A380:C380"/>
    <mergeCell ref="J380:L380"/>
    <mergeCell ref="A381:C381"/>
    <mergeCell ref="J381:L381"/>
    <mergeCell ref="A376:C376"/>
    <mergeCell ref="J376:L376"/>
    <mergeCell ref="A377:C377"/>
    <mergeCell ref="J377:L377"/>
    <mergeCell ref="A378:C378"/>
    <mergeCell ref="J378:L378"/>
    <mergeCell ref="A373:C373"/>
    <mergeCell ref="J373:L373"/>
    <mergeCell ref="A374:D374"/>
    <mergeCell ref="J374:M374"/>
    <mergeCell ref="A375:D375"/>
    <mergeCell ref="J375:M375"/>
    <mergeCell ref="A370:C370"/>
    <mergeCell ref="J370:L370"/>
    <mergeCell ref="A371:C371"/>
    <mergeCell ref="J371:L371"/>
    <mergeCell ref="A372:C372"/>
    <mergeCell ref="J372:L372"/>
    <mergeCell ref="A367:C367"/>
    <mergeCell ref="J367:L367"/>
    <mergeCell ref="A368:C368"/>
    <mergeCell ref="J368:L368"/>
    <mergeCell ref="A369:C369"/>
    <mergeCell ref="J369:L369"/>
    <mergeCell ref="A364:C364"/>
    <mergeCell ref="J364:L364"/>
    <mergeCell ref="A365:C365"/>
    <mergeCell ref="J365:L365"/>
    <mergeCell ref="A366:C366"/>
    <mergeCell ref="J366:L366"/>
    <mergeCell ref="A361:C361"/>
    <mergeCell ref="J361:L361"/>
    <mergeCell ref="A362:C362"/>
    <mergeCell ref="J362:L362"/>
    <mergeCell ref="A363:C363"/>
    <mergeCell ref="J363:L363"/>
    <mergeCell ref="A358:C358"/>
    <mergeCell ref="J358:L358"/>
    <mergeCell ref="A359:C359"/>
    <mergeCell ref="J359:L359"/>
    <mergeCell ref="A360:C360"/>
    <mergeCell ref="J360:L360"/>
    <mergeCell ref="A355:C355"/>
    <mergeCell ref="J355:L355"/>
    <mergeCell ref="A356:C356"/>
    <mergeCell ref="J356:L356"/>
    <mergeCell ref="A357:C357"/>
    <mergeCell ref="J357:L357"/>
    <mergeCell ref="A352:C352"/>
    <mergeCell ref="J352:L352"/>
    <mergeCell ref="A353:C353"/>
    <mergeCell ref="J353:L353"/>
    <mergeCell ref="A354:C354"/>
    <mergeCell ref="J354:L354"/>
    <mergeCell ref="A349:C349"/>
    <mergeCell ref="J349:L349"/>
    <mergeCell ref="A350:C350"/>
    <mergeCell ref="J350:L350"/>
    <mergeCell ref="A351:C351"/>
    <mergeCell ref="J351:L351"/>
    <mergeCell ref="A346:C346"/>
    <mergeCell ref="J346:L346"/>
    <mergeCell ref="A347:C347"/>
    <mergeCell ref="J347:L347"/>
    <mergeCell ref="A348:C348"/>
    <mergeCell ref="J348:L348"/>
    <mergeCell ref="A343:E343"/>
    <mergeCell ref="F343:G343"/>
    <mergeCell ref="J343:N343"/>
    <mergeCell ref="O343:P343"/>
    <mergeCell ref="A345:D345"/>
    <mergeCell ref="J345:M345"/>
    <mergeCell ref="A331:B331"/>
    <mergeCell ref="J331:K331"/>
    <mergeCell ref="A332:B332"/>
    <mergeCell ref="J332:K332"/>
    <mergeCell ref="A338:Q339"/>
    <mergeCell ref="A341:D341"/>
    <mergeCell ref="A328:B328"/>
    <mergeCell ref="J328:K328"/>
    <mergeCell ref="A329:B329"/>
    <mergeCell ref="J329:K329"/>
    <mergeCell ref="A330:B330"/>
    <mergeCell ref="J330:K330"/>
    <mergeCell ref="A325:B325"/>
    <mergeCell ref="J325:K325"/>
    <mergeCell ref="A326:B326"/>
    <mergeCell ref="J326:K326"/>
    <mergeCell ref="A327:B327"/>
    <mergeCell ref="J327:K327"/>
    <mergeCell ref="A322:B322"/>
    <mergeCell ref="J322:K322"/>
    <mergeCell ref="A323:B323"/>
    <mergeCell ref="J323:K323"/>
    <mergeCell ref="A324:B324"/>
    <mergeCell ref="J324:K324"/>
    <mergeCell ref="A319:B319"/>
    <mergeCell ref="J319:K319"/>
    <mergeCell ref="A320:B320"/>
    <mergeCell ref="J320:K320"/>
    <mergeCell ref="A321:B321"/>
    <mergeCell ref="J321:K321"/>
    <mergeCell ref="A316:B316"/>
    <mergeCell ref="J316:K316"/>
    <mergeCell ref="A317:B317"/>
    <mergeCell ref="J317:K317"/>
    <mergeCell ref="A318:B318"/>
    <mergeCell ref="J318:K318"/>
    <mergeCell ref="A313:B313"/>
    <mergeCell ref="J313:K313"/>
    <mergeCell ref="A314:B314"/>
    <mergeCell ref="J314:K314"/>
    <mergeCell ref="A315:B315"/>
    <mergeCell ref="J315:K315"/>
    <mergeCell ref="A310:B310"/>
    <mergeCell ref="J310:K310"/>
    <mergeCell ref="A311:B311"/>
    <mergeCell ref="J311:K311"/>
    <mergeCell ref="A312:B312"/>
    <mergeCell ref="J312:K312"/>
    <mergeCell ref="A307:B307"/>
    <mergeCell ref="J307:K307"/>
    <mergeCell ref="A308:B308"/>
    <mergeCell ref="J308:K308"/>
    <mergeCell ref="A309:B309"/>
    <mergeCell ref="J309:K309"/>
    <mergeCell ref="A304:B304"/>
    <mergeCell ref="J304:K304"/>
    <mergeCell ref="A305:B305"/>
    <mergeCell ref="J305:K305"/>
    <mergeCell ref="A306:B306"/>
    <mergeCell ref="J306:K306"/>
    <mergeCell ref="A301:B301"/>
    <mergeCell ref="J301:K301"/>
    <mergeCell ref="A302:B302"/>
    <mergeCell ref="J302:K302"/>
    <mergeCell ref="A303:B303"/>
    <mergeCell ref="J303:K303"/>
    <mergeCell ref="A298:B298"/>
    <mergeCell ref="J298:K298"/>
    <mergeCell ref="A299:B299"/>
    <mergeCell ref="J299:K299"/>
    <mergeCell ref="A300:B300"/>
    <mergeCell ref="J300:K300"/>
    <mergeCell ref="A295:B295"/>
    <mergeCell ref="J295:K295"/>
    <mergeCell ref="A296:B296"/>
    <mergeCell ref="J296:K296"/>
    <mergeCell ref="A297:B297"/>
    <mergeCell ref="J297:K297"/>
    <mergeCell ref="A292:B292"/>
    <mergeCell ref="J292:K292"/>
    <mergeCell ref="A293:B293"/>
    <mergeCell ref="J293:K293"/>
    <mergeCell ref="A294:B294"/>
    <mergeCell ref="J294:K294"/>
    <mergeCell ref="A289:B289"/>
    <mergeCell ref="J289:K289"/>
    <mergeCell ref="A290:B290"/>
    <mergeCell ref="J290:K290"/>
    <mergeCell ref="A291:B291"/>
    <mergeCell ref="J291:K291"/>
    <mergeCell ref="A286:B286"/>
    <mergeCell ref="J286:K286"/>
    <mergeCell ref="A287:B287"/>
    <mergeCell ref="J287:K287"/>
    <mergeCell ref="A288:B288"/>
    <mergeCell ref="J288:K288"/>
    <mergeCell ref="A283:B283"/>
    <mergeCell ref="J283:K283"/>
    <mergeCell ref="A284:B284"/>
    <mergeCell ref="J284:K284"/>
    <mergeCell ref="A285:B285"/>
    <mergeCell ref="J285:K285"/>
    <mergeCell ref="A280:B280"/>
    <mergeCell ref="J280:K280"/>
    <mergeCell ref="A281:B281"/>
    <mergeCell ref="J281:K281"/>
    <mergeCell ref="A282:B282"/>
    <mergeCell ref="J282:K282"/>
    <mergeCell ref="A277:B277"/>
    <mergeCell ref="J277:K277"/>
    <mergeCell ref="A278:B278"/>
    <mergeCell ref="J278:K278"/>
    <mergeCell ref="A279:B279"/>
    <mergeCell ref="J279:K279"/>
    <mergeCell ref="A274:B274"/>
    <mergeCell ref="J274:K274"/>
    <mergeCell ref="A275:B275"/>
    <mergeCell ref="J275:K275"/>
    <mergeCell ref="A276:B276"/>
    <mergeCell ref="J276:K276"/>
    <mergeCell ref="A271:B271"/>
    <mergeCell ref="J271:K271"/>
    <mergeCell ref="A272:B272"/>
    <mergeCell ref="J272:K272"/>
    <mergeCell ref="A273:B273"/>
    <mergeCell ref="J273:K273"/>
    <mergeCell ref="A268:B268"/>
    <mergeCell ref="J268:K268"/>
    <mergeCell ref="A269:B269"/>
    <mergeCell ref="J269:K269"/>
    <mergeCell ref="A270:B270"/>
    <mergeCell ref="J270:K270"/>
    <mergeCell ref="A265:B265"/>
    <mergeCell ref="J265:K265"/>
    <mergeCell ref="A266:B266"/>
    <mergeCell ref="J266:K266"/>
    <mergeCell ref="A267:B267"/>
    <mergeCell ref="J267:K267"/>
    <mergeCell ref="A262:B262"/>
    <mergeCell ref="J262:K262"/>
    <mergeCell ref="A263:B263"/>
    <mergeCell ref="J263:K263"/>
    <mergeCell ref="A264:B264"/>
    <mergeCell ref="J264:K264"/>
    <mergeCell ref="A260:D260"/>
    <mergeCell ref="E260:F260"/>
    <mergeCell ref="J260:M260"/>
    <mergeCell ref="N260:O260"/>
    <mergeCell ref="P260:Q260"/>
    <mergeCell ref="A261:B261"/>
    <mergeCell ref="J261:K261"/>
    <mergeCell ref="A257:B257"/>
    <mergeCell ref="J257:K257"/>
    <mergeCell ref="A258:B258"/>
    <mergeCell ref="J258:K258"/>
    <mergeCell ref="A259:B259"/>
    <mergeCell ref="J259:K259"/>
    <mergeCell ref="A254:B254"/>
    <mergeCell ref="J254:K254"/>
    <mergeCell ref="A255:B255"/>
    <mergeCell ref="J255:K255"/>
    <mergeCell ref="A256:B256"/>
    <mergeCell ref="J256:K256"/>
    <mergeCell ref="A251:B251"/>
    <mergeCell ref="J251:K251"/>
    <mergeCell ref="A252:B252"/>
    <mergeCell ref="J252:K252"/>
    <mergeCell ref="A253:B253"/>
    <mergeCell ref="J253:K253"/>
    <mergeCell ref="A248:B248"/>
    <mergeCell ref="J248:K248"/>
    <mergeCell ref="A249:B249"/>
    <mergeCell ref="J249:K249"/>
    <mergeCell ref="A250:B250"/>
    <mergeCell ref="J250:K250"/>
    <mergeCell ref="A245:B245"/>
    <mergeCell ref="J245:K245"/>
    <mergeCell ref="A246:B246"/>
    <mergeCell ref="J246:K246"/>
    <mergeCell ref="A247:B247"/>
    <mergeCell ref="J247:K247"/>
    <mergeCell ref="A242:B242"/>
    <mergeCell ref="J242:K242"/>
    <mergeCell ref="A243:B243"/>
    <mergeCell ref="J243:K243"/>
    <mergeCell ref="A244:B244"/>
    <mergeCell ref="J244:K244"/>
    <mergeCell ref="A239:B239"/>
    <mergeCell ref="J239:K239"/>
    <mergeCell ref="A240:B240"/>
    <mergeCell ref="J240:K240"/>
    <mergeCell ref="A241:B241"/>
    <mergeCell ref="J241:K241"/>
    <mergeCell ref="A236:B236"/>
    <mergeCell ref="J236:K236"/>
    <mergeCell ref="A237:B237"/>
    <mergeCell ref="J237:K237"/>
    <mergeCell ref="A238:B238"/>
    <mergeCell ref="J238:K238"/>
    <mergeCell ref="P233:Q233"/>
    <mergeCell ref="A234:C234"/>
    <mergeCell ref="E234:F234"/>
    <mergeCell ref="J234:L234"/>
    <mergeCell ref="N234:O234"/>
    <mergeCell ref="A235:D235"/>
    <mergeCell ref="E235:F235"/>
    <mergeCell ref="J235:M235"/>
    <mergeCell ref="N235:O235"/>
    <mergeCell ref="P235:Q235"/>
    <mergeCell ref="A228:E228"/>
    <mergeCell ref="F228:G228"/>
    <mergeCell ref="J228:N228"/>
    <mergeCell ref="O228:P228"/>
    <mergeCell ref="A230:E230"/>
    <mergeCell ref="F230:G230"/>
    <mergeCell ref="J230:N230"/>
    <mergeCell ref="O230:P230"/>
    <mergeCell ref="A215:C215"/>
    <mergeCell ref="J215:L215"/>
    <mergeCell ref="A217:Q218"/>
    <mergeCell ref="A221:Q222"/>
    <mergeCell ref="A226:E226"/>
    <mergeCell ref="F226:G226"/>
    <mergeCell ref="J226:N226"/>
    <mergeCell ref="O226:P226"/>
    <mergeCell ref="A212:C212"/>
    <mergeCell ref="J212:L212"/>
    <mergeCell ref="A213:C213"/>
    <mergeCell ref="J213:L213"/>
    <mergeCell ref="A214:C214"/>
    <mergeCell ref="J214:L214"/>
    <mergeCell ref="A207:C207"/>
    <mergeCell ref="J207:L207"/>
    <mergeCell ref="A209:C209"/>
    <mergeCell ref="J209:L209"/>
    <mergeCell ref="A211:C211"/>
    <mergeCell ref="J211:L211"/>
    <mergeCell ref="A204:C204"/>
    <mergeCell ref="J204:L204"/>
    <mergeCell ref="A205:C205"/>
    <mergeCell ref="J205:L205"/>
    <mergeCell ref="A206:C206"/>
    <mergeCell ref="J206:L206"/>
    <mergeCell ref="A201:C201"/>
    <mergeCell ref="J201:L201"/>
    <mergeCell ref="A202:C202"/>
    <mergeCell ref="J202:L202"/>
    <mergeCell ref="A203:C203"/>
    <mergeCell ref="J203:L203"/>
    <mergeCell ref="A198:C198"/>
    <mergeCell ref="J198:L198"/>
    <mergeCell ref="A199:C199"/>
    <mergeCell ref="J199:L199"/>
    <mergeCell ref="A200:C200"/>
    <mergeCell ref="J200:L200"/>
    <mergeCell ref="A195:C195"/>
    <mergeCell ref="J195:L195"/>
    <mergeCell ref="A196:C196"/>
    <mergeCell ref="J196:L196"/>
    <mergeCell ref="A197:C197"/>
    <mergeCell ref="J197:L197"/>
    <mergeCell ref="A192:C192"/>
    <mergeCell ref="J192:L192"/>
    <mergeCell ref="A193:C193"/>
    <mergeCell ref="J193:L193"/>
    <mergeCell ref="A194:C194"/>
    <mergeCell ref="J194:L194"/>
    <mergeCell ref="A189:C189"/>
    <mergeCell ref="J189:L189"/>
    <mergeCell ref="A190:C190"/>
    <mergeCell ref="J190:L190"/>
    <mergeCell ref="A191:C191"/>
    <mergeCell ref="J191:L191"/>
    <mergeCell ref="A186:C186"/>
    <mergeCell ref="J186:L186"/>
    <mergeCell ref="A187:C187"/>
    <mergeCell ref="J187:L187"/>
    <mergeCell ref="A188:C188"/>
    <mergeCell ref="J188:L188"/>
    <mergeCell ref="A183:C183"/>
    <mergeCell ref="J183:L183"/>
    <mergeCell ref="A184:C184"/>
    <mergeCell ref="J184:L184"/>
    <mergeCell ref="A185:C185"/>
    <mergeCell ref="J185:L185"/>
    <mergeCell ref="A179:C179"/>
    <mergeCell ref="J179:L179"/>
    <mergeCell ref="A180:C180"/>
    <mergeCell ref="J180:L180"/>
    <mergeCell ref="A181:C181"/>
    <mergeCell ref="J181:L181"/>
    <mergeCell ref="A176:C176"/>
    <mergeCell ref="J176:L176"/>
    <mergeCell ref="A177:C177"/>
    <mergeCell ref="J177:L177"/>
    <mergeCell ref="A178:C178"/>
    <mergeCell ref="J178:L178"/>
    <mergeCell ref="A173:C173"/>
    <mergeCell ref="J173:L173"/>
    <mergeCell ref="A174:C174"/>
    <mergeCell ref="J174:L174"/>
    <mergeCell ref="A175:C175"/>
    <mergeCell ref="J175:L175"/>
    <mergeCell ref="A170:C170"/>
    <mergeCell ref="J170:L170"/>
    <mergeCell ref="A171:C171"/>
    <mergeCell ref="J171:L171"/>
    <mergeCell ref="A172:C172"/>
    <mergeCell ref="J172:L172"/>
    <mergeCell ref="A167:C167"/>
    <mergeCell ref="J167:L167"/>
    <mergeCell ref="A168:C168"/>
    <mergeCell ref="J168:L168"/>
    <mergeCell ref="A169:C169"/>
    <mergeCell ref="J169:L169"/>
    <mergeCell ref="A164:C164"/>
    <mergeCell ref="J164:L164"/>
    <mergeCell ref="A165:C165"/>
    <mergeCell ref="J165:L165"/>
    <mergeCell ref="A166:C166"/>
    <mergeCell ref="J166:L166"/>
    <mergeCell ref="A161:C161"/>
    <mergeCell ref="J161:L161"/>
    <mergeCell ref="A162:C162"/>
    <mergeCell ref="J162:L162"/>
    <mergeCell ref="A163:C163"/>
    <mergeCell ref="J163:L163"/>
    <mergeCell ref="A158:C158"/>
    <mergeCell ref="J158:L158"/>
    <mergeCell ref="A159:C159"/>
    <mergeCell ref="J159:L159"/>
    <mergeCell ref="A160:C160"/>
    <mergeCell ref="J160:L160"/>
    <mergeCell ref="A155:C155"/>
    <mergeCell ref="J155:L155"/>
    <mergeCell ref="A156:C156"/>
    <mergeCell ref="J156:L156"/>
    <mergeCell ref="A157:C157"/>
    <mergeCell ref="J157:L157"/>
    <mergeCell ref="A152:C152"/>
    <mergeCell ref="J152:L152"/>
    <mergeCell ref="A153:C153"/>
    <mergeCell ref="J153:L153"/>
    <mergeCell ref="A154:C154"/>
    <mergeCell ref="J154:L154"/>
    <mergeCell ref="A149:C149"/>
    <mergeCell ref="J149:L149"/>
    <mergeCell ref="A150:C150"/>
    <mergeCell ref="J150:L150"/>
    <mergeCell ref="A151:C151"/>
    <mergeCell ref="J151:L151"/>
    <mergeCell ref="A146:C146"/>
    <mergeCell ref="J146:L146"/>
    <mergeCell ref="A147:C147"/>
    <mergeCell ref="J147:L147"/>
    <mergeCell ref="A148:C148"/>
    <mergeCell ref="J148:L148"/>
    <mergeCell ref="A135:C135"/>
    <mergeCell ref="J135:L135"/>
    <mergeCell ref="A136:C136"/>
    <mergeCell ref="J136:L136"/>
    <mergeCell ref="A143:C143"/>
    <mergeCell ref="J143:L143"/>
    <mergeCell ref="A144:C144"/>
    <mergeCell ref="J144:L144"/>
    <mergeCell ref="A145:C145"/>
    <mergeCell ref="J145:L145"/>
    <mergeCell ref="A140:C140"/>
    <mergeCell ref="J140:L140"/>
    <mergeCell ref="A141:C141"/>
    <mergeCell ref="J141:L141"/>
    <mergeCell ref="A142:C142"/>
    <mergeCell ref="J142:L142"/>
    <mergeCell ref="A131:C131"/>
    <mergeCell ref="J131:L131"/>
    <mergeCell ref="A132:C132"/>
    <mergeCell ref="J132:L132"/>
    <mergeCell ref="A133:C133"/>
    <mergeCell ref="J133:L133"/>
    <mergeCell ref="A127:F127"/>
    <mergeCell ref="J127:O127"/>
    <mergeCell ref="T127:AC127"/>
    <mergeCell ref="A128:C128"/>
    <mergeCell ref="J128:L128"/>
    <mergeCell ref="T128:AC141"/>
    <mergeCell ref="A129:C129"/>
    <mergeCell ref="J129:L129"/>
    <mergeCell ref="A130:C130"/>
    <mergeCell ref="J130:L130"/>
    <mergeCell ref="A137:C137"/>
    <mergeCell ref="J137:L137"/>
    <mergeCell ref="A138:C138"/>
    <mergeCell ref="J138:L138"/>
    <mergeCell ref="A139:C139"/>
    <mergeCell ref="J139:L139"/>
    <mergeCell ref="A134:C134"/>
    <mergeCell ref="J134:L134"/>
    <mergeCell ref="E121:I121"/>
    <mergeCell ref="J121:K121"/>
    <mergeCell ref="A123:E123"/>
    <mergeCell ref="F123:G123"/>
    <mergeCell ref="J123:N123"/>
    <mergeCell ref="O123:P123"/>
    <mergeCell ref="T117:U117"/>
    <mergeCell ref="V117:W117"/>
    <mergeCell ref="Z117:AA117"/>
    <mergeCell ref="AB117:AC117"/>
    <mergeCell ref="X118:Y118"/>
    <mergeCell ref="A119:Q119"/>
    <mergeCell ref="I76:K76"/>
    <mergeCell ref="A115:I115"/>
    <mergeCell ref="J115:M115"/>
    <mergeCell ref="T115:W115"/>
    <mergeCell ref="Z115:AC115"/>
    <mergeCell ref="T116:U116"/>
    <mergeCell ref="V116:W116"/>
    <mergeCell ref="Z116:AA116"/>
    <mergeCell ref="AB116:AC116"/>
    <mergeCell ref="AC63:AE63"/>
    <mergeCell ref="E67:H67"/>
    <mergeCell ref="U70:AB73"/>
    <mergeCell ref="AC70:AD73"/>
    <mergeCell ref="AF70:AI73"/>
    <mergeCell ref="A75:B75"/>
    <mergeCell ref="A53:B53"/>
    <mergeCell ref="AH53:AH54"/>
    <mergeCell ref="W55:Y55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BB48:BC48"/>
    <mergeCell ref="AB51:AE51"/>
    <mergeCell ref="E26:H26"/>
    <mergeCell ref="AE26:AG26"/>
    <mergeCell ref="B28:D28"/>
    <mergeCell ref="BF30:BI45"/>
    <mergeCell ref="E31:H31"/>
    <mergeCell ref="K32:L32"/>
    <mergeCell ref="X38:X39"/>
    <mergeCell ref="L40:L42"/>
    <mergeCell ref="E41:I41"/>
    <mergeCell ref="Q43:R45"/>
    <mergeCell ref="A44:B44"/>
    <mergeCell ref="C44:C45"/>
    <mergeCell ref="D44:D45"/>
    <mergeCell ref="J44:J45"/>
    <mergeCell ref="K44:K45"/>
    <mergeCell ref="W44:Z44"/>
    <mergeCell ref="A34:A37"/>
    <mergeCell ref="E34:H34"/>
    <mergeCell ref="L34:L39"/>
    <mergeCell ref="U35:W35"/>
    <mergeCell ref="C37:C38"/>
    <mergeCell ref="D37:D38"/>
    <mergeCell ref="I37:I38"/>
    <mergeCell ref="A1:BI1"/>
    <mergeCell ref="P3:R3"/>
    <mergeCell ref="B4:B9"/>
    <mergeCell ref="E6:G6"/>
    <mergeCell ref="N6:Q6"/>
    <mergeCell ref="U10:AU21"/>
    <mergeCell ref="N13:Q13"/>
    <mergeCell ref="O14:P14"/>
    <mergeCell ref="A16:B16"/>
    <mergeCell ref="L18:M18"/>
  </mergeCells>
  <phoneticPr fontId="0" type="noConversion"/>
  <conditionalFormatting sqref="A346:A373">
    <cfRule type="expression" dxfId="124" priority="31">
      <formula>IF(#REF!="DESC",1,0)</formula>
    </cfRule>
  </conditionalFormatting>
  <conditionalFormatting sqref="A376:A452">
    <cfRule type="expression" dxfId="123" priority="27">
      <formula>IF(#REF!="DESC",1,0)</formula>
    </cfRule>
  </conditionalFormatting>
  <conditionalFormatting sqref="A455:A477">
    <cfRule type="expression" dxfId="122" priority="25">
      <formula>IF(#REF!="DESC",1,0)</formula>
    </cfRule>
  </conditionalFormatting>
  <conditionalFormatting sqref="A480:A485">
    <cfRule type="expression" dxfId="121" priority="37">
      <formula>IF(#REF!="DESC",1,0)</formula>
    </cfRule>
  </conditionalFormatting>
  <conditionalFormatting sqref="A488:A491">
    <cfRule type="expression" dxfId="120" priority="35">
      <formula>IF(#REF!="DESC",1,0)</formula>
    </cfRule>
  </conditionalFormatting>
  <conditionalFormatting sqref="A494:A505">
    <cfRule type="expression" dxfId="119" priority="33">
      <formula>IF(#REF!="DESC",1,0)</formula>
    </cfRule>
  </conditionalFormatting>
  <conditionalFormatting sqref="A508:A517">
    <cfRule type="expression" dxfId="118" priority="29">
      <formula>IF(#REF!="DESC",1,0)</formula>
    </cfRule>
  </conditionalFormatting>
  <conditionalFormatting sqref="C253">
    <cfRule type="duplicateValues" dxfId="117" priority="49"/>
  </conditionalFormatting>
  <conditionalFormatting sqref="C258">
    <cfRule type="duplicateValues" dxfId="116" priority="48"/>
  </conditionalFormatting>
  <conditionalFormatting sqref="C261:C262 C264 C266:C272 C274:C277">
    <cfRule type="duplicateValues" dxfId="115" priority="76"/>
  </conditionalFormatting>
  <conditionalFormatting sqref="C263">
    <cfRule type="duplicateValues" dxfId="114" priority="73"/>
  </conditionalFormatting>
  <conditionalFormatting sqref="C265">
    <cfRule type="duplicateValues" dxfId="113" priority="75"/>
  </conditionalFormatting>
  <conditionalFormatting sqref="C273">
    <cfRule type="duplicateValues" dxfId="112" priority="74"/>
  </conditionalFormatting>
  <conditionalFormatting sqref="C278">
    <cfRule type="duplicateValues" dxfId="111" priority="59"/>
  </conditionalFormatting>
  <conditionalFormatting sqref="C279 C281:C284 C286 C289:C292 C294:C300 C302:C303 C305:C313 C315:C317 C319:C321 C324:C329">
    <cfRule type="duplicateValues" dxfId="110" priority="78"/>
  </conditionalFormatting>
  <conditionalFormatting sqref="C280">
    <cfRule type="duplicateValues" dxfId="109" priority="61"/>
  </conditionalFormatting>
  <conditionalFormatting sqref="C285">
    <cfRule type="duplicateValues" dxfId="108" priority="72"/>
  </conditionalFormatting>
  <conditionalFormatting sqref="C287">
    <cfRule type="duplicateValues" dxfId="107" priority="45"/>
  </conditionalFormatting>
  <conditionalFormatting sqref="C288">
    <cfRule type="duplicateValues" dxfId="106" priority="43"/>
  </conditionalFormatting>
  <conditionalFormatting sqref="C293">
    <cfRule type="duplicateValues" dxfId="105" priority="55"/>
  </conditionalFormatting>
  <conditionalFormatting sqref="C301">
    <cfRule type="duplicateValues" dxfId="104" priority="71"/>
  </conditionalFormatting>
  <conditionalFormatting sqref="C304">
    <cfRule type="duplicateValues" dxfId="103" priority="41"/>
  </conditionalFormatting>
  <conditionalFormatting sqref="C314">
    <cfRule type="duplicateValues" dxfId="102" priority="57"/>
  </conditionalFormatting>
  <conditionalFormatting sqref="C318">
    <cfRule type="duplicateValues" dxfId="101" priority="70"/>
  </conditionalFormatting>
  <conditionalFormatting sqref="C322">
    <cfRule type="duplicateValues" dxfId="100" priority="63"/>
  </conditionalFormatting>
  <conditionalFormatting sqref="C323">
    <cfRule type="duplicateValues" dxfId="99" priority="39"/>
  </conditionalFormatting>
  <conditionalFormatting sqref="C331">
    <cfRule type="duplicateValues" dxfId="98" priority="53"/>
  </conditionalFormatting>
  <conditionalFormatting sqref="C332">
    <cfRule type="duplicateValues" dxfId="97" priority="51"/>
  </conditionalFormatting>
  <conditionalFormatting sqref="J346:J373">
    <cfRule type="expression" dxfId="96" priority="30">
      <formula>IF(#REF!="DESC",1,0)</formula>
    </cfRule>
  </conditionalFormatting>
  <conditionalFormatting sqref="J376:J452">
    <cfRule type="expression" dxfId="95" priority="26">
      <formula>IF(#REF!="DESC",1,0)</formula>
    </cfRule>
  </conditionalFormatting>
  <conditionalFormatting sqref="J455:J477">
    <cfRule type="expression" dxfId="94" priority="24">
      <formula>IF(#REF!="DESC",1,0)</formula>
    </cfRule>
  </conditionalFormatting>
  <conditionalFormatting sqref="J480:J485">
    <cfRule type="expression" dxfId="93" priority="36">
      <formula>IF(#REF!="DESC",1,0)</formula>
    </cfRule>
  </conditionalFormatting>
  <conditionalFormatting sqref="J488:J491">
    <cfRule type="expression" dxfId="92" priority="34">
      <formula>IF(#REF!="DESC",1,0)</formula>
    </cfRule>
  </conditionalFormatting>
  <conditionalFormatting sqref="J494:J505">
    <cfRule type="expression" dxfId="91" priority="32">
      <formula>IF(#REF!="DESC",1,0)</formula>
    </cfRule>
  </conditionalFormatting>
  <conditionalFormatting sqref="J508:J517">
    <cfRule type="expression" dxfId="90" priority="28">
      <formula>IF(#REF!="DESC",1,0)</formula>
    </cfRule>
  </conditionalFormatting>
  <conditionalFormatting sqref="L253">
    <cfRule type="duplicateValues" dxfId="89" priority="47"/>
  </conditionalFormatting>
  <conditionalFormatting sqref="L258">
    <cfRule type="duplicateValues" dxfId="88" priority="46"/>
  </conditionalFormatting>
  <conditionalFormatting sqref="L261:L262 L264 L266:L272 L274:L277">
    <cfRule type="duplicateValues" dxfId="87" priority="77"/>
  </conditionalFormatting>
  <conditionalFormatting sqref="L263">
    <cfRule type="duplicateValues" dxfId="86" priority="67"/>
  </conditionalFormatting>
  <conditionalFormatting sqref="L265">
    <cfRule type="duplicateValues" dxfId="85" priority="69"/>
  </conditionalFormatting>
  <conditionalFormatting sqref="L273">
    <cfRule type="duplicateValues" dxfId="84" priority="68"/>
  </conditionalFormatting>
  <conditionalFormatting sqref="L278">
    <cfRule type="duplicateValues" dxfId="83" priority="58"/>
  </conditionalFormatting>
  <conditionalFormatting sqref="L279 L281:L284 L286 L289:L292 L294:L300 L302:L303 L305:L313 L315:L317 L319:L321 L324:L329">
    <cfRule type="duplicateValues" dxfId="82" priority="79"/>
  </conditionalFormatting>
  <conditionalFormatting sqref="L280">
    <cfRule type="duplicateValues" dxfId="81" priority="60"/>
  </conditionalFormatting>
  <conditionalFormatting sqref="L285">
    <cfRule type="duplicateValues" dxfId="80" priority="66"/>
  </conditionalFormatting>
  <conditionalFormatting sqref="L287">
    <cfRule type="duplicateValues" dxfId="79" priority="44"/>
  </conditionalFormatting>
  <conditionalFormatting sqref="L288">
    <cfRule type="duplicateValues" dxfId="78" priority="42"/>
  </conditionalFormatting>
  <conditionalFormatting sqref="L293">
    <cfRule type="duplicateValues" dxfId="77" priority="54"/>
  </conditionalFormatting>
  <conditionalFormatting sqref="L301">
    <cfRule type="duplicateValues" dxfId="76" priority="65"/>
  </conditionalFormatting>
  <conditionalFormatting sqref="L304">
    <cfRule type="duplicateValues" dxfId="75" priority="40"/>
  </conditionalFormatting>
  <conditionalFormatting sqref="L314">
    <cfRule type="duplicateValues" dxfId="74" priority="56"/>
  </conditionalFormatting>
  <conditionalFormatting sqref="L318">
    <cfRule type="duplicateValues" dxfId="73" priority="64"/>
  </conditionalFormatting>
  <conditionalFormatting sqref="L322">
    <cfRule type="duplicateValues" dxfId="72" priority="62"/>
  </conditionalFormatting>
  <conditionalFormatting sqref="L323">
    <cfRule type="duplicateValues" dxfId="71" priority="38"/>
  </conditionalFormatting>
  <conditionalFormatting sqref="L331">
    <cfRule type="duplicateValues" dxfId="70" priority="52"/>
  </conditionalFormatting>
  <conditionalFormatting sqref="L332">
    <cfRule type="duplicateValues" dxfId="69" priority="50"/>
  </conditionalFormatting>
  <conditionalFormatting sqref="N28">
    <cfRule type="duplicateValues" dxfId="68" priority="2"/>
  </conditionalFormatting>
  <conditionalFormatting sqref="N29">
    <cfRule type="duplicateValues" dxfId="67" priority="1"/>
  </conditionalFormatting>
  <conditionalFormatting sqref="O28">
    <cfRule type="duplicateValues" dxfId="66" priority="3"/>
  </conditionalFormatting>
  <conditionalFormatting sqref="U25">
    <cfRule type="duplicateValues" dxfId="65" priority="20"/>
  </conditionalFormatting>
  <conditionalFormatting sqref="V24">
    <cfRule type="duplicateValues" dxfId="64" priority="22"/>
  </conditionalFormatting>
  <conditionalFormatting sqref="V26">
    <cfRule type="duplicateValues" dxfId="63" priority="21"/>
  </conditionalFormatting>
  <conditionalFormatting sqref="W25">
    <cfRule type="duplicateValues" dxfId="62" priority="23"/>
  </conditionalFormatting>
  <conditionalFormatting sqref="W53">
    <cfRule type="duplicateValues" dxfId="61" priority="8"/>
  </conditionalFormatting>
  <conditionalFormatting sqref="W54">
    <cfRule type="duplicateValues" dxfId="60" priority="13"/>
  </conditionalFormatting>
  <conditionalFormatting sqref="X53">
    <cfRule type="duplicateValues" dxfId="59" priority="9"/>
  </conditionalFormatting>
  <conditionalFormatting sqref="X54">
    <cfRule type="duplicateValues" dxfId="58" priority="12"/>
  </conditionalFormatting>
  <conditionalFormatting sqref="Y53">
    <cfRule type="duplicateValues" dxfId="57" priority="10"/>
  </conditionalFormatting>
  <conditionalFormatting sqref="Y54">
    <cfRule type="duplicateValues" dxfId="56" priority="11"/>
  </conditionalFormatting>
  <conditionalFormatting sqref="AB30">
    <cfRule type="duplicateValues" dxfId="55" priority="19"/>
  </conditionalFormatting>
  <conditionalFormatting sqref="AB31">
    <cfRule type="duplicateValues" dxfId="54" priority="18"/>
  </conditionalFormatting>
  <conditionalFormatting sqref="AC30">
    <cfRule type="duplicateValues" dxfId="53" priority="17"/>
  </conditionalFormatting>
  <conditionalFormatting sqref="AC31">
    <cfRule type="duplicateValues" dxfId="52" priority="16"/>
  </conditionalFormatting>
  <conditionalFormatting sqref="AD30">
    <cfRule type="duplicateValues" dxfId="51" priority="15"/>
  </conditionalFormatting>
  <conditionalFormatting sqref="AD31">
    <cfRule type="duplicateValues" dxfId="50" priority="14"/>
  </conditionalFormatting>
  <conditionalFormatting sqref="AN31">
    <cfRule type="duplicateValues" dxfId="49" priority="5"/>
  </conditionalFormatting>
  <conditionalFormatting sqref="AO30">
    <cfRule type="duplicateValues" dxfId="48" priority="6"/>
  </conditionalFormatting>
  <conditionalFormatting sqref="AO32">
    <cfRule type="duplicateValues" dxfId="47" priority="7"/>
  </conditionalFormatting>
  <conditionalFormatting sqref="AP31">
    <cfRule type="duplicateValues" dxfId="46" priority="4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K107"/>
  <sheetViews>
    <sheetView zoomScale="25" zoomScaleNormal="25" workbookViewId="0">
      <selection activeCell="A75" sqref="A1:XFD1048576"/>
    </sheetView>
  </sheetViews>
  <sheetFormatPr baseColWidth="10" defaultColWidth="16.7109375" defaultRowHeight="18.75" customHeight="1" x14ac:dyDescent="0.25"/>
  <cols>
    <col min="1" max="16384" width="16.7109375" style="3"/>
  </cols>
  <sheetData>
    <row r="1" spans="1:63" ht="18.75" customHeight="1" thickBot="1" x14ac:dyDescent="0.3">
      <c r="A1" s="543" t="s">
        <v>160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5"/>
      <c r="BJ1" s="2"/>
      <c r="BK1" s="2"/>
    </row>
    <row r="2" spans="1:63" ht="18.75" customHeigh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2"/>
      <c r="BD2" s="2"/>
      <c r="BE2" s="2"/>
      <c r="BF2" s="2"/>
      <c r="BG2" s="2"/>
      <c r="BH2" s="2"/>
      <c r="BI2" s="2"/>
      <c r="BJ2" s="2"/>
      <c r="BK2" s="2"/>
    </row>
    <row r="3" spans="1:63" ht="18.75" customHeight="1" thickBot="1" x14ac:dyDescent="0.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9"/>
      <c r="M3" s="10"/>
      <c r="N3" s="11"/>
      <c r="O3" s="12" t="s">
        <v>162</v>
      </c>
      <c r="P3" s="546" t="s">
        <v>163</v>
      </c>
      <c r="Q3" s="546"/>
      <c r="R3" s="546"/>
      <c r="S3" s="14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2"/>
      <c r="BK3" s="2"/>
    </row>
    <row r="4" spans="1:63" ht="18.75" customHeight="1" x14ac:dyDescent="0.25">
      <c r="A4" s="502"/>
      <c r="B4" s="547"/>
      <c r="C4" s="16"/>
      <c r="D4" s="501"/>
      <c r="E4" s="501"/>
      <c r="F4" s="501"/>
      <c r="G4" s="501"/>
      <c r="H4" s="501"/>
      <c r="I4" s="501"/>
      <c r="J4" s="501"/>
      <c r="K4" s="501"/>
      <c r="L4" s="18"/>
      <c r="M4" s="19"/>
      <c r="N4" s="20"/>
      <c r="O4" s="21"/>
      <c r="P4" s="22">
        <v>2</v>
      </c>
      <c r="Q4" s="22">
        <v>2</v>
      </c>
      <c r="R4" s="22">
        <v>2</v>
      </c>
      <c r="S4" s="22">
        <v>2</v>
      </c>
      <c r="T4" s="23"/>
      <c r="U4" s="2"/>
      <c r="V4" s="18"/>
      <c r="W4" s="24"/>
      <c r="X4" s="24"/>
      <c r="Y4" s="24"/>
      <c r="Z4" s="24"/>
      <c r="AA4" s="2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5"/>
      <c r="BK4" s="2"/>
    </row>
    <row r="5" spans="1:63" ht="18.75" customHeight="1" x14ac:dyDescent="0.25">
      <c r="A5" s="502"/>
      <c r="B5" s="548"/>
      <c r="C5" s="26"/>
      <c r="D5" s="19"/>
      <c r="E5" s="19"/>
      <c r="F5" s="19"/>
      <c r="G5" s="19"/>
      <c r="H5" s="19"/>
      <c r="I5" s="19"/>
      <c r="J5" s="19"/>
      <c r="K5" s="19"/>
      <c r="L5" s="19"/>
      <c r="M5" s="27"/>
      <c r="N5" s="2"/>
      <c r="O5" s="28" t="s">
        <v>168</v>
      </c>
      <c r="P5" s="29" t="s">
        <v>169</v>
      </c>
      <c r="Q5" s="29" t="s">
        <v>169</v>
      </c>
      <c r="R5" s="29" t="s">
        <v>169</v>
      </c>
      <c r="S5" s="29" t="s">
        <v>169</v>
      </c>
      <c r="T5" s="30" t="s">
        <v>170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5"/>
      <c r="BK5" s="2"/>
    </row>
    <row r="6" spans="1:63" ht="18.75" customHeight="1" x14ac:dyDescent="0.25">
      <c r="A6" s="502"/>
      <c r="B6" s="548"/>
      <c r="C6" s="19"/>
      <c r="D6" s="31"/>
      <c r="E6" s="541" t="s">
        <v>171</v>
      </c>
      <c r="F6" s="541"/>
      <c r="G6" s="541"/>
      <c r="H6" s="31"/>
      <c r="I6" s="19"/>
      <c r="J6" s="19"/>
      <c r="K6" s="19"/>
      <c r="L6" s="19"/>
      <c r="M6" s="27"/>
      <c r="N6" s="539" t="s">
        <v>172</v>
      </c>
      <c r="O6" s="539"/>
      <c r="P6" s="539"/>
      <c r="Q6" s="539"/>
      <c r="R6" s="32">
        <v>3</v>
      </c>
      <c r="S6" s="32">
        <v>4</v>
      </c>
      <c r="T6" s="3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5"/>
      <c r="BK6" s="2"/>
    </row>
    <row r="7" spans="1:63" ht="18.75" customHeight="1" x14ac:dyDescent="0.25">
      <c r="A7" s="502"/>
      <c r="B7" s="548"/>
      <c r="C7" s="19"/>
      <c r="D7" s="34"/>
      <c r="E7" s="35">
        <v>1</v>
      </c>
      <c r="F7" s="35">
        <v>2</v>
      </c>
      <c r="G7" s="35">
        <v>3</v>
      </c>
      <c r="H7" s="36"/>
      <c r="I7" s="27"/>
      <c r="J7" s="27"/>
      <c r="K7" s="27"/>
      <c r="L7" s="27"/>
      <c r="M7" s="27"/>
      <c r="N7" s="37">
        <v>1</v>
      </c>
      <c r="O7" s="37">
        <v>2</v>
      </c>
      <c r="P7" s="37">
        <v>3</v>
      </c>
      <c r="Q7" s="37">
        <v>4</v>
      </c>
      <c r="R7" s="38"/>
      <c r="S7" s="39"/>
      <c r="T7" s="40"/>
      <c r="U7" s="41" t="s">
        <v>175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5"/>
      <c r="BK7" s="2"/>
    </row>
    <row r="8" spans="1:63" ht="18.75" customHeight="1" x14ac:dyDescent="0.25">
      <c r="A8" s="502"/>
      <c r="B8" s="548"/>
      <c r="C8" s="19"/>
      <c r="D8" s="42" t="s">
        <v>168</v>
      </c>
      <c r="E8" s="43" t="s">
        <v>176</v>
      </c>
      <c r="F8" s="43" t="s">
        <v>176</v>
      </c>
      <c r="G8" s="43" t="s">
        <v>176</v>
      </c>
      <c r="H8" s="44"/>
      <c r="I8" s="19"/>
      <c r="J8" s="19"/>
      <c r="K8" s="19"/>
      <c r="L8" s="19"/>
      <c r="M8" s="45" t="s">
        <v>170</v>
      </c>
      <c r="N8" s="46" t="s">
        <v>176</v>
      </c>
      <c r="O8" s="46" t="s">
        <v>176</v>
      </c>
      <c r="P8" s="46" t="s">
        <v>176</v>
      </c>
      <c r="Q8" s="46" t="s">
        <v>176</v>
      </c>
      <c r="R8" s="38"/>
      <c r="S8" s="39"/>
      <c r="T8" s="47"/>
      <c r="U8" s="2"/>
      <c r="V8" s="2"/>
      <c r="W8" s="2"/>
      <c r="X8" s="2"/>
      <c r="Y8" s="2"/>
      <c r="Z8" s="2"/>
      <c r="AA8" s="2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5"/>
      <c r="BK8" s="2"/>
    </row>
    <row r="9" spans="1:63" ht="18.75" customHeight="1" thickBot="1" x14ac:dyDescent="0.3">
      <c r="A9" s="502"/>
      <c r="B9" s="548"/>
      <c r="C9" s="19"/>
      <c r="D9" s="43"/>
      <c r="E9" s="48">
        <v>5</v>
      </c>
      <c r="F9" s="49">
        <v>5</v>
      </c>
      <c r="G9" s="49">
        <v>5</v>
      </c>
      <c r="H9" s="43"/>
      <c r="I9" s="19"/>
      <c r="J9" s="499"/>
      <c r="K9" s="499"/>
      <c r="L9" s="499"/>
      <c r="M9" s="51"/>
      <c r="N9" s="52">
        <v>5</v>
      </c>
      <c r="O9" s="52">
        <v>5</v>
      </c>
      <c r="P9" s="52">
        <v>5</v>
      </c>
      <c r="Q9" s="52">
        <v>5</v>
      </c>
      <c r="R9" s="51"/>
      <c r="S9" s="39"/>
      <c r="T9" s="47"/>
      <c r="U9" s="2"/>
      <c r="V9" s="2"/>
      <c r="W9" s="2"/>
      <c r="X9" s="2"/>
      <c r="Y9" s="2"/>
      <c r="Z9" s="2"/>
      <c r="AA9" s="2"/>
      <c r="AB9" s="24"/>
      <c r="AC9" s="24"/>
      <c r="AD9" s="24"/>
      <c r="AE9" s="24"/>
      <c r="AF9" s="53"/>
      <c r="AG9" s="53"/>
      <c r="AH9" s="24"/>
      <c r="AI9" s="24"/>
      <c r="AJ9" s="24"/>
      <c r="AK9" s="24"/>
      <c r="AL9" s="24"/>
      <c r="AM9" s="24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5"/>
      <c r="BK9" s="2"/>
    </row>
    <row r="10" spans="1:63" ht="18.75" customHeight="1" x14ac:dyDescent="0.25">
      <c r="A10" s="498"/>
      <c r="B10" s="19"/>
      <c r="C10" s="19"/>
      <c r="D10" s="43"/>
      <c r="E10" s="48">
        <v>5</v>
      </c>
      <c r="F10" s="49">
        <v>5</v>
      </c>
      <c r="G10" s="48">
        <v>5</v>
      </c>
      <c r="H10" s="43"/>
      <c r="I10" s="19"/>
      <c r="J10" s="499"/>
      <c r="K10" s="499"/>
      <c r="L10" s="499"/>
      <c r="M10" s="51"/>
      <c r="N10" s="55">
        <v>5</v>
      </c>
      <c r="O10" s="55">
        <v>5</v>
      </c>
      <c r="P10" s="55">
        <v>5</v>
      </c>
      <c r="Q10" s="55">
        <v>5</v>
      </c>
      <c r="R10" s="51"/>
      <c r="S10" s="39"/>
      <c r="T10" s="47"/>
      <c r="U10" s="530" t="s">
        <v>179</v>
      </c>
      <c r="V10" s="531"/>
      <c r="W10" s="531"/>
      <c r="X10" s="531"/>
      <c r="Y10" s="531"/>
      <c r="Z10" s="531"/>
      <c r="AA10" s="531"/>
      <c r="AB10" s="531"/>
      <c r="AC10" s="531"/>
      <c r="AD10" s="531"/>
      <c r="AE10" s="531"/>
      <c r="AF10" s="531"/>
      <c r="AG10" s="531"/>
      <c r="AH10" s="531"/>
      <c r="AI10" s="531"/>
      <c r="AJ10" s="531"/>
      <c r="AK10" s="531"/>
      <c r="AL10" s="531"/>
      <c r="AM10" s="531"/>
      <c r="AN10" s="531"/>
      <c r="AO10" s="531"/>
      <c r="AP10" s="531"/>
      <c r="AQ10" s="531"/>
      <c r="AR10" s="531"/>
      <c r="AS10" s="531"/>
      <c r="AT10" s="531"/>
      <c r="AU10" s="53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5"/>
      <c r="BK10" s="2"/>
    </row>
    <row r="11" spans="1:63" ht="18.75" customHeight="1" x14ac:dyDescent="0.25">
      <c r="A11" s="498"/>
      <c r="B11" s="19"/>
      <c r="C11" s="19"/>
      <c r="D11" s="56" t="s">
        <v>181</v>
      </c>
      <c r="E11" s="43" t="s">
        <v>176</v>
      </c>
      <c r="F11" s="43" t="s">
        <v>176</v>
      </c>
      <c r="G11" s="43" t="s">
        <v>176</v>
      </c>
      <c r="H11" s="57"/>
      <c r="I11" s="19"/>
      <c r="J11" s="41"/>
      <c r="K11" s="19"/>
      <c r="L11" s="19"/>
      <c r="M11" s="41" t="s">
        <v>183</v>
      </c>
      <c r="N11" s="46" t="s">
        <v>176</v>
      </c>
      <c r="O11" s="46" t="s">
        <v>176</v>
      </c>
      <c r="P11" s="46" t="s">
        <v>176</v>
      </c>
      <c r="Q11" s="46" t="s">
        <v>176</v>
      </c>
      <c r="R11" s="38"/>
      <c r="S11" s="39"/>
      <c r="T11" s="47"/>
      <c r="U11" s="533"/>
      <c r="V11" s="534"/>
      <c r="W11" s="534"/>
      <c r="X11" s="534"/>
      <c r="Y11" s="534"/>
      <c r="Z11" s="534"/>
      <c r="AA11" s="534"/>
      <c r="AB11" s="534"/>
      <c r="AC11" s="534"/>
      <c r="AD11" s="534"/>
      <c r="AE11" s="534"/>
      <c r="AF11" s="534"/>
      <c r="AG11" s="534"/>
      <c r="AH11" s="534"/>
      <c r="AI11" s="534"/>
      <c r="AJ11" s="534"/>
      <c r="AK11" s="534"/>
      <c r="AL11" s="534"/>
      <c r="AM11" s="534"/>
      <c r="AN11" s="534"/>
      <c r="AO11" s="534"/>
      <c r="AP11" s="534"/>
      <c r="AQ11" s="534"/>
      <c r="AR11" s="534"/>
      <c r="AS11" s="534"/>
      <c r="AT11" s="534"/>
      <c r="AU11" s="535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5"/>
      <c r="BK11" s="2"/>
    </row>
    <row r="12" spans="1:63" ht="18.75" customHeight="1" x14ac:dyDescent="0.25">
      <c r="A12" s="498"/>
      <c r="B12" s="19"/>
      <c r="C12" s="19"/>
      <c r="D12" s="44"/>
      <c r="E12" s="35">
        <v>6</v>
      </c>
      <c r="F12" s="35">
        <v>5</v>
      </c>
      <c r="G12" s="35">
        <v>4</v>
      </c>
      <c r="H12" s="36"/>
      <c r="I12" s="19"/>
      <c r="J12" s="19"/>
      <c r="K12" s="19"/>
      <c r="L12" s="19"/>
      <c r="M12" s="19"/>
      <c r="N12" s="37">
        <v>8</v>
      </c>
      <c r="O12" s="37">
        <v>7</v>
      </c>
      <c r="P12" s="37">
        <v>6</v>
      </c>
      <c r="Q12" s="37">
        <v>5</v>
      </c>
      <c r="R12" s="38"/>
      <c r="S12" s="39"/>
      <c r="T12" s="47"/>
      <c r="U12" s="533"/>
      <c r="V12" s="534"/>
      <c r="W12" s="534"/>
      <c r="X12" s="534"/>
      <c r="Y12" s="534"/>
      <c r="Z12" s="534"/>
      <c r="AA12" s="534"/>
      <c r="AB12" s="534"/>
      <c r="AC12" s="534"/>
      <c r="AD12" s="534"/>
      <c r="AE12" s="534"/>
      <c r="AF12" s="534"/>
      <c r="AG12" s="534"/>
      <c r="AH12" s="534"/>
      <c r="AI12" s="534"/>
      <c r="AJ12" s="534"/>
      <c r="AK12" s="534"/>
      <c r="AL12" s="534"/>
      <c r="AM12" s="534"/>
      <c r="AN12" s="534"/>
      <c r="AO12" s="534"/>
      <c r="AP12" s="534"/>
      <c r="AQ12" s="534"/>
      <c r="AR12" s="534"/>
      <c r="AS12" s="534"/>
      <c r="AT12" s="534"/>
      <c r="AU12" s="535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5"/>
      <c r="BK12" s="2"/>
    </row>
    <row r="13" spans="1:63" ht="18.75" customHeight="1" x14ac:dyDescent="0.25">
      <c r="A13" s="498"/>
      <c r="B13" s="41"/>
      <c r="C13" s="19"/>
      <c r="D13" s="2"/>
      <c r="H13" s="60"/>
      <c r="I13" s="19"/>
      <c r="J13" s="19"/>
      <c r="K13" s="19"/>
      <c r="L13" s="19"/>
      <c r="M13" s="19"/>
      <c r="N13" s="539" t="s">
        <v>185</v>
      </c>
      <c r="O13" s="539"/>
      <c r="P13" s="539"/>
      <c r="Q13" s="539"/>
      <c r="R13" s="38"/>
      <c r="S13" s="39"/>
      <c r="T13" s="47"/>
      <c r="U13" s="533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34"/>
      <c r="AJ13" s="534"/>
      <c r="AK13" s="534"/>
      <c r="AL13" s="534"/>
      <c r="AM13" s="534"/>
      <c r="AN13" s="534"/>
      <c r="AO13" s="534"/>
      <c r="AP13" s="534"/>
      <c r="AQ13" s="534"/>
      <c r="AR13" s="534"/>
      <c r="AS13" s="534"/>
      <c r="AT13" s="534"/>
      <c r="AU13" s="535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5"/>
      <c r="BK13" s="2"/>
    </row>
    <row r="14" spans="1:63" ht="18.75" customHeight="1" x14ac:dyDescent="0.25">
      <c r="A14" s="61"/>
      <c r="B14" s="19"/>
      <c r="C14" s="2"/>
      <c r="D14" s="62"/>
      <c r="E14" s="63"/>
      <c r="F14" s="62"/>
      <c r="G14" s="63"/>
      <c r="H14" s="19"/>
      <c r="I14" s="19"/>
      <c r="J14" s="19"/>
      <c r="K14" s="500"/>
      <c r="L14" s="500"/>
      <c r="M14" s="65"/>
      <c r="N14" s="19"/>
      <c r="O14" s="540"/>
      <c r="P14" s="540"/>
      <c r="Q14" s="19"/>
      <c r="R14" s="38"/>
      <c r="S14" s="39"/>
      <c r="T14" s="47"/>
      <c r="U14" s="533"/>
      <c r="V14" s="534"/>
      <c r="W14" s="534"/>
      <c r="X14" s="534"/>
      <c r="Y14" s="534"/>
      <c r="Z14" s="534"/>
      <c r="AA14" s="534"/>
      <c r="AB14" s="534"/>
      <c r="AC14" s="534"/>
      <c r="AD14" s="534"/>
      <c r="AE14" s="534"/>
      <c r="AF14" s="534"/>
      <c r="AG14" s="534"/>
      <c r="AH14" s="534"/>
      <c r="AI14" s="534"/>
      <c r="AJ14" s="534"/>
      <c r="AK14" s="534"/>
      <c r="AL14" s="534"/>
      <c r="AM14" s="534"/>
      <c r="AN14" s="534"/>
      <c r="AO14" s="534"/>
      <c r="AP14" s="534"/>
      <c r="AQ14" s="534"/>
      <c r="AR14" s="534"/>
      <c r="AS14" s="534"/>
      <c r="AT14" s="534"/>
      <c r="AU14" s="535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5"/>
      <c r="BK14" s="2"/>
    </row>
    <row r="15" spans="1:63" ht="18.75" customHeight="1" x14ac:dyDescent="0.25">
      <c r="A15" s="41" t="s">
        <v>190</v>
      </c>
      <c r="C15" s="41"/>
      <c r="D15" s="19"/>
      <c r="E15" s="498"/>
      <c r="F15" s="498"/>
      <c r="G15" s="503"/>
      <c r="H15" s="19"/>
      <c r="I15" s="19"/>
      <c r="J15" s="19"/>
      <c r="K15" s="500"/>
      <c r="L15" s="500"/>
      <c r="M15" s="65"/>
      <c r="N15" s="498"/>
      <c r="O15" s="498"/>
      <c r="P15" s="498"/>
      <c r="Q15" s="498"/>
      <c r="R15" s="38"/>
      <c r="S15" s="39"/>
      <c r="T15" s="47"/>
      <c r="U15" s="533"/>
      <c r="V15" s="534"/>
      <c r="W15" s="534"/>
      <c r="X15" s="534"/>
      <c r="Y15" s="534"/>
      <c r="Z15" s="534"/>
      <c r="AA15" s="534"/>
      <c r="AB15" s="534"/>
      <c r="AC15" s="534"/>
      <c r="AD15" s="534"/>
      <c r="AE15" s="534"/>
      <c r="AF15" s="534"/>
      <c r="AG15" s="534"/>
      <c r="AH15" s="534"/>
      <c r="AI15" s="534"/>
      <c r="AJ15" s="534"/>
      <c r="AK15" s="534"/>
      <c r="AL15" s="534"/>
      <c r="AM15" s="534"/>
      <c r="AN15" s="534"/>
      <c r="AO15" s="534"/>
      <c r="AP15" s="534"/>
      <c r="AQ15" s="534"/>
      <c r="AR15" s="534"/>
      <c r="AS15" s="534"/>
      <c r="AT15" s="534"/>
      <c r="AU15" s="535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5"/>
      <c r="BK15" s="2"/>
    </row>
    <row r="16" spans="1:63" ht="18.75" customHeight="1" x14ac:dyDescent="0.25">
      <c r="A16" s="541" t="s">
        <v>192</v>
      </c>
      <c r="B16" s="541"/>
      <c r="C16" s="31"/>
      <c r="D16" s="56"/>
      <c r="E16" s="498"/>
      <c r="F16" s="498"/>
      <c r="G16" s="503"/>
      <c r="H16" s="19"/>
      <c r="I16" s="19"/>
      <c r="J16" s="19"/>
      <c r="K16" s="500"/>
      <c r="L16" s="500"/>
      <c r="M16" s="18"/>
      <c r="N16" s="498"/>
      <c r="O16" s="498"/>
      <c r="P16" s="498"/>
      <c r="Q16" s="498"/>
      <c r="R16" s="38"/>
      <c r="S16" s="39"/>
      <c r="T16" s="47"/>
      <c r="U16" s="533"/>
      <c r="V16" s="534"/>
      <c r="W16" s="534"/>
      <c r="X16" s="534"/>
      <c r="Y16" s="534"/>
      <c r="Z16" s="534"/>
      <c r="AA16" s="534"/>
      <c r="AB16" s="534"/>
      <c r="AC16" s="534"/>
      <c r="AD16" s="534"/>
      <c r="AE16" s="534"/>
      <c r="AF16" s="534"/>
      <c r="AG16" s="534"/>
      <c r="AH16" s="534"/>
      <c r="AI16" s="534"/>
      <c r="AJ16" s="534"/>
      <c r="AK16" s="534"/>
      <c r="AL16" s="534"/>
      <c r="AM16" s="534"/>
      <c r="AN16" s="534"/>
      <c r="AO16" s="534"/>
      <c r="AP16" s="534"/>
      <c r="AQ16" s="534"/>
      <c r="AR16" s="534"/>
      <c r="AS16" s="534"/>
      <c r="AT16" s="534"/>
      <c r="AU16" s="535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5"/>
      <c r="BK16" s="2"/>
    </row>
    <row r="17" spans="1:63" ht="18.75" customHeight="1" x14ac:dyDescent="0.25">
      <c r="A17" s="43"/>
      <c r="B17" s="42" t="s">
        <v>194</v>
      </c>
      <c r="C17" s="31"/>
      <c r="D17" s="67"/>
      <c r="E17" s="19"/>
      <c r="F17" s="19"/>
      <c r="G17" s="63"/>
      <c r="H17" s="19"/>
      <c r="I17" s="19"/>
      <c r="J17" s="19"/>
      <c r="K17" s="41"/>
      <c r="L17" s="41"/>
      <c r="M17" s="65"/>
      <c r="N17" s="41" t="s">
        <v>197</v>
      </c>
      <c r="O17" s="18"/>
      <c r="P17" s="19"/>
      <c r="Q17" s="19"/>
      <c r="R17" s="38"/>
      <c r="S17" s="39"/>
      <c r="T17" s="68"/>
      <c r="U17" s="533"/>
      <c r="V17" s="534"/>
      <c r="W17" s="534"/>
      <c r="X17" s="534"/>
      <c r="Y17" s="534"/>
      <c r="Z17" s="534"/>
      <c r="AA17" s="534"/>
      <c r="AB17" s="534"/>
      <c r="AC17" s="534"/>
      <c r="AD17" s="534"/>
      <c r="AE17" s="534"/>
      <c r="AF17" s="534"/>
      <c r="AG17" s="534"/>
      <c r="AH17" s="534"/>
      <c r="AI17" s="534"/>
      <c r="AJ17" s="534"/>
      <c r="AK17" s="534"/>
      <c r="AL17" s="534"/>
      <c r="AM17" s="534"/>
      <c r="AN17" s="534"/>
      <c r="AO17" s="534"/>
      <c r="AP17" s="534"/>
      <c r="AQ17" s="534"/>
      <c r="AR17" s="534"/>
      <c r="AS17" s="534"/>
      <c r="AT17" s="534"/>
      <c r="AU17" s="535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5"/>
      <c r="BK17" s="2"/>
    </row>
    <row r="18" spans="1:63" ht="18.75" customHeight="1" thickBot="1" x14ac:dyDescent="0.3">
      <c r="A18" s="49">
        <v>5</v>
      </c>
      <c r="B18" s="43" t="s">
        <v>176</v>
      </c>
      <c r="C18" s="69">
        <v>1</v>
      </c>
      <c r="D18" s="31"/>
      <c r="E18" s="19"/>
      <c r="F18" s="19"/>
      <c r="G18" s="19"/>
      <c r="H18" s="19"/>
      <c r="I18" s="19"/>
      <c r="J18" s="19"/>
      <c r="K18" s="19"/>
      <c r="L18" s="542" t="s">
        <v>198</v>
      </c>
      <c r="M18" s="542"/>
      <c r="N18" s="19"/>
      <c r="O18" s="19"/>
      <c r="P18" s="70"/>
      <c r="Q18" s="19"/>
      <c r="R18" s="19"/>
      <c r="S18" s="71"/>
      <c r="T18" s="33"/>
      <c r="U18" s="533"/>
      <c r="V18" s="534"/>
      <c r="W18" s="534"/>
      <c r="X18" s="534"/>
      <c r="Y18" s="534"/>
      <c r="Z18" s="534"/>
      <c r="AA18" s="534"/>
      <c r="AB18" s="534"/>
      <c r="AC18" s="534"/>
      <c r="AD18" s="534"/>
      <c r="AE18" s="534"/>
      <c r="AF18" s="534"/>
      <c r="AG18" s="534"/>
      <c r="AH18" s="534"/>
      <c r="AI18" s="534"/>
      <c r="AJ18" s="534"/>
      <c r="AK18" s="534"/>
      <c r="AL18" s="534"/>
      <c r="AM18" s="534"/>
      <c r="AN18" s="534"/>
      <c r="AO18" s="534"/>
      <c r="AP18" s="534"/>
      <c r="AQ18" s="534"/>
      <c r="AR18" s="534"/>
      <c r="AS18" s="534"/>
      <c r="AT18" s="534"/>
      <c r="AU18" s="535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5"/>
      <c r="BK18" s="2"/>
    </row>
    <row r="19" spans="1:63" ht="18.75" customHeight="1" x14ac:dyDescent="0.25">
      <c r="A19" s="49">
        <v>5</v>
      </c>
      <c r="B19" s="43" t="s">
        <v>176</v>
      </c>
      <c r="C19" s="69">
        <v>2</v>
      </c>
      <c r="D19" s="31"/>
      <c r="E19" s="19"/>
      <c r="F19" s="19"/>
      <c r="G19" s="19"/>
      <c r="H19" s="19"/>
      <c r="I19" s="19"/>
      <c r="J19" s="19"/>
      <c r="K19" s="45" t="s">
        <v>194</v>
      </c>
      <c r="L19" s="72"/>
      <c r="M19" s="72"/>
      <c r="N19" s="73" t="s">
        <v>199</v>
      </c>
      <c r="O19" s="19"/>
      <c r="P19" s="65"/>
      <c r="Q19" s="19"/>
      <c r="R19" s="70"/>
      <c r="S19" s="70"/>
      <c r="T19" s="41"/>
      <c r="U19" s="533"/>
      <c r="V19" s="534"/>
      <c r="W19" s="534"/>
      <c r="X19" s="534"/>
      <c r="Y19" s="534"/>
      <c r="Z19" s="534"/>
      <c r="AA19" s="534"/>
      <c r="AB19" s="534"/>
      <c r="AC19" s="534"/>
      <c r="AD19" s="534"/>
      <c r="AE19" s="534"/>
      <c r="AF19" s="534"/>
      <c r="AG19" s="534"/>
      <c r="AH19" s="534"/>
      <c r="AI19" s="534"/>
      <c r="AJ19" s="534"/>
      <c r="AK19" s="534"/>
      <c r="AL19" s="534"/>
      <c r="AM19" s="534"/>
      <c r="AN19" s="534"/>
      <c r="AO19" s="534"/>
      <c r="AP19" s="534"/>
      <c r="AQ19" s="534"/>
      <c r="AR19" s="534"/>
      <c r="AS19" s="534"/>
      <c r="AT19" s="534"/>
      <c r="AU19" s="535"/>
      <c r="AV19" s="74"/>
      <c r="AW19" s="74"/>
      <c r="AX19" s="74"/>
      <c r="AY19" s="74"/>
      <c r="AZ19" s="74"/>
      <c r="BA19" s="74"/>
      <c r="BB19" s="74"/>
      <c r="BC19" s="74"/>
      <c r="BD19" s="74"/>
      <c r="BE19" s="75"/>
      <c r="BF19" s="25"/>
      <c r="BG19" s="2"/>
      <c r="BH19" s="2"/>
      <c r="BI19" s="2"/>
      <c r="BJ19" s="25"/>
      <c r="BK19" s="2"/>
    </row>
    <row r="20" spans="1:63" ht="18.75" customHeight="1" x14ac:dyDescent="0.25">
      <c r="A20" s="48">
        <v>5</v>
      </c>
      <c r="B20" s="43" t="s">
        <v>176</v>
      </c>
      <c r="C20" s="69">
        <v>3</v>
      </c>
      <c r="D20" s="31"/>
      <c r="E20" s="19"/>
      <c r="F20" s="19"/>
      <c r="G20" s="19"/>
      <c r="H20" s="19"/>
      <c r="I20" s="19"/>
      <c r="J20" s="76">
        <v>1</v>
      </c>
      <c r="K20" s="77" t="s">
        <v>176</v>
      </c>
      <c r="L20" s="78">
        <v>5</v>
      </c>
      <c r="M20" s="78">
        <v>5</v>
      </c>
      <c r="N20" s="77" t="s">
        <v>176</v>
      </c>
      <c r="O20" s="79">
        <v>8</v>
      </c>
      <c r="P20" s="65"/>
      <c r="Q20" s="2"/>
      <c r="R20" s="19"/>
      <c r="S20" s="80"/>
      <c r="T20" s="81"/>
      <c r="U20" s="533"/>
      <c r="V20" s="534"/>
      <c r="W20" s="534"/>
      <c r="X20" s="534"/>
      <c r="Y20" s="534"/>
      <c r="Z20" s="534"/>
      <c r="AA20" s="534"/>
      <c r="AB20" s="534"/>
      <c r="AC20" s="534"/>
      <c r="AD20" s="534"/>
      <c r="AE20" s="534"/>
      <c r="AF20" s="534"/>
      <c r="AG20" s="534"/>
      <c r="AH20" s="534"/>
      <c r="AI20" s="534"/>
      <c r="AJ20" s="534"/>
      <c r="AK20" s="534"/>
      <c r="AL20" s="534"/>
      <c r="AM20" s="534"/>
      <c r="AN20" s="534"/>
      <c r="AO20" s="534"/>
      <c r="AP20" s="534"/>
      <c r="AQ20" s="534"/>
      <c r="AR20" s="534"/>
      <c r="AS20" s="534"/>
      <c r="AT20" s="534"/>
      <c r="AU20" s="535"/>
      <c r="AV20" s="2"/>
      <c r="AW20" s="2"/>
      <c r="AX20" s="2"/>
      <c r="AY20" s="2"/>
      <c r="AZ20" s="2"/>
      <c r="BA20" s="2"/>
      <c r="BB20" s="2"/>
      <c r="BC20" s="2"/>
      <c r="BD20" s="2"/>
      <c r="BE20" s="82"/>
      <c r="BF20" s="25"/>
      <c r="BG20" s="2"/>
      <c r="BH20" s="2"/>
      <c r="BI20" s="2"/>
      <c r="BJ20" s="25"/>
      <c r="BK20" s="2"/>
    </row>
    <row r="21" spans="1:63" ht="18.75" customHeight="1" thickBot="1" x14ac:dyDescent="0.3">
      <c r="A21" s="48">
        <v>5</v>
      </c>
      <c r="B21" s="43" t="s">
        <v>176</v>
      </c>
      <c r="C21" s="69">
        <v>4</v>
      </c>
      <c r="D21" s="31"/>
      <c r="E21" s="41"/>
      <c r="F21" s="19"/>
      <c r="G21" s="19"/>
      <c r="H21" s="19"/>
      <c r="I21" s="19"/>
      <c r="J21" s="76">
        <v>2</v>
      </c>
      <c r="K21" s="77" t="s">
        <v>176</v>
      </c>
      <c r="L21" s="78">
        <v>5</v>
      </c>
      <c r="M21" s="78">
        <v>5</v>
      </c>
      <c r="N21" s="77" t="s">
        <v>176</v>
      </c>
      <c r="O21" s="79">
        <v>7</v>
      </c>
      <c r="P21" s="65"/>
      <c r="Q21" s="83"/>
      <c r="R21" s="19"/>
      <c r="S21" s="81"/>
      <c r="T21" s="84"/>
      <c r="U21" s="536"/>
      <c r="V21" s="537"/>
      <c r="W21" s="537"/>
      <c r="X21" s="537"/>
      <c r="Y21" s="537"/>
      <c r="Z21" s="537"/>
      <c r="AA21" s="537"/>
      <c r="AB21" s="537"/>
      <c r="AC21" s="537"/>
      <c r="AD21" s="537"/>
      <c r="AE21" s="537"/>
      <c r="AF21" s="537"/>
      <c r="AG21" s="537"/>
      <c r="AH21" s="537"/>
      <c r="AI21" s="537"/>
      <c r="AJ21" s="537"/>
      <c r="AK21" s="537"/>
      <c r="AL21" s="537"/>
      <c r="AM21" s="537"/>
      <c r="AN21" s="537"/>
      <c r="AO21" s="537"/>
      <c r="AP21" s="537"/>
      <c r="AQ21" s="537"/>
      <c r="AR21" s="537"/>
      <c r="AS21" s="537"/>
      <c r="AT21" s="537"/>
      <c r="AU21" s="538"/>
      <c r="AV21" s="2"/>
      <c r="AW21" s="2"/>
      <c r="AX21" s="2"/>
      <c r="AY21" s="2"/>
      <c r="AZ21" s="2"/>
      <c r="BA21" s="2"/>
      <c r="BB21" s="2"/>
      <c r="BC21" s="2"/>
      <c r="BD21" s="2"/>
      <c r="BE21" s="82"/>
      <c r="BF21" s="25"/>
      <c r="BG21" s="2"/>
      <c r="BH21" s="2"/>
      <c r="BI21" s="2"/>
      <c r="BJ21" s="25"/>
      <c r="BK21" s="2"/>
    </row>
    <row r="22" spans="1:63" ht="18.75" customHeight="1" thickBot="1" x14ac:dyDescent="0.3">
      <c r="A22" s="85">
        <v>5</v>
      </c>
      <c r="B22" s="86" t="s">
        <v>176</v>
      </c>
      <c r="C22" s="69">
        <v>5</v>
      </c>
      <c r="D22" s="87"/>
      <c r="E22" s="498"/>
      <c r="F22" s="498"/>
      <c r="G22" s="498"/>
      <c r="H22" s="2"/>
      <c r="I22" s="2"/>
      <c r="J22" s="76">
        <v>3</v>
      </c>
      <c r="K22" s="77" t="s">
        <v>176</v>
      </c>
      <c r="L22" s="78">
        <v>5</v>
      </c>
      <c r="M22" s="78">
        <v>5</v>
      </c>
      <c r="N22" s="77" t="s">
        <v>176</v>
      </c>
      <c r="O22" s="79">
        <v>6</v>
      </c>
      <c r="P22" s="65"/>
      <c r="Q22" s="65"/>
      <c r="R22" s="81"/>
      <c r="S22" s="84"/>
      <c r="T22" s="88"/>
      <c r="U22" s="58"/>
      <c r="V22" s="41"/>
      <c r="W22" s="58"/>
      <c r="X22" s="58"/>
      <c r="Y22" s="58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58"/>
      <c r="AP22" s="58"/>
      <c r="AQ22" s="58"/>
      <c r="AR22" s="58"/>
      <c r="AS22" s="58"/>
      <c r="AT22" s="58"/>
      <c r="AU22" s="59"/>
      <c r="AV22" s="25"/>
      <c r="AW22" s="2"/>
      <c r="AX22" s="2"/>
      <c r="AY22" s="2"/>
      <c r="AZ22" s="2"/>
      <c r="BA22" s="2"/>
      <c r="BB22" s="2"/>
      <c r="BC22" s="2"/>
      <c r="BD22" s="2"/>
      <c r="BE22" s="82"/>
      <c r="BF22" s="25"/>
      <c r="BG22" s="2"/>
      <c r="BH22" s="2"/>
      <c r="BI22" s="2"/>
      <c r="BJ22" s="25"/>
      <c r="BK22" s="2"/>
    </row>
    <row r="23" spans="1:63" ht="18.75" customHeight="1" thickBot="1" x14ac:dyDescent="0.3">
      <c r="A23" s="85">
        <v>5</v>
      </c>
      <c r="B23" s="86" t="s">
        <v>176</v>
      </c>
      <c r="C23" s="69">
        <v>6</v>
      </c>
      <c r="D23" s="31"/>
      <c r="E23" s="498"/>
      <c r="F23" s="498"/>
      <c r="G23" s="498"/>
      <c r="H23" s="89"/>
      <c r="I23" s="2"/>
      <c r="J23" s="76">
        <v>4</v>
      </c>
      <c r="K23" s="77" t="s">
        <v>176</v>
      </c>
      <c r="L23" s="78">
        <v>5</v>
      </c>
      <c r="M23" s="78">
        <v>5</v>
      </c>
      <c r="N23" s="77" t="s">
        <v>176</v>
      </c>
      <c r="O23" s="79">
        <v>5</v>
      </c>
      <c r="P23" s="65"/>
      <c r="Q23" s="81"/>
      <c r="R23" s="84"/>
      <c r="S23" s="88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5"/>
      <c r="AW23" s="2"/>
      <c r="AX23" s="2"/>
      <c r="AY23" s="2"/>
      <c r="AZ23" s="2"/>
      <c r="BA23" s="2"/>
      <c r="BB23" s="2"/>
      <c r="BC23" s="2"/>
      <c r="BD23" s="2"/>
      <c r="BE23" s="82"/>
      <c r="BF23" s="25"/>
      <c r="BG23" s="2"/>
      <c r="BH23" s="2"/>
      <c r="BI23" s="2"/>
      <c r="BJ23" s="25"/>
      <c r="BK23" s="2"/>
    </row>
    <row r="24" spans="1:63" ht="18.75" customHeight="1" thickBot="1" x14ac:dyDescent="0.3">
      <c r="A24" s="85">
        <v>5</v>
      </c>
      <c r="B24" s="86" t="s">
        <v>176</v>
      </c>
      <c r="C24" s="90">
        <v>7</v>
      </c>
      <c r="D24" s="91"/>
      <c r="F24" s="92"/>
      <c r="G24" s="92"/>
      <c r="H24" s="93"/>
      <c r="I24" s="2"/>
      <c r="J24" s="2"/>
      <c r="K24" s="41" t="s">
        <v>204</v>
      </c>
      <c r="L24" s="72"/>
      <c r="M24" s="72"/>
      <c r="N24" s="94"/>
      <c r="O24" s="65"/>
      <c r="P24" s="81"/>
      <c r="Q24" s="84"/>
      <c r="R24" s="88"/>
      <c r="S24" s="521"/>
      <c r="T24" s="41"/>
      <c r="U24" s="91"/>
      <c r="V24" s="522"/>
      <c r="W24" s="91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25"/>
      <c r="AW24" s="2"/>
      <c r="AX24" s="2"/>
      <c r="AY24" s="2"/>
      <c r="AZ24" s="2"/>
      <c r="BA24" s="97" t="s">
        <v>208</v>
      </c>
      <c r="BB24" s="2"/>
      <c r="BC24" s="2"/>
      <c r="BD24" s="2"/>
      <c r="BE24" s="82"/>
      <c r="BF24" s="25"/>
      <c r="BG24" s="98"/>
      <c r="BH24" s="98"/>
      <c r="BI24" s="99"/>
      <c r="BJ24" s="25"/>
      <c r="BK24" s="2"/>
    </row>
    <row r="25" spans="1:63" ht="18.75" customHeight="1" thickBot="1" x14ac:dyDescent="0.3">
      <c r="A25" s="100">
        <v>5</v>
      </c>
      <c r="B25" s="86" t="s">
        <v>176</v>
      </c>
      <c r="C25" s="90">
        <v>8</v>
      </c>
      <c r="D25" s="31"/>
      <c r="E25" s="101"/>
      <c r="F25" s="101"/>
      <c r="G25" s="101"/>
      <c r="H25" s="101"/>
      <c r="I25" s="101"/>
      <c r="J25" s="2"/>
      <c r="K25" s="102"/>
      <c r="L25" s="19"/>
      <c r="M25" s="19"/>
      <c r="N25" s="103"/>
      <c r="O25" s="103"/>
      <c r="P25" s="84"/>
      <c r="Q25" s="88"/>
      <c r="R25" s="521"/>
      <c r="S25" s="63"/>
      <c r="T25" s="19"/>
      <c r="U25" s="522"/>
      <c r="V25" s="91"/>
      <c r="W25" s="522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25"/>
      <c r="AW25" s="2"/>
      <c r="AX25" s="2"/>
      <c r="AY25" s="2"/>
      <c r="AZ25" s="2"/>
      <c r="BA25" s="2"/>
      <c r="BB25" s="2"/>
      <c r="BC25" s="2"/>
      <c r="BD25" s="2"/>
      <c r="BE25" s="82"/>
      <c r="BF25" s="25"/>
      <c r="BG25" s="2"/>
      <c r="BH25" s="2"/>
      <c r="BI25" s="2"/>
      <c r="BJ25" s="25"/>
      <c r="BK25" s="2"/>
    </row>
    <row r="26" spans="1:63" ht="18.75" customHeight="1" thickBot="1" x14ac:dyDescent="0.3">
      <c r="A26" s="100">
        <v>5</v>
      </c>
      <c r="B26" s="86" t="s">
        <v>176</v>
      </c>
      <c r="C26" s="90">
        <v>9</v>
      </c>
      <c r="D26" s="31"/>
      <c r="E26" s="549"/>
      <c r="F26" s="549"/>
      <c r="G26" s="549"/>
      <c r="H26" s="549"/>
      <c r="I26" s="93"/>
      <c r="J26" s="104"/>
      <c r="K26" s="105"/>
      <c r="L26" s="106"/>
      <c r="M26" s="106"/>
      <c r="N26" s="106"/>
      <c r="O26" s="106"/>
      <c r="P26" s="88"/>
      <c r="Q26" s="521"/>
      <c r="R26" s="63"/>
      <c r="S26" s="19"/>
      <c r="T26" s="19"/>
      <c r="U26" s="91"/>
      <c r="V26" s="522"/>
      <c r="W26" s="91"/>
      <c r="X26" s="19"/>
      <c r="Y26" s="19"/>
      <c r="Z26" s="19"/>
      <c r="AA26" s="19"/>
      <c r="AB26" s="19"/>
      <c r="AC26" s="19"/>
      <c r="AD26" s="19"/>
      <c r="AE26" s="550"/>
      <c r="AF26" s="550"/>
      <c r="AG26" s="550"/>
      <c r="AH26" s="19"/>
      <c r="AI26" s="19"/>
      <c r="AJ26" s="19"/>
      <c r="AK26" s="19"/>
      <c r="AL26" s="19"/>
      <c r="AT26" s="19"/>
      <c r="AU26" s="19"/>
      <c r="AV26" s="25"/>
      <c r="AW26" s="2"/>
      <c r="AX26" s="2"/>
      <c r="AY26" s="2"/>
      <c r="AZ26" s="2"/>
      <c r="BA26" s="2"/>
      <c r="BB26" s="2"/>
      <c r="BC26" s="2"/>
      <c r="BD26" s="2"/>
      <c r="BE26" s="82"/>
      <c r="BF26" s="25"/>
      <c r="BG26" s="2"/>
      <c r="BH26" s="2"/>
      <c r="BI26" s="2"/>
      <c r="BJ26" s="25"/>
      <c r="BK26" s="2"/>
    </row>
    <row r="27" spans="1:63" ht="18.75" customHeight="1" thickBot="1" x14ac:dyDescent="0.3">
      <c r="A27" s="100">
        <v>5</v>
      </c>
      <c r="B27" s="86" t="s">
        <v>176</v>
      </c>
      <c r="C27" s="90">
        <v>10</v>
      </c>
      <c r="D27" s="31"/>
      <c r="E27" s="500"/>
      <c r="F27" s="500"/>
      <c r="G27" s="500"/>
      <c r="H27" s="500"/>
      <c r="I27" s="108"/>
      <c r="J27" s="19"/>
      <c r="L27" s="45" t="s">
        <v>211</v>
      </c>
      <c r="M27" s="46"/>
      <c r="N27" s="109"/>
      <c r="O27" s="110"/>
      <c r="P27" s="521"/>
      <c r="Q27" s="63"/>
      <c r="R27" s="6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11"/>
      <c r="AG27" s="19"/>
      <c r="AH27" s="19"/>
      <c r="AI27" s="19"/>
      <c r="AJ27" s="19"/>
      <c r="AK27" s="19"/>
      <c r="AL27" s="19"/>
      <c r="AM27" s="19"/>
      <c r="AN27" s="19"/>
      <c r="AO27" s="19"/>
      <c r="AT27" s="19"/>
      <c r="AU27" s="19"/>
      <c r="AV27" s="25"/>
      <c r="AW27" s="2"/>
      <c r="AX27" s="2"/>
      <c r="AY27" s="2"/>
      <c r="AZ27" s="2"/>
      <c r="BA27" s="2"/>
      <c r="BB27" s="2"/>
      <c r="BC27" s="2"/>
      <c r="BD27" s="2"/>
      <c r="BE27" s="82"/>
      <c r="BF27" s="25"/>
      <c r="BG27" s="2"/>
      <c r="BH27" s="2"/>
      <c r="BI27" s="2"/>
      <c r="BJ27" s="25"/>
      <c r="BK27" s="2"/>
    </row>
    <row r="28" spans="1:63" ht="18.75" customHeight="1" x14ac:dyDescent="0.25">
      <c r="A28" s="42" t="s">
        <v>211</v>
      </c>
      <c r="B28" s="541" t="s">
        <v>198</v>
      </c>
      <c r="C28" s="541"/>
      <c r="D28" s="541"/>
      <c r="E28" s="500"/>
      <c r="F28" s="500"/>
      <c r="G28" s="500"/>
      <c r="H28" s="500"/>
      <c r="I28" s="112"/>
      <c r="J28" s="19"/>
      <c r="K28" s="76">
        <v>1</v>
      </c>
      <c r="L28" s="46" t="s">
        <v>176</v>
      </c>
      <c r="M28" s="113">
        <v>5</v>
      </c>
      <c r="N28" s="519"/>
      <c r="O28" s="519"/>
      <c r="P28" s="63"/>
      <c r="Q28" s="65"/>
      <c r="R28" s="19"/>
      <c r="S28" s="19"/>
      <c r="T28" s="19"/>
      <c r="U28" s="111">
        <v>1</v>
      </c>
      <c r="V28" s="111">
        <v>2</v>
      </c>
      <c r="W28" s="111">
        <v>3</v>
      </c>
      <c r="X28" s="19"/>
      <c r="Y28" s="19"/>
      <c r="Z28" s="19"/>
      <c r="AA28" s="19"/>
      <c r="AB28" s="19"/>
      <c r="AC28" s="63"/>
      <c r="AE28" s="83"/>
      <c r="AF28" s="115"/>
      <c r="AG28" s="19"/>
      <c r="AH28" s="19"/>
      <c r="AI28" s="63"/>
      <c r="AJ28" s="2"/>
      <c r="AK28" s="2"/>
      <c r="AL28" s="2"/>
      <c r="AM28" s="19"/>
      <c r="AN28" s="19"/>
      <c r="AO28" s="19"/>
      <c r="AT28" s="2"/>
      <c r="AU28" s="19"/>
      <c r="AV28" s="25"/>
      <c r="AW28" s="2"/>
      <c r="AX28" s="2"/>
      <c r="AY28" s="2"/>
      <c r="AZ28" s="2"/>
      <c r="BA28" s="2"/>
      <c r="BB28" s="2"/>
      <c r="BC28" s="2"/>
      <c r="BD28" s="2"/>
      <c r="BE28" s="82"/>
      <c r="BF28" s="25"/>
      <c r="BG28" s="2"/>
      <c r="BH28" s="2"/>
      <c r="BI28" s="2"/>
      <c r="BJ28" s="25"/>
      <c r="BK28" s="2"/>
    </row>
    <row r="29" spans="1:63" ht="18.75" customHeight="1" thickBot="1" x14ac:dyDescent="0.3">
      <c r="A29" s="116">
        <v>5</v>
      </c>
      <c r="B29" s="117" t="s">
        <v>176</v>
      </c>
      <c r="C29" s="118">
        <v>1</v>
      </c>
      <c r="D29" s="112"/>
      <c r="E29" s="119"/>
      <c r="F29" s="119"/>
      <c r="G29" s="119"/>
      <c r="H29" s="119"/>
      <c r="I29" s="112"/>
      <c r="J29" s="19"/>
      <c r="K29" s="76">
        <v>2</v>
      </c>
      <c r="L29" s="46" t="s">
        <v>176</v>
      </c>
      <c r="M29" s="113">
        <v>5</v>
      </c>
      <c r="N29" s="519"/>
      <c r="O29" s="120"/>
      <c r="P29" s="63"/>
      <c r="Q29" s="65"/>
      <c r="R29" s="63"/>
      <c r="S29" s="19"/>
      <c r="T29" s="83" t="s">
        <v>214</v>
      </c>
      <c r="U29" s="121" t="s">
        <v>176</v>
      </c>
      <c r="V29" s="121" t="s">
        <v>176</v>
      </c>
      <c r="W29" s="121" t="s">
        <v>176</v>
      </c>
      <c r="X29" s="73" t="s">
        <v>215</v>
      </c>
      <c r="Y29" s="120" t="s">
        <v>216</v>
      </c>
      <c r="Z29"/>
      <c r="AA29" s="122"/>
      <c r="AB29" s="122"/>
      <c r="AC29" s="1"/>
      <c r="AE29" s="123"/>
      <c r="AF29" s="124"/>
      <c r="AG29" s="123"/>
      <c r="AH29" s="19"/>
      <c r="AM29" s="19"/>
      <c r="AN29" s="19"/>
      <c r="AO29" s="19"/>
      <c r="AT29" s="2"/>
      <c r="AU29" s="19"/>
      <c r="AV29" s="125"/>
      <c r="AW29" s="126"/>
      <c r="AX29" s="126"/>
      <c r="AY29" s="126"/>
      <c r="AZ29" s="126"/>
      <c r="BA29" s="126"/>
      <c r="BB29" s="126"/>
      <c r="BC29" s="126"/>
      <c r="BD29" s="126"/>
      <c r="BE29" s="127"/>
      <c r="BF29" s="25"/>
      <c r="BG29" s="2"/>
      <c r="BH29" s="2"/>
      <c r="BI29" s="82"/>
      <c r="BJ29" s="25"/>
      <c r="BK29" s="128"/>
    </row>
    <row r="30" spans="1:63" ht="18.75" customHeight="1" x14ac:dyDescent="0.25">
      <c r="A30" s="116">
        <v>5</v>
      </c>
      <c r="B30" s="117" t="s">
        <v>176</v>
      </c>
      <c r="C30" s="118">
        <v>2</v>
      </c>
      <c r="D30" s="129"/>
      <c r="E30" s="94"/>
      <c r="F30" s="94"/>
      <c r="G30" s="94"/>
      <c r="H30" s="94"/>
      <c r="I30" s="2"/>
      <c r="J30" s="19"/>
      <c r="K30" s="76">
        <v>3</v>
      </c>
      <c r="L30" s="46" t="s">
        <v>176</v>
      </c>
      <c r="M30" s="113">
        <v>5</v>
      </c>
      <c r="N30" s="520"/>
      <c r="O30" s="130"/>
      <c r="P30" s="63"/>
      <c r="Q30" s="65"/>
      <c r="R30" s="63"/>
      <c r="S30" s="19"/>
      <c r="T30" s="121"/>
      <c r="U30" s="131">
        <v>5</v>
      </c>
      <c r="V30" s="131">
        <v>5</v>
      </c>
      <c r="W30" s="131">
        <v>5</v>
      </c>
      <c r="X30" s="121"/>
      <c r="Y30"/>
      <c r="AB30" s="523"/>
      <c r="AC30" s="523"/>
      <c r="AD30" s="523"/>
      <c r="AE30" s="124"/>
      <c r="AF30" s="41"/>
      <c r="AG30" s="124"/>
      <c r="AH30" s="115"/>
      <c r="AI30" s="19"/>
      <c r="AJ30" s="524"/>
      <c r="AK30" s="2"/>
      <c r="AM30" s="19"/>
      <c r="AN30"/>
      <c r="AO30" s="502"/>
      <c r="AP30"/>
      <c r="AQ30"/>
      <c r="AR30"/>
      <c r="AS30"/>
      <c r="AT30"/>
      <c r="AU30" s="91"/>
      <c r="AV30" s="63"/>
      <c r="AW30" s="41"/>
      <c r="AX30" s="498"/>
      <c r="AY30" s="498"/>
      <c r="AZ30" s="498"/>
      <c r="BA30" s="498"/>
      <c r="BB30" s="498"/>
      <c r="BC30" s="502"/>
      <c r="BD30" s="502"/>
      <c r="BE30" s="502"/>
      <c r="BF30" s="551" t="s">
        <v>208</v>
      </c>
      <c r="BG30" s="552"/>
      <c r="BH30" s="552"/>
      <c r="BI30" s="553"/>
      <c r="BJ30" s="25"/>
      <c r="BK30" s="128"/>
    </row>
    <row r="31" spans="1:63" ht="18.75" customHeight="1" x14ac:dyDescent="0.25">
      <c r="A31" s="135">
        <v>5</v>
      </c>
      <c r="B31" s="117" t="s">
        <v>176</v>
      </c>
      <c r="C31" s="118">
        <v>3</v>
      </c>
      <c r="D31" s="2"/>
      <c r="E31" s="540"/>
      <c r="F31" s="540"/>
      <c r="G31" s="540"/>
      <c r="H31" s="540"/>
      <c r="I31" s="19"/>
      <c r="J31" s="19"/>
      <c r="K31" s="76">
        <v>4</v>
      </c>
      <c r="L31" s="46" t="s">
        <v>176</v>
      </c>
      <c r="M31" s="113">
        <v>5</v>
      </c>
      <c r="N31" s="120"/>
      <c r="O31" s="1"/>
      <c r="P31" s="63"/>
      <c r="Q31" s="65"/>
      <c r="R31" s="63"/>
      <c r="S31" s="19"/>
      <c r="T31" s="121"/>
      <c r="U31" s="131">
        <v>5</v>
      </c>
      <c r="V31" s="131">
        <v>5</v>
      </c>
      <c r="W31" s="131">
        <v>5</v>
      </c>
      <c r="X31" s="121"/>
      <c r="Y31"/>
      <c r="AB31" s="523"/>
      <c r="AC31" s="523"/>
      <c r="AD31" s="523"/>
      <c r="AE31" s="123"/>
      <c r="AF31" s="124"/>
      <c r="AG31" s="123"/>
      <c r="AH31" s="63"/>
      <c r="AI31" s="524"/>
      <c r="AJ31" s="41"/>
      <c r="AK31" s="524"/>
      <c r="AM31" s="19"/>
      <c r="AN31" s="502"/>
      <c r="AO31"/>
      <c r="AP31" s="502"/>
      <c r="AQ31" s="122"/>
      <c r="AR31" s="502"/>
      <c r="AS31" s="502"/>
      <c r="AT31" s="502"/>
      <c r="AU31" s="91"/>
      <c r="AV31" s="65"/>
      <c r="AW31" s="65"/>
      <c r="AX31" s="65"/>
      <c r="AY31" s="65"/>
      <c r="AZ31" s="65"/>
      <c r="BA31" s="65"/>
      <c r="BB31" s="63"/>
      <c r="BC31" s="63"/>
      <c r="BD31" s="63"/>
      <c r="BE31" s="41"/>
      <c r="BF31" s="554"/>
      <c r="BG31" s="555"/>
      <c r="BH31" s="555"/>
      <c r="BI31" s="556"/>
      <c r="BJ31" s="25"/>
      <c r="BK31" s="136"/>
    </row>
    <row r="32" spans="1:63" ht="18.75" customHeight="1" thickBot="1" x14ac:dyDescent="0.3">
      <c r="A32" s="137">
        <v>5</v>
      </c>
      <c r="B32" s="117" t="s">
        <v>176</v>
      </c>
      <c r="C32" s="118">
        <v>4</v>
      </c>
      <c r="D32" s="2"/>
      <c r="E32" s="500"/>
      <c r="F32" s="500"/>
      <c r="G32" s="500"/>
      <c r="H32" s="500"/>
      <c r="I32" s="19"/>
      <c r="J32" s="63"/>
      <c r="K32" s="542" t="s">
        <v>185</v>
      </c>
      <c r="L32" s="542"/>
      <c r="M32" s="46"/>
      <c r="N32" s="516"/>
      <c r="O32" s="139"/>
      <c r="P32" s="63"/>
      <c r="Q32" s="65"/>
      <c r="R32" s="63"/>
      <c r="S32" s="2"/>
      <c r="T32" s="41" t="s">
        <v>225</v>
      </c>
      <c r="U32" s="121" t="s">
        <v>176</v>
      </c>
      <c r="V32" s="121" t="s">
        <v>176</v>
      </c>
      <c r="W32" s="121" t="s">
        <v>176</v>
      </c>
      <c r="Y32" s="91"/>
      <c r="Z32" s="91"/>
      <c r="AA32" s="140"/>
      <c r="AB32" s="122"/>
      <c r="AC32" s="1"/>
      <c r="AF32" s="115"/>
      <c r="AI32" s="19"/>
      <c r="AJ32" s="524"/>
      <c r="AK32" s="63"/>
      <c r="AM32" s="19"/>
      <c r="AN32" s="122"/>
      <c r="AO32" s="502"/>
      <c r="AP32" s="122"/>
      <c r="AQ32" s="91"/>
      <c r="AR32" s="502"/>
      <c r="AS32" s="502"/>
      <c r="AT32" s="502"/>
      <c r="AU32" s="91"/>
      <c r="AV32" s="63"/>
      <c r="AW32" s="63"/>
      <c r="AX32" s="63"/>
      <c r="AY32" s="63"/>
      <c r="AZ32" s="63"/>
      <c r="BA32" s="63"/>
      <c r="BB32" s="63"/>
      <c r="BC32" s="63"/>
      <c r="BD32" s="63"/>
      <c r="BE32" s="41"/>
      <c r="BF32" s="554"/>
      <c r="BG32" s="555"/>
      <c r="BH32" s="555"/>
      <c r="BI32" s="556"/>
      <c r="BJ32" s="25"/>
      <c r="BK32" s="136"/>
    </row>
    <row r="33" spans="1:63" ht="18.75" customHeight="1" thickBot="1" x14ac:dyDescent="0.3">
      <c r="A33" s="141"/>
      <c r="B33" s="73" t="s">
        <v>227</v>
      </c>
      <c r="C33" s="102"/>
      <c r="D33" s="41" t="s">
        <v>228</v>
      </c>
      <c r="E33" s="500"/>
      <c r="F33" s="500"/>
      <c r="G33" s="500"/>
      <c r="H33" s="500"/>
      <c r="I33" s="19"/>
      <c r="J33" s="65"/>
      <c r="K33" s="19"/>
      <c r="L33" s="41" t="s">
        <v>229</v>
      </c>
      <c r="M33" s="142"/>
      <c r="N33" s="517"/>
      <c r="O33" s="1"/>
      <c r="P33" s="63"/>
      <c r="Q33" s="19"/>
      <c r="R33" s="63"/>
      <c r="S33" s="2"/>
      <c r="T33" s="19"/>
      <c r="U33" s="111">
        <v>6</v>
      </c>
      <c r="V33" s="111">
        <v>5</v>
      </c>
      <c r="W33" s="111">
        <v>4</v>
      </c>
      <c r="X33" s="19"/>
      <c r="Y33" s="140"/>
      <c r="Z33" s="140"/>
      <c r="AA33" s="122"/>
      <c r="AB33" s="122"/>
      <c r="AC33" s="91"/>
      <c r="AD33" s="2"/>
      <c r="AE33" s="63"/>
      <c r="AF33" s="111"/>
      <c r="AG33" s="63"/>
      <c r="AH33" s="63"/>
      <c r="AI33" s="2"/>
      <c r="AJ33" s="19"/>
      <c r="AK33" s="19"/>
      <c r="AN33" s="122"/>
      <c r="AO33" s="91"/>
      <c r="AP33" s="144"/>
      <c r="AQ33" s="91"/>
      <c r="AR33" s="91"/>
      <c r="AS33" s="1"/>
      <c r="AT33" s="1"/>
      <c r="AU33" s="91"/>
      <c r="AV33" s="19"/>
      <c r="AW33" s="19"/>
      <c r="AX33" s="19"/>
      <c r="AY33" s="63"/>
      <c r="AZ33" s="63"/>
      <c r="BA33" s="63"/>
      <c r="BB33" s="63"/>
      <c r="BC33" s="63"/>
      <c r="BD33" s="63"/>
      <c r="BE33" s="528"/>
      <c r="BF33" s="554"/>
      <c r="BG33" s="555"/>
      <c r="BH33" s="555"/>
      <c r="BI33" s="556"/>
      <c r="BJ33" s="25"/>
      <c r="BK33" s="128"/>
    </row>
    <row r="34" spans="1:63" ht="18.75" customHeight="1" x14ac:dyDescent="0.25">
      <c r="A34" s="569" t="s">
        <v>231</v>
      </c>
      <c r="B34" s="41" t="s">
        <v>232</v>
      </c>
      <c r="C34" s="19"/>
      <c r="D34" s="105"/>
      <c r="E34" s="572" t="s">
        <v>233</v>
      </c>
      <c r="F34" s="572"/>
      <c r="G34" s="572"/>
      <c r="H34" s="572"/>
      <c r="I34" s="146"/>
      <c r="J34" s="2"/>
      <c r="K34" s="19"/>
      <c r="L34" s="573"/>
      <c r="M34" s="514"/>
      <c r="N34" s="516"/>
      <c r="O34" s="91"/>
      <c r="P34" s="19"/>
      <c r="Q34" s="65"/>
      <c r="R34" s="65"/>
      <c r="S34" s="2"/>
      <c r="T34" s="63"/>
      <c r="U34" s="63"/>
      <c r="V34" s="63"/>
      <c r="W34" s="63"/>
      <c r="X34" s="19"/>
      <c r="Y34" s="122"/>
      <c r="AB34" s="122"/>
      <c r="AC34" s="122"/>
      <c r="AD34" s="122"/>
      <c r="AE34" s="1"/>
      <c r="AN34" s="13" t="s">
        <v>198</v>
      </c>
      <c r="AO34" s="13"/>
      <c r="AP34" s="13"/>
      <c r="AQ34" s="19"/>
      <c r="AR34" s="19"/>
      <c r="AS34" s="19"/>
      <c r="AT34" s="19"/>
      <c r="AU34" s="19"/>
      <c r="AV34" s="19"/>
      <c r="AW34" s="498"/>
      <c r="AX34" s="498"/>
      <c r="AY34" s="498"/>
      <c r="AZ34" s="19"/>
      <c r="BA34" s="498"/>
      <c r="BB34" s="498"/>
      <c r="BC34" s="498"/>
      <c r="BD34" s="63"/>
      <c r="BE34" s="498"/>
      <c r="BF34" s="554"/>
      <c r="BG34" s="555"/>
      <c r="BH34" s="555"/>
      <c r="BI34" s="556"/>
      <c r="BJ34" s="25"/>
      <c r="BK34" s="128"/>
    </row>
    <row r="35" spans="1:63" ht="18.75" customHeight="1" x14ac:dyDescent="0.25">
      <c r="A35" s="570"/>
      <c r="B35" s="19"/>
      <c r="C35" s="19"/>
      <c r="D35" s="105"/>
      <c r="E35" s="37">
        <v>1</v>
      </c>
      <c r="F35" s="37">
        <v>2</v>
      </c>
      <c r="G35" s="37">
        <v>3</v>
      </c>
      <c r="H35" s="37">
        <v>4</v>
      </c>
      <c r="I35" s="148"/>
      <c r="J35" s="2"/>
      <c r="K35" s="19"/>
      <c r="L35" s="573"/>
      <c r="M35" s="514"/>
      <c r="N35" s="516"/>
      <c r="O35" s="91"/>
      <c r="P35" s="19"/>
      <c r="Q35" s="65"/>
      <c r="R35" s="65"/>
      <c r="S35" s="2"/>
      <c r="T35" s="63"/>
      <c r="U35" s="546" t="s">
        <v>198</v>
      </c>
      <c r="V35" s="546"/>
      <c r="W35" s="546"/>
      <c r="X35" s="19"/>
      <c r="Y35" s="122"/>
      <c r="AB35" s="91"/>
      <c r="AC35" s="149"/>
      <c r="AD35" s="91"/>
      <c r="AE35" s="1"/>
      <c r="AO35" s="111">
        <v>1</v>
      </c>
      <c r="AQ35" s="19"/>
      <c r="AR35" s="19"/>
      <c r="AS35" s="19"/>
      <c r="AT35" s="19"/>
      <c r="AU35" s="19"/>
      <c r="AV35" s="19"/>
      <c r="AW35" s="498"/>
      <c r="AX35" s="498"/>
      <c r="AY35" s="498"/>
      <c r="AZ35" s="19"/>
      <c r="BA35" s="498"/>
      <c r="BB35" s="498"/>
      <c r="BC35" s="498"/>
      <c r="BD35" s="63"/>
      <c r="BE35" s="498"/>
      <c r="BF35" s="554"/>
      <c r="BG35" s="555"/>
      <c r="BH35" s="555"/>
      <c r="BI35" s="556"/>
      <c r="BJ35" s="150"/>
      <c r="BK35" s="2"/>
    </row>
    <row r="36" spans="1:63" ht="18.75" customHeight="1" x14ac:dyDescent="0.25">
      <c r="A36" s="570"/>
      <c r="B36" s="19"/>
      <c r="C36" s="2"/>
      <c r="D36" s="45" t="s">
        <v>235</v>
      </c>
      <c r="E36" s="151" t="s">
        <v>236</v>
      </c>
      <c r="F36" s="151" t="s">
        <v>236</v>
      </c>
      <c r="G36" s="151" t="s">
        <v>236</v>
      </c>
      <c r="H36" s="151" t="s">
        <v>236</v>
      </c>
      <c r="I36" s="73" t="s">
        <v>237</v>
      </c>
      <c r="J36" s="19"/>
      <c r="K36" s="19"/>
      <c r="L36" s="573"/>
      <c r="M36" s="514"/>
      <c r="N36" s="152"/>
      <c r="O36" s="91"/>
      <c r="P36" s="19"/>
      <c r="Q36" s="63"/>
      <c r="R36" s="63"/>
      <c r="S36" s="2"/>
      <c r="T36" s="153"/>
      <c r="U36" s="111">
        <v>1</v>
      </c>
      <c r="V36" s="111">
        <v>2</v>
      </c>
      <c r="W36" s="111">
        <v>3</v>
      </c>
      <c r="X36" s="154"/>
      <c r="Y36"/>
      <c r="AC36" s="155"/>
      <c r="AD36" s="91"/>
      <c r="AE36" s="149"/>
      <c r="AH36" s="19"/>
      <c r="AN36" s="83" t="s">
        <v>239</v>
      </c>
      <c r="AO36" s="51" t="s">
        <v>176</v>
      </c>
      <c r="AQ36" s="19"/>
      <c r="AR36" s="19"/>
      <c r="AS36" s="41"/>
      <c r="AT36" s="63"/>
      <c r="AU36" s="63"/>
      <c r="AW36" s="41"/>
      <c r="AX36" s="19"/>
      <c r="AY36" s="19"/>
      <c r="AZ36" s="19"/>
      <c r="BA36" s="41"/>
      <c r="BB36" s="19"/>
      <c r="BC36" s="19"/>
      <c r="BD36" s="63"/>
      <c r="BE36" s="498"/>
      <c r="BF36" s="554"/>
      <c r="BG36" s="555"/>
      <c r="BH36" s="555"/>
      <c r="BI36" s="556"/>
      <c r="BJ36" s="25"/>
      <c r="BK36" s="157"/>
    </row>
    <row r="37" spans="1:63" ht="18.75" customHeight="1" thickBot="1" x14ac:dyDescent="0.3">
      <c r="A37" s="571"/>
      <c r="B37" s="19"/>
      <c r="C37" s="574"/>
      <c r="D37" s="575"/>
      <c r="E37" s="158">
        <v>10</v>
      </c>
      <c r="F37" s="158">
        <v>10</v>
      </c>
      <c r="G37" s="158">
        <v>10</v>
      </c>
      <c r="H37" s="158">
        <v>10</v>
      </c>
      <c r="I37" s="576"/>
      <c r="J37" s="19"/>
      <c r="K37" s="19"/>
      <c r="L37" s="573"/>
      <c r="M37" s="514"/>
      <c r="N37" s="516"/>
      <c r="O37" s="518"/>
      <c r="P37" s="19"/>
      <c r="Q37" s="65"/>
      <c r="R37" s="63"/>
      <c r="S37" s="2"/>
      <c r="T37" s="83" t="s">
        <v>244</v>
      </c>
      <c r="U37" s="121" t="s">
        <v>176</v>
      </c>
      <c r="V37" s="121" t="s">
        <v>176</v>
      </c>
      <c r="W37" s="121" t="s">
        <v>176</v>
      </c>
      <c r="X37" s="73" t="s">
        <v>245</v>
      </c>
      <c r="Y37"/>
      <c r="AB37" s="122"/>
      <c r="AN37" s="51"/>
      <c r="AO37" s="162">
        <v>5</v>
      </c>
      <c r="AP37" s="51"/>
      <c r="AQ37" s="19"/>
      <c r="AR37" s="19"/>
      <c r="AS37" s="63"/>
      <c r="AT37" s="63"/>
      <c r="AU37" s="63"/>
      <c r="AV37" s="63"/>
      <c r="AW37" s="19"/>
      <c r="AX37" s="19"/>
      <c r="AZ37" s="19"/>
      <c r="BA37" s="19"/>
      <c r="BB37" s="19"/>
      <c r="BC37" s="19"/>
      <c r="BD37" s="63"/>
      <c r="BE37" s="498"/>
      <c r="BF37" s="554"/>
      <c r="BG37" s="555"/>
      <c r="BH37" s="555"/>
      <c r="BI37" s="556"/>
      <c r="BJ37" s="25"/>
      <c r="BK37" s="157"/>
    </row>
    <row r="38" spans="1:63" ht="18.75" customHeight="1" x14ac:dyDescent="0.25">
      <c r="A38" s="504"/>
      <c r="B38" s="164"/>
      <c r="C38" s="574"/>
      <c r="D38" s="575"/>
      <c r="E38" s="158">
        <v>10</v>
      </c>
      <c r="F38" s="158">
        <v>10</v>
      </c>
      <c r="G38" s="158">
        <v>10</v>
      </c>
      <c r="H38" s="158">
        <v>10</v>
      </c>
      <c r="I38" s="576"/>
      <c r="J38" s="19"/>
      <c r="K38" s="165"/>
      <c r="L38" s="573"/>
      <c r="M38" s="514"/>
      <c r="N38" s="516"/>
      <c r="O38" s="155"/>
      <c r="P38" s="19"/>
      <c r="Q38" s="19"/>
      <c r="R38" s="63"/>
      <c r="S38" s="2"/>
      <c r="T38" s="72"/>
      <c r="U38" s="166">
        <v>5</v>
      </c>
      <c r="V38" s="166">
        <v>5</v>
      </c>
      <c r="W38" s="167">
        <v>5</v>
      </c>
      <c r="X38" s="560" t="s">
        <v>249</v>
      </c>
      <c r="Y38"/>
      <c r="AB38" s="516"/>
      <c r="AC38" s="516"/>
      <c r="AD38" s="516"/>
      <c r="AE38" s="516"/>
      <c r="AI38" s="500"/>
      <c r="AJ38" s="500"/>
      <c r="AK38" s="500"/>
      <c r="AL38" s="168">
        <v>4</v>
      </c>
      <c r="AM38" s="51" t="s">
        <v>176</v>
      </c>
      <c r="AN38" s="162">
        <v>5</v>
      </c>
      <c r="AO38" s="41" t="s">
        <v>250</v>
      </c>
      <c r="AP38" s="162">
        <v>5</v>
      </c>
      <c r="AQ38" s="51" t="s">
        <v>176</v>
      </c>
      <c r="AR38" s="169">
        <v>2</v>
      </c>
      <c r="AS38" s="498"/>
      <c r="AT38" s="498"/>
      <c r="AU38" s="498"/>
      <c r="AV38" s="498"/>
      <c r="AX38" s="502"/>
      <c r="AY38" s="502"/>
      <c r="AZ38" s="19"/>
      <c r="BA38" s="524"/>
      <c r="BB38" s="524"/>
      <c r="BC38" s="524"/>
      <c r="BD38" s="63"/>
      <c r="BE38" s="41"/>
      <c r="BF38" s="554"/>
      <c r="BG38" s="555"/>
      <c r="BH38" s="555"/>
      <c r="BI38" s="556"/>
      <c r="BJ38" s="150"/>
      <c r="BK38" s="2"/>
    </row>
    <row r="39" spans="1:63" ht="18.75" customHeight="1" thickBot="1" x14ac:dyDescent="0.3">
      <c r="A39" s="498"/>
      <c r="B39" s="164"/>
      <c r="C39" s="170"/>
      <c r="D39" s="41" t="s">
        <v>252</v>
      </c>
      <c r="E39" s="151" t="s">
        <v>236</v>
      </c>
      <c r="F39" s="151" t="s">
        <v>236</v>
      </c>
      <c r="G39" s="151" t="s">
        <v>236</v>
      </c>
      <c r="H39" s="151" t="s">
        <v>236</v>
      </c>
      <c r="I39" s="98"/>
      <c r="J39" s="19"/>
      <c r="K39" s="165"/>
      <c r="L39" s="573"/>
      <c r="M39" s="514"/>
      <c r="N39" s="516"/>
      <c r="O39" s="65"/>
      <c r="P39" s="171"/>
      <c r="Q39" s="63"/>
      <c r="R39" s="63"/>
      <c r="S39" s="2"/>
      <c r="T39" s="72"/>
      <c r="U39" s="166">
        <v>5</v>
      </c>
      <c r="V39" s="166">
        <v>5</v>
      </c>
      <c r="W39" s="167">
        <v>5</v>
      </c>
      <c r="X39" s="561"/>
      <c r="Y39" s="19"/>
      <c r="AB39" s="517"/>
      <c r="AC39" s="516"/>
      <c r="AD39" s="516"/>
      <c r="AE39" s="516"/>
      <c r="AI39" s="500"/>
      <c r="AJ39" s="500"/>
      <c r="AK39" s="500"/>
      <c r="AN39" s="51"/>
      <c r="AO39" s="162">
        <v>5</v>
      </c>
      <c r="AP39" s="51"/>
      <c r="AQ39" s="19"/>
      <c r="AR39" s="19"/>
      <c r="AS39" s="498"/>
      <c r="AT39" s="498"/>
      <c r="AU39" s="498"/>
      <c r="AV39" s="498"/>
      <c r="AX39" s="502"/>
      <c r="AY39" s="502"/>
      <c r="AZ39" s="19"/>
      <c r="BA39" s="524"/>
      <c r="BB39" s="524"/>
      <c r="BC39" s="524"/>
      <c r="BD39" s="63"/>
      <c r="BE39" s="529"/>
      <c r="BF39" s="554"/>
      <c r="BG39" s="555"/>
      <c r="BH39" s="555"/>
      <c r="BI39" s="556"/>
      <c r="BJ39" s="25"/>
      <c r="BK39" s="2"/>
    </row>
    <row r="40" spans="1:63" ht="18.75" customHeight="1" x14ac:dyDescent="0.25">
      <c r="A40" s="498"/>
      <c r="B40" s="164"/>
      <c r="C40" s="170"/>
      <c r="D40" s="105"/>
      <c r="E40" s="37">
        <v>8</v>
      </c>
      <c r="F40" s="37">
        <v>7</v>
      </c>
      <c r="G40" s="37">
        <v>6</v>
      </c>
      <c r="H40" s="37">
        <v>5</v>
      </c>
      <c r="I40" s="105"/>
      <c r="J40" s="2"/>
      <c r="K40" s="165"/>
      <c r="L40" s="562"/>
      <c r="M40" s="515"/>
      <c r="N40" s="516"/>
      <c r="O40" s="65"/>
      <c r="P40" s="174"/>
      <c r="Q40" s="65"/>
      <c r="R40" s="65"/>
      <c r="S40" s="2"/>
      <c r="T40" s="41" t="s">
        <v>254</v>
      </c>
      <c r="U40" s="121" t="s">
        <v>176</v>
      </c>
      <c r="V40" s="121" t="s">
        <v>176</v>
      </c>
      <c r="W40" s="121" t="s">
        <v>176</v>
      </c>
      <c r="X40" s="175"/>
      <c r="Y40" s="41" t="s">
        <v>255</v>
      </c>
      <c r="AB40" s="19"/>
      <c r="AC40" s="19"/>
      <c r="AD40" s="2"/>
      <c r="AI40" s="41"/>
      <c r="AN40" s="19"/>
      <c r="AO40" s="51" t="s">
        <v>176</v>
      </c>
      <c r="AP40" s="19"/>
      <c r="AQ40" s="19"/>
      <c r="AR40" s="19"/>
      <c r="AS40" s="63"/>
      <c r="AT40" s="63"/>
      <c r="AU40" s="63"/>
      <c r="AV40" s="63"/>
      <c r="AX40" s="41"/>
      <c r="AY40" s="19"/>
      <c r="AZ40" s="19"/>
      <c r="BA40" s="41"/>
      <c r="BB40" s="19"/>
      <c r="BC40" s="19"/>
      <c r="BD40" s="19"/>
      <c r="BE40" s="529"/>
      <c r="BF40" s="554"/>
      <c r="BG40" s="555"/>
      <c r="BH40" s="555"/>
      <c r="BI40" s="556"/>
      <c r="BJ40" s="25"/>
      <c r="BK40" s="2"/>
    </row>
    <row r="41" spans="1:63" ht="18.75" customHeight="1" x14ac:dyDescent="0.25">
      <c r="A41" s="41"/>
      <c r="B41" s="19"/>
      <c r="C41" s="19"/>
      <c r="D41" s="2"/>
      <c r="E41" s="542" t="s">
        <v>233</v>
      </c>
      <c r="F41" s="542"/>
      <c r="G41" s="542"/>
      <c r="H41" s="542"/>
      <c r="I41" s="542"/>
      <c r="J41" s="2"/>
      <c r="K41" s="176"/>
      <c r="L41" s="562"/>
      <c r="M41" s="515"/>
      <c r="N41" s="516"/>
      <c r="O41" s="65"/>
      <c r="P41" s="174"/>
      <c r="Q41" s="63"/>
      <c r="R41" s="63"/>
      <c r="S41" s="2"/>
      <c r="T41" s="177"/>
      <c r="U41" s="111">
        <v>1</v>
      </c>
      <c r="V41" s="111">
        <v>2</v>
      </c>
      <c r="W41" s="111">
        <v>3</v>
      </c>
      <c r="X41" s="2"/>
      <c r="Y41" s="19"/>
      <c r="AB41" s="19"/>
      <c r="AC41" s="19"/>
      <c r="AD41" s="2"/>
      <c r="AN41" s="19"/>
      <c r="AO41" s="111">
        <v>3</v>
      </c>
      <c r="AP41" s="63"/>
      <c r="AQ41" s="19"/>
      <c r="AR41" s="19"/>
      <c r="AS41" s="41"/>
      <c r="AT41" s="19"/>
      <c r="AU41" s="65"/>
      <c r="AV41" s="19"/>
      <c r="AZ41" s="19"/>
      <c r="BA41" s="63"/>
      <c r="BB41" s="63"/>
      <c r="BC41" s="63"/>
      <c r="BD41" s="63"/>
      <c r="BE41" s="172"/>
      <c r="BF41" s="554"/>
      <c r="BG41" s="555"/>
      <c r="BH41" s="555"/>
      <c r="BI41" s="556"/>
      <c r="BJ41" s="25"/>
      <c r="BK41" s="2"/>
    </row>
    <row r="42" spans="1:63" ht="18.75" customHeight="1" thickBot="1" x14ac:dyDescent="0.3">
      <c r="A42" s="26"/>
      <c r="B42" s="2"/>
      <c r="C42" s="170"/>
      <c r="D42" s="2"/>
      <c r="E42" s="37">
        <v>1</v>
      </c>
      <c r="F42" s="37">
        <v>2</v>
      </c>
      <c r="G42" s="37">
        <v>3</v>
      </c>
      <c r="H42" s="37">
        <v>4</v>
      </c>
      <c r="I42" s="37">
        <v>5</v>
      </c>
      <c r="J42" s="2"/>
      <c r="K42" s="176"/>
      <c r="L42" s="562"/>
      <c r="M42" s="515"/>
      <c r="N42" s="516"/>
      <c r="O42" s="178"/>
      <c r="P42" s="178"/>
      <c r="Q42" s="19"/>
      <c r="R42" s="19"/>
      <c r="S42" s="179"/>
      <c r="T42" s="63"/>
      <c r="X42" s="180"/>
      <c r="Y42" s="19"/>
      <c r="Z42" s="19"/>
      <c r="AA42" s="105"/>
      <c r="AB42" s="16"/>
      <c r="AE42" s="19"/>
      <c r="AS42" s="19"/>
      <c r="AT42" s="19"/>
      <c r="AU42" s="19"/>
      <c r="AV42" s="65"/>
      <c r="AW42" s="65"/>
      <c r="AX42" s="19"/>
      <c r="AY42" s="19"/>
      <c r="AZ42" s="19"/>
      <c r="BA42" s="19"/>
      <c r="BB42" s="19"/>
      <c r="BC42" s="19"/>
      <c r="BD42" s="92"/>
      <c r="BE42" s="172"/>
      <c r="BF42" s="554"/>
      <c r="BG42" s="555"/>
      <c r="BH42" s="555"/>
      <c r="BI42" s="556"/>
      <c r="BJ42" s="25"/>
      <c r="BK42" s="2"/>
    </row>
    <row r="43" spans="1:63" ht="18.75" customHeight="1" x14ac:dyDescent="0.25">
      <c r="A43" s="26"/>
      <c r="B43" s="19"/>
      <c r="C43" s="170"/>
      <c r="D43" s="45" t="s">
        <v>263</v>
      </c>
      <c r="E43" s="151" t="s">
        <v>236</v>
      </c>
      <c r="F43" s="151" t="s">
        <v>236</v>
      </c>
      <c r="G43" s="151" t="s">
        <v>236</v>
      </c>
      <c r="H43" s="151" t="s">
        <v>236</v>
      </c>
      <c r="I43" s="151" t="s">
        <v>236</v>
      </c>
      <c r="J43" s="73" t="s">
        <v>264</v>
      </c>
      <c r="K43" s="176"/>
      <c r="L43" s="91"/>
      <c r="M43" s="120"/>
      <c r="N43" s="63"/>
      <c r="O43" s="19"/>
      <c r="P43" s="181"/>
      <c r="Q43" s="563" t="s">
        <v>266</v>
      </c>
      <c r="R43" s="564"/>
      <c r="S43" s="179"/>
      <c r="T43" s="2"/>
      <c r="U43" s="2"/>
      <c r="V43" s="105"/>
      <c r="W43" s="105"/>
      <c r="X43" s="105"/>
      <c r="Y43" s="2"/>
      <c r="Z43" s="2"/>
      <c r="AA43" s="2"/>
      <c r="AB43" s="2"/>
      <c r="AC43" s="2"/>
      <c r="AD43" s="2"/>
      <c r="AE43" s="105"/>
      <c r="AF43" s="105"/>
      <c r="AG43" s="105"/>
      <c r="AH43" s="105"/>
      <c r="AI43" s="105"/>
      <c r="AJ43" s="105"/>
      <c r="AK43" s="19"/>
      <c r="AL43" s="19"/>
      <c r="AM43" s="19"/>
      <c r="AN43" s="105"/>
      <c r="AO43" s="105"/>
      <c r="AP43" s="19"/>
      <c r="AQ43" s="105"/>
      <c r="AR43" s="105"/>
      <c r="AS43" s="105"/>
      <c r="AT43" s="105"/>
      <c r="AU43" s="2"/>
      <c r="AV43" s="2"/>
      <c r="AW43" s="2"/>
      <c r="AX43" s="2"/>
      <c r="AY43" s="2"/>
      <c r="AZ43" s="2"/>
      <c r="BA43" s="2"/>
      <c r="BD43" s="2"/>
      <c r="BE43" s="172"/>
      <c r="BF43" s="554"/>
      <c r="BG43" s="555"/>
      <c r="BH43" s="555"/>
      <c r="BI43" s="556"/>
      <c r="BJ43" s="25"/>
      <c r="BK43" s="2"/>
    </row>
    <row r="44" spans="1:63" ht="18.75" customHeight="1" x14ac:dyDescent="0.25">
      <c r="A44" s="577" t="s">
        <v>172</v>
      </c>
      <c r="B44" s="542"/>
      <c r="C44" s="574"/>
      <c r="D44" s="578"/>
      <c r="E44" s="182">
        <v>10</v>
      </c>
      <c r="F44" s="182">
        <v>10</v>
      </c>
      <c r="G44" s="182">
        <v>10</v>
      </c>
      <c r="H44" s="182">
        <v>10</v>
      </c>
      <c r="I44" s="182">
        <v>10</v>
      </c>
      <c r="J44" s="579"/>
      <c r="K44" s="580"/>
      <c r="L44" s="2"/>
      <c r="M44" s="2"/>
      <c r="N44" s="105"/>
      <c r="O44" s="19"/>
      <c r="P44" s="19"/>
      <c r="Q44" s="565"/>
      <c r="R44" s="566"/>
      <c r="S44" s="179"/>
      <c r="T44" s="2"/>
      <c r="U44" s="2"/>
      <c r="V44" s="105"/>
      <c r="W44" s="604" t="s">
        <v>267</v>
      </c>
      <c r="X44" s="604"/>
      <c r="Y44" s="604"/>
      <c r="Z44" s="604"/>
      <c r="AA44" s="105"/>
      <c r="AB44" s="546" t="s">
        <v>171</v>
      </c>
      <c r="AC44" s="546"/>
      <c r="AD44" s="546"/>
      <c r="AE44" s="546"/>
      <c r="AF44" s="105"/>
      <c r="AG44" s="105"/>
      <c r="AH44" s="105"/>
      <c r="AI44" s="105"/>
      <c r="AJ44" s="105"/>
      <c r="AK44" s="2"/>
      <c r="AL44" s="105"/>
      <c r="AM44" s="105"/>
      <c r="AN44" s="550"/>
      <c r="AO44" s="550"/>
      <c r="AP44" s="550"/>
      <c r="AU44" s="19"/>
      <c r="AV44" s="546" t="s">
        <v>171</v>
      </c>
      <c r="AW44" s="546"/>
      <c r="AX44" s="546"/>
      <c r="AY44" s="2"/>
      <c r="AZ44" s="19"/>
      <c r="BA44" s="19"/>
      <c r="BD44" s="2"/>
      <c r="BE44" s="172"/>
      <c r="BF44" s="554"/>
      <c r="BG44" s="555"/>
      <c r="BH44" s="555"/>
      <c r="BI44" s="556"/>
      <c r="BJ44" s="25"/>
      <c r="BK44" s="2"/>
    </row>
    <row r="45" spans="1:63" ht="18.75" customHeight="1" thickBot="1" x14ac:dyDescent="0.3">
      <c r="A45" s="184"/>
      <c r="B45" s="45" t="s">
        <v>268</v>
      </c>
      <c r="C45" s="574"/>
      <c r="D45" s="578"/>
      <c r="E45" s="182">
        <v>10</v>
      </c>
      <c r="F45" s="182">
        <v>10</v>
      </c>
      <c r="G45" s="182">
        <v>10</v>
      </c>
      <c r="H45" s="182">
        <v>10</v>
      </c>
      <c r="I45" s="182">
        <v>10</v>
      </c>
      <c r="J45" s="579"/>
      <c r="K45" s="580"/>
      <c r="L45" s="2"/>
      <c r="M45" s="2"/>
      <c r="N45" s="105"/>
      <c r="O45" s="2"/>
      <c r="P45" s="65"/>
      <c r="Q45" s="567"/>
      <c r="R45" s="568"/>
      <c r="S45" s="179"/>
      <c r="T45" s="2"/>
      <c r="U45" s="2"/>
      <c r="V45" s="19"/>
      <c r="W45" s="111">
        <v>1</v>
      </c>
      <c r="X45" s="111">
        <v>2</v>
      </c>
      <c r="Y45" s="111">
        <v>3</v>
      </c>
      <c r="Z45" s="111">
        <v>4</v>
      </c>
      <c r="AA45" s="111"/>
      <c r="AB45" s="111">
        <v>1</v>
      </c>
      <c r="AC45" s="111">
        <v>2</v>
      </c>
      <c r="AD45" s="111">
        <v>3</v>
      </c>
      <c r="AE45" s="111">
        <v>4</v>
      </c>
      <c r="AF45" s="104"/>
      <c r="AG45" s="65"/>
      <c r="AH45" s="65"/>
      <c r="AI45" s="65"/>
      <c r="AJ45" s="65"/>
      <c r="AK45" s="19"/>
      <c r="AL45" s="19"/>
      <c r="AM45" s="19"/>
      <c r="AN45" s="19"/>
      <c r="AO45" s="19"/>
      <c r="AP45" s="19"/>
      <c r="AU45" s="19"/>
      <c r="AV45" s="111">
        <v>1</v>
      </c>
      <c r="AW45" s="111">
        <v>2</v>
      </c>
      <c r="AX45" s="111">
        <v>3</v>
      </c>
      <c r="AY45" s="2"/>
      <c r="AZ45" s="19"/>
      <c r="BA45" s="19"/>
      <c r="BB45" s="19"/>
      <c r="BC45" s="2"/>
      <c r="BD45" s="2"/>
      <c r="BE45" s="186"/>
      <c r="BF45" s="557"/>
      <c r="BG45" s="558"/>
      <c r="BH45" s="558"/>
      <c r="BI45" s="559"/>
      <c r="BJ45" s="25"/>
      <c r="BK45" s="2"/>
    </row>
    <row r="46" spans="1:63" ht="18.75" customHeight="1" thickBot="1" x14ac:dyDescent="0.3">
      <c r="A46" s="187">
        <v>5</v>
      </c>
      <c r="B46" s="46" t="s">
        <v>176</v>
      </c>
      <c r="C46" s="169">
        <v>1</v>
      </c>
      <c r="D46" s="41" t="s">
        <v>269</v>
      </c>
      <c r="E46" s="151" t="s">
        <v>236</v>
      </c>
      <c r="F46" s="151" t="s">
        <v>236</v>
      </c>
      <c r="G46" s="151" t="s">
        <v>236</v>
      </c>
      <c r="H46" s="151" t="s">
        <v>236</v>
      </c>
      <c r="I46" s="151" t="s">
        <v>236</v>
      </c>
      <c r="J46" s="105"/>
      <c r="K46" s="188"/>
      <c r="L46" s="2"/>
      <c r="M46" s="2"/>
      <c r="N46" s="105"/>
      <c r="O46" s="2"/>
      <c r="P46" s="65"/>
      <c r="Q46" s="189"/>
      <c r="R46" s="190"/>
      <c r="S46" s="179"/>
      <c r="T46" s="2"/>
      <c r="U46" s="2"/>
      <c r="V46" s="83" t="s">
        <v>271</v>
      </c>
      <c r="W46" s="151" t="s">
        <v>176</v>
      </c>
      <c r="X46" s="151" t="s">
        <v>176</v>
      </c>
      <c r="Y46" s="151" t="s">
        <v>176</v>
      </c>
      <c r="Z46" s="151" t="s">
        <v>176</v>
      </c>
      <c r="AA46" s="83" t="s">
        <v>272</v>
      </c>
      <c r="AB46" s="151" t="s">
        <v>176</v>
      </c>
      <c r="AC46" s="151" t="s">
        <v>176</v>
      </c>
      <c r="AD46" s="151" t="s">
        <v>176</v>
      </c>
      <c r="AE46" s="151" t="s">
        <v>176</v>
      </c>
      <c r="AF46" s="73" t="s">
        <v>273</v>
      </c>
      <c r="AG46" s="65"/>
      <c r="AH46" s="63"/>
      <c r="AI46" s="593"/>
      <c r="AJ46" s="593"/>
      <c r="AK46" s="593"/>
      <c r="AL46" s="19"/>
      <c r="AM46" s="19"/>
      <c r="AN46" s="19"/>
      <c r="AO46" s="19"/>
      <c r="AP46" s="19"/>
      <c r="AU46" s="83" t="s">
        <v>274</v>
      </c>
      <c r="AV46" s="121" t="s">
        <v>176</v>
      </c>
      <c r="AW46" s="121" t="s">
        <v>176</v>
      </c>
      <c r="AX46" s="121" t="s">
        <v>176</v>
      </c>
      <c r="AY46" s="73" t="s">
        <v>275</v>
      </c>
      <c r="AZ46" s="19"/>
      <c r="BA46" s="19"/>
      <c r="BB46" s="19"/>
      <c r="BC46" s="2"/>
      <c r="BD46" s="2"/>
      <c r="BE46" s="19"/>
      <c r="BF46" s="594" t="s">
        <v>276</v>
      </c>
      <c r="BG46" s="595"/>
      <c r="BH46" s="595"/>
      <c r="BI46" s="596"/>
      <c r="BJ46" s="25"/>
      <c r="BK46" s="2"/>
    </row>
    <row r="47" spans="1:63" ht="18.75" customHeight="1" thickBot="1" x14ac:dyDescent="0.3">
      <c r="A47" s="187">
        <v>5</v>
      </c>
      <c r="B47" s="46" t="s">
        <v>176</v>
      </c>
      <c r="C47" s="79">
        <v>2</v>
      </c>
      <c r="D47" s="186"/>
      <c r="E47" s="37">
        <v>10</v>
      </c>
      <c r="F47" s="37">
        <v>9</v>
      </c>
      <c r="G47" s="37">
        <v>8</v>
      </c>
      <c r="H47" s="37">
        <v>7</v>
      </c>
      <c r="I47" s="37">
        <v>6</v>
      </c>
      <c r="J47" s="2"/>
      <c r="K47" s="2"/>
      <c r="L47" s="19"/>
      <c r="M47" s="2"/>
      <c r="N47" s="2"/>
      <c r="O47" s="63"/>
      <c r="P47" s="191"/>
      <c r="Q47" s="510"/>
      <c r="R47" s="19"/>
      <c r="S47" s="179"/>
      <c r="T47" s="2"/>
      <c r="U47" s="2"/>
      <c r="V47" s="193"/>
      <c r="W47" s="194">
        <v>5</v>
      </c>
      <c r="X47" s="194">
        <v>5</v>
      </c>
      <c r="Y47" s="194">
        <v>5</v>
      </c>
      <c r="Z47" s="194">
        <v>5</v>
      </c>
      <c r="AA47" s="195"/>
      <c r="AB47" s="182">
        <v>5</v>
      </c>
      <c r="AC47" s="182">
        <v>5</v>
      </c>
      <c r="AD47" s="182">
        <v>5</v>
      </c>
      <c r="AE47" s="182">
        <v>5</v>
      </c>
      <c r="AF47" s="195"/>
      <c r="AG47" s="19"/>
      <c r="AH47" s="19"/>
      <c r="AI47" s="500"/>
      <c r="AJ47" s="500"/>
      <c r="AK47" s="500"/>
      <c r="AL47" s="19"/>
      <c r="AM47" s="19"/>
      <c r="AN47" s="500"/>
      <c r="AO47" s="19"/>
      <c r="AP47" s="19"/>
      <c r="AU47" s="72"/>
      <c r="AV47" s="196">
        <v>5</v>
      </c>
      <c r="AW47" s="196">
        <v>5</v>
      </c>
      <c r="AX47" s="196">
        <v>5</v>
      </c>
      <c r="AY47" s="72"/>
      <c r="AZ47" s="19"/>
      <c r="BA47" s="19"/>
      <c r="BB47" s="19"/>
      <c r="BC47" s="2"/>
      <c r="BD47" s="2"/>
      <c r="BE47" s="186"/>
      <c r="BF47" s="597"/>
      <c r="BG47" s="598"/>
      <c r="BH47" s="598"/>
      <c r="BI47" s="599"/>
      <c r="BJ47" s="25"/>
      <c r="BK47" s="2"/>
    </row>
    <row r="48" spans="1:63" ht="18.75" customHeight="1" x14ac:dyDescent="0.25">
      <c r="A48" s="187">
        <v>5</v>
      </c>
      <c r="B48" s="46" t="s">
        <v>176</v>
      </c>
      <c r="C48" s="79">
        <v>3</v>
      </c>
      <c r="D48" s="180"/>
      <c r="E48" s="539" t="s">
        <v>198</v>
      </c>
      <c r="F48" s="539"/>
      <c r="G48" s="539"/>
      <c r="H48" s="539"/>
      <c r="I48" s="153"/>
      <c r="J48" s="153"/>
      <c r="K48" s="2"/>
      <c r="L48" s="19"/>
      <c r="P48" s="511"/>
      <c r="Q48" s="198"/>
      <c r="R48" s="19"/>
      <c r="S48" s="179"/>
      <c r="T48" s="2"/>
      <c r="U48" s="2"/>
      <c r="V48" s="193"/>
      <c r="W48" s="194">
        <v>5</v>
      </c>
      <c r="X48" s="194">
        <v>5</v>
      </c>
      <c r="Y48" s="194">
        <v>5</v>
      </c>
      <c r="Z48" s="194">
        <v>5</v>
      </c>
      <c r="AA48" s="195"/>
      <c r="AB48" s="182">
        <v>5</v>
      </c>
      <c r="AC48" s="182">
        <v>5</v>
      </c>
      <c r="AD48" s="159">
        <v>5</v>
      </c>
      <c r="AE48" s="159">
        <v>5</v>
      </c>
      <c r="AF48" s="195"/>
      <c r="AG48" s="19"/>
      <c r="AH48" s="19"/>
      <c r="AI48" s="500"/>
      <c r="AJ48" s="500"/>
      <c r="AK48" s="500"/>
      <c r="AL48" s="19"/>
      <c r="AM48" s="500"/>
      <c r="AN48" s="41"/>
      <c r="AO48" s="500"/>
      <c r="AP48" s="19"/>
      <c r="AU48" s="72"/>
      <c r="AV48" s="196">
        <v>5</v>
      </c>
      <c r="AW48" s="196">
        <v>5</v>
      </c>
      <c r="AX48" s="196">
        <v>5</v>
      </c>
      <c r="AY48" s="72"/>
      <c r="AZ48" s="19"/>
      <c r="BA48" s="19"/>
      <c r="BB48" s="603"/>
      <c r="BC48" s="603"/>
      <c r="BD48" s="2"/>
      <c r="BE48" s="186"/>
      <c r="BF48" s="597"/>
      <c r="BG48" s="598"/>
      <c r="BH48" s="598"/>
      <c r="BI48" s="599"/>
      <c r="BJ48" s="25"/>
      <c r="BK48" s="2"/>
    </row>
    <row r="49" spans="1:63" ht="18.75" customHeight="1" x14ac:dyDescent="0.25">
      <c r="A49" s="187">
        <v>5</v>
      </c>
      <c r="B49" s="51" t="s">
        <v>176</v>
      </c>
      <c r="C49" s="79">
        <v>4</v>
      </c>
      <c r="D49" s="199"/>
      <c r="E49" s="37">
        <v>1</v>
      </c>
      <c r="F49" s="37">
        <v>2</v>
      </c>
      <c r="G49" s="37">
        <v>3</v>
      </c>
      <c r="H49" s="37">
        <v>4</v>
      </c>
      <c r="I49" s="93"/>
      <c r="J49" s="153"/>
      <c r="K49" s="2"/>
      <c r="L49" s="19"/>
      <c r="P49" s="512"/>
      <c r="Q49" s="19"/>
      <c r="R49" s="179"/>
      <c r="S49" s="179"/>
      <c r="U49" s="2"/>
      <c r="V49" s="73" t="s">
        <v>278</v>
      </c>
      <c r="W49" s="151" t="s">
        <v>176</v>
      </c>
      <c r="X49" s="151" t="s">
        <v>176</v>
      </c>
      <c r="Y49" s="151" t="s">
        <v>176</v>
      </c>
      <c r="Z49" s="151" t="s">
        <v>176</v>
      </c>
      <c r="AA49" s="41" t="s">
        <v>279</v>
      </c>
      <c r="AB49" s="151" t="s">
        <v>176</v>
      </c>
      <c r="AC49" s="151" t="s">
        <v>176</v>
      </c>
      <c r="AD49" s="151" t="s">
        <v>176</v>
      </c>
      <c r="AE49" s="151" t="s">
        <v>176</v>
      </c>
      <c r="AF49" s="41" t="s">
        <v>280</v>
      </c>
      <c r="AG49" s="63"/>
      <c r="AH49" s="63"/>
      <c r="AI49" s="41"/>
      <c r="AJ49" s="19"/>
      <c r="AK49" s="19"/>
      <c r="AL49" s="19"/>
      <c r="AM49" s="19"/>
      <c r="AN49" s="500"/>
      <c r="AO49" s="19"/>
      <c r="AP49" s="19"/>
      <c r="AU49" s="41" t="s">
        <v>282</v>
      </c>
      <c r="AV49" s="121" t="s">
        <v>176</v>
      </c>
      <c r="AW49" s="121" t="s">
        <v>176</v>
      </c>
      <c r="AX49" s="121" t="s">
        <v>176</v>
      </c>
      <c r="AY49" s="19"/>
      <c r="AZ49" s="19"/>
      <c r="BA49" s="19"/>
      <c r="BB49" s="111"/>
      <c r="BC49" s="111"/>
      <c r="BD49" s="201"/>
      <c r="BE49" s="202"/>
      <c r="BF49" s="597"/>
      <c r="BG49" s="598"/>
      <c r="BH49" s="598"/>
      <c r="BI49" s="599"/>
      <c r="BJ49" s="25"/>
      <c r="BK49" s="2"/>
    </row>
    <row r="50" spans="1:63" ht="18.75" customHeight="1" x14ac:dyDescent="0.25">
      <c r="A50" s="184"/>
      <c r="B50" s="203" t="s">
        <v>283</v>
      </c>
      <c r="C50" s="181"/>
      <c r="D50" s="45" t="s">
        <v>284</v>
      </c>
      <c r="E50" s="204" t="s">
        <v>176</v>
      </c>
      <c r="F50" s="204" t="s">
        <v>176</v>
      </c>
      <c r="G50" s="204" t="s">
        <v>176</v>
      </c>
      <c r="H50" s="204" t="s">
        <v>176</v>
      </c>
      <c r="I50" s="73" t="s">
        <v>285</v>
      </c>
      <c r="J50" s="153"/>
      <c r="K50" s="2"/>
      <c r="L50" s="19"/>
      <c r="P50" s="512"/>
      <c r="Q50" s="179"/>
      <c r="R50" s="179"/>
      <c r="S50" s="65"/>
      <c r="T50" s="2"/>
      <c r="U50" s="2"/>
      <c r="V50" s="2"/>
      <c r="W50" s="111">
        <v>8</v>
      </c>
      <c r="X50" s="111">
        <v>7</v>
      </c>
      <c r="Y50" s="111">
        <v>6</v>
      </c>
      <c r="Z50" s="111">
        <v>5</v>
      </c>
      <c r="AA50" s="111"/>
      <c r="AB50" s="111">
        <v>8</v>
      </c>
      <c r="AC50" s="111">
        <v>7</v>
      </c>
      <c r="AD50" s="111">
        <v>6</v>
      </c>
      <c r="AE50" s="111">
        <v>5</v>
      </c>
      <c r="AF50" s="2"/>
      <c r="AG50" s="63"/>
      <c r="AH50" s="63"/>
      <c r="AI50" s="205"/>
      <c r="AJ50" s="63"/>
      <c r="AK50" s="63"/>
      <c r="AL50" s="19"/>
      <c r="AM50" s="19"/>
      <c r="AN50" s="19"/>
      <c r="AO50" s="19"/>
      <c r="AP50" s="19"/>
      <c r="AU50" s="2"/>
      <c r="AV50" s="111">
        <v>6</v>
      </c>
      <c r="AW50" s="111">
        <v>5</v>
      </c>
      <c r="AX50" s="111">
        <v>4</v>
      </c>
      <c r="AY50" s="206"/>
      <c r="AZ50" s="19"/>
      <c r="BA50" s="19"/>
      <c r="BC50" s="207"/>
      <c r="BD50" s="63"/>
      <c r="BE50" s="206"/>
      <c r="BF50" s="597"/>
      <c r="BG50" s="598"/>
      <c r="BH50" s="598"/>
      <c r="BI50" s="599"/>
      <c r="BJ50" s="25"/>
      <c r="BK50" s="2"/>
    </row>
    <row r="51" spans="1:63" ht="18.75" customHeight="1" x14ac:dyDescent="0.25">
      <c r="A51" s="208"/>
      <c r="B51" s="26"/>
      <c r="C51" s="181"/>
      <c r="D51" s="209"/>
      <c r="E51" s="210">
        <v>5</v>
      </c>
      <c r="F51" s="210">
        <v>5</v>
      </c>
      <c r="G51" s="210">
        <v>5</v>
      </c>
      <c r="H51" s="210">
        <v>5</v>
      </c>
      <c r="I51" s="209"/>
      <c r="J51" s="63"/>
      <c r="K51" s="2"/>
      <c r="L51" s="2"/>
      <c r="P51" s="211"/>
      <c r="Q51" s="179"/>
      <c r="R51" s="179"/>
      <c r="S51" s="65"/>
      <c r="T51" s="2"/>
      <c r="U51" s="2"/>
      <c r="V51" s="2"/>
      <c r="Z51" s="99"/>
      <c r="AA51" s="19"/>
      <c r="AB51" s="546" t="s">
        <v>172</v>
      </c>
      <c r="AC51" s="546"/>
      <c r="AD51" s="546"/>
      <c r="AE51" s="546"/>
      <c r="AF51" s="2"/>
      <c r="AG51" s="63"/>
      <c r="AH51" s="63"/>
      <c r="AI51" s="212"/>
      <c r="AJ51" s="212"/>
      <c r="AK51" s="212"/>
      <c r="AL51" s="19"/>
      <c r="AM51" s="19"/>
      <c r="AN51" s="19"/>
      <c r="AO51" s="63"/>
      <c r="AP51" s="212"/>
      <c r="AQ51" s="212"/>
      <c r="AR51" s="212"/>
      <c r="AS51" s="19"/>
      <c r="AT51" s="19"/>
      <c r="AU51" s="19"/>
      <c r="AV51" s="19"/>
      <c r="AW51" s="19"/>
      <c r="AX51" s="2"/>
      <c r="AY51" s="2"/>
      <c r="AZ51" s="2"/>
      <c r="BA51" s="2"/>
      <c r="BD51" s="201"/>
      <c r="BE51" s="213"/>
      <c r="BF51" s="597"/>
      <c r="BG51" s="598"/>
      <c r="BH51" s="598"/>
      <c r="BI51" s="599"/>
      <c r="BJ51" s="25"/>
      <c r="BK51" s="2"/>
    </row>
    <row r="52" spans="1:63" ht="18.75" customHeight="1" thickBot="1" x14ac:dyDescent="0.3">
      <c r="A52" s="26"/>
      <c r="B52" s="19"/>
      <c r="C52" s="19"/>
      <c r="D52" s="209"/>
      <c r="E52" s="210">
        <v>5</v>
      </c>
      <c r="F52" s="210">
        <v>5</v>
      </c>
      <c r="G52" s="210">
        <v>5</v>
      </c>
      <c r="H52" s="210">
        <v>5</v>
      </c>
      <c r="I52" s="209"/>
      <c r="J52" s="63"/>
      <c r="K52" s="2"/>
      <c r="L52" s="2"/>
      <c r="P52" s="211"/>
      <c r="Q52" s="179"/>
      <c r="R52" s="179"/>
      <c r="S52" s="65"/>
      <c r="T52" s="2"/>
      <c r="U52" s="2"/>
      <c r="W52" s="120"/>
      <c r="X52" s="1"/>
      <c r="Y52" s="1"/>
      <c r="AA52" s="83" t="s">
        <v>287</v>
      </c>
      <c r="AB52" s="51" t="s">
        <v>176</v>
      </c>
      <c r="AC52" s="51" t="s">
        <v>176</v>
      </c>
      <c r="AD52" s="51" t="s">
        <v>176</v>
      </c>
      <c r="AE52" s="51" t="s">
        <v>176</v>
      </c>
      <c r="AF52" s="2"/>
      <c r="AG52" s="214"/>
      <c r="AH52" s="215"/>
      <c r="AI52" s="39"/>
      <c r="AJ52" s="39"/>
      <c r="AK52" s="39"/>
      <c r="AL52" s="216"/>
      <c r="AM52" s="19"/>
      <c r="AN52" s="19"/>
      <c r="AO52" s="217"/>
      <c r="AP52" s="39"/>
      <c r="AQ52" s="39"/>
      <c r="AR52" s="39"/>
      <c r="AS52" s="218"/>
      <c r="AT52" s="19"/>
      <c r="AU52" s="19"/>
      <c r="AV52" s="19"/>
      <c r="AW52" s="19"/>
      <c r="AX52" s="2"/>
      <c r="AY52" s="2"/>
      <c r="AZ52" s="2"/>
      <c r="BA52" s="2"/>
      <c r="BD52" s="63"/>
      <c r="BE52" s="156"/>
      <c r="BF52" s="597"/>
      <c r="BG52" s="598"/>
      <c r="BH52" s="598"/>
      <c r="BI52" s="599"/>
      <c r="BJ52" s="25"/>
      <c r="BK52" s="2"/>
    </row>
    <row r="53" spans="1:63" ht="18.75" customHeight="1" x14ac:dyDescent="0.25">
      <c r="A53" s="542" t="s">
        <v>198</v>
      </c>
      <c r="B53" s="542"/>
      <c r="C53" s="2"/>
      <c r="D53" s="41" t="s">
        <v>289</v>
      </c>
      <c r="E53" s="204" t="s">
        <v>176</v>
      </c>
      <c r="F53" s="204" t="s">
        <v>176</v>
      </c>
      <c r="G53" s="204" t="s">
        <v>176</v>
      </c>
      <c r="H53" s="204" t="s">
        <v>176</v>
      </c>
      <c r="I53" s="219"/>
      <c r="J53" s="63"/>
      <c r="K53" s="2"/>
      <c r="L53" s="2"/>
      <c r="O53" s="41"/>
      <c r="P53" s="211"/>
      <c r="Q53" s="179"/>
      <c r="R53" s="179"/>
      <c r="S53" s="65"/>
      <c r="T53" s="2"/>
      <c r="U53" s="2"/>
      <c r="W53" s="525"/>
      <c r="X53" s="525"/>
      <c r="Y53" s="525"/>
      <c r="AA53" s="184"/>
      <c r="AB53" s="52">
        <v>5</v>
      </c>
      <c r="AC53" s="52">
        <v>5</v>
      </c>
      <c r="AD53" s="52">
        <v>5</v>
      </c>
      <c r="AE53" s="52">
        <v>5</v>
      </c>
      <c r="AF53" s="184"/>
      <c r="AG53" s="221"/>
      <c r="AH53" s="615" t="s">
        <v>292</v>
      </c>
      <c r="AI53" s="222"/>
      <c r="AJ53" s="222"/>
      <c r="AK53" s="222"/>
      <c r="AL53" s="223"/>
      <c r="AM53" s="221"/>
      <c r="AN53" s="221"/>
      <c r="AO53" s="223"/>
      <c r="AP53" s="222"/>
      <c r="AQ53" s="222"/>
      <c r="AR53" s="222"/>
      <c r="AS53" s="223"/>
      <c r="AT53" s="221"/>
      <c r="AU53" s="19"/>
      <c r="AV53" s="527"/>
      <c r="AW53" s="527"/>
      <c r="AX53" s="527"/>
      <c r="AY53" s="2"/>
      <c r="AZ53" s="2"/>
      <c r="BA53" s="2"/>
      <c r="BB53" s="207"/>
      <c r="BC53" s="207"/>
      <c r="BD53" s="19"/>
      <c r="BE53" s="63"/>
      <c r="BF53" s="597"/>
      <c r="BG53" s="598"/>
      <c r="BH53" s="598"/>
      <c r="BI53" s="599"/>
      <c r="BJ53" s="25"/>
      <c r="BK53" s="2"/>
    </row>
    <row r="54" spans="1:63" ht="18.75" customHeight="1" thickBot="1" x14ac:dyDescent="0.3">
      <c r="A54" s="225"/>
      <c r="B54" s="45" t="s">
        <v>293</v>
      </c>
      <c r="C54" s="2"/>
      <c r="D54" s="226"/>
      <c r="E54" s="37">
        <v>8</v>
      </c>
      <c r="F54" s="37">
        <v>7</v>
      </c>
      <c r="G54" s="37">
        <v>6</v>
      </c>
      <c r="H54" s="37">
        <v>5</v>
      </c>
      <c r="I54" s="19"/>
      <c r="J54" s="63"/>
      <c r="K54" s="2"/>
      <c r="L54" s="2"/>
      <c r="M54" s="2"/>
      <c r="N54" s="2"/>
      <c r="O54" s="508"/>
      <c r="P54" s="211"/>
      <c r="Q54" s="179"/>
      <c r="R54" s="179"/>
      <c r="S54" s="65"/>
      <c r="U54" s="2"/>
      <c r="W54" s="525"/>
      <c r="X54" s="525"/>
      <c r="Y54" s="525"/>
      <c r="AA54" s="184"/>
      <c r="AB54" s="228">
        <v>5</v>
      </c>
      <c r="AC54" s="228">
        <v>5</v>
      </c>
      <c r="AD54" s="228">
        <v>5</v>
      </c>
      <c r="AE54" s="228">
        <v>5</v>
      </c>
      <c r="AF54" s="184"/>
      <c r="AG54" s="221"/>
      <c r="AH54" s="616"/>
      <c r="AI54" s="222"/>
      <c r="AJ54" s="222"/>
      <c r="AK54" s="222"/>
      <c r="AL54" s="223"/>
      <c r="AM54" s="221"/>
      <c r="AN54" s="221"/>
      <c r="AO54" s="223"/>
      <c r="AP54" s="222"/>
      <c r="AQ54" s="222"/>
      <c r="AR54" s="222"/>
      <c r="AS54" s="223"/>
      <c r="AT54" s="221"/>
      <c r="AU54" s="19"/>
      <c r="AV54" s="527"/>
      <c r="AW54" s="527"/>
      <c r="AX54" s="527"/>
      <c r="AY54" s="2"/>
      <c r="AZ54" s="2"/>
      <c r="BA54" s="2"/>
      <c r="BB54" s="111"/>
      <c r="BC54" s="111"/>
      <c r="BD54" s="19"/>
      <c r="BE54" s="19"/>
      <c r="BF54" s="597"/>
      <c r="BG54" s="598"/>
      <c r="BH54" s="598"/>
      <c r="BI54" s="599"/>
      <c r="BJ54" s="25"/>
      <c r="BK54" s="2"/>
    </row>
    <row r="55" spans="1:63" ht="18.75" customHeight="1" x14ac:dyDescent="0.25">
      <c r="A55" s="210">
        <v>5</v>
      </c>
      <c r="B55" s="204" t="s">
        <v>176</v>
      </c>
      <c r="C55" s="169">
        <v>1</v>
      </c>
      <c r="D55" s="229"/>
      <c r="E55" s="524"/>
      <c r="F55" s="524"/>
      <c r="G55" s="524"/>
      <c r="H55" s="524"/>
      <c r="I55" s="19"/>
      <c r="J55" s="63"/>
      <c r="K55" s="2"/>
      <c r="L55" s="2"/>
      <c r="M55" s="2"/>
      <c r="N55" s="19"/>
      <c r="O55" s="508"/>
      <c r="P55" s="230"/>
      <c r="Q55" s="179"/>
      <c r="R55" s="179"/>
      <c r="S55" s="65"/>
      <c r="U55" s="2"/>
      <c r="W55" s="617"/>
      <c r="X55" s="617"/>
      <c r="Y55" s="617"/>
      <c r="AA55" s="41" t="s">
        <v>297</v>
      </c>
      <c r="AB55" s="51" t="s">
        <v>176</v>
      </c>
      <c r="AC55" s="51" t="s">
        <v>176</v>
      </c>
      <c r="AD55" s="51" t="s">
        <v>176</v>
      </c>
      <c r="AE55" s="51" t="s">
        <v>176</v>
      </c>
      <c r="AF55" s="2"/>
      <c r="AG55" s="63"/>
      <c r="AH55" s="221"/>
      <c r="AI55" s="39"/>
      <c r="AJ55" s="39"/>
      <c r="AK55" s="39"/>
      <c r="AL55" s="221"/>
      <c r="AM55" s="19"/>
      <c r="AN55" s="19"/>
      <c r="AO55" s="221"/>
      <c r="AP55" s="39"/>
      <c r="AQ55" s="39"/>
      <c r="AR55" s="39"/>
      <c r="AS55" s="221"/>
      <c r="AT55" s="65"/>
      <c r="AU55" s="19"/>
      <c r="AV55" s="41"/>
      <c r="AW55" s="19"/>
      <c r="AX55" s="2"/>
      <c r="AY55" s="2"/>
      <c r="AZ55" s="2"/>
      <c r="BA55" s="2"/>
      <c r="BB55" s="231"/>
      <c r="BC55" s="186"/>
      <c r="BD55" s="2"/>
      <c r="BE55" s="2"/>
      <c r="BF55" s="597"/>
      <c r="BG55" s="598"/>
      <c r="BH55" s="598"/>
      <c r="BI55" s="599"/>
      <c r="BJ55" s="25"/>
      <c r="BK55" s="2"/>
    </row>
    <row r="56" spans="1:63" ht="18.75" customHeight="1" thickBot="1" x14ac:dyDescent="0.3">
      <c r="A56" s="210">
        <v>5</v>
      </c>
      <c r="B56" s="204" t="s">
        <v>176</v>
      </c>
      <c r="C56" s="79">
        <v>2</v>
      </c>
      <c r="D56" s="41"/>
      <c r="E56" s="524"/>
      <c r="F56" s="524"/>
      <c r="G56" s="524"/>
      <c r="H56" s="524"/>
      <c r="I56" s="2"/>
      <c r="J56" s="2"/>
      <c r="K56" s="2"/>
      <c r="L56" s="2"/>
      <c r="M56" s="2"/>
      <c r="N56" s="19"/>
      <c r="O56" s="513"/>
      <c r="P56" s="507"/>
      <c r="Q56" s="179"/>
      <c r="R56" s="179"/>
      <c r="S56" s="65"/>
      <c r="U56" s="2"/>
      <c r="V56" s="91"/>
      <c r="W56" s="91"/>
      <c r="X56" s="91"/>
      <c r="Y56" s="91"/>
      <c r="Z56" s="19"/>
      <c r="AA56" s="19"/>
      <c r="AB56" s="111">
        <v>8</v>
      </c>
      <c r="AC56" s="111">
        <v>7</v>
      </c>
      <c r="AD56" s="111">
        <v>6</v>
      </c>
      <c r="AE56" s="111">
        <v>5</v>
      </c>
      <c r="AF56" s="19"/>
      <c r="AG56" s="19"/>
      <c r="AH56" s="41"/>
      <c r="AI56" s="212"/>
      <c r="AJ56" s="212"/>
      <c r="AK56" s="212"/>
      <c r="AL56" s="63"/>
      <c r="AM56" s="19"/>
      <c r="AN56" s="19"/>
      <c r="AO56" s="41"/>
      <c r="AP56" s="212"/>
      <c r="AQ56" s="212"/>
      <c r="AR56" s="212"/>
      <c r="AS56" s="19"/>
      <c r="AT56" s="63"/>
      <c r="AU56" s="19"/>
      <c r="AV56" s="19"/>
      <c r="AW56" s="19"/>
      <c r="AX56" s="2"/>
      <c r="AY56" s="2"/>
      <c r="AZ56" s="2"/>
      <c r="BA56" s="2"/>
      <c r="BB56" s="231"/>
      <c r="BC56" s="186"/>
      <c r="BD56" s="2"/>
      <c r="BE56" s="2"/>
      <c r="BF56" s="600"/>
      <c r="BG56" s="601"/>
      <c r="BH56" s="601"/>
      <c r="BI56" s="602"/>
      <c r="BJ56" s="25"/>
      <c r="BK56" s="2"/>
    </row>
    <row r="57" spans="1:63" ht="18.75" customHeight="1" thickBot="1" x14ac:dyDescent="0.3">
      <c r="A57" s="210">
        <v>5</v>
      </c>
      <c r="B57" s="204" t="s">
        <v>176</v>
      </c>
      <c r="C57" s="79">
        <v>3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513"/>
      <c r="P57" s="507"/>
      <c r="Q57" s="130"/>
      <c r="R57" s="65"/>
      <c r="S57" s="65"/>
      <c r="U57" s="2"/>
      <c r="V57" s="1"/>
      <c r="W57" s="1"/>
      <c r="X57" s="1"/>
      <c r="Y57" s="1"/>
      <c r="Z57" s="63"/>
      <c r="AA57" s="63"/>
      <c r="AB57" s="19"/>
      <c r="AC57" s="111">
        <v>1</v>
      </c>
      <c r="AD57" s="111">
        <v>2</v>
      </c>
      <c r="AE57" s="111">
        <v>3</v>
      </c>
      <c r="AF57" s="19"/>
      <c r="AG57" s="19"/>
      <c r="AH57" s="19"/>
      <c r="AI57" s="234"/>
      <c r="AJ57" s="234"/>
      <c r="AK57" s="234"/>
      <c r="AL57" s="2"/>
      <c r="AM57" s="2"/>
      <c r="AN57" s="19"/>
      <c r="AP57" s="19"/>
      <c r="AQ57" s="19"/>
      <c r="AR57" s="19"/>
      <c r="AS57" s="19"/>
      <c r="AT57" s="19"/>
      <c r="AU57" s="19"/>
      <c r="AV57" s="19"/>
      <c r="AW57" s="63"/>
      <c r="AX57" s="98"/>
      <c r="AY57" s="2"/>
      <c r="AZ57" s="186"/>
      <c r="BA57" s="186"/>
      <c r="BB57" s="186"/>
      <c r="BC57" s="186"/>
      <c r="BD57" s="2"/>
      <c r="BE57" s="2"/>
      <c r="BF57" s="2"/>
      <c r="BG57" s="2"/>
      <c r="BH57" s="2"/>
      <c r="BI57" s="581" t="s">
        <v>231</v>
      </c>
      <c r="BJ57" s="25"/>
      <c r="BK57" s="2"/>
    </row>
    <row r="58" spans="1:63" ht="18.75" customHeight="1" x14ac:dyDescent="0.25">
      <c r="A58" s="210">
        <v>5</v>
      </c>
      <c r="B58" s="204" t="s">
        <v>176</v>
      </c>
      <c r="C58" s="79">
        <v>4</v>
      </c>
      <c r="D58" s="19"/>
      <c r="E58" s="502"/>
      <c r="F58" s="502"/>
      <c r="G58" s="502"/>
      <c r="H58" s="19"/>
      <c r="I58" s="19"/>
      <c r="J58" s="19"/>
      <c r="K58" s="19"/>
      <c r="L58" s="19"/>
      <c r="M58" s="19"/>
      <c r="N58" s="19"/>
      <c r="O58" s="513"/>
      <c r="P58" s="507"/>
      <c r="Q58" s="130"/>
      <c r="R58" s="65"/>
      <c r="S58" s="65"/>
      <c r="T58" s="2"/>
      <c r="U58" s="2"/>
      <c r="W58" s="526"/>
      <c r="X58" s="526"/>
      <c r="Y58" s="526"/>
      <c r="Z58" s="526"/>
      <c r="AA58" s="19"/>
      <c r="AB58" s="83" t="s">
        <v>303</v>
      </c>
      <c r="AC58" s="77" t="s">
        <v>176</v>
      </c>
      <c r="AD58" s="77" t="s">
        <v>176</v>
      </c>
      <c r="AE58" s="77" t="s">
        <v>176</v>
      </c>
      <c r="AF58" s="73" t="s">
        <v>199</v>
      </c>
      <c r="AG58" s="19"/>
      <c r="AH58" s="19"/>
      <c r="AI58" s="63"/>
      <c r="AJ58" s="63"/>
      <c r="AK58" s="19"/>
      <c r="AL58" s="19"/>
      <c r="AM58" s="19"/>
      <c r="AN58" s="234"/>
      <c r="AO58" s="19"/>
      <c r="AP58" s="19"/>
      <c r="AQ58" s="19"/>
      <c r="AR58" s="19"/>
      <c r="AS58" s="19"/>
      <c r="AT58" s="19"/>
      <c r="AU58" s="19"/>
      <c r="AV58" s="2"/>
      <c r="AW58" s="2"/>
      <c r="AX58" s="583" t="s">
        <v>304</v>
      </c>
      <c r="AY58" s="584"/>
      <c r="AZ58" s="584"/>
      <c r="BA58" s="584"/>
      <c r="BB58" s="584"/>
      <c r="BC58" s="585"/>
      <c r="BD58" s="2"/>
      <c r="BE58" s="2"/>
      <c r="BF58" s="2"/>
      <c r="BG58" s="2"/>
      <c r="BH58" s="2"/>
      <c r="BI58" s="581"/>
      <c r="BJ58" s="25"/>
      <c r="BK58" s="2"/>
    </row>
    <row r="59" spans="1:63" ht="18.75" customHeight="1" thickBot="1" x14ac:dyDescent="0.3">
      <c r="A59" s="208" t="s">
        <v>305</v>
      </c>
      <c r="B59" s="41" t="s">
        <v>306</v>
      </c>
      <c r="C59" s="19"/>
      <c r="D59" s="41"/>
      <c r="E59" s="502"/>
      <c r="F59" s="502"/>
      <c r="G59" s="502"/>
      <c r="H59" s="19"/>
      <c r="I59" s="19"/>
      <c r="J59" s="19"/>
      <c r="K59" s="19"/>
      <c r="L59" s="19"/>
      <c r="M59" s="19"/>
      <c r="N59" s="19"/>
      <c r="O59" s="513"/>
      <c r="P59" s="507"/>
      <c r="Q59" s="130"/>
      <c r="R59" s="65"/>
      <c r="S59" s="65"/>
      <c r="T59" s="2"/>
      <c r="U59" s="2"/>
      <c r="W59" s="526"/>
      <c r="X59" s="526"/>
      <c r="Y59" s="526"/>
      <c r="Z59" s="526"/>
      <c r="AA59" s="19"/>
      <c r="AB59" s="121"/>
      <c r="AC59" s="78">
        <v>5</v>
      </c>
      <c r="AD59" s="78">
        <v>5</v>
      </c>
      <c r="AE59" s="78">
        <v>5</v>
      </c>
      <c r="AF59" s="121"/>
      <c r="AG59" s="19"/>
      <c r="AH59" s="19"/>
      <c r="AI59" s="19"/>
      <c r="AJ59" s="19"/>
      <c r="AK59" s="19"/>
      <c r="AL59" s="19"/>
      <c r="AM59" s="19"/>
      <c r="AN59" s="19"/>
      <c r="AO59" s="236"/>
      <c r="AP59" s="237"/>
      <c r="AQ59" s="237"/>
      <c r="AR59" s="237"/>
      <c r="AS59" s="238"/>
      <c r="AT59" s="19"/>
      <c r="AU59" s="19"/>
      <c r="AV59" s="2"/>
      <c r="AW59" s="2"/>
      <c r="AX59" s="586"/>
      <c r="AY59" s="587"/>
      <c r="AZ59" s="587"/>
      <c r="BA59" s="587"/>
      <c r="BB59" s="587"/>
      <c r="BC59" s="588"/>
      <c r="BD59" s="125"/>
      <c r="BE59" s="126"/>
      <c r="BF59" s="126"/>
      <c r="BG59" s="126"/>
      <c r="BH59" s="127"/>
      <c r="BI59" s="582"/>
      <c r="BJ59" s="25"/>
      <c r="BK59" s="2"/>
    </row>
    <row r="60" spans="1:63" ht="18.75" customHeight="1" x14ac:dyDescent="0.25">
      <c r="A60" s="503"/>
      <c r="B60" s="41"/>
      <c r="C60" s="19"/>
      <c r="D60" s="2"/>
      <c r="E60" s="592" t="s">
        <v>198</v>
      </c>
      <c r="F60" s="592"/>
      <c r="G60" s="592"/>
      <c r="H60" s="592"/>
      <c r="I60" s="2"/>
      <c r="J60" s="2"/>
      <c r="K60" s="2"/>
      <c r="L60" s="2"/>
      <c r="M60" s="2"/>
      <c r="N60" s="19"/>
      <c r="O60" s="513"/>
      <c r="P60" s="507"/>
      <c r="Q60" s="130"/>
      <c r="R60" s="65"/>
      <c r="S60" s="65"/>
      <c r="T60" s="2"/>
      <c r="U60" s="2"/>
      <c r="W60" s="120"/>
      <c r="X60" s="91"/>
      <c r="Y60" s="91"/>
      <c r="Z60" s="91"/>
      <c r="AA60" s="19"/>
      <c r="AB60" s="121"/>
      <c r="AC60" s="78">
        <v>5</v>
      </c>
      <c r="AD60" s="78">
        <v>5</v>
      </c>
      <c r="AE60" s="78">
        <v>5</v>
      </c>
      <c r="AF60" s="121"/>
      <c r="AG60" s="2"/>
      <c r="AH60" s="19"/>
      <c r="AI60" s="19"/>
      <c r="AJ60" s="19"/>
      <c r="AK60" s="19"/>
      <c r="AL60" s="19"/>
      <c r="AM60" s="19"/>
      <c r="AN60" s="19"/>
      <c r="AO60" s="215"/>
      <c r="AP60" s="239"/>
      <c r="AQ60" s="239"/>
      <c r="AR60" s="239"/>
      <c r="AS60" s="218"/>
      <c r="AT60" s="19"/>
      <c r="AU60" s="19"/>
      <c r="AV60" s="2"/>
      <c r="AW60" s="2"/>
      <c r="AX60" s="586"/>
      <c r="AY60" s="587"/>
      <c r="AZ60" s="587"/>
      <c r="BA60" s="587"/>
      <c r="BB60" s="587"/>
      <c r="BC60" s="588"/>
      <c r="BD60" s="2"/>
      <c r="BE60" s="2"/>
      <c r="BF60" s="2"/>
      <c r="BG60" s="2"/>
      <c r="BH60" s="2"/>
      <c r="BI60" s="2"/>
      <c r="BJ60" s="25"/>
      <c r="BK60" s="2"/>
    </row>
    <row r="61" spans="1:63" ht="18.75" customHeight="1" x14ac:dyDescent="0.25">
      <c r="A61" s="503"/>
      <c r="B61" s="19"/>
      <c r="C61" s="19"/>
      <c r="D61" s="19"/>
      <c r="E61" s="240">
        <v>1</v>
      </c>
      <c r="F61" s="240">
        <v>2</v>
      </c>
      <c r="G61" s="240">
        <v>3</v>
      </c>
      <c r="H61" s="240">
        <v>4</v>
      </c>
      <c r="I61" s="19"/>
      <c r="J61" s="19"/>
      <c r="K61" s="19"/>
      <c r="L61" s="2"/>
      <c r="M61" s="2"/>
      <c r="N61" s="19"/>
      <c r="O61" s="513"/>
      <c r="P61" s="507"/>
      <c r="Q61" s="63"/>
      <c r="R61" s="65"/>
      <c r="S61" s="65"/>
      <c r="T61" s="2"/>
      <c r="U61" s="2"/>
      <c r="W61" s="2"/>
      <c r="X61" s="63"/>
      <c r="AA61" s="63"/>
      <c r="AB61" s="41" t="s">
        <v>310</v>
      </c>
      <c r="AC61" s="77" t="s">
        <v>176</v>
      </c>
      <c r="AD61" s="77" t="s">
        <v>176</v>
      </c>
      <c r="AE61" s="77" t="s">
        <v>176</v>
      </c>
      <c r="AF61" s="2"/>
      <c r="AG61" s="19"/>
      <c r="AH61" s="19"/>
      <c r="AI61" s="500"/>
      <c r="AJ61" s="500"/>
      <c r="AK61" s="500"/>
      <c r="AL61" s="19"/>
      <c r="AM61" s="19"/>
      <c r="AN61" s="242"/>
      <c r="AO61" s="243"/>
      <c r="AP61" s="222"/>
      <c r="AQ61" s="222"/>
      <c r="AR61" s="222"/>
      <c r="AS61" s="243"/>
      <c r="AT61" s="218"/>
      <c r="AU61" s="19"/>
      <c r="AV61" s="2"/>
      <c r="AW61" s="2"/>
      <c r="AX61" s="586"/>
      <c r="AY61" s="587"/>
      <c r="AZ61" s="587"/>
      <c r="BA61" s="587"/>
      <c r="BB61" s="587"/>
      <c r="BC61" s="588"/>
      <c r="BD61" s="2"/>
      <c r="BE61" s="2"/>
      <c r="BF61" s="2"/>
      <c r="BG61" s="2"/>
      <c r="BH61" s="2"/>
      <c r="BI61" s="2"/>
      <c r="BJ61" s="25"/>
      <c r="BK61" s="2"/>
    </row>
    <row r="62" spans="1:63" ht="18.75" customHeight="1" thickBot="1" x14ac:dyDescent="0.3">
      <c r="A62" s="503"/>
      <c r="B62" s="199"/>
      <c r="C62" s="19"/>
      <c r="D62" s="45" t="s">
        <v>311</v>
      </c>
      <c r="E62" s="244" t="s">
        <v>176</v>
      </c>
      <c r="F62" s="244" t="s">
        <v>176</v>
      </c>
      <c r="G62" s="244" t="s">
        <v>176</v>
      </c>
      <c r="H62" s="244" t="s">
        <v>176</v>
      </c>
      <c r="I62" s="73" t="s">
        <v>312</v>
      </c>
      <c r="J62" s="19"/>
      <c r="K62" s="19"/>
      <c r="L62" s="2"/>
      <c r="M62" s="2"/>
      <c r="N62" s="19"/>
      <c r="O62" s="41"/>
      <c r="P62" s="507"/>
      <c r="Q62" s="63"/>
      <c r="R62" s="65"/>
      <c r="S62" s="65"/>
      <c r="T62" s="2"/>
      <c r="U62" s="2"/>
      <c r="V62" s="2"/>
      <c r="AA62" s="63"/>
      <c r="AB62" s="63"/>
      <c r="AC62" s="111">
        <v>6</v>
      </c>
      <c r="AD62" s="111">
        <v>5</v>
      </c>
      <c r="AE62" s="111">
        <v>4</v>
      </c>
      <c r="AF62" s="19"/>
      <c r="AG62" s="19"/>
      <c r="AH62" s="19"/>
      <c r="AI62" s="500"/>
      <c r="AJ62" s="500"/>
      <c r="AK62" s="500"/>
      <c r="AL62" s="19"/>
      <c r="AM62" s="19"/>
      <c r="AN62" s="242"/>
      <c r="AO62" s="243"/>
      <c r="AP62" s="222"/>
      <c r="AQ62" s="222"/>
      <c r="AR62" s="222"/>
      <c r="AS62" s="243"/>
      <c r="AT62" s="218"/>
      <c r="AU62" s="19"/>
      <c r="AV62" s="2"/>
      <c r="AW62" s="2"/>
      <c r="AX62" s="589"/>
      <c r="AY62" s="590"/>
      <c r="AZ62" s="590"/>
      <c r="BA62" s="590"/>
      <c r="BB62" s="590"/>
      <c r="BC62" s="591"/>
      <c r="BD62" s="2"/>
      <c r="BE62" s="2"/>
      <c r="BF62" s="2"/>
      <c r="BG62" s="2"/>
      <c r="BH62" s="2"/>
      <c r="BI62" s="2"/>
      <c r="BJ62" s="25"/>
      <c r="BK62" s="2"/>
    </row>
    <row r="63" spans="1:63" ht="18.75" customHeight="1" x14ac:dyDescent="0.25">
      <c r="A63" s="503"/>
      <c r="B63" s="199"/>
      <c r="C63" s="19"/>
      <c r="D63" s="245"/>
      <c r="E63" s="246">
        <v>5</v>
      </c>
      <c r="F63" s="246">
        <v>5</v>
      </c>
      <c r="G63" s="246">
        <v>5</v>
      </c>
      <c r="H63" s="246">
        <v>5</v>
      </c>
      <c r="I63" s="245"/>
      <c r="J63" s="19"/>
      <c r="K63" s="19"/>
      <c r="L63" s="2"/>
      <c r="M63" s="2"/>
      <c r="N63" s="19"/>
      <c r="O63" s="19"/>
      <c r="P63" s="507"/>
      <c r="Q63" s="63"/>
      <c r="R63" s="199"/>
      <c r="S63" s="65"/>
      <c r="T63" s="2"/>
      <c r="U63" s="2"/>
      <c r="AA63" s="19"/>
      <c r="AB63" s="19"/>
      <c r="AC63" s="546" t="s">
        <v>198</v>
      </c>
      <c r="AD63" s="546"/>
      <c r="AE63" s="546"/>
      <c r="AF63" s="19"/>
      <c r="AG63" s="2"/>
      <c r="AH63" s="19"/>
      <c r="AI63" s="41"/>
      <c r="AJ63" s="19"/>
      <c r="AK63" s="19"/>
      <c r="AL63" s="19"/>
      <c r="AM63" s="19"/>
      <c r="AO63" s="242"/>
      <c r="AP63" s="239"/>
      <c r="AQ63" s="239"/>
      <c r="AR63" s="239"/>
      <c r="AS63" s="242"/>
      <c r="AT63" s="19"/>
      <c r="AU63" s="19"/>
      <c r="AV63" s="2"/>
      <c r="AW63" s="2"/>
      <c r="AX63" s="247"/>
      <c r="AY63" s="186"/>
      <c r="AZ63" s="2"/>
      <c r="BA63" s="248"/>
      <c r="BB63" s="248"/>
      <c r="BC63" s="2"/>
      <c r="BD63" s="2"/>
      <c r="BE63" s="2"/>
      <c r="BF63" s="2"/>
      <c r="BG63" s="2"/>
      <c r="BH63" s="2"/>
      <c r="BI63" s="2"/>
      <c r="BJ63" s="25"/>
      <c r="BK63" s="2"/>
    </row>
    <row r="64" spans="1:63" ht="18.75" customHeight="1" x14ac:dyDescent="0.25">
      <c r="A64" s="503"/>
      <c r="B64" s="199"/>
      <c r="C64" s="19"/>
      <c r="D64" s="245"/>
      <c r="E64" s="131">
        <v>5</v>
      </c>
      <c r="F64" s="131">
        <v>5</v>
      </c>
      <c r="G64" s="131">
        <v>5</v>
      </c>
      <c r="H64" s="131">
        <v>5</v>
      </c>
      <c r="I64" s="245"/>
      <c r="J64" s="19"/>
      <c r="K64" s="19"/>
      <c r="L64" s="2"/>
      <c r="M64" s="19"/>
      <c r="N64" s="19"/>
      <c r="O64" s="19"/>
      <c r="P64" s="507"/>
      <c r="Q64" s="130"/>
      <c r="R64" s="199"/>
      <c r="S64" s="65"/>
      <c r="T64" s="2"/>
      <c r="U64" s="2"/>
      <c r="AA64" s="19"/>
      <c r="AB64" s="19"/>
      <c r="AC64" s="63"/>
      <c r="AD64" s="63"/>
      <c r="AE64" s="63"/>
      <c r="AF64" s="19"/>
      <c r="AG64" s="19"/>
      <c r="AH64" s="19"/>
      <c r="AI64" s="63"/>
      <c r="AJ64" s="63"/>
      <c r="AK64" s="63"/>
      <c r="AO64" s="41"/>
      <c r="AP64" s="237"/>
      <c r="AQ64" s="237"/>
      <c r="AR64" s="237"/>
      <c r="AS64" s="236"/>
      <c r="AT64" s="19"/>
      <c r="AU64" s="19"/>
      <c r="AV64" s="2"/>
      <c r="AW64" s="2"/>
      <c r="AX64" s="249"/>
      <c r="AY64" s="186"/>
      <c r="AZ64" s="250"/>
      <c r="BA64" s="250"/>
      <c r="BB64" s="250"/>
      <c r="BC64" s="2"/>
      <c r="BD64" s="2"/>
      <c r="BE64" s="2"/>
      <c r="BF64" s="2"/>
      <c r="BG64" s="2"/>
      <c r="BH64" s="2"/>
      <c r="BI64" s="2"/>
      <c r="BJ64" s="25"/>
      <c r="BK64" s="2"/>
    </row>
    <row r="65" spans="1:63" ht="18.75" customHeight="1" x14ac:dyDescent="0.25">
      <c r="A65" s="503"/>
      <c r="B65" s="41"/>
      <c r="C65" s="19"/>
      <c r="D65" s="41" t="s">
        <v>317</v>
      </c>
      <c r="E65" s="244" t="s">
        <v>176</v>
      </c>
      <c r="F65" s="244" t="s">
        <v>176</v>
      </c>
      <c r="G65" s="244" t="s">
        <v>176</v>
      </c>
      <c r="H65" s="244" t="s">
        <v>176</v>
      </c>
      <c r="I65" s="19"/>
      <c r="J65" s="19"/>
      <c r="K65" s="19"/>
      <c r="L65" s="2"/>
      <c r="M65" s="19"/>
      <c r="N65" s="19"/>
      <c r="O65" s="19"/>
      <c r="P65" s="507"/>
      <c r="Q65" s="130"/>
      <c r="R65" s="199"/>
      <c r="S65" s="65"/>
      <c r="T65" s="2"/>
      <c r="U65" s="19"/>
      <c r="Z65" s="19"/>
      <c r="AA65" s="19"/>
      <c r="AB65" s="63"/>
      <c r="AC65" s="63"/>
      <c r="AD65" s="63"/>
      <c r="AE65" s="63"/>
      <c r="AF65" s="2"/>
      <c r="AG65" s="2"/>
      <c r="AH65" s="2"/>
      <c r="AI65" s="63"/>
      <c r="AJ65" s="63"/>
      <c r="AK65" s="63"/>
      <c r="AO65" s="251"/>
      <c r="AP65" s="63"/>
      <c r="AQ65" s="19"/>
      <c r="AR65" s="19"/>
      <c r="AS65" s="19"/>
      <c r="AT65" s="19"/>
      <c r="AU65" s="19"/>
      <c r="AV65" s="186"/>
      <c r="AW65" s="186"/>
      <c r="AX65" s="249"/>
      <c r="AY65" s="248"/>
      <c r="AZ65" s="250"/>
      <c r="BA65" s="83"/>
      <c r="BD65" s="63"/>
      <c r="BE65" s="2"/>
      <c r="BF65" s="2"/>
      <c r="BG65" s="2"/>
      <c r="BH65" s="2"/>
      <c r="BI65" s="2"/>
      <c r="BJ65" s="25"/>
      <c r="BK65" s="2"/>
    </row>
    <row r="66" spans="1:63" ht="18.75" customHeight="1" x14ac:dyDescent="0.25">
      <c r="A66" s="503"/>
      <c r="B66" s="19"/>
      <c r="C66" s="19"/>
      <c r="D66" s="2"/>
      <c r="E66" s="240">
        <v>8</v>
      </c>
      <c r="F66" s="240">
        <v>7</v>
      </c>
      <c r="G66" s="240">
        <v>6</v>
      </c>
      <c r="H66" s="240">
        <v>5</v>
      </c>
      <c r="I66" s="2"/>
      <c r="J66" s="19"/>
      <c r="K66" s="19"/>
      <c r="L66" s="2"/>
      <c r="M66" s="19"/>
      <c r="N66" s="19"/>
      <c r="O66" s="508"/>
      <c r="P66" s="507"/>
      <c r="Q66" s="130"/>
      <c r="R66" s="63"/>
      <c r="S66" s="63"/>
      <c r="T66" s="2"/>
      <c r="U66" s="2"/>
      <c r="Z66" s="2"/>
      <c r="AA66" s="19"/>
      <c r="AB66" s="19"/>
      <c r="AC66" s="19"/>
      <c r="AD66" s="19"/>
      <c r="AE66" s="19"/>
      <c r="AF66" s="186"/>
      <c r="AG66" s="2"/>
      <c r="AH66" s="252"/>
      <c r="AI66" s="63"/>
      <c r="AJ66" s="63"/>
      <c r="AK66" s="63"/>
      <c r="AL66" s="19"/>
      <c r="AM66" s="253"/>
      <c r="AN66" s="19"/>
      <c r="AO66" s="253"/>
      <c r="AP66" s="254"/>
      <c r="AQ66" s="19"/>
      <c r="AR66" s="19"/>
      <c r="AS66" s="19"/>
      <c r="AT66" s="19"/>
      <c r="AU66" s="19"/>
      <c r="AV66" s="186"/>
      <c r="AW66" s="255"/>
      <c r="AX66" s="186"/>
      <c r="AY66" s="248"/>
      <c r="AZ66" s="250"/>
      <c r="BA66" s="207"/>
      <c r="BD66" s="207"/>
      <c r="BE66" s="2"/>
      <c r="BF66" s="2"/>
      <c r="BG66" s="2"/>
      <c r="BH66" s="2"/>
      <c r="BI66" s="2"/>
      <c r="BJ66" s="25"/>
      <c r="BK66" s="2"/>
    </row>
    <row r="67" spans="1:63" ht="18.75" customHeight="1" thickBot="1" x14ac:dyDescent="0.3">
      <c r="A67" s="505"/>
      <c r="B67" s="19"/>
      <c r="C67" s="19"/>
      <c r="D67" s="2"/>
      <c r="E67" s="614" t="s">
        <v>267</v>
      </c>
      <c r="F67" s="614"/>
      <c r="G67" s="614"/>
      <c r="H67" s="614"/>
      <c r="I67" s="2"/>
      <c r="J67" s="19"/>
      <c r="K67" s="19"/>
      <c r="L67" s="2"/>
      <c r="M67" s="19"/>
      <c r="N67" s="19"/>
      <c r="O67" s="508"/>
      <c r="P67" s="507"/>
      <c r="Q67" s="63"/>
      <c r="R67" s="63"/>
      <c r="S67" s="63"/>
      <c r="T67" s="63"/>
      <c r="U67" s="2"/>
      <c r="V67" s="2"/>
      <c r="W67" s="2"/>
      <c r="X67" s="2"/>
      <c r="Y67" s="2"/>
      <c r="Z67" s="2"/>
      <c r="AA67" s="63"/>
      <c r="AB67" s="19"/>
      <c r="AC67" s="19"/>
      <c r="AD67" s="19"/>
      <c r="AE67" s="19"/>
      <c r="AF67" s="19"/>
      <c r="AG67" s="19"/>
      <c r="AH67" s="257"/>
      <c r="AI67" s="253"/>
      <c r="AJ67" s="19"/>
      <c r="AK67" s="253"/>
      <c r="AL67" s="251"/>
      <c r="AM67" s="258"/>
      <c r="AN67" s="19"/>
      <c r="AO67" s="19"/>
      <c r="AP67" s="19"/>
      <c r="AQ67" s="19"/>
      <c r="AR67" s="19"/>
      <c r="AS67" s="19"/>
      <c r="AT67" s="19"/>
      <c r="AU67" s="19"/>
      <c r="AV67" s="19"/>
      <c r="AW67" s="255"/>
      <c r="AX67" s="2"/>
      <c r="AY67" s="2"/>
      <c r="AZ67" s="2"/>
      <c r="BA67" s="207"/>
      <c r="BD67" s="207"/>
      <c r="BE67" s="2"/>
      <c r="BF67" s="2"/>
      <c r="BG67" s="2"/>
      <c r="BH67" s="2"/>
      <c r="BI67" s="2"/>
      <c r="BJ67" s="25"/>
      <c r="BK67" s="2"/>
    </row>
    <row r="68" spans="1:63" ht="18.75" customHeight="1" thickBot="1" x14ac:dyDescent="0.3">
      <c r="A68" s="259" t="s">
        <v>231</v>
      </c>
      <c r="B68" s="19"/>
      <c r="C68" s="19"/>
      <c r="D68" s="2"/>
      <c r="E68" s="240">
        <v>1</v>
      </c>
      <c r="F68" s="240">
        <v>2</v>
      </c>
      <c r="G68" s="240">
        <v>3</v>
      </c>
      <c r="H68" s="240">
        <v>4</v>
      </c>
      <c r="I68" s="2"/>
      <c r="J68" s="19"/>
      <c r="K68" s="2"/>
      <c r="L68" s="2"/>
      <c r="M68" s="19"/>
      <c r="N68" s="19"/>
      <c r="O68" s="508"/>
      <c r="P68" s="260"/>
      <c r="Q68" s="63"/>
      <c r="R68" s="63"/>
      <c r="S68" s="63"/>
      <c r="T68" s="63"/>
      <c r="U68" s="19"/>
      <c r="V68" s="19"/>
      <c r="W68" s="19"/>
      <c r="X68" s="19"/>
      <c r="Y68" s="19"/>
      <c r="Z68" s="19"/>
      <c r="AA68" s="2"/>
      <c r="AB68" s="19"/>
      <c r="AC68" s="19"/>
      <c r="AD68" s="19"/>
      <c r="AE68" s="19"/>
      <c r="AF68" s="19"/>
      <c r="AG68" s="19"/>
      <c r="AH68" s="257"/>
      <c r="AI68" s="63"/>
      <c r="AJ68" s="253"/>
      <c r="AK68" s="63"/>
      <c r="AL68" s="63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261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5"/>
      <c r="BK68" s="2"/>
    </row>
    <row r="69" spans="1:63" ht="18.75" customHeight="1" thickBot="1" x14ac:dyDescent="0.3">
      <c r="A69" s="184"/>
      <c r="B69" s="45" t="s">
        <v>318</v>
      </c>
      <c r="C69" s="19"/>
      <c r="D69" s="45" t="s">
        <v>319</v>
      </c>
      <c r="E69" s="151" t="s">
        <v>176</v>
      </c>
      <c r="F69" s="151" t="s">
        <v>176</v>
      </c>
      <c r="G69" s="151" t="s">
        <v>176</v>
      </c>
      <c r="H69" s="151" t="s">
        <v>176</v>
      </c>
      <c r="I69" s="73" t="s">
        <v>278</v>
      </c>
      <c r="J69" s="19"/>
      <c r="K69" s="2"/>
      <c r="L69" s="2"/>
      <c r="M69" s="2"/>
      <c r="N69" s="19"/>
      <c r="O69" s="508"/>
      <c r="P69" s="211"/>
      <c r="Q69" s="63"/>
      <c r="R69" s="63"/>
      <c r="S69" s="63"/>
      <c r="T69" s="63"/>
      <c r="U69" s="262"/>
      <c r="V69" s="262"/>
      <c r="W69" s="262"/>
      <c r="X69" s="126"/>
      <c r="Y69" s="126"/>
      <c r="Z69" s="126"/>
      <c r="AA69" s="126"/>
      <c r="AB69" s="126"/>
      <c r="AC69" s="126"/>
      <c r="AD69" s="126"/>
      <c r="AE69" s="126"/>
      <c r="AF69" s="19"/>
      <c r="AG69" s="19"/>
      <c r="AH69" s="63"/>
      <c r="AI69" s="63"/>
      <c r="AJ69" s="263"/>
      <c r="AK69" s="263"/>
      <c r="AL69" s="263"/>
      <c r="AM69" s="263"/>
      <c r="AN69" s="263"/>
      <c r="AO69" s="262"/>
      <c r="AP69" s="262"/>
      <c r="AQ69" s="264"/>
      <c r="AR69" s="262"/>
      <c r="AS69" s="262"/>
      <c r="AT69" s="262"/>
      <c r="AU69" s="262"/>
      <c r="AV69" s="262"/>
      <c r="AW69" s="265"/>
      <c r="AX69" s="199"/>
      <c r="AY69" s="199"/>
      <c r="AZ69" s="199"/>
      <c r="BA69" s="199"/>
      <c r="BB69" s="199"/>
      <c r="BC69" s="2"/>
      <c r="BD69" s="2"/>
      <c r="BE69" s="2"/>
      <c r="BF69" s="2"/>
      <c r="BG69" s="2"/>
      <c r="BH69" s="2"/>
      <c r="BI69" s="2"/>
      <c r="BJ69" s="25"/>
      <c r="BK69" s="2"/>
    </row>
    <row r="70" spans="1:63" ht="18.75" customHeight="1" x14ac:dyDescent="0.25">
      <c r="A70" s="266">
        <v>5</v>
      </c>
      <c r="B70" s="46" t="s">
        <v>176</v>
      </c>
      <c r="C70" s="169">
        <v>1</v>
      </c>
      <c r="D70" s="160"/>
      <c r="E70" s="194">
        <v>5</v>
      </c>
      <c r="F70" s="194">
        <v>5</v>
      </c>
      <c r="G70" s="194">
        <v>5</v>
      </c>
      <c r="H70" s="194">
        <v>5</v>
      </c>
      <c r="I70" s="160"/>
      <c r="J70" s="19"/>
      <c r="K70" s="498"/>
      <c r="L70" s="498"/>
      <c r="M70" s="498"/>
      <c r="N70" s="19"/>
      <c r="O70" s="508"/>
      <c r="P70" s="211"/>
      <c r="Q70" s="63"/>
      <c r="R70" s="63"/>
      <c r="S70" s="63"/>
      <c r="T70" s="63"/>
      <c r="U70" s="619" t="s">
        <v>208</v>
      </c>
      <c r="V70" s="620"/>
      <c r="W70" s="620"/>
      <c r="X70" s="620"/>
      <c r="Y70" s="620"/>
      <c r="Z70" s="620"/>
      <c r="AA70" s="620"/>
      <c r="AB70" s="621"/>
      <c r="AC70" s="628" t="s">
        <v>320</v>
      </c>
      <c r="AD70" s="629"/>
      <c r="AE70" s="267"/>
      <c r="AF70" s="605" t="s">
        <v>321</v>
      </c>
      <c r="AG70" s="606"/>
      <c r="AH70" s="606"/>
      <c r="AI70" s="607"/>
      <c r="AJ70" s="63"/>
      <c r="AK70" s="63"/>
      <c r="AL70" s="63"/>
      <c r="AM70" s="63"/>
      <c r="AN70" s="63"/>
      <c r="AO70" s="19"/>
      <c r="AP70" s="63"/>
      <c r="AQ70" s="63"/>
      <c r="AR70" s="63"/>
      <c r="AS70" s="63"/>
      <c r="AT70" s="199"/>
      <c r="AU70" s="199"/>
      <c r="AV70" s="199"/>
      <c r="AW70" s="199"/>
      <c r="AX70" s="199"/>
      <c r="AY70" s="199"/>
      <c r="AZ70" s="199"/>
      <c r="BA70" s="199"/>
      <c r="BB70" s="199"/>
      <c r="BC70" s="2"/>
      <c r="BD70" s="2"/>
      <c r="BE70" s="2"/>
      <c r="BF70" s="2"/>
      <c r="BG70" s="2"/>
      <c r="BH70" s="2"/>
      <c r="BI70" s="2"/>
      <c r="BJ70" s="25"/>
      <c r="BK70" s="2"/>
    </row>
    <row r="71" spans="1:63" ht="18.75" customHeight="1" x14ac:dyDescent="0.25">
      <c r="A71" s="266">
        <v>5</v>
      </c>
      <c r="B71" s="46" t="s">
        <v>176</v>
      </c>
      <c r="C71" s="79">
        <v>2</v>
      </c>
      <c r="D71" s="160"/>
      <c r="E71" s="194">
        <v>5</v>
      </c>
      <c r="F71" s="194">
        <v>5</v>
      </c>
      <c r="G71" s="194">
        <v>5</v>
      </c>
      <c r="H71" s="194">
        <v>5</v>
      </c>
      <c r="I71" s="160"/>
      <c r="J71" s="19"/>
      <c r="K71" s="498"/>
      <c r="L71" s="498"/>
      <c r="M71" s="498"/>
      <c r="N71" s="268"/>
      <c r="O71" s="508"/>
      <c r="P71" s="269"/>
      <c r="Q71" s="63"/>
      <c r="R71" s="63"/>
      <c r="S71" s="63"/>
      <c r="T71" s="63"/>
      <c r="U71" s="622"/>
      <c r="V71" s="623"/>
      <c r="W71" s="623"/>
      <c r="X71" s="623"/>
      <c r="Y71" s="623"/>
      <c r="Z71" s="623"/>
      <c r="AA71" s="623"/>
      <c r="AB71" s="624"/>
      <c r="AC71" s="630"/>
      <c r="AD71" s="631"/>
      <c r="AE71" s="270"/>
      <c r="AF71" s="608"/>
      <c r="AG71" s="609"/>
      <c r="AH71" s="609"/>
      <c r="AI71" s="610"/>
      <c r="AJ71" s="63"/>
      <c r="AK71" s="63"/>
      <c r="AL71" s="63"/>
      <c r="AM71" s="231"/>
      <c r="AN71" s="199"/>
      <c r="AO71" s="63"/>
      <c r="AP71" s="63"/>
      <c r="AQ71" s="63"/>
      <c r="AR71" s="63"/>
      <c r="AS71" s="63"/>
      <c r="AT71" s="63"/>
      <c r="AU71" s="63"/>
      <c r="AV71" s="63"/>
      <c r="AW71" s="63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5"/>
      <c r="BK71" s="2"/>
    </row>
    <row r="72" spans="1:63" ht="18.75" customHeight="1" x14ac:dyDescent="0.25">
      <c r="A72" s="266">
        <v>5</v>
      </c>
      <c r="B72" s="46" t="s">
        <v>176</v>
      </c>
      <c r="C72" s="79">
        <v>3</v>
      </c>
      <c r="D72" s="41" t="s">
        <v>322</v>
      </c>
      <c r="E72" s="151" t="s">
        <v>176</v>
      </c>
      <c r="F72" s="151" t="s">
        <v>176</v>
      </c>
      <c r="G72" s="151" t="s">
        <v>176</v>
      </c>
      <c r="H72" s="151" t="s">
        <v>176</v>
      </c>
      <c r="I72" s="19"/>
      <c r="J72" s="19"/>
      <c r="K72" s="41"/>
      <c r="L72" s="2"/>
      <c r="M72" s="2"/>
      <c r="N72" s="268"/>
      <c r="O72" s="41"/>
      <c r="P72" s="271"/>
      <c r="Q72" s="272"/>
      <c r="R72" s="272"/>
      <c r="S72" s="63"/>
      <c r="T72" s="63"/>
      <c r="U72" s="622"/>
      <c r="V72" s="623"/>
      <c r="W72" s="623"/>
      <c r="X72" s="623"/>
      <c r="Y72" s="623"/>
      <c r="Z72" s="623"/>
      <c r="AA72" s="623"/>
      <c r="AB72" s="624"/>
      <c r="AC72" s="630"/>
      <c r="AD72" s="631"/>
      <c r="AE72" s="267"/>
      <c r="AF72" s="608"/>
      <c r="AG72" s="609"/>
      <c r="AH72" s="609"/>
      <c r="AI72" s="610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5"/>
      <c r="BK72" s="2"/>
    </row>
    <row r="73" spans="1:63" ht="18.75" customHeight="1" thickBot="1" x14ac:dyDescent="0.3">
      <c r="A73" s="266">
        <v>5</v>
      </c>
      <c r="B73" s="46" t="s">
        <v>176</v>
      </c>
      <c r="C73" s="79">
        <v>4</v>
      </c>
      <c r="D73" s="19"/>
      <c r="E73" s="240">
        <v>8</v>
      </c>
      <c r="F73" s="240">
        <v>7</v>
      </c>
      <c r="G73" s="240">
        <v>6</v>
      </c>
      <c r="H73" s="240">
        <v>5</v>
      </c>
      <c r="I73" s="19"/>
      <c r="J73" s="19"/>
      <c r="K73" s="2"/>
      <c r="L73" s="2"/>
      <c r="M73" s="2"/>
      <c r="N73" s="268"/>
      <c r="O73" s="509"/>
      <c r="P73" s="274"/>
      <c r="Q73" s="273"/>
      <c r="R73" s="272"/>
      <c r="S73" s="19"/>
      <c r="T73" s="273"/>
      <c r="U73" s="625"/>
      <c r="V73" s="626"/>
      <c r="W73" s="626"/>
      <c r="X73" s="626"/>
      <c r="Y73" s="626"/>
      <c r="Z73" s="626"/>
      <c r="AA73" s="626"/>
      <c r="AB73" s="627"/>
      <c r="AC73" s="632"/>
      <c r="AD73" s="633"/>
      <c r="AE73" s="275"/>
      <c r="AF73" s="611"/>
      <c r="AG73" s="612"/>
      <c r="AH73" s="612"/>
      <c r="AI73" s="61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25"/>
      <c r="BK73" s="2"/>
    </row>
    <row r="74" spans="1:63" ht="18.75" customHeight="1" x14ac:dyDescent="0.25">
      <c r="A74" s="184"/>
      <c r="B74" s="41" t="s">
        <v>325</v>
      </c>
      <c r="C74" s="19"/>
      <c r="D74" s="19"/>
      <c r="E74" s="276"/>
      <c r="F74" s="276"/>
      <c r="G74" s="276"/>
      <c r="H74" s="276"/>
      <c r="I74" s="268"/>
      <c r="J74" s="19"/>
      <c r="K74" s="268"/>
      <c r="L74" s="19"/>
      <c r="M74" s="19"/>
      <c r="N74" s="19"/>
      <c r="O74" s="277"/>
      <c r="P74" s="226"/>
      <c r="Q74" s="226"/>
      <c r="R74" s="278"/>
      <c r="S74" s="278"/>
      <c r="T74" s="199"/>
      <c r="U74" s="199"/>
      <c r="V74" s="199"/>
      <c r="W74" s="199"/>
      <c r="X74" s="180"/>
      <c r="Y74" s="180"/>
      <c r="Z74" s="180"/>
      <c r="AA74" s="180"/>
      <c r="AB74" s="199"/>
      <c r="AC74" s="199"/>
      <c r="AD74" s="199"/>
      <c r="AE74" s="199"/>
      <c r="AF74" s="199"/>
      <c r="AG74" s="199"/>
      <c r="AH74" s="199"/>
      <c r="AI74" s="199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99"/>
      <c r="BB74" s="199"/>
      <c r="BC74" s="199"/>
      <c r="BD74" s="199"/>
      <c r="BE74" s="2"/>
      <c r="BF74" s="2"/>
      <c r="BG74" s="2"/>
      <c r="BH74" s="2"/>
      <c r="BI74" s="2"/>
      <c r="BJ74" s="2"/>
      <c r="BK74" s="2"/>
    </row>
    <row r="75" spans="1:63" ht="18.75" customHeight="1" x14ac:dyDescent="0.25">
      <c r="A75" s="614" t="s">
        <v>326</v>
      </c>
      <c r="B75" s="614"/>
      <c r="C75" s="19"/>
      <c r="D75" s="19"/>
      <c r="E75" s="19"/>
      <c r="F75" s="19"/>
      <c r="G75" s="19"/>
      <c r="H75" s="19"/>
      <c r="I75" s="268"/>
      <c r="J75" s="19"/>
      <c r="K75" s="268"/>
      <c r="L75" s="19"/>
      <c r="M75" s="19"/>
      <c r="N75" s="19"/>
      <c r="O75" s="277"/>
      <c r="P75" s="279"/>
      <c r="Q75" s="279"/>
      <c r="R75" s="279"/>
      <c r="S75" s="27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</row>
    <row r="76" spans="1:63" ht="18.75" customHeight="1" x14ac:dyDescent="0.25">
      <c r="A76" s="498"/>
      <c r="B76" s="226"/>
      <c r="C76" s="19"/>
      <c r="D76" s="19"/>
      <c r="E76" s="91"/>
      <c r="F76" s="91"/>
      <c r="G76" s="91"/>
      <c r="H76" s="91"/>
      <c r="I76" s="618"/>
      <c r="J76" s="618"/>
      <c r="K76" s="618"/>
      <c r="L76" s="19"/>
      <c r="M76" s="19"/>
      <c r="N76" s="41"/>
      <c r="O76" s="277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spans="1:63" ht="18.75" customHeight="1" x14ac:dyDescent="0.25">
      <c r="A77" s="498"/>
      <c r="B77" s="281"/>
      <c r="C77" s="281"/>
      <c r="D77" s="19"/>
      <c r="E77" s="506"/>
      <c r="F77" s="506"/>
      <c r="G77" s="506"/>
      <c r="H77" s="122"/>
      <c r="I77" s="507"/>
      <c r="J77" s="507"/>
      <c r="K77" s="507"/>
      <c r="L77" s="19"/>
      <c r="M77" s="19"/>
      <c r="N77" s="498"/>
      <c r="O77" s="277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spans="1:63" ht="18.75" customHeight="1" x14ac:dyDescent="0.25">
      <c r="A78" s="498"/>
      <c r="B78" s="19"/>
      <c r="C78" s="19"/>
      <c r="D78" s="19"/>
      <c r="E78" s="506"/>
      <c r="F78" s="506"/>
      <c r="G78" s="506"/>
      <c r="H78" s="122"/>
      <c r="I78" s="507"/>
      <c r="J78" s="507"/>
      <c r="K78" s="507"/>
      <c r="L78" s="19"/>
      <c r="M78" s="19"/>
      <c r="N78" s="498"/>
      <c r="O78" s="277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spans="1:63" ht="18.75" customHeight="1" x14ac:dyDescent="0.25">
      <c r="A79" s="41"/>
      <c r="B79" s="19"/>
      <c r="C79" s="19"/>
      <c r="D79" s="19"/>
      <c r="E79" s="120"/>
      <c r="F79" s="91"/>
      <c r="G79" s="91"/>
      <c r="H79" s="91"/>
      <c r="I79" s="120"/>
      <c r="J79" s="91"/>
      <c r="K79"/>
      <c r="L79" s="19"/>
      <c r="M79" s="19"/>
      <c r="N79" s="498"/>
      <c r="O79" s="277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spans="1:63" ht="18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2"/>
      <c r="L80" s="19"/>
      <c r="M80" s="19"/>
      <c r="N80" s="498"/>
      <c r="O80" s="277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spans="1:63" ht="18.75" customHeight="1" thickBo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26"/>
      <c r="O81" s="277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spans="1:63" ht="18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spans="1:63" ht="18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spans="1:63" ht="18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spans="1:63" ht="18.7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spans="1:63" ht="18.7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spans="1:63" ht="18.7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spans="1:63" ht="18.7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spans="1:63" ht="18.7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spans="1:63" ht="18.7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spans="1:63" ht="18.7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spans="1:63" ht="18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spans="1:63" ht="18.7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spans="1:63" ht="18.7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spans="1:63" ht="18.7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spans="1:63" ht="18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spans="1:63" ht="18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spans="1:63" ht="18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spans="1:63" ht="18.7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spans="1:63" ht="18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spans="1:63" ht="18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spans="1:63" ht="18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spans="1:63" ht="18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spans="1:63" ht="18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spans="1:63" ht="18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spans="1:63" ht="18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spans="1:63" ht="18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</sheetData>
  <mergeCells count="54">
    <mergeCell ref="I76:K76"/>
    <mergeCell ref="AC63:AE63"/>
    <mergeCell ref="E67:H67"/>
    <mergeCell ref="U70:AB73"/>
    <mergeCell ref="AC70:AD73"/>
    <mergeCell ref="AF70:AI73"/>
    <mergeCell ref="A75:B75"/>
    <mergeCell ref="A53:B53"/>
    <mergeCell ref="AH53:AH54"/>
    <mergeCell ref="W55:Y55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BB48:BC48"/>
    <mergeCell ref="AB51:AE51"/>
    <mergeCell ref="W44:Z44"/>
    <mergeCell ref="A34:A37"/>
    <mergeCell ref="E34:H34"/>
    <mergeCell ref="L34:L39"/>
    <mergeCell ref="U35:W35"/>
    <mergeCell ref="C37:C38"/>
    <mergeCell ref="D37:D38"/>
    <mergeCell ref="I37:I38"/>
    <mergeCell ref="E26:H26"/>
    <mergeCell ref="AE26:AG26"/>
    <mergeCell ref="B28:D28"/>
    <mergeCell ref="BF30:BI45"/>
    <mergeCell ref="E31:H31"/>
    <mergeCell ref="K32:L32"/>
    <mergeCell ref="X38:X39"/>
    <mergeCell ref="L40:L42"/>
    <mergeCell ref="E41:I41"/>
    <mergeCell ref="Q43:R45"/>
    <mergeCell ref="A44:B44"/>
    <mergeCell ref="C44:C45"/>
    <mergeCell ref="D44:D45"/>
    <mergeCell ref="J44:J45"/>
    <mergeCell ref="K44:K45"/>
    <mergeCell ref="A1:BI1"/>
    <mergeCell ref="P3:R3"/>
    <mergeCell ref="B4:B9"/>
    <mergeCell ref="E6:G6"/>
    <mergeCell ref="N6:Q6"/>
    <mergeCell ref="U10:AU21"/>
    <mergeCell ref="N13:Q13"/>
    <mergeCell ref="O14:P14"/>
    <mergeCell ref="A16:B16"/>
    <mergeCell ref="L18:M18"/>
  </mergeCells>
  <conditionalFormatting sqref="N28">
    <cfRule type="duplicateValues" dxfId="45" priority="2"/>
  </conditionalFormatting>
  <conditionalFormatting sqref="N29">
    <cfRule type="duplicateValues" dxfId="44" priority="1"/>
  </conditionalFormatting>
  <conditionalFormatting sqref="O28">
    <cfRule type="duplicateValues" dxfId="43" priority="3"/>
  </conditionalFormatting>
  <conditionalFormatting sqref="U25">
    <cfRule type="duplicateValues" dxfId="42" priority="20"/>
  </conditionalFormatting>
  <conditionalFormatting sqref="V24">
    <cfRule type="duplicateValues" dxfId="41" priority="22"/>
  </conditionalFormatting>
  <conditionalFormatting sqref="V26">
    <cfRule type="duplicateValues" dxfId="40" priority="21"/>
  </conditionalFormatting>
  <conditionalFormatting sqref="W25">
    <cfRule type="duplicateValues" dxfId="39" priority="23"/>
  </conditionalFormatting>
  <conditionalFormatting sqref="W53">
    <cfRule type="duplicateValues" dxfId="38" priority="8"/>
  </conditionalFormatting>
  <conditionalFormatting sqref="W54">
    <cfRule type="duplicateValues" dxfId="37" priority="13"/>
  </conditionalFormatting>
  <conditionalFormatting sqref="X53">
    <cfRule type="duplicateValues" dxfId="36" priority="9"/>
  </conditionalFormatting>
  <conditionalFormatting sqref="X54">
    <cfRule type="duplicateValues" dxfId="35" priority="12"/>
  </conditionalFormatting>
  <conditionalFormatting sqref="Y53">
    <cfRule type="duplicateValues" dxfId="34" priority="10"/>
  </conditionalFormatting>
  <conditionalFormatting sqref="Y54">
    <cfRule type="duplicateValues" dxfId="33" priority="11"/>
  </conditionalFormatting>
  <conditionalFormatting sqref="AB30">
    <cfRule type="duplicateValues" dxfId="32" priority="19"/>
  </conditionalFormatting>
  <conditionalFormatting sqref="AB31">
    <cfRule type="duplicateValues" dxfId="31" priority="18"/>
  </conditionalFormatting>
  <conditionalFormatting sqref="AC30">
    <cfRule type="duplicateValues" dxfId="30" priority="17"/>
  </conditionalFormatting>
  <conditionalFormatting sqref="AC31">
    <cfRule type="duplicateValues" dxfId="29" priority="16"/>
  </conditionalFormatting>
  <conditionalFormatting sqref="AD30">
    <cfRule type="duplicateValues" dxfId="28" priority="15"/>
  </conditionalFormatting>
  <conditionalFormatting sqref="AD31">
    <cfRule type="duplicateValues" dxfId="27" priority="14"/>
  </conditionalFormatting>
  <conditionalFormatting sqref="AN31">
    <cfRule type="duplicateValues" dxfId="26" priority="5"/>
  </conditionalFormatting>
  <conditionalFormatting sqref="AO30">
    <cfRule type="duplicateValues" dxfId="25" priority="6"/>
  </conditionalFormatting>
  <conditionalFormatting sqref="AO32">
    <cfRule type="duplicateValues" dxfId="24" priority="7"/>
  </conditionalFormatting>
  <conditionalFormatting sqref="AP31">
    <cfRule type="duplicateValues" dxfId="23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K107"/>
  <sheetViews>
    <sheetView topLeftCell="M27" zoomScale="40" zoomScaleNormal="40" workbookViewId="0">
      <selection activeCell="M50" sqref="M50"/>
    </sheetView>
  </sheetViews>
  <sheetFormatPr baseColWidth="10" defaultColWidth="16.7109375" defaultRowHeight="18.75" customHeight="1" x14ac:dyDescent="0.25"/>
  <cols>
    <col min="1" max="16384" width="16.7109375" style="3"/>
  </cols>
  <sheetData>
    <row r="1" spans="1:63" ht="18.75" customHeight="1" thickBot="1" x14ac:dyDescent="0.3">
      <c r="A1" s="543" t="s">
        <v>160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5"/>
      <c r="BJ1" s="2"/>
      <c r="BK1" s="2"/>
    </row>
    <row r="2" spans="1:63" ht="18.75" customHeigh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2"/>
      <c r="BD2" s="2"/>
      <c r="BE2" s="2"/>
      <c r="BF2" s="2"/>
      <c r="BG2" s="2"/>
      <c r="BH2" s="2"/>
      <c r="BI2" s="2"/>
      <c r="BJ2" s="2"/>
      <c r="BK2" s="2"/>
    </row>
    <row r="3" spans="1:63" ht="18.75" customHeight="1" thickBot="1" x14ac:dyDescent="0.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9"/>
      <c r="M3" s="10"/>
      <c r="N3" s="11"/>
      <c r="O3" s="12" t="s">
        <v>162</v>
      </c>
      <c r="P3" s="546" t="s">
        <v>163</v>
      </c>
      <c r="Q3" s="546"/>
      <c r="R3" s="546"/>
      <c r="S3" s="14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2"/>
      <c r="BK3" s="2"/>
    </row>
    <row r="4" spans="1:63" ht="18.75" customHeight="1" x14ac:dyDescent="0.25">
      <c r="A4" s="502"/>
      <c r="B4" s="547"/>
      <c r="C4" s="16"/>
      <c r="D4" s="501"/>
      <c r="E4" s="501"/>
      <c r="F4" s="501"/>
      <c r="G4" s="501"/>
      <c r="H4" s="501"/>
      <c r="I4" s="501"/>
      <c r="J4" s="501"/>
      <c r="K4" s="501"/>
      <c r="L4" s="18"/>
      <c r="M4" s="19"/>
      <c r="N4" s="20"/>
      <c r="O4" s="21"/>
      <c r="P4" s="22">
        <v>100</v>
      </c>
      <c r="Q4" s="22">
        <v>100</v>
      </c>
      <c r="R4" s="22">
        <v>100</v>
      </c>
      <c r="S4" s="22">
        <v>100</v>
      </c>
      <c r="T4" s="23"/>
      <c r="U4" s="2"/>
      <c r="V4" s="18"/>
      <c r="W4" s="24"/>
      <c r="X4" s="24"/>
      <c r="Y4" s="24"/>
      <c r="Z4" s="24"/>
      <c r="AA4" s="2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5"/>
      <c r="BK4" s="2"/>
    </row>
    <row r="5" spans="1:63" ht="18.75" customHeight="1" x14ac:dyDescent="0.25">
      <c r="A5" s="502"/>
      <c r="B5" s="548"/>
      <c r="C5" s="26"/>
      <c r="D5" s="19"/>
      <c r="E5" s="19"/>
      <c r="F5" s="19"/>
      <c r="G5" s="19"/>
      <c r="H5" s="19"/>
      <c r="I5" s="19"/>
      <c r="J5" s="19"/>
      <c r="K5" s="19"/>
      <c r="L5" s="19"/>
      <c r="M5" s="27"/>
      <c r="N5" s="2"/>
      <c r="O5" s="28" t="s">
        <v>168</v>
      </c>
      <c r="P5" s="29" t="s">
        <v>169</v>
      </c>
      <c r="Q5" s="29" t="s">
        <v>169</v>
      </c>
      <c r="R5" s="29" t="s">
        <v>169</v>
      </c>
      <c r="S5" s="29" t="s">
        <v>169</v>
      </c>
      <c r="T5" s="30" t="s">
        <v>170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5"/>
      <c r="BK5" s="2"/>
    </row>
    <row r="6" spans="1:63" ht="18.75" customHeight="1" x14ac:dyDescent="0.25">
      <c r="A6" s="502"/>
      <c r="B6" s="548"/>
      <c r="C6" s="19"/>
      <c r="D6" s="31"/>
      <c r="E6" s="541" t="s">
        <v>171</v>
      </c>
      <c r="F6" s="541"/>
      <c r="G6" s="541"/>
      <c r="H6" s="31"/>
      <c r="I6" s="19"/>
      <c r="J6" s="19"/>
      <c r="K6" s="19"/>
      <c r="L6" s="19"/>
      <c r="M6" s="27"/>
      <c r="N6" s="539" t="s">
        <v>172</v>
      </c>
      <c r="O6" s="539"/>
      <c r="P6" s="539"/>
      <c r="Q6" s="539"/>
      <c r="R6" s="32">
        <v>3</v>
      </c>
      <c r="S6" s="32">
        <v>4</v>
      </c>
      <c r="T6" s="3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5"/>
      <c r="BK6" s="2"/>
    </row>
    <row r="7" spans="1:63" ht="18.75" customHeight="1" x14ac:dyDescent="0.25">
      <c r="A7" s="502"/>
      <c r="B7" s="548"/>
      <c r="C7" s="19"/>
      <c r="D7" s="34"/>
      <c r="E7" s="35">
        <v>1</v>
      </c>
      <c r="F7" s="35">
        <v>2</v>
      </c>
      <c r="G7" s="35">
        <v>3</v>
      </c>
      <c r="H7" s="36"/>
      <c r="I7" s="27"/>
      <c r="J7" s="27"/>
      <c r="K7" s="27"/>
      <c r="L7" s="27"/>
      <c r="M7" s="27"/>
      <c r="N7" s="37">
        <v>1</v>
      </c>
      <c r="O7" s="37">
        <v>2</v>
      </c>
      <c r="P7" s="37">
        <v>3</v>
      </c>
      <c r="Q7" s="37">
        <v>4</v>
      </c>
      <c r="R7" s="38"/>
      <c r="S7" s="39"/>
      <c r="T7" s="40"/>
      <c r="U7" s="41" t="s">
        <v>175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5"/>
      <c r="BK7" s="2"/>
    </row>
    <row r="8" spans="1:63" ht="18.75" customHeight="1" x14ac:dyDescent="0.25">
      <c r="A8" s="502"/>
      <c r="B8" s="548"/>
      <c r="C8" s="19"/>
      <c r="D8" s="42" t="s">
        <v>168</v>
      </c>
      <c r="E8" s="43" t="s">
        <v>176</v>
      </c>
      <c r="F8" s="43" t="s">
        <v>176</v>
      </c>
      <c r="G8" s="43" t="s">
        <v>176</v>
      </c>
      <c r="H8" s="44"/>
      <c r="I8" s="19"/>
      <c r="J8" s="19"/>
      <c r="K8" s="19"/>
      <c r="L8" s="19"/>
      <c r="M8" s="45" t="s">
        <v>170</v>
      </c>
      <c r="N8" s="46" t="s">
        <v>176</v>
      </c>
      <c r="O8" s="46" t="s">
        <v>176</v>
      </c>
      <c r="P8" s="46" t="s">
        <v>176</v>
      </c>
      <c r="Q8" s="46" t="s">
        <v>176</v>
      </c>
      <c r="R8" s="38"/>
      <c r="S8" s="39"/>
      <c r="T8" s="47"/>
      <c r="U8" s="2"/>
      <c r="V8" s="2"/>
      <c r="W8" s="2"/>
      <c r="X8" s="2"/>
      <c r="Y8" s="2"/>
      <c r="Z8" s="2"/>
      <c r="AA8" s="2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5"/>
      <c r="BK8" s="2"/>
    </row>
    <row r="9" spans="1:63" ht="18.75" customHeight="1" thickBot="1" x14ac:dyDescent="0.3">
      <c r="A9" s="502"/>
      <c r="B9" s="548"/>
      <c r="C9" s="19"/>
      <c r="D9" s="43"/>
      <c r="E9" s="48">
        <v>250</v>
      </c>
      <c r="F9" s="49">
        <v>250</v>
      </c>
      <c r="G9" s="49">
        <v>250</v>
      </c>
      <c r="H9" s="43"/>
      <c r="I9" s="19"/>
      <c r="J9" s="499"/>
      <c r="K9" s="499"/>
      <c r="L9" s="499"/>
      <c r="M9" s="51"/>
      <c r="N9" s="52">
        <v>440</v>
      </c>
      <c r="O9" s="52">
        <v>440</v>
      </c>
      <c r="P9" s="52">
        <v>440</v>
      </c>
      <c r="Q9" s="52">
        <v>440</v>
      </c>
      <c r="R9" s="51"/>
      <c r="S9" s="39"/>
      <c r="T9" s="47"/>
      <c r="U9" s="2"/>
      <c r="V9" s="2"/>
      <c r="W9" s="2"/>
      <c r="X9" s="2"/>
      <c r="Y9" s="2"/>
      <c r="Z9" s="2"/>
      <c r="AA9" s="2"/>
      <c r="AB9" s="24"/>
      <c r="AC9" s="24"/>
      <c r="AD9" s="24"/>
      <c r="AE9" s="24"/>
      <c r="AF9" s="53"/>
      <c r="AG9" s="53"/>
      <c r="AH9" s="24"/>
      <c r="AI9" s="24"/>
      <c r="AJ9" s="24"/>
      <c r="AK9" s="24"/>
      <c r="AL9" s="24"/>
      <c r="AM9" s="24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5"/>
      <c r="BK9" s="2"/>
    </row>
    <row r="10" spans="1:63" ht="18.75" customHeight="1" x14ac:dyDescent="0.25">
      <c r="A10" s="498"/>
      <c r="B10" s="19"/>
      <c r="C10" s="19"/>
      <c r="D10" s="43"/>
      <c r="E10" s="48">
        <v>250</v>
      </c>
      <c r="F10" s="49">
        <v>250</v>
      </c>
      <c r="G10" s="48">
        <v>250</v>
      </c>
      <c r="H10" s="43"/>
      <c r="I10" s="19"/>
      <c r="J10" s="499"/>
      <c r="K10" s="499"/>
      <c r="L10" s="499"/>
      <c r="M10" s="51"/>
      <c r="N10" s="55">
        <v>240</v>
      </c>
      <c r="O10" s="55">
        <v>240</v>
      </c>
      <c r="P10" s="55">
        <v>240</v>
      </c>
      <c r="Q10" s="55">
        <v>240</v>
      </c>
      <c r="R10" s="51"/>
      <c r="S10" s="39"/>
      <c r="T10" s="47"/>
      <c r="U10" s="530" t="s">
        <v>179</v>
      </c>
      <c r="V10" s="531"/>
      <c r="W10" s="531"/>
      <c r="X10" s="531"/>
      <c r="Y10" s="531"/>
      <c r="Z10" s="531"/>
      <c r="AA10" s="531"/>
      <c r="AB10" s="531"/>
      <c r="AC10" s="531"/>
      <c r="AD10" s="531"/>
      <c r="AE10" s="531"/>
      <c r="AF10" s="531"/>
      <c r="AG10" s="531"/>
      <c r="AH10" s="531"/>
      <c r="AI10" s="531"/>
      <c r="AJ10" s="531"/>
      <c r="AK10" s="531"/>
      <c r="AL10" s="531"/>
      <c r="AM10" s="531"/>
      <c r="AN10" s="531"/>
      <c r="AO10" s="531"/>
      <c r="AP10" s="531"/>
      <c r="AQ10" s="531"/>
      <c r="AR10" s="531"/>
      <c r="AS10" s="531"/>
      <c r="AT10" s="531"/>
      <c r="AU10" s="53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5"/>
      <c r="BK10" s="2"/>
    </row>
    <row r="11" spans="1:63" ht="18.75" customHeight="1" x14ac:dyDescent="0.25">
      <c r="A11" s="498"/>
      <c r="B11" s="19"/>
      <c r="C11" s="19"/>
      <c r="D11" s="56" t="s">
        <v>181</v>
      </c>
      <c r="E11" s="43" t="s">
        <v>176</v>
      </c>
      <c r="F11" s="43" t="s">
        <v>176</v>
      </c>
      <c r="G11" s="43" t="s">
        <v>176</v>
      </c>
      <c r="H11" s="57"/>
      <c r="I11" s="19"/>
      <c r="J11" s="41"/>
      <c r="K11" s="19"/>
      <c r="L11" s="19"/>
      <c r="M11" s="41" t="s">
        <v>183</v>
      </c>
      <c r="N11" s="46" t="s">
        <v>176</v>
      </c>
      <c r="O11" s="46" t="s">
        <v>176</v>
      </c>
      <c r="P11" s="46" t="s">
        <v>176</v>
      </c>
      <c r="Q11" s="46" t="s">
        <v>176</v>
      </c>
      <c r="R11" s="38"/>
      <c r="S11" s="39"/>
      <c r="T11" s="47"/>
      <c r="U11" s="533"/>
      <c r="V11" s="534"/>
      <c r="W11" s="534"/>
      <c r="X11" s="534"/>
      <c r="Y11" s="534"/>
      <c r="Z11" s="534"/>
      <c r="AA11" s="534"/>
      <c r="AB11" s="534"/>
      <c r="AC11" s="534"/>
      <c r="AD11" s="534"/>
      <c r="AE11" s="534"/>
      <c r="AF11" s="534"/>
      <c r="AG11" s="534"/>
      <c r="AH11" s="534"/>
      <c r="AI11" s="534"/>
      <c r="AJ11" s="534"/>
      <c r="AK11" s="534"/>
      <c r="AL11" s="534"/>
      <c r="AM11" s="534"/>
      <c r="AN11" s="534"/>
      <c r="AO11" s="534"/>
      <c r="AP11" s="534"/>
      <c r="AQ11" s="534"/>
      <c r="AR11" s="534"/>
      <c r="AS11" s="534"/>
      <c r="AT11" s="534"/>
      <c r="AU11" s="535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5"/>
      <c r="BK11" s="2"/>
    </row>
    <row r="12" spans="1:63" ht="18.75" customHeight="1" x14ac:dyDescent="0.25">
      <c r="A12" s="498"/>
      <c r="B12" s="19"/>
      <c r="C12" s="19"/>
      <c r="D12" s="44"/>
      <c r="E12" s="35">
        <v>6</v>
      </c>
      <c r="F12" s="35">
        <v>5</v>
      </c>
      <c r="G12" s="35">
        <v>4</v>
      </c>
      <c r="H12" s="36"/>
      <c r="I12" s="19"/>
      <c r="J12" s="19"/>
      <c r="K12" s="19"/>
      <c r="L12" s="19"/>
      <c r="M12" s="19"/>
      <c r="N12" s="37">
        <v>8</v>
      </c>
      <c r="O12" s="37">
        <v>7</v>
      </c>
      <c r="P12" s="37">
        <v>6</v>
      </c>
      <c r="Q12" s="37">
        <v>5</v>
      </c>
      <c r="R12" s="38"/>
      <c r="S12" s="39"/>
      <c r="T12" s="47"/>
      <c r="U12" s="533"/>
      <c r="V12" s="534"/>
      <c r="W12" s="534"/>
      <c r="X12" s="534"/>
      <c r="Y12" s="534"/>
      <c r="Z12" s="534"/>
      <c r="AA12" s="534"/>
      <c r="AB12" s="534"/>
      <c r="AC12" s="534"/>
      <c r="AD12" s="534"/>
      <c r="AE12" s="534"/>
      <c r="AF12" s="534"/>
      <c r="AG12" s="534"/>
      <c r="AH12" s="534"/>
      <c r="AI12" s="534"/>
      <c r="AJ12" s="534"/>
      <c r="AK12" s="534"/>
      <c r="AL12" s="534"/>
      <c r="AM12" s="534"/>
      <c r="AN12" s="534"/>
      <c r="AO12" s="534"/>
      <c r="AP12" s="534"/>
      <c r="AQ12" s="534"/>
      <c r="AR12" s="534"/>
      <c r="AS12" s="534"/>
      <c r="AT12" s="534"/>
      <c r="AU12" s="535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5"/>
      <c r="BK12" s="2"/>
    </row>
    <row r="13" spans="1:63" ht="18.75" customHeight="1" x14ac:dyDescent="0.25">
      <c r="A13" s="498"/>
      <c r="B13" s="41"/>
      <c r="C13" s="19"/>
      <c r="D13" s="2"/>
      <c r="H13" s="60"/>
      <c r="I13" s="19"/>
      <c r="J13" s="19"/>
      <c r="K13" s="19"/>
      <c r="L13" s="19"/>
      <c r="M13" s="19"/>
      <c r="N13" s="539" t="s">
        <v>185</v>
      </c>
      <c r="O13" s="539"/>
      <c r="P13" s="539"/>
      <c r="Q13" s="539"/>
      <c r="R13" s="38"/>
      <c r="S13" s="39"/>
      <c r="T13" s="47"/>
      <c r="U13" s="533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34"/>
      <c r="AJ13" s="534"/>
      <c r="AK13" s="534"/>
      <c r="AL13" s="534"/>
      <c r="AM13" s="534"/>
      <c r="AN13" s="534"/>
      <c r="AO13" s="534"/>
      <c r="AP13" s="534"/>
      <c r="AQ13" s="534"/>
      <c r="AR13" s="534"/>
      <c r="AS13" s="534"/>
      <c r="AT13" s="534"/>
      <c r="AU13" s="535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5"/>
      <c r="BK13" s="2"/>
    </row>
    <row r="14" spans="1:63" ht="18.75" customHeight="1" x14ac:dyDescent="0.25">
      <c r="A14" s="61"/>
      <c r="B14" s="19"/>
      <c r="C14" s="2"/>
      <c r="D14" s="62"/>
      <c r="E14" s="63"/>
      <c r="F14" s="62"/>
      <c r="G14" s="63"/>
      <c r="H14" s="19"/>
      <c r="I14" s="19"/>
      <c r="J14" s="19"/>
      <c r="K14" s="500"/>
      <c r="L14" s="500"/>
      <c r="M14" s="65"/>
      <c r="N14" s="19"/>
      <c r="O14" s="540"/>
      <c r="P14" s="540"/>
      <c r="Q14" s="19"/>
      <c r="R14" s="38"/>
      <c r="S14" s="39"/>
      <c r="T14" s="47"/>
      <c r="U14" s="533"/>
      <c r="V14" s="534"/>
      <c r="W14" s="534"/>
      <c r="X14" s="534"/>
      <c r="Y14" s="534"/>
      <c r="Z14" s="534"/>
      <c r="AA14" s="534"/>
      <c r="AB14" s="534"/>
      <c r="AC14" s="534"/>
      <c r="AD14" s="534"/>
      <c r="AE14" s="534"/>
      <c r="AF14" s="534"/>
      <c r="AG14" s="534"/>
      <c r="AH14" s="534"/>
      <c r="AI14" s="534"/>
      <c r="AJ14" s="534"/>
      <c r="AK14" s="534"/>
      <c r="AL14" s="534"/>
      <c r="AM14" s="534"/>
      <c r="AN14" s="534"/>
      <c r="AO14" s="534"/>
      <c r="AP14" s="534"/>
      <c r="AQ14" s="534"/>
      <c r="AR14" s="534"/>
      <c r="AS14" s="534"/>
      <c r="AT14" s="534"/>
      <c r="AU14" s="535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5"/>
      <c r="BK14" s="2"/>
    </row>
    <row r="15" spans="1:63" ht="18.75" customHeight="1" x14ac:dyDescent="0.25">
      <c r="A15" s="41" t="s">
        <v>190</v>
      </c>
      <c r="C15" s="41"/>
      <c r="D15" s="19"/>
      <c r="E15" s="498"/>
      <c r="F15" s="498"/>
      <c r="G15" s="503"/>
      <c r="H15" s="19"/>
      <c r="I15" s="19"/>
      <c r="J15" s="19"/>
      <c r="K15" s="500"/>
      <c r="L15" s="500"/>
      <c r="M15" s="65"/>
      <c r="N15" s="498"/>
      <c r="O15" s="498"/>
      <c r="P15" s="498"/>
      <c r="Q15" s="498"/>
      <c r="R15" s="38"/>
      <c r="S15" s="39"/>
      <c r="T15" s="47"/>
      <c r="U15" s="533"/>
      <c r="V15" s="534"/>
      <c r="W15" s="534"/>
      <c r="X15" s="534"/>
      <c r="Y15" s="534"/>
      <c r="Z15" s="534"/>
      <c r="AA15" s="534"/>
      <c r="AB15" s="534"/>
      <c r="AC15" s="534"/>
      <c r="AD15" s="534"/>
      <c r="AE15" s="534"/>
      <c r="AF15" s="534"/>
      <c r="AG15" s="534"/>
      <c r="AH15" s="534"/>
      <c r="AI15" s="534"/>
      <c r="AJ15" s="534"/>
      <c r="AK15" s="534"/>
      <c r="AL15" s="534"/>
      <c r="AM15" s="534"/>
      <c r="AN15" s="534"/>
      <c r="AO15" s="534"/>
      <c r="AP15" s="534"/>
      <c r="AQ15" s="534"/>
      <c r="AR15" s="534"/>
      <c r="AS15" s="534"/>
      <c r="AT15" s="534"/>
      <c r="AU15" s="535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5"/>
      <c r="BK15" s="2"/>
    </row>
    <row r="16" spans="1:63" ht="18.75" customHeight="1" x14ac:dyDescent="0.25">
      <c r="A16" s="541" t="s">
        <v>192</v>
      </c>
      <c r="B16" s="541"/>
      <c r="C16" s="31"/>
      <c r="D16" s="56"/>
      <c r="E16" s="498"/>
      <c r="F16" s="498"/>
      <c r="G16" s="503"/>
      <c r="H16" s="19"/>
      <c r="I16" s="19"/>
      <c r="J16" s="19"/>
      <c r="K16" s="500"/>
      <c r="L16" s="500"/>
      <c r="M16" s="18"/>
      <c r="N16" s="498"/>
      <c r="O16" s="498"/>
      <c r="P16" s="498"/>
      <c r="Q16" s="498"/>
      <c r="R16" s="38"/>
      <c r="S16" s="39"/>
      <c r="T16" s="47"/>
      <c r="U16" s="533"/>
      <c r="V16" s="534"/>
      <c r="W16" s="534"/>
      <c r="X16" s="534"/>
      <c r="Y16" s="534"/>
      <c r="Z16" s="534"/>
      <c r="AA16" s="534"/>
      <c r="AB16" s="534"/>
      <c r="AC16" s="534"/>
      <c r="AD16" s="534"/>
      <c r="AE16" s="534"/>
      <c r="AF16" s="534"/>
      <c r="AG16" s="534"/>
      <c r="AH16" s="534"/>
      <c r="AI16" s="534"/>
      <c r="AJ16" s="534"/>
      <c r="AK16" s="534"/>
      <c r="AL16" s="534"/>
      <c r="AM16" s="534"/>
      <c r="AN16" s="534"/>
      <c r="AO16" s="534"/>
      <c r="AP16" s="534"/>
      <c r="AQ16" s="534"/>
      <c r="AR16" s="534"/>
      <c r="AS16" s="534"/>
      <c r="AT16" s="534"/>
      <c r="AU16" s="535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5"/>
      <c r="BK16" s="2"/>
    </row>
    <row r="17" spans="1:63" ht="18.75" customHeight="1" x14ac:dyDescent="0.25">
      <c r="A17" s="43"/>
      <c r="B17" s="42" t="s">
        <v>194</v>
      </c>
      <c r="C17" s="31"/>
      <c r="D17" s="67"/>
      <c r="E17" s="19"/>
      <c r="F17" s="19"/>
      <c r="G17" s="63"/>
      <c r="H17" s="19"/>
      <c r="I17" s="19"/>
      <c r="J17" s="19"/>
      <c r="K17" s="41"/>
      <c r="L17" s="41"/>
      <c r="M17" s="65"/>
      <c r="N17" s="41" t="s">
        <v>197</v>
      </c>
      <c r="O17" s="18"/>
      <c r="P17" s="19"/>
      <c r="Q17" s="19"/>
      <c r="R17" s="38"/>
      <c r="S17" s="39"/>
      <c r="T17" s="68"/>
      <c r="U17" s="533"/>
      <c r="V17" s="534"/>
      <c r="W17" s="534"/>
      <c r="X17" s="534"/>
      <c r="Y17" s="534"/>
      <c r="Z17" s="534"/>
      <c r="AA17" s="534"/>
      <c r="AB17" s="534"/>
      <c r="AC17" s="534"/>
      <c r="AD17" s="534"/>
      <c r="AE17" s="534"/>
      <c r="AF17" s="534"/>
      <c r="AG17" s="534"/>
      <c r="AH17" s="534"/>
      <c r="AI17" s="534"/>
      <c r="AJ17" s="534"/>
      <c r="AK17" s="534"/>
      <c r="AL17" s="534"/>
      <c r="AM17" s="534"/>
      <c r="AN17" s="534"/>
      <c r="AO17" s="534"/>
      <c r="AP17" s="534"/>
      <c r="AQ17" s="534"/>
      <c r="AR17" s="534"/>
      <c r="AS17" s="534"/>
      <c r="AT17" s="534"/>
      <c r="AU17" s="535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5"/>
      <c r="BK17" s="2"/>
    </row>
    <row r="18" spans="1:63" ht="18.75" customHeight="1" thickBot="1" x14ac:dyDescent="0.3">
      <c r="A18" s="49">
        <v>150</v>
      </c>
      <c r="B18" s="43" t="s">
        <v>176</v>
      </c>
      <c r="C18" s="69">
        <v>1</v>
      </c>
      <c r="D18" s="31"/>
      <c r="E18" s="19"/>
      <c r="F18" s="19"/>
      <c r="G18" s="19"/>
      <c r="H18" s="19"/>
      <c r="I18" s="19"/>
      <c r="J18" s="19"/>
      <c r="K18" s="19"/>
      <c r="L18" s="542" t="s">
        <v>198</v>
      </c>
      <c r="M18" s="542"/>
      <c r="N18" s="19"/>
      <c r="O18" s="19"/>
      <c r="P18" s="70"/>
      <c r="Q18" s="19"/>
      <c r="R18" s="19"/>
      <c r="S18" s="71"/>
      <c r="T18" s="33"/>
      <c r="U18" s="533"/>
      <c r="V18" s="534"/>
      <c r="W18" s="534"/>
      <c r="X18" s="534"/>
      <c r="Y18" s="534"/>
      <c r="Z18" s="534"/>
      <c r="AA18" s="534"/>
      <c r="AB18" s="534"/>
      <c r="AC18" s="534"/>
      <c r="AD18" s="534"/>
      <c r="AE18" s="534"/>
      <c r="AF18" s="534"/>
      <c r="AG18" s="534"/>
      <c r="AH18" s="534"/>
      <c r="AI18" s="534"/>
      <c r="AJ18" s="534"/>
      <c r="AK18" s="534"/>
      <c r="AL18" s="534"/>
      <c r="AM18" s="534"/>
      <c r="AN18" s="534"/>
      <c r="AO18" s="534"/>
      <c r="AP18" s="534"/>
      <c r="AQ18" s="534"/>
      <c r="AR18" s="534"/>
      <c r="AS18" s="534"/>
      <c r="AT18" s="534"/>
      <c r="AU18" s="535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5"/>
      <c r="BK18" s="2"/>
    </row>
    <row r="19" spans="1:63" ht="18.75" customHeight="1" x14ac:dyDescent="0.25">
      <c r="A19" s="49">
        <v>150</v>
      </c>
      <c r="B19" s="43" t="s">
        <v>176</v>
      </c>
      <c r="C19" s="69">
        <v>2</v>
      </c>
      <c r="D19" s="31"/>
      <c r="E19" s="19"/>
      <c r="F19" s="19"/>
      <c r="G19" s="19"/>
      <c r="H19" s="19"/>
      <c r="I19" s="19"/>
      <c r="J19" s="19"/>
      <c r="K19" s="45" t="s">
        <v>194</v>
      </c>
      <c r="L19" s="72"/>
      <c r="M19" s="72"/>
      <c r="N19" s="73" t="s">
        <v>199</v>
      </c>
      <c r="O19" s="19"/>
      <c r="P19" s="65"/>
      <c r="Q19" s="19"/>
      <c r="R19" s="70"/>
      <c r="S19" s="70"/>
      <c r="T19" s="41"/>
      <c r="U19" s="533"/>
      <c r="V19" s="534"/>
      <c r="W19" s="534"/>
      <c r="X19" s="534"/>
      <c r="Y19" s="534"/>
      <c r="Z19" s="534"/>
      <c r="AA19" s="534"/>
      <c r="AB19" s="534"/>
      <c r="AC19" s="534"/>
      <c r="AD19" s="534"/>
      <c r="AE19" s="534"/>
      <c r="AF19" s="534"/>
      <c r="AG19" s="534"/>
      <c r="AH19" s="534"/>
      <c r="AI19" s="534"/>
      <c r="AJ19" s="534"/>
      <c r="AK19" s="534"/>
      <c r="AL19" s="534"/>
      <c r="AM19" s="534"/>
      <c r="AN19" s="534"/>
      <c r="AO19" s="534"/>
      <c r="AP19" s="534"/>
      <c r="AQ19" s="534"/>
      <c r="AR19" s="534"/>
      <c r="AS19" s="534"/>
      <c r="AT19" s="534"/>
      <c r="AU19" s="535"/>
      <c r="AV19" s="74"/>
      <c r="AW19" s="74"/>
      <c r="AX19" s="74"/>
      <c r="AY19" s="74"/>
      <c r="AZ19" s="74"/>
      <c r="BA19" s="74"/>
      <c r="BB19" s="74"/>
      <c r="BC19" s="74"/>
      <c r="BD19" s="74"/>
      <c r="BE19" s="75"/>
      <c r="BF19" s="25"/>
      <c r="BG19" s="2"/>
      <c r="BH19" s="2"/>
      <c r="BI19" s="2"/>
      <c r="BJ19" s="25"/>
      <c r="BK19" s="2"/>
    </row>
    <row r="20" spans="1:63" ht="18.75" customHeight="1" x14ac:dyDescent="0.25">
      <c r="A20" s="48">
        <v>150</v>
      </c>
      <c r="B20" s="43" t="s">
        <v>176</v>
      </c>
      <c r="C20" s="69">
        <v>3</v>
      </c>
      <c r="D20" s="31"/>
      <c r="E20" s="19"/>
      <c r="F20" s="19"/>
      <c r="G20" s="19"/>
      <c r="H20" s="19"/>
      <c r="I20" s="19"/>
      <c r="J20" s="76">
        <v>1</v>
      </c>
      <c r="K20" s="77" t="s">
        <v>176</v>
      </c>
      <c r="L20" s="78">
        <v>340</v>
      </c>
      <c r="M20" s="78">
        <v>340</v>
      </c>
      <c r="N20" s="77" t="s">
        <v>176</v>
      </c>
      <c r="O20" s="79">
        <v>8</v>
      </c>
      <c r="P20" s="65"/>
      <c r="Q20" s="2"/>
      <c r="R20" s="19"/>
      <c r="S20" s="80"/>
      <c r="T20" s="81"/>
      <c r="U20" s="533"/>
      <c r="V20" s="534"/>
      <c r="W20" s="534"/>
      <c r="X20" s="534"/>
      <c r="Y20" s="534"/>
      <c r="Z20" s="534"/>
      <c r="AA20" s="534"/>
      <c r="AB20" s="534"/>
      <c r="AC20" s="534"/>
      <c r="AD20" s="534"/>
      <c r="AE20" s="534"/>
      <c r="AF20" s="534"/>
      <c r="AG20" s="534"/>
      <c r="AH20" s="534"/>
      <c r="AI20" s="534"/>
      <c r="AJ20" s="534"/>
      <c r="AK20" s="534"/>
      <c r="AL20" s="534"/>
      <c r="AM20" s="534"/>
      <c r="AN20" s="534"/>
      <c r="AO20" s="534"/>
      <c r="AP20" s="534"/>
      <c r="AQ20" s="534"/>
      <c r="AR20" s="534"/>
      <c r="AS20" s="534"/>
      <c r="AT20" s="534"/>
      <c r="AU20" s="535"/>
      <c r="AV20" s="2"/>
      <c r="AW20" s="2"/>
      <c r="AX20" s="2"/>
      <c r="AY20" s="2"/>
      <c r="AZ20" s="2"/>
      <c r="BA20" s="2"/>
      <c r="BB20" s="2"/>
      <c r="BC20" s="2"/>
      <c r="BD20" s="2"/>
      <c r="BE20" s="82"/>
      <c r="BF20" s="25"/>
      <c r="BG20" s="2"/>
      <c r="BH20" s="2"/>
      <c r="BI20" s="2"/>
      <c r="BJ20" s="25"/>
      <c r="BK20" s="2"/>
    </row>
    <row r="21" spans="1:63" ht="18.75" customHeight="1" thickBot="1" x14ac:dyDescent="0.3">
      <c r="A21" s="48">
        <v>150</v>
      </c>
      <c r="B21" s="43" t="s">
        <v>176</v>
      </c>
      <c r="C21" s="69">
        <v>4</v>
      </c>
      <c r="D21" s="31"/>
      <c r="E21" s="41"/>
      <c r="F21" s="19"/>
      <c r="G21" s="19"/>
      <c r="H21" s="19"/>
      <c r="I21" s="19"/>
      <c r="J21" s="76">
        <v>2</v>
      </c>
      <c r="K21" s="77" t="s">
        <v>176</v>
      </c>
      <c r="L21" s="78">
        <v>340</v>
      </c>
      <c r="M21" s="78">
        <v>340</v>
      </c>
      <c r="N21" s="77" t="s">
        <v>176</v>
      </c>
      <c r="O21" s="79">
        <v>7</v>
      </c>
      <c r="P21" s="65"/>
      <c r="Q21" s="83"/>
      <c r="R21" s="19"/>
      <c r="S21" s="81"/>
      <c r="T21" s="84"/>
      <c r="U21" s="536"/>
      <c r="V21" s="537"/>
      <c r="W21" s="537"/>
      <c r="X21" s="537"/>
      <c r="Y21" s="537"/>
      <c r="Z21" s="537"/>
      <c r="AA21" s="537"/>
      <c r="AB21" s="537"/>
      <c r="AC21" s="537"/>
      <c r="AD21" s="537"/>
      <c r="AE21" s="537"/>
      <c r="AF21" s="537"/>
      <c r="AG21" s="537"/>
      <c r="AH21" s="537"/>
      <c r="AI21" s="537"/>
      <c r="AJ21" s="537"/>
      <c r="AK21" s="537"/>
      <c r="AL21" s="537"/>
      <c r="AM21" s="537"/>
      <c r="AN21" s="537"/>
      <c r="AO21" s="537"/>
      <c r="AP21" s="537"/>
      <c r="AQ21" s="537"/>
      <c r="AR21" s="537"/>
      <c r="AS21" s="537"/>
      <c r="AT21" s="537"/>
      <c r="AU21" s="538"/>
      <c r="AV21" s="2"/>
      <c r="AW21" s="2"/>
      <c r="AX21" s="2"/>
      <c r="AY21" s="2"/>
      <c r="AZ21" s="2"/>
      <c r="BA21" s="2"/>
      <c r="BB21" s="2"/>
      <c r="BC21" s="2"/>
      <c r="BD21" s="2"/>
      <c r="BE21" s="82"/>
      <c r="BF21" s="25"/>
      <c r="BG21" s="2"/>
      <c r="BH21" s="2"/>
      <c r="BI21" s="2"/>
      <c r="BJ21" s="25"/>
      <c r="BK21" s="2"/>
    </row>
    <row r="22" spans="1:63" ht="18.75" customHeight="1" thickBot="1" x14ac:dyDescent="0.3">
      <c r="A22" s="85">
        <v>340</v>
      </c>
      <c r="B22" s="86" t="s">
        <v>176</v>
      </c>
      <c r="C22" s="69">
        <v>5</v>
      </c>
      <c r="D22" s="87"/>
      <c r="E22" s="498"/>
      <c r="F22" s="498"/>
      <c r="G22" s="498"/>
      <c r="H22" s="2"/>
      <c r="I22" s="2"/>
      <c r="J22" s="76">
        <v>3</v>
      </c>
      <c r="K22" s="77" t="s">
        <v>176</v>
      </c>
      <c r="L22" s="78">
        <v>340</v>
      </c>
      <c r="M22" s="78">
        <v>340</v>
      </c>
      <c r="N22" s="77" t="s">
        <v>176</v>
      </c>
      <c r="O22" s="79">
        <v>6</v>
      </c>
      <c r="P22" s="65"/>
      <c r="Q22" s="65"/>
      <c r="R22" s="81"/>
      <c r="S22" s="84"/>
      <c r="T22" s="88"/>
      <c r="U22" s="58"/>
      <c r="V22" s="41"/>
      <c r="W22" s="58"/>
      <c r="X22" s="58"/>
      <c r="Y22" s="58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58"/>
      <c r="AP22" s="58"/>
      <c r="AQ22" s="58"/>
      <c r="AR22" s="58"/>
      <c r="AS22" s="58"/>
      <c r="AT22" s="58"/>
      <c r="AU22" s="59"/>
      <c r="AV22" s="25"/>
      <c r="AW22" s="2"/>
      <c r="AX22" s="2"/>
      <c r="AY22" s="2"/>
      <c r="AZ22" s="2"/>
      <c r="BA22" s="2"/>
      <c r="BB22" s="2"/>
      <c r="BC22" s="2"/>
      <c r="BD22" s="2"/>
      <c r="BE22" s="82"/>
      <c r="BF22" s="25"/>
      <c r="BG22" s="2"/>
      <c r="BH22" s="2"/>
      <c r="BI22" s="2"/>
      <c r="BJ22" s="25"/>
      <c r="BK22" s="2"/>
    </row>
    <row r="23" spans="1:63" ht="18.75" customHeight="1" thickBot="1" x14ac:dyDescent="0.3">
      <c r="A23" s="85">
        <v>340</v>
      </c>
      <c r="B23" s="86" t="s">
        <v>176</v>
      </c>
      <c r="C23" s="69">
        <v>6</v>
      </c>
      <c r="D23" s="31"/>
      <c r="E23" s="498"/>
      <c r="F23" s="498"/>
      <c r="G23" s="498"/>
      <c r="H23" s="89"/>
      <c r="I23" s="2"/>
      <c r="J23" s="76">
        <v>4</v>
      </c>
      <c r="K23" s="77" t="s">
        <v>176</v>
      </c>
      <c r="L23" s="78">
        <v>340</v>
      </c>
      <c r="M23" s="78">
        <v>340</v>
      </c>
      <c r="N23" s="77" t="s">
        <v>176</v>
      </c>
      <c r="O23" s="79">
        <v>5</v>
      </c>
      <c r="P23" s="65"/>
      <c r="Q23" s="81"/>
      <c r="R23" s="84"/>
      <c r="S23" s="88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5"/>
      <c r="AW23" s="2"/>
      <c r="AX23" s="2"/>
      <c r="AY23" s="2"/>
      <c r="AZ23" s="2"/>
      <c r="BA23" s="2"/>
      <c r="BB23" s="2"/>
      <c r="BC23" s="2"/>
      <c r="BD23" s="2"/>
      <c r="BE23" s="82"/>
      <c r="BF23" s="25"/>
      <c r="BG23" s="2"/>
      <c r="BH23" s="2"/>
      <c r="BI23" s="2"/>
      <c r="BJ23" s="25"/>
      <c r="BK23" s="2"/>
    </row>
    <row r="24" spans="1:63" ht="18.75" customHeight="1" thickBot="1" x14ac:dyDescent="0.3">
      <c r="A24" s="85">
        <v>340</v>
      </c>
      <c r="B24" s="86" t="s">
        <v>176</v>
      </c>
      <c r="C24" s="90">
        <v>7</v>
      </c>
      <c r="D24" s="91"/>
      <c r="F24" s="92"/>
      <c r="G24" s="92"/>
      <c r="H24" s="93"/>
      <c r="I24" s="2"/>
      <c r="J24" s="2"/>
      <c r="K24" s="41" t="s">
        <v>204</v>
      </c>
      <c r="L24" s="72"/>
      <c r="M24" s="72"/>
      <c r="N24" s="94"/>
      <c r="O24" s="65"/>
      <c r="P24" s="81"/>
      <c r="Q24" s="84"/>
      <c r="R24" s="88"/>
      <c r="S24" s="521"/>
      <c r="T24" s="41"/>
      <c r="U24" s="91"/>
      <c r="V24" s="522"/>
      <c r="W24" s="91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25"/>
      <c r="AW24" s="2"/>
      <c r="AX24" s="2"/>
      <c r="AY24" s="2"/>
      <c r="AZ24" s="2"/>
      <c r="BA24" s="97" t="s">
        <v>208</v>
      </c>
      <c r="BB24" s="2"/>
      <c r="BC24" s="2"/>
      <c r="BD24" s="2"/>
      <c r="BE24" s="82"/>
      <c r="BF24" s="25"/>
      <c r="BG24" s="98"/>
      <c r="BH24" s="98"/>
      <c r="BI24" s="99"/>
      <c r="BJ24" s="25"/>
      <c r="BK24" s="2"/>
    </row>
    <row r="25" spans="1:63" ht="18.75" customHeight="1" thickBot="1" x14ac:dyDescent="0.3">
      <c r="A25" s="100">
        <v>340</v>
      </c>
      <c r="B25" s="86" t="s">
        <v>176</v>
      </c>
      <c r="C25" s="90">
        <v>8</v>
      </c>
      <c r="D25" s="31"/>
      <c r="E25" s="101"/>
      <c r="F25" s="101"/>
      <c r="G25" s="101"/>
      <c r="H25" s="101"/>
      <c r="I25" s="101"/>
      <c r="J25" s="2"/>
      <c r="K25" s="102"/>
      <c r="L25" s="19"/>
      <c r="M25" s="19"/>
      <c r="N25" s="103"/>
      <c r="O25" s="103"/>
      <c r="P25" s="84"/>
      <c r="Q25" s="88"/>
      <c r="R25" s="521"/>
      <c r="S25" s="63"/>
      <c r="T25" s="19"/>
      <c r="U25" s="522"/>
      <c r="V25" s="91"/>
      <c r="W25" s="522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25"/>
      <c r="AW25" s="2"/>
      <c r="AX25" s="2"/>
      <c r="AY25" s="2"/>
      <c r="AZ25" s="2"/>
      <c r="BA25" s="2"/>
      <c r="BB25" s="2"/>
      <c r="BC25" s="2"/>
      <c r="BD25" s="2"/>
      <c r="BE25" s="82"/>
      <c r="BF25" s="25"/>
      <c r="BG25" s="2"/>
      <c r="BH25" s="2"/>
      <c r="BI25" s="2"/>
      <c r="BJ25" s="25"/>
      <c r="BK25" s="2"/>
    </row>
    <row r="26" spans="1:63" ht="18.75" customHeight="1" thickBot="1" x14ac:dyDescent="0.3">
      <c r="A26" s="100">
        <v>340</v>
      </c>
      <c r="B26" s="86" t="s">
        <v>176</v>
      </c>
      <c r="C26" s="90">
        <v>9</v>
      </c>
      <c r="D26" s="31"/>
      <c r="E26" s="549"/>
      <c r="F26" s="549"/>
      <c r="G26" s="549"/>
      <c r="H26" s="549"/>
      <c r="I26" s="93"/>
      <c r="J26" s="104"/>
      <c r="K26" s="105"/>
      <c r="L26" s="106"/>
      <c r="M26" s="106"/>
      <c r="N26" s="106"/>
      <c r="O26" s="106"/>
      <c r="P26" s="88"/>
      <c r="Q26" s="521"/>
      <c r="R26" s="63"/>
      <c r="S26" s="19"/>
      <c r="T26" s="19"/>
      <c r="U26" s="91"/>
      <c r="V26" s="522"/>
      <c r="W26" s="91"/>
      <c r="X26" s="19"/>
      <c r="Y26" s="19"/>
      <c r="Z26" s="19"/>
      <c r="AA26" s="19"/>
      <c r="AB26" s="19"/>
      <c r="AC26" s="19"/>
      <c r="AD26" s="19"/>
      <c r="AE26" s="550"/>
      <c r="AF26" s="550"/>
      <c r="AG26" s="550"/>
      <c r="AH26" s="19"/>
      <c r="AI26" s="19"/>
      <c r="AJ26" s="19"/>
      <c r="AK26" s="19"/>
      <c r="AL26" s="19"/>
      <c r="AT26" s="19"/>
      <c r="AU26" s="19"/>
      <c r="AV26" s="25"/>
      <c r="AW26" s="2"/>
      <c r="AX26" s="2"/>
      <c r="AY26" s="2"/>
      <c r="AZ26" s="2"/>
      <c r="BA26" s="2"/>
      <c r="BB26" s="2"/>
      <c r="BC26" s="2"/>
      <c r="BD26" s="2"/>
      <c r="BE26" s="82"/>
      <c r="BF26" s="25"/>
      <c r="BG26" s="2"/>
      <c r="BH26" s="2"/>
      <c r="BI26" s="2"/>
      <c r="BJ26" s="25"/>
      <c r="BK26" s="2"/>
    </row>
    <row r="27" spans="1:63" ht="18.75" customHeight="1" thickBot="1" x14ac:dyDescent="0.3">
      <c r="A27" s="100">
        <v>340</v>
      </c>
      <c r="B27" s="86" t="s">
        <v>176</v>
      </c>
      <c r="C27" s="90">
        <v>10</v>
      </c>
      <c r="D27" s="31"/>
      <c r="E27" s="500"/>
      <c r="F27" s="500"/>
      <c r="G27" s="500"/>
      <c r="H27" s="500"/>
      <c r="I27" s="108"/>
      <c r="J27" s="19"/>
      <c r="L27" s="45" t="s">
        <v>211</v>
      </c>
      <c r="M27" s="46"/>
      <c r="N27" s="109"/>
      <c r="O27" s="110"/>
      <c r="P27" s="521"/>
      <c r="Q27" s="63"/>
      <c r="R27" s="6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11"/>
      <c r="AG27" s="19"/>
      <c r="AH27" s="19"/>
      <c r="AI27" s="19"/>
      <c r="AJ27" s="19"/>
      <c r="AK27" s="19"/>
      <c r="AL27" s="19"/>
      <c r="AM27" s="19"/>
      <c r="AN27" s="19"/>
      <c r="AO27" s="19"/>
      <c r="AT27" s="19"/>
      <c r="AU27" s="19"/>
      <c r="AV27" s="25"/>
      <c r="AW27" s="2"/>
      <c r="AX27" s="2"/>
      <c r="AY27" s="2"/>
      <c r="AZ27" s="2"/>
      <c r="BA27" s="2"/>
      <c r="BB27" s="2"/>
      <c r="BC27" s="2"/>
      <c r="BD27" s="2"/>
      <c r="BE27" s="82"/>
      <c r="BF27" s="25"/>
      <c r="BG27" s="2"/>
      <c r="BH27" s="2"/>
      <c r="BI27" s="2"/>
      <c r="BJ27" s="25"/>
      <c r="BK27" s="2"/>
    </row>
    <row r="28" spans="1:63" ht="18.75" customHeight="1" x14ac:dyDescent="0.25">
      <c r="A28" s="42" t="s">
        <v>211</v>
      </c>
      <c r="B28" s="541" t="s">
        <v>198</v>
      </c>
      <c r="C28" s="541"/>
      <c r="D28" s="541"/>
      <c r="E28" s="500"/>
      <c r="F28" s="500"/>
      <c r="G28" s="500"/>
      <c r="H28" s="500"/>
      <c r="I28" s="112"/>
      <c r="J28" s="19"/>
      <c r="K28" s="76">
        <v>1</v>
      </c>
      <c r="L28" s="46" t="s">
        <v>176</v>
      </c>
      <c r="M28" s="113">
        <v>240</v>
      </c>
      <c r="N28" s="519"/>
      <c r="O28" s="519"/>
      <c r="P28" s="63"/>
      <c r="Q28" s="65"/>
      <c r="R28" s="19"/>
      <c r="S28" s="19"/>
      <c r="T28" s="19"/>
      <c r="U28" s="111">
        <v>1</v>
      </c>
      <c r="V28" s="111">
        <v>2</v>
      </c>
      <c r="W28" s="111">
        <v>3</v>
      </c>
      <c r="X28" s="19"/>
      <c r="Y28" s="19"/>
      <c r="Z28" s="19"/>
      <c r="AA28" s="19"/>
      <c r="AB28" s="19"/>
      <c r="AC28" s="63"/>
      <c r="AE28" s="83"/>
      <c r="AF28" s="115"/>
      <c r="AG28" s="19"/>
      <c r="AH28" s="19"/>
      <c r="AI28" s="63"/>
      <c r="AJ28" s="2"/>
      <c r="AK28" s="2"/>
      <c r="AL28" s="2"/>
      <c r="AM28" s="19"/>
      <c r="AN28" s="19"/>
      <c r="AO28" s="19"/>
      <c r="AT28" s="2"/>
      <c r="AU28" s="19"/>
      <c r="AV28" s="25"/>
      <c r="AW28" s="2"/>
      <c r="AX28" s="2"/>
      <c r="AY28" s="2"/>
      <c r="AZ28" s="2"/>
      <c r="BA28" s="2"/>
      <c r="BB28" s="2"/>
      <c r="BC28" s="2"/>
      <c r="BD28" s="2"/>
      <c r="BE28" s="82"/>
      <c r="BF28" s="25"/>
      <c r="BG28" s="2"/>
      <c r="BH28" s="2"/>
      <c r="BI28" s="2"/>
      <c r="BJ28" s="25"/>
      <c r="BK28" s="2"/>
    </row>
    <row r="29" spans="1:63" ht="18.75" customHeight="1" thickBot="1" x14ac:dyDescent="0.3">
      <c r="A29" s="116">
        <v>250</v>
      </c>
      <c r="B29" s="117" t="s">
        <v>176</v>
      </c>
      <c r="C29" s="118">
        <v>1</v>
      </c>
      <c r="D29" s="112"/>
      <c r="E29" s="119"/>
      <c r="F29" s="119"/>
      <c r="G29" s="119"/>
      <c r="H29" s="119"/>
      <c r="I29" s="112"/>
      <c r="J29" s="19"/>
      <c r="K29" s="76">
        <v>2</v>
      </c>
      <c r="L29" s="46" t="s">
        <v>176</v>
      </c>
      <c r="M29" s="113">
        <v>240</v>
      </c>
      <c r="N29" s="519"/>
      <c r="O29" s="120"/>
      <c r="P29" s="63"/>
      <c r="Q29" s="65"/>
      <c r="R29" s="63"/>
      <c r="S29" s="19"/>
      <c r="T29" s="83" t="s">
        <v>214</v>
      </c>
      <c r="U29" s="121" t="s">
        <v>176</v>
      </c>
      <c r="V29" s="121" t="s">
        <v>176</v>
      </c>
      <c r="W29" s="121" t="s">
        <v>176</v>
      </c>
      <c r="X29" s="73" t="s">
        <v>215</v>
      </c>
      <c r="Y29" s="120" t="s">
        <v>216</v>
      </c>
      <c r="Z29"/>
      <c r="AA29" s="122"/>
      <c r="AB29" s="122"/>
      <c r="AC29" s="1"/>
      <c r="AE29" s="123"/>
      <c r="AF29" s="124"/>
      <c r="AG29" s="123"/>
      <c r="AH29" s="19"/>
      <c r="AM29" s="19"/>
      <c r="AN29" s="19"/>
      <c r="AO29" s="19"/>
      <c r="AT29" s="2"/>
      <c r="AU29" s="19"/>
      <c r="AV29" s="125"/>
      <c r="AW29" s="126"/>
      <c r="AX29" s="126"/>
      <c r="AY29" s="126"/>
      <c r="AZ29" s="126"/>
      <c r="BA29" s="126"/>
      <c r="BB29" s="126"/>
      <c r="BC29" s="126"/>
      <c r="BD29" s="126"/>
      <c r="BE29" s="127"/>
      <c r="BF29" s="25"/>
      <c r="BG29" s="2"/>
      <c r="BH29" s="2"/>
      <c r="BI29" s="82"/>
      <c r="BJ29" s="25"/>
      <c r="BK29" s="128"/>
    </row>
    <row r="30" spans="1:63" ht="18.75" customHeight="1" x14ac:dyDescent="0.25">
      <c r="A30" s="116">
        <v>250</v>
      </c>
      <c r="B30" s="117" t="s">
        <v>176</v>
      </c>
      <c r="C30" s="118">
        <v>2</v>
      </c>
      <c r="D30" s="129"/>
      <c r="E30" s="94"/>
      <c r="F30" s="94"/>
      <c r="G30" s="94"/>
      <c r="H30" s="94"/>
      <c r="I30" s="2"/>
      <c r="J30" s="19"/>
      <c r="K30" s="76">
        <v>3</v>
      </c>
      <c r="L30" s="46" t="s">
        <v>176</v>
      </c>
      <c r="M30" s="113">
        <v>240</v>
      </c>
      <c r="N30" s="520"/>
      <c r="O30" s="130"/>
      <c r="P30" s="63"/>
      <c r="Q30" s="65"/>
      <c r="R30" s="63"/>
      <c r="S30" s="19"/>
      <c r="T30" s="121"/>
      <c r="U30" s="131">
        <v>340</v>
      </c>
      <c r="V30" s="131">
        <v>340</v>
      </c>
      <c r="W30" s="131">
        <v>340</v>
      </c>
      <c r="X30" s="121"/>
      <c r="Y30"/>
      <c r="AB30" s="523"/>
      <c r="AC30" s="523"/>
      <c r="AD30" s="523"/>
      <c r="AE30" s="124"/>
      <c r="AF30" s="41"/>
      <c r="AG30" s="124"/>
      <c r="AH30" s="115"/>
      <c r="AI30" s="19"/>
      <c r="AJ30" s="524"/>
      <c r="AK30" s="2"/>
      <c r="AM30" s="19"/>
      <c r="AN30"/>
      <c r="AO30" s="502"/>
      <c r="AP30"/>
      <c r="AQ30"/>
      <c r="AR30"/>
      <c r="AS30"/>
      <c r="AT30"/>
      <c r="AU30" s="91"/>
      <c r="AV30" s="63"/>
      <c r="AW30" s="41"/>
      <c r="AX30" s="498"/>
      <c r="AY30" s="498"/>
      <c r="AZ30" s="498"/>
      <c r="BA30" s="498"/>
      <c r="BB30" s="498"/>
      <c r="BC30" s="502"/>
      <c r="BD30" s="502"/>
      <c r="BE30" s="502"/>
      <c r="BF30" s="551" t="s">
        <v>208</v>
      </c>
      <c r="BG30" s="552"/>
      <c r="BH30" s="552"/>
      <c r="BI30" s="553"/>
      <c r="BJ30" s="25"/>
      <c r="BK30" s="128"/>
    </row>
    <row r="31" spans="1:63" ht="18.75" customHeight="1" x14ac:dyDescent="0.25">
      <c r="A31" s="135">
        <v>250</v>
      </c>
      <c r="B31" s="117" t="s">
        <v>176</v>
      </c>
      <c r="C31" s="118">
        <v>3</v>
      </c>
      <c r="D31" s="2"/>
      <c r="E31" s="540"/>
      <c r="F31" s="540"/>
      <c r="G31" s="540"/>
      <c r="H31" s="540"/>
      <c r="I31" s="19"/>
      <c r="J31" s="19"/>
      <c r="K31" s="76">
        <v>4</v>
      </c>
      <c r="L31" s="46" t="s">
        <v>176</v>
      </c>
      <c r="M31" s="113">
        <v>240</v>
      </c>
      <c r="N31" s="120"/>
      <c r="O31" s="1"/>
      <c r="P31" s="63"/>
      <c r="Q31" s="65"/>
      <c r="R31" s="63"/>
      <c r="S31" s="19"/>
      <c r="T31" s="121"/>
      <c r="U31" s="131">
        <v>340</v>
      </c>
      <c r="V31" s="131">
        <v>340</v>
      </c>
      <c r="W31" s="131">
        <v>340</v>
      </c>
      <c r="X31" s="121"/>
      <c r="Y31"/>
      <c r="AB31" s="523"/>
      <c r="AC31" s="523"/>
      <c r="AD31" s="523"/>
      <c r="AE31" s="123"/>
      <c r="AF31" s="124"/>
      <c r="AG31" s="123"/>
      <c r="AH31" s="63"/>
      <c r="AI31" s="524"/>
      <c r="AJ31" s="41"/>
      <c r="AK31" s="524"/>
      <c r="AM31" s="19"/>
      <c r="AN31" s="502"/>
      <c r="AO31"/>
      <c r="AP31" s="502"/>
      <c r="AQ31" s="122"/>
      <c r="AR31" s="502"/>
      <c r="AS31" s="502"/>
      <c r="AT31" s="502"/>
      <c r="AU31" s="91"/>
      <c r="AV31" s="65"/>
      <c r="AW31" s="65"/>
      <c r="AX31" s="65"/>
      <c r="AY31" s="65"/>
      <c r="AZ31" s="65"/>
      <c r="BA31" s="65"/>
      <c r="BB31" s="63"/>
      <c r="BC31" s="63"/>
      <c r="BD31" s="63"/>
      <c r="BE31" s="41"/>
      <c r="BF31" s="554"/>
      <c r="BG31" s="555"/>
      <c r="BH31" s="555"/>
      <c r="BI31" s="556"/>
      <c r="BJ31" s="25"/>
      <c r="BK31" s="136"/>
    </row>
    <row r="32" spans="1:63" ht="18.75" customHeight="1" thickBot="1" x14ac:dyDescent="0.3">
      <c r="A32" s="137">
        <v>250</v>
      </c>
      <c r="B32" s="117" t="s">
        <v>176</v>
      </c>
      <c r="C32" s="118">
        <v>4</v>
      </c>
      <c r="D32" s="2"/>
      <c r="E32" s="500"/>
      <c r="F32" s="500"/>
      <c r="G32" s="500"/>
      <c r="H32" s="500"/>
      <c r="I32" s="19"/>
      <c r="J32" s="63"/>
      <c r="K32" s="542" t="s">
        <v>185</v>
      </c>
      <c r="L32" s="542"/>
      <c r="M32" s="46"/>
      <c r="N32" s="516"/>
      <c r="O32" s="139"/>
      <c r="P32" s="63"/>
      <c r="Q32" s="65"/>
      <c r="R32" s="63"/>
      <c r="S32" s="2"/>
      <c r="T32" s="41" t="s">
        <v>225</v>
      </c>
      <c r="U32" s="121" t="s">
        <v>176</v>
      </c>
      <c r="V32" s="121" t="s">
        <v>176</v>
      </c>
      <c r="W32" s="121" t="s">
        <v>176</v>
      </c>
      <c r="Y32" s="91"/>
      <c r="Z32" s="91"/>
      <c r="AA32" s="140"/>
      <c r="AB32" s="122"/>
      <c r="AC32" s="1"/>
      <c r="AF32" s="115"/>
      <c r="AI32" s="19"/>
      <c r="AJ32" s="524"/>
      <c r="AK32" s="63"/>
      <c r="AM32" s="19"/>
      <c r="AN32" s="122"/>
      <c r="AO32" s="502"/>
      <c r="AP32" s="122"/>
      <c r="AQ32" s="91"/>
      <c r="AR32" s="502"/>
      <c r="AS32" s="502"/>
      <c r="AT32" s="502"/>
      <c r="AU32" s="91"/>
      <c r="AV32" s="63"/>
      <c r="AW32" s="63"/>
      <c r="AX32" s="63"/>
      <c r="AY32" s="63"/>
      <c r="AZ32" s="63"/>
      <c r="BA32" s="63"/>
      <c r="BB32" s="63"/>
      <c r="BC32" s="63"/>
      <c r="BD32" s="63"/>
      <c r="BE32" s="41"/>
      <c r="BF32" s="554"/>
      <c r="BG32" s="555"/>
      <c r="BH32" s="555"/>
      <c r="BI32" s="556"/>
      <c r="BJ32" s="25"/>
      <c r="BK32" s="136"/>
    </row>
    <row r="33" spans="1:63" ht="18.75" customHeight="1" thickBot="1" x14ac:dyDescent="0.3">
      <c r="A33" s="141"/>
      <c r="B33" s="73" t="s">
        <v>227</v>
      </c>
      <c r="C33" s="102"/>
      <c r="D33" s="41" t="s">
        <v>228</v>
      </c>
      <c r="E33" s="500"/>
      <c r="F33" s="500"/>
      <c r="G33" s="500"/>
      <c r="H33" s="500"/>
      <c r="I33" s="19"/>
      <c r="J33" s="65"/>
      <c r="K33" s="19"/>
      <c r="L33" s="41" t="s">
        <v>229</v>
      </c>
      <c r="M33" s="142"/>
      <c r="N33" s="517"/>
      <c r="O33" s="1"/>
      <c r="P33" s="63"/>
      <c r="Q33" s="19"/>
      <c r="R33" s="63"/>
      <c r="S33" s="2"/>
      <c r="T33" s="19"/>
      <c r="U33" s="111">
        <v>6</v>
      </c>
      <c r="V33" s="111">
        <v>5</v>
      </c>
      <c r="W33" s="111">
        <v>4</v>
      </c>
      <c r="X33" s="19"/>
      <c r="Y33" s="140"/>
      <c r="Z33" s="140"/>
      <c r="AA33" s="122"/>
      <c r="AB33" s="122"/>
      <c r="AC33" s="91"/>
      <c r="AD33" s="2"/>
      <c r="AE33" s="63"/>
      <c r="AF33" s="111"/>
      <c r="AG33" s="63"/>
      <c r="AH33" s="63"/>
      <c r="AI33" s="2"/>
      <c r="AJ33" s="19"/>
      <c r="AK33" s="19"/>
      <c r="AN33" s="122"/>
      <c r="AO33" s="91"/>
      <c r="AP33" s="144"/>
      <c r="AQ33" s="91"/>
      <c r="AR33" s="91"/>
      <c r="AS33" s="1"/>
      <c r="AT33" s="1"/>
      <c r="AU33" s="91"/>
      <c r="AV33" s="19"/>
      <c r="AW33" s="19"/>
      <c r="AX33" s="19"/>
      <c r="AY33" s="63"/>
      <c r="AZ33" s="63"/>
      <c r="BA33" s="63"/>
      <c r="BB33" s="63"/>
      <c r="BC33" s="63"/>
      <c r="BD33" s="63"/>
      <c r="BE33" s="528"/>
      <c r="BF33" s="554"/>
      <c r="BG33" s="555"/>
      <c r="BH33" s="555"/>
      <c r="BI33" s="556"/>
      <c r="BJ33" s="25"/>
      <c r="BK33" s="128"/>
    </row>
    <row r="34" spans="1:63" ht="18.75" customHeight="1" x14ac:dyDescent="0.25">
      <c r="A34" s="569" t="s">
        <v>231</v>
      </c>
      <c r="B34" s="41" t="s">
        <v>232</v>
      </c>
      <c r="C34" s="19"/>
      <c r="D34" s="105"/>
      <c r="E34" s="572" t="s">
        <v>233</v>
      </c>
      <c r="F34" s="572"/>
      <c r="G34" s="572"/>
      <c r="H34" s="572"/>
      <c r="I34" s="146"/>
      <c r="J34" s="2"/>
      <c r="K34" s="19"/>
      <c r="L34" s="573"/>
      <c r="M34" s="514"/>
      <c r="N34" s="516"/>
      <c r="O34" s="91"/>
      <c r="P34" s="19"/>
      <c r="Q34" s="65"/>
      <c r="R34" s="65"/>
      <c r="S34" s="2"/>
      <c r="T34" s="63"/>
      <c r="U34" s="63"/>
      <c r="V34" s="63"/>
      <c r="W34" s="63"/>
      <c r="X34" s="19"/>
      <c r="Y34" s="122"/>
      <c r="AB34" s="122"/>
      <c r="AC34" s="122"/>
      <c r="AD34" s="122"/>
      <c r="AE34" s="1"/>
      <c r="AN34" s="13" t="s">
        <v>198</v>
      </c>
      <c r="AO34" s="13"/>
      <c r="AP34" s="13"/>
      <c r="AQ34" s="19"/>
      <c r="AR34" s="19"/>
      <c r="AS34" s="19"/>
      <c r="AT34" s="19"/>
      <c r="AU34" s="19"/>
      <c r="AV34" s="19"/>
      <c r="AW34" s="498"/>
      <c r="AX34" s="498"/>
      <c r="AY34" s="498"/>
      <c r="AZ34" s="19"/>
      <c r="BA34" s="498"/>
      <c r="BB34" s="498"/>
      <c r="BC34" s="498"/>
      <c r="BD34" s="63"/>
      <c r="BE34" s="498"/>
      <c r="BF34" s="554"/>
      <c r="BG34" s="555"/>
      <c r="BH34" s="555"/>
      <c r="BI34" s="556"/>
      <c r="BJ34" s="25"/>
      <c r="BK34" s="128"/>
    </row>
    <row r="35" spans="1:63" ht="18.75" customHeight="1" x14ac:dyDescent="0.25">
      <c r="A35" s="570"/>
      <c r="B35" s="19"/>
      <c r="C35" s="19"/>
      <c r="D35" s="105"/>
      <c r="E35" s="37">
        <v>1</v>
      </c>
      <c r="F35" s="37">
        <v>2</v>
      </c>
      <c r="G35" s="37">
        <v>3</v>
      </c>
      <c r="H35" s="37">
        <v>4</v>
      </c>
      <c r="I35" s="148"/>
      <c r="J35" s="2"/>
      <c r="K35" s="19"/>
      <c r="L35" s="573"/>
      <c r="M35" s="514"/>
      <c r="N35" s="516"/>
      <c r="O35" s="91"/>
      <c r="P35" s="19"/>
      <c r="Q35" s="65"/>
      <c r="R35" s="65"/>
      <c r="S35" s="2"/>
      <c r="T35" s="63"/>
      <c r="U35" s="546" t="s">
        <v>198</v>
      </c>
      <c r="V35" s="546"/>
      <c r="W35" s="546"/>
      <c r="X35" s="19"/>
      <c r="Y35" s="122"/>
      <c r="AB35" s="91"/>
      <c r="AC35" s="149"/>
      <c r="AD35" s="91"/>
      <c r="AE35" s="1"/>
      <c r="AO35" s="111">
        <v>1</v>
      </c>
      <c r="AQ35" s="19"/>
      <c r="AR35" s="19"/>
      <c r="AS35" s="19"/>
      <c r="AT35" s="19"/>
      <c r="AU35" s="19"/>
      <c r="AV35" s="19"/>
      <c r="AW35" s="498"/>
      <c r="AX35" s="498"/>
      <c r="AY35" s="498"/>
      <c r="AZ35" s="19"/>
      <c r="BA35" s="498"/>
      <c r="BB35" s="498"/>
      <c r="BC35" s="498"/>
      <c r="BD35" s="63"/>
      <c r="BE35" s="498"/>
      <c r="BF35" s="554"/>
      <c r="BG35" s="555"/>
      <c r="BH35" s="555"/>
      <c r="BI35" s="556"/>
      <c r="BJ35" s="150"/>
      <c r="BK35" s="2"/>
    </row>
    <row r="36" spans="1:63" ht="18.75" customHeight="1" x14ac:dyDescent="0.25">
      <c r="A36" s="570"/>
      <c r="B36" s="19"/>
      <c r="C36" s="2"/>
      <c r="D36" s="45" t="s">
        <v>235</v>
      </c>
      <c r="E36" s="151" t="s">
        <v>236</v>
      </c>
      <c r="F36" s="151" t="s">
        <v>236</v>
      </c>
      <c r="G36" s="151" t="s">
        <v>236</v>
      </c>
      <c r="H36" s="151" t="s">
        <v>236</v>
      </c>
      <c r="I36" s="73" t="s">
        <v>237</v>
      </c>
      <c r="J36" s="19"/>
      <c r="K36" s="19"/>
      <c r="L36" s="573"/>
      <c r="M36" s="514"/>
      <c r="N36" s="152"/>
      <c r="O36" s="91"/>
      <c r="P36" s="19"/>
      <c r="Q36" s="63"/>
      <c r="R36" s="63"/>
      <c r="S36" s="2"/>
      <c r="T36" s="153"/>
      <c r="U36" s="111">
        <v>1</v>
      </c>
      <c r="V36" s="111">
        <v>2</v>
      </c>
      <c r="W36" s="111">
        <v>3</v>
      </c>
      <c r="X36" s="154"/>
      <c r="Y36"/>
      <c r="AC36" s="155"/>
      <c r="AD36" s="91"/>
      <c r="AE36" s="149"/>
      <c r="AH36" s="19"/>
      <c r="AN36" s="83" t="s">
        <v>239</v>
      </c>
      <c r="AO36" s="51" t="s">
        <v>176</v>
      </c>
      <c r="AQ36" s="19"/>
      <c r="AR36" s="19"/>
      <c r="AS36" s="41"/>
      <c r="AT36" s="63"/>
      <c r="AU36" s="63"/>
      <c r="AW36" s="41"/>
      <c r="AX36" s="19"/>
      <c r="AY36" s="19"/>
      <c r="AZ36" s="19"/>
      <c r="BA36" s="41"/>
      <c r="BB36" s="19"/>
      <c r="BC36" s="19"/>
      <c r="BD36" s="63"/>
      <c r="BE36" s="498"/>
      <c r="BF36" s="554"/>
      <c r="BG36" s="555"/>
      <c r="BH36" s="555"/>
      <c r="BI36" s="556"/>
      <c r="BJ36" s="25"/>
      <c r="BK36" s="157"/>
    </row>
    <row r="37" spans="1:63" ht="18.75" customHeight="1" thickBot="1" x14ac:dyDescent="0.3">
      <c r="A37" s="571"/>
      <c r="B37" s="19"/>
      <c r="C37" s="574"/>
      <c r="D37" s="575"/>
      <c r="E37" s="158">
        <v>500</v>
      </c>
      <c r="F37" s="158">
        <v>500</v>
      </c>
      <c r="G37" s="158">
        <v>500</v>
      </c>
      <c r="H37" s="158">
        <v>500</v>
      </c>
      <c r="I37" s="576"/>
      <c r="J37" s="19"/>
      <c r="K37" s="19"/>
      <c r="L37" s="573"/>
      <c r="M37" s="514"/>
      <c r="N37" s="516"/>
      <c r="O37" s="518"/>
      <c r="P37" s="19"/>
      <c r="Q37" s="65"/>
      <c r="R37" s="63"/>
      <c r="S37" s="2"/>
      <c r="T37" s="83" t="s">
        <v>244</v>
      </c>
      <c r="U37" s="121" t="s">
        <v>176</v>
      </c>
      <c r="V37" s="121" t="s">
        <v>176</v>
      </c>
      <c r="W37" s="121" t="s">
        <v>176</v>
      </c>
      <c r="X37" s="73" t="s">
        <v>245</v>
      </c>
      <c r="Y37"/>
      <c r="AB37" s="122"/>
      <c r="AN37" s="51"/>
      <c r="AO37" s="162">
        <v>340</v>
      </c>
      <c r="AP37" s="51"/>
      <c r="AQ37" s="19"/>
      <c r="AR37" s="19"/>
      <c r="AS37" s="63"/>
      <c r="AT37" s="63"/>
      <c r="AU37" s="63"/>
      <c r="AV37" s="63"/>
      <c r="AW37" s="19"/>
      <c r="AX37" s="19"/>
      <c r="AZ37" s="19"/>
      <c r="BA37" s="19"/>
      <c r="BB37" s="19"/>
      <c r="BC37" s="19"/>
      <c r="BD37" s="63"/>
      <c r="BE37" s="498"/>
      <c r="BF37" s="554"/>
      <c r="BG37" s="555"/>
      <c r="BH37" s="555"/>
      <c r="BI37" s="556"/>
      <c r="BJ37" s="25"/>
      <c r="BK37" s="157"/>
    </row>
    <row r="38" spans="1:63" ht="18.75" customHeight="1" x14ac:dyDescent="0.25">
      <c r="A38" s="504"/>
      <c r="B38" s="164"/>
      <c r="C38" s="574"/>
      <c r="D38" s="575"/>
      <c r="E38" s="158">
        <v>500</v>
      </c>
      <c r="F38" s="158">
        <v>500</v>
      </c>
      <c r="G38" s="158">
        <v>500</v>
      </c>
      <c r="H38" s="158">
        <v>500</v>
      </c>
      <c r="I38" s="576"/>
      <c r="J38" s="19"/>
      <c r="K38" s="165"/>
      <c r="L38" s="573"/>
      <c r="M38" s="514"/>
      <c r="N38" s="516"/>
      <c r="O38" s="155"/>
      <c r="P38" s="19"/>
      <c r="Q38" s="19"/>
      <c r="R38" s="63"/>
      <c r="S38" s="2"/>
      <c r="T38" s="72"/>
      <c r="U38" s="166">
        <v>340</v>
      </c>
      <c r="V38" s="166">
        <v>340</v>
      </c>
      <c r="W38" s="167">
        <v>340</v>
      </c>
      <c r="X38" s="560" t="s">
        <v>249</v>
      </c>
      <c r="Y38"/>
      <c r="AB38" s="516"/>
      <c r="AC38" s="516"/>
      <c r="AD38" s="516"/>
      <c r="AE38" s="516"/>
      <c r="AI38" s="500"/>
      <c r="AJ38" s="500"/>
      <c r="AK38" s="500"/>
      <c r="AL38" s="168">
        <v>4</v>
      </c>
      <c r="AM38" s="51" t="s">
        <v>176</v>
      </c>
      <c r="AN38" s="162">
        <v>340</v>
      </c>
      <c r="AO38" s="41" t="s">
        <v>250</v>
      </c>
      <c r="AP38" s="162">
        <v>340</v>
      </c>
      <c r="AQ38" s="51" t="s">
        <v>176</v>
      </c>
      <c r="AR38" s="169">
        <v>2</v>
      </c>
      <c r="AS38" s="498"/>
      <c r="AT38" s="498"/>
      <c r="AU38" s="498"/>
      <c r="AV38" s="498"/>
      <c r="AX38" s="502"/>
      <c r="AY38" s="502"/>
      <c r="AZ38" s="19"/>
      <c r="BA38" s="524"/>
      <c r="BB38" s="524"/>
      <c r="BC38" s="524"/>
      <c r="BD38" s="63"/>
      <c r="BE38" s="41"/>
      <c r="BF38" s="554"/>
      <c r="BG38" s="555"/>
      <c r="BH38" s="555"/>
      <c r="BI38" s="556"/>
      <c r="BJ38" s="150"/>
      <c r="BK38" s="2"/>
    </row>
    <row r="39" spans="1:63" ht="18.75" customHeight="1" thickBot="1" x14ac:dyDescent="0.3">
      <c r="A39" s="498"/>
      <c r="B39" s="164"/>
      <c r="C39" s="170"/>
      <c r="D39" s="41" t="s">
        <v>252</v>
      </c>
      <c r="E39" s="151" t="s">
        <v>236</v>
      </c>
      <c r="F39" s="151" t="s">
        <v>236</v>
      </c>
      <c r="G39" s="151" t="s">
        <v>236</v>
      </c>
      <c r="H39" s="151" t="s">
        <v>236</v>
      </c>
      <c r="I39" s="98"/>
      <c r="J39" s="19"/>
      <c r="K39" s="165"/>
      <c r="L39" s="573"/>
      <c r="M39" s="514"/>
      <c r="N39" s="516"/>
      <c r="O39" s="65"/>
      <c r="P39" s="171"/>
      <c r="Q39" s="63"/>
      <c r="R39" s="63"/>
      <c r="S39" s="2"/>
      <c r="T39" s="72"/>
      <c r="U39" s="166">
        <v>340</v>
      </c>
      <c r="V39" s="166">
        <v>340</v>
      </c>
      <c r="W39" s="167">
        <v>340</v>
      </c>
      <c r="X39" s="561"/>
      <c r="Y39" s="19"/>
      <c r="AB39" s="517"/>
      <c r="AC39" s="516"/>
      <c r="AD39" s="516"/>
      <c r="AE39" s="516"/>
      <c r="AI39" s="500"/>
      <c r="AJ39" s="500"/>
      <c r="AK39" s="500"/>
      <c r="AN39" s="51"/>
      <c r="AO39" s="162">
        <v>340</v>
      </c>
      <c r="AP39" s="51"/>
      <c r="AQ39" s="19"/>
      <c r="AR39" s="19"/>
      <c r="AS39" s="498"/>
      <c r="AT39" s="498"/>
      <c r="AU39" s="498"/>
      <c r="AV39" s="498"/>
      <c r="AX39" s="502"/>
      <c r="AY39" s="502"/>
      <c r="AZ39" s="19"/>
      <c r="BA39" s="524"/>
      <c r="BB39" s="524"/>
      <c r="BC39" s="524"/>
      <c r="BD39" s="63"/>
      <c r="BE39" s="529"/>
      <c r="BF39" s="554"/>
      <c r="BG39" s="555"/>
      <c r="BH39" s="555"/>
      <c r="BI39" s="556"/>
      <c r="BJ39" s="25"/>
      <c r="BK39" s="2"/>
    </row>
    <row r="40" spans="1:63" ht="18.75" customHeight="1" x14ac:dyDescent="0.25">
      <c r="A40" s="498"/>
      <c r="B40" s="164"/>
      <c r="C40" s="170"/>
      <c r="D40" s="105"/>
      <c r="E40" s="37">
        <v>8</v>
      </c>
      <c r="F40" s="37">
        <v>7</v>
      </c>
      <c r="G40" s="37">
        <v>6</v>
      </c>
      <c r="H40" s="37">
        <v>5</v>
      </c>
      <c r="I40" s="105"/>
      <c r="J40" s="2"/>
      <c r="K40" s="165"/>
      <c r="L40" s="562"/>
      <c r="M40" s="515"/>
      <c r="N40" s="516"/>
      <c r="O40" s="65"/>
      <c r="P40" s="174"/>
      <c r="Q40" s="65"/>
      <c r="R40" s="65"/>
      <c r="S40" s="2"/>
      <c r="T40" s="41" t="s">
        <v>254</v>
      </c>
      <c r="U40" s="121" t="s">
        <v>176</v>
      </c>
      <c r="V40" s="121" t="s">
        <v>176</v>
      </c>
      <c r="W40" s="121" t="s">
        <v>176</v>
      </c>
      <c r="X40" s="175"/>
      <c r="Y40" s="41" t="s">
        <v>255</v>
      </c>
      <c r="AB40" s="19"/>
      <c r="AC40" s="19"/>
      <c r="AD40" s="2"/>
      <c r="AI40" s="41"/>
      <c r="AN40" s="19"/>
      <c r="AO40" s="51" t="s">
        <v>176</v>
      </c>
      <c r="AP40" s="19"/>
      <c r="AQ40" s="19"/>
      <c r="AR40" s="19"/>
      <c r="AS40" s="63"/>
      <c r="AT40" s="63"/>
      <c r="AU40" s="63"/>
      <c r="AV40" s="63"/>
      <c r="AX40" s="41"/>
      <c r="AY40" s="19"/>
      <c r="AZ40" s="19"/>
      <c r="BA40" s="41"/>
      <c r="BB40" s="19"/>
      <c r="BC40" s="19"/>
      <c r="BD40" s="19"/>
      <c r="BE40" s="529"/>
      <c r="BF40" s="554"/>
      <c r="BG40" s="555"/>
      <c r="BH40" s="555"/>
      <c r="BI40" s="556"/>
      <c r="BJ40" s="25"/>
      <c r="BK40" s="2"/>
    </row>
    <row r="41" spans="1:63" ht="18.75" customHeight="1" x14ac:dyDescent="0.25">
      <c r="A41" s="41"/>
      <c r="B41" s="19"/>
      <c r="C41" s="19"/>
      <c r="D41" s="2"/>
      <c r="E41" s="542" t="s">
        <v>233</v>
      </c>
      <c r="F41" s="542"/>
      <c r="G41" s="542"/>
      <c r="H41" s="542"/>
      <c r="I41" s="542"/>
      <c r="J41" s="2"/>
      <c r="K41" s="176"/>
      <c r="L41" s="562"/>
      <c r="M41" s="515"/>
      <c r="N41" s="516"/>
      <c r="O41" s="65"/>
      <c r="P41" s="174"/>
      <c r="Q41" s="63"/>
      <c r="R41" s="63"/>
      <c r="S41" s="2"/>
      <c r="T41" s="177"/>
      <c r="U41" s="111">
        <v>1</v>
      </c>
      <c r="V41" s="111">
        <v>2</v>
      </c>
      <c r="W41" s="111">
        <v>3</v>
      </c>
      <c r="X41" s="2"/>
      <c r="Y41" s="19"/>
      <c r="AB41" s="19"/>
      <c r="AC41" s="19"/>
      <c r="AD41" s="2"/>
      <c r="AN41" s="19"/>
      <c r="AO41" s="111">
        <v>3</v>
      </c>
      <c r="AP41" s="63"/>
      <c r="AQ41" s="19"/>
      <c r="AR41" s="19"/>
      <c r="AS41" s="41"/>
      <c r="AT41" s="19"/>
      <c r="AU41" s="65"/>
      <c r="AV41" s="19"/>
      <c r="AZ41" s="19"/>
      <c r="BA41" s="63"/>
      <c r="BB41" s="63"/>
      <c r="BC41" s="63"/>
      <c r="BD41" s="63"/>
      <c r="BE41" s="172"/>
      <c r="BF41" s="554"/>
      <c r="BG41" s="555"/>
      <c r="BH41" s="555"/>
      <c r="BI41" s="556"/>
      <c r="BJ41" s="25"/>
      <c r="BK41" s="2"/>
    </row>
    <row r="42" spans="1:63" ht="18.75" customHeight="1" thickBot="1" x14ac:dyDescent="0.3">
      <c r="A42" s="26"/>
      <c r="B42" s="2"/>
      <c r="C42" s="170"/>
      <c r="D42" s="2"/>
      <c r="E42" s="37">
        <v>1</v>
      </c>
      <c r="F42" s="37">
        <v>2</v>
      </c>
      <c r="G42" s="37">
        <v>3</v>
      </c>
      <c r="H42" s="37">
        <v>4</v>
      </c>
      <c r="I42" s="37">
        <v>5</v>
      </c>
      <c r="J42" s="2"/>
      <c r="K42" s="176"/>
      <c r="L42" s="562"/>
      <c r="M42" s="515"/>
      <c r="N42" s="516"/>
      <c r="O42" s="178"/>
      <c r="P42" s="178"/>
      <c r="Q42" s="19"/>
      <c r="R42" s="19"/>
      <c r="S42" s="179"/>
      <c r="T42" s="63"/>
      <c r="X42" s="180"/>
      <c r="Y42" s="19"/>
      <c r="Z42" s="19"/>
      <c r="AA42" s="105"/>
      <c r="AB42" s="16"/>
      <c r="AE42" s="19"/>
      <c r="AS42" s="19"/>
      <c r="AT42" s="19"/>
      <c r="AU42" s="19"/>
      <c r="AV42" s="65"/>
      <c r="AW42" s="65"/>
      <c r="AX42" s="19"/>
      <c r="AY42" s="19"/>
      <c r="AZ42" s="19"/>
      <c r="BA42" s="19"/>
      <c r="BB42" s="19"/>
      <c r="BC42" s="19"/>
      <c r="BD42" s="92"/>
      <c r="BE42" s="172"/>
      <c r="BF42" s="554"/>
      <c r="BG42" s="555"/>
      <c r="BH42" s="555"/>
      <c r="BI42" s="556"/>
      <c r="BJ42" s="25"/>
      <c r="BK42" s="2"/>
    </row>
    <row r="43" spans="1:63" ht="18.75" customHeight="1" x14ac:dyDescent="0.25">
      <c r="A43" s="26"/>
      <c r="B43" s="19"/>
      <c r="C43" s="170"/>
      <c r="D43" s="45" t="s">
        <v>263</v>
      </c>
      <c r="E43" s="151" t="s">
        <v>236</v>
      </c>
      <c r="F43" s="151" t="s">
        <v>236</v>
      </c>
      <c r="G43" s="151" t="s">
        <v>236</v>
      </c>
      <c r="H43" s="151" t="s">
        <v>236</v>
      </c>
      <c r="I43" s="151" t="s">
        <v>236</v>
      </c>
      <c r="J43" s="73" t="s">
        <v>264</v>
      </c>
      <c r="K43" s="176"/>
      <c r="L43" s="91"/>
      <c r="M43" s="120"/>
      <c r="N43" s="63"/>
      <c r="O43" s="19"/>
      <c r="P43" s="181"/>
      <c r="Q43" s="563" t="s">
        <v>266</v>
      </c>
      <c r="R43" s="564"/>
      <c r="S43" s="179"/>
      <c r="T43" s="2"/>
      <c r="U43" s="2"/>
      <c r="V43" s="105"/>
      <c r="W43" s="105"/>
      <c r="X43" s="105"/>
      <c r="Y43" s="2"/>
      <c r="Z43" s="2"/>
      <c r="AA43" s="2"/>
      <c r="AB43" s="2"/>
      <c r="AC43" s="2"/>
      <c r="AD43" s="2"/>
      <c r="AE43" s="105"/>
      <c r="AF43" s="105"/>
      <c r="AG43" s="105"/>
      <c r="AH43" s="105"/>
      <c r="AI43" s="105"/>
      <c r="AJ43" s="105"/>
      <c r="AK43" s="19"/>
      <c r="AL43" s="19"/>
      <c r="AM43" s="19"/>
      <c r="AN43" s="105"/>
      <c r="AO43" s="105"/>
      <c r="AP43" s="19"/>
      <c r="AQ43" s="105"/>
      <c r="AR43" s="105"/>
      <c r="AS43" s="105"/>
      <c r="AT43" s="105"/>
      <c r="AU43" s="2"/>
      <c r="AV43" s="2"/>
      <c r="AW43" s="2"/>
      <c r="AX43" s="2"/>
      <c r="AY43" s="2"/>
      <c r="AZ43" s="2"/>
      <c r="BA43" s="2"/>
      <c r="BD43" s="2"/>
      <c r="BE43" s="172"/>
      <c r="BF43" s="554"/>
      <c r="BG43" s="555"/>
      <c r="BH43" s="555"/>
      <c r="BI43" s="556"/>
      <c r="BJ43" s="25"/>
      <c r="BK43" s="2"/>
    </row>
    <row r="44" spans="1:63" ht="18.75" customHeight="1" x14ac:dyDescent="0.25">
      <c r="A44" s="577" t="s">
        <v>172</v>
      </c>
      <c r="B44" s="542"/>
      <c r="C44" s="574"/>
      <c r="D44" s="578"/>
      <c r="E44" s="182">
        <v>500</v>
      </c>
      <c r="F44" s="182">
        <v>500</v>
      </c>
      <c r="G44" s="182">
        <v>500</v>
      </c>
      <c r="H44" s="182">
        <v>500</v>
      </c>
      <c r="I44" s="182">
        <v>500</v>
      </c>
      <c r="J44" s="579"/>
      <c r="K44" s="580"/>
      <c r="L44" s="2"/>
      <c r="M44" s="2"/>
      <c r="N44" s="105"/>
      <c r="O44" s="19"/>
      <c r="P44" s="19"/>
      <c r="Q44" s="565"/>
      <c r="R44" s="566"/>
      <c r="S44" s="179"/>
      <c r="T44" s="2"/>
      <c r="U44" s="2"/>
      <c r="V44" s="105"/>
      <c r="W44" s="604" t="s">
        <v>267</v>
      </c>
      <c r="X44" s="604"/>
      <c r="Y44" s="604"/>
      <c r="Z44" s="604"/>
      <c r="AA44" s="105"/>
      <c r="AB44" s="546" t="s">
        <v>171</v>
      </c>
      <c r="AC44" s="546"/>
      <c r="AD44" s="546"/>
      <c r="AE44" s="546"/>
      <c r="AF44" s="105"/>
      <c r="AG44" s="105"/>
      <c r="AH44" s="105"/>
      <c r="AI44" s="105"/>
      <c r="AJ44" s="105"/>
      <c r="AK44" s="2"/>
      <c r="AL44" s="105"/>
      <c r="AM44" s="105"/>
      <c r="AN44" s="550"/>
      <c r="AO44" s="550"/>
      <c r="AP44" s="550"/>
      <c r="AU44" s="19"/>
      <c r="AV44" s="546" t="s">
        <v>171</v>
      </c>
      <c r="AW44" s="546"/>
      <c r="AX44" s="546"/>
      <c r="AY44" s="2"/>
      <c r="AZ44" s="19"/>
      <c r="BA44" s="19"/>
      <c r="BD44" s="2"/>
      <c r="BE44" s="172"/>
      <c r="BF44" s="554"/>
      <c r="BG44" s="555"/>
      <c r="BH44" s="555"/>
      <c r="BI44" s="556"/>
      <c r="BJ44" s="25"/>
      <c r="BK44" s="2"/>
    </row>
    <row r="45" spans="1:63" ht="18.75" customHeight="1" thickBot="1" x14ac:dyDescent="0.3">
      <c r="A45" s="184"/>
      <c r="B45" s="45" t="s">
        <v>268</v>
      </c>
      <c r="C45" s="574"/>
      <c r="D45" s="578"/>
      <c r="E45" s="182">
        <v>500</v>
      </c>
      <c r="F45" s="182">
        <v>500</v>
      </c>
      <c r="G45" s="182">
        <v>500</v>
      </c>
      <c r="H45" s="182">
        <v>500</v>
      </c>
      <c r="I45" s="182">
        <v>500</v>
      </c>
      <c r="J45" s="579"/>
      <c r="K45" s="580"/>
      <c r="L45" s="2"/>
      <c r="M45" s="2"/>
      <c r="N45" s="105"/>
      <c r="O45" s="2"/>
      <c r="P45" s="65"/>
      <c r="Q45" s="567"/>
      <c r="R45" s="568"/>
      <c r="S45" s="179"/>
      <c r="T45" s="2"/>
      <c r="U45" s="2"/>
      <c r="V45" s="19"/>
      <c r="W45" s="111">
        <v>1</v>
      </c>
      <c r="X45" s="111">
        <v>2</v>
      </c>
      <c r="Y45" s="111">
        <v>3</v>
      </c>
      <c r="Z45" s="111">
        <v>4</v>
      </c>
      <c r="AA45" s="111"/>
      <c r="AB45" s="111">
        <v>1</v>
      </c>
      <c r="AC45" s="111">
        <v>2</v>
      </c>
      <c r="AD45" s="111">
        <v>3</v>
      </c>
      <c r="AE45" s="111">
        <v>4</v>
      </c>
      <c r="AF45" s="104"/>
      <c r="AG45" s="65"/>
      <c r="AH45" s="65"/>
      <c r="AI45" s="65"/>
      <c r="AJ45" s="65"/>
      <c r="AK45" s="19"/>
      <c r="AL45" s="19"/>
      <c r="AM45" s="19"/>
      <c r="AN45" s="19"/>
      <c r="AO45" s="19"/>
      <c r="AP45" s="19"/>
      <c r="AU45" s="19"/>
      <c r="AV45" s="111">
        <v>1</v>
      </c>
      <c r="AW45" s="111">
        <v>2</v>
      </c>
      <c r="AX45" s="111">
        <v>3</v>
      </c>
      <c r="AY45" s="2"/>
      <c r="AZ45" s="19"/>
      <c r="BA45" s="19"/>
      <c r="BB45" s="19"/>
      <c r="BC45" s="2"/>
      <c r="BD45" s="2"/>
      <c r="BE45" s="186"/>
      <c r="BF45" s="557"/>
      <c r="BG45" s="558"/>
      <c r="BH45" s="558"/>
      <c r="BI45" s="559"/>
      <c r="BJ45" s="25"/>
      <c r="BK45" s="2"/>
    </row>
    <row r="46" spans="1:63" ht="18.75" customHeight="1" thickBot="1" x14ac:dyDescent="0.3">
      <c r="A46" s="187">
        <v>440</v>
      </c>
      <c r="B46" s="46" t="s">
        <v>176</v>
      </c>
      <c r="C46" s="169">
        <v>1</v>
      </c>
      <c r="D46" s="41" t="s">
        <v>269</v>
      </c>
      <c r="E46" s="151" t="s">
        <v>236</v>
      </c>
      <c r="F46" s="151" t="s">
        <v>236</v>
      </c>
      <c r="G46" s="151" t="s">
        <v>236</v>
      </c>
      <c r="H46" s="151" t="s">
        <v>236</v>
      </c>
      <c r="I46" s="151" t="s">
        <v>236</v>
      </c>
      <c r="J46" s="105"/>
      <c r="K46" s="188"/>
      <c r="L46" s="2"/>
      <c r="M46" s="2"/>
      <c r="N46" s="105"/>
      <c r="O46" s="2"/>
      <c r="P46" s="65"/>
      <c r="Q46" s="189"/>
      <c r="R46" s="190"/>
      <c r="S46" s="179"/>
      <c r="T46" s="2"/>
      <c r="U46" s="2"/>
      <c r="V46" s="83" t="s">
        <v>271</v>
      </c>
      <c r="W46" s="151" t="s">
        <v>176</v>
      </c>
      <c r="X46" s="151" t="s">
        <v>176</v>
      </c>
      <c r="Y46" s="151" t="s">
        <v>176</v>
      </c>
      <c r="Z46" s="151" t="s">
        <v>176</v>
      </c>
      <c r="AA46" s="83" t="s">
        <v>272</v>
      </c>
      <c r="AB46" s="151" t="s">
        <v>176</v>
      </c>
      <c r="AC46" s="151" t="s">
        <v>176</v>
      </c>
      <c r="AD46" s="151" t="s">
        <v>176</v>
      </c>
      <c r="AE46" s="151" t="s">
        <v>176</v>
      </c>
      <c r="AF46" s="73" t="s">
        <v>273</v>
      </c>
      <c r="AG46" s="65"/>
      <c r="AH46" s="63"/>
      <c r="AI46" s="593"/>
      <c r="AJ46" s="593"/>
      <c r="AK46" s="593"/>
      <c r="AL46" s="19"/>
      <c r="AM46" s="19"/>
      <c r="AN46" s="19"/>
      <c r="AO46" s="19"/>
      <c r="AP46" s="19"/>
      <c r="AU46" s="83" t="s">
        <v>274</v>
      </c>
      <c r="AV46" s="121" t="s">
        <v>176</v>
      </c>
      <c r="AW46" s="121" t="s">
        <v>176</v>
      </c>
      <c r="AX46" s="121" t="s">
        <v>176</v>
      </c>
      <c r="AY46" s="73" t="s">
        <v>275</v>
      </c>
      <c r="AZ46" s="19"/>
      <c r="BA46" s="19"/>
      <c r="BB46" s="19"/>
      <c r="BC46" s="2"/>
      <c r="BD46" s="2"/>
      <c r="BE46" s="19"/>
      <c r="BF46" s="594" t="s">
        <v>276</v>
      </c>
      <c r="BG46" s="595"/>
      <c r="BH46" s="595"/>
      <c r="BI46" s="596"/>
      <c r="BJ46" s="25"/>
      <c r="BK46" s="2"/>
    </row>
    <row r="47" spans="1:63" ht="18.75" customHeight="1" thickBot="1" x14ac:dyDescent="0.3">
      <c r="A47" s="187">
        <v>440</v>
      </c>
      <c r="B47" s="46" t="s">
        <v>176</v>
      </c>
      <c r="C47" s="79">
        <v>2</v>
      </c>
      <c r="D47" s="186"/>
      <c r="E47" s="37">
        <v>10</v>
      </c>
      <c r="F47" s="37">
        <v>9</v>
      </c>
      <c r="G47" s="37">
        <v>8</v>
      </c>
      <c r="H47" s="37">
        <v>7</v>
      </c>
      <c r="I47" s="37">
        <v>6</v>
      </c>
      <c r="J47" s="2"/>
      <c r="K47" s="2"/>
      <c r="L47" s="19"/>
      <c r="M47" s="2"/>
      <c r="N47" s="2"/>
      <c r="O47" s="63"/>
      <c r="P47" s="191"/>
      <c r="Q47" s="510"/>
      <c r="R47" s="19"/>
      <c r="S47" s="179"/>
      <c r="T47" s="2"/>
      <c r="U47" s="2"/>
      <c r="V47" s="193"/>
      <c r="W47" s="194">
        <v>375</v>
      </c>
      <c r="X47" s="194">
        <v>375</v>
      </c>
      <c r="Y47" s="194">
        <v>375</v>
      </c>
      <c r="Z47" s="194">
        <v>375</v>
      </c>
      <c r="AA47" s="195"/>
      <c r="AB47" s="182">
        <v>250</v>
      </c>
      <c r="AC47" s="182">
        <v>250</v>
      </c>
      <c r="AD47" s="182">
        <v>250</v>
      </c>
      <c r="AE47" s="182">
        <v>250</v>
      </c>
      <c r="AF47" s="195"/>
      <c r="AG47" s="19"/>
      <c r="AH47" s="19"/>
      <c r="AI47" s="500"/>
      <c r="AJ47" s="500"/>
      <c r="AK47" s="500"/>
      <c r="AL47" s="19"/>
      <c r="AM47" s="19"/>
      <c r="AN47" s="500"/>
      <c r="AO47" s="19"/>
      <c r="AP47" s="19"/>
      <c r="AU47" s="72"/>
      <c r="AV47" s="196">
        <v>250</v>
      </c>
      <c r="AW47" s="196">
        <v>250</v>
      </c>
      <c r="AX47" s="196">
        <v>250</v>
      </c>
      <c r="AY47" s="72"/>
      <c r="AZ47" s="19"/>
      <c r="BA47" s="19"/>
      <c r="BB47" s="19"/>
      <c r="BC47" s="2"/>
      <c r="BD47" s="2"/>
      <c r="BE47" s="186"/>
      <c r="BF47" s="597"/>
      <c r="BG47" s="598"/>
      <c r="BH47" s="598"/>
      <c r="BI47" s="599"/>
      <c r="BJ47" s="25"/>
      <c r="BK47" s="2"/>
    </row>
    <row r="48" spans="1:63" ht="18.75" customHeight="1" x14ac:dyDescent="0.25">
      <c r="A48" s="187">
        <v>440</v>
      </c>
      <c r="B48" s="46" t="s">
        <v>176</v>
      </c>
      <c r="C48" s="79">
        <v>3</v>
      </c>
      <c r="D48" s="180"/>
      <c r="E48" s="539" t="s">
        <v>198</v>
      </c>
      <c r="F48" s="539"/>
      <c r="G48" s="539"/>
      <c r="H48" s="539"/>
      <c r="I48" s="153"/>
      <c r="J48" s="153"/>
      <c r="K48" s="2"/>
      <c r="L48" s="19"/>
      <c r="P48" s="511"/>
      <c r="Q48" s="198"/>
      <c r="R48" s="19"/>
      <c r="S48" s="179"/>
      <c r="T48" s="2"/>
      <c r="U48" s="2"/>
      <c r="V48" s="193"/>
      <c r="W48" s="194">
        <v>375</v>
      </c>
      <c r="X48" s="194">
        <v>375</v>
      </c>
      <c r="Y48" s="194">
        <v>375</v>
      </c>
      <c r="Z48" s="194">
        <v>375</v>
      </c>
      <c r="AA48" s="195"/>
      <c r="AB48" s="182">
        <v>250</v>
      </c>
      <c r="AC48" s="182">
        <v>250</v>
      </c>
      <c r="AD48" s="159">
        <v>250</v>
      </c>
      <c r="AE48" s="159">
        <v>250</v>
      </c>
      <c r="AF48" s="195"/>
      <c r="AG48" s="19"/>
      <c r="AH48" s="19"/>
      <c r="AI48" s="500"/>
      <c r="AJ48" s="500"/>
      <c r="AK48" s="500"/>
      <c r="AL48" s="19"/>
      <c r="AM48" s="500"/>
      <c r="AN48" s="41"/>
      <c r="AO48" s="500"/>
      <c r="AP48" s="19"/>
      <c r="AU48" s="72"/>
      <c r="AV48" s="196">
        <v>250</v>
      </c>
      <c r="AW48" s="196">
        <v>250</v>
      </c>
      <c r="AX48" s="196">
        <v>250</v>
      </c>
      <c r="AY48" s="72"/>
      <c r="AZ48" s="19"/>
      <c r="BA48" s="19"/>
      <c r="BB48" s="603"/>
      <c r="BC48" s="603"/>
      <c r="BD48" s="2"/>
      <c r="BE48" s="186"/>
      <c r="BF48" s="597"/>
      <c r="BG48" s="598"/>
      <c r="BH48" s="598"/>
      <c r="BI48" s="599"/>
      <c r="BJ48" s="25"/>
      <c r="BK48" s="2"/>
    </row>
    <row r="49" spans="1:63" ht="18.75" customHeight="1" x14ac:dyDescent="0.25">
      <c r="A49" s="187">
        <v>440</v>
      </c>
      <c r="B49" s="51" t="s">
        <v>176</v>
      </c>
      <c r="C49" s="79">
        <v>4</v>
      </c>
      <c r="D49" s="199"/>
      <c r="E49" s="37">
        <v>1</v>
      </c>
      <c r="F49" s="37">
        <v>2</v>
      </c>
      <c r="G49" s="37">
        <v>3</v>
      </c>
      <c r="H49" s="37">
        <v>4</v>
      </c>
      <c r="I49" s="93"/>
      <c r="J49" s="153"/>
      <c r="K49" s="2"/>
      <c r="L49" s="19"/>
      <c r="P49" s="512"/>
      <c r="Q49" s="19"/>
      <c r="R49" s="179"/>
      <c r="S49" s="179"/>
      <c r="U49" s="2"/>
      <c r="V49" s="73" t="s">
        <v>278</v>
      </c>
      <c r="W49" s="151" t="s">
        <v>176</v>
      </c>
      <c r="X49" s="151" t="s">
        <v>176</v>
      </c>
      <c r="Y49" s="151" t="s">
        <v>176</v>
      </c>
      <c r="Z49" s="151" t="s">
        <v>176</v>
      </c>
      <c r="AA49" s="41" t="s">
        <v>279</v>
      </c>
      <c r="AB49" s="151" t="s">
        <v>176</v>
      </c>
      <c r="AC49" s="151" t="s">
        <v>176</v>
      </c>
      <c r="AD49" s="151" t="s">
        <v>176</v>
      </c>
      <c r="AE49" s="151" t="s">
        <v>176</v>
      </c>
      <c r="AF49" s="41" t="s">
        <v>280</v>
      </c>
      <c r="AG49" s="63"/>
      <c r="AH49" s="63"/>
      <c r="AI49" s="41"/>
      <c r="AJ49" s="19"/>
      <c r="AK49" s="19"/>
      <c r="AL49" s="19"/>
      <c r="AM49" s="19"/>
      <c r="AN49" s="500"/>
      <c r="AO49" s="19"/>
      <c r="AP49" s="19"/>
      <c r="AU49" s="41" t="s">
        <v>282</v>
      </c>
      <c r="AV49" s="121" t="s">
        <v>176</v>
      </c>
      <c r="AW49" s="121" t="s">
        <v>176</v>
      </c>
      <c r="AX49" s="121" t="s">
        <v>176</v>
      </c>
      <c r="AY49" s="19"/>
      <c r="AZ49" s="19"/>
      <c r="BA49" s="19"/>
      <c r="BB49" s="111"/>
      <c r="BC49" s="111"/>
      <c r="BD49" s="201"/>
      <c r="BE49" s="202"/>
      <c r="BF49" s="597"/>
      <c r="BG49" s="598"/>
      <c r="BH49" s="598"/>
      <c r="BI49" s="599"/>
      <c r="BJ49" s="25"/>
      <c r="BK49" s="2"/>
    </row>
    <row r="50" spans="1:63" ht="18.75" customHeight="1" x14ac:dyDescent="0.25">
      <c r="A50" s="184"/>
      <c r="B50" s="203" t="s">
        <v>283</v>
      </c>
      <c r="C50" s="181"/>
      <c r="D50" s="45" t="s">
        <v>284</v>
      </c>
      <c r="E50" s="204" t="s">
        <v>176</v>
      </c>
      <c r="F50" s="204" t="s">
        <v>176</v>
      </c>
      <c r="G50" s="204" t="s">
        <v>176</v>
      </c>
      <c r="H50" s="204" t="s">
        <v>176</v>
      </c>
      <c r="I50" s="73" t="s">
        <v>285</v>
      </c>
      <c r="J50" s="153"/>
      <c r="K50" s="2"/>
      <c r="L50" s="19"/>
      <c r="P50" s="512"/>
      <c r="Q50" s="179"/>
      <c r="R50" s="179"/>
      <c r="S50" s="65"/>
      <c r="T50" s="2"/>
      <c r="U50" s="2"/>
      <c r="V50" s="2"/>
      <c r="W50" s="111">
        <v>8</v>
      </c>
      <c r="X50" s="111">
        <v>7</v>
      </c>
      <c r="Y50" s="111">
        <v>6</v>
      </c>
      <c r="Z50" s="111">
        <v>5</v>
      </c>
      <c r="AA50" s="111"/>
      <c r="AB50" s="111">
        <v>8</v>
      </c>
      <c r="AC50" s="111">
        <v>7</v>
      </c>
      <c r="AD50" s="111">
        <v>6</v>
      </c>
      <c r="AE50" s="111">
        <v>5</v>
      </c>
      <c r="AF50" s="2"/>
      <c r="AG50" s="63"/>
      <c r="AH50" s="63"/>
      <c r="AI50" s="205"/>
      <c r="AJ50" s="63"/>
      <c r="AK50" s="63"/>
      <c r="AL50" s="19"/>
      <c r="AM50" s="19"/>
      <c r="AN50" s="19"/>
      <c r="AO50" s="19"/>
      <c r="AP50" s="19"/>
      <c r="AU50" s="2"/>
      <c r="AV50" s="111">
        <v>6</v>
      </c>
      <c r="AW50" s="111">
        <v>5</v>
      </c>
      <c r="AX50" s="111">
        <v>4</v>
      </c>
      <c r="AY50" s="206"/>
      <c r="AZ50" s="19"/>
      <c r="BA50" s="19"/>
      <c r="BC50" s="207"/>
      <c r="BD50" s="63"/>
      <c r="BE50" s="206"/>
      <c r="BF50" s="597"/>
      <c r="BG50" s="598"/>
      <c r="BH50" s="598"/>
      <c r="BI50" s="599"/>
      <c r="BJ50" s="25"/>
      <c r="BK50" s="2"/>
    </row>
    <row r="51" spans="1:63" ht="18.75" customHeight="1" x14ac:dyDescent="0.25">
      <c r="A51" s="208"/>
      <c r="B51" s="26"/>
      <c r="C51" s="181"/>
      <c r="D51" s="209"/>
      <c r="E51" s="210">
        <v>340</v>
      </c>
      <c r="F51" s="210">
        <v>340</v>
      </c>
      <c r="G51" s="210">
        <v>340</v>
      </c>
      <c r="H51" s="210">
        <v>340</v>
      </c>
      <c r="I51" s="209"/>
      <c r="J51" s="63"/>
      <c r="K51" s="2"/>
      <c r="L51" s="2"/>
      <c r="P51" s="211"/>
      <c r="Q51" s="179"/>
      <c r="R51" s="179"/>
      <c r="S51" s="65"/>
      <c r="T51" s="2"/>
      <c r="U51" s="2"/>
      <c r="V51" s="2"/>
      <c r="Z51" s="99"/>
      <c r="AA51" s="19"/>
      <c r="AB51" s="546" t="s">
        <v>172</v>
      </c>
      <c r="AC51" s="546"/>
      <c r="AD51" s="546"/>
      <c r="AE51" s="546"/>
      <c r="AF51" s="2"/>
      <c r="AG51" s="63"/>
      <c r="AH51" s="63"/>
      <c r="AI51" s="212"/>
      <c r="AJ51" s="212"/>
      <c r="AK51" s="212"/>
      <c r="AL51" s="19"/>
      <c r="AM51" s="19"/>
      <c r="AN51" s="19"/>
      <c r="AO51" s="63"/>
      <c r="AP51" s="212"/>
      <c r="AQ51" s="212"/>
      <c r="AR51" s="212"/>
      <c r="AS51" s="19"/>
      <c r="AT51" s="19"/>
      <c r="AU51" s="19"/>
      <c r="AV51" s="19"/>
      <c r="AW51" s="19"/>
      <c r="AX51" s="2"/>
      <c r="AY51" s="2"/>
      <c r="AZ51" s="2"/>
      <c r="BA51" s="2"/>
      <c r="BD51" s="201"/>
      <c r="BE51" s="213"/>
      <c r="BF51" s="597"/>
      <c r="BG51" s="598"/>
      <c r="BH51" s="598"/>
      <c r="BI51" s="599"/>
      <c r="BJ51" s="25"/>
      <c r="BK51" s="2"/>
    </row>
    <row r="52" spans="1:63" ht="18.75" customHeight="1" thickBot="1" x14ac:dyDescent="0.3">
      <c r="A52" s="26"/>
      <c r="B52" s="19"/>
      <c r="C52" s="19"/>
      <c r="D52" s="209"/>
      <c r="E52" s="210">
        <v>340</v>
      </c>
      <c r="F52" s="210">
        <v>340</v>
      </c>
      <c r="G52" s="210">
        <v>340</v>
      </c>
      <c r="H52" s="210">
        <v>340</v>
      </c>
      <c r="I52" s="209"/>
      <c r="J52" s="63"/>
      <c r="K52" s="2"/>
      <c r="L52" s="2"/>
      <c r="P52" s="211"/>
      <c r="Q52" s="179"/>
      <c r="R52" s="179"/>
      <c r="S52" s="65"/>
      <c r="T52" s="2"/>
      <c r="U52" s="2"/>
      <c r="W52" s="120"/>
      <c r="X52" s="1"/>
      <c r="Y52" s="1"/>
      <c r="AA52" s="83" t="s">
        <v>287</v>
      </c>
      <c r="AB52" s="51" t="s">
        <v>176</v>
      </c>
      <c r="AC52" s="51" t="s">
        <v>176</v>
      </c>
      <c r="AD52" s="51" t="s">
        <v>176</v>
      </c>
      <c r="AE52" s="51" t="s">
        <v>176</v>
      </c>
      <c r="AF52" s="2"/>
      <c r="AG52" s="214"/>
      <c r="AH52" s="215"/>
      <c r="AI52" s="39"/>
      <c r="AJ52" s="39"/>
      <c r="AK52" s="39"/>
      <c r="AL52" s="216"/>
      <c r="AM52" s="19"/>
      <c r="AN52" s="19"/>
      <c r="AO52" s="217"/>
      <c r="AP52" s="39"/>
      <c r="AQ52" s="39"/>
      <c r="AR52" s="39"/>
      <c r="AS52" s="218"/>
      <c r="AT52" s="19"/>
      <c r="AU52" s="19"/>
      <c r="AV52" s="19"/>
      <c r="AW52" s="19"/>
      <c r="AX52" s="2"/>
      <c r="AY52" s="2"/>
      <c r="AZ52" s="2"/>
      <c r="BA52" s="2"/>
      <c r="BD52" s="63"/>
      <c r="BE52" s="156"/>
      <c r="BF52" s="597"/>
      <c r="BG52" s="598"/>
      <c r="BH52" s="598"/>
      <c r="BI52" s="599"/>
      <c r="BJ52" s="25"/>
      <c r="BK52" s="2"/>
    </row>
    <row r="53" spans="1:63" ht="18.75" customHeight="1" x14ac:dyDescent="0.25">
      <c r="A53" s="542" t="s">
        <v>198</v>
      </c>
      <c r="B53" s="542"/>
      <c r="C53" s="2"/>
      <c r="D53" s="41" t="s">
        <v>289</v>
      </c>
      <c r="E53" s="204" t="s">
        <v>176</v>
      </c>
      <c r="F53" s="204" t="s">
        <v>176</v>
      </c>
      <c r="G53" s="204" t="s">
        <v>176</v>
      </c>
      <c r="H53" s="204" t="s">
        <v>176</v>
      </c>
      <c r="I53" s="219"/>
      <c r="J53" s="63"/>
      <c r="K53" s="2"/>
      <c r="L53" s="2"/>
      <c r="O53" s="41"/>
      <c r="P53" s="211"/>
      <c r="Q53" s="179"/>
      <c r="R53" s="179"/>
      <c r="S53" s="65"/>
      <c r="T53" s="2"/>
      <c r="U53" s="2"/>
      <c r="W53" s="525"/>
      <c r="X53" s="525"/>
      <c r="Y53" s="525"/>
      <c r="AA53" s="184"/>
      <c r="AB53" s="52">
        <v>440</v>
      </c>
      <c r="AC53" s="52">
        <v>440</v>
      </c>
      <c r="AD53" s="52">
        <v>440</v>
      </c>
      <c r="AE53" s="52">
        <v>440</v>
      </c>
      <c r="AF53" s="184"/>
      <c r="AG53" s="221"/>
      <c r="AH53" s="615" t="s">
        <v>292</v>
      </c>
      <c r="AI53" s="222"/>
      <c r="AJ53" s="222"/>
      <c r="AK53" s="222"/>
      <c r="AL53" s="223"/>
      <c r="AM53" s="221"/>
      <c r="AN53" s="221"/>
      <c r="AO53" s="223"/>
      <c r="AP53" s="222"/>
      <c r="AQ53" s="222"/>
      <c r="AR53" s="222"/>
      <c r="AS53" s="223"/>
      <c r="AT53" s="221"/>
      <c r="AU53" s="19"/>
      <c r="AV53" s="527"/>
      <c r="AW53" s="527"/>
      <c r="AX53" s="527"/>
      <c r="AY53" s="2"/>
      <c r="AZ53" s="2"/>
      <c r="BA53" s="2"/>
      <c r="BB53" s="207"/>
      <c r="BC53" s="207"/>
      <c r="BD53" s="19"/>
      <c r="BE53" s="63"/>
      <c r="BF53" s="597"/>
      <c r="BG53" s="598"/>
      <c r="BH53" s="598"/>
      <c r="BI53" s="599"/>
      <c r="BJ53" s="25"/>
      <c r="BK53" s="2"/>
    </row>
    <row r="54" spans="1:63" ht="18.75" customHeight="1" thickBot="1" x14ac:dyDescent="0.3">
      <c r="A54" s="225"/>
      <c r="B54" s="45" t="s">
        <v>293</v>
      </c>
      <c r="C54" s="2"/>
      <c r="D54" s="226"/>
      <c r="E54" s="37">
        <v>8</v>
      </c>
      <c r="F54" s="37">
        <v>7</v>
      </c>
      <c r="G54" s="37">
        <v>6</v>
      </c>
      <c r="H54" s="37">
        <v>5</v>
      </c>
      <c r="I54" s="19"/>
      <c r="J54" s="63"/>
      <c r="K54" s="2"/>
      <c r="L54" s="2"/>
      <c r="M54" s="2"/>
      <c r="N54" s="2"/>
      <c r="O54" s="508"/>
      <c r="P54" s="211"/>
      <c r="Q54" s="179"/>
      <c r="R54" s="179"/>
      <c r="S54" s="65"/>
      <c r="U54" s="2"/>
      <c r="W54" s="525"/>
      <c r="X54" s="525"/>
      <c r="Y54" s="525"/>
      <c r="AA54" s="184"/>
      <c r="AB54" s="228">
        <v>440</v>
      </c>
      <c r="AC54" s="228">
        <v>440</v>
      </c>
      <c r="AD54" s="228">
        <v>440</v>
      </c>
      <c r="AE54" s="228">
        <v>440</v>
      </c>
      <c r="AF54" s="184"/>
      <c r="AG54" s="221"/>
      <c r="AH54" s="616"/>
      <c r="AI54" s="222"/>
      <c r="AJ54" s="222"/>
      <c r="AK54" s="222"/>
      <c r="AL54" s="223"/>
      <c r="AM54" s="221"/>
      <c r="AN54" s="221"/>
      <c r="AO54" s="223"/>
      <c r="AP54" s="222"/>
      <c r="AQ54" s="222"/>
      <c r="AR54" s="222"/>
      <c r="AS54" s="223"/>
      <c r="AT54" s="221"/>
      <c r="AU54" s="19"/>
      <c r="AV54" s="527"/>
      <c r="AW54" s="527"/>
      <c r="AX54" s="527"/>
      <c r="AY54" s="2"/>
      <c r="AZ54" s="2"/>
      <c r="BA54" s="2"/>
      <c r="BB54" s="111"/>
      <c r="BC54" s="111"/>
      <c r="BD54" s="19"/>
      <c r="BE54" s="19"/>
      <c r="BF54" s="597"/>
      <c r="BG54" s="598"/>
      <c r="BH54" s="598"/>
      <c r="BI54" s="599"/>
      <c r="BJ54" s="25"/>
      <c r="BK54" s="2"/>
    </row>
    <row r="55" spans="1:63" ht="18.75" customHeight="1" x14ac:dyDescent="0.25">
      <c r="A55" s="210">
        <v>340</v>
      </c>
      <c r="B55" s="204" t="s">
        <v>176</v>
      </c>
      <c r="C55" s="169">
        <v>1</v>
      </c>
      <c r="D55" s="229"/>
      <c r="E55" s="524"/>
      <c r="F55" s="524"/>
      <c r="G55" s="524"/>
      <c r="H55" s="524"/>
      <c r="I55" s="19"/>
      <c r="J55" s="63"/>
      <c r="K55" s="2"/>
      <c r="L55" s="2"/>
      <c r="M55" s="2"/>
      <c r="N55" s="19"/>
      <c r="O55" s="508"/>
      <c r="P55" s="230"/>
      <c r="Q55" s="179"/>
      <c r="R55" s="179"/>
      <c r="S55" s="65"/>
      <c r="U55" s="2"/>
      <c r="W55" s="617"/>
      <c r="X55" s="617"/>
      <c r="Y55" s="617"/>
      <c r="AA55" s="41" t="s">
        <v>297</v>
      </c>
      <c r="AB55" s="51" t="s">
        <v>176</v>
      </c>
      <c r="AC55" s="51" t="s">
        <v>176</v>
      </c>
      <c r="AD55" s="51" t="s">
        <v>176</v>
      </c>
      <c r="AE55" s="51" t="s">
        <v>176</v>
      </c>
      <c r="AF55" s="2"/>
      <c r="AG55" s="63"/>
      <c r="AH55" s="221"/>
      <c r="AI55" s="39"/>
      <c r="AJ55" s="39"/>
      <c r="AK55" s="39"/>
      <c r="AL55" s="221"/>
      <c r="AM55" s="19"/>
      <c r="AN55" s="19"/>
      <c r="AO55" s="221"/>
      <c r="AP55" s="39"/>
      <c r="AQ55" s="39"/>
      <c r="AR55" s="39"/>
      <c r="AS55" s="221"/>
      <c r="AT55" s="65"/>
      <c r="AU55" s="19"/>
      <c r="AV55" s="41"/>
      <c r="AW55" s="19"/>
      <c r="AX55" s="2"/>
      <c r="AY55" s="2"/>
      <c r="AZ55" s="2"/>
      <c r="BA55" s="2"/>
      <c r="BB55" s="231"/>
      <c r="BC55" s="186"/>
      <c r="BD55" s="2"/>
      <c r="BE55" s="2"/>
      <c r="BF55" s="597"/>
      <c r="BG55" s="598"/>
      <c r="BH55" s="598"/>
      <c r="BI55" s="599"/>
      <c r="BJ55" s="25"/>
      <c r="BK55" s="2"/>
    </row>
    <row r="56" spans="1:63" ht="18.75" customHeight="1" thickBot="1" x14ac:dyDescent="0.3">
      <c r="A56" s="210">
        <v>340</v>
      </c>
      <c r="B56" s="204" t="s">
        <v>176</v>
      </c>
      <c r="C56" s="79">
        <v>2</v>
      </c>
      <c r="D56" s="41"/>
      <c r="E56" s="524"/>
      <c r="F56" s="524"/>
      <c r="G56" s="524"/>
      <c r="H56" s="524"/>
      <c r="I56" s="2"/>
      <c r="J56" s="2"/>
      <c r="K56" s="2"/>
      <c r="L56" s="2"/>
      <c r="M56" s="2"/>
      <c r="N56" s="19"/>
      <c r="O56" s="513"/>
      <c r="P56" s="507"/>
      <c r="Q56" s="179"/>
      <c r="R56" s="179"/>
      <c r="S56" s="65"/>
      <c r="U56" s="2"/>
      <c r="V56" s="91"/>
      <c r="W56" s="91"/>
      <c r="X56" s="91"/>
      <c r="Y56" s="91"/>
      <c r="Z56" s="19"/>
      <c r="AA56" s="19"/>
      <c r="AB56" s="111">
        <v>8</v>
      </c>
      <c r="AC56" s="111">
        <v>7</v>
      </c>
      <c r="AD56" s="111">
        <v>6</v>
      </c>
      <c r="AE56" s="111">
        <v>5</v>
      </c>
      <c r="AF56" s="19"/>
      <c r="AG56" s="19"/>
      <c r="AH56" s="41"/>
      <c r="AI56" s="212"/>
      <c r="AJ56" s="212"/>
      <c r="AK56" s="212"/>
      <c r="AL56" s="63"/>
      <c r="AM56" s="19"/>
      <c r="AN56" s="19"/>
      <c r="AO56" s="41"/>
      <c r="AP56" s="212"/>
      <c r="AQ56" s="212"/>
      <c r="AR56" s="212"/>
      <c r="AS56" s="19"/>
      <c r="AT56" s="63"/>
      <c r="AU56" s="19"/>
      <c r="AV56" s="19"/>
      <c r="AW56" s="19"/>
      <c r="AX56" s="2"/>
      <c r="AY56" s="2"/>
      <c r="AZ56" s="2"/>
      <c r="BA56" s="2"/>
      <c r="BB56" s="231"/>
      <c r="BC56" s="186"/>
      <c r="BD56" s="2"/>
      <c r="BE56" s="2"/>
      <c r="BF56" s="600"/>
      <c r="BG56" s="601"/>
      <c r="BH56" s="601"/>
      <c r="BI56" s="602"/>
      <c r="BJ56" s="25"/>
      <c r="BK56" s="2"/>
    </row>
    <row r="57" spans="1:63" ht="18.75" customHeight="1" thickBot="1" x14ac:dyDescent="0.3">
      <c r="A57" s="210">
        <v>340</v>
      </c>
      <c r="B57" s="204" t="s">
        <v>176</v>
      </c>
      <c r="C57" s="79">
        <v>3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513"/>
      <c r="P57" s="507"/>
      <c r="Q57" s="130"/>
      <c r="R57" s="65"/>
      <c r="S57" s="65"/>
      <c r="U57" s="2"/>
      <c r="V57" s="1"/>
      <c r="W57" s="1"/>
      <c r="X57" s="1"/>
      <c r="Y57" s="1"/>
      <c r="Z57" s="63"/>
      <c r="AA57" s="63"/>
      <c r="AB57" s="19"/>
      <c r="AC57" s="111">
        <v>1</v>
      </c>
      <c r="AD57" s="111">
        <v>2</v>
      </c>
      <c r="AE57" s="111">
        <v>3</v>
      </c>
      <c r="AF57" s="19"/>
      <c r="AG57" s="19"/>
      <c r="AH57" s="19"/>
      <c r="AI57" s="234"/>
      <c r="AJ57" s="234"/>
      <c r="AK57" s="234"/>
      <c r="AL57" s="2"/>
      <c r="AM57" s="2"/>
      <c r="AN57" s="19"/>
      <c r="AP57" s="19"/>
      <c r="AQ57" s="19"/>
      <c r="AR57" s="19"/>
      <c r="AS57" s="19"/>
      <c r="AT57" s="19"/>
      <c r="AU57" s="19"/>
      <c r="AV57" s="19"/>
      <c r="AW57" s="63"/>
      <c r="AX57" s="98"/>
      <c r="AY57" s="2"/>
      <c r="AZ57" s="186"/>
      <c r="BA57" s="186"/>
      <c r="BB57" s="186"/>
      <c r="BC57" s="186"/>
      <c r="BD57" s="2"/>
      <c r="BE57" s="2"/>
      <c r="BF57" s="2"/>
      <c r="BG57" s="2"/>
      <c r="BH57" s="2"/>
      <c r="BI57" s="581" t="s">
        <v>231</v>
      </c>
      <c r="BJ57" s="25"/>
      <c r="BK57" s="2"/>
    </row>
    <row r="58" spans="1:63" ht="18.75" customHeight="1" x14ac:dyDescent="0.25">
      <c r="A58" s="210">
        <v>340</v>
      </c>
      <c r="B58" s="204" t="s">
        <v>176</v>
      </c>
      <c r="C58" s="79">
        <v>4</v>
      </c>
      <c r="D58" s="19"/>
      <c r="E58" s="502"/>
      <c r="F58" s="502"/>
      <c r="G58" s="502"/>
      <c r="H58" s="19"/>
      <c r="I58" s="19"/>
      <c r="J58" s="19"/>
      <c r="K58" s="19"/>
      <c r="L58" s="19"/>
      <c r="M58" s="19"/>
      <c r="N58" s="19"/>
      <c r="O58" s="513"/>
      <c r="P58" s="507"/>
      <c r="Q58" s="130"/>
      <c r="R58" s="65"/>
      <c r="S58" s="65"/>
      <c r="T58" s="2"/>
      <c r="U58" s="2"/>
      <c r="W58" s="526"/>
      <c r="X58" s="526"/>
      <c r="Y58" s="526"/>
      <c r="Z58" s="526"/>
      <c r="AA58" s="19"/>
      <c r="AB58" s="83" t="s">
        <v>303</v>
      </c>
      <c r="AC58" s="77" t="s">
        <v>176</v>
      </c>
      <c r="AD58" s="77" t="s">
        <v>176</v>
      </c>
      <c r="AE58" s="77" t="s">
        <v>176</v>
      </c>
      <c r="AF58" s="73" t="s">
        <v>199</v>
      </c>
      <c r="AG58" s="19"/>
      <c r="AH58" s="19"/>
      <c r="AI58" s="63"/>
      <c r="AJ58" s="63"/>
      <c r="AK58" s="19"/>
      <c r="AL58" s="19"/>
      <c r="AM58" s="19"/>
      <c r="AN58" s="234"/>
      <c r="AO58" s="19"/>
      <c r="AP58" s="19"/>
      <c r="AQ58" s="19"/>
      <c r="AR58" s="19"/>
      <c r="AS58" s="19"/>
      <c r="AT58" s="19"/>
      <c r="AU58" s="19"/>
      <c r="AV58" s="2"/>
      <c r="AW58" s="2"/>
      <c r="AX58" s="583" t="s">
        <v>304</v>
      </c>
      <c r="AY58" s="584"/>
      <c r="AZ58" s="584"/>
      <c r="BA58" s="584"/>
      <c r="BB58" s="584"/>
      <c r="BC58" s="585"/>
      <c r="BD58" s="2"/>
      <c r="BE58" s="2"/>
      <c r="BF58" s="2"/>
      <c r="BG58" s="2"/>
      <c r="BH58" s="2"/>
      <c r="BI58" s="581"/>
      <c r="BJ58" s="25"/>
      <c r="BK58" s="2"/>
    </row>
    <row r="59" spans="1:63" ht="18.75" customHeight="1" thickBot="1" x14ac:dyDescent="0.3">
      <c r="A59" s="208" t="s">
        <v>305</v>
      </c>
      <c r="B59" s="41" t="s">
        <v>306</v>
      </c>
      <c r="C59" s="19"/>
      <c r="D59" s="41"/>
      <c r="E59" s="502"/>
      <c r="F59" s="502"/>
      <c r="G59" s="502"/>
      <c r="H59" s="19"/>
      <c r="I59" s="19"/>
      <c r="J59" s="19"/>
      <c r="K59" s="19"/>
      <c r="L59" s="19"/>
      <c r="M59" s="19"/>
      <c r="N59" s="19"/>
      <c r="O59" s="513"/>
      <c r="P59" s="507"/>
      <c r="Q59" s="130"/>
      <c r="R59" s="65"/>
      <c r="S59" s="65"/>
      <c r="T59" s="2"/>
      <c r="U59" s="2"/>
      <c r="W59" s="526"/>
      <c r="X59" s="526"/>
      <c r="Y59" s="526"/>
      <c r="Z59" s="526"/>
      <c r="AA59" s="19"/>
      <c r="AB59" s="121"/>
      <c r="AC59" s="78">
        <v>340</v>
      </c>
      <c r="AD59" s="78">
        <v>340</v>
      </c>
      <c r="AE59" s="78">
        <v>340</v>
      </c>
      <c r="AF59" s="121"/>
      <c r="AG59" s="19"/>
      <c r="AH59" s="19"/>
      <c r="AI59" s="19"/>
      <c r="AJ59" s="19"/>
      <c r="AK59" s="19"/>
      <c r="AL59" s="19"/>
      <c r="AM59" s="19"/>
      <c r="AN59" s="19"/>
      <c r="AO59" s="236"/>
      <c r="AP59" s="237"/>
      <c r="AQ59" s="237"/>
      <c r="AR59" s="237"/>
      <c r="AS59" s="238"/>
      <c r="AT59" s="19"/>
      <c r="AU59" s="19"/>
      <c r="AV59" s="2"/>
      <c r="AW59" s="2"/>
      <c r="AX59" s="586"/>
      <c r="AY59" s="587"/>
      <c r="AZ59" s="587"/>
      <c r="BA59" s="587"/>
      <c r="BB59" s="587"/>
      <c r="BC59" s="588"/>
      <c r="BD59" s="125"/>
      <c r="BE59" s="126"/>
      <c r="BF59" s="126"/>
      <c r="BG59" s="126"/>
      <c r="BH59" s="127"/>
      <c r="BI59" s="582"/>
      <c r="BJ59" s="25"/>
      <c r="BK59" s="2"/>
    </row>
    <row r="60" spans="1:63" ht="18.75" customHeight="1" x14ac:dyDescent="0.25">
      <c r="A60" s="503"/>
      <c r="B60" s="41"/>
      <c r="C60" s="19"/>
      <c r="D60" s="2"/>
      <c r="E60" s="592" t="s">
        <v>198</v>
      </c>
      <c r="F60" s="592"/>
      <c r="G60" s="592"/>
      <c r="H60" s="592"/>
      <c r="I60" s="2"/>
      <c r="J60" s="2"/>
      <c r="K60" s="2"/>
      <c r="L60" s="2"/>
      <c r="M60" s="2"/>
      <c r="N60" s="19"/>
      <c r="O60" s="513"/>
      <c r="P60" s="507"/>
      <c r="Q60" s="130"/>
      <c r="R60" s="65"/>
      <c r="S60" s="65"/>
      <c r="T60" s="2"/>
      <c r="U60" s="2"/>
      <c r="W60" s="120"/>
      <c r="X60" s="91"/>
      <c r="Y60" s="91"/>
      <c r="Z60" s="91"/>
      <c r="AA60" s="19"/>
      <c r="AB60" s="121"/>
      <c r="AC60" s="78">
        <v>340</v>
      </c>
      <c r="AD60" s="78">
        <v>340</v>
      </c>
      <c r="AE60" s="78">
        <v>340</v>
      </c>
      <c r="AF60" s="121"/>
      <c r="AG60" s="2"/>
      <c r="AH60" s="19"/>
      <c r="AI60" s="19"/>
      <c r="AJ60" s="19"/>
      <c r="AK60" s="19"/>
      <c r="AL60" s="19"/>
      <c r="AM60" s="19"/>
      <c r="AN60" s="19"/>
      <c r="AO60" s="215"/>
      <c r="AP60" s="239"/>
      <c r="AQ60" s="239"/>
      <c r="AR60" s="239"/>
      <c r="AS60" s="218"/>
      <c r="AT60" s="19"/>
      <c r="AU60" s="19"/>
      <c r="AV60" s="2"/>
      <c r="AW60" s="2"/>
      <c r="AX60" s="586"/>
      <c r="AY60" s="587"/>
      <c r="AZ60" s="587"/>
      <c r="BA60" s="587"/>
      <c r="BB60" s="587"/>
      <c r="BC60" s="588"/>
      <c r="BD60" s="2"/>
      <c r="BE60" s="2"/>
      <c r="BF60" s="2"/>
      <c r="BG60" s="2"/>
      <c r="BH60" s="2"/>
      <c r="BI60" s="2"/>
      <c r="BJ60" s="25"/>
      <c r="BK60" s="2"/>
    </row>
    <row r="61" spans="1:63" ht="18.75" customHeight="1" x14ac:dyDescent="0.25">
      <c r="A61" s="503"/>
      <c r="B61" s="19"/>
      <c r="C61" s="19"/>
      <c r="D61" s="19"/>
      <c r="E61" s="240">
        <v>1</v>
      </c>
      <c r="F61" s="240">
        <v>2</v>
      </c>
      <c r="G61" s="240">
        <v>3</v>
      </c>
      <c r="H61" s="240">
        <v>4</v>
      </c>
      <c r="I61" s="19"/>
      <c r="J61" s="19"/>
      <c r="K61" s="19"/>
      <c r="L61" s="2"/>
      <c r="M61" s="2"/>
      <c r="N61" s="19"/>
      <c r="O61" s="513"/>
      <c r="P61" s="507"/>
      <c r="Q61" s="63"/>
      <c r="R61" s="65"/>
      <c r="S61" s="65"/>
      <c r="T61" s="2"/>
      <c r="U61" s="2"/>
      <c r="W61" s="2"/>
      <c r="X61" s="63"/>
      <c r="AA61" s="63"/>
      <c r="AB61" s="41" t="s">
        <v>310</v>
      </c>
      <c r="AC61" s="77" t="s">
        <v>176</v>
      </c>
      <c r="AD61" s="77" t="s">
        <v>176</v>
      </c>
      <c r="AE61" s="77" t="s">
        <v>176</v>
      </c>
      <c r="AF61" s="2"/>
      <c r="AG61" s="19"/>
      <c r="AH61" s="19"/>
      <c r="AI61" s="500"/>
      <c r="AJ61" s="500"/>
      <c r="AK61" s="500"/>
      <c r="AL61" s="19"/>
      <c r="AM61" s="19"/>
      <c r="AN61" s="242"/>
      <c r="AO61" s="243"/>
      <c r="AP61" s="222"/>
      <c r="AQ61" s="222"/>
      <c r="AR61" s="222"/>
      <c r="AS61" s="243"/>
      <c r="AT61" s="218"/>
      <c r="AU61" s="19"/>
      <c r="AV61" s="2"/>
      <c r="AW61" s="2"/>
      <c r="AX61" s="586"/>
      <c r="AY61" s="587"/>
      <c r="AZ61" s="587"/>
      <c r="BA61" s="587"/>
      <c r="BB61" s="587"/>
      <c r="BC61" s="588"/>
      <c r="BD61" s="2"/>
      <c r="BE61" s="2"/>
      <c r="BF61" s="2"/>
      <c r="BG61" s="2"/>
      <c r="BH61" s="2"/>
      <c r="BI61" s="2"/>
      <c r="BJ61" s="25"/>
      <c r="BK61" s="2"/>
    </row>
    <row r="62" spans="1:63" ht="18.75" customHeight="1" thickBot="1" x14ac:dyDescent="0.3">
      <c r="A62" s="503"/>
      <c r="B62" s="199"/>
      <c r="C62" s="19"/>
      <c r="D62" s="45" t="s">
        <v>311</v>
      </c>
      <c r="E62" s="244" t="s">
        <v>176</v>
      </c>
      <c r="F62" s="244" t="s">
        <v>176</v>
      </c>
      <c r="G62" s="244" t="s">
        <v>176</v>
      </c>
      <c r="H62" s="244" t="s">
        <v>176</v>
      </c>
      <c r="I62" s="73" t="s">
        <v>312</v>
      </c>
      <c r="J62" s="19"/>
      <c r="K62" s="19"/>
      <c r="L62" s="2"/>
      <c r="M62" s="2"/>
      <c r="N62" s="19"/>
      <c r="O62" s="41"/>
      <c r="P62" s="507"/>
      <c r="Q62" s="63"/>
      <c r="R62" s="65"/>
      <c r="S62" s="65"/>
      <c r="T62" s="2"/>
      <c r="U62" s="2"/>
      <c r="V62" s="2"/>
      <c r="AA62" s="63"/>
      <c r="AB62" s="63"/>
      <c r="AC62" s="111">
        <v>6</v>
      </c>
      <c r="AD62" s="111">
        <v>5</v>
      </c>
      <c r="AE62" s="111">
        <v>4</v>
      </c>
      <c r="AF62" s="19"/>
      <c r="AG62" s="19"/>
      <c r="AH62" s="19"/>
      <c r="AI62" s="500"/>
      <c r="AJ62" s="500"/>
      <c r="AK62" s="500"/>
      <c r="AL62" s="19"/>
      <c r="AM62" s="19"/>
      <c r="AN62" s="242"/>
      <c r="AO62" s="243"/>
      <c r="AP62" s="222"/>
      <c r="AQ62" s="222"/>
      <c r="AR62" s="222"/>
      <c r="AS62" s="243"/>
      <c r="AT62" s="218"/>
      <c r="AU62" s="19"/>
      <c r="AV62" s="2"/>
      <c r="AW62" s="2"/>
      <c r="AX62" s="589"/>
      <c r="AY62" s="590"/>
      <c r="AZ62" s="590"/>
      <c r="BA62" s="590"/>
      <c r="BB62" s="590"/>
      <c r="BC62" s="591"/>
      <c r="BD62" s="2"/>
      <c r="BE62" s="2"/>
      <c r="BF62" s="2"/>
      <c r="BG62" s="2"/>
      <c r="BH62" s="2"/>
      <c r="BI62" s="2"/>
      <c r="BJ62" s="25"/>
      <c r="BK62" s="2"/>
    </row>
    <row r="63" spans="1:63" ht="18.75" customHeight="1" x14ac:dyDescent="0.25">
      <c r="A63" s="503"/>
      <c r="B63" s="199"/>
      <c r="C63" s="19"/>
      <c r="D63" s="245"/>
      <c r="E63" s="246">
        <v>340</v>
      </c>
      <c r="F63" s="246">
        <v>340</v>
      </c>
      <c r="G63" s="246">
        <v>340</v>
      </c>
      <c r="H63" s="246">
        <v>340</v>
      </c>
      <c r="I63" s="245"/>
      <c r="J63" s="19"/>
      <c r="K63" s="19"/>
      <c r="L63" s="2"/>
      <c r="M63" s="2"/>
      <c r="N63" s="19"/>
      <c r="O63" s="19"/>
      <c r="P63" s="507"/>
      <c r="Q63" s="63"/>
      <c r="R63" s="199"/>
      <c r="S63" s="65"/>
      <c r="T63" s="2"/>
      <c r="U63" s="2"/>
      <c r="AA63" s="19"/>
      <c r="AB63" s="19"/>
      <c r="AC63" s="546" t="s">
        <v>198</v>
      </c>
      <c r="AD63" s="546"/>
      <c r="AE63" s="546"/>
      <c r="AF63" s="19"/>
      <c r="AG63" s="2"/>
      <c r="AH63" s="19"/>
      <c r="AI63" s="41"/>
      <c r="AJ63" s="19"/>
      <c r="AK63" s="19"/>
      <c r="AL63" s="19"/>
      <c r="AM63" s="19"/>
      <c r="AO63" s="242"/>
      <c r="AP63" s="239"/>
      <c r="AQ63" s="239"/>
      <c r="AR63" s="239"/>
      <c r="AS63" s="242"/>
      <c r="AT63" s="19"/>
      <c r="AU63" s="19"/>
      <c r="AV63" s="2"/>
      <c r="AW63" s="2"/>
      <c r="AX63" s="247"/>
      <c r="AY63" s="186"/>
      <c r="AZ63" s="2"/>
      <c r="BA63" s="248"/>
      <c r="BB63" s="248"/>
      <c r="BC63" s="2"/>
      <c r="BD63" s="2"/>
      <c r="BE63" s="2"/>
      <c r="BF63" s="2"/>
      <c r="BG63" s="2"/>
      <c r="BH63" s="2"/>
      <c r="BI63" s="2"/>
      <c r="BJ63" s="25"/>
      <c r="BK63" s="2"/>
    </row>
    <row r="64" spans="1:63" ht="18.75" customHeight="1" x14ac:dyDescent="0.25">
      <c r="A64" s="503"/>
      <c r="B64" s="199"/>
      <c r="C64" s="19"/>
      <c r="D64" s="245"/>
      <c r="E64" s="131">
        <v>340</v>
      </c>
      <c r="F64" s="131">
        <v>340</v>
      </c>
      <c r="G64" s="131">
        <v>340</v>
      </c>
      <c r="H64" s="131">
        <v>340</v>
      </c>
      <c r="I64" s="245"/>
      <c r="J64" s="19"/>
      <c r="K64" s="19"/>
      <c r="L64" s="2"/>
      <c r="M64" s="19"/>
      <c r="N64" s="19"/>
      <c r="O64" s="19"/>
      <c r="P64" s="507"/>
      <c r="Q64" s="130"/>
      <c r="R64" s="199"/>
      <c r="S64" s="65"/>
      <c r="T64" s="2"/>
      <c r="U64" s="2"/>
      <c r="AA64" s="19"/>
      <c r="AB64" s="19"/>
      <c r="AC64" s="63"/>
      <c r="AD64" s="63"/>
      <c r="AE64" s="63"/>
      <c r="AF64" s="19"/>
      <c r="AG64" s="19"/>
      <c r="AH64" s="19"/>
      <c r="AI64" s="63"/>
      <c r="AJ64" s="63"/>
      <c r="AK64" s="63"/>
      <c r="AO64" s="41"/>
      <c r="AP64" s="237"/>
      <c r="AQ64" s="237"/>
      <c r="AR64" s="237"/>
      <c r="AS64" s="236"/>
      <c r="AT64" s="19"/>
      <c r="AU64" s="19"/>
      <c r="AV64" s="2"/>
      <c r="AW64" s="2"/>
      <c r="AX64" s="249"/>
      <c r="AY64" s="186"/>
      <c r="AZ64" s="250"/>
      <c r="BA64" s="250"/>
      <c r="BB64" s="250"/>
      <c r="BC64" s="2"/>
      <c r="BD64" s="2"/>
      <c r="BE64" s="2"/>
      <c r="BF64" s="2"/>
      <c r="BG64" s="2"/>
      <c r="BH64" s="2"/>
      <c r="BI64" s="2"/>
      <c r="BJ64" s="25"/>
      <c r="BK64" s="2"/>
    </row>
    <row r="65" spans="1:63" ht="18.75" customHeight="1" x14ac:dyDescent="0.25">
      <c r="A65" s="503"/>
      <c r="B65" s="41"/>
      <c r="C65" s="19"/>
      <c r="D65" s="41" t="s">
        <v>317</v>
      </c>
      <c r="E65" s="244" t="s">
        <v>176</v>
      </c>
      <c r="F65" s="244" t="s">
        <v>176</v>
      </c>
      <c r="G65" s="244" t="s">
        <v>176</v>
      </c>
      <c r="H65" s="244" t="s">
        <v>176</v>
      </c>
      <c r="I65" s="19"/>
      <c r="J65" s="19"/>
      <c r="K65" s="19"/>
      <c r="L65" s="2"/>
      <c r="M65" s="19"/>
      <c r="N65" s="19"/>
      <c r="O65" s="19"/>
      <c r="P65" s="507"/>
      <c r="Q65" s="130"/>
      <c r="R65" s="199"/>
      <c r="S65" s="65"/>
      <c r="T65" s="2"/>
      <c r="U65" s="19"/>
      <c r="Z65" s="19"/>
      <c r="AA65" s="19"/>
      <c r="AB65" s="63"/>
      <c r="AC65" s="63"/>
      <c r="AD65" s="63"/>
      <c r="AE65" s="63"/>
      <c r="AF65" s="2"/>
      <c r="AG65" s="2"/>
      <c r="AH65" s="2"/>
      <c r="AI65" s="63"/>
      <c r="AJ65" s="63"/>
      <c r="AK65" s="63"/>
      <c r="AO65" s="251"/>
      <c r="AP65" s="63"/>
      <c r="AQ65" s="19"/>
      <c r="AR65" s="19"/>
      <c r="AS65" s="19"/>
      <c r="AT65" s="19"/>
      <c r="AU65" s="19"/>
      <c r="AV65" s="186"/>
      <c r="AW65" s="186"/>
      <c r="AX65" s="249"/>
      <c r="AY65" s="248"/>
      <c r="AZ65" s="250"/>
      <c r="BA65" s="83"/>
      <c r="BD65" s="63"/>
      <c r="BE65" s="2"/>
      <c r="BF65" s="2"/>
      <c r="BG65" s="2"/>
      <c r="BH65" s="2"/>
      <c r="BI65" s="2"/>
      <c r="BJ65" s="25"/>
      <c r="BK65" s="2"/>
    </row>
    <row r="66" spans="1:63" ht="18.75" customHeight="1" x14ac:dyDescent="0.25">
      <c r="A66" s="503"/>
      <c r="B66" s="19"/>
      <c r="C66" s="19"/>
      <c r="D66" s="2"/>
      <c r="E66" s="240">
        <v>8</v>
      </c>
      <c r="F66" s="240">
        <v>7</v>
      </c>
      <c r="G66" s="240">
        <v>6</v>
      </c>
      <c r="H66" s="240">
        <v>5</v>
      </c>
      <c r="I66" s="2"/>
      <c r="J66" s="19"/>
      <c r="K66" s="19"/>
      <c r="L66" s="2"/>
      <c r="M66" s="19"/>
      <c r="N66" s="19"/>
      <c r="O66" s="508"/>
      <c r="P66" s="507"/>
      <c r="Q66" s="130"/>
      <c r="R66" s="63"/>
      <c r="S66" s="63"/>
      <c r="T66" s="2"/>
      <c r="U66" s="2"/>
      <c r="Z66" s="2"/>
      <c r="AA66" s="19"/>
      <c r="AB66" s="19"/>
      <c r="AC66" s="19"/>
      <c r="AD66" s="19"/>
      <c r="AE66" s="19"/>
      <c r="AF66" s="186"/>
      <c r="AG66" s="2"/>
      <c r="AH66" s="252"/>
      <c r="AI66" s="63"/>
      <c r="AJ66" s="63"/>
      <c r="AK66" s="63"/>
      <c r="AL66" s="19"/>
      <c r="AM66" s="253"/>
      <c r="AN66" s="19"/>
      <c r="AO66" s="253"/>
      <c r="AP66" s="254"/>
      <c r="AQ66" s="19"/>
      <c r="AR66" s="19"/>
      <c r="AS66" s="19"/>
      <c r="AT66" s="19"/>
      <c r="AU66" s="19"/>
      <c r="AV66" s="186"/>
      <c r="AW66" s="255"/>
      <c r="AX66" s="186"/>
      <c r="AY66" s="248"/>
      <c r="AZ66" s="250"/>
      <c r="BA66" s="207"/>
      <c r="BD66" s="207"/>
      <c r="BE66" s="2"/>
      <c r="BF66" s="2"/>
      <c r="BG66" s="2"/>
      <c r="BH66" s="2"/>
      <c r="BI66" s="2"/>
      <c r="BJ66" s="25"/>
      <c r="BK66" s="2"/>
    </row>
    <row r="67" spans="1:63" ht="18.75" customHeight="1" thickBot="1" x14ac:dyDescent="0.3">
      <c r="A67" s="505"/>
      <c r="B67" s="19"/>
      <c r="C67" s="19"/>
      <c r="D67" s="2"/>
      <c r="E67" s="614" t="s">
        <v>267</v>
      </c>
      <c r="F67" s="614"/>
      <c r="G67" s="614"/>
      <c r="H67" s="614"/>
      <c r="I67" s="2"/>
      <c r="J67" s="19"/>
      <c r="K67" s="19"/>
      <c r="L67" s="2"/>
      <c r="M67" s="19"/>
      <c r="N67" s="19"/>
      <c r="O67" s="508"/>
      <c r="P67" s="507"/>
      <c r="Q67" s="63"/>
      <c r="R67" s="63"/>
      <c r="S67" s="63"/>
      <c r="T67" s="63"/>
      <c r="U67" s="2"/>
      <c r="V67" s="2"/>
      <c r="W67" s="2"/>
      <c r="X67" s="2"/>
      <c r="Y67" s="2"/>
      <c r="Z67" s="2"/>
      <c r="AA67" s="63"/>
      <c r="AB67" s="19"/>
      <c r="AC67" s="19"/>
      <c r="AD67" s="19"/>
      <c r="AE67" s="19"/>
      <c r="AF67" s="19"/>
      <c r="AG67" s="19"/>
      <c r="AH67" s="257"/>
      <c r="AI67" s="253"/>
      <c r="AJ67" s="19"/>
      <c r="AK67" s="253"/>
      <c r="AL67" s="251"/>
      <c r="AM67" s="258"/>
      <c r="AN67" s="19"/>
      <c r="AO67" s="19"/>
      <c r="AP67" s="19"/>
      <c r="AQ67" s="19"/>
      <c r="AR67" s="19"/>
      <c r="AS67" s="19"/>
      <c r="AT67" s="19"/>
      <c r="AU67" s="19"/>
      <c r="AV67" s="19"/>
      <c r="AW67" s="255"/>
      <c r="AX67" s="2"/>
      <c r="AY67" s="2"/>
      <c r="AZ67" s="2"/>
      <c r="BA67" s="207"/>
      <c r="BD67" s="207"/>
      <c r="BE67" s="2"/>
      <c r="BF67" s="2"/>
      <c r="BG67" s="2"/>
      <c r="BH67" s="2"/>
      <c r="BI67" s="2"/>
      <c r="BJ67" s="25"/>
      <c r="BK67" s="2"/>
    </row>
    <row r="68" spans="1:63" ht="18.75" customHeight="1" thickBot="1" x14ac:dyDescent="0.3">
      <c r="A68" s="259" t="s">
        <v>231</v>
      </c>
      <c r="B68" s="19"/>
      <c r="C68" s="19"/>
      <c r="D68" s="2"/>
      <c r="E68" s="240">
        <v>1</v>
      </c>
      <c r="F68" s="240">
        <v>2</v>
      </c>
      <c r="G68" s="240">
        <v>3</v>
      </c>
      <c r="H68" s="240">
        <v>4</v>
      </c>
      <c r="I68" s="2"/>
      <c r="J68" s="19"/>
      <c r="K68" s="2"/>
      <c r="L68" s="2"/>
      <c r="M68" s="19"/>
      <c r="N68" s="19"/>
      <c r="O68" s="508"/>
      <c r="P68" s="260"/>
      <c r="Q68" s="63"/>
      <c r="R68" s="63"/>
      <c r="S68" s="63"/>
      <c r="T68" s="63"/>
      <c r="U68" s="19"/>
      <c r="V68" s="19"/>
      <c r="W68" s="19"/>
      <c r="X68" s="19"/>
      <c r="Y68" s="19"/>
      <c r="Z68" s="19"/>
      <c r="AA68" s="2"/>
      <c r="AB68" s="19"/>
      <c r="AC68" s="19"/>
      <c r="AD68" s="19"/>
      <c r="AE68" s="19"/>
      <c r="AF68" s="19"/>
      <c r="AG68" s="19"/>
      <c r="AH68" s="257"/>
      <c r="AI68" s="63"/>
      <c r="AJ68" s="253"/>
      <c r="AK68" s="63"/>
      <c r="AL68" s="63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261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5"/>
      <c r="BK68" s="2"/>
    </row>
    <row r="69" spans="1:63" ht="18.75" customHeight="1" thickBot="1" x14ac:dyDescent="0.3">
      <c r="A69" s="184"/>
      <c r="B69" s="45" t="s">
        <v>318</v>
      </c>
      <c r="C69" s="19"/>
      <c r="D69" s="45" t="s">
        <v>319</v>
      </c>
      <c r="E69" s="151" t="s">
        <v>176</v>
      </c>
      <c r="F69" s="151" t="s">
        <v>176</v>
      </c>
      <c r="G69" s="151" t="s">
        <v>176</v>
      </c>
      <c r="H69" s="151" t="s">
        <v>176</v>
      </c>
      <c r="I69" s="73" t="s">
        <v>278</v>
      </c>
      <c r="J69" s="19"/>
      <c r="K69" s="2"/>
      <c r="L69" s="2"/>
      <c r="M69" s="2"/>
      <c r="N69" s="19"/>
      <c r="O69" s="508"/>
      <c r="P69" s="211"/>
      <c r="Q69" s="63"/>
      <c r="R69" s="63"/>
      <c r="S69" s="63"/>
      <c r="T69" s="63"/>
      <c r="U69" s="262"/>
      <c r="V69" s="262"/>
      <c r="W69" s="262"/>
      <c r="X69" s="126"/>
      <c r="Y69" s="126"/>
      <c r="Z69" s="126"/>
      <c r="AA69" s="126"/>
      <c r="AB69" s="126"/>
      <c r="AC69" s="126"/>
      <c r="AD69" s="126"/>
      <c r="AE69" s="126"/>
      <c r="AF69" s="19"/>
      <c r="AG69" s="19"/>
      <c r="AH69" s="63"/>
      <c r="AI69" s="63"/>
      <c r="AJ69" s="263"/>
      <c r="AK69" s="263"/>
      <c r="AL69" s="263"/>
      <c r="AM69" s="263"/>
      <c r="AN69" s="263"/>
      <c r="AO69" s="262"/>
      <c r="AP69" s="262"/>
      <c r="AQ69" s="264"/>
      <c r="AR69" s="262"/>
      <c r="AS69" s="262"/>
      <c r="AT69" s="262"/>
      <c r="AU69" s="262"/>
      <c r="AV69" s="262"/>
      <c r="AW69" s="265"/>
      <c r="AX69" s="199"/>
      <c r="AY69" s="199"/>
      <c r="AZ69" s="199"/>
      <c r="BA69" s="199"/>
      <c r="BB69" s="199"/>
      <c r="BC69" s="2"/>
      <c r="BD69" s="2"/>
      <c r="BE69" s="2"/>
      <c r="BF69" s="2"/>
      <c r="BG69" s="2"/>
      <c r="BH69" s="2"/>
      <c r="BI69" s="2"/>
      <c r="BJ69" s="25"/>
      <c r="BK69" s="2"/>
    </row>
    <row r="70" spans="1:63" ht="18.75" customHeight="1" x14ac:dyDescent="0.25">
      <c r="A70" s="266">
        <v>440</v>
      </c>
      <c r="B70" s="46" t="s">
        <v>176</v>
      </c>
      <c r="C70" s="169">
        <v>1</v>
      </c>
      <c r="D70" s="160"/>
      <c r="E70" s="194">
        <v>375</v>
      </c>
      <c r="F70" s="194">
        <v>375</v>
      </c>
      <c r="G70" s="194">
        <v>375</v>
      </c>
      <c r="H70" s="194">
        <v>375</v>
      </c>
      <c r="I70" s="160"/>
      <c r="J70" s="19"/>
      <c r="K70" s="498"/>
      <c r="L70" s="498"/>
      <c r="M70" s="498"/>
      <c r="N70" s="19"/>
      <c r="O70" s="508"/>
      <c r="P70" s="211"/>
      <c r="Q70" s="63"/>
      <c r="R70" s="63"/>
      <c r="S70" s="63"/>
      <c r="T70" s="63"/>
      <c r="U70" s="619" t="s">
        <v>208</v>
      </c>
      <c r="V70" s="620"/>
      <c r="W70" s="620"/>
      <c r="X70" s="620"/>
      <c r="Y70" s="620"/>
      <c r="Z70" s="620"/>
      <c r="AA70" s="620"/>
      <c r="AB70" s="621"/>
      <c r="AC70" s="628" t="s">
        <v>320</v>
      </c>
      <c r="AD70" s="629"/>
      <c r="AE70" s="267"/>
      <c r="AF70" s="605" t="s">
        <v>321</v>
      </c>
      <c r="AG70" s="606"/>
      <c r="AH70" s="606"/>
      <c r="AI70" s="607"/>
      <c r="AJ70" s="63"/>
      <c r="AK70" s="63"/>
      <c r="AL70" s="63"/>
      <c r="AM70" s="63"/>
      <c r="AN70" s="63"/>
      <c r="AO70" s="19"/>
      <c r="AP70" s="63"/>
      <c r="AQ70" s="63"/>
      <c r="AR70" s="63"/>
      <c r="AS70" s="63"/>
      <c r="AT70" s="199"/>
      <c r="AU70" s="199"/>
      <c r="AV70" s="199"/>
      <c r="AW70" s="199"/>
      <c r="AX70" s="199"/>
      <c r="AY70" s="199"/>
      <c r="AZ70" s="199"/>
      <c r="BA70" s="199"/>
      <c r="BB70" s="199"/>
      <c r="BC70" s="2"/>
      <c r="BD70" s="2"/>
      <c r="BE70" s="2"/>
      <c r="BF70" s="2"/>
      <c r="BG70" s="2"/>
      <c r="BH70" s="2"/>
      <c r="BI70" s="2"/>
      <c r="BJ70" s="25"/>
      <c r="BK70" s="2"/>
    </row>
    <row r="71" spans="1:63" ht="18.75" customHeight="1" x14ac:dyDescent="0.25">
      <c r="A71" s="266">
        <v>440</v>
      </c>
      <c r="B71" s="46" t="s">
        <v>176</v>
      </c>
      <c r="C71" s="79">
        <v>2</v>
      </c>
      <c r="D71" s="160"/>
      <c r="E71" s="194">
        <v>375</v>
      </c>
      <c r="F71" s="194">
        <v>375</v>
      </c>
      <c r="G71" s="194">
        <v>375</v>
      </c>
      <c r="H71" s="194">
        <v>375</v>
      </c>
      <c r="I71" s="160"/>
      <c r="J71" s="19"/>
      <c r="K71" s="498"/>
      <c r="L71" s="498"/>
      <c r="M71" s="498"/>
      <c r="N71" s="268"/>
      <c r="O71" s="508"/>
      <c r="P71" s="269"/>
      <c r="Q71" s="63"/>
      <c r="R71" s="63"/>
      <c r="S71" s="63"/>
      <c r="T71" s="63"/>
      <c r="U71" s="622"/>
      <c r="V71" s="623"/>
      <c r="W71" s="623"/>
      <c r="X71" s="623"/>
      <c r="Y71" s="623"/>
      <c r="Z71" s="623"/>
      <c r="AA71" s="623"/>
      <c r="AB71" s="624"/>
      <c r="AC71" s="630"/>
      <c r="AD71" s="631"/>
      <c r="AE71" s="270"/>
      <c r="AF71" s="608"/>
      <c r="AG71" s="609"/>
      <c r="AH71" s="609"/>
      <c r="AI71" s="610"/>
      <c r="AJ71" s="63"/>
      <c r="AK71" s="63"/>
      <c r="AL71" s="63"/>
      <c r="AM71" s="231"/>
      <c r="AN71" s="199"/>
      <c r="AO71" s="63"/>
      <c r="AP71" s="63"/>
      <c r="AQ71" s="63"/>
      <c r="AR71" s="63"/>
      <c r="AS71" s="63"/>
      <c r="AT71" s="63"/>
      <c r="AU71" s="63"/>
      <c r="AV71" s="63"/>
      <c r="AW71" s="63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5"/>
      <c r="BK71" s="2"/>
    </row>
    <row r="72" spans="1:63" ht="18.75" customHeight="1" x14ac:dyDescent="0.25">
      <c r="A72" s="266">
        <v>440</v>
      </c>
      <c r="B72" s="46" t="s">
        <v>176</v>
      </c>
      <c r="C72" s="79">
        <v>3</v>
      </c>
      <c r="D72" s="41" t="s">
        <v>322</v>
      </c>
      <c r="E72" s="151" t="s">
        <v>176</v>
      </c>
      <c r="F72" s="151" t="s">
        <v>176</v>
      </c>
      <c r="G72" s="151" t="s">
        <v>176</v>
      </c>
      <c r="H72" s="151" t="s">
        <v>176</v>
      </c>
      <c r="I72" s="19"/>
      <c r="J72" s="19"/>
      <c r="K72" s="41"/>
      <c r="L72" s="2"/>
      <c r="M72" s="2"/>
      <c r="N72" s="268"/>
      <c r="O72" s="41"/>
      <c r="P72" s="271"/>
      <c r="Q72" s="272"/>
      <c r="R72" s="272"/>
      <c r="S72" s="63"/>
      <c r="T72" s="63"/>
      <c r="U72" s="622"/>
      <c r="V72" s="623"/>
      <c r="W72" s="623"/>
      <c r="X72" s="623"/>
      <c r="Y72" s="623"/>
      <c r="Z72" s="623"/>
      <c r="AA72" s="623"/>
      <c r="AB72" s="624"/>
      <c r="AC72" s="630"/>
      <c r="AD72" s="631"/>
      <c r="AE72" s="267"/>
      <c r="AF72" s="608"/>
      <c r="AG72" s="609"/>
      <c r="AH72" s="609"/>
      <c r="AI72" s="610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5"/>
      <c r="BK72" s="2"/>
    </row>
    <row r="73" spans="1:63" ht="18.75" customHeight="1" thickBot="1" x14ac:dyDescent="0.3">
      <c r="A73" s="266">
        <v>440</v>
      </c>
      <c r="B73" s="46" t="s">
        <v>176</v>
      </c>
      <c r="C73" s="79">
        <v>4</v>
      </c>
      <c r="D73" s="19"/>
      <c r="E73" s="240">
        <v>8</v>
      </c>
      <c r="F73" s="240">
        <v>7</v>
      </c>
      <c r="G73" s="240">
        <v>6</v>
      </c>
      <c r="H73" s="240">
        <v>5</v>
      </c>
      <c r="I73" s="19"/>
      <c r="J73" s="19"/>
      <c r="K73" s="2"/>
      <c r="L73" s="2"/>
      <c r="M73" s="2"/>
      <c r="N73" s="268"/>
      <c r="O73" s="509"/>
      <c r="P73" s="274"/>
      <c r="Q73" s="273"/>
      <c r="R73" s="272"/>
      <c r="S73" s="19"/>
      <c r="T73" s="273"/>
      <c r="U73" s="625"/>
      <c r="V73" s="626"/>
      <c r="W73" s="626"/>
      <c r="X73" s="626"/>
      <c r="Y73" s="626"/>
      <c r="Z73" s="626"/>
      <c r="AA73" s="626"/>
      <c r="AB73" s="627"/>
      <c r="AC73" s="632"/>
      <c r="AD73" s="633"/>
      <c r="AE73" s="275"/>
      <c r="AF73" s="611"/>
      <c r="AG73" s="612"/>
      <c r="AH73" s="612"/>
      <c r="AI73" s="61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25"/>
      <c r="BK73" s="2"/>
    </row>
    <row r="74" spans="1:63" ht="18.75" customHeight="1" x14ac:dyDescent="0.25">
      <c r="A74" s="184"/>
      <c r="B74" s="41" t="s">
        <v>325</v>
      </c>
      <c r="C74" s="19"/>
      <c r="D74" s="19"/>
      <c r="E74" s="276"/>
      <c r="F74" s="276"/>
      <c r="G74" s="276"/>
      <c r="H74" s="276"/>
      <c r="I74" s="268"/>
      <c r="J74" s="19"/>
      <c r="K74" s="268"/>
      <c r="L74" s="19"/>
      <c r="M74" s="19"/>
      <c r="N74" s="19"/>
      <c r="O74" s="277"/>
      <c r="P74" s="226"/>
      <c r="Q74" s="226"/>
      <c r="R74" s="278"/>
      <c r="S74" s="278"/>
      <c r="T74" s="199"/>
      <c r="U74" s="199"/>
      <c r="V74" s="199"/>
      <c r="W74" s="199"/>
      <c r="X74" s="180"/>
      <c r="Y74" s="180"/>
      <c r="Z74" s="180"/>
      <c r="AA74" s="180"/>
      <c r="AB74" s="199"/>
      <c r="AC74" s="199"/>
      <c r="AD74" s="199"/>
      <c r="AE74" s="199"/>
      <c r="AF74" s="199"/>
      <c r="AG74" s="199"/>
      <c r="AH74" s="199"/>
      <c r="AI74" s="199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99"/>
      <c r="BB74" s="199"/>
      <c r="BC74" s="199"/>
      <c r="BD74" s="199"/>
      <c r="BE74" s="2"/>
      <c r="BF74" s="2"/>
      <c r="BG74" s="2"/>
      <c r="BH74" s="2"/>
      <c r="BI74" s="2"/>
      <c r="BJ74" s="2"/>
      <c r="BK74" s="2"/>
    </row>
    <row r="75" spans="1:63" ht="18.75" customHeight="1" x14ac:dyDescent="0.25">
      <c r="A75" s="614" t="s">
        <v>326</v>
      </c>
      <c r="B75" s="614"/>
      <c r="C75" s="19"/>
      <c r="D75" s="19"/>
      <c r="E75" s="19"/>
      <c r="F75" s="19"/>
      <c r="G75" s="19"/>
      <c r="H75" s="19"/>
      <c r="I75" s="268"/>
      <c r="J75" s="19"/>
      <c r="K75" s="268"/>
      <c r="L75" s="19"/>
      <c r="M75" s="19"/>
      <c r="N75" s="19"/>
      <c r="O75" s="277"/>
      <c r="P75" s="279"/>
      <c r="Q75" s="279"/>
      <c r="R75" s="279"/>
      <c r="S75" s="27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</row>
    <row r="76" spans="1:63" ht="18.75" customHeight="1" x14ac:dyDescent="0.25">
      <c r="A76" s="498"/>
      <c r="B76" s="226"/>
      <c r="C76" s="19"/>
      <c r="D76" s="19"/>
      <c r="E76" s="91"/>
      <c r="F76" s="91"/>
      <c r="G76" s="91"/>
      <c r="H76" s="91"/>
      <c r="I76" s="618"/>
      <c r="J76" s="618"/>
      <c r="K76" s="618"/>
      <c r="L76" s="19"/>
      <c r="M76" s="19"/>
      <c r="N76" s="41"/>
      <c r="O76" s="277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spans="1:63" ht="18.75" customHeight="1" x14ac:dyDescent="0.25">
      <c r="A77" s="498"/>
      <c r="B77" s="281"/>
      <c r="C77" s="281"/>
      <c r="D77" s="19"/>
      <c r="E77" s="506"/>
      <c r="F77" s="506"/>
      <c r="G77" s="506"/>
      <c r="H77" s="122"/>
      <c r="I77" s="507"/>
      <c r="J77" s="507"/>
      <c r="K77" s="507"/>
      <c r="L77" s="19"/>
      <c r="M77" s="19"/>
      <c r="N77" s="498"/>
      <c r="O77" s="277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spans="1:63" ht="18.75" customHeight="1" x14ac:dyDescent="0.25">
      <c r="A78" s="498"/>
      <c r="B78" s="19"/>
      <c r="C78" s="19"/>
      <c r="D78" s="19"/>
      <c r="E78" s="506"/>
      <c r="F78" s="506"/>
      <c r="G78" s="506"/>
      <c r="H78" s="122"/>
      <c r="I78" s="507"/>
      <c r="J78" s="507"/>
      <c r="K78" s="507"/>
      <c r="L78" s="19"/>
      <c r="M78" s="19"/>
      <c r="N78" s="498"/>
      <c r="O78" s="277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spans="1:63" ht="18.75" customHeight="1" x14ac:dyDescent="0.25">
      <c r="A79" s="41"/>
      <c r="B79" s="19"/>
      <c r="C79" s="19"/>
      <c r="D79" s="19"/>
      <c r="E79" s="120"/>
      <c r="F79" s="91"/>
      <c r="G79" s="91"/>
      <c r="H79" s="91"/>
      <c r="I79" s="120"/>
      <c r="J79" s="91"/>
      <c r="K79"/>
      <c r="L79" s="19"/>
      <c r="M79" s="19"/>
      <c r="N79" s="498"/>
      <c r="O79" s="277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spans="1:63" ht="18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2"/>
      <c r="L80" s="19"/>
      <c r="M80" s="19"/>
      <c r="N80" s="498"/>
      <c r="O80" s="277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spans="1:63" ht="18.75" customHeight="1" thickBo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26"/>
      <c r="O81" s="277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spans="1:63" ht="18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spans="1:63" ht="18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spans="1:63" ht="18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spans="1:63" ht="18.7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spans="1:63" ht="18.7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spans="1:63" ht="18.7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spans="1:63" ht="18.7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spans="1:63" ht="18.7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spans="1:63" ht="18.7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spans="1:63" ht="18.7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spans="1:63" ht="18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spans="1:63" ht="18.7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spans="1:63" ht="18.7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spans="1:63" ht="18.7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spans="1:63" ht="18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spans="1:63" ht="18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spans="1:63" ht="18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spans="1:63" ht="18.7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spans="1:63" ht="18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spans="1:63" ht="18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spans="1:63" ht="18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spans="1:63" ht="18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spans="1:63" ht="18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spans="1:63" ht="18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spans="1:63" ht="18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spans="1:63" ht="18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</sheetData>
  <mergeCells count="54">
    <mergeCell ref="I76:K76"/>
    <mergeCell ref="AC63:AE63"/>
    <mergeCell ref="E67:H67"/>
    <mergeCell ref="U70:AB73"/>
    <mergeCell ref="AC70:AD73"/>
    <mergeCell ref="AF70:AI73"/>
    <mergeCell ref="A75:B75"/>
    <mergeCell ref="A53:B53"/>
    <mergeCell ref="AH53:AH54"/>
    <mergeCell ref="W55:Y55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BB48:BC48"/>
    <mergeCell ref="AB51:AE51"/>
    <mergeCell ref="W44:Z44"/>
    <mergeCell ref="A34:A37"/>
    <mergeCell ref="E34:H34"/>
    <mergeCell ref="L34:L39"/>
    <mergeCell ref="U35:W35"/>
    <mergeCell ref="C37:C38"/>
    <mergeCell ref="D37:D38"/>
    <mergeCell ref="I37:I38"/>
    <mergeCell ref="E26:H26"/>
    <mergeCell ref="AE26:AG26"/>
    <mergeCell ref="B28:D28"/>
    <mergeCell ref="BF30:BI45"/>
    <mergeCell ref="E31:H31"/>
    <mergeCell ref="K32:L32"/>
    <mergeCell ref="X38:X39"/>
    <mergeCell ref="L40:L42"/>
    <mergeCell ref="E41:I41"/>
    <mergeCell ref="Q43:R45"/>
    <mergeCell ref="A44:B44"/>
    <mergeCell ref="C44:C45"/>
    <mergeCell ref="D44:D45"/>
    <mergeCell ref="J44:J45"/>
    <mergeCell ref="K44:K45"/>
    <mergeCell ref="A1:BI1"/>
    <mergeCell ref="P3:R3"/>
    <mergeCell ref="B4:B9"/>
    <mergeCell ref="E6:G6"/>
    <mergeCell ref="N6:Q6"/>
    <mergeCell ref="U10:AU21"/>
    <mergeCell ref="N13:Q13"/>
    <mergeCell ref="O14:P14"/>
    <mergeCell ref="A16:B16"/>
    <mergeCell ref="L18:M18"/>
  </mergeCells>
  <conditionalFormatting sqref="N28">
    <cfRule type="duplicateValues" dxfId="22" priority="2"/>
  </conditionalFormatting>
  <conditionalFormatting sqref="N29">
    <cfRule type="duplicateValues" dxfId="21" priority="1"/>
  </conditionalFormatting>
  <conditionalFormatting sqref="O28">
    <cfRule type="duplicateValues" dxfId="20" priority="3"/>
  </conditionalFormatting>
  <conditionalFormatting sqref="U25">
    <cfRule type="duplicateValues" dxfId="19" priority="20"/>
  </conditionalFormatting>
  <conditionalFormatting sqref="V24">
    <cfRule type="duplicateValues" dxfId="18" priority="22"/>
  </conditionalFormatting>
  <conditionalFormatting sqref="V26">
    <cfRule type="duplicateValues" dxfId="17" priority="21"/>
  </conditionalFormatting>
  <conditionalFormatting sqref="W25">
    <cfRule type="duplicateValues" dxfId="16" priority="23"/>
  </conditionalFormatting>
  <conditionalFormatting sqref="W53">
    <cfRule type="duplicateValues" dxfId="15" priority="8"/>
  </conditionalFormatting>
  <conditionalFormatting sqref="W54">
    <cfRule type="duplicateValues" dxfId="14" priority="13"/>
  </conditionalFormatting>
  <conditionalFormatting sqref="X53">
    <cfRule type="duplicateValues" dxfId="13" priority="9"/>
  </conditionalFormatting>
  <conditionalFormatting sqref="X54">
    <cfRule type="duplicateValues" dxfId="12" priority="12"/>
  </conditionalFormatting>
  <conditionalFormatting sqref="Y53">
    <cfRule type="duplicateValues" dxfId="11" priority="10"/>
  </conditionalFormatting>
  <conditionalFormatting sqref="Y54">
    <cfRule type="duplicateValues" dxfId="10" priority="11"/>
  </conditionalFormatting>
  <conditionalFormatting sqref="AB30">
    <cfRule type="duplicateValues" dxfId="9" priority="19"/>
  </conditionalFormatting>
  <conditionalFormatting sqref="AB31">
    <cfRule type="duplicateValues" dxfId="8" priority="18"/>
  </conditionalFormatting>
  <conditionalFormatting sqref="AC30">
    <cfRule type="duplicateValues" dxfId="7" priority="17"/>
  </conditionalFormatting>
  <conditionalFormatting sqref="AC31">
    <cfRule type="duplicateValues" dxfId="6" priority="16"/>
  </conditionalFormatting>
  <conditionalFormatting sqref="AD30">
    <cfRule type="duplicateValues" dxfId="5" priority="15"/>
  </conditionalFormatting>
  <conditionalFormatting sqref="AD31">
    <cfRule type="duplicateValues" dxfId="4" priority="14"/>
  </conditionalFormatting>
  <conditionalFormatting sqref="AN31">
    <cfRule type="duplicateValues" dxfId="3" priority="5"/>
  </conditionalFormatting>
  <conditionalFormatting sqref="AO30">
    <cfRule type="duplicateValues" dxfId="2" priority="6"/>
  </conditionalFormatting>
  <conditionalFormatting sqref="AO32">
    <cfRule type="duplicateValues" dxfId="1" priority="7"/>
  </conditionalFormatting>
  <conditionalFormatting sqref="AP31">
    <cfRule type="duplicateValues" dxfId="0" priority="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2025-10-28T19:23:47Z</dcterms:modified>
</cp:coreProperties>
</file>